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da\Veda_models\vervestacks_models\VerveStacks_USA_grids_syn_10\SuppXLS\"/>
    </mc:Choice>
  </mc:AlternateContent>
  <xr:revisionPtr revIDLastSave="0" documentId="8_{438D4CA2-A75F-4EC6-9A5F-7C6F5266B378}" xr6:coauthVersionLast="47" xr6:coauthVersionMax="47" xr10:uidLastSave="{00000000-0000-0000-0000-000000000000}"/>
  <bookViews>
    <workbookView xWindow="-98" yWindow="-98" windowWidth="28996" windowHeight="17475" xr2:uid="{00000000-000D-0000-FFFF-FFFF00000000}"/>
  </bookViews>
  <sheets>
    <sheet name="grids" sheetId="6" r:id="rId1"/>
    <sheet name="re_targets" sheetId="5" r:id="rId2"/>
    <sheet name="Veda" sheetId="1" r:id="rId3"/>
    <sheet name="buildrates" sheetId="4" r:id="rId4"/>
    <sheet name="historical_data_long" sheetId="3"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4" l="1"/>
  <c r="C23" i="4"/>
  <c r="B23" i="4"/>
  <c r="C22" i="4"/>
  <c r="B22" i="4"/>
  <c r="B21" i="4"/>
  <c r="C20" i="4"/>
  <c r="B20" i="4"/>
  <c r="G23" i="4"/>
  <c r="G22" i="4"/>
  <c r="F23" i="4"/>
  <c r="F22" i="4"/>
  <c r="G21" i="4"/>
  <c r="F21" i="4"/>
  <c r="G20" i="4"/>
  <c r="F20" i="4"/>
  <c r="AE15" i="1" l="1"/>
  <c r="AB15" i="1" s="1"/>
  <c r="F27" i="1"/>
  <c r="D6" i="1"/>
  <c r="D15" i="1"/>
  <c r="AI9" i="1"/>
  <c r="AJ9" i="1" s="1"/>
  <c r="AI8" i="1"/>
  <c r="AJ8" i="1" s="1"/>
  <c r="AH9" i="1"/>
  <c r="AH8" i="1"/>
  <c r="X9" i="1"/>
  <c r="X8" i="1"/>
  <c r="Z9" i="1"/>
  <c r="AA9" i="1" s="1"/>
  <c r="Z8" i="1"/>
  <c r="AA8" i="1" s="1"/>
  <c r="D8" i="1"/>
  <c r="D7" i="1"/>
  <c r="E24" i="1"/>
  <c r="E23" i="1"/>
  <c r="E2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B5" authorId="0" shapeId="0" xr:uid="{2FF9EF2B-EBD7-4C7E-9F26-8FF1228838F5}">
      <text>
        <r>
          <rPr>
            <b/>
            <sz val="9"/>
            <color indexed="81"/>
            <rFont val="Tahoma"/>
            <charset val="1"/>
          </rPr>
          <t>Amit Kanudia:</t>
        </r>
        <r>
          <rPr>
            <sz val="9"/>
            <color indexed="81"/>
            <rFont val="Tahoma"/>
            <charset val="1"/>
          </rPr>
          <t xml:space="preserve">
11-09-2025
AFS will be sufficient
</t>
        </r>
      </text>
    </comment>
    <comment ref="D8" authorId="0" shapeId="0" xr:uid="{79577DE7-359E-49C1-A1D9-EC64BAD436CB}">
      <text>
        <r>
          <rPr>
            <b/>
            <sz val="9"/>
            <color indexed="81"/>
            <rFont val="Tahoma"/>
            <charset val="1"/>
          </rPr>
          <t>Amit Kanudia:</t>
        </r>
        <r>
          <rPr>
            <sz val="9"/>
            <color indexed="81"/>
            <rFont val="Tahoma"/>
            <charset val="1"/>
          </rPr>
          <t xml:space="preserve">
29-07-2025
ember
</t>
        </r>
      </text>
    </comment>
    <comment ref="E27" authorId="0" shapeId="0" xr:uid="{611EBA31-8D3D-48AF-B590-BE94B249D2E8}">
      <text>
        <r>
          <rPr>
            <b/>
            <sz val="9"/>
            <color indexed="81"/>
            <rFont val="Tahoma"/>
            <charset val="1"/>
          </rPr>
          <t>Amit Kanudia:</t>
        </r>
        <r>
          <rPr>
            <sz val="9"/>
            <color indexed="81"/>
            <rFont val="Tahoma"/>
            <charset val="1"/>
          </rPr>
          <t xml:space="preserve">
03-08-2025
CO2 transport and storage cost
</t>
        </r>
      </text>
    </comment>
  </commentList>
</comments>
</file>

<file path=xl/sharedStrings.xml><?xml version="1.0" encoding="utf-8"?>
<sst xmlns="http://schemas.openxmlformats.org/spreadsheetml/2006/main" count="3390" uniqueCount="711">
  <si>
    <t>~TFM_INS-AT</t>
  </si>
  <si>
    <t>~UC_Sets: R_E: AllRegions</t>
  </si>
  <si>
    <t>pset_ci</t>
  </si>
  <si>
    <t>process</t>
  </si>
  <si>
    <t>AFA</t>
  </si>
  <si>
    <t>coal</t>
  </si>
  <si>
    <t>hydro</t>
  </si>
  <si>
    <t>ep*</t>
  </si>
  <si>
    <t>gas</t>
  </si>
  <si>
    <t>solar</t>
  </si>
  <si>
    <t>~UC_T: UC_CAP~UP</t>
  </si>
  <si>
    <t>~UC_T: UC_CAP~LO</t>
  </si>
  <si>
    <t>wind</t>
  </si>
  <si>
    <t>UC_N</t>
  </si>
  <si>
    <t>pset_co</t>
  </si>
  <si>
    <t>UC_ACT</t>
  </si>
  <si>
    <t>UC_RHSRT</t>
  </si>
  <si>
    <t>UC_RHSRT~0</t>
  </si>
  <si>
    <t>UC_CAP</t>
  </si>
  <si>
    <t>nuclear</t>
  </si>
  <si>
    <t>UCE_max coal fleet utilization</t>
  </si>
  <si>
    <t>-CO2Captured</t>
  </si>
  <si>
    <t>UCE_min coal fleet utilization</t>
  </si>
  <si>
    <t>oil</t>
  </si>
  <si>
    <t>UCE_max gas fleet utilization</t>
  </si>
  <si>
    <t>UCE_min gas fleet utilization</t>
  </si>
  <si>
    <t>~TFM_INS</t>
  </si>
  <si>
    <t>attribute</t>
  </si>
  <si>
    <t>value</t>
  </si>
  <si>
    <t>START</t>
  </si>
  <si>
    <t>cset_cn</t>
  </si>
  <si>
    <t>other_indexes</t>
  </si>
  <si>
    <t>VDA_EMCB</t>
  </si>
  <si>
    <t>CO2</t>
  </si>
  <si>
    <t>Solar photovoltaics - Large scale unit</t>
  </si>
  <si>
    <t>Wind offshore</t>
  </si>
  <si>
    <t>Wind onshore</t>
  </si>
  <si>
    <t>~UC_T: FX</t>
  </si>
  <si>
    <t>pset_pn</t>
  </si>
  <si>
    <t>UCE_Solar capacity aggregation for peak</t>
  </si>
  <si>
    <t>ElcAgg_Solar</t>
  </si>
  <si>
    <t>UCE_Wind capacity aggregation for peak</t>
  </si>
  <si>
    <t>ElcAgg_Wind</t>
  </si>
  <si>
    <t>ep*,EN*</t>
  </si>
  <si>
    <t>COM_AGG</t>
  </si>
  <si>
    <t>co2</t>
  </si>
  <si>
    <t>co2net</t>
  </si>
  <si>
    <t>co2captured</t>
  </si>
  <si>
    <t>*</t>
  </si>
  <si>
    <t>flo_cost</t>
  </si>
  <si>
    <t>model_fuel</t>
  </si>
  <si>
    <t>ember_min</t>
  </si>
  <si>
    <t>ember_max</t>
  </si>
  <si>
    <t>irena_min</t>
  </si>
  <si>
    <t>irena_max</t>
  </si>
  <si>
    <t>bioenergy</t>
  </si>
  <si>
    <t>Year</t>
  </si>
  <si>
    <t>Unit</t>
  </si>
  <si>
    <t>Value</t>
  </si>
  <si>
    <t>TWh</t>
  </si>
  <si>
    <t>GW</t>
  </si>
  <si>
    <t>mtCO2</t>
  </si>
  <si>
    <t>Export</t>
  </si>
  <si>
    <t>Import</t>
  </si>
  <si>
    <t>UCE_max nuclear capacity</t>
  </si>
  <si>
    <t>life</t>
  </si>
  <si>
    <t>g[_]*</t>
  </si>
  <si>
    <t>prc_capact</t>
  </si>
  <si>
    <t>Hydropower - large-scale unit</t>
  </si>
  <si>
    <t>Solar Low</t>
  </si>
  <si>
    <t>Solar High</t>
  </si>
  <si>
    <t>Wind Low</t>
  </si>
  <si>
    <t>Wind High</t>
  </si>
  <si>
    <t>Hydro Low</t>
  </si>
  <si>
    <t>Hydro High</t>
  </si>
  <si>
    <t>Nuclear Low</t>
  </si>
  <si>
    <t>Nuclear High</t>
  </si>
  <si>
    <t>USA</t>
  </si>
  <si>
    <t>uc_n</t>
  </si>
  <si>
    <t>uc_attr</t>
  </si>
  <si>
    <t>uc_ncap</t>
  </si>
  <si>
    <t>ncap,buildup</t>
  </si>
  <si>
    <t>~UC_T: uc_rhsrt</t>
  </si>
  <si>
    <t>\I: solar</t>
  </si>
  <si>
    <t>\I: wind</t>
  </si>
  <si>
    <t>wind*</t>
  </si>
  <si>
    <t>~UC_T: 2050</t>
  </si>
  <si>
    <t>base-year nuclear capacity</t>
  </si>
  <si>
    <t>\I: hydro</t>
  </si>
  <si>
    <t>geothermal</t>
  </si>
  <si>
    <t>windoff</t>
  </si>
  <si>
    <t>windon</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</si>
  <si>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</si>
  <si>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</si>
  <si>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</si>
  <si>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</si>
  <si>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</si>
  <si>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</si>
  <si>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</si>
  <si>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</si>
  <si>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</si>
  <si>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</si>
  <si>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</si>
  <si>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</si>
  <si>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</si>
  <si>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</si>
  <si>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Third-party studies</t>
  </si>
  <si>
    <t>Evaluating Impacts of the Inflation Reduction Act and Bipartisan Infrastructure Law on the US Power System</t>
  </si>
  <si>
    <t>National Renewable Energy Laboratory</t>
  </si>
  <si>
    <t>https://www.nrel.gov/docs/fy23osti/85242.pdf</t>
  </si>
  <si>
    <t xml:space="preserve">NREL simulated how the power systems of the US would change over the next 7 years as a result of the 2022 Inflation Reduction Act and Bipartisan Infrastructure Law (BIL). The two laws represent the US federal government's commitment to decarbonisation of the energy system. We take data from the IRA-BIL scenario, which reflects impact of the federal and state policies enabled as of September 2022, including the IRA and BIL. The results align with the President Biden's Executive Order to increase offshore wind capacity to 30GW by 2030. </t>
  </si>
  <si>
    <t>p. 9</t>
  </si>
  <si>
    <t>IEA Renewable Energy Progress Tracker</t>
  </si>
  <si>
    <t>International Energy Agency</t>
  </si>
  <si>
    <t>https://www.iea.org/data-and-statistics/data-tools/renewable-energy-progress-tracker</t>
  </si>
  <si>
    <t>The US does not have any explicit targets. In lieu of this, the IEA forecast based on stated policies main case is used for 2030 targets.</t>
  </si>
  <si>
    <t>Coal</t>
  </si>
  <si>
    <t>Gas</t>
  </si>
  <si>
    <t>Hydro</t>
  </si>
  <si>
    <t>Nuclear</t>
  </si>
  <si>
    <t>Offshore Wind</t>
  </si>
  <si>
    <t>Onshore Wind</t>
  </si>
  <si>
    <t>Other Fossil</t>
  </si>
  <si>
    <t>Other Renewables</t>
  </si>
  <si>
    <t>Solar</t>
  </si>
  <si>
    <t>generation_twh</t>
  </si>
  <si>
    <t>Wind</t>
  </si>
  <si>
    <t>share_of_generation_pct</t>
  </si>
  <si>
    <t>Renewables</t>
  </si>
  <si>
    <t>BUILD RATE ASSUMPTIONS</t>
  </si>
  <si>
    <t>iso</t>
  </si>
  <si>
    <t>pasti</t>
  </si>
  <si>
    <t>ncap_cost</t>
  </si>
  <si>
    <t>efficiency</t>
  </si>
  <si>
    <t>g_dem1-sol31</t>
  </si>
  <si>
    <t>g_dem6-dem1</t>
  </si>
  <si>
    <t>g_dem8-sol103</t>
  </si>
  <si>
    <t>g_gen0-dem3</t>
  </si>
  <si>
    <t>g_gen0-dem7</t>
  </si>
  <si>
    <t>g_gen1-dem0</t>
  </si>
  <si>
    <t>g_gen1-dem5</t>
  </si>
  <si>
    <t>g_gen2-dem6</t>
  </si>
  <si>
    <t>g_gen3-dem9</t>
  </si>
  <si>
    <t>g_gen4-dem7</t>
  </si>
  <si>
    <t>g_gen5-dem0</t>
  </si>
  <si>
    <t>g_gen6-dem8</t>
  </si>
  <si>
    <t>g_gen7-dem1</t>
  </si>
  <si>
    <t>g_gen8-dem4</t>
  </si>
  <si>
    <t>g_gen8-dem7</t>
  </si>
  <si>
    <t>g_gen9-dem2</t>
  </si>
  <si>
    <t>g_gen9-dem9</t>
  </si>
  <si>
    <t>g_sol1-gen3</t>
  </si>
  <si>
    <t>g_sol10-gen0</t>
  </si>
  <si>
    <t>g_sol100-dem0</t>
  </si>
  <si>
    <t>g_sol101-gen6</t>
  </si>
  <si>
    <t>g_sol102-gen6</t>
  </si>
  <si>
    <t>g_sol103-dem5</t>
  </si>
  <si>
    <t>g_sol104-gen6</t>
  </si>
  <si>
    <t>g_sol105-dem2</t>
  </si>
  <si>
    <t>g_sol106-dem5</t>
  </si>
  <si>
    <t>g_sol107-gen1</t>
  </si>
  <si>
    <t>g_sol108-gen1</t>
  </si>
  <si>
    <t>g_sol109-dem0</t>
  </si>
  <si>
    <t>g_sol11-dem4</t>
  </si>
  <si>
    <t>g_sol110-dem0</t>
  </si>
  <si>
    <t>g_sol111-dem0</t>
  </si>
  <si>
    <t>g_sol112-dem4</t>
  </si>
  <si>
    <t>g_sol112-dem7</t>
  </si>
  <si>
    <t>g_sol113-dem4</t>
  </si>
  <si>
    <t>g_sol114-dem4</t>
  </si>
  <si>
    <t>g_sol114-dem7</t>
  </si>
  <si>
    <t>g_sol115-dem7</t>
  </si>
  <si>
    <t>g_sol116-dem7</t>
  </si>
  <si>
    <t>g_sol117-dem4</t>
  </si>
  <si>
    <t>g_sol118-dem4</t>
  </si>
  <si>
    <t>g_sol119-dem4</t>
  </si>
  <si>
    <t>g_sol12-dem4</t>
  </si>
  <si>
    <t>g_sol120-dem4</t>
  </si>
  <si>
    <t>g_sol121-gen8</t>
  </si>
  <si>
    <t>g_sol122-gen8</t>
  </si>
  <si>
    <t>g_sol123-dem4</t>
  </si>
  <si>
    <t>g_sol124-dem0</t>
  </si>
  <si>
    <t>g_sol125-dem0</t>
  </si>
  <si>
    <t>g_sol126-dem0</t>
  </si>
  <si>
    <t>g_sol127-gen5</t>
  </si>
  <si>
    <t>g_sol128-gen4</t>
  </si>
  <si>
    <t>g_sol128-gen5</t>
  </si>
  <si>
    <t>g_sol128-gen8</t>
  </si>
  <si>
    <t>g_sol129-dem4</t>
  </si>
  <si>
    <t>g_sol129-gen8</t>
  </si>
  <si>
    <t>g_sol13-dem4</t>
  </si>
  <si>
    <t>g_sol13-dem9</t>
  </si>
  <si>
    <t>g_sol13-gen3</t>
  </si>
  <si>
    <t>g_sol130-gen8</t>
  </si>
  <si>
    <t>g_sol131-gen8</t>
  </si>
  <si>
    <t>g_sol132-gen5</t>
  </si>
  <si>
    <t>g_sol133-dem0</t>
  </si>
  <si>
    <t>g_sol134-gen5</t>
  </si>
  <si>
    <t>g_sol135-dem7</t>
  </si>
  <si>
    <t>g_sol136-gen4</t>
  </si>
  <si>
    <t>g_sol137-gen5</t>
  </si>
  <si>
    <t>g_sol138-gen4</t>
  </si>
  <si>
    <t>g_sol14-gen3</t>
  </si>
  <si>
    <t>g_sol15-dem6</t>
  </si>
  <si>
    <t>g_sol16-dem6</t>
  </si>
  <si>
    <t>g_sol16-gen2</t>
  </si>
  <si>
    <t>g_sol17-gen2</t>
  </si>
  <si>
    <t>g_sol18-gen2</t>
  </si>
  <si>
    <t>g_sol19-dem6</t>
  </si>
  <si>
    <t>g_sol2-gen3</t>
  </si>
  <si>
    <t>g_sol20-dem6</t>
  </si>
  <si>
    <t>g_sol21-gen2</t>
  </si>
  <si>
    <t>g_sol22-dem9</t>
  </si>
  <si>
    <t>g_sol23-dem2</t>
  </si>
  <si>
    <t>g_sol24-gen9</t>
  </si>
  <si>
    <t>g_sol25-gen9</t>
  </si>
  <si>
    <t>g_sol26-gen7</t>
  </si>
  <si>
    <t>g_sol27-gen9</t>
  </si>
  <si>
    <t>g_sol28-dem3</t>
  </si>
  <si>
    <t>g_sol29-dem3</t>
  </si>
  <si>
    <t>g_sol3-gen3</t>
  </si>
  <si>
    <t>g_sol30-dem3</t>
  </si>
  <si>
    <t>g_sol31-dem3</t>
  </si>
  <si>
    <t>g_sol32-gen0</t>
  </si>
  <si>
    <t>g_sol33-dem1</t>
  </si>
  <si>
    <t>g_sol34-dem1</t>
  </si>
  <si>
    <t>g_sol35-dem1</t>
  </si>
  <si>
    <t>g_sol36-gen2</t>
  </si>
  <si>
    <t>g_sol37-gen2</t>
  </si>
  <si>
    <t>g_sol38-gen2</t>
  </si>
  <si>
    <t>g_sol39-gen7</t>
  </si>
  <si>
    <t>g_sol4-dem9</t>
  </si>
  <si>
    <t>g_sol40-dem1</t>
  </si>
  <si>
    <t>g_sol41-gen7</t>
  </si>
  <si>
    <t>g_sol42-gen7</t>
  </si>
  <si>
    <t>g_sol43-gen7</t>
  </si>
  <si>
    <t>g_sol44-gen7</t>
  </si>
  <si>
    <t>g_sol45-dem1</t>
  </si>
  <si>
    <t>g_sol46-gen7</t>
  </si>
  <si>
    <t>g_sol47-gen5</t>
  </si>
  <si>
    <t>g_sol48-gen5</t>
  </si>
  <si>
    <t>g_sol49-gen4</t>
  </si>
  <si>
    <t>g_sol5-dem9</t>
  </si>
  <si>
    <t>g_sol50-gen4</t>
  </si>
  <si>
    <t>g_sol51-gen4</t>
  </si>
  <si>
    <t>g_sol52-gen4</t>
  </si>
  <si>
    <t>g_sol53-gen4</t>
  </si>
  <si>
    <t>g_sol54-gen4</t>
  </si>
  <si>
    <t>g_sol55-gen4</t>
  </si>
  <si>
    <t>g_sol56-gen4</t>
  </si>
  <si>
    <t>g_sol57-gen4</t>
  </si>
  <si>
    <t>g_sol58-dem7</t>
  </si>
  <si>
    <t>g_sol59-gen4</t>
  </si>
  <si>
    <t>g_sol6-gen3</t>
  </si>
  <si>
    <t>g_sol60-gen4</t>
  </si>
  <si>
    <t>g_sol61-gen4</t>
  </si>
  <si>
    <t>g_sol62-gen4</t>
  </si>
  <si>
    <t>g_sol63-gen4</t>
  </si>
  <si>
    <t>g_sol64-dem7</t>
  </si>
  <si>
    <t>g_sol65-gen4</t>
  </si>
  <si>
    <t>g_sol66-dem7</t>
  </si>
  <si>
    <t>g_sol67-dem7</t>
  </si>
  <si>
    <t>g_sol68-dem7</t>
  </si>
  <si>
    <t>g_sol69-dem3</t>
  </si>
  <si>
    <t>g_sol7-dem7</t>
  </si>
  <si>
    <t>g_sol70-dem7</t>
  </si>
  <si>
    <t>g_sol71-gen0</t>
  </si>
  <si>
    <t>g_sol72-dem7</t>
  </si>
  <si>
    <t>g_sol73-dem7</t>
  </si>
  <si>
    <t>g_sol74-gen0</t>
  </si>
  <si>
    <t>g_sol75-dem3</t>
  </si>
  <si>
    <t>g_sol76-dem3</t>
  </si>
  <si>
    <t>g_sol77-dem3</t>
  </si>
  <si>
    <t>g_sol78-dem3</t>
  </si>
  <si>
    <t>g_sol79-dem3</t>
  </si>
  <si>
    <t>g_sol8-dem7</t>
  </si>
  <si>
    <t>g_sol80-dem7</t>
  </si>
  <si>
    <t>g_sol81-dem7</t>
  </si>
  <si>
    <t>g_sol82-dem3</t>
  </si>
  <si>
    <t>g_sol83-dem3</t>
  </si>
  <si>
    <t>g_sol84-dem8</t>
  </si>
  <si>
    <t>g_sol85-dem8</t>
  </si>
  <si>
    <t>g_sol86-dem8</t>
  </si>
  <si>
    <t>g_sol87-dem8</t>
  </si>
  <si>
    <t>g_sol88-gen6</t>
  </si>
  <si>
    <t>g_sol89-gen6</t>
  </si>
  <si>
    <t>g_sol9-gen3</t>
  </si>
  <si>
    <t>g_sol90-gen6</t>
  </si>
  <si>
    <t>g_sol91-gen6</t>
  </si>
  <si>
    <t>g_sol92-gen6</t>
  </si>
  <si>
    <t>g_sol93-gen6</t>
  </si>
  <si>
    <t>g_sol94-dem8</t>
  </si>
  <si>
    <t>g_sol95-gen6</t>
  </si>
  <si>
    <t>g_sol96-gen6</t>
  </si>
  <si>
    <t>g_sol97-gen6</t>
  </si>
  <si>
    <t>g_sol98-gen5</t>
  </si>
  <si>
    <t>g_sol99-gen5</t>
  </si>
  <si>
    <t>g_wof0-gen4</t>
  </si>
  <si>
    <t>g_wof1-dem3</t>
  </si>
  <si>
    <t>g_wof10-gen7</t>
  </si>
  <si>
    <t>g_wof11-dem5</t>
  </si>
  <si>
    <t>g_wof12-dem8</t>
  </si>
  <si>
    <t>g_wof13-gen2</t>
  </si>
  <si>
    <t>g_wof14-dem6</t>
  </si>
  <si>
    <t>g_wof15-dem6</t>
  </si>
  <si>
    <t>g_wof2-dem7</t>
  </si>
  <si>
    <t>g_wof3-dem3</t>
  </si>
  <si>
    <t>g_wof4-dem3</t>
  </si>
  <si>
    <t>g_wof5-dem3</t>
  </si>
  <si>
    <t>g_wof6-dem4</t>
  </si>
  <si>
    <t>g_wof7-dem4</t>
  </si>
  <si>
    <t>g_wof8-gen3</t>
  </si>
  <si>
    <t>g_wof9-dem1</t>
  </si>
  <si>
    <t>g_won0-gen5</t>
  </si>
  <si>
    <t>g_won1-dem0</t>
  </si>
  <si>
    <t>g_won10-dem0</t>
  </si>
  <si>
    <t>g_won100-gen5</t>
  </si>
  <si>
    <t>g_won101-gen5</t>
  </si>
  <si>
    <t>g_won102-gen4</t>
  </si>
  <si>
    <t>g_won103-dem4</t>
  </si>
  <si>
    <t>g_won104-dem4</t>
  </si>
  <si>
    <t>g_won105-dem4</t>
  </si>
  <si>
    <t>g_won106-dem4</t>
  </si>
  <si>
    <t>g_won107-gen8</t>
  </si>
  <si>
    <t>g_won108-gen8</t>
  </si>
  <si>
    <t>g_won109-dem4</t>
  </si>
  <si>
    <t>g_won109-dem7</t>
  </si>
  <si>
    <t>g_won11-dem0</t>
  </si>
  <si>
    <t>g_won11-dem5</t>
  </si>
  <si>
    <t>g_won110-dem7</t>
  </si>
  <si>
    <t>g_won111-dem7</t>
  </si>
  <si>
    <t>g_won112-gen8</t>
  </si>
  <si>
    <t>g_won113-gen8</t>
  </si>
  <si>
    <t>g_won114-gen8</t>
  </si>
  <si>
    <t>g_won115-dem4</t>
  </si>
  <si>
    <t>g_won116-gen8</t>
  </si>
  <si>
    <t>g_won117-gen4</t>
  </si>
  <si>
    <t>g_won118-dem7</t>
  </si>
  <si>
    <t>g_won119-gen4</t>
  </si>
  <si>
    <t>g_won12-dem0</t>
  </si>
  <si>
    <t>g_won120-dem7</t>
  </si>
  <si>
    <t>g_won121-gen4</t>
  </si>
  <si>
    <t>g_won122-gen4</t>
  </si>
  <si>
    <t>g_won123-dem0</t>
  </si>
  <si>
    <t>g_won124-gen5</t>
  </si>
  <si>
    <t>g_won125-gen5</t>
  </si>
  <si>
    <t>g_won126-gen5</t>
  </si>
  <si>
    <t>g_won127-gen4</t>
  </si>
  <si>
    <t>g_won128-gen4</t>
  </si>
  <si>
    <t>g_won129-dem7</t>
  </si>
  <si>
    <t>g_won129-gen8</t>
  </si>
  <si>
    <t>g_won13-dem5</t>
  </si>
  <si>
    <t>g_won13-gen1</t>
  </si>
  <si>
    <t>g_won14-gen1</t>
  </si>
  <si>
    <t>g_won15-dem5</t>
  </si>
  <si>
    <t>g_won16-dem5</t>
  </si>
  <si>
    <t>g_won17-dem0</t>
  </si>
  <si>
    <t>g_won18-gen5</t>
  </si>
  <si>
    <t>g_won19-dem0</t>
  </si>
  <si>
    <t>g_won2-dem0</t>
  </si>
  <si>
    <t>g_won20-dem0</t>
  </si>
  <si>
    <t>g_won21-dem0</t>
  </si>
  <si>
    <t>g_won22-dem0</t>
  </si>
  <si>
    <t>g_won23-dem0</t>
  </si>
  <si>
    <t>g_won24-dem0</t>
  </si>
  <si>
    <t>g_won25-gen6</t>
  </si>
  <si>
    <t>g_won26-gen6</t>
  </si>
  <si>
    <t>g_won27-gen6</t>
  </si>
  <si>
    <t>g_won28-gen6</t>
  </si>
  <si>
    <t>g_won29-gen6</t>
  </si>
  <si>
    <t>g_won3-dem0</t>
  </si>
  <si>
    <t>g_won30-gen6</t>
  </si>
  <si>
    <t>g_won31-dem8</t>
  </si>
  <si>
    <t>g_won32-dem8</t>
  </si>
  <si>
    <t>g_won33-dem8</t>
  </si>
  <si>
    <t>g_won34-gen6</t>
  </si>
  <si>
    <t>g_won35-dem0</t>
  </si>
  <si>
    <t>g_won36-gen6</t>
  </si>
  <si>
    <t>g_won37-gen6</t>
  </si>
  <si>
    <t>g_won38-dem0</t>
  </si>
  <si>
    <t>g_won39-gen1</t>
  </si>
  <si>
    <t>g_won4-gen5</t>
  </si>
  <si>
    <t>g_won40-gen6</t>
  </si>
  <si>
    <t>g_won41-dem5</t>
  </si>
  <si>
    <t>g_won42-dem5</t>
  </si>
  <si>
    <t>g_won43-gen6</t>
  </si>
  <si>
    <t>g_won44-gen6</t>
  </si>
  <si>
    <t>g_won45-gen3</t>
  </si>
  <si>
    <t>g_won46-gen3</t>
  </si>
  <si>
    <t>g_won47-dem7</t>
  </si>
  <si>
    <t>g_won47-gen0</t>
  </si>
  <si>
    <t>g_won48-dem7</t>
  </si>
  <si>
    <t>g_won49-gen3</t>
  </si>
  <si>
    <t>g_won5-dem0</t>
  </si>
  <si>
    <t>g_won50-dem9</t>
  </si>
  <si>
    <t>g_won51-dem9</t>
  </si>
  <si>
    <t>g_won52-dem9</t>
  </si>
  <si>
    <t>g_won53-dem9</t>
  </si>
  <si>
    <t>g_won54-gen3</t>
  </si>
  <si>
    <t>g_won55-dem4</t>
  </si>
  <si>
    <t>g_won56-gen3</t>
  </si>
  <si>
    <t>g_won57-dem3</t>
  </si>
  <si>
    <t>g_won58-dem3</t>
  </si>
  <si>
    <t>g_won59-dem7</t>
  </si>
  <si>
    <t>g_won6-dem0</t>
  </si>
  <si>
    <t>g_won60-dem7</t>
  </si>
  <si>
    <t>g_won61-gen4</t>
  </si>
  <si>
    <t>g_won62-dem7</t>
  </si>
  <si>
    <t>g_won63-gen0</t>
  </si>
  <si>
    <t>g_won64-dem3</t>
  </si>
  <si>
    <t>g_won65-dem3</t>
  </si>
  <si>
    <t>g_won66-gen0</t>
  </si>
  <si>
    <t>g_won67-gen0</t>
  </si>
  <si>
    <t>g_won68-dem1</t>
  </si>
  <si>
    <t>g_won69-dem1</t>
  </si>
  <si>
    <t>g_won7-gen1</t>
  </si>
  <si>
    <t>g_won70-dem6</t>
  </si>
  <si>
    <t>g_won71-gen2</t>
  </si>
  <si>
    <t>g_won72-dem6</t>
  </si>
  <si>
    <t>g_won73-gen2</t>
  </si>
  <si>
    <t>g_won74-dem1</t>
  </si>
  <si>
    <t>g_won75-dem1</t>
  </si>
  <si>
    <t>g_won76-gen7</t>
  </si>
  <si>
    <t>g_won77-gen7</t>
  </si>
  <si>
    <t>g_won78-gen7</t>
  </si>
  <si>
    <t>g_won79-dem2</t>
  </si>
  <si>
    <t>g_won79-dem9</t>
  </si>
  <si>
    <t>g_won79-gen9</t>
  </si>
  <si>
    <t>g_won8-gen1</t>
  </si>
  <si>
    <t>g_won80-gen7</t>
  </si>
  <si>
    <t>g_won81-dem2</t>
  </si>
  <si>
    <t>g_won82-dem2</t>
  </si>
  <si>
    <t>g_won82-dem9</t>
  </si>
  <si>
    <t>g_won83-dem9</t>
  </si>
  <si>
    <t>g_won84-gen6</t>
  </si>
  <si>
    <t>g_won85-gen6</t>
  </si>
  <si>
    <t>g_won86-gen6</t>
  </si>
  <si>
    <t>g_won87-gen5</t>
  </si>
  <si>
    <t>g_won88-gen5</t>
  </si>
  <si>
    <t>g_won89-gen5</t>
  </si>
  <si>
    <t>g_won9-gen1</t>
  </si>
  <si>
    <t>g_won90-gen5</t>
  </si>
  <si>
    <t>g_won91-gen5</t>
  </si>
  <si>
    <t>g_won92-gen5</t>
  </si>
  <si>
    <t>g_won93-gen5</t>
  </si>
  <si>
    <t>g_won94-gen5</t>
  </si>
  <si>
    <t>g_won95-gen6</t>
  </si>
  <si>
    <t>g_won96-gen6</t>
  </si>
  <si>
    <t>g_won97-gen5</t>
  </si>
  <si>
    <t>g_won98-gen4</t>
  </si>
  <si>
    <t>g_won99-gen4</t>
  </si>
  <si>
    <t>~tfm_ins-at</t>
  </si>
  <si>
    <t>commodity</t>
  </si>
  <si>
    <t>flo_mark</t>
  </si>
  <si>
    <t>lim_type</t>
  </si>
  <si>
    <t>e_demand_dem0</t>
  </si>
  <si>
    <t>elc_buildings,elc_transport,elc_industry,elc_roadtransport</t>
  </si>
  <si>
    <t>lo</t>
  </si>
  <si>
    <t>e_demand_dem1</t>
  </si>
  <si>
    <t>e_demand_dem2</t>
  </si>
  <si>
    <t>e_demand_dem3</t>
  </si>
  <si>
    <t>e_demand_dem4</t>
  </si>
  <si>
    <t>e_demand_dem5</t>
  </si>
  <si>
    <t>e_demand_dem6</t>
  </si>
  <si>
    <t>e_demand_dem7</t>
  </si>
  <si>
    <t>e_demand_dem8</t>
  </si>
  <si>
    <t>e_demand_dem9</t>
  </si>
  <si>
    <t>ev_battery_dem0</t>
  </si>
  <si>
    <t>ev_battery_dem1</t>
  </si>
  <si>
    <t>ev_battery_dem2</t>
  </si>
  <si>
    <t>ev_battery_dem3</t>
  </si>
  <si>
    <t>ev_battery_dem4</t>
  </si>
  <si>
    <t>ev_battery_dem5</t>
  </si>
  <si>
    <t>ev_battery_dem6</t>
  </si>
  <si>
    <t>ev_battery_dem7</t>
  </si>
  <si>
    <t>ev_battery_dem8</t>
  </si>
  <si>
    <t>ev_battery_dem9</t>
  </si>
  <si>
    <t>H2prd_Elc_PEM_dem0</t>
  </si>
  <si>
    <t>H2prd_Elc_PEM_dem1</t>
  </si>
  <si>
    <t>H2prd_Elc_PEM_dem2</t>
  </si>
  <si>
    <t>H2prd_Elc_PEM_dem3</t>
  </si>
  <si>
    <t>H2prd_Elc_PEM_dem4</t>
  </si>
  <si>
    <t>H2prd_Elc_PEM_dem5</t>
  </si>
  <si>
    <t>H2prd_Elc_PEM_dem6</t>
  </si>
  <si>
    <t>H2prd_Elc_PEM_dem7</t>
  </si>
  <si>
    <t>H2prd_Elc_PEM_dem8</t>
  </si>
  <si>
    <t>H2prd_Elc_PEM_dem9</t>
  </si>
  <si>
    <t>H2prd_Elc_ALK_dem0</t>
  </si>
  <si>
    <t>H2prd_Elc_ALK_dem1</t>
  </si>
  <si>
    <t>H2prd_Elc_ALK_dem2</t>
  </si>
  <si>
    <t>H2prd_Elc_ALK_dem3</t>
  </si>
  <si>
    <t>H2prd_Elc_ALK_dem4</t>
  </si>
  <si>
    <t>H2prd_Elc_ALK_dem5</t>
  </si>
  <si>
    <t>H2prd_Elc_ALK_dem6</t>
  </si>
  <si>
    <t>H2prd_Elc_ALK_dem7</t>
  </si>
  <si>
    <t>H2prd_Elc_ALK_dem8</t>
  </si>
  <si>
    <t>H2prd_Elc_ALK_dem9</t>
  </si>
  <si>
    <t>~tfm_topins</t>
  </si>
  <si>
    <t>io</t>
  </si>
  <si>
    <t>e_dem0</t>
  </si>
  <si>
    <t>IN</t>
  </si>
  <si>
    <t>e_dem1</t>
  </si>
  <si>
    <t>e_dem2</t>
  </si>
  <si>
    <t>e_dem3</t>
  </si>
  <si>
    <t>e_dem4</t>
  </si>
  <si>
    <t>e_dem5</t>
  </si>
  <si>
    <t>e_dem6</t>
  </si>
  <si>
    <t>e_dem7</t>
  </si>
  <si>
    <t>e_dem8</t>
  </si>
  <si>
    <t>e_dem9</t>
  </si>
  <si>
    <t>region</t>
  </si>
  <si>
    <t>Bioenergy + CCUS_gen9</t>
  </si>
  <si>
    <t>e_gen9</t>
  </si>
  <si>
    <t>OUT</t>
  </si>
  <si>
    <t>Bioenergy - Large scale unit_gen9</t>
  </si>
  <si>
    <t>CCGT_gen9</t>
  </si>
  <si>
    <t>CCGT + CCS_gen9</t>
  </si>
  <si>
    <t>Coal + CCS_gen9</t>
  </si>
  <si>
    <t>Gas turbine_gen9</t>
  </si>
  <si>
    <t>IGCC_gen9</t>
  </si>
  <si>
    <t>IGCC + CCS_gen9</t>
  </si>
  <si>
    <t>Nuclear large_gen9</t>
  </si>
  <si>
    <t>Oxyfuel + CCS_gen9</t>
  </si>
  <si>
    <t>Steam Coal - SUBCRITICAL_gen9</t>
  </si>
  <si>
    <t>Steam Coal - SUPERCRITICAL_gen9</t>
  </si>
  <si>
    <t>Steam Coal - ULTRASUPERCRITICAL_gen9</t>
  </si>
  <si>
    <t>Bioenergy + CCUS_gen3</t>
  </si>
  <si>
    <t>e_gen3</t>
  </si>
  <si>
    <t>Bioenergy - Large scale unit_gen3</t>
  </si>
  <si>
    <t>CCGT_gen3</t>
  </si>
  <si>
    <t>CCGT + CCS_gen3</t>
  </si>
  <si>
    <t>Coal + CCS_gen3</t>
  </si>
  <si>
    <t>Gas turbine_gen3</t>
  </si>
  <si>
    <t>IGCC_gen3</t>
  </si>
  <si>
    <t>IGCC + CCS_gen3</t>
  </si>
  <si>
    <t>Nuclear large_gen3</t>
  </si>
  <si>
    <t>Oxyfuel + CCS_gen3</t>
  </si>
  <si>
    <t>Steam Coal - SUBCRITICAL_gen3</t>
  </si>
  <si>
    <t>Steam Coal - SUPERCRITICAL_gen3</t>
  </si>
  <si>
    <t>Steam Coal - ULTRASUPERCRITICAL_gen3</t>
  </si>
  <si>
    <t>Bioenergy + CCUS_gen7</t>
  </si>
  <si>
    <t>e_gen7</t>
  </si>
  <si>
    <t>Bioenergy - Large scale unit_gen7</t>
  </si>
  <si>
    <t>CCGT_gen7</t>
  </si>
  <si>
    <t>CCGT + CCS_gen7</t>
  </si>
  <si>
    <t>Coal + CCS_gen7</t>
  </si>
  <si>
    <t>Gas turbine_gen7</t>
  </si>
  <si>
    <t>IGCC_gen7</t>
  </si>
  <si>
    <t>IGCC + CCS_gen7</t>
  </si>
  <si>
    <t>Nuclear large_gen7</t>
  </si>
  <si>
    <t>Oxyfuel + CCS_gen7</t>
  </si>
  <si>
    <t>Steam Coal - SUBCRITICAL_gen7</t>
  </si>
  <si>
    <t>Steam Coal - SUPERCRITICAL_gen7</t>
  </si>
  <si>
    <t>Steam Coal - ULTRASUPERCRITICAL_gen7</t>
  </si>
  <si>
    <t>Bioenergy + CCUS_gen0</t>
  </si>
  <si>
    <t>e_gen0</t>
  </si>
  <si>
    <t>Bioenergy - Large scale unit_gen0</t>
  </si>
  <si>
    <t>CCGT_gen0</t>
  </si>
  <si>
    <t>CCGT + CCS_gen0</t>
  </si>
  <si>
    <t>Coal + CCS_gen0</t>
  </si>
  <si>
    <t>Gas turbine_gen0</t>
  </si>
  <si>
    <t>IGCC_gen0</t>
  </si>
  <si>
    <t>IGCC + CCS_gen0</t>
  </si>
  <si>
    <t>Nuclear large_gen0</t>
  </si>
  <si>
    <t>Oxyfuel + CCS_gen0</t>
  </si>
  <si>
    <t>Steam Coal - SUBCRITICAL_gen0</t>
  </si>
  <si>
    <t>Steam Coal - SUPERCRITICAL_gen0</t>
  </si>
  <si>
    <t>Steam Coal - ULTRASUPERCRITICAL_gen0</t>
  </si>
  <si>
    <t>Bioenergy + CCUS_gen6</t>
  </si>
  <si>
    <t>e_gen6</t>
  </si>
  <si>
    <t>Bioenergy - Large scale unit_gen6</t>
  </si>
  <si>
    <t>CCGT_gen6</t>
  </si>
  <si>
    <t>CCGT + CCS_gen6</t>
  </si>
  <si>
    <t>Coal + CCS_gen6</t>
  </si>
  <si>
    <t>Gas turbine_gen6</t>
  </si>
  <si>
    <t>IGCC_gen6</t>
  </si>
  <si>
    <t>IGCC + CCS_gen6</t>
  </si>
  <si>
    <t>Nuclear large_gen6</t>
  </si>
  <si>
    <t>Oxyfuel + CCS_gen6</t>
  </si>
  <si>
    <t>Steam Coal - SUBCRITICAL_gen6</t>
  </si>
  <si>
    <t>Steam Coal - SUPERCRITICAL_gen6</t>
  </si>
  <si>
    <t>Steam Coal - ULTRASUPERCRITICAL_gen6</t>
  </si>
  <si>
    <t>Bioenergy + CCUS_gen8</t>
  </si>
  <si>
    <t>e_gen8</t>
  </si>
  <si>
    <t>Bioenergy - Large scale unit_gen8</t>
  </si>
  <si>
    <t>CCGT_gen8</t>
  </si>
  <si>
    <t>CCGT + CCS_gen8</t>
  </si>
  <si>
    <t>Coal + CCS_gen8</t>
  </si>
  <si>
    <t>Gas turbine_gen8</t>
  </si>
  <si>
    <t>IGCC_gen8</t>
  </si>
  <si>
    <t>IGCC + CCS_gen8</t>
  </si>
  <si>
    <t>Nuclear large_gen8</t>
  </si>
  <si>
    <t>Oxyfuel + CCS_gen8</t>
  </si>
  <si>
    <t>Steam Coal - SUBCRITICAL_gen8</t>
  </si>
  <si>
    <t>Steam Coal - SUPERCRITICAL_gen8</t>
  </si>
  <si>
    <t>Steam Coal - ULTRASUPERCRITICAL_gen8</t>
  </si>
  <si>
    <t>Bioenergy + CCUS_gen4</t>
  </si>
  <si>
    <t>e_gen4</t>
  </si>
  <si>
    <t>Bioenergy - Large scale unit_gen4</t>
  </si>
  <si>
    <t>CCGT_gen4</t>
  </si>
  <si>
    <t>CCGT + CCS_gen4</t>
  </si>
  <si>
    <t>Coal + CCS_gen4</t>
  </si>
  <si>
    <t>Gas turbine_gen4</t>
  </si>
  <si>
    <t>IGCC_gen4</t>
  </si>
  <si>
    <t>IGCC + CCS_gen4</t>
  </si>
  <si>
    <t>Nuclear large_gen4</t>
  </si>
  <si>
    <t>Oxyfuel + CCS_gen4</t>
  </si>
  <si>
    <t>Steam Coal - SUBCRITICAL_gen4</t>
  </si>
  <si>
    <t>Steam Coal - SUPERCRITICAL_gen4</t>
  </si>
  <si>
    <t>Steam Coal - ULTRASUPERCRITICAL_gen4</t>
  </si>
  <si>
    <t>Bioenergy + CCUS_gen1</t>
  </si>
  <si>
    <t>e_gen1</t>
  </si>
  <si>
    <t>Bioenergy - Large scale unit_gen1</t>
  </si>
  <si>
    <t>CCGT_gen1</t>
  </si>
  <si>
    <t>CCGT + CCS_gen1</t>
  </si>
  <si>
    <t>Coal + CCS_gen1</t>
  </si>
  <si>
    <t>Gas turbine_gen1</t>
  </si>
  <si>
    <t>IGCC_gen1</t>
  </si>
  <si>
    <t>IGCC + CCS_gen1</t>
  </si>
  <si>
    <t>Nuclear large_gen1</t>
  </si>
  <si>
    <t>Oxyfuel + CCS_gen1</t>
  </si>
  <si>
    <t>Steam Coal - SUBCRITICAL_gen1</t>
  </si>
  <si>
    <t>Steam Coal - SUPERCRITICAL_gen1</t>
  </si>
  <si>
    <t>Steam Coal - ULTRASUPERCRITICAL_gen1</t>
  </si>
  <si>
    <t>Bioenergy + CCUS_gen2</t>
  </si>
  <si>
    <t>e_gen2</t>
  </si>
  <si>
    <t>Bioenergy - Large scale unit_gen2</t>
  </si>
  <si>
    <t>CCGT_gen2</t>
  </si>
  <si>
    <t>CCGT + CCS_gen2</t>
  </si>
  <si>
    <t>Coal + CCS_gen2</t>
  </si>
  <si>
    <t>Gas turbine_gen2</t>
  </si>
  <si>
    <t>IGCC_gen2</t>
  </si>
  <si>
    <t>IGCC + CCS_gen2</t>
  </si>
  <si>
    <t>Nuclear large_gen2</t>
  </si>
  <si>
    <t>Oxyfuel + CCS_gen2</t>
  </si>
  <si>
    <t>Steam Coal - SUBCRITICAL_gen2</t>
  </si>
  <si>
    <t>Steam Coal - SUPERCRITICAL_gen2</t>
  </si>
  <si>
    <t>Steam Coal - ULTRASUPERCRITICAL_gen2</t>
  </si>
  <si>
    <t>Bioenergy + CCUS_gen5</t>
  </si>
  <si>
    <t>e_gen5</t>
  </si>
  <si>
    <t>Bioenergy - Large scale unit_gen5</t>
  </si>
  <si>
    <t>CCGT_gen5</t>
  </si>
  <si>
    <t>CCGT + CCS_gen5</t>
  </si>
  <si>
    <t>Coal + CCS_gen5</t>
  </si>
  <si>
    <t>Gas turbine_gen5</t>
  </si>
  <si>
    <t>IGCC_gen5</t>
  </si>
  <si>
    <t>IGCC + CCS_gen5</t>
  </si>
  <si>
    <t>Nuclear large_gen5</t>
  </si>
  <si>
    <t>Oxyfuel + CCS_gen5</t>
  </si>
  <si>
    <t>Steam Coal - SUBCRITICAL_gen5</t>
  </si>
  <si>
    <t>Steam Coal - SUPERCRITICAL_gen5</t>
  </si>
  <si>
    <t>Steam Coal - ULTRASUPERCRITICAL_gen5</t>
  </si>
  <si>
    <t>EN_Hydro_USA-1_gen2</t>
  </si>
  <si>
    <t>EN_Hydro_USA-2_gen2</t>
  </si>
  <si>
    <t>EN_Hydro_USA-3_gen2</t>
  </si>
  <si>
    <t>EN_Hydro_USA-1_gen7</t>
  </si>
  <si>
    <t>EN_Hydro_USA-2_gen7</t>
  </si>
  <si>
    <t>EN_Hydro_USA-3_gen7</t>
  </si>
  <si>
    <t>EN_Hydro_USA-1_gen6</t>
  </si>
  <si>
    <t>EN_Hydro_USA-2_gen6</t>
  </si>
  <si>
    <t>EN_Hydro_USA-3_gen6</t>
  </si>
  <si>
    <t>EN_Hydro_USA-1_gen4</t>
  </si>
  <si>
    <t>EN_Hydro_USA-2_gen4</t>
  </si>
  <si>
    <t>EN_Hydro_USA-3_gen4</t>
  </si>
  <si>
    <t>EN_Hydro_USA-1_gen5</t>
  </si>
  <si>
    <t>EN_Hydro_USA-2_gen5</t>
  </si>
  <si>
    <t>EN_Hydro_USA-3_gen5</t>
  </si>
  <si>
    <t>EN_Hydro_USA-1_gen1</t>
  </si>
  <si>
    <t>EN_Hydro_USA-2_gen1</t>
  </si>
  <si>
    <t>EN_Hydro_USA-3_gen1</t>
  </si>
  <si>
    <t>EN_Hydro_USA-1_gen3</t>
  </si>
  <si>
    <t>EN_Hydro_USA-2_gen3</t>
  </si>
  <si>
    <t>EN_Hydro_USA-3_gen3</t>
  </si>
  <si>
    <t>EN_Hydro_USA-1_gen9</t>
  </si>
  <si>
    <t>EN_Hydro_USA-2_gen9</t>
  </si>
  <si>
    <t>EN_Hydro_USA-3_gen9</t>
  </si>
  <si>
    <t>EN_Hydro_USA-1_gen0</t>
  </si>
  <si>
    <t>EN_Hydro_USA-2_gen0</t>
  </si>
  <si>
    <t>EN_Hydro_USA-3_gen0</t>
  </si>
  <si>
    <t>EN_Hydro_USA-1_gen8</t>
  </si>
  <si>
    <t>EN_Hydro_USA-2_gen8</t>
  </si>
  <si>
    <t>EN_Hydro_USA-3_gen8</t>
  </si>
  <si>
    <t>EN_STG8hbNREL_gen9</t>
  </si>
  <si>
    <t>EN_STG4hbNREL_gen9</t>
  </si>
  <si>
    <t>EN_STG8hbNREL_gen3</t>
  </si>
  <si>
    <t>EN_STG4hbNREL_gen3</t>
  </si>
  <si>
    <t>EN_STG8hbNREL_gen7</t>
  </si>
  <si>
    <t>EN_STG4hbNREL_gen7</t>
  </si>
  <si>
    <t>EN_STG8hbNREL_gen0</t>
  </si>
  <si>
    <t>EN_STG4hbNREL_gen0</t>
  </si>
  <si>
    <t>EN_STG8hbNREL_gen6</t>
  </si>
  <si>
    <t>EN_STG4hbNREL_gen6</t>
  </si>
  <si>
    <t>EN_STG8hbNREL_gen8</t>
  </si>
  <si>
    <t>EN_STG4hbNREL_gen8</t>
  </si>
  <si>
    <t>EN_STG8hbNREL_gen4</t>
  </si>
  <si>
    <t>EN_STG4hbNREL_gen4</t>
  </si>
  <si>
    <t>EN_STG8hbNREL_gen1</t>
  </si>
  <si>
    <t>EN_STG4hbNREL_gen1</t>
  </si>
  <si>
    <t>EN_STG8hbNREL_gen2</t>
  </si>
  <si>
    <t>EN_STG4hbNREL_gen2</t>
  </si>
  <si>
    <t>EN_STG8hbNREL_gen5</t>
  </si>
  <si>
    <t>EN_STG4hbNREL_gen5</t>
  </si>
  <si>
    <t>ELC</t>
  </si>
  <si>
    <t>limtype</t>
  </si>
  <si>
    <t>UP</t>
  </si>
  <si>
    <t>flo_bnd</t>
  </si>
  <si>
    <t>stgout_bnd</t>
  </si>
  <si>
    <t>year</t>
  </si>
  <si>
    <t>pset_set</t>
  </si>
  <si>
    <t>ELE,DMD,PRE</t>
  </si>
  <si>
    <t>STG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</si>
</sst>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x14ac:knownFonts="1">
    <font>
      <sz val="11"/>
      <color theme="1"/>
      <name val="Aptos Narrow"/>
      <family val="2"/>
      <scheme val="minor"/>
    </font>
    <font>
      <sz val="11"/>
      <color theme="1"/>
      <name val="Aptos Narrow"/>
      <family val="2"/>
      <scheme val="minor"/>
    </font>
    <font>
      <sz val="9"/>
      <color indexed="81"/>
      <name val="Tahoma"/>
      <charset val="1"/>
    </font>
    <font>
      <b/>
      <sz val="9"/>
      <color indexed="81"/>
      <name val="Tahoma"/>
      <charset val="1"/>
    </font>
    <font>
      <b/>
      <sz val="11"/>
      <name val="Aptos Narrow"/>
      <family val="2"/>
    </font>
    <font>
      <b/>
      <sz val="11"/>
      <color theme="3"/>
      <name val="Aptos Narrow"/>
      <family val="2"/>
      <scheme val="minor"/>
    </font>
    <font>
      <b/>
      <sz val="11"/>
      <color theme="0" tint="-0.14999847407452621"/>
      <name val="Aptos Narrow"/>
      <family val="2"/>
      <scheme val="minor"/>
    </font>
    <font>
      <sz val="11"/>
      <color rgb="FF9C5700"/>
      <name val="Aptos Narrow"/>
      <family val="2"/>
      <scheme val="minor"/>
    </font>
    <font>
      <b/>
      <i/>
      <sz val="11"/>
      <color theme="1"/>
      <name val="Aptos Narrow"/>
      <family val="2"/>
      <scheme val="minor"/>
    </font>
  </fonts>
  <fills count="5">
    <fill>
      <patternFill patternType="none"/>
    </fill>
    <fill>
      <patternFill patternType="gray125"/>
    </fill>
    <fill>
      <patternFill patternType="solid">
        <fgColor rgb="FFDCE6F1"/>
        <bgColor rgb="FFDCE6F1"/>
      </patternFill>
    </fill>
    <fill>
      <patternFill patternType="solid">
        <fgColor rgb="FFFFFF00"/>
        <bgColor indexed="64"/>
      </patternFill>
    </fill>
    <fill>
      <patternFill patternType="solid">
        <fgColor rgb="FFFFEB9C"/>
      </patternFill>
    </fill>
  </fills>
  <borders count="3">
    <border>
      <left/>
      <right/>
      <top/>
      <bottom/>
      <diagonal/>
    </border>
    <border>
      <left/>
      <right/>
      <top/>
      <bottom style="thick">
        <color theme="4" tint="0.499984740745262"/>
      </bottom>
      <diagonal/>
    </border>
    <border>
      <left/>
      <right/>
      <top/>
      <bottom style="medium">
        <color theme="4" tint="0.39997558519241921"/>
      </bottom>
      <diagonal/>
    </border>
  </borders>
  <cellStyleXfs count="5">
    <xf numFmtId="0" fontId="0" fillId="0" borderId="0"/>
    <xf numFmtId="9" fontId="1" fillId="0" borderId="0"/>
    <xf numFmtId="0" fontId="5" fillId="0" borderId="2" applyNumberFormat="0" applyFill="0" applyAlignment="0" applyProtection="0"/>
    <xf numFmtId="0" fontId="5" fillId="0" borderId="0" applyNumberFormat="0" applyFill="0" applyBorder="0" applyAlignment="0" applyProtection="0"/>
    <xf numFmtId="0" fontId="7" fillId="4" borderId="0" applyNumberFormat="0" applyBorder="0" applyAlignment="0" applyProtection="0"/>
  </cellStyleXfs>
  <cellXfs count="13">
    <xf numFmtId="0" fontId="0" fillId="0" borderId="0" xfId="0"/>
    <xf numFmtId="0" fontId="0" fillId="0" borderId="0" xfId="0" quotePrefix="1"/>
    <xf numFmtId="2" fontId="0" fillId="0" borderId="0" xfId="0" applyNumberFormat="1"/>
    <xf numFmtId="164" fontId="0" fillId="0" borderId="0" xfId="0" applyNumberFormat="1"/>
    <xf numFmtId="164" fontId="1" fillId="0" borderId="0" xfId="1" applyNumberFormat="1"/>
    <xf numFmtId="9" fontId="1" fillId="0" borderId="0" xfId="1"/>
    <xf numFmtId="0" fontId="4" fillId="2" borderId="0" xfId="0" applyFont="1" applyFill="1"/>
    <xf numFmtId="0" fontId="0" fillId="3" borderId="0" xfId="0" applyFill="1"/>
    <xf numFmtId="0" fontId="5" fillId="0" borderId="2" xfId="2"/>
    <xf numFmtId="0" fontId="6" fillId="0" borderId="1" xfId="3" applyFont="1" applyBorder="1"/>
    <xf numFmtId="0" fontId="8" fillId="0" borderId="0" xfId="0" applyFont="1"/>
    <xf numFmtId="0" fontId="7" fillId="4" borderId="0" xfId="4"/>
    <xf numFmtId="14" fontId="0" fillId="0" borderId="0" xfId="0" applyNumberFormat="1"/>
  </cellXfs>
  <cellStyles count="5">
    <cellStyle name="Heading 3" xfId="2" builtinId="18"/>
    <cellStyle name="Heading 4" xfId="3" builtinId="19"/>
    <cellStyle name="Neutral" xfId="4" builtinId="2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3CCE61-E6D0-4CA9-9687-ADFFD1610328}">
  <dimension ref="B2:AF326"/>
  <sheetViews>
    <sheetView tabSelected="1" workbookViewId="0"/>
  </sheetViews>
  <sheetFormatPr defaultRowHeight="14.25" x14ac:dyDescent="0.45"/>
  <sheetData>
    <row r="2" spans="2:32" x14ac:dyDescent="0.45">
      <c r="B2" t="s">
        <v>0</v>
      </c>
      <c r="H2" t="s">
        <v>451</v>
      </c>
      <c r="P2" t="s">
        <v>497</v>
      </c>
      <c r="U2" t="s">
        <v>497</v>
      </c>
    </row>
    <row r="3" spans="2:32" x14ac:dyDescent="0.45">
      <c r="B3" t="s">
        <v>3</v>
      </c>
      <c r="C3" t="s">
        <v>131</v>
      </c>
      <c r="D3" t="s">
        <v>132</v>
      </c>
      <c r="E3" t="s">
        <v>133</v>
      </c>
      <c r="H3" t="s">
        <v>3</v>
      </c>
      <c r="I3" t="s">
        <v>452</v>
      </c>
      <c r="J3" t="s">
        <v>453</v>
      </c>
      <c r="K3" t="s">
        <v>454</v>
      </c>
      <c r="L3" t="s">
        <v>14</v>
      </c>
      <c r="P3" t="s">
        <v>3</v>
      </c>
      <c r="Q3" t="s">
        <v>452</v>
      </c>
      <c r="R3" t="s">
        <v>498</v>
      </c>
      <c r="U3" t="s">
        <v>510</v>
      </c>
      <c r="V3" t="s">
        <v>3</v>
      </c>
      <c r="W3" t="s">
        <v>452</v>
      </c>
      <c r="X3" t="s">
        <v>498</v>
      </c>
      <c r="AA3" t="s">
        <v>451</v>
      </c>
    </row>
    <row r="4" spans="2:32" x14ac:dyDescent="0.45">
      <c r="B4" t="s">
        <v>134</v>
      </c>
      <c r="C4">
        <v>0</v>
      </c>
      <c r="D4">
        <v>683.1</v>
      </c>
      <c r="E4">
        <v>0.96274000000000004</v>
      </c>
      <c r="H4" t="s">
        <v>455</v>
      </c>
      <c r="I4" t="s">
        <v>456</v>
      </c>
      <c r="J4">
        <v>6.3606112915009297E-2</v>
      </c>
      <c r="K4" t="s">
        <v>457</v>
      </c>
      <c r="L4" t="s">
        <v>456</v>
      </c>
      <c r="P4" t="s">
        <v>455</v>
      </c>
      <c r="Q4" t="s">
        <v>499</v>
      </c>
      <c r="R4" t="s">
        <v>500</v>
      </c>
      <c r="U4" t="s">
        <v>77</v>
      </c>
      <c r="V4" t="s">
        <v>511</v>
      </c>
      <c r="W4" t="s">
        <v>512</v>
      </c>
      <c r="X4" t="s">
        <v>513</v>
      </c>
      <c r="AA4" t="s">
        <v>452</v>
      </c>
      <c r="AB4" t="s">
        <v>703</v>
      </c>
      <c r="AC4" t="s">
        <v>705</v>
      </c>
      <c r="AD4" t="s">
        <v>706</v>
      </c>
      <c r="AE4" t="s">
        <v>707</v>
      </c>
      <c r="AF4" t="s">
        <v>708</v>
      </c>
    </row>
    <row r="5" spans="2:32" x14ac:dyDescent="0.45">
      <c r="B5" t="s">
        <v>135</v>
      </c>
      <c r="C5">
        <v>0</v>
      </c>
      <c r="D5">
        <v>544.5</v>
      </c>
      <c r="E5">
        <v>0.97030000000000005</v>
      </c>
      <c r="H5" t="s">
        <v>458</v>
      </c>
      <c r="I5" t="s">
        <v>456</v>
      </c>
      <c r="J5">
        <v>0.10755115886555938</v>
      </c>
      <c r="K5" t="s">
        <v>457</v>
      </c>
      <c r="L5" t="s">
        <v>456</v>
      </c>
      <c r="P5" t="s">
        <v>458</v>
      </c>
      <c r="Q5" t="s">
        <v>501</v>
      </c>
      <c r="R5" t="s">
        <v>500</v>
      </c>
      <c r="U5" t="s">
        <v>77</v>
      </c>
      <c r="V5" t="s">
        <v>514</v>
      </c>
      <c r="W5" t="s">
        <v>512</v>
      </c>
      <c r="X5" t="s">
        <v>513</v>
      </c>
      <c r="AA5" t="s">
        <v>702</v>
      </c>
      <c r="AB5" t="s">
        <v>704</v>
      </c>
      <c r="AC5">
        <v>2</v>
      </c>
      <c r="AE5">
        <v>0</v>
      </c>
      <c r="AF5" t="s">
        <v>709</v>
      </c>
    </row>
    <row r="6" spans="2:32" x14ac:dyDescent="0.45">
      <c r="B6" t="s">
        <v>136</v>
      </c>
      <c r="C6">
        <v>0</v>
      </c>
      <c r="D6">
        <v>1028.5</v>
      </c>
      <c r="E6">
        <v>0.94389999999999996</v>
      </c>
      <c r="H6" t="s">
        <v>459</v>
      </c>
      <c r="I6" t="s">
        <v>456</v>
      </c>
      <c r="J6">
        <v>7.7637536269636834E-2</v>
      </c>
      <c r="K6" t="s">
        <v>457</v>
      </c>
      <c r="L6" t="s">
        <v>456</v>
      </c>
      <c r="P6" t="s">
        <v>459</v>
      </c>
      <c r="Q6" t="s">
        <v>502</v>
      </c>
      <c r="R6" t="s">
        <v>500</v>
      </c>
      <c r="U6" t="s">
        <v>77</v>
      </c>
      <c r="V6" t="s">
        <v>515</v>
      </c>
      <c r="W6" t="s">
        <v>512</v>
      </c>
      <c r="X6" t="s">
        <v>513</v>
      </c>
      <c r="AA6" t="s">
        <v>702</v>
      </c>
      <c r="AB6" t="s">
        <v>704</v>
      </c>
      <c r="AD6">
        <v>2</v>
      </c>
      <c r="AE6">
        <v>0</v>
      </c>
      <c r="AF6" t="s">
        <v>710</v>
      </c>
    </row>
    <row r="7" spans="2:32" x14ac:dyDescent="0.45">
      <c r="B7" t="s">
        <v>137</v>
      </c>
      <c r="C7">
        <v>22.226152276695917</v>
      </c>
      <c r="D7">
        <v>90.2</v>
      </c>
      <c r="E7">
        <v>0.99507999999999996</v>
      </c>
      <c r="H7" t="s">
        <v>460</v>
      </c>
      <c r="I7" t="s">
        <v>456</v>
      </c>
      <c r="J7">
        <v>0.11400372111851667</v>
      </c>
      <c r="K7" t="s">
        <v>457</v>
      </c>
      <c r="L7" t="s">
        <v>456</v>
      </c>
      <c r="P7" t="s">
        <v>460</v>
      </c>
      <c r="Q7" t="s">
        <v>503</v>
      </c>
      <c r="R7" t="s">
        <v>500</v>
      </c>
      <c r="U7" t="s">
        <v>77</v>
      </c>
      <c r="V7" t="s">
        <v>516</v>
      </c>
      <c r="W7" t="s">
        <v>512</v>
      </c>
      <c r="X7" t="s">
        <v>513</v>
      </c>
    </row>
    <row r="8" spans="2:32" x14ac:dyDescent="0.45">
      <c r="B8" t="s">
        <v>138</v>
      </c>
      <c r="C8">
        <v>5.7813690893139658</v>
      </c>
      <c r="D8">
        <v>616</v>
      </c>
      <c r="E8">
        <v>0.96640000000000004</v>
      </c>
      <c r="H8" t="s">
        <v>461</v>
      </c>
      <c r="I8" t="s">
        <v>456</v>
      </c>
      <c r="J8">
        <v>9.7903894721198439E-2</v>
      </c>
      <c r="K8" t="s">
        <v>457</v>
      </c>
      <c r="L8" t="s">
        <v>456</v>
      </c>
      <c r="P8" t="s">
        <v>461</v>
      </c>
      <c r="Q8" t="s">
        <v>504</v>
      </c>
      <c r="R8" t="s">
        <v>500</v>
      </c>
      <c r="U8" t="s">
        <v>77</v>
      </c>
      <c r="V8" t="s">
        <v>517</v>
      </c>
      <c r="W8" t="s">
        <v>512</v>
      </c>
      <c r="X8" t="s">
        <v>513</v>
      </c>
    </row>
    <row r="9" spans="2:32" x14ac:dyDescent="0.45">
      <c r="B9" t="s">
        <v>139</v>
      </c>
      <c r="C9">
        <v>12.3559308459541</v>
      </c>
      <c r="D9">
        <v>844.80000000000007</v>
      </c>
      <c r="E9">
        <v>0.95391999999999999</v>
      </c>
      <c r="H9" t="s">
        <v>462</v>
      </c>
      <c r="I9" t="s">
        <v>456</v>
      </c>
      <c r="J9">
        <v>0.15773861615742607</v>
      </c>
      <c r="K9" t="s">
        <v>457</v>
      </c>
      <c r="L9" t="s">
        <v>456</v>
      </c>
      <c r="P9" t="s">
        <v>462</v>
      </c>
      <c r="Q9" t="s">
        <v>505</v>
      </c>
      <c r="R9" t="s">
        <v>500</v>
      </c>
      <c r="U9" t="s">
        <v>77</v>
      </c>
      <c r="V9" t="s">
        <v>518</v>
      </c>
      <c r="W9" t="s">
        <v>512</v>
      </c>
      <c r="X9" t="s">
        <v>513</v>
      </c>
    </row>
    <row r="10" spans="2:32" x14ac:dyDescent="0.45">
      <c r="B10" t="s">
        <v>140</v>
      </c>
      <c r="C10">
        <v>31.013833292453143</v>
      </c>
      <c r="D10">
        <v>227.70000000000002</v>
      </c>
      <c r="E10">
        <v>0.98758000000000001</v>
      </c>
      <c r="H10" t="s">
        <v>463</v>
      </c>
      <c r="I10" t="s">
        <v>456</v>
      </c>
      <c r="J10">
        <v>0.20235618187995236</v>
      </c>
      <c r="K10" t="s">
        <v>457</v>
      </c>
      <c r="L10" t="s">
        <v>456</v>
      </c>
      <c r="P10" t="s">
        <v>463</v>
      </c>
      <c r="Q10" t="s">
        <v>506</v>
      </c>
      <c r="R10" t="s">
        <v>500</v>
      </c>
      <c r="U10" t="s">
        <v>77</v>
      </c>
      <c r="V10" t="s">
        <v>519</v>
      </c>
      <c r="W10" t="s">
        <v>512</v>
      </c>
      <c r="X10" t="s">
        <v>513</v>
      </c>
    </row>
    <row r="11" spans="2:32" x14ac:dyDescent="0.45">
      <c r="B11" t="s">
        <v>141</v>
      </c>
      <c r="C11">
        <v>82.402663580250845</v>
      </c>
      <c r="D11">
        <v>48.400000000000006</v>
      </c>
      <c r="E11">
        <v>0.99736000000000002</v>
      </c>
      <c r="H11" t="s">
        <v>464</v>
      </c>
      <c r="I11" t="s">
        <v>456</v>
      </c>
      <c r="J11">
        <v>5.292327046204523E-2</v>
      </c>
      <c r="K11" t="s">
        <v>457</v>
      </c>
      <c r="L11" t="s">
        <v>456</v>
      </c>
      <c r="P11" t="s">
        <v>464</v>
      </c>
      <c r="Q11" t="s">
        <v>507</v>
      </c>
      <c r="R11" t="s">
        <v>500</v>
      </c>
      <c r="U11" t="s">
        <v>77</v>
      </c>
      <c r="V11" t="s">
        <v>520</v>
      </c>
      <c r="W11" t="s">
        <v>512</v>
      </c>
      <c r="X11" t="s">
        <v>513</v>
      </c>
    </row>
    <row r="12" spans="2:32" x14ac:dyDescent="0.45">
      <c r="B12" t="s">
        <v>141</v>
      </c>
      <c r="C12">
        <v>0</v>
      </c>
      <c r="D12">
        <v>48.400000000000006</v>
      </c>
      <c r="E12">
        <v>0.99736000000000002</v>
      </c>
      <c r="H12" t="s">
        <v>465</v>
      </c>
      <c r="I12" t="s">
        <v>456</v>
      </c>
      <c r="J12">
        <v>4.0444676228077257E-2</v>
      </c>
      <c r="K12" t="s">
        <v>457</v>
      </c>
      <c r="L12" t="s">
        <v>456</v>
      </c>
      <c r="P12" t="s">
        <v>465</v>
      </c>
      <c r="Q12" t="s">
        <v>508</v>
      </c>
      <c r="R12" t="s">
        <v>500</v>
      </c>
      <c r="U12" t="s">
        <v>77</v>
      </c>
      <c r="V12" t="s">
        <v>521</v>
      </c>
      <c r="W12" t="s">
        <v>512</v>
      </c>
      <c r="X12" t="s">
        <v>513</v>
      </c>
    </row>
    <row r="13" spans="2:32" x14ac:dyDescent="0.45">
      <c r="B13" t="s">
        <v>142</v>
      </c>
      <c r="C13">
        <v>14.433872199794482</v>
      </c>
      <c r="D13">
        <v>195.8</v>
      </c>
      <c r="E13">
        <v>0.98931999999999998</v>
      </c>
      <c r="H13" t="s">
        <v>466</v>
      </c>
      <c r="I13" t="s">
        <v>456</v>
      </c>
      <c r="J13">
        <v>6.5834831382577952E-2</v>
      </c>
      <c r="K13" t="s">
        <v>457</v>
      </c>
      <c r="L13" t="s">
        <v>456</v>
      </c>
      <c r="P13" t="s">
        <v>466</v>
      </c>
      <c r="Q13" t="s">
        <v>509</v>
      </c>
      <c r="R13" t="s">
        <v>500</v>
      </c>
      <c r="U13" t="s">
        <v>77</v>
      </c>
      <c r="V13" t="s">
        <v>522</v>
      </c>
      <c r="W13" t="s">
        <v>512</v>
      </c>
      <c r="X13" t="s">
        <v>513</v>
      </c>
    </row>
    <row r="14" spans="2:32" x14ac:dyDescent="0.45">
      <c r="B14" t="s">
        <v>143</v>
      </c>
      <c r="C14">
        <v>4.8820450087540159</v>
      </c>
      <c r="D14">
        <v>239.8</v>
      </c>
      <c r="E14">
        <v>0.98692000000000002</v>
      </c>
      <c r="H14" t="s">
        <v>467</v>
      </c>
      <c r="I14" t="s">
        <v>456</v>
      </c>
      <c r="J14">
        <v>6.3606112915009297E-2</v>
      </c>
      <c r="K14" t="s">
        <v>457</v>
      </c>
      <c r="L14" t="s">
        <v>456</v>
      </c>
      <c r="P14" t="s">
        <v>467</v>
      </c>
      <c r="Q14" t="s">
        <v>499</v>
      </c>
      <c r="R14" t="s">
        <v>500</v>
      </c>
      <c r="U14" t="s">
        <v>77</v>
      </c>
      <c r="V14" t="s">
        <v>523</v>
      </c>
      <c r="W14" t="s">
        <v>512</v>
      </c>
      <c r="X14" t="s">
        <v>513</v>
      </c>
    </row>
    <row r="15" spans="2:32" x14ac:dyDescent="0.45">
      <c r="B15" t="s">
        <v>144</v>
      </c>
      <c r="C15">
        <v>19.243300978441173</v>
      </c>
      <c r="D15">
        <v>181.50000000000003</v>
      </c>
      <c r="E15">
        <v>0.99009999999999998</v>
      </c>
      <c r="H15" t="s">
        <v>468</v>
      </c>
      <c r="I15" t="s">
        <v>456</v>
      </c>
      <c r="J15">
        <v>0.10755115886555938</v>
      </c>
      <c r="K15" t="s">
        <v>457</v>
      </c>
      <c r="L15" t="s">
        <v>456</v>
      </c>
      <c r="P15" t="s">
        <v>468</v>
      </c>
      <c r="Q15" t="s">
        <v>501</v>
      </c>
      <c r="R15" t="s">
        <v>500</v>
      </c>
      <c r="U15" t="s">
        <v>77</v>
      </c>
      <c r="V15" t="s">
        <v>524</v>
      </c>
      <c r="W15" t="s">
        <v>512</v>
      </c>
      <c r="X15" t="s">
        <v>513</v>
      </c>
    </row>
    <row r="16" spans="2:32" x14ac:dyDescent="0.45">
      <c r="B16" t="s">
        <v>145</v>
      </c>
      <c r="C16">
        <v>2.5694973730284296</v>
      </c>
      <c r="D16">
        <v>183.70000000000002</v>
      </c>
      <c r="E16">
        <v>0.98997999999999997</v>
      </c>
      <c r="H16" t="s">
        <v>469</v>
      </c>
      <c r="I16" t="s">
        <v>456</v>
      </c>
      <c r="J16">
        <v>7.7637536269636834E-2</v>
      </c>
      <c r="K16" t="s">
        <v>457</v>
      </c>
      <c r="L16" t="s">
        <v>456</v>
      </c>
      <c r="P16" t="s">
        <v>469</v>
      </c>
      <c r="Q16" t="s">
        <v>502</v>
      </c>
      <c r="R16" t="s">
        <v>500</v>
      </c>
      <c r="U16" t="s">
        <v>77</v>
      </c>
      <c r="V16" t="s">
        <v>525</v>
      </c>
      <c r="W16" t="s">
        <v>512</v>
      </c>
      <c r="X16" t="s">
        <v>513</v>
      </c>
    </row>
    <row r="17" spans="2:24" x14ac:dyDescent="0.45">
      <c r="B17" t="s">
        <v>145</v>
      </c>
      <c r="C17">
        <v>0</v>
      </c>
      <c r="D17">
        <v>183.70000000000002</v>
      </c>
      <c r="E17">
        <v>0.98997999999999997</v>
      </c>
      <c r="H17" t="s">
        <v>470</v>
      </c>
      <c r="I17" t="s">
        <v>456</v>
      </c>
      <c r="J17">
        <v>0.11400372111851667</v>
      </c>
      <c r="K17" t="s">
        <v>457</v>
      </c>
      <c r="L17" t="s">
        <v>456</v>
      </c>
      <c r="P17" t="s">
        <v>470</v>
      </c>
      <c r="Q17" t="s">
        <v>503</v>
      </c>
      <c r="R17" t="s">
        <v>500</v>
      </c>
      <c r="U17" t="s">
        <v>77</v>
      </c>
      <c r="V17" t="s">
        <v>526</v>
      </c>
      <c r="W17" t="s">
        <v>527</v>
      </c>
      <c r="X17" t="s">
        <v>513</v>
      </c>
    </row>
    <row r="18" spans="2:24" x14ac:dyDescent="0.45">
      <c r="B18" t="s">
        <v>146</v>
      </c>
      <c r="C18">
        <v>13.272012518077279</v>
      </c>
      <c r="D18">
        <v>192.50000000000003</v>
      </c>
      <c r="E18">
        <v>0.98950000000000005</v>
      </c>
      <c r="H18" t="s">
        <v>471</v>
      </c>
      <c r="I18" t="s">
        <v>456</v>
      </c>
      <c r="J18">
        <v>9.7903894721198439E-2</v>
      </c>
      <c r="K18" t="s">
        <v>457</v>
      </c>
      <c r="L18" t="s">
        <v>456</v>
      </c>
      <c r="P18" t="s">
        <v>471</v>
      </c>
      <c r="Q18" t="s">
        <v>504</v>
      </c>
      <c r="R18" t="s">
        <v>500</v>
      </c>
      <c r="U18" t="s">
        <v>77</v>
      </c>
      <c r="V18" t="s">
        <v>528</v>
      </c>
      <c r="W18" t="s">
        <v>527</v>
      </c>
      <c r="X18" t="s">
        <v>513</v>
      </c>
    </row>
    <row r="19" spans="2:24" x14ac:dyDescent="0.45">
      <c r="B19" t="s">
        <v>146</v>
      </c>
      <c r="C19">
        <v>0</v>
      </c>
      <c r="D19">
        <v>192.50000000000003</v>
      </c>
      <c r="E19">
        <v>0.98950000000000005</v>
      </c>
      <c r="H19" t="s">
        <v>472</v>
      </c>
      <c r="I19" t="s">
        <v>456</v>
      </c>
      <c r="J19">
        <v>0.15773861615742607</v>
      </c>
      <c r="K19" t="s">
        <v>457</v>
      </c>
      <c r="L19" t="s">
        <v>456</v>
      </c>
      <c r="P19" t="s">
        <v>472</v>
      </c>
      <c r="Q19" t="s">
        <v>505</v>
      </c>
      <c r="R19" t="s">
        <v>500</v>
      </c>
      <c r="U19" t="s">
        <v>77</v>
      </c>
      <c r="V19" t="s">
        <v>529</v>
      </c>
      <c r="W19" t="s">
        <v>527</v>
      </c>
      <c r="X19" t="s">
        <v>513</v>
      </c>
    </row>
    <row r="20" spans="2:24" x14ac:dyDescent="0.45">
      <c r="B20" t="s">
        <v>147</v>
      </c>
      <c r="C20">
        <v>86.078161996452366</v>
      </c>
      <c r="D20">
        <v>104.50000000000001</v>
      </c>
      <c r="E20">
        <v>0.99429999999999996</v>
      </c>
      <c r="H20" t="s">
        <v>473</v>
      </c>
      <c r="I20" t="s">
        <v>456</v>
      </c>
      <c r="J20">
        <v>0.20235618187995236</v>
      </c>
      <c r="K20" t="s">
        <v>457</v>
      </c>
      <c r="L20" t="s">
        <v>456</v>
      </c>
      <c r="P20" t="s">
        <v>473</v>
      </c>
      <c r="Q20" t="s">
        <v>506</v>
      </c>
      <c r="R20" t="s">
        <v>500</v>
      </c>
      <c r="U20" t="s">
        <v>77</v>
      </c>
      <c r="V20" t="s">
        <v>530</v>
      </c>
      <c r="W20" t="s">
        <v>527</v>
      </c>
      <c r="X20" t="s">
        <v>513</v>
      </c>
    </row>
    <row r="21" spans="2:24" x14ac:dyDescent="0.45">
      <c r="B21" t="s">
        <v>148</v>
      </c>
      <c r="C21">
        <v>3.9827209281940652</v>
      </c>
      <c r="D21">
        <v>1267.2</v>
      </c>
      <c r="E21">
        <v>0.93088000000000004</v>
      </c>
      <c r="H21" t="s">
        <v>474</v>
      </c>
      <c r="I21" t="s">
        <v>456</v>
      </c>
      <c r="J21">
        <v>5.292327046204523E-2</v>
      </c>
      <c r="K21" t="s">
        <v>457</v>
      </c>
      <c r="L21" t="s">
        <v>456</v>
      </c>
      <c r="P21" t="s">
        <v>474</v>
      </c>
      <c r="Q21" t="s">
        <v>507</v>
      </c>
      <c r="R21" t="s">
        <v>500</v>
      </c>
      <c r="U21" t="s">
        <v>77</v>
      </c>
      <c r="V21" t="s">
        <v>531</v>
      </c>
      <c r="W21" t="s">
        <v>527</v>
      </c>
      <c r="X21" t="s">
        <v>513</v>
      </c>
    </row>
    <row r="22" spans="2:24" x14ac:dyDescent="0.45">
      <c r="B22" t="s">
        <v>149</v>
      </c>
      <c r="C22">
        <v>13.048577963900897</v>
      </c>
      <c r="D22">
        <v>216.70000000000002</v>
      </c>
      <c r="E22">
        <v>0.98817999999999995</v>
      </c>
      <c r="H22" t="s">
        <v>475</v>
      </c>
      <c r="I22" t="s">
        <v>456</v>
      </c>
      <c r="J22">
        <v>4.0444676228077257E-2</v>
      </c>
      <c r="K22" t="s">
        <v>457</v>
      </c>
      <c r="L22" t="s">
        <v>456</v>
      </c>
      <c r="P22" t="s">
        <v>475</v>
      </c>
      <c r="Q22" t="s">
        <v>508</v>
      </c>
      <c r="R22" t="s">
        <v>500</v>
      </c>
      <c r="U22" t="s">
        <v>77</v>
      </c>
      <c r="V22" t="s">
        <v>532</v>
      </c>
      <c r="W22" t="s">
        <v>527</v>
      </c>
      <c r="X22" t="s">
        <v>513</v>
      </c>
    </row>
    <row r="23" spans="2:24" x14ac:dyDescent="0.45">
      <c r="B23" t="s">
        <v>150</v>
      </c>
      <c r="C23">
        <v>2.2343455417638518</v>
      </c>
      <c r="D23">
        <v>696.30000000000007</v>
      </c>
      <c r="E23">
        <v>0.96201999999999999</v>
      </c>
      <c r="H23" t="s">
        <v>476</v>
      </c>
      <c r="I23" t="s">
        <v>456</v>
      </c>
      <c r="J23">
        <v>6.5834831382577952E-2</v>
      </c>
      <c r="K23" t="s">
        <v>457</v>
      </c>
      <c r="L23" t="s">
        <v>456</v>
      </c>
      <c r="P23" t="s">
        <v>476</v>
      </c>
      <c r="Q23" t="s">
        <v>509</v>
      </c>
      <c r="R23" t="s">
        <v>500</v>
      </c>
      <c r="U23" t="s">
        <v>77</v>
      </c>
      <c r="V23" t="s">
        <v>533</v>
      </c>
      <c r="W23" t="s">
        <v>527</v>
      </c>
      <c r="X23" t="s">
        <v>513</v>
      </c>
    </row>
    <row r="24" spans="2:24" x14ac:dyDescent="0.45">
      <c r="B24" t="s">
        <v>151</v>
      </c>
      <c r="C24">
        <v>0</v>
      </c>
      <c r="D24">
        <v>214.50000000000003</v>
      </c>
      <c r="E24">
        <v>0.98829999999999996</v>
      </c>
      <c r="H24" t="s">
        <v>477</v>
      </c>
      <c r="I24" t="s">
        <v>456</v>
      </c>
      <c r="J24">
        <v>6.3606112915009297E-2</v>
      </c>
      <c r="K24" t="s">
        <v>457</v>
      </c>
      <c r="L24" t="s">
        <v>456</v>
      </c>
      <c r="P24" t="s">
        <v>477</v>
      </c>
      <c r="Q24" t="s">
        <v>499</v>
      </c>
      <c r="R24" t="s">
        <v>500</v>
      </c>
      <c r="U24" t="s">
        <v>77</v>
      </c>
      <c r="V24" t="s">
        <v>534</v>
      </c>
      <c r="W24" t="s">
        <v>527</v>
      </c>
      <c r="X24" t="s">
        <v>513</v>
      </c>
    </row>
    <row r="25" spans="2:24" x14ac:dyDescent="0.45">
      <c r="B25" t="s">
        <v>152</v>
      </c>
      <c r="C25">
        <v>0</v>
      </c>
      <c r="D25">
        <v>423.50000000000006</v>
      </c>
      <c r="E25">
        <v>0.97689999999999999</v>
      </c>
      <c r="H25" t="s">
        <v>478</v>
      </c>
      <c r="I25" t="s">
        <v>456</v>
      </c>
      <c r="J25">
        <v>0.10755115886555938</v>
      </c>
      <c r="K25" t="s">
        <v>457</v>
      </c>
      <c r="L25" t="s">
        <v>456</v>
      </c>
      <c r="P25" t="s">
        <v>478</v>
      </c>
      <c r="Q25" t="s">
        <v>501</v>
      </c>
      <c r="R25" t="s">
        <v>500</v>
      </c>
      <c r="U25" t="s">
        <v>77</v>
      </c>
      <c r="V25" t="s">
        <v>535</v>
      </c>
      <c r="W25" t="s">
        <v>527</v>
      </c>
      <c r="X25" t="s">
        <v>513</v>
      </c>
    </row>
    <row r="26" spans="2:24" x14ac:dyDescent="0.45">
      <c r="B26" t="s">
        <v>153</v>
      </c>
      <c r="C26">
        <v>0</v>
      </c>
      <c r="D26">
        <v>578.6</v>
      </c>
      <c r="E26">
        <v>0.96843999999999997</v>
      </c>
      <c r="H26" t="s">
        <v>479</v>
      </c>
      <c r="I26" t="s">
        <v>456</v>
      </c>
      <c r="J26">
        <v>7.7637536269636834E-2</v>
      </c>
      <c r="K26" t="s">
        <v>457</v>
      </c>
      <c r="L26" t="s">
        <v>456</v>
      </c>
      <c r="P26" t="s">
        <v>479</v>
      </c>
      <c r="Q26" t="s">
        <v>502</v>
      </c>
      <c r="R26" t="s">
        <v>500</v>
      </c>
      <c r="U26" t="s">
        <v>77</v>
      </c>
      <c r="V26" t="s">
        <v>536</v>
      </c>
      <c r="W26" t="s">
        <v>527</v>
      </c>
      <c r="X26" t="s">
        <v>513</v>
      </c>
    </row>
    <row r="27" spans="2:24" x14ac:dyDescent="0.45">
      <c r="B27" t="s">
        <v>154</v>
      </c>
      <c r="C27">
        <v>0</v>
      </c>
      <c r="D27">
        <v>553.30000000000007</v>
      </c>
      <c r="E27">
        <v>0.96982000000000002</v>
      </c>
      <c r="H27" t="s">
        <v>480</v>
      </c>
      <c r="I27" t="s">
        <v>456</v>
      </c>
      <c r="J27">
        <v>0.11400372111851667</v>
      </c>
      <c r="K27" t="s">
        <v>457</v>
      </c>
      <c r="L27" t="s">
        <v>456</v>
      </c>
      <c r="P27" t="s">
        <v>480</v>
      </c>
      <c r="Q27" t="s">
        <v>503</v>
      </c>
      <c r="R27" t="s">
        <v>500</v>
      </c>
      <c r="U27" t="s">
        <v>77</v>
      </c>
      <c r="V27" t="s">
        <v>537</v>
      </c>
      <c r="W27" t="s">
        <v>527</v>
      </c>
      <c r="X27" t="s">
        <v>513</v>
      </c>
    </row>
    <row r="28" spans="2:24" x14ac:dyDescent="0.45">
      <c r="B28" t="s">
        <v>155</v>
      </c>
      <c r="C28">
        <v>0</v>
      </c>
      <c r="D28">
        <v>606.1</v>
      </c>
      <c r="E28">
        <v>0.96694000000000002</v>
      </c>
      <c r="H28" t="s">
        <v>481</v>
      </c>
      <c r="I28" t="s">
        <v>456</v>
      </c>
      <c r="J28">
        <v>9.7903894721198439E-2</v>
      </c>
      <c r="K28" t="s">
        <v>457</v>
      </c>
      <c r="L28" t="s">
        <v>456</v>
      </c>
      <c r="P28" t="s">
        <v>481</v>
      </c>
      <c r="Q28" t="s">
        <v>504</v>
      </c>
      <c r="R28" t="s">
        <v>500</v>
      </c>
      <c r="U28" t="s">
        <v>77</v>
      </c>
      <c r="V28" t="s">
        <v>538</v>
      </c>
      <c r="W28" t="s">
        <v>527</v>
      </c>
      <c r="X28" t="s">
        <v>513</v>
      </c>
    </row>
    <row r="29" spans="2:24" x14ac:dyDescent="0.45">
      <c r="B29" t="s">
        <v>156</v>
      </c>
      <c r="C29">
        <v>9.8925648861594535</v>
      </c>
      <c r="D29">
        <v>331.1</v>
      </c>
      <c r="E29">
        <v>0.98194000000000004</v>
      </c>
      <c r="H29" t="s">
        <v>482</v>
      </c>
      <c r="I29" t="s">
        <v>456</v>
      </c>
      <c r="J29">
        <v>0.15773861615742607</v>
      </c>
      <c r="K29" t="s">
        <v>457</v>
      </c>
      <c r="L29" t="s">
        <v>456</v>
      </c>
      <c r="P29" t="s">
        <v>482</v>
      </c>
      <c r="Q29" t="s">
        <v>505</v>
      </c>
      <c r="R29" t="s">
        <v>500</v>
      </c>
      <c r="U29" t="s">
        <v>77</v>
      </c>
      <c r="V29" t="s">
        <v>539</v>
      </c>
      <c r="W29" t="s">
        <v>527</v>
      </c>
      <c r="X29" t="s">
        <v>513</v>
      </c>
    </row>
    <row r="30" spans="2:24" x14ac:dyDescent="0.45">
      <c r="B30" t="s">
        <v>157</v>
      </c>
      <c r="C30">
        <v>0</v>
      </c>
      <c r="D30">
        <v>509.30000000000007</v>
      </c>
      <c r="E30">
        <v>0.97221999999999997</v>
      </c>
      <c r="H30" t="s">
        <v>483</v>
      </c>
      <c r="I30" t="s">
        <v>456</v>
      </c>
      <c r="J30">
        <v>0.20235618187995236</v>
      </c>
      <c r="K30" t="s">
        <v>457</v>
      </c>
      <c r="L30" t="s">
        <v>456</v>
      </c>
      <c r="P30" t="s">
        <v>483</v>
      </c>
      <c r="Q30" t="s">
        <v>506</v>
      </c>
      <c r="R30" t="s">
        <v>500</v>
      </c>
      <c r="U30" t="s">
        <v>77</v>
      </c>
      <c r="V30" t="s">
        <v>540</v>
      </c>
      <c r="W30" t="s">
        <v>541</v>
      </c>
      <c r="X30" t="s">
        <v>513</v>
      </c>
    </row>
    <row r="31" spans="2:24" x14ac:dyDescent="0.45">
      <c r="B31" t="s">
        <v>158</v>
      </c>
      <c r="C31">
        <v>0</v>
      </c>
      <c r="D31">
        <v>86.9</v>
      </c>
      <c r="E31">
        <v>0.99526000000000003</v>
      </c>
      <c r="H31" t="s">
        <v>484</v>
      </c>
      <c r="I31" t="s">
        <v>456</v>
      </c>
      <c r="J31">
        <v>5.292327046204523E-2</v>
      </c>
      <c r="K31" t="s">
        <v>457</v>
      </c>
      <c r="L31" t="s">
        <v>456</v>
      </c>
      <c r="P31" t="s">
        <v>484</v>
      </c>
      <c r="Q31" t="s">
        <v>507</v>
      </c>
      <c r="R31" t="s">
        <v>500</v>
      </c>
      <c r="U31" t="s">
        <v>77</v>
      </c>
      <c r="V31" t="s">
        <v>542</v>
      </c>
      <c r="W31" t="s">
        <v>541</v>
      </c>
      <c r="X31" t="s">
        <v>513</v>
      </c>
    </row>
    <row r="32" spans="2:24" x14ac:dyDescent="0.45">
      <c r="B32" t="s">
        <v>159</v>
      </c>
      <c r="C32">
        <v>0</v>
      </c>
      <c r="D32">
        <v>350.90000000000003</v>
      </c>
      <c r="E32">
        <v>0.98085999999999995</v>
      </c>
      <c r="H32" t="s">
        <v>485</v>
      </c>
      <c r="I32" t="s">
        <v>456</v>
      </c>
      <c r="J32">
        <v>4.0444676228077257E-2</v>
      </c>
      <c r="K32" t="s">
        <v>457</v>
      </c>
      <c r="L32" t="s">
        <v>456</v>
      </c>
      <c r="P32" t="s">
        <v>485</v>
      </c>
      <c r="Q32" t="s">
        <v>508</v>
      </c>
      <c r="R32" t="s">
        <v>500</v>
      </c>
      <c r="U32" t="s">
        <v>77</v>
      </c>
      <c r="V32" t="s">
        <v>543</v>
      </c>
      <c r="W32" t="s">
        <v>541</v>
      </c>
      <c r="X32" t="s">
        <v>513</v>
      </c>
    </row>
    <row r="33" spans="2:24" x14ac:dyDescent="0.45">
      <c r="B33" t="s">
        <v>160</v>
      </c>
      <c r="C33">
        <v>0</v>
      </c>
      <c r="D33">
        <v>371.8</v>
      </c>
      <c r="E33">
        <v>0.97972000000000004</v>
      </c>
      <c r="H33" t="s">
        <v>486</v>
      </c>
      <c r="I33" t="s">
        <v>456</v>
      </c>
      <c r="J33">
        <v>6.5834831382577952E-2</v>
      </c>
      <c r="K33" t="s">
        <v>457</v>
      </c>
      <c r="L33" t="s">
        <v>456</v>
      </c>
      <c r="P33" t="s">
        <v>486</v>
      </c>
      <c r="Q33" t="s">
        <v>509</v>
      </c>
      <c r="R33" t="s">
        <v>500</v>
      </c>
      <c r="U33" t="s">
        <v>77</v>
      </c>
      <c r="V33" t="s">
        <v>544</v>
      </c>
      <c r="W33" t="s">
        <v>541</v>
      </c>
      <c r="X33" t="s">
        <v>513</v>
      </c>
    </row>
    <row r="34" spans="2:24" x14ac:dyDescent="0.45">
      <c r="B34" t="s">
        <v>161</v>
      </c>
      <c r="C34">
        <v>4.4686910835277036</v>
      </c>
      <c r="D34">
        <v>234.3</v>
      </c>
      <c r="E34">
        <v>0.98721999999999999</v>
      </c>
      <c r="H34" t="s">
        <v>487</v>
      </c>
      <c r="I34" t="s">
        <v>456</v>
      </c>
      <c r="J34">
        <v>6.3606112915009297E-2</v>
      </c>
      <c r="K34" t="s">
        <v>457</v>
      </c>
      <c r="L34" t="s">
        <v>456</v>
      </c>
      <c r="P34" t="s">
        <v>487</v>
      </c>
      <c r="Q34" t="s">
        <v>499</v>
      </c>
      <c r="R34" t="s">
        <v>500</v>
      </c>
      <c r="U34" t="s">
        <v>77</v>
      </c>
      <c r="V34" t="s">
        <v>545</v>
      </c>
      <c r="W34" t="s">
        <v>541</v>
      </c>
      <c r="X34" t="s">
        <v>513</v>
      </c>
    </row>
    <row r="35" spans="2:24" x14ac:dyDescent="0.45">
      <c r="B35" t="s">
        <v>162</v>
      </c>
      <c r="C35">
        <v>0</v>
      </c>
      <c r="D35">
        <v>599.5</v>
      </c>
      <c r="E35">
        <v>0.96730000000000005</v>
      </c>
      <c r="H35" t="s">
        <v>488</v>
      </c>
      <c r="I35" t="s">
        <v>456</v>
      </c>
      <c r="J35">
        <v>0.10755115886555938</v>
      </c>
      <c r="K35" t="s">
        <v>457</v>
      </c>
      <c r="L35" t="s">
        <v>456</v>
      </c>
      <c r="P35" t="s">
        <v>488</v>
      </c>
      <c r="Q35" t="s">
        <v>501</v>
      </c>
      <c r="R35" t="s">
        <v>500</v>
      </c>
      <c r="U35" t="s">
        <v>77</v>
      </c>
      <c r="V35" t="s">
        <v>546</v>
      </c>
      <c r="W35" t="s">
        <v>541</v>
      </c>
      <c r="X35" t="s">
        <v>513</v>
      </c>
    </row>
    <row r="36" spans="2:24" x14ac:dyDescent="0.45">
      <c r="B36" t="s">
        <v>163</v>
      </c>
      <c r="C36">
        <v>2.2343455417638518</v>
      </c>
      <c r="D36">
        <v>562.1</v>
      </c>
      <c r="E36">
        <v>0.96933999999999998</v>
      </c>
      <c r="H36" t="s">
        <v>489</v>
      </c>
      <c r="I36" t="s">
        <v>456</v>
      </c>
      <c r="J36">
        <v>7.7637536269636834E-2</v>
      </c>
      <c r="K36" t="s">
        <v>457</v>
      </c>
      <c r="L36" t="s">
        <v>456</v>
      </c>
      <c r="P36" t="s">
        <v>489</v>
      </c>
      <c r="Q36" t="s">
        <v>502</v>
      </c>
      <c r="R36" t="s">
        <v>500</v>
      </c>
      <c r="U36" t="s">
        <v>77</v>
      </c>
      <c r="V36" t="s">
        <v>547</v>
      </c>
      <c r="W36" t="s">
        <v>541</v>
      </c>
      <c r="X36" t="s">
        <v>513</v>
      </c>
    </row>
    <row r="37" spans="2:24" x14ac:dyDescent="0.45">
      <c r="B37" t="s">
        <v>164</v>
      </c>
      <c r="C37">
        <v>8.6078161996452369</v>
      </c>
      <c r="D37">
        <v>315.70000000000005</v>
      </c>
      <c r="E37">
        <v>0.98277999999999999</v>
      </c>
      <c r="H37" t="s">
        <v>490</v>
      </c>
      <c r="I37" t="s">
        <v>456</v>
      </c>
      <c r="J37">
        <v>0.11400372111851667</v>
      </c>
      <c r="K37" t="s">
        <v>457</v>
      </c>
      <c r="L37" t="s">
        <v>456</v>
      </c>
      <c r="P37" t="s">
        <v>490</v>
      </c>
      <c r="Q37" t="s">
        <v>503</v>
      </c>
      <c r="R37" t="s">
        <v>500</v>
      </c>
      <c r="U37" t="s">
        <v>77</v>
      </c>
      <c r="V37" t="s">
        <v>548</v>
      </c>
      <c r="W37" t="s">
        <v>541</v>
      </c>
      <c r="X37" t="s">
        <v>513</v>
      </c>
    </row>
    <row r="38" spans="2:24" x14ac:dyDescent="0.45">
      <c r="B38" t="s">
        <v>165</v>
      </c>
      <c r="C38">
        <v>0</v>
      </c>
      <c r="D38">
        <v>171.60000000000002</v>
      </c>
      <c r="E38">
        <v>0.99063999999999997</v>
      </c>
      <c r="H38" t="s">
        <v>491</v>
      </c>
      <c r="I38" t="s">
        <v>456</v>
      </c>
      <c r="J38">
        <v>9.7903894721198439E-2</v>
      </c>
      <c r="K38" t="s">
        <v>457</v>
      </c>
      <c r="L38" t="s">
        <v>456</v>
      </c>
      <c r="P38" t="s">
        <v>491</v>
      </c>
      <c r="Q38" t="s">
        <v>504</v>
      </c>
      <c r="R38" t="s">
        <v>500</v>
      </c>
      <c r="U38" t="s">
        <v>77</v>
      </c>
      <c r="V38" t="s">
        <v>549</v>
      </c>
      <c r="W38" t="s">
        <v>541</v>
      </c>
      <c r="X38" t="s">
        <v>513</v>
      </c>
    </row>
    <row r="39" spans="2:24" x14ac:dyDescent="0.45">
      <c r="B39" t="s">
        <v>166</v>
      </c>
      <c r="C39">
        <v>1.1562738178627932</v>
      </c>
      <c r="D39">
        <v>574.20000000000005</v>
      </c>
      <c r="E39">
        <v>0.96867999999999999</v>
      </c>
      <c r="H39" t="s">
        <v>492</v>
      </c>
      <c r="I39" t="s">
        <v>456</v>
      </c>
      <c r="J39">
        <v>0.15773861615742607</v>
      </c>
      <c r="K39" t="s">
        <v>457</v>
      </c>
      <c r="L39" t="s">
        <v>456</v>
      </c>
      <c r="P39" t="s">
        <v>492</v>
      </c>
      <c r="Q39" t="s">
        <v>505</v>
      </c>
      <c r="R39" t="s">
        <v>500</v>
      </c>
      <c r="U39" t="s">
        <v>77</v>
      </c>
      <c r="V39" t="s">
        <v>550</v>
      </c>
      <c r="W39" t="s">
        <v>541</v>
      </c>
      <c r="X39" t="s">
        <v>513</v>
      </c>
    </row>
    <row r="40" spans="2:24" x14ac:dyDescent="0.45">
      <c r="B40" t="s">
        <v>167</v>
      </c>
      <c r="C40">
        <v>1.1562738178627932</v>
      </c>
      <c r="D40">
        <v>675.40000000000009</v>
      </c>
      <c r="E40">
        <v>0.96316000000000002</v>
      </c>
      <c r="H40" t="s">
        <v>493</v>
      </c>
      <c r="I40" t="s">
        <v>456</v>
      </c>
      <c r="J40">
        <v>0.20235618187995236</v>
      </c>
      <c r="K40" t="s">
        <v>457</v>
      </c>
      <c r="L40" t="s">
        <v>456</v>
      </c>
      <c r="P40" t="s">
        <v>493</v>
      </c>
      <c r="Q40" t="s">
        <v>506</v>
      </c>
      <c r="R40" t="s">
        <v>500</v>
      </c>
      <c r="U40" t="s">
        <v>77</v>
      </c>
      <c r="V40" t="s">
        <v>551</v>
      </c>
      <c r="W40" t="s">
        <v>541</v>
      </c>
      <c r="X40" t="s">
        <v>513</v>
      </c>
    </row>
    <row r="41" spans="2:24" x14ac:dyDescent="0.45">
      <c r="B41" t="s">
        <v>168</v>
      </c>
      <c r="C41">
        <v>2.3125476357255863</v>
      </c>
      <c r="D41">
        <v>349.8</v>
      </c>
      <c r="E41">
        <v>0.98092000000000001</v>
      </c>
      <c r="H41" t="s">
        <v>494</v>
      </c>
      <c r="I41" t="s">
        <v>456</v>
      </c>
      <c r="J41">
        <v>5.292327046204523E-2</v>
      </c>
      <c r="K41" t="s">
        <v>457</v>
      </c>
      <c r="L41" t="s">
        <v>456</v>
      </c>
      <c r="P41" t="s">
        <v>494</v>
      </c>
      <c r="Q41" t="s">
        <v>507</v>
      </c>
      <c r="R41" t="s">
        <v>500</v>
      </c>
      <c r="U41" t="s">
        <v>77</v>
      </c>
      <c r="V41" t="s">
        <v>552</v>
      </c>
      <c r="W41" t="s">
        <v>541</v>
      </c>
      <c r="X41" t="s">
        <v>513</v>
      </c>
    </row>
    <row r="42" spans="2:24" x14ac:dyDescent="0.45">
      <c r="B42" t="s">
        <v>169</v>
      </c>
      <c r="C42">
        <v>5.7813690893139658</v>
      </c>
      <c r="D42">
        <v>590.70000000000005</v>
      </c>
      <c r="E42">
        <v>0.96777999999999997</v>
      </c>
      <c r="H42" t="s">
        <v>495</v>
      </c>
      <c r="I42" t="s">
        <v>456</v>
      </c>
      <c r="J42">
        <v>4.0444676228077257E-2</v>
      </c>
      <c r="K42" t="s">
        <v>457</v>
      </c>
      <c r="L42" t="s">
        <v>456</v>
      </c>
      <c r="P42" t="s">
        <v>495</v>
      </c>
      <c r="Q42" t="s">
        <v>508</v>
      </c>
      <c r="R42" t="s">
        <v>500</v>
      </c>
      <c r="U42" t="s">
        <v>77</v>
      </c>
      <c r="V42" t="s">
        <v>553</v>
      </c>
      <c r="W42" t="s">
        <v>541</v>
      </c>
      <c r="X42" t="s">
        <v>513</v>
      </c>
    </row>
    <row r="43" spans="2:24" x14ac:dyDescent="0.45">
      <c r="B43" t="s">
        <v>170</v>
      </c>
      <c r="C43">
        <v>9.2501905429023452</v>
      </c>
      <c r="D43">
        <v>691.90000000000009</v>
      </c>
      <c r="E43">
        <v>0.96226</v>
      </c>
      <c r="H43" t="s">
        <v>496</v>
      </c>
      <c r="I43" t="s">
        <v>456</v>
      </c>
      <c r="J43">
        <v>6.5834831382577952E-2</v>
      </c>
      <c r="K43" t="s">
        <v>457</v>
      </c>
      <c r="L43" t="s">
        <v>456</v>
      </c>
      <c r="P43" t="s">
        <v>496</v>
      </c>
      <c r="Q43" t="s">
        <v>509</v>
      </c>
      <c r="R43" t="s">
        <v>500</v>
      </c>
      <c r="U43" t="s">
        <v>77</v>
      </c>
      <c r="V43" t="s">
        <v>554</v>
      </c>
      <c r="W43" t="s">
        <v>555</v>
      </c>
      <c r="X43" t="s">
        <v>513</v>
      </c>
    </row>
    <row r="44" spans="2:24" x14ac:dyDescent="0.45">
      <c r="B44" t="s">
        <v>171</v>
      </c>
      <c r="C44">
        <v>6.5522183012224939</v>
      </c>
      <c r="D44">
        <v>432.3</v>
      </c>
      <c r="E44">
        <v>0.97641999999999995</v>
      </c>
      <c r="U44" t="s">
        <v>77</v>
      </c>
      <c r="V44" t="s">
        <v>556</v>
      </c>
      <c r="W44" t="s">
        <v>555</v>
      </c>
      <c r="X44" t="s">
        <v>513</v>
      </c>
    </row>
    <row r="45" spans="2:24" x14ac:dyDescent="0.45">
      <c r="B45" t="s">
        <v>172</v>
      </c>
      <c r="C45">
        <v>1.1562738178627932</v>
      </c>
      <c r="D45">
        <v>484.00000000000006</v>
      </c>
      <c r="E45">
        <v>0.97360000000000002</v>
      </c>
      <c r="U45" t="s">
        <v>77</v>
      </c>
      <c r="V45" t="s">
        <v>557</v>
      </c>
      <c r="W45" t="s">
        <v>555</v>
      </c>
      <c r="X45" t="s">
        <v>513</v>
      </c>
    </row>
    <row r="46" spans="2:24" x14ac:dyDescent="0.45">
      <c r="B46" t="s">
        <v>173</v>
      </c>
      <c r="C46">
        <v>0</v>
      </c>
      <c r="D46">
        <v>46.2</v>
      </c>
      <c r="E46">
        <v>0.99748000000000003</v>
      </c>
      <c r="U46" t="s">
        <v>77</v>
      </c>
      <c r="V46" t="s">
        <v>558</v>
      </c>
      <c r="W46" t="s">
        <v>555</v>
      </c>
      <c r="X46" t="s">
        <v>513</v>
      </c>
    </row>
    <row r="47" spans="2:24" x14ac:dyDescent="0.45">
      <c r="B47" t="s">
        <v>174</v>
      </c>
      <c r="C47">
        <v>0</v>
      </c>
      <c r="D47">
        <v>195.8</v>
      </c>
      <c r="E47">
        <v>0.98931999999999998</v>
      </c>
      <c r="U47" t="s">
        <v>77</v>
      </c>
      <c r="V47" t="s">
        <v>559</v>
      </c>
      <c r="W47" t="s">
        <v>555</v>
      </c>
      <c r="X47" t="s">
        <v>513</v>
      </c>
    </row>
    <row r="48" spans="2:24" x14ac:dyDescent="0.45">
      <c r="B48" t="s">
        <v>175</v>
      </c>
      <c r="C48">
        <v>2.3125476357255863</v>
      </c>
      <c r="D48">
        <v>251.90000000000003</v>
      </c>
      <c r="E48">
        <v>0.98626000000000003</v>
      </c>
      <c r="U48" t="s">
        <v>77</v>
      </c>
      <c r="V48" t="s">
        <v>560</v>
      </c>
      <c r="W48" t="s">
        <v>555</v>
      </c>
      <c r="X48" t="s">
        <v>513</v>
      </c>
    </row>
    <row r="49" spans="2:24" x14ac:dyDescent="0.45">
      <c r="B49" t="s">
        <v>176</v>
      </c>
      <c r="C49">
        <v>4.4686910835277036</v>
      </c>
      <c r="D49">
        <v>553.30000000000007</v>
      </c>
      <c r="E49">
        <v>0.96982000000000002</v>
      </c>
      <c r="U49" t="s">
        <v>77</v>
      </c>
      <c r="V49" t="s">
        <v>561</v>
      </c>
      <c r="W49" t="s">
        <v>555</v>
      </c>
      <c r="X49" t="s">
        <v>513</v>
      </c>
    </row>
    <row r="50" spans="2:24" x14ac:dyDescent="0.45">
      <c r="B50" t="s">
        <v>177</v>
      </c>
      <c r="C50">
        <v>13.875285814353516</v>
      </c>
      <c r="D50">
        <v>498.30000000000007</v>
      </c>
      <c r="E50">
        <v>0.97282000000000002</v>
      </c>
      <c r="U50" t="s">
        <v>77</v>
      </c>
      <c r="V50" t="s">
        <v>562</v>
      </c>
      <c r="W50" t="s">
        <v>555</v>
      </c>
      <c r="X50" t="s">
        <v>513</v>
      </c>
    </row>
    <row r="51" spans="2:24" x14ac:dyDescent="0.45">
      <c r="B51" t="s">
        <v>178</v>
      </c>
      <c r="C51">
        <v>0</v>
      </c>
      <c r="D51">
        <v>350.90000000000003</v>
      </c>
      <c r="E51">
        <v>0.98085999999999995</v>
      </c>
      <c r="U51" t="s">
        <v>77</v>
      </c>
      <c r="V51" t="s">
        <v>563</v>
      </c>
      <c r="W51" t="s">
        <v>555</v>
      </c>
      <c r="X51" t="s">
        <v>513</v>
      </c>
    </row>
    <row r="52" spans="2:24" x14ac:dyDescent="0.45">
      <c r="B52" t="s">
        <v>179</v>
      </c>
      <c r="C52">
        <v>0</v>
      </c>
      <c r="D52">
        <v>619.30000000000007</v>
      </c>
      <c r="E52">
        <v>0.96621999999999997</v>
      </c>
      <c r="U52" t="s">
        <v>77</v>
      </c>
      <c r="V52" t="s">
        <v>564</v>
      </c>
      <c r="W52" t="s">
        <v>555</v>
      </c>
      <c r="X52" t="s">
        <v>513</v>
      </c>
    </row>
    <row r="53" spans="2:24" x14ac:dyDescent="0.45">
      <c r="B53" t="s">
        <v>180</v>
      </c>
      <c r="C53">
        <v>25.309549124330026</v>
      </c>
      <c r="D53">
        <v>551.1</v>
      </c>
      <c r="E53">
        <v>0.96994000000000002</v>
      </c>
      <c r="U53" t="s">
        <v>77</v>
      </c>
      <c r="V53" t="s">
        <v>565</v>
      </c>
      <c r="W53" t="s">
        <v>555</v>
      </c>
      <c r="X53" t="s">
        <v>513</v>
      </c>
    </row>
    <row r="54" spans="2:24" x14ac:dyDescent="0.45">
      <c r="B54" t="s">
        <v>181</v>
      </c>
      <c r="C54">
        <v>0</v>
      </c>
      <c r="D54">
        <v>675.40000000000009</v>
      </c>
      <c r="E54">
        <v>0.96316000000000002</v>
      </c>
      <c r="U54" t="s">
        <v>77</v>
      </c>
      <c r="V54" t="s">
        <v>566</v>
      </c>
      <c r="W54" t="s">
        <v>555</v>
      </c>
      <c r="X54" t="s">
        <v>513</v>
      </c>
    </row>
    <row r="55" spans="2:24" x14ac:dyDescent="0.45">
      <c r="B55" t="s">
        <v>182</v>
      </c>
      <c r="C55">
        <v>1.1562738178627932</v>
      </c>
      <c r="D55">
        <v>618.20000000000005</v>
      </c>
      <c r="E55">
        <v>0.96628000000000003</v>
      </c>
      <c r="U55" t="s">
        <v>77</v>
      </c>
      <c r="V55" t="s">
        <v>567</v>
      </c>
      <c r="W55" t="s">
        <v>555</v>
      </c>
      <c r="X55" t="s">
        <v>513</v>
      </c>
    </row>
    <row r="56" spans="2:24" x14ac:dyDescent="0.45">
      <c r="B56" t="s">
        <v>183</v>
      </c>
      <c r="C56">
        <v>0</v>
      </c>
      <c r="D56">
        <v>271.70000000000005</v>
      </c>
      <c r="E56">
        <v>0.98517999999999994</v>
      </c>
      <c r="U56" t="s">
        <v>77</v>
      </c>
      <c r="V56" t="s">
        <v>568</v>
      </c>
      <c r="W56" t="s">
        <v>569</v>
      </c>
      <c r="X56" t="s">
        <v>513</v>
      </c>
    </row>
    <row r="57" spans="2:24" x14ac:dyDescent="0.45">
      <c r="B57" t="s">
        <v>184</v>
      </c>
      <c r="C57">
        <v>0</v>
      </c>
      <c r="D57">
        <v>380.6</v>
      </c>
      <c r="E57">
        <v>0.97924</v>
      </c>
      <c r="U57" t="s">
        <v>77</v>
      </c>
      <c r="V57" t="s">
        <v>570</v>
      </c>
      <c r="W57" t="s">
        <v>569</v>
      </c>
      <c r="X57" t="s">
        <v>513</v>
      </c>
    </row>
    <row r="58" spans="2:24" x14ac:dyDescent="0.45">
      <c r="B58" t="s">
        <v>185</v>
      </c>
      <c r="C58">
        <v>1.1562738178627932</v>
      </c>
      <c r="D58">
        <v>849.2</v>
      </c>
      <c r="E58">
        <v>0.95367999999999997</v>
      </c>
      <c r="U58" t="s">
        <v>77</v>
      </c>
      <c r="V58" t="s">
        <v>571</v>
      </c>
      <c r="W58" t="s">
        <v>569</v>
      </c>
      <c r="X58" t="s">
        <v>513</v>
      </c>
    </row>
    <row r="59" spans="2:24" x14ac:dyDescent="0.45">
      <c r="B59" t="s">
        <v>186</v>
      </c>
      <c r="C59">
        <v>2.3125476357255863</v>
      </c>
      <c r="D59">
        <v>576.40000000000009</v>
      </c>
      <c r="E59">
        <v>0.96855999999999998</v>
      </c>
      <c r="U59" t="s">
        <v>77</v>
      </c>
      <c r="V59" t="s">
        <v>572</v>
      </c>
      <c r="W59" t="s">
        <v>569</v>
      </c>
      <c r="X59" t="s">
        <v>513</v>
      </c>
    </row>
    <row r="60" spans="2:24" x14ac:dyDescent="0.45">
      <c r="B60" t="s">
        <v>187</v>
      </c>
      <c r="C60">
        <v>2.1840727670741646</v>
      </c>
      <c r="D60">
        <v>804.1</v>
      </c>
      <c r="E60">
        <v>0.95613999999999999</v>
      </c>
      <c r="U60" t="s">
        <v>77</v>
      </c>
      <c r="V60" t="s">
        <v>573</v>
      </c>
      <c r="W60" t="s">
        <v>569</v>
      </c>
      <c r="X60" t="s">
        <v>513</v>
      </c>
    </row>
    <row r="61" spans="2:24" x14ac:dyDescent="0.45">
      <c r="B61" t="s">
        <v>188</v>
      </c>
      <c r="C61">
        <v>6.937642907176758</v>
      </c>
      <c r="D61">
        <v>649</v>
      </c>
      <c r="E61">
        <v>0.96460000000000001</v>
      </c>
      <c r="U61" t="s">
        <v>77</v>
      </c>
      <c r="V61" t="s">
        <v>574</v>
      </c>
      <c r="W61" t="s">
        <v>569</v>
      </c>
      <c r="X61" t="s">
        <v>513</v>
      </c>
    </row>
    <row r="62" spans="2:24" x14ac:dyDescent="0.45">
      <c r="B62" t="s">
        <v>189</v>
      </c>
      <c r="C62">
        <v>1.1562738178627932</v>
      </c>
      <c r="D62">
        <v>595.1</v>
      </c>
      <c r="E62">
        <v>0.96753999999999996</v>
      </c>
      <c r="U62" t="s">
        <v>77</v>
      </c>
      <c r="V62" t="s">
        <v>575</v>
      </c>
      <c r="W62" t="s">
        <v>569</v>
      </c>
      <c r="X62" t="s">
        <v>513</v>
      </c>
    </row>
    <row r="63" spans="2:24" x14ac:dyDescent="0.45">
      <c r="B63" t="s">
        <v>190</v>
      </c>
      <c r="C63">
        <v>5.496490032739076</v>
      </c>
      <c r="D63">
        <v>501.6</v>
      </c>
      <c r="E63">
        <v>0.97263999999999995</v>
      </c>
      <c r="U63" t="s">
        <v>77</v>
      </c>
      <c r="V63" t="s">
        <v>576</v>
      </c>
      <c r="W63" t="s">
        <v>569</v>
      </c>
      <c r="X63" t="s">
        <v>513</v>
      </c>
    </row>
    <row r="64" spans="2:24" x14ac:dyDescent="0.45">
      <c r="B64" t="s">
        <v>191</v>
      </c>
      <c r="C64">
        <v>4.1111957968454869</v>
      </c>
      <c r="D64">
        <v>662.2</v>
      </c>
      <c r="E64">
        <v>0.96387999999999996</v>
      </c>
      <c r="U64" t="s">
        <v>77</v>
      </c>
      <c r="V64" t="s">
        <v>577</v>
      </c>
      <c r="W64" t="s">
        <v>569</v>
      </c>
      <c r="X64" t="s">
        <v>513</v>
      </c>
    </row>
    <row r="65" spans="2:24" x14ac:dyDescent="0.45">
      <c r="B65" t="s">
        <v>192</v>
      </c>
      <c r="C65">
        <v>7.2169360998972412</v>
      </c>
      <c r="D65">
        <v>511.50000000000006</v>
      </c>
      <c r="E65">
        <v>0.97209999999999996</v>
      </c>
      <c r="U65" t="s">
        <v>77</v>
      </c>
      <c r="V65" t="s">
        <v>578</v>
      </c>
      <c r="W65" t="s">
        <v>569</v>
      </c>
      <c r="X65" t="s">
        <v>513</v>
      </c>
    </row>
    <row r="66" spans="2:24" x14ac:dyDescent="0.45">
      <c r="B66" t="s">
        <v>193</v>
      </c>
      <c r="C66">
        <v>0</v>
      </c>
      <c r="D66">
        <v>298.10000000000002</v>
      </c>
      <c r="E66">
        <v>0.98373999999999995</v>
      </c>
      <c r="U66" t="s">
        <v>77</v>
      </c>
      <c r="V66" t="s">
        <v>579</v>
      </c>
      <c r="W66" t="s">
        <v>569</v>
      </c>
      <c r="X66" t="s">
        <v>513</v>
      </c>
    </row>
    <row r="67" spans="2:24" x14ac:dyDescent="0.45">
      <c r="B67" t="s">
        <v>194</v>
      </c>
      <c r="C67">
        <v>0</v>
      </c>
      <c r="D67">
        <v>271.70000000000005</v>
      </c>
      <c r="E67">
        <v>0.98517999999999994</v>
      </c>
      <c r="U67" t="s">
        <v>77</v>
      </c>
      <c r="V67" t="s">
        <v>580</v>
      </c>
      <c r="W67" t="s">
        <v>569</v>
      </c>
      <c r="X67" t="s">
        <v>513</v>
      </c>
    </row>
    <row r="68" spans="2:24" x14ac:dyDescent="0.45">
      <c r="B68" t="s">
        <v>195</v>
      </c>
      <c r="C68">
        <v>0</v>
      </c>
      <c r="D68">
        <v>499.40000000000003</v>
      </c>
      <c r="E68">
        <v>0.97275999999999996</v>
      </c>
      <c r="U68" t="s">
        <v>77</v>
      </c>
      <c r="V68" t="s">
        <v>581</v>
      </c>
      <c r="W68" t="s">
        <v>569</v>
      </c>
      <c r="X68" t="s">
        <v>513</v>
      </c>
    </row>
    <row r="69" spans="2:24" x14ac:dyDescent="0.45">
      <c r="B69" t="s">
        <v>196</v>
      </c>
      <c r="C69">
        <v>3.5972963222398011</v>
      </c>
      <c r="D69">
        <v>487.3</v>
      </c>
      <c r="E69">
        <v>0.97341999999999995</v>
      </c>
      <c r="U69" t="s">
        <v>77</v>
      </c>
      <c r="V69" t="s">
        <v>582</v>
      </c>
      <c r="W69" t="s">
        <v>583</v>
      </c>
      <c r="X69" t="s">
        <v>513</v>
      </c>
    </row>
    <row r="70" spans="2:24" x14ac:dyDescent="0.45">
      <c r="B70" t="s">
        <v>197</v>
      </c>
      <c r="C70">
        <v>0</v>
      </c>
      <c r="D70">
        <v>195.8</v>
      </c>
      <c r="E70">
        <v>0.98931999999999998</v>
      </c>
      <c r="U70" t="s">
        <v>77</v>
      </c>
      <c r="V70" t="s">
        <v>584</v>
      </c>
      <c r="W70" t="s">
        <v>583</v>
      </c>
      <c r="X70" t="s">
        <v>513</v>
      </c>
    </row>
    <row r="71" spans="2:24" x14ac:dyDescent="0.45">
      <c r="B71" t="s">
        <v>198</v>
      </c>
      <c r="C71">
        <v>4.2396706654969085</v>
      </c>
      <c r="D71">
        <v>597.30000000000007</v>
      </c>
      <c r="E71">
        <v>0.96741999999999995</v>
      </c>
      <c r="U71" t="s">
        <v>77</v>
      </c>
      <c r="V71" t="s">
        <v>585</v>
      </c>
      <c r="W71" t="s">
        <v>583</v>
      </c>
      <c r="X71" t="s">
        <v>513</v>
      </c>
    </row>
    <row r="72" spans="2:24" x14ac:dyDescent="0.45">
      <c r="B72" t="s">
        <v>199</v>
      </c>
      <c r="C72">
        <v>0</v>
      </c>
      <c r="D72">
        <v>281.60000000000002</v>
      </c>
      <c r="E72">
        <v>0.98463999999999996</v>
      </c>
      <c r="U72" t="s">
        <v>77</v>
      </c>
      <c r="V72" t="s">
        <v>586</v>
      </c>
      <c r="W72" t="s">
        <v>583</v>
      </c>
      <c r="X72" t="s">
        <v>513</v>
      </c>
    </row>
    <row r="73" spans="2:24" x14ac:dyDescent="0.45">
      <c r="B73" t="s">
        <v>200</v>
      </c>
      <c r="C73">
        <v>0</v>
      </c>
      <c r="D73">
        <v>633.6</v>
      </c>
      <c r="E73">
        <v>0.96543999999999996</v>
      </c>
      <c r="U73" t="s">
        <v>77</v>
      </c>
      <c r="V73" t="s">
        <v>587</v>
      </c>
      <c r="W73" t="s">
        <v>583</v>
      </c>
      <c r="X73" t="s">
        <v>513</v>
      </c>
    </row>
    <row r="74" spans="2:24" x14ac:dyDescent="0.45">
      <c r="B74" t="s">
        <v>201</v>
      </c>
      <c r="C74">
        <v>0</v>
      </c>
      <c r="D74">
        <v>405.90000000000003</v>
      </c>
      <c r="E74">
        <v>0.97785999999999995</v>
      </c>
      <c r="U74" t="s">
        <v>77</v>
      </c>
      <c r="V74" t="s">
        <v>588</v>
      </c>
      <c r="W74" t="s">
        <v>583</v>
      </c>
      <c r="X74" t="s">
        <v>513</v>
      </c>
    </row>
    <row r="75" spans="2:24" x14ac:dyDescent="0.45">
      <c r="B75" t="s">
        <v>202</v>
      </c>
      <c r="C75">
        <v>0</v>
      </c>
      <c r="D75">
        <v>474.1</v>
      </c>
      <c r="E75">
        <v>0.97414000000000001</v>
      </c>
      <c r="U75" t="s">
        <v>77</v>
      </c>
      <c r="V75" t="s">
        <v>589</v>
      </c>
      <c r="W75" t="s">
        <v>583</v>
      </c>
      <c r="X75" t="s">
        <v>513</v>
      </c>
    </row>
    <row r="76" spans="2:24" x14ac:dyDescent="0.45">
      <c r="B76" t="s">
        <v>203</v>
      </c>
      <c r="C76">
        <v>0</v>
      </c>
      <c r="D76">
        <v>789.80000000000007</v>
      </c>
      <c r="E76">
        <v>0.95691999999999999</v>
      </c>
      <c r="U76" t="s">
        <v>77</v>
      </c>
      <c r="V76" t="s">
        <v>590</v>
      </c>
      <c r="W76" t="s">
        <v>583</v>
      </c>
      <c r="X76" t="s">
        <v>513</v>
      </c>
    </row>
    <row r="77" spans="2:24" x14ac:dyDescent="0.45">
      <c r="B77" t="s">
        <v>204</v>
      </c>
      <c r="C77">
        <v>0</v>
      </c>
      <c r="D77">
        <v>617.1</v>
      </c>
      <c r="E77">
        <v>0.96633999999999998</v>
      </c>
      <c r="U77" t="s">
        <v>77</v>
      </c>
      <c r="V77" t="s">
        <v>591</v>
      </c>
      <c r="W77" t="s">
        <v>583</v>
      </c>
      <c r="X77" t="s">
        <v>513</v>
      </c>
    </row>
    <row r="78" spans="2:24" x14ac:dyDescent="0.45">
      <c r="B78" t="s">
        <v>205</v>
      </c>
      <c r="C78">
        <v>1.1562738178627932</v>
      </c>
      <c r="D78">
        <v>623.70000000000005</v>
      </c>
      <c r="E78">
        <v>0.96597999999999995</v>
      </c>
      <c r="U78" t="s">
        <v>77</v>
      </c>
      <c r="V78" t="s">
        <v>592</v>
      </c>
      <c r="W78" t="s">
        <v>583</v>
      </c>
      <c r="X78" t="s">
        <v>513</v>
      </c>
    </row>
    <row r="79" spans="2:24" x14ac:dyDescent="0.45">
      <c r="B79" t="s">
        <v>206</v>
      </c>
      <c r="C79">
        <v>0</v>
      </c>
      <c r="D79">
        <v>338.8</v>
      </c>
      <c r="E79">
        <v>0.98151999999999995</v>
      </c>
      <c r="U79" t="s">
        <v>77</v>
      </c>
      <c r="V79" t="s">
        <v>593</v>
      </c>
      <c r="W79" t="s">
        <v>583</v>
      </c>
      <c r="X79" t="s">
        <v>513</v>
      </c>
    </row>
    <row r="80" spans="2:24" x14ac:dyDescent="0.45">
      <c r="B80" t="s">
        <v>207</v>
      </c>
      <c r="C80">
        <v>0</v>
      </c>
      <c r="D80">
        <v>337.70000000000005</v>
      </c>
      <c r="E80">
        <v>0.98158000000000001</v>
      </c>
      <c r="U80" t="s">
        <v>77</v>
      </c>
      <c r="V80" t="s">
        <v>594</v>
      </c>
      <c r="W80" t="s">
        <v>583</v>
      </c>
      <c r="X80" t="s">
        <v>513</v>
      </c>
    </row>
    <row r="81" spans="2:24" x14ac:dyDescent="0.45">
      <c r="B81" t="s">
        <v>208</v>
      </c>
      <c r="C81">
        <v>0</v>
      </c>
      <c r="D81">
        <v>382.8</v>
      </c>
      <c r="E81">
        <v>0.97911999999999999</v>
      </c>
      <c r="U81" t="s">
        <v>77</v>
      </c>
      <c r="V81" t="s">
        <v>595</v>
      </c>
      <c r="W81" t="s">
        <v>583</v>
      </c>
      <c r="X81" t="s">
        <v>513</v>
      </c>
    </row>
    <row r="82" spans="2:24" x14ac:dyDescent="0.45">
      <c r="B82" t="s">
        <v>209</v>
      </c>
      <c r="C82">
        <v>0</v>
      </c>
      <c r="D82">
        <v>107.80000000000001</v>
      </c>
      <c r="E82">
        <v>0.99412</v>
      </c>
      <c r="U82" t="s">
        <v>77</v>
      </c>
      <c r="V82" t="s">
        <v>596</v>
      </c>
      <c r="W82" t="s">
        <v>597</v>
      </c>
      <c r="X82" t="s">
        <v>513</v>
      </c>
    </row>
    <row r="83" spans="2:24" x14ac:dyDescent="0.45">
      <c r="B83" t="s">
        <v>210</v>
      </c>
      <c r="C83">
        <v>19.656654903667484</v>
      </c>
      <c r="D83">
        <v>163.9</v>
      </c>
      <c r="E83">
        <v>0.99106000000000005</v>
      </c>
      <c r="U83" t="s">
        <v>77</v>
      </c>
      <c r="V83" t="s">
        <v>598</v>
      </c>
      <c r="W83" t="s">
        <v>597</v>
      </c>
      <c r="X83" t="s">
        <v>513</v>
      </c>
    </row>
    <row r="84" spans="2:24" x14ac:dyDescent="0.45">
      <c r="B84" t="s">
        <v>210</v>
      </c>
      <c r="C84">
        <v>0</v>
      </c>
      <c r="D84">
        <v>163.9</v>
      </c>
      <c r="E84">
        <v>0.99106000000000005</v>
      </c>
      <c r="U84" t="s">
        <v>77</v>
      </c>
      <c r="V84" t="s">
        <v>599</v>
      </c>
      <c r="W84" t="s">
        <v>597</v>
      </c>
      <c r="X84" t="s">
        <v>513</v>
      </c>
    </row>
    <row r="85" spans="2:24" x14ac:dyDescent="0.45">
      <c r="B85" t="s">
        <v>211</v>
      </c>
      <c r="C85">
        <v>0</v>
      </c>
      <c r="D85">
        <v>42.900000000000006</v>
      </c>
      <c r="E85">
        <v>0.99765999999999999</v>
      </c>
      <c r="U85" t="s">
        <v>77</v>
      </c>
      <c r="V85" t="s">
        <v>600</v>
      </c>
      <c r="W85" t="s">
        <v>597</v>
      </c>
      <c r="X85" t="s">
        <v>513</v>
      </c>
    </row>
    <row r="86" spans="2:24" x14ac:dyDescent="0.45">
      <c r="B86" t="s">
        <v>212</v>
      </c>
      <c r="C86">
        <v>0</v>
      </c>
      <c r="D86">
        <v>136.4</v>
      </c>
      <c r="E86">
        <v>0.99256</v>
      </c>
      <c r="U86" t="s">
        <v>77</v>
      </c>
      <c r="V86" t="s">
        <v>601</v>
      </c>
      <c r="W86" t="s">
        <v>597</v>
      </c>
      <c r="X86" t="s">
        <v>513</v>
      </c>
    </row>
    <row r="87" spans="2:24" x14ac:dyDescent="0.45">
      <c r="B87" t="s">
        <v>213</v>
      </c>
      <c r="C87">
        <v>2.2343455417638518</v>
      </c>
      <c r="D87">
        <v>723.80000000000007</v>
      </c>
      <c r="E87">
        <v>0.96052000000000004</v>
      </c>
      <c r="U87" t="s">
        <v>77</v>
      </c>
      <c r="V87" t="s">
        <v>602</v>
      </c>
      <c r="W87" t="s">
        <v>597</v>
      </c>
      <c r="X87" t="s">
        <v>513</v>
      </c>
    </row>
    <row r="88" spans="2:24" x14ac:dyDescent="0.45">
      <c r="B88" t="s">
        <v>214</v>
      </c>
      <c r="C88">
        <v>0</v>
      </c>
      <c r="D88">
        <v>145.20000000000002</v>
      </c>
      <c r="E88">
        <v>0.99207999999999996</v>
      </c>
      <c r="U88" t="s">
        <v>77</v>
      </c>
      <c r="V88" t="s">
        <v>603</v>
      </c>
      <c r="W88" t="s">
        <v>597</v>
      </c>
      <c r="X88" t="s">
        <v>513</v>
      </c>
    </row>
    <row r="89" spans="2:24" x14ac:dyDescent="0.45">
      <c r="B89" t="s">
        <v>215</v>
      </c>
      <c r="C89">
        <v>0</v>
      </c>
      <c r="D89">
        <v>346.5</v>
      </c>
      <c r="E89">
        <v>0.98109999999999997</v>
      </c>
      <c r="U89" t="s">
        <v>77</v>
      </c>
      <c r="V89" t="s">
        <v>604</v>
      </c>
      <c r="W89" t="s">
        <v>597</v>
      </c>
      <c r="X89" t="s">
        <v>513</v>
      </c>
    </row>
    <row r="90" spans="2:24" x14ac:dyDescent="0.45">
      <c r="B90" t="s">
        <v>216</v>
      </c>
      <c r="C90">
        <v>0</v>
      </c>
      <c r="D90">
        <v>405.90000000000003</v>
      </c>
      <c r="E90">
        <v>0.97785999999999995</v>
      </c>
      <c r="U90" t="s">
        <v>77</v>
      </c>
      <c r="V90" t="s">
        <v>605</v>
      </c>
      <c r="W90" t="s">
        <v>597</v>
      </c>
      <c r="X90" t="s">
        <v>513</v>
      </c>
    </row>
    <row r="91" spans="2:24" x14ac:dyDescent="0.45">
      <c r="B91" t="s">
        <v>217</v>
      </c>
      <c r="C91">
        <v>0</v>
      </c>
      <c r="D91">
        <v>398.20000000000005</v>
      </c>
      <c r="E91">
        <v>0.97828000000000004</v>
      </c>
      <c r="U91" t="s">
        <v>77</v>
      </c>
      <c r="V91" t="s">
        <v>606</v>
      </c>
      <c r="W91" t="s">
        <v>597</v>
      </c>
      <c r="X91" t="s">
        <v>513</v>
      </c>
    </row>
    <row r="92" spans="2:24" x14ac:dyDescent="0.45">
      <c r="B92" t="s">
        <v>218</v>
      </c>
      <c r="C92">
        <v>0</v>
      </c>
      <c r="D92">
        <v>330</v>
      </c>
      <c r="E92">
        <v>0.98199999999999998</v>
      </c>
      <c r="U92" t="s">
        <v>77</v>
      </c>
      <c r="V92" t="s">
        <v>607</v>
      </c>
      <c r="W92" t="s">
        <v>597</v>
      </c>
      <c r="X92" t="s">
        <v>513</v>
      </c>
    </row>
    <row r="93" spans="2:24" x14ac:dyDescent="0.45">
      <c r="B93" t="s">
        <v>219</v>
      </c>
      <c r="C93">
        <v>0</v>
      </c>
      <c r="D93">
        <v>327.8</v>
      </c>
      <c r="E93">
        <v>0.98211999999999999</v>
      </c>
      <c r="U93" t="s">
        <v>77</v>
      </c>
      <c r="V93" t="s">
        <v>608</v>
      </c>
      <c r="W93" t="s">
        <v>597</v>
      </c>
      <c r="X93" t="s">
        <v>513</v>
      </c>
    </row>
    <row r="94" spans="2:24" x14ac:dyDescent="0.45">
      <c r="B94" t="s">
        <v>220</v>
      </c>
      <c r="C94">
        <v>0</v>
      </c>
      <c r="D94">
        <v>140.80000000000001</v>
      </c>
      <c r="E94">
        <v>0.99231999999999998</v>
      </c>
      <c r="U94" t="s">
        <v>77</v>
      </c>
      <c r="V94" t="s">
        <v>609</v>
      </c>
      <c r="W94" t="s">
        <v>597</v>
      </c>
      <c r="X94" t="s">
        <v>513</v>
      </c>
    </row>
    <row r="95" spans="2:24" x14ac:dyDescent="0.45">
      <c r="B95" t="s">
        <v>221</v>
      </c>
      <c r="C95">
        <v>7.9654418563881304</v>
      </c>
      <c r="D95">
        <v>301.40000000000003</v>
      </c>
      <c r="E95">
        <v>0.98355999999999999</v>
      </c>
      <c r="U95" t="s">
        <v>77</v>
      </c>
      <c r="V95" t="s">
        <v>610</v>
      </c>
      <c r="W95" t="s">
        <v>611</v>
      </c>
      <c r="X95" t="s">
        <v>513</v>
      </c>
    </row>
    <row r="96" spans="2:24" x14ac:dyDescent="0.45">
      <c r="B96" t="s">
        <v>222</v>
      </c>
      <c r="C96">
        <v>1.0277989492113717</v>
      </c>
      <c r="D96">
        <v>289.3</v>
      </c>
      <c r="E96">
        <v>0.98421999999999998</v>
      </c>
      <c r="U96" t="s">
        <v>77</v>
      </c>
      <c r="V96" t="s">
        <v>612</v>
      </c>
      <c r="W96" t="s">
        <v>611</v>
      </c>
      <c r="X96" t="s">
        <v>513</v>
      </c>
    </row>
    <row r="97" spans="2:24" x14ac:dyDescent="0.45">
      <c r="B97" t="s">
        <v>223</v>
      </c>
      <c r="C97">
        <v>0</v>
      </c>
      <c r="D97">
        <v>398.20000000000005</v>
      </c>
      <c r="E97">
        <v>0.97828000000000004</v>
      </c>
      <c r="U97" t="s">
        <v>77</v>
      </c>
      <c r="V97" t="s">
        <v>613</v>
      </c>
      <c r="W97" t="s">
        <v>611</v>
      </c>
      <c r="X97" t="s">
        <v>513</v>
      </c>
    </row>
    <row r="98" spans="2:24" x14ac:dyDescent="0.45">
      <c r="B98" t="s">
        <v>224</v>
      </c>
      <c r="C98">
        <v>0</v>
      </c>
      <c r="D98">
        <v>413.6</v>
      </c>
      <c r="E98">
        <v>0.97743999999999998</v>
      </c>
      <c r="U98" t="s">
        <v>77</v>
      </c>
      <c r="V98" t="s">
        <v>614</v>
      </c>
      <c r="W98" t="s">
        <v>611</v>
      </c>
      <c r="X98" t="s">
        <v>513</v>
      </c>
    </row>
    <row r="99" spans="2:24" x14ac:dyDescent="0.45">
      <c r="B99" t="s">
        <v>225</v>
      </c>
      <c r="C99">
        <v>0</v>
      </c>
      <c r="D99">
        <v>246.40000000000003</v>
      </c>
      <c r="E99">
        <v>0.98655999999999999</v>
      </c>
      <c r="U99" t="s">
        <v>77</v>
      </c>
      <c r="V99" t="s">
        <v>615</v>
      </c>
      <c r="W99" t="s">
        <v>611</v>
      </c>
      <c r="X99" t="s">
        <v>513</v>
      </c>
    </row>
    <row r="100" spans="2:24" x14ac:dyDescent="0.45">
      <c r="B100" t="s">
        <v>226</v>
      </c>
      <c r="C100">
        <v>2.0555978984227439</v>
      </c>
      <c r="D100">
        <v>92.4</v>
      </c>
      <c r="E100">
        <v>0.99495999999999996</v>
      </c>
      <c r="U100" t="s">
        <v>77</v>
      </c>
      <c r="V100" t="s">
        <v>616</v>
      </c>
      <c r="W100" t="s">
        <v>611</v>
      </c>
      <c r="X100" t="s">
        <v>513</v>
      </c>
    </row>
    <row r="101" spans="2:24" x14ac:dyDescent="0.45">
      <c r="B101" t="s">
        <v>226</v>
      </c>
      <c r="C101">
        <v>0</v>
      </c>
      <c r="D101">
        <v>92.4</v>
      </c>
      <c r="E101">
        <v>0.99495999999999996</v>
      </c>
      <c r="U101" t="s">
        <v>77</v>
      </c>
      <c r="V101" t="s">
        <v>617</v>
      </c>
      <c r="W101" t="s">
        <v>611</v>
      </c>
      <c r="X101" t="s">
        <v>513</v>
      </c>
    </row>
    <row r="102" spans="2:24" x14ac:dyDescent="0.45">
      <c r="B102" t="s">
        <v>227</v>
      </c>
      <c r="C102">
        <v>0</v>
      </c>
      <c r="D102">
        <v>177.10000000000002</v>
      </c>
      <c r="E102">
        <v>0.99034</v>
      </c>
      <c r="U102" t="s">
        <v>77</v>
      </c>
      <c r="V102" t="s">
        <v>618</v>
      </c>
      <c r="W102" t="s">
        <v>611</v>
      </c>
      <c r="X102" t="s">
        <v>513</v>
      </c>
    </row>
    <row r="103" spans="2:24" x14ac:dyDescent="0.45">
      <c r="B103" t="s">
        <v>228</v>
      </c>
      <c r="C103">
        <v>0</v>
      </c>
      <c r="D103">
        <v>383.90000000000003</v>
      </c>
      <c r="E103">
        <v>0.97906000000000004</v>
      </c>
      <c r="U103" t="s">
        <v>77</v>
      </c>
      <c r="V103" t="s">
        <v>619</v>
      </c>
      <c r="W103" t="s">
        <v>611</v>
      </c>
      <c r="X103" t="s">
        <v>513</v>
      </c>
    </row>
    <row r="104" spans="2:24" x14ac:dyDescent="0.45">
      <c r="B104" t="s">
        <v>229</v>
      </c>
      <c r="C104">
        <v>0</v>
      </c>
      <c r="D104">
        <v>298.10000000000002</v>
      </c>
      <c r="E104">
        <v>0.98373999999999995</v>
      </c>
      <c r="U104" t="s">
        <v>77</v>
      </c>
      <c r="V104" t="s">
        <v>620</v>
      </c>
      <c r="W104" t="s">
        <v>611</v>
      </c>
      <c r="X104" t="s">
        <v>513</v>
      </c>
    </row>
    <row r="105" spans="2:24" x14ac:dyDescent="0.45">
      <c r="B105" t="s">
        <v>230</v>
      </c>
      <c r="C105">
        <v>0</v>
      </c>
      <c r="D105">
        <v>352</v>
      </c>
      <c r="E105">
        <v>0.98080000000000001</v>
      </c>
      <c r="U105" t="s">
        <v>77</v>
      </c>
      <c r="V105" t="s">
        <v>621</v>
      </c>
      <c r="W105" t="s">
        <v>611</v>
      </c>
      <c r="X105" t="s">
        <v>513</v>
      </c>
    </row>
    <row r="106" spans="2:24" x14ac:dyDescent="0.45">
      <c r="B106" t="s">
        <v>231</v>
      </c>
      <c r="C106">
        <v>28.353844924983282</v>
      </c>
      <c r="D106">
        <v>227.70000000000002</v>
      </c>
      <c r="E106">
        <v>0.98758000000000001</v>
      </c>
      <c r="U106" t="s">
        <v>77</v>
      </c>
      <c r="V106" t="s">
        <v>622</v>
      </c>
      <c r="W106" t="s">
        <v>611</v>
      </c>
      <c r="X106" t="s">
        <v>513</v>
      </c>
    </row>
    <row r="107" spans="2:24" x14ac:dyDescent="0.45">
      <c r="B107" t="s">
        <v>232</v>
      </c>
      <c r="C107">
        <v>0</v>
      </c>
      <c r="D107">
        <v>160.60000000000002</v>
      </c>
      <c r="E107">
        <v>0.99124000000000001</v>
      </c>
      <c r="U107" t="s">
        <v>77</v>
      </c>
      <c r="V107" t="s">
        <v>623</v>
      </c>
      <c r="W107" t="s">
        <v>611</v>
      </c>
      <c r="X107" t="s">
        <v>513</v>
      </c>
    </row>
    <row r="108" spans="2:24" x14ac:dyDescent="0.45">
      <c r="B108" t="s">
        <v>233</v>
      </c>
      <c r="C108">
        <v>0</v>
      </c>
      <c r="D108">
        <v>304.70000000000005</v>
      </c>
      <c r="E108">
        <v>0.98338000000000003</v>
      </c>
      <c r="U108" t="s">
        <v>77</v>
      </c>
      <c r="V108" t="s">
        <v>624</v>
      </c>
      <c r="W108" t="s">
        <v>625</v>
      </c>
      <c r="X108" t="s">
        <v>513</v>
      </c>
    </row>
    <row r="109" spans="2:24" x14ac:dyDescent="0.45">
      <c r="B109" t="s">
        <v>234</v>
      </c>
      <c r="C109">
        <v>0</v>
      </c>
      <c r="D109">
        <v>125.4</v>
      </c>
      <c r="E109">
        <v>0.99316000000000004</v>
      </c>
      <c r="U109" t="s">
        <v>77</v>
      </c>
      <c r="V109" t="s">
        <v>626</v>
      </c>
      <c r="W109" t="s">
        <v>625</v>
      </c>
      <c r="X109" t="s">
        <v>513</v>
      </c>
    </row>
    <row r="110" spans="2:24" x14ac:dyDescent="0.45">
      <c r="B110" t="s">
        <v>235</v>
      </c>
      <c r="C110">
        <v>0</v>
      </c>
      <c r="D110">
        <v>60.500000000000007</v>
      </c>
      <c r="E110">
        <v>0.99670000000000003</v>
      </c>
      <c r="U110" t="s">
        <v>77</v>
      </c>
      <c r="V110" t="s">
        <v>627</v>
      </c>
      <c r="W110" t="s">
        <v>625</v>
      </c>
      <c r="X110" t="s">
        <v>513</v>
      </c>
    </row>
    <row r="111" spans="2:24" x14ac:dyDescent="0.45">
      <c r="B111" t="s">
        <v>236</v>
      </c>
      <c r="C111">
        <v>0</v>
      </c>
      <c r="D111">
        <v>295.90000000000003</v>
      </c>
      <c r="E111">
        <v>0.98385999999999996</v>
      </c>
      <c r="U111" t="s">
        <v>77</v>
      </c>
      <c r="V111" t="s">
        <v>628</v>
      </c>
      <c r="W111" t="s">
        <v>625</v>
      </c>
      <c r="X111" t="s">
        <v>513</v>
      </c>
    </row>
    <row r="112" spans="2:24" x14ac:dyDescent="0.45">
      <c r="B112" t="s">
        <v>237</v>
      </c>
      <c r="C112">
        <v>0</v>
      </c>
      <c r="D112">
        <v>116.60000000000001</v>
      </c>
      <c r="E112">
        <v>0.99363999999999997</v>
      </c>
      <c r="U112" t="s">
        <v>77</v>
      </c>
      <c r="V112" t="s">
        <v>629</v>
      </c>
      <c r="W112" t="s">
        <v>625</v>
      </c>
      <c r="X112" t="s">
        <v>513</v>
      </c>
    </row>
    <row r="113" spans="2:24" x14ac:dyDescent="0.45">
      <c r="B113" t="s">
        <v>238</v>
      </c>
      <c r="C113">
        <v>0</v>
      </c>
      <c r="D113">
        <v>260.70000000000005</v>
      </c>
      <c r="E113">
        <v>0.98577999999999999</v>
      </c>
      <c r="U113" t="s">
        <v>77</v>
      </c>
      <c r="V113" t="s">
        <v>630</v>
      </c>
      <c r="W113" t="s">
        <v>625</v>
      </c>
      <c r="X113" t="s">
        <v>513</v>
      </c>
    </row>
    <row r="114" spans="2:24" x14ac:dyDescent="0.45">
      <c r="B114" t="s">
        <v>239</v>
      </c>
      <c r="C114">
        <v>0</v>
      </c>
      <c r="D114">
        <v>1092.3000000000002</v>
      </c>
      <c r="E114">
        <v>0.94042000000000003</v>
      </c>
      <c r="U114" t="s">
        <v>77</v>
      </c>
      <c r="V114" t="s">
        <v>631</v>
      </c>
      <c r="W114" t="s">
        <v>625</v>
      </c>
      <c r="X114" t="s">
        <v>513</v>
      </c>
    </row>
    <row r="115" spans="2:24" x14ac:dyDescent="0.45">
      <c r="B115" t="s">
        <v>240</v>
      </c>
      <c r="C115">
        <v>0</v>
      </c>
      <c r="D115">
        <v>882.2</v>
      </c>
      <c r="E115">
        <v>0.95187999999999995</v>
      </c>
      <c r="U115" t="s">
        <v>77</v>
      </c>
      <c r="V115" t="s">
        <v>632</v>
      </c>
      <c r="W115" t="s">
        <v>625</v>
      </c>
      <c r="X115" t="s">
        <v>513</v>
      </c>
    </row>
    <row r="116" spans="2:24" x14ac:dyDescent="0.45">
      <c r="B116" t="s">
        <v>241</v>
      </c>
      <c r="C116">
        <v>0</v>
      </c>
      <c r="D116">
        <v>845.90000000000009</v>
      </c>
      <c r="E116">
        <v>0.95386000000000004</v>
      </c>
      <c r="U116" t="s">
        <v>77</v>
      </c>
      <c r="V116" t="s">
        <v>633</v>
      </c>
      <c r="W116" t="s">
        <v>625</v>
      </c>
      <c r="X116" t="s">
        <v>513</v>
      </c>
    </row>
    <row r="117" spans="2:24" x14ac:dyDescent="0.45">
      <c r="B117" t="s">
        <v>242</v>
      </c>
      <c r="C117">
        <v>0</v>
      </c>
      <c r="D117">
        <v>370.70000000000005</v>
      </c>
      <c r="E117">
        <v>0.97977999999999998</v>
      </c>
      <c r="U117" t="s">
        <v>77</v>
      </c>
      <c r="V117" t="s">
        <v>634</v>
      </c>
      <c r="W117" t="s">
        <v>625</v>
      </c>
      <c r="X117" t="s">
        <v>513</v>
      </c>
    </row>
    <row r="118" spans="2:24" x14ac:dyDescent="0.45">
      <c r="B118" t="s">
        <v>243</v>
      </c>
      <c r="C118">
        <v>0</v>
      </c>
      <c r="D118">
        <v>931.7</v>
      </c>
      <c r="E118">
        <v>0.94918000000000002</v>
      </c>
      <c r="U118" t="s">
        <v>77</v>
      </c>
      <c r="V118" t="s">
        <v>635</v>
      </c>
      <c r="W118" t="s">
        <v>625</v>
      </c>
      <c r="X118" t="s">
        <v>513</v>
      </c>
    </row>
    <row r="119" spans="2:24" x14ac:dyDescent="0.45">
      <c r="B119" t="s">
        <v>244</v>
      </c>
      <c r="C119">
        <v>0</v>
      </c>
      <c r="D119">
        <v>787.6</v>
      </c>
      <c r="E119">
        <v>0.95704</v>
      </c>
      <c r="U119" t="s">
        <v>77</v>
      </c>
      <c r="V119" t="s">
        <v>636</v>
      </c>
      <c r="W119" t="s">
        <v>625</v>
      </c>
      <c r="X119" t="s">
        <v>513</v>
      </c>
    </row>
    <row r="120" spans="2:24" x14ac:dyDescent="0.45">
      <c r="B120" t="s">
        <v>245</v>
      </c>
      <c r="C120">
        <v>0</v>
      </c>
      <c r="D120">
        <v>594</v>
      </c>
      <c r="E120">
        <v>0.96760000000000002</v>
      </c>
      <c r="U120" t="s">
        <v>77</v>
      </c>
      <c r="V120" t="s">
        <v>637</v>
      </c>
      <c r="W120" t="s">
        <v>625</v>
      </c>
      <c r="X120" t="s">
        <v>513</v>
      </c>
    </row>
    <row r="121" spans="2:24" x14ac:dyDescent="0.45">
      <c r="B121" t="s">
        <v>246</v>
      </c>
      <c r="C121">
        <v>0</v>
      </c>
      <c r="D121">
        <v>726.00000000000011</v>
      </c>
      <c r="E121">
        <v>0.96040000000000003</v>
      </c>
      <c r="U121" t="s">
        <v>77</v>
      </c>
      <c r="V121" t="s">
        <v>638</v>
      </c>
      <c r="W121" t="s">
        <v>639</v>
      </c>
      <c r="X121" t="s">
        <v>513</v>
      </c>
    </row>
    <row r="122" spans="2:24" x14ac:dyDescent="0.45">
      <c r="B122" t="s">
        <v>247</v>
      </c>
      <c r="C122">
        <v>0</v>
      </c>
      <c r="D122">
        <v>396.00000000000006</v>
      </c>
      <c r="E122">
        <v>0.97840000000000005</v>
      </c>
      <c r="U122" t="s">
        <v>77</v>
      </c>
      <c r="V122" t="s">
        <v>640</v>
      </c>
      <c r="W122" t="s">
        <v>639</v>
      </c>
      <c r="X122" t="s">
        <v>513</v>
      </c>
    </row>
    <row r="123" spans="2:24" x14ac:dyDescent="0.45">
      <c r="B123" t="s">
        <v>248</v>
      </c>
      <c r="C123">
        <v>0</v>
      </c>
      <c r="D123">
        <v>413.6</v>
      </c>
      <c r="E123">
        <v>0.97743999999999998</v>
      </c>
      <c r="U123" t="s">
        <v>77</v>
      </c>
      <c r="V123" t="s">
        <v>641</v>
      </c>
      <c r="W123" t="s">
        <v>639</v>
      </c>
      <c r="X123" t="s">
        <v>513</v>
      </c>
    </row>
    <row r="124" spans="2:24" x14ac:dyDescent="0.45">
      <c r="B124" t="s">
        <v>249</v>
      </c>
      <c r="C124">
        <v>0</v>
      </c>
      <c r="D124">
        <v>592.90000000000009</v>
      </c>
      <c r="E124">
        <v>0.96765999999999996</v>
      </c>
      <c r="U124" t="s">
        <v>77</v>
      </c>
      <c r="V124" t="s">
        <v>642</v>
      </c>
      <c r="W124" t="s">
        <v>639</v>
      </c>
      <c r="X124" t="s">
        <v>513</v>
      </c>
    </row>
    <row r="125" spans="2:24" x14ac:dyDescent="0.45">
      <c r="B125" t="s">
        <v>250</v>
      </c>
      <c r="C125">
        <v>0</v>
      </c>
      <c r="D125">
        <v>675.40000000000009</v>
      </c>
      <c r="E125">
        <v>0.96316000000000002</v>
      </c>
      <c r="U125" t="s">
        <v>77</v>
      </c>
      <c r="V125" t="s">
        <v>643</v>
      </c>
      <c r="W125" t="s">
        <v>639</v>
      </c>
      <c r="X125" t="s">
        <v>513</v>
      </c>
    </row>
    <row r="126" spans="2:24" x14ac:dyDescent="0.45">
      <c r="B126" t="s">
        <v>251</v>
      </c>
      <c r="C126">
        <v>0</v>
      </c>
      <c r="D126">
        <v>209.00000000000003</v>
      </c>
      <c r="E126">
        <v>0.98860000000000003</v>
      </c>
      <c r="U126" t="s">
        <v>77</v>
      </c>
      <c r="V126" t="s">
        <v>644</v>
      </c>
      <c r="W126" t="s">
        <v>639</v>
      </c>
      <c r="X126" t="s">
        <v>513</v>
      </c>
    </row>
    <row r="127" spans="2:24" x14ac:dyDescent="0.45">
      <c r="B127" t="s">
        <v>252</v>
      </c>
      <c r="C127">
        <v>0</v>
      </c>
      <c r="D127">
        <v>122.10000000000001</v>
      </c>
      <c r="E127">
        <v>0.99334</v>
      </c>
      <c r="U127" t="s">
        <v>77</v>
      </c>
      <c r="V127" t="s">
        <v>645</v>
      </c>
      <c r="W127" t="s">
        <v>639</v>
      </c>
      <c r="X127" t="s">
        <v>513</v>
      </c>
    </row>
    <row r="128" spans="2:24" x14ac:dyDescent="0.45">
      <c r="B128" t="s">
        <v>253</v>
      </c>
      <c r="C128">
        <v>0</v>
      </c>
      <c r="D128">
        <v>493.90000000000003</v>
      </c>
      <c r="E128">
        <v>0.97306000000000004</v>
      </c>
      <c r="U128" t="s">
        <v>77</v>
      </c>
      <c r="V128" t="s">
        <v>646</v>
      </c>
      <c r="W128" t="s">
        <v>639</v>
      </c>
      <c r="X128" t="s">
        <v>513</v>
      </c>
    </row>
    <row r="129" spans="2:24" x14ac:dyDescent="0.45">
      <c r="B129" t="s">
        <v>254</v>
      </c>
      <c r="C129">
        <v>0</v>
      </c>
      <c r="D129">
        <v>220.00000000000003</v>
      </c>
      <c r="E129">
        <v>0.98799999999999999</v>
      </c>
      <c r="U129" t="s">
        <v>77</v>
      </c>
      <c r="V129" t="s">
        <v>647</v>
      </c>
      <c r="W129" t="s">
        <v>639</v>
      </c>
      <c r="X129" t="s">
        <v>513</v>
      </c>
    </row>
    <row r="130" spans="2:24" x14ac:dyDescent="0.45">
      <c r="B130" t="s">
        <v>255</v>
      </c>
      <c r="C130">
        <v>0</v>
      </c>
      <c r="D130">
        <v>244.20000000000002</v>
      </c>
      <c r="E130">
        <v>0.98668</v>
      </c>
      <c r="U130" t="s">
        <v>77</v>
      </c>
      <c r="V130" t="s">
        <v>648</v>
      </c>
      <c r="W130" t="s">
        <v>639</v>
      </c>
      <c r="X130" t="s">
        <v>513</v>
      </c>
    </row>
    <row r="131" spans="2:24" x14ac:dyDescent="0.45">
      <c r="B131" t="s">
        <v>256</v>
      </c>
      <c r="C131">
        <v>0</v>
      </c>
      <c r="D131">
        <v>683.1</v>
      </c>
      <c r="E131">
        <v>0.96274000000000004</v>
      </c>
      <c r="U131" t="s">
        <v>77</v>
      </c>
      <c r="V131" t="s">
        <v>649</v>
      </c>
      <c r="W131" t="s">
        <v>639</v>
      </c>
      <c r="X131" t="s">
        <v>513</v>
      </c>
    </row>
    <row r="132" spans="2:24" x14ac:dyDescent="0.45">
      <c r="B132" t="s">
        <v>257</v>
      </c>
      <c r="C132">
        <v>0</v>
      </c>
      <c r="D132">
        <v>548.90000000000009</v>
      </c>
      <c r="E132">
        <v>0.97006000000000003</v>
      </c>
      <c r="U132" t="s">
        <v>77</v>
      </c>
      <c r="V132" t="s">
        <v>650</v>
      </c>
      <c r="W132" t="s">
        <v>639</v>
      </c>
      <c r="X132" t="s">
        <v>513</v>
      </c>
    </row>
    <row r="133" spans="2:24" x14ac:dyDescent="0.45">
      <c r="B133" t="s">
        <v>258</v>
      </c>
      <c r="C133">
        <v>0.51389947460568586</v>
      </c>
      <c r="D133">
        <v>606.1</v>
      </c>
      <c r="E133">
        <v>0.96694000000000002</v>
      </c>
      <c r="U133" t="s">
        <v>77</v>
      </c>
      <c r="V133" t="s">
        <v>651</v>
      </c>
      <c r="W133" t="s">
        <v>639</v>
      </c>
      <c r="X133" t="s">
        <v>513</v>
      </c>
    </row>
    <row r="134" spans="2:24" x14ac:dyDescent="0.45">
      <c r="B134" t="s">
        <v>259</v>
      </c>
      <c r="C134">
        <v>0</v>
      </c>
      <c r="D134">
        <v>667.7</v>
      </c>
      <c r="E134">
        <v>0.96357999999999999</v>
      </c>
      <c r="U134" t="s">
        <v>77</v>
      </c>
      <c r="V134" t="s">
        <v>652</v>
      </c>
      <c r="W134" t="s">
        <v>625</v>
      </c>
      <c r="X134" t="s">
        <v>513</v>
      </c>
    </row>
    <row r="135" spans="2:24" x14ac:dyDescent="0.45">
      <c r="B135" t="s">
        <v>260</v>
      </c>
      <c r="C135">
        <v>0</v>
      </c>
      <c r="D135">
        <v>239.8</v>
      </c>
      <c r="E135">
        <v>0.98692000000000002</v>
      </c>
      <c r="U135" t="s">
        <v>77</v>
      </c>
      <c r="V135" t="s">
        <v>653</v>
      </c>
      <c r="W135" t="s">
        <v>625</v>
      </c>
      <c r="X135" t="s">
        <v>513</v>
      </c>
    </row>
    <row r="136" spans="2:24" x14ac:dyDescent="0.45">
      <c r="B136" t="s">
        <v>261</v>
      </c>
      <c r="C136">
        <v>0</v>
      </c>
      <c r="D136">
        <v>382.8</v>
      </c>
      <c r="E136">
        <v>0.97911999999999999</v>
      </c>
      <c r="U136" t="s">
        <v>77</v>
      </c>
      <c r="V136" t="s">
        <v>654</v>
      </c>
      <c r="W136" t="s">
        <v>625</v>
      </c>
      <c r="X136" t="s">
        <v>513</v>
      </c>
    </row>
    <row r="137" spans="2:24" x14ac:dyDescent="0.45">
      <c r="B137" t="s">
        <v>262</v>
      </c>
      <c r="C137">
        <v>0</v>
      </c>
      <c r="D137">
        <v>312.40000000000003</v>
      </c>
      <c r="E137">
        <v>0.98296000000000006</v>
      </c>
      <c r="U137" t="s">
        <v>77</v>
      </c>
      <c r="V137" t="s">
        <v>655</v>
      </c>
      <c r="W137" t="s">
        <v>541</v>
      </c>
      <c r="X137" t="s">
        <v>513</v>
      </c>
    </row>
    <row r="138" spans="2:24" x14ac:dyDescent="0.45">
      <c r="B138" t="s">
        <v>263</v>
      </c>
      <c r="C138">
        <v>0</v>
      </c>
      <c r="D138">
        <v>299.20000000000005</v>
      </c>
      <c r="E138">
        <v>0.98368</v>
      </c>
      <c r="U138" t="s">
        <v>77</v>
      </c>
      <c r="V138" t="s">
        <v>656</v>
      </c>
      <c r="W138" t="s">
        <v>541</v>
      </c>
      <c r="X138" t="s">
        <v>513</v>
      </c>
    </row>
    <row r="139" spans="2:24" x14ac:dyDescent="0.45">
      <c r="B139" t="s">
        <v>264</v>
      </c>
      <c r="C139">
        <v>2.3125476357255863</v>
      </c>
      <c r="D139">
        <v>586.30000000000007</v>
      </c>
      <c r="E139">
        <v>0.96801999999999999</v>
      </c>
      <c r="U139" t="s">
        <v>77</v>
      </c>
      <c r="V139" t="s">
        <v>657</v>
      </c>
      <c r="W139" t="s">
        <v>541</v>
      </c>
      <c r="X139" t="s">
        <v>513</v>
      </c>
    </row>
    <row r="140" spans="2:24" x14ac:dyDescent="0.45">
      <c r="B140" t="s">
        <v>265</v>
      </c>
      <c r="C140">
        <v>0</v>
      </c>
      <c r="D140">
        <v>293.70000000000005</v>
      </c>
      <c r="E140">
        <v>0.98397999999999997</v>
      </c>
      <c r="U140" t="s">
        <v>77</v>
      </c>
      <c r="V140" t="s">
        <v>658</v>
      </c>
      <c r="W140" t="s">
        <v>569</v>
      </c>
      <c r="X140" t="s">
        <v>513</v>
      </c>
    </row>
    <row r="141" spans="2:24" x14ac:dyDescent="0.45">
      <c r="B141" t="s">
        <v>266</v>
      </c>
      <c r="C141">
        <v>0</v>
      </c>
      <c r="D141">
        <v>134.20000000000002</v>
      </c>
      <c r="E141">
        <v>0.99268000000000001</v>
      </c>
      <c r="U141" t="s">
        <v>77</v>
      </c>
      <c r="V141" t="s">
        <v>659</v>
      </c>
      <c r="W141" t="s">
        <v>569</v>
      </c>
      <c r="X141" t="s">
        <v>513</v>
      </c>
    </row>
    <row r="142" spans="2:24" x14ac:dyDescent="0.45">
      <c r="B142" t="s">
        <v>267</v>
      </c>
      <c r="C142">
        <v>0</v>
      </c>
      <c r="D142">
        <v>156.20000000000002</v>
      </c>
      <c r="E142">
        <v>0.99148000000000003</v>
      </c>
      <c r="U142" t="s">
        <v>77</v>
      </c>
      <c r="V142" t="s">
        <v>660</v>
      </c>
      <c r="W142" t="s">
        <v>569</v>
      </c>
      <c r="X142" t="s">
        <v>513</v>
      </c>
    </row>
    <row r="143" spans="2:24" x14ac:dyDescent="0.45">
      <c r="B143" t="s">
        <v>268</v>
      </c>
      <c r="C143">
        <v>0</v>
      </c>
      <c r="D143">
        <v>410.3</v>
      </c>
      <c r="E143">
        <v>0.97762000000000004</v>
      </c>
      <c r="U143" t="s">
        <v>77</v>
      </c>
      <c r="V143" t="s">
        <v>661</v>
      </c>
      <c r="W143" t="s">
        <v>597</v>
      </c>
      <c r="X143" t="s">
        <v>513</v>
      </c>
    </row>
    <row r="144" spans="2:24" x14ac:dyDescent="0.45">
      <c r="B144" t="s">
        <v>269</v>
      </c>
      <c r="C144">
        <v>0</v>
      </c>
      <c r="D144">
        <v>438.90000000000003</v>
      </c>
      <c r="E144">
        <v>0.97606000000000004</v>
      </c>
      <c r="U144" t="s">
        <v>77</v>
      </c>
      <c r="V144" t="s">
        <v>662</v>
      </c>
      <c r="W144" t="s">
        <v>597</v>
      </c>
      <c r="X144" t="s">
        <v>513</v>
      </c>
    </row>
    <row r="145" spans="2:24" x14ac:dyDescent="0.45">
      <c r="B145" t="s">
        <v>270</v>
      </c>
      <c r="C145">
        <v>0</v>
      </c>
      <c r="D145">
        <v>250.8</v>
      </c>
      <c r="E145">
        <v>0.98631999999999997</v>
      </c>
      <c r="U145" t="s">
        <v>77</v>
      </c>
      <c r="V145" t="s">
        <v>663</v>
      </c>
      <c r="W145" t="s">
        <v>597</v>
      </c>
      <c r="X145" t="s">
        <v>513</v>
      </c>
    </row>
    <row r="146" spans="2:24" x14ac:dyDescent="0.45">
      <c r="B146" t="s">
        <v>271</v>
      </c>
      <c r="C146">
        <v>0</v>
      </c>
      <c r="D146">
        <v>84.7</v>
      </c>
      <c r="E146">
        <v>0.99538000000000004</v>
      </c>
      <c r="U146" t="s">
        <v>77</v>
      </c>
      <c r="V146" t="s">
        <v>664</v>
      </c>
      <c r="W146" t="s">
        <v>639</v>
      </c>
      <c r="X146" t="s">
        <v>513</v>
      </c>
    </row>
    <row r="147" spans="2:24" x14ac:dyDescent="0.45">
      <c r="B147" t="s">
        <v>272</v>
      </c>
      <c r="C147">
        <v>0</v>
      </c>
      <c r="D147">
        <v>490.6</v>
      </c>
      <c r="E147">
        <v>0.97323999999999999</v>
      </c>
      <c r="U147" t="s">
        <v>77</v>
      </c>
      <c r="V147" t="s">
        <v>665</v>
      </c>
      <c r="W147" t="s">
        <v>639</v>
      </c>
      <c r="X147" t="s">
        <v>513</v>
      </c>
    </row>
    <row r="148" spans="2:24" x14ac:dyDescent="0.45">
      <c r="B148" t="s">
        <v>273</v>
      </c>
      <c r="C148">
        <v>0</v>
      </c>
      <c r="D148">
        <v>414.70000000000005</v>
      </c>
      <c r="E148">
        <v>0.97738000000000003</v>
      </c>
      <c r="U148" t="s">
        <v>77</v>
      </c>
      <c r="V148" t="s">
        <v>666</v>
      </c>
      <c r="W148" t="s">
        <v>639</v>
      </c>
      <c r="X148" t="s">
        <v>513</v>
      </c>
    </row>
    <row r="149" spans="2:24" x14ac:dyDescent="0.45">
      <c r="B149" t="s">
        <v>274</v>
      </c>
      <c r="C149">
        <v>0</v>
      </c>
      <c r="D149">
        <v>503.80000000000007</v>
      </c>
      <c r="E149">
        <v>0.97252000000000005</v>
      </c>
      <c r="U149" t="s">
        <v>77</v>
      </c>
      <c r="V149" t="s">
        <v>667</v>
      </c>
      <c r="W149" t="s">
        <v>611</v>
      </c>
      <c r="X149" t="s">
        <v>513</v>
      </c>
    </row>
    <row r="150" spans="2:24" x14ac:dyDescent="0.45">
      <c r="B150" t="s">
        <v>275</v>
      </c>
      <c r="C150">
        <v>2.3125476357255863</v>
      </c>
      <c r="D150">
        <v>557.70000000000005</v>
      </c>
      <c r="E150">
        <v>0.96958</v>
      </c>
      <c r="U150" t="s">
        <v>77</v>
      </c>
      <c r="V150" t="s">
        <v>668</v>
      </c>
      <c r="W150" t="s">
        <v>611</v>
      </c>
      <c r="X150" t="s">
        <v>513</v>
      </c>
    </row>
    <row r="151" spans="2:24" x14ac:dyDescent="0.45">
      <c r="B151" t="s">
        <v>276</v>
      </c>
      <c r="C151">
        <v>0</v>
      </c>
      <c r="D151">
        <v>548.90000000000009</v>
      </c>
      <c r="E151">
        <v>0.97006000000000003</v>
      </c>
      <c r="U151" t="s">
        <v>77</v>
      </c>
      <c r="V151" t="s">
        <v>669</v>
      </c>
      <c r="W151" t="s">
        <v>611</v>
      </c>
      <c r="X151" t="s">
        <v>513</v>
      </c>
    </row>
    <row r="152" spans="2:24" x14ac:dyDescent="0.45">
      <c r="B152" t="s">
        <v>277</v>
      </c>
      <c r="C152">
        <v>0</v>
      </c>
      <c r="D152">
        <v>830.50000000000011</v>
      </c>
      <c r="E152">
        <v>0.95469999999999999</v>
      </c>
      <c r="U152" t="s">
        <v>77</v>
      </c>
      <c r="V152" t="s">
        <v>670</v>
      </c>
      <c r="W152" t="s">
        <v>527</v>
      </c>
      <c r="X152" t="s">
        <v>513</v>
      </c>
    </row>
    <row r="153" spans="2:24" x14ac:dyDescent="0.45">
      <c r="B153" t="s">
        <v>278</v>
      </c>
      <c r="C153">
        <v>0</v>
      </c>
      <c r="D153">
        <v>635.80000000000007</v>
      </c>
      <c r="E153">
        <v>0.96531999999999996</v>
      </c>
      <c r="U153" t="s">
        <v>77</v>
      </c>
      <c r="V153" t="s">
        <v>671</v>
      </c>
      <c r="W153" t="s">
        <v>527</v>
      </c>
      <c r="X153" t="s">
        <v>513</v>
      </c>
    </row>
    <row r="154" spans="2:24" x14ac:dyDescent="0.45">
      <c r="B154" t="s">
        <v>279</v>
      </c>
      <c r="C154">
        <v>0</v>
      </c>
      <c r="D154">
        <v>583</v>
      </c>
      <c r="E154">
        <v>0.96819999999999995</v>
      </c>
      <c r="U154" t="s">
        <v>77</v>
      </c>
      <c r="V154" t="s">
        <v>672</v>
      </c>
      <c r="W154" t="s">
        <v>527</v>
      </c>
      <c r="X154" t="s">
        <v>513</v>
      </c>
    </row>
    <row r="155" spans="2:24" x14ac:dyDescent="0.45">
      <c r="B155" t="s">
        <v>280</v>
      </c>
      <c r="C155">
        <v>0</v>
      </c>
      <c r="D155">
        <v>237.60000000000002</v>
      </c>
      <c r="E155">
        <v>0.98704000000000003</v>
      </c>
      <c r="U155" t="s">
        <v>77</v>
      </c>
      <c r="V155" t="s">
        <v>673</v>
      </c>
      <c r="W155" t="s">
        <v>512</v>
      </c>
      <c r="X155" t="s">
        <v>513</v>
      </c>
    </row>
    <row r="156" spans="2:24" x14ac:dyDescent="0.45">
      <c r="B156" t="s">
        <v>281</v>
      </c>
      <c r="C156">
        <v>0</v>
      </c>
      <c r="D156">
        <v>135.30000000000001</v>
      </c>
      <c r="E156">
        <v>0.99261999999999995</v>
      </c>
      <c r="U156" t="s">
        <v>77</v>
      </c>
      <c r="V156" t="s">
        <v>674</v>
      </c>
      <c r="W156" t="s">
        <v>512</v>
      </c>
      <c r="X156" t="s">
        <v>513</v>
      </c>
    </row>
    <row r="157" spans="2:24" x14ac:dyDescent="0.45">
      <c r="B157" t="s">
        <v>282</v>
      </c>
      <c r="C157">
        <v>0</v>
      </c>
      <c r="D157">
        <v>157.30000000000001</v>
      </c>
      <c r="E157">
        <v>0.99141999999999997</v>
      </c>
      <c r="U157" t="s">
        <v>77</v>
      </c>
      <c r="V157" t="s">
        <v>675</v>
      </c>
      <c r="W157" t="s">
        <v>512</v>
      </c>
      <c r="X157" t="s">
        <v>513</v>
      </c>
    </row>
    <row r="158" spans="2:24" x14ac:dyDescent="0.45">
      <c r="B158" t="s">
        <v>283</v>
      </c>
      <c r="C158">
        <v>0</v>
      </c>
      <c r="D158">
        <v>306.90000000000003</v>
      </c>
      <c r="E158">
        <v>0.98326000000000002</v>
      </c>
      <c r="U158" t="s">
        <v>77</v>
      </c>
      <c r="V158" t="s">
        <v>676</v>
      </c>
      <c r="W158" t="s">
        <v>555</v>
      </c>
      <c r="X158" t="s">
        <v>513</v>
      </c>
    </row>
    <row r="159" spans="2:24" x14ac:dyDescent="0.45">
      <c r="B159" t="s">
        <v>284</v>
      </c>
      <c r="C159">
        <v>0</v>
      </c>
      <c r="D159">
        <v>345.40000000000003</v>
      </c>
      <c r="E159">
        <v>0.98116000000000003</v>
      </c>
      <c r="U159" t="s">
        <v>77</v>
      </c>
      <c r="V159" t="s">
        <v>677</v>
      </c>
      <c r="W159" t="s">
        <v>555</v>
      </c>
      <c r="X159" t="s">
        <v>513</v>
      </c>
    </row>
    <row r="160" spans="2:24" x14ac:dyDescent="0.45">
      <c r="B160" t="s">
        <v>285</v>
      </c>
      <c r="C160">
        <v>0</v>
      </c>
      <c r="D160">
        <v>563.20000000000005</v>
      </c>
      <c r="E160">
        <v>0.96928000000000003</v>
      </c>
      <c r="U160" t="s">
        <v>77</v>
      </c>
      <c r="V160" t="s">
        <v>678</v>
      </c>
      <c r="W160" t="s">
        <v>555</v>
      </c>
      <c r="X160" t="s">
        <v>513</v>
      </c>
    </row>
    <row r="161" spans="2:24" x14ac:dyDescent="0.45">
      <c r="B161" t="s">
        <v>286</v>
      </c>
      <c r="C161">
        <v>0</v>
      </c>
      <c r="D161">
        <v>393.8</v>
      </c>
      <c r="E161">
        <v>0.97852000000000006</v>
      </c>
      <c r="U161" t="s">
        <v>77</v>
      </c>
      <c r="V161" t="s">
        <v>679</v>
      </c>
      <c r="W161" t="s">
        <v>583</v>
      </c>
      <c r="X161" t="s">
        <v>513</v>
      </c>
    </row>
    <row r="162" spans="2:24" x14ac:dyDescent="0.45">
      <c r="B162" t="s">
        <v>287</v>
      </c>
      <c r="C162">
        <v>0</v>
      </c>
      <c r="D162">
        <v>59.400000000000006</v>
      </c>
      <c r="E162">
        <v>0.99675999999999998</v>
      </c>
      <c r="U162" t="s">
        <v>77</v>
      </c>
      <c r="V162" t="s">
        <v>680</v>
      </c>
      <c r="W162" t="s">
        <v>583</v>
      </c>
      <c r="X162" t="s">
        <v>513</v>
      </c>
    </row>
    <row r="163" spans="2:24" x14ac:dyDescent="0.45">
      <c r="B163" t="s">
        <v>288</v>
      </c>
      <c r="C163">
        <v>0</v>
      </c>
      <c r="D163">
        <v>337.70000000000005</v>
      </c>
      <c r="E163">
        <v>0.98158000000000001</v>
      </c>
      <c r="U163" t="s">
        <v>77</v>
      </c>
      <c r="V163" t="s">
        <v>681</v>
      </c>
      <c r="W163" t="s">
        <v>583</v>
      </c>
      <c r="X163" t="s">
        <v>513</v>
      </c>
    </row>
    <row r="164" spans="2:24" x14ac:dyDescent="0.45">
      <c r="B164" t="s">
        <v>289</v>
      </c>
      <c r="C164">
        <v>0</v>
      </c>
      <c r="D164">
        <v>180.4</v>
      </c>
      <c r="E164">
        <v>0.99016000000000004</v>
      </c>
      <c r="U164" t="s">
        <v>77</v>
      </c>
      <c r="V164" t="s">
        <v>682</v>
      </c>
      <c r="W164" t="s">
        <v>512</v>
      </c>
      <c r="X164" t="s">
        <v>513</v>
      </c>
    </row>
    <row r="165" spans="2:24" x14ac:dyDescent="0.45">
      <c r="B165" t="s">
        <v>290</v>
      </c>
      <c r="C165">
        <v>0</v>
      </c>
      <c r="D165">
        <v>291.5</v>
      </c>
      <c r="E165">
        <v>0.98409999999999997</v>
      </c>
      <c r="U165" t="s">
        <v>77</v>
      </c>
      <c r="V165" t="s">
        <v>683</v>
      </c>
      <c r="W165" t="s">
        <v>512</v>
      </c>
      <c r="X165" t="s">
        <v>513</v>
      </c>
    </row>
    <row r="166" spans="2:24" x14ac:dyDescent="0.45">
      <c r="B166" t="s">
        <v>291</v>
      </c>
      <c r="C166">
        <v>0</v>
      </c>
      <c r="D166">
        <v>570.90000000000009</v>
      </c>
      <c r="E166">
        <v>0.96886000000000005</v>
      </c>
      <c r="U166" t="s">
        <v>77</v>
      </c>
      <c r="V166" t="s">
        <v>684</v>
      </c>
      <c r="W166" t="s">
        <v>527</v>
      </c>
      <c r="X166" t="s">
        <v>513</v>
      </c>
    </row>
    <row r="167" spans="2:24" x14ac:dyDescent="0.45">
      <c r="B167" t="s">
        <v>292</v>
      </c>
      <c r="C167">
        <v>0</v>
      </c>
      <c r="D167">
        <v>262.90000000000003</v>
      </c>
      <c r="E167">
        <v>0.98565999999999998</v>
      </c>
      <c r="U167" t="s">
        <v>77</v>
      </c>
      <c r="V167" t="s">
        <v>685</v>
      </c>
      <c r="W167" t="s">
        <v>527</v>
      </c>
      <c r="X167" t="s">
        <v>513</v>
      </c>
    </row>
    <row r="168" spans="2:24" x14ac:dyDescent="0.45">
      <c r="B168" t="s">
        <v>293</v>
      </c>
      <c r="C168">
        <v>0</v>
      </c>
      <c r="D168">
        <v>740.30000000000007</v>
      </c>
      <c r="E168">
        <v>0.95962000000000003</v>
      </c>
      <c r="U168" t="s">
        <v>77</v>
      </c>
      <c r="V168" t="s">
        <v>686</v>
      </c>
      <c r="W168" t="s">
        <v>541</v>
      </c>
      <c r="X168" t="s">
        <v>513</v>
      </c>
    </row>
    <row r="169" spans="2:24" x14ac:dyDescent="0.45">
      <c r="B169" t="s">
        <v>294</v>
      </c>
      <c r="C169">
        <v>0</v>
      </c>
      <c r="D169">
        <v>831.6</v>
      </c>
      <c r="E169">
        <v>0.95464000000000004</v>
      </c>
      <c r="U169" t="s">
        <v>77</v>
      </c>
      <c r="V169" t="s">
        <v>687</v>
      </c>
      <c r="W169" t="s">
        <v>541</v>
      </c>
      <c r="X169" t="s">
        <v>513</v>
      </c>
    </row>
    <row r="170" spans="2:24" x14ac:dyDescent="0.45">
      <c r="B170" t="s">
        <v>295</v>
      </c>
      <c r="C170">
        <v>0</v>
      </c>
      <c r="D170">
        <v>489.50000000000006</v>
      </c>
      <c r="E170">
        <v>0.97330000000000005</v>
      </c>
      <c r="U170" t="s">
        <v>77</v>
      </c>
      <c r="V170" t="s">
        <v>688</v>
      </c>
      <c r="W170" t="s">
        <v>555</v>
      </c>
      <c r="X170" t="s">
        <v>513</v>
      </c>
    </row>
    <row r="171" spans="2:24" x14ac:dyDescent="0.45">
      <c r="B171" t="s">
        <v>296</v>
      </c>
      <c r="C171">
        <v>0</v>
      </c>
      <c r="D171">
        <v>541.20000000000005</v>
      </c>
      <c r="E171">
        <v>0.97048000000000001</v>
      </c>
      <c r="U171" t="s">
        <v>77</v>
      </c>
      <c r="V171" t="s">
        <v>689</v>
      </c>
      <c r="W171" t="s">
        <v>555</v>
      </c>
      <c r="X171" t="s">
        <v>513</v>
      </c>
    </row>
    <row r="172" spans="2:24" x14ac:dyDescent="0.45">
      <c r="B172" t="s">
        <v>297</v>
      </c>
      <c r="C172">
        <v>0</v>
      </c>
      <c r="D172">
        <v>609.40000000000009</v>
      </c>
      <c r="E172">
        <v>0.96675999999999995</v>
      </c>
      <c r="U172" t="s">
        <v>77</v>
      </c>
      <c r="V172" t="s">
        <v>690</v>
      </c>
      <c r="W172" t="s">
        <v>569</v>
      </c>
      <c r="X172" t="s">
        <v>513</v>
      </c>
    </row>
    <row r="173" spans="2:24" x14ac:dyDescent="0.45">
      <c r="B173" t="s">
        <v>298</v>
      </c>
      <c r="C173">
        <v>0</v>
      </c>
      <c r="D173">
        <v>798.6</v>
      </c>
      <c r="E173">
        <v>0.95643999999999996</v>
      </c>
      <c r="U173" t="s">
        <v>77</v>
      </c>
      <c r="V173" t="s">
        <v>691</v>
      </c>
      <c r="W173" t="s">
        <v>569</v>
      </c>
      <c r="X173" t="s">
        <v>513</v>
      </c>
    </row>
    <row r="174" spans="2:24" x14ac:dyDescent="0.45">
      <c r="B174" t="s">
        <v>299</v>
      </c>
      <c r="C174">
        <v>0</v>
      </c>
      <c r="D174">
        <v>448.8</v>
      </c>
      <c r="E174">
        <v>0.97551999999999994</v>
      </c>
      <c r="U174" t="s">
        <v>77</v>
      </c>
      <c r="V174" t="s">
        <v>692</v>
      </c>
      <c r="W174" t="s">
        <v>583</v>
      </c>
      <c r="X174" t="s">
        <v>513</v>
      </c>
    </row>
    <row r="175" spans="2:24" x14ac:dyDescent="0.45">
      <c r="B175" t="s">
        <v>300</v>
      </c>
      <c r="C175">
        <v>0</v>
      </c>
      <c r="D175">
        <v>667.7</v>
      </c>
      <c r="E175">
        <v>0.96357999999999999</v>
      </c>
      <c r="U175" t="s">
        <v>77</v>
      </c>
      <c r="V175" t="s">
        <v>693</v>
      </c>
      <c r="W175" t="s">
        <v>583</v>
      </c>
      <c r="X175" t="s">
        <v>513</v>
      </c>
    </row>
    <row r="176" spans="2:24" x14ac:dyDescent="0.45">
      <c r="B176" t="s">
        <v>301</v>
      </c>
      <c r="C176">
        <v>0</v>
      </c>
      <c r="D176">
        <v>365.20000000000005</v>
      </c>
      <c r="E176">
        <v>0.98007999999999995</v>
      </c>
      <c r="U176" t="s">
        <v>77</v>
      </c>
      <c r="V176" t="s">
        <v>694</v>
      </c>
      <c r="W176" t="s">
        <v>597</v>
      </c>
      <c r="X176" t="s">
        <v>513</v>
      </c>
    </row>
    <row r="177" spans="2:24" x14ac:dyDescent="0.45">
      <c r="B177" t="s">
        <v>302</v>
      </c>
      <c r="C177">
        <v>0</v>
      </c>
      <c r="D177">
        <v>414.70000000000005</v>
      </c>
      <c r="E177">
        <v>0.97738000000000003</v>
      </c>
      <c r="U177" t="s">
        <v>77</v>
      </c>
      <c r="V177" t="s">
        <v>695</v>
      </c>
      <c r="W177" t="s">
        <v>597</v>
      </c>
      <c r="X177" t="s">
        <v>513</v>
      </c>
    </row>
    <row r="178" spans="2:24" x14ac:dyDescent="0.45">
      <c r="B178" t="s">
        <v>303</v>
      </c>
      <c r="C178">
        <v>0</v>
      </c>
      <c r="D178">
        <v>699.6</v>
      </c>
      <c r="E178">
        <v>0.96184000000000003</v>
      </c>
      <c r="U178" t="s">
        <v>77</v>
      </c>
      <c r="V178" t="s">
        <v>696</v>
      </c>
      <c r="W178" t="s">
        <v>611</v>
      </c>
      <c r="X178" t="s">
        <v>513</v>
      </c>
    </row>
    <row r="179" spans="2:24" x14ac:dyDescent="0.45">
      <c r="B179" t="s">
        <v>304</v>
      </c>
      <c r="C179">
        <v>0</v>
      </c>
      <c r="D179">
        <v>298.10000000000002</v>
      </c>
      <c r="E179">
        <v>0.98373999999999995</v>
      </c>
      <c r="U179" t="s">
        <v>77</v>
      </c>
      <c r="V179" t="s">
        <v>697</v>
      </c>
      <c r="W179" t="s">
        <v>611</v>
      </c>
      <c r="X179" t="s">
        <v>513</v>
      </c>
    </row>
    <row r="180" spans="2:24" x14ac:dyDescent="0.45">
      <c r="B180" t="s">
        <v>305</v>
      </c>
      <c r="C180">
        <v>0</v>
      </c>
      <c r="D180">
        <v>710.6</v>
      </c>
      <c r="E180">
        <v>0.96123999999999998</v>
      </c>
      <c r="U180" t="s">
        <v>77</v>
      </c>
      <c r="V180" t="s">
        <v>698</v>
      </c>
      <c r="W180" t="s">
        <v>625</v>
      </c>
      <c r="X180" t="s">
        <v>513</v>
      </c>
    </row>
    <row r="181" spans="2:24" x14ac:dyDescent="0.45">
      <c r="B181" t="s">
        <v>306</v>
      </c>
      <c r="C181">
        <v>0</v>
      </c>
      <c r="D181">
        <v>740.30000000000007</v>
      </c>
      <c r="E181">
        <v>0.95962000000000003</v>
      </c>
      <c r="U181" t="s">
        <v>77</v>
      </c>
      <c r="V181" t="s">
        <v>699</v>
      </c>
      <c r="W181" t="s">
        <v>625</v>
      </c>
      <c r="X181" t="s">
        <v>513</v>
      </c>
    </row>
    <row r="182" spans="2:24" x14ac:dyDescent="0.45">
      <c r="B182" t="s">
        <v>307</v>
      </c>
      <c r="C182">
        <v>0</v>
      </c>
      <c r="D182">
        <v>568.70000000000005</v>
      </c>
      <c r="E182">
        <v>0.96897999999999995</v>
      </c>
      <c r="U182" t="s">
        <v>77</v>
      </c>
      <c r="V182" t="s">
        <v>700</v>
      </c>
      <c r="W182" t="s">
        <v>639</v>
      </c>
      <c r="X182" t="s">
        <v>513</v>
      </c>
    </row>
    <row r="183" spans="2:24" x14ac:dyDescent="0.45">
      <c r="B183" t="s">
        <v>308</v>
      </c>
      <c r="C183">
        <v>0</v>
      </c>
      <c r="D183">
        <v>398.20000000000005</v>
      </c>
      <c r="E183">
        <v>0.97828000000000004</v>
      </c>
      <c r="U183" t="s">
        <v>77</v>
      </c>
      <c r="V183" t="s">
        <v>701</v>
      </c>
      <c r="W183" t="s">
        <v>639</v>
      </c>
      <c r="X183" t="s">
        <v>513</v>
      </c>
    </row>
    <row r="184" spans="2:24" x14ac:dyDescent="0.45">
      <c r="B184" t="s">
        <v>309</v>
      </c>
      <c r="C184">
        <v>1.1562738178627932</v>
      </c>
      <c r="D184">
        <v>477.40000000000003</v>
      </c>
      <c r="E184">
        <v>0.97396000000000005</v>
      </c>
    </row>
    <row r="185" spans="2:24" x14ac:dyDescent="0.45">
      <c r="B185" t="s">
        <v>310</v>
      </c>
      <c r="C185">
        <v>0</v>
      </c>
      <c r="D185">
        <v>429.00000000000006</v>
      </c>
      <c r="E185">
        <v>0.97660000000000002</v>
      </c>
    </row>
    <row r="186" spans="2:24" x14ac:dyDescent="0.45">
      <c r="B186" t="s">
        <v>311</v>
      </c>
      <c r="C186">
        <v>0</v>
      </c>
      <c r="D186">
        <v>419.1</v>
      </c>
      <c r="E186">
        <v>0.97714000000000001</v>
      </c>
    </row>
    <row r="187" spans="2:24" x14ac:dyDescent="0.45">
      <c r="B187" t="s">
        <v>312</v>
      </c>
      <c r="C187">
        <v>0</v>
      </c>
      <c r="D187">
        <v>284.90000000000003</v>
      </c>
      <c r="E187">
        <v>0.98446</v>
      </c>
    </row>
    <row r="188" spans="2:24" x14ac:dyDescent="0.45">
      <c r="B188" t="s">
        <v>313</v>
      </c>
      <c r="C188">
        <v>0</v>
      </c>
      <c r="D188">
        <v>535.70000000000005</v>
      </c>
      <c r="E188">
        <v>0.97077999999999998</v>
      </c>
    </row>
    <row r="189" spans="2:24" x14ac:dyDescent="0.45">
      <c r="B189" t="s">
        <v>314</v>
      </c>
      <c r="C189">
        <v>0</v>
      </c>
      <c r="D189">
        <v>673.2</v>
      </c>
      <c r="E189">
        <v>0.96328000000000003</v>
      </c>
    </row>
    <row r="190" spans="2:24" x14ac:dyDescent="0.45">
      <c r="B190" t="s">
        <v>315</v>
      </c>
      <c r="C190">
        <v>0</v>
      </c>
      <c r="D190">
        <v>415.8</v>
      </c>
      <c r="E190">
        <v>0.97731999999999997</v>
      </c>
    </row>
    <row r="191" spans="2:24" x14ac:dyDescent="0.45">
      <c r="B191" t="s">
        <v>316</v>
      </c>
      <c r="C191">
        <v>0</v>
      </c>
      <c r="D191">
        <v>753.50000000000011</v>
      </c>
      <c r="E191">
        <v>0.95889999999999997</v>
      </c>
    </row>
    <row r="192" spans="2:24" x14ac:dyDescent="0.45">
      <c r="B192" t="s">
        <v>317</v>
      </c>
      <c r="C192">
        <v>0</v>
      </c>
      <c r="D192">
        <v>507.1</v>
      </c>
      <c r="E192">
        <v>0.97233999999999998</v>
      </c>
    </row>
    <row r="193" spans="2:5" x14ac:dyDescent="0.45">
      <c r="B193" t="s">
        <v>318</v>
      </c>
      <c r="C193">
        <v>0</v>
      </c>
      <c r="D193">
        <v>605</v>
      </c>
      <c r="E193">
        <v>0.96699999999999997</v>
      </c>
    </row>
    <row r="194" spans="2:5" x14ac:dyDescent="0.45">
      <c r="B194" t="s">
        <v>319</v>
      </c>
      <c r="C194">
        <v>3.468821453588379</v>
      </c>
      <c r="D194">
        <v>151.80000000000001</v>
      </c>
      <c r="E194">
        <v>0.99172000000000005</v>
      </c>
    </row>
    <row r="195" spans="2:5" x14ac:dyDescent="0.45">
      <c r="B195" t="s">
        <v>320</v>
      </c>
      <c r="C195">
        <v>0</v>
      </c>
      <c r="D195">
        <v>224.4</v>
      </c>
      <c r="E195">
        <v>0.98775999999999997</v>
      </c>
    </row>
    <row r="196" spans="2:5" x14ac:dyDescent="0.45">
      <c r="B196" t="s">
        <v>321</v>
      </c>
      <c r="C196">
        <v>11.562738178627932</v>
      </c>
      <c r="D196">
        <v>358.6</v>
      </c>
      <c r="E196">
        <v>0.98043999999999998</v>
      </c>
    </row>
    <row r="197" spans="2:5" x14ac:dyDescent="0.45">
      <c r="B197" t="s">
        <v>322</v>
      </c>
      <c r="C197">
        <v>1.1562738178627932</v>
      </c>
      <c r="D197">
        <v>540.1</v>
      </c>
      <c r="E197">
        <v>0.97053999999999996</v>
      </c>
    </row>
    <row r="198" spans="2:5" x14ac:dyDescent="0.45">
      <c r="B198" t="s">
        <v>323</v>
      </c>
      <c r="C198">
        <v>0</v>
      </c>
      <c r="D198">
        <v>91.300000000000011</v>
      </c>
      <c r="E198">
        <v>0.99502000000000002</v>
      </c>
    </row>
    <row r="199" spans="2:5" x14ac:dyDescent="0.45">
      <c r="B199" t="s">
        <v>324</v>
      </c>
      <c r="C199">
        <v>0</v>
      </c>
      <c r="D199">
        <v>200.20000000000002</v>
      </c>
      <c r="E199">
        <v>0.98907999999999996</v>
      </c>
    </row>
    <row r="200" spans="2:5" x14ac:dyDescent="0.45">
      <c r="B200" t="s">
        <v>325</v>
      </c>
      <c r="C200">
        <v>2.3125476357255863</v>
      </c>
      <c r="D200">
        <v>513.70000000000005</v>
      </c>
      <c r="E200">
        <v>0.97197999999999996</v>
      </c>
    </row>
    <row r="201" spans="2:5" x14ac:dyDescent="0.45">
      <c r="B201" t="s">
        <v>326</v>
      </c>
      <c r="C201">
        <v>1.1562738178627932</v>
      </c>
      <c r="D201">
        <v>733.7</v>
      </c>
      <c r="E201">
        <v>0.95998000000000006</v>
      </c>
    </row>
    <row r="202" spans="2:5" x14ac:dyDescent="0.45">
      <c r="B202" t="s">
        <v>327</v>
      </c>
      <c r="C202">
        <v>2.2343455417638518</v>
      </c>
      <c r="D202">
        <v>652.30000000000007</v>
      </c>
      <c r="E202">
        <v>0.96442000000000005</v>
      </c>
    </row>
    <row r="203" spans="2:5" x14ac:dyDescent="0.45">
      <c r="B203" t="s">
        <v>328</v>
      </c>
      <c r="C203">
        <v>0.51389947460568586</v>
      </c>
      <c r="D203">
        <v>420.20000000000005</v>
      </c>
      <c r="E203">
        <v>0.97707999999999995</v>
      </c>
    </row>
    <row r="204" spans="2:5" x14ac:dyDescent="0.45">
      <c r="B204" t="s">
        <v>329</v>
      </c>
      <c r="C204">
        <v>0</v>
      </c>
      <c r="D204">
        <v>211.20000000000002</v>
      </c>
      <c r="E204">
        <v>0.98848000000000003</v>
      </c>
    </row>
    <row r="205" spans="2:5" x14ac:dyDescent="0.45">
      <c r="B205" t="s">
        <v>330</v>
      </c>
      <c r="C205">
        <v>0</v>
      </c>
      <c r="D205">
        <v>559.90000000000009</v>
      </c>
      <c r="E205">
        <v>0.96945999999999999</v>
      </c>
    </row>
    <row r="206" spans="2:5" x14ac:dyDescent="0.45">
      <c r="B206" t="s">
        <v>331</v>
      </c>
      <c r="C206">
        <v>0</v>
      </c>
      <c r="D206">
        <v>654.5</v>
      </c>
      <c r="E206">
        <v>0.96430000000000005</v>
      </c>
    </row>
    <row r="207" spans="2:5" x14ac:dyDescent="0.45">
      <c r="B207" t="s">
        <v>332</v>
      </c>
      <c r="C207">
        <v>0</v>
      </c>
      <c r="D207">
        <v>762.30000000000007</v>
      </c>
      <c r="E207">
        <v>0.95842000000000005</v>
      </c>
    </row>
    <row r="208" spans="2:5" x14ac:dyDescent="0.45">
      <c r="B208" t="s">
        <v>333</v>
      </c>
      <c r="C208">
        <v>0</v>
      </c>
      <c r="D208">
        <v>597.30000000000007</v>
      </c>
      <c r="E208">
        <v>0.96741999999999995</v>
      </c>
    </row>
    <row r="209" spans="2:5" x14ac:dyDescent="0.45">
      <c r="B209" t="s">
        <v>334</v>
      </c>
      <c r="C209">
        <v>9.2501905429023452</v>
      </c>
      <c r="D209">
        <v>594</v>
      </c>
      <c r="E209">
        <v>0.96760000000000002</v>
      </c>
    </row>
    <row r="210" spans="2:5" x14ac:dyDescent="0.45">
      <c r="B210" t="s">
        <v>335</v>
      </c>
      <c r="C210">
        <v>0</v>
      </c>
      <c r="D210">
        <v>331.1</v>
      </c>
      <c r="E210">
        <v>0.98194000000000004</v>
      </c>
    </row>
    <row r="211" spans="2:5" x14ac:dyDescent="0.45">
      <c r="B211" t="s">
        <v>336</v>
      </c>
      <c r="C211">
        <v>0</v>
      </c>
      <c r="D211">
        <v>655.6</v>
      </c>
      <c r="E211">
        <v>0.96423999999999999</v>
      </c>
    </row>
    <row r="212" spans="2:5" x14ac:dyDescent="0.45">
      <c r="B212" t="s">
        <v>337</v>
      </c>
      <c r="C212">
        <v>0.51389947460568586</v>
      </c>
      <c r="D212">
        <v>537.90000000000009</v>
      </c>
      <c r="E212">
        <v>0.97065999999999997</v>
      </c>
    </row>
    <row r="213" spans="2:5" x14ac:dyDescent="0.45">
      <c r="B213" t="s">
        <v>338</v>
      </c>
      <c r="C213">
        <v>0</v>
      </c>
      <c r="D213">
        <v>376.20000000000005</v>
      </c>
      <c r="E213">
        <v>0.97948000000000002</v>
      </c>
    </row>
    <row r="214" spans="2:5" x14ac:dyDescent="0.45">
      <c r="B214" t="s">
        <v>339</v>
      </c>
      <c r="C214">
        <v>1.1562738178627932</v>
      </c>
      <c r="D214">
        <v>618.20000000000005</v>
      </c>
      <c r="E214">
        <v>0.96628000000000003</v>
      </c>
    </row>
    <row r="215" spans="2:5" x14ac:dyDescent="0.45">
      <c r="B215" t="s">
        <v>340</v>
      </c>
      <c r="C215">
        <v>0.51389947460568586</v>
      </c>
      <c r="D215">
        <v>829.40000000000009</v>
      </c>
      <c r="E215">
        <v>0.95476000000000005</v>
      </c>
    </row>
    <row r="216" spans="2:5" x14ac:dyDescent="0.45">
      <c r="B216" t="s">
        <v>341</v>
      </c>
      <c r="C216">
        <v>0</v>
      </c>
      <c r="D216">
        <v>174.9</v>
      </c>
      <c r="E216">
        <v>0.99046000000000001</v>
      </c>
    </row>
    <row r="217" spans="2:5" x14ac:dyDescent="0.45">
      <c r="B217" t="s">
        <v>342</v>
      </c>
      <c r="C217">
        <v>0</v>
      </c>
      <c r="D217">
        <v>247.50000000000003</v>
      </c>
      <c r="E217">
        <v>0.98650000000000004</v>
      </c>
    </row>
    <row r="218" spans="2:5" x14ac:dyDescent="0.45">
      <c r="B218" t="s">
        <v>343</v>
      </c>
      <c r="C218">
        <v>6.6806931698739165</v>
      </c>
      <c r="D218">
        <v>504.90000000000003</v>
      </c>
      <c r="E218">
        <v>0.97245999999999999</v>
      </c>
    </row>
    <row r="219" spans="2:5" x14ac:dyDescent="0.45">
      <c r="B219" t="s">
        <v>344</v>
      </c>
      <c r="C219">
        <v>0</v>
      </c>
      <c r="D219">
        <v>410.3</v>
      </c>
      <c r="E219">
        <v>0.97762000000000004</v>
      </c>
    </row>
    <row r="220" spans="2:5" x14ac:dyDescent="0.45">
      <c r="B220" t="s">
        <v>345</v>
      </c>
      <c r="C220">
        <v>0</v>
      </c>
      <c r="D220">
        <v>398.20000000000005</v>
      </c>
      <c r="E220">
        <v>0.97828000000000004</v>
      </c>
    </row>
    <row r="221" spans="2:5" x14ac:dyDescent="0.45">
      <c r="B221" t="s">
        <v>346</v>
      </c>
      <c r="C221">
        <v>0</v>
      </c>
      <c r="D221">
        <v>596.20000000000005</v>
      </c>
      <c r="E221">
        <v>0.96748000000000001</v>
      </c>
    </row>
    <row r="222" spans="2:5" x14ac:dyDescent="0.45">
      <c r="B222" t="s">
        <v>347</v>
      </c>
      <c r="C222">
        <v>0</v>
      </c>
      <c r="D222">
        <v>537.90000000000009</v>
      </c>
      <c r="E222">
        <v>0.97065999999999997</v>
      </c>
    </row>
    <row r="223" spans="2:5" x14ac:dyDescent="0.45">
      <c r="B223" t="s">
        <v>348</v>
      </c>
      <c r="C223">
        <v>0</v>
      </c>
      <c r="D223">
        <v>371.8</v>
      </c>
      <c r="E223">
        <v>0.97972000000000004</v>
      </c>
    </row>
    <row r="224" spans="2:5" x14ac:dyDescent="0.45">
      <c r="B224" t="s">
        <v>349</v>
      </c>
      <c r="C224">
        <v>0.51389947460568586</v>
      </c>
      <c r="D224">
        <v>796.40000000000009</v>
      </c>
      <c r="E224">
        <v>0.95655999999999997</v>
      </c>
    </row>
    <row r="225" spans="2:5" x14ac:dyDescent="0.45">
      <c r="B225" t="s">
        <v>350</v>
      </c>
      <c r="C225">
        <v>0.51389947460568586</v>
      </c>
      <c r="D225">
        <v>796.40000000000009</v>
      </c>
      <c r="E225">
        <v>0.95655999999999997</v>
      </c>
    </row>
    <row r="226" spans="2:5" x14ac:dyDescent="0.45">
      <c r="B226" t="s">
        <v>351</v>
      </c>
      <c r="C226">
        <v>4.4686910835277036</v>
      </c>
      <c r="D226">
        <v>471.90000000000003</v>
      </c>
      <c r="E226">
        <v>0.97426000000000001</v>
      </c>
    </row>
    <row r="227" spans="2:5" x14ac:dyDescent="0.45">
      <c r="B227" t="s">
        <v>352</v>
      </c>
      <c r="C227">
        <v>2.2343455417638518</v>
      </c>
      <c r="D227">
        <v>251.90000000000003</v>
      </c>
      <c r="E227">
        <v>0.98626000000000003</v>
      </c>
    </row>
    <row r="228" spans="2:5" x14ac:dyDescent="0.45">
      <c r="B228" t="s">
        <v>353</v>
      </c>
      <c r="C228">
        <v>0</v>
      </c>
      <c r="D228">
        <v>55.000000000000007</v>
      </c>
      <c r="E228">
        <v>0.997</v>
      </c>
    </row>
    <row r="229" spans="2:5" x14ac:dyDescent="0.45">
      <c r="B229" t="s">
        <v>354</v>
      </c>
      <c r="C229">
        <v>1.0277989492113717</v>
      </c>
      <c r="D229">
        <v>301.40000000000003</v>
      </c>
      <c r="E229">
        <v>0.98355999999999999</v>
      </c>
    </row>
    <row r="230" spans="2:5" x14ac:dyDescent="0.45">
      <c r="B230" t="s">
        <v>355</v>
      </c>
      <c r="C230">
        <v>0</v>
      </c>
      <c r="D230">
        <v>215.60000000000002</v>
      </c>
      <c r="E230">
        <v>0.98824000000000001</v>
      </c>
    </row>
    <row r="231" spans="2:5" x14ac:dyDescent="0.45">
      <c r="B231" t="s">
        <v>356</v>
      </c>
      <c r="C231">
        <v>0</v>
      </c>
      <c r="D231">
        <v>135.30000000000001</v>
      </c>
      <c r="E231">
        <v>0.99261999999999995</v>
      </c>
    </row>
    <row r="232" spans="2:5" x14ac:dyDescent="0.45">
      <c r="B232" t="s">
        <v>357</v>
      </c>
      <c r="C232">
        <v>0</v>
      </c>
      <c r="D232">
        <v>181.50000000000003</v>
      </c>
      <c r="E232">
        <v>0.99009999999999998</v>
      </c>
    </row>
    <row r="233" spans="2:5" x14ac:dyDescent="0.45">
      <c r="B233" t="s">
        <v>358</v>
      </c>
      <c r="C233">
        <v>2.3125476357255863</v>
      </c>
      <c r="D233">
        <v>349.8</v>
      </c>
      <c r="E233">
        <v>0.98092000000000001</v>
      </c>
    </row>
    <row r="234" spans="2:5" x14ac:dyDescent="0.45">
      <c r="B234" t="s">
        <v>359</v>
      </c>
      <c r="C234">
        <v>0</v>
      </c>
      <c r="D234">
        <v>510.40000000000003</v>
      </c>
      <c r="E234">
        <v>0.97216000000000002</v>
      </c>
    </row>
    <row r="235" spans="2:5" x14ac:dyDescent="0.45">
      <c r="B235" t="s">
        <v>360</v>
      </c>
      <c r="C235">
        <v>0.51389947460568586</v>
      </c>
      <c r="D235">
        <v>471.90000000000003</v>
      </c>
      <c r="E235">
        <v>0.97426000000000001</v>
      </c>
    </row>
    <row r="236" spans="2:5" x14ac:dyDescent="0.45">
      <c r="B236" t="s">
        <v>361</v>
      </c>
      <c r="C236">
        <v>8.9932408055995019</v>
      </c>
      <c r="D236">
        <v>837.1</v>
      </c>
      <c r="E236">
        <v>0.95433999999999997</v>
      </c>
    </row>
    <row r="237" spans="2:5" x14ac:dyDescent="0.45">
      <c r="B237" t="s">
        <v>362</v>
      </c>
      <c r="C237">
        <v>10.250060172841669</v>
      </c>
      <c r="D237">
        <v>393.8</v>
      </c>
      <c r="E237">
        <v>0.97852000000000006</v>
      </c>
    </row>
    <row r="238" spans="2:5" x14ac:dyDescent="0.45">
      <c r="B238" t="s">
        <v>363</v>
      </c>
      <c r="C238">
        <v>0</v>
      </c>
      <c r="D238">
        <v>100.10000000000001</v>
      </c>
      <c r="E238">
        <v>0.99453999999999998</v>
      </c>
    </row>
    <row r="239" spans="2:5" x14ac:dyDescent="0.45">
      <c r="B239" t="s">
        <v>364</v>
      </c>
      <c r="C239">
        <v>0</v>
      </c>
      <c r="D239">
        <v>233.20000000000002</v>
      </c>
      <c r="E239">
        <v>0.98728000000000005</v>
      </c>
    </row>
    <row r="240" spans="2:5" x14ac:dyDescent="0.45">
      <c r="B240" t="s">
        <v>365</v>
      </c>
      <c r="C240">
        <v>0</v>
      </c>
      <c r="D240">
        <v>35.200000000000003</v>
      </c>
      <c r="E240">
        <v>0.99807999999999997</v>
      </c>
    </row>
    <row r="241" spans="2:5" x14ac:dyDescent="0.45">
      <c r="B241" t="s">
        <v>366</v>
      </c>
      <c r="C241">
        <v>0</v>
      </c>
      <c r="D241">
        <v>188.10000000000002</v>
      </c>
      <c r="E241">
        <v>0.98973999999999995</v>
      </c>
    </row>
    <row r="242" spans="2:5" x14ac:dyDescent="0.45">
      <c r="B242" t="s">
        <v>367</v>
      </c>
      <c r="C242">
        <v>0</v>
      </c>
      <c r="D242">
        <v>110.00000000000001</v>
      </c>
      <c r="E242">
        <v>0.99399999999999999</v>
      </c>
    </row>
    <row r="243" spans="2:5" x14ac:dyDescent="0.45">
      <c r="B243" t="s">
        <v>368</v>
      </c>
      <c r="C243">
        <v>0</v>
      </c>
      <c r="D243">
        <v>243.10000000000002</v>
      </c>
      <c r="E243">
        <v>0.98673999999999995</v>
      </c>
    </row>
    <row r="244" spans="2:5" x14ac:dyDescent="0.45">
      <c r="B244" t="s">
        <v>369</v>
      </c>
      <c r="C244">
        <v>0</v>
      </c>
      <c r="D244">
        <v>182.60000000000002</v>
      </c>
      <c r="E244">
        <v>0.99004000000000003</v>
      </c>
    </row>
    <row r="245" spans="2:5" x14ac:dyDescent="0.45">
      <c r="B245" t="s">
        <v>370</v>
      </c>
      <c r="C245">
        <v>1.1562738178627932</v>
      </c>
      <c r="D245">
        <v>751.30000000000007</v>
      </c>
      <c r="E245">
        <v>0.95901999999999998</v>
      </c>
    </row>
    <row r="246" spans="2:5" x14ac:dyDescent="0.45">
      <c r="B246" t="s">
        <v>371</v>
      </c>
      <c r="C246">
        <v>0</v>
      </c>
      <c r="D246">
        <v>276.10000000000002</v>
      </c>
      <c r="E246">
        <v>0.98494000000000004</v>
      </c>
    </row>
    <row r="247" spans="2:5" x14ac:dyDescent="0.45">
      <c r="B247" t="s">
        <v>372</v>
      </c>
      <c r="C247">
        <v>0</v>
      </c>
      <c r="D247">
        <v>534.6</v>
      </c>
      <c r="E247">
        <v>0.97084000000000004</v>
      </c>
    </row>
    <row r="248" spans="2:5" x14ac:dyDescent="0.45">
      <c r="B248" t="s">
        <v>373</v>
      </c>
      <c r="C248">
        <v>0</v>
      </c>
      <c r="D248">
        <v>147.4</v>
      </c>
      <c r="E248">
        <v>0.99195999999999995</v>
      </c>
    </row>
    <row r="249" spans="2:5" x14ac:dyDescent="0.45">
      <c r="B249" t="s">
        <v>374</v>
      </c>
      <c r="C249">
        <v>0</v>
      </c>
      <c r="D249">
        <v>123.20000000000002</v>
      </c>
      <c r="E249">
        <v>0.99328000000000005</v>
      </c>
    </row>
    <row r="250" spans="2:5" x14ac:dyDescent="0.45">
      <c r="B250" t="s">
        <v>375</v>
      </c>
      <c r="C250">
        <v>0</v>
      </c>
      <c r="D250">
        <v>415.8</v>
      </c>
      <c r="E250">
        <v>0.97731999999999997</v>
      </c>
    </row>
    <row r="251" spans="2:5" x14ac:dyDescent="0.45">
      <c r="B251" t="s">
        <v>376</v>
      </c>
      <c r="C251">
        <v>0</v>
      </c>
      <c r="D251">
        <v>658.90000000000009</v>
      </c>
      <c r="E251">
        <v>0.96406000000000003</v>
      </c>
    </row>
    <row r="252" spans="2:5" x14ac:dyDescent="0.45">
      <c r="B252" t="s">
        <v>377</v>
      </c>
      <c r="C252">
        <v>0</v>
      </c>
      <c r="D252">
        <v>438.90000000000003</v>
      </c>
      <c r="E252">
        <v>0.97606000000000004</v>
      </c>
    </row>
    <row r="253" spans="2:5" x14ac:dyDescent="0.45">
      <c r="B253" t="s">
        <v>378</v>
      </c>
      <c r="C253">
        <v>0</v>
      </c>
      <c r="D253">
        <v>570.90000000000009</v>
      </c>
      <c r="E253">
        <v>0.96886000000000005</v>
      </c>
    </row>
    <row r="254" spans="2:5" x14ac:dyDescent="0.45">
      <c r="B254" t="s">
        <v>379</v>
      </c>
      <c r="C254">
        <v>0</v>
      </c>
      <c r="D254">
        <v>495.00000000000006</v>
      </c>
      <c r="E254">
        <v>0.97299999999999998</v>
      </c>
    </row>
    <row r="255" spans="2:5" x14ac:dyDescent="0.45">
      <c r="B255" t="s">
        <v>380</v>
      </c>
      <c r="C255">
        <v>0</v>
      </c>
      <c r="D255">
        <v>514.80000000000007</v>
      </c>
      <c r="E255">
        <v>0.97192000000000001</v>
      </c>
    </row>
    <row r="256" spans="2:5" x14ac:dyDescent="0.45">
      <c r="B256" t="s">
        <v>381</v>
      </c>
      <c r="C256">
        <v>0</v>
      </c>
      <c r="D256">
        <v>309.10000000000002</v>
      </c>
      <c r="E256">
        <v>0.98314000000000001</v>
      </c>
    </row>
    <row r="257" spans="2:5" x14ac:dyDescent="0.45">
      <c r="B257" t="s">
        <v>382</v>
      </c>
      <c r="C257">
        <v>0</v>
      </c>
      <c r="D257">
        <v>609.40000000000009</v>
      </c>
      <c r="E257">
        <v>0.96675999999999995</v>
      </c>
    </row>
    <row r="258" spans="2:5" x14ac:dyDescent="0.45">
      <c r="B258" t="s">
        <v>383</v>
      </c>
      <c r="C258">
        <v>0</v>
      </c>
      <c r="D258">
        <v>558.80000000000007</v>
      </c>
      <c r="E258">
        <v>0.96952000000000005</v>
      </c>
    </row>
    <row r="259" spans="2:5" x14ac:dyDescent="0.45">
      <c r="B259" t="s">
        <v>384</v>
      </c>
      <c r="C259">
        <v>0</v>
      </c>
      <c r="D259">
        <v>532.40000000000009</v>
      </c>
      <c r="E259">
        <v>0.97096000000000005</v>
      </c>
    </row>
    <row r="260" spans="2:5" x14ac:dyDescent="0.45">
      <c r="B260" t="s">
        <v>385</v>
      </c>
      <c r="C260">
        <v>0</v>
      </c>
      <c r="D260">
        <v>570.90000000000009</v>
      </c>
      <c r="E260">
        <v>0.96886000000000005</v>
      </c>
    </row>
    <row r="261" spans="2:5" x14ac:dyDescent="0.45">
      <c r="B261" t="s">
        <v>386</v>
      </c>
      <c r="C261">
        <v>0</v>
      </c>
      <c r="D261">
        <v>430.1</v>
      </c>
      <c r="E261">
        <v>0.97653999999999996</v>
      </c>
    </row>
    <row r="262" spans="2:5" x14ac:dyDescent="0.45">
      <c r="B262" t="s">
        <v>387</v>
      </c>
      <c r="C262">
        <v>0</v>
      </c>
      <c r="D262">
        <v>425.70000000000005</v>
      </c>
      <c r="E262">
        <v>0.97677999999999998</v>
      </c>
    </row>
    <row r="263" spans="2:5" x14ac:dyDescent="0.45">
      <c r="B263" t="s">
        <v>388</v>
      </c>
      <c r="C263">
        <v>0</v>
      </c>
      <c r="D263">
        <v>422.40000000000003</v>
      </c>
      <c r="E263">
        <v>0.97696000000000005</v>
      </c>
    </row>
    <row r="264" spans="2:5" x14ac:dyDescent="0.45">
      <c r="B264" t="s">
        <v>389</v>
      </c>
      <c r="C264">
        <v>8.0939167250395521</v>
      </c>
      <c r="D264">
        <v>567.6</v>
      </c>
      <c r="E264">
        <v>0.96904000000000001</v>
      </c>
    </row>
    <row r="265" spans="2:5" x14ac:dyDescent="0.45">
      <c r="B265" t="s">
        <v>390</v>
      </c>
      <c r="C265">
        <v>4.6250952714511726</v>
      </c>
      <c r="D265">
        <v>408.1</v>
      </c>
      <c r="E265">
        <v>0.97774000000000005</v>
      </c>
    </row>
    <row r="266" spans="2:5" x14ac:dyDescent="0.45">
      <c r="B266" t="s">
        <v>391</v>
      </c>
      <c r="C266">
        <v>0</v>
      </c>
      <c r="D266">
        <v>531.30000000000007</v>
      </c>
      <c r="E266">
        <v>0.97101999999999999</v>
      </c>
    </row>
    <row r="267" spans="2:5" x14ac:dyDescent="0.45">
      <c r="B267" t="s">
        <v>392</v>
      </c>
      <c r="C267">
        <v>0</v>
      </c>
      <c r="D267">
        <v>183.70000000000002</v>
      </c>
      <c r="E267">
        <v>0.98997999999999997</v>
      </c>
    </row>
    <row r="268" spans="2:5" x14ac:dyDescent="0.45">
      <c r="B268" t="s">
        <v>393</v>
      </c>
      <c r="C268">
        <v>0</v>
      </c>
      <c r="D268">
        <v>291.5</v>
      </c>
      <c r="E268">
        <v>0.98409999999999997</v>
      </c>
    </row>
    <row r="269" spans="2:5" x14ac:dyDescent="0.45">
      <c r="B269" t="s">
        <v>394</v>
      </c>
      <c r="C269">
        <v>0</v>
      </c>
      <c r="D269">
        <v>358.6</v>
      </c>
      <c r="E269">
        <v>0.98043999999999998</v>
      </c>
    </row>
    <row r="270" spans="2:5" x14ac:dyDescent="0.45">
      <c r="B270" t="s">
        <v>395</v>
      </c>
      <c r="C270">
        <v>0</v>
      </c>
      <c r="D270">
        <v>58.300000000000004</v>
      </c>
      <c r="E270">
        <v>0.99682000000000004</v>
      </c>
    </row>
    <row r="271" spans="2:5" x14ac:dyDescent="0.45">
      <c r="B271" t="s">
        <v>396</v>
      </c>
      <c r="C271">
        <v>0</v>
      </c>
      <c r="D271">
        <v>347.6</v>
      </c>
      <c r="E271">
        <v>0.98104000000000002</v>
      </c>
    </row>
    <row r="272" spans="2:5" x14ac:dyDescent="0.45">
      <c r="B272" t="s">
        <v>397</v>
      </c>
      <c r="C272">
        <v>7.552087931161819</v>
      </c>
      <c r="D272">
        <v>596.20000000000005</v>
      </c>
      <c r="E272">
        <v>0.96748000000000001</v>
      </c>
    </row>
    <row r="273" spans="2:5" x14ac:dyDescent="0.45">
      <c r="B273" t="s">
        <v>398</v>
      </c>
      <c r="C273">
        <v>0</v>
      </c>
      <c r="D273">
        <v>223.3</v>
      </c>
      <c r="E273">
        <v>0.98782000000000003</v>
      </c>
    </row>
    <row r="274" spans="2:5" x14ac:dyDescent="0.45">
      <c r="B274" t="s">
        <v>399</v>
      </c>
      <c r="C274">
        <v>4.2899434401865957</v>
      </c>
      <c r="D274">
        <v>413.6</v>
      </c>
      <c r="E274">
        <v>0.97743999999999998</v>
      </c>
    </row>
    <row r="275" spans="2:5" x14ac:dyDescent="0.45">
      <c r="B275" t="s">
        <v>400</v>
      </c>
      <c r="C275">
        <v>0</v>
      </c>
      <c r="D275">
        <v>335.5</v>
      </c>
      <c r="E275">
        <v>0.98170000000000002</v>
      </c>
    </row>
    <row r="276" spans="2:5" x14ac:dyDescent="0.45">
      <c r="B276" t="s">
        <v>401</v>
      </c>
      <c r="C276">
        <v>0</v>
      </c>
      <c r="D276">
        <v>359.70000000000005</v>
      </c>
      <c r="E276">
        <v>0.98038000000000003</v>
      </c>
    </row>
    <row r="277" spans="2:5" x14ac:dyDescent="0.45">
      <c r="B277" t="s">
        <v>402</v>
      </c>
      <c r="C277">
        <v>0</v>
      </c>
      <c r="D277">
        <v>360.8</v>
      </c>
      <c r="E277">
        <v>0.98031999999999997</v>
      </c>
    </row>
    <row r="278" spans="2:5" x14ac:dyDescent="0.45">
      <c r="B278" t="s">
        <v>403</v>
      </c>
      <c r="C278">
        <v>0</v>
      </c>
      <c r="D278">
        <v>370.70000000000005</v>
      </c>
      <c r="E278">
        <v>0.97977999999999998</v>
      </c>
    </row>
    <row r="279" spans="2:5" x14ac:dyDescent="0.45">
      <c r="B279" t="s">
        <v>404</v>
      </c>
      <c r="C279">
        <v>1.1562738178627932</v>
      </c>
      <c r="D279">
        <v>728.2</v>
      </c>
      <c r="E279">
        <v>0.96028000000000002</v>
      </c>
    </row>
    <row r="280" spans="2:5" x14ac:dyDescent="0.45">
      <c r="B280" t="s">
        <v>405</v>
      </c>
      <c r="C280">
        <v>0</v>
      </c>
      <c r="D280">
        <v>154</v>
      </c>
      <c r="E280">
        <v>0.99160000000000004</v>
      </c>
    </row>
    <row r="281" spans="2:5" x14ac:dyDescent="0.45">
      <c r="B281" t="s">
        <v>406</v>
      </c>
      <c r="C281">
        <v>0</v>
      </c>
      <c r="D281">
        <v>531.30000000000007</v>
      </c>
      <c r="E281">
        <v>0.97101999999999999</v>
      </c>
    </row>
    <row r="282" spans="2:5" x14ac:dyDescent="0.45">
      <c r="B282" t="s">
        <v>407</v>
      </c>
      <c r="C282">
        <v>0</v>
      </c>
      <c r="D282">
        <v>613.80000000000007</v>
      </c>
      <c r="E282">
        <v>0.96652000000000005</v>
      </c>
    </row>
    <row r="283" spans="2:5" x14ac:dyDescent="0.45">
      <c r="B283" t="s">
        <v>408</v>
      </c>
      <c r="C283">
        <v>0</v>
      </c>
      <c r="D283">
        <v>152.9</v>
      </c>
      <c r="E283">
        <v>0.99165999999999999</v>
      </c>
    </row>
    <row r="284" spans="2:5" x14ac:dyDescent="0.45">
      <c r="B284" t="s">
        <v>409</v>
      </c>
      <c r="C284">
        <v>0</v>
      </c>
      <c r="D284">
        <v>286</v>
      </c>
      <c r="E284">
        <v>0.98440000000000005</v>
      </c>
    </row>
    <row r="285" spans="2:5" x14ac:dyDescent="0.45">
      <c r="B285" t="s">
        <v>410</v>
      </c>
      <c r="C285">
        <v>0</v>
      </c>
      <c r="D285">
        <v>157.30000000000001</v>
      </c>
      <c r="E285">
        <v>0.99141999999999997</v>
      </c>
    </row>
    <row r="286" spans="2:5" x14ac:dyDescent="0.45">
      <c r="B286" t="s">
        <v>411</v>
      </c>
      <c r="C286">
        <v>0</v>
      </c>
      <c r="D286">
        <v>435.6</v>
      </c>
      <c r="E286">
        <v>0.97624</v>
      </c>
    </row>
    <row r="287" spans="2:5" x14ac:dyDescent="0.45">
      <c r="B287" t="s">
        <v>412</v>
      </c>
      <c r="C287">
        <v>0</v>
      </c>
      <c r="D287">
        <v>332.20000000000005</v>
      </c>
      <c r="E287">
        <v>0.98187999999999998</v>
      </c>
    </row>
    <row r="288" spans="2:5" x14ac:dyDescent="0.45">
      <c r="B288" t="s">
        <v>413</v>
      </c>
      <c r="C288">
        <v>5.7813690893139658</v>
      </c>
      <c r="D288">
        <v>328.90000000000003</v>
      </c>
      <c r="E288">
        <v>0.98206000000000004</v>
      </c>
    </row>
    <row r="289" spans="2:5" x14ac:dyDescent="0.45">
      <c r="B289" t="s">
        <v>413</v>
      </c>
      <c r="C289">
        <v>0</v>
      </c>
      <c r="D289">
        <v>328.90000000000003</v>
      </c>
      <c r="E289">
        <v>0.98206000000000004</v>
      </c>
    </row>
    <row r="290" spans="2:5" x14ac:dyDescent="0.45">
      <c r="B290" t="s">
        <v>414</v>
      </c>
      <c r="C290">
        <v>0</v>
      </c>
      <c r="D290">
        <v>294.8</v>
      </c>
      <c r="E290">
        <v>0.98392000000000002</v>
      </c>
    </row>
    <row r="291" spans="2:5" x14ac:dyDescent="0.45">
      <c r="B291" t="s">
        <v>415</v>
      </c>
      <c r="C291">
        <v>13.406073250583113</v>
      </c>
      <c r="D291">
        <v>522.5</v>
      </c>
      <c r="E291">
        <v>0.97150000000000003</v>
      </c>
    </row>
    <row r="292" spans="2:5" x14ac:dyDescent="0.45">
      <c r="B292" t="s">
        <v>416</v>
      </c>
      <c r="C292">
        <v>0</v>
      </c>
      <c r="D292">
        <v>551.1</v>
      </c>
      <c r="E292">
        <v>0.96994000000000002</v>
      </c>
    </row>
    <row r="293" spans="2:5" x14ac:dyDescent="0.45">
      <c r="B293" t="s">
        <v>417</v>
      </c>
      <c r="C293">
        <v>0</v>
      </c>
      <c r="D293">
        <v>276.10000000000002</v>
      </c>
      <c r="E293">
        <v>0.98494000000000004</v>
      </c>
    </row>
    <row r="294" spans="2:5" x14ac:dyDescent="0.45">
      <c r="B294" t="s">
        <v>418</v>
      </c>
      <c r="C294">
        <v>0</v>
      </c>
      <c r="D294">
        <v>111.10000000000001</v>
      </c>
      <c r="E294">
        <v>0.99394000000000005</v>
      </c>
    </row>
    <row r="295" spans="2:5" x14ac:dyDescent="0.45">
      <c r="B295" t="s">
        <v>419</v>
      </c>
      <c r="C295">
        <v>0</v>
      </c>
      <c r="D295">
        <v>323.40000000000003</v>
      </c>
      <c r="E295">
        <v>0.98236000000000001</v>
      </c>
    </row>
    <row r="296" spans="2:5" x14ac:dyDescent="0.45">
      <c r="B296" t="s">
        <v>420</v>
      </c>
      <c r="C296">
        <v>0</v>
      </c>
      <c r="D296">
        <v>90.2</v>
      </c>
      <c r="E296">
        <v>0.99507999999999996</v>
      </c>
    </row>
    <row r="297" spans="2:5" x14ac:dyDescent="0.45">
      <c r="B297" t="s">
        <v>421</v>
      </c>
      <c r="C297">
        <v>0</v>
      </c>
      <c r="D297">
        <v>225.50000000000003</v>
      </c>
      <c r="E297">
        <v>0.98770000000000002</v>
      </c>
    </row>
    <row r="298" spans="2:5" x14ac:dyDescent="0.45">
      <c r="B298" t="s">
        <v>422</v>
      </c>
      <c r="C298">
        <v>0</v>
      </c>
      <c r="D298">
        <v>202.4</v>
      </c>
      <c r="E298">
        <v>0.98895999999999995</v>
      </c>
    </row>
    <row r="299" spans="2:5" x14ac:dyDescent="0.45">
      <c r="B299" t="s">
        <v>423</v>
      </c>
      <c r="C299">
        <v>0</v>
      </c>
      <c r="D299">
        <v>250.8</v>
      </c>
      <c r="E299">
        <v>0.98631999999999997</v>
      </c>
    </row>
    <row r="300" spans="2:5" x14ac:dyDescent="0.45">
      <c r="B300" t="s">
        <v>424</v>
      </c>
      <c r="C300">
        <v>0</v>
      </c>
      <c r="D300">
        <v>280.5</v>
      </c>
      <c r="E300">
        <v>0.98470000000000002</v>
      </c>
    </row>
    <row r="301" spans="2:5" x14ac:dyDescent="0.45">
      <c r="B301" t="s">
        <v>425</v>
      </c>
      <c r="C301">
        <v>4.4686910835277036</v>
      </c>
      <c r="D301">
        <v>784.30000000000007</v>
      </c>
      <c r="E301">
        <v>0.95721999999999996</v>
      </c>
    </row>
    <row r="302" spans="2:5" x14ac:dyDescent="0.45">
      <c r="B302" t="s">
        <v>426</v>
      </c>
      <c r="C302">
        <v>27.1472983324308</v>
      </c>
      <c r="D302">
        <v>314.60000000000002</v>
      </c>
      <c r="E302">
        <v>0.98284000000000005</v>
      </c>
    </row>
    <row r="303" spans="2:5" x14ac:dyDescent="0.45">
      <c r="B303" t="s">
        <v>427</v>
      </c>
      <c r="C303">
        <v>4.4686910835277036</v>
      </c>
      <c r="D303">
        <v>568.70000000000005</v>
      </c>
      <c r="E303">
        <v>0.96897999999999995</v>
      </c>
    </row>
    <row r="304" spans="2:5" x14ac:dyDescent="0.45">
      <c r="B304" t="s">
        <v>428</v>
      </c>
      <c r="C304">
        <v>0</v>
      </c>
      <c r="D304">
        <v>671</v>
      </c>
      <c r="E304">
        <v>0.96340000000000003</v>
      </c>
    </row>
    <row r="305" spans="2:5" x14ac:dyDescent="0.45">
      <c r="B305" t="s">
        <v>429</v>
      </c>
      <c r="C305">
        <v>0</v>
      </c>
      <c r="D305">
        <v>396.00000000000006</v>
      </c>
      <c r="E305">
        <v>0.97840000000000005</v>
      </c>
    </row>
    <row r="306" spans="2:5" x14ac:dyDescent="0.45">
      <c r="B306" t="s">
        <v>430</v>
      </c>
      <c r="C306">
        <v>0</v>
      </c>
      <c r="D306">
        <v>70.400000000000006</v>
      </c>
      <c r="E306">
        <v>0.99616000000000005</v>
      </c>
    </row>
    <row r="307" spans="2:5" x14ac:dyDescent="0.45">
      <c r="B307" t="s">
        <v>431</v>
      </c>
      <c r="C307">
        <v>2.2343455417638518</v>
      </c>
      <c r="D307">
        <v>386.1</v>
      </c>
      <c r="E307">
        <v>0.97894000000000003</v>
      </c>
    </row>
    <row r="308" spans="2:5" x14ac:dyDescent="0.45">
      <c r="B308" t="s">
        <v>432</v>
      </c>
      <c r="C308">
        <v>2.2343455417638518</v>
      </c>
      <c r="D308">
        <v>531.30000000000007</v>
      </c>
      <c r="E308">
        <v>0.97101999999999999</v>
      </c>
    </row>
    <row r="309" spans="2:5" x14ac:dyDescent="0.45">
      <c r="B309" t="s">
        <v>433</v>
      </c>
      <c r="C309">
        <v>0</v>
      </c>
      <c r="D309">
        <v>139.70000000000002</v>
      </c>
      <c r="E309">
        <v>0.99238000000000004</v>
      </c>
    </row>
    <row r="310" spans="2:5" x14ac:dyDescent="0.45">
      <c r="B310" t="s">
        <v>434</v>
      </c>
      <c r="C310">
        <v>0</v>
      </c>
      <c r="D310">
        <v>669.90000000000009</v>
      </c>
      <c r="E310">
        <v>0.96345999999999998</v>
      </c>
    </row>
    <row r="311" spans="2:5" x14ac:dyDescent="0.45">
      <c r="B311" t="s">
        <v>435</v>
      </c>
      <c r="C311">
        <v>0</v>
      </c>
      <c r="D311">
        <v>669.90000000000009</v>
      </c>
      <c r="E311">
        <v>0.96345999999999998</v>
      </c>
    </row>
    <row r="312" spans="2:5" x14ac:dyDescent="0.45">
      <c r="B312" t="s">
        <v>436</v>
      </c>
      <c r="C312">
        <v>0</v>
      </c>
      <c r="D312">
        <v>678.7</v>
      </c>
      <c r="E312">
        <v>0.96297999999999995</v>
      </c>
    </row>
    <row r="313" spans="2:5" x14ac:dyDescent="0.45">
      <c r="B313" t="s">
        <v>437</v>
      </c>
      <c r="C313">
        <v>0</v>
      </c>
      <c r="D313">
        <v>664.40000000000009</v>
      </c>
      <c r="E313">
        <v>0.96375999999999995</v>
      </c>
    </row>
    <row r="314" spans="2:5" x14ac:dyDescent="0.45">
      <c r="B314" t="s">
        <v>438</v>
      </c>
      <c r="C314">
        <v>0</v>
      </c>
      <c r="D314">
        <v>480.70000000000005</v>
      </c>
      <c r="E314">
        <v>0.97377999999999998</v>
      </c>
    </row>
    <row r="315" spans="2:5" x14ac:dyDescent="0.45">
      <c r="B315" t="s">
        <v>439</v>
      </c>
      <c r="C315">
        <v>0</v>
      </c>
      <c r="D315">
        <v>360.8</v>
      </c>
      <c r="E315">
        <v>0.98031999999999997</v>
      </c>
    </row>
    <row r="316" spans="2:5" x14ac:dyDescent="0.45">
      <c r="B316" t="s">
        <v>440</v>
      </c>
      <c r="C316">
        <v>0</v>
      </c>
      <c r="D316">
        <v>314.60000000000002</v>
      </c>
      <c r="E316">
        <v>0.98284000000000005</v>
      </c>
    </row>
    <row r="317" spans="2:5" x14ac:dyDescent="0.45">
      <c r="B317" t="s">
        <v>441</v>
      </c>
      <c r="C317">
        <v>0</v>
      </c>
      <c r="D317">
        <v>170.5</v>
      </c>
      <c r="E317">
        <v>0.99070000000000003</v>
      </c>
    </row>
    <row r="318" spans="2:5" x14ac:dyDescent="0.45">
      <c r="B318" t="s">
        <v>442</v>
      </c>
      <c r="C318">
        <v>0</v>
      </c>
      <c r="D318">
        <v>222.20000000000002</v>
      </c>
      <c r="E318">
        <v>0.98787999999999998</v>
      </c>
    </row>
    <row r="319" spans="2:5" x14ac:dyDescent="0.45">
      <c r="B319" t="s">
        <v>443</v>
      </c>
      <c r="C319">
        <v>0</v>
      </c>
      <c r="D319">
        <v>368.50000000000006</v>
      </c>
      <c r="E319">
        <v>0.97989999999999999</v>
      </c>
    </row>
    <row r="320" spans="2:5" x14ac:dyDescent="0.45">
      <c r="B320" t="s">
        <v>444</v>
      </c>
      <c r="C320">
        <v>0</v>
      </c>
      <c r="D320">
        <v>542.30000000000007</v>
      </c>
      <c r="E320">
        <v>0.97041999999999995</v>
      </c>
    </row>
    <row r="321" spans="2:5" x14ac:dyDescent="0.45">
      <c r="B321" t="s">
        <v>445</v>
      </c>
      <c r="C321">
        <v>0</v>
      </c>
      <c r="D321">
        <v>971.30000000000007</v>
      </c>
      <c r="E321">
        <v>0.94701999999999997</v>
      </c>
    </row>
    <row r="322" spans="2:5" x14ac:dyDescent="0.45">
      <c r="B322" t="s">
        <v>446</v>
      </c>
      <c r="C322">
        <v>0</v>
      </c>
      <c r="D322">
        <v>913.00000000000011</v>
      </c>
      <c r="E322">
        <v>0.95020000000000004</v>
      </c>
    </row>
    <row r="323" spans="2:5" x14ac:dyDescent="0.45">
      <c r="B323" t="s">
        <v>447</v>
      </c>
      <c r="C323">
        <v>0</v>
      </c>
      <c r="D323">
        <v>706.2</v>
      </c>
      <c r="E323">
        <v>0.96148</v>
      </c>
    </row>
    <row r="324" spans="2:5" x14ac:dyDescent="0.45">
      <c r="B324" t="s">
        <v>448</v>
      </c>
      <c r="C324">
        <v>0</v>
      </c>
      <c r="D324">
        <v>861.30000000000007</v>
      </c>
      <c r="E324">
        <v>0.95301999999999998</v>
      </c>
    </row>
    <row r="325" spans="2:5" x14ac:dyDescent="0.45">
      <c r="B325" t="s">
        <v>449</v>
      </c>
      <c r="C325">
        <v>0</v>
      </c>
      <c r="D325">
        <v>793.1</v>
      </c>
      <c r="E325">
        <v>0.95674000000000003</v>
      </c>
    </row>
    <row r="326" spans="2:5" x14ac:dyDescent="0.45">
      <c r="B326" t="s">
        <v>450</v>
      </c>
      <c r="C326">
        <v>0</v>
      </c>
      <c r="D326">
        <v>1047.2</v>
      </c>
      <c r="E326">
        <v>0.94287999999999994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FBF75-D692-4651-B8FE-79CB1D0A0C90}">
  <dimension ref="B9:L56"/>
  <sheetViews>
    <sheetView workbookViewId="0"/>
  </sheetViews>
  <sheetFormatPr defaultRowHeight="14.25" x14ac:dyDescent="0.45"/>
  <sheetData>
    <row r="9" spans="2:12" x14ac:dyDescent="0.45">
      <c r="B9" t="s">
        <v>92</v>
      </c>
    </row>
    <row r="10" spans="2:12" x14ac:dyDescent="0.45">
      <c r="B10" t="s">
        <v>93</v>
      </c>
      <c r="C10" t="s">
        <v>94</v>
      </c>
      <c r="D10" t="s">
        <v>95</v>
      </c>
      <c r="E10" t="s">
        <v>96</v>
      </c>
      <c r="F10" t="s">
        <v>97</v>
      </c>
      <c r="G10" t="s">
        <v>98</v>
      </c>
      <c r="H10" t="s">
        <v>99</v>
      </c>
      <c r="I10" t="s">
        <v>100</v>
      </c>
      <c r="J10" t="s">
        <v>101</v>
      </c>
      <c r="K10" t="s">
        <v>102</v>
      </c>
      <c r="L10" t="s">
        <v>103</v>
      </c>
    </row>
    <row r="11" spans="2:12" x14ac:dyDescent="0.45">
      <c r="B11">
        <v>2030</v>
      </c>
      <c r="C11" t="s">
        <v>104</v>
      </c>
      <c r="D11" t="s">
        <v>105</v>
      </c>
      <c r="E11">
        <v>13</v>
      </c>
      <c r="F11" t="s">
        <v>106</v>
      </c>
      <c r="G11" t="s">
        <v>107</v>
      </c>
      <c r="H11" t="s">
        <v>108</v>
      </c>
      <c r="I11" s="12">
        <v>44986</v>
      </c>
      <c r="J11" t="s">
        <v>109</v>
      </c>
      <c r="K11" t="s">
        <v>110</v>
      </c>
      <c r="L11" t="s">
        <v>111</v>
      </c>
    </row>
    <row r="12" spans="2:12" x14ac:dyDescent="0.45">
      <c r="B12">
        <v>2030</v>
      </c>
      <c r="C12" t="s">
        <v>104</v>
      </c>
      <c r="D12" t="s">
        <v>105</v>
      </c>
      <c r="E12">
        <v>10.199999999999999</v>
      </c>
      <c r="F12" t="s">
        <v>106</v>
      </c>
      <c r="G12" t="s">
        <v>112</v>
      </c>
      <c r="H12" t="s">
        <v>113</v>
      </c>
      <c r="I12" s="12">
        <v>45937</v>
      </c>
      <c r="J12" t="s">
        <v>114</v>
      </c>
      <c r="K12" t="s">
        <v>115</v>
      </c>
    </row>
    <row r="13" spans="2:12" x14ac:dyDescent="0.45">
      <c r="B13">
        <v>2030</v>
      </c>
      <c r="C13" t="s">
        <v>116</v>
      </c>
      <c r="D13" t="s">
        <v>105</v>
      </c>
      <c r="E13">
        <v>129</v>
      </c>
      <c r="F13" t="s">
        <v>106</v>
      </c>
      <c r="G13" t="s">
        <v>107</v>
      </c>
      <c r="H13" t="s">
        <v>108</v>
      </c>
      <c r="I13" s="12">
        <v>44986</v>
      </c>
      <c r="J13" t="s">
        <v>109</v>
      </c>
      <c r="K13" t="s">
        <v>110</v>
      </c>
      <c r="L13" t="s">
        <v>111</v>
      </c>
    </row>
    <row r="14" spans="2:12" x14ac:dyDescent="0.45">
      <c r="B14">
        <v>2030</v>
      </c>
      <c r="C14" t="s">
        <v>117</v>
      </c>
      <c r="D14" t="s">
        <v>105</v>
      </c>
      <c r="E14">
        <v>400</v>
      </c>
      <c r="F14" t="s">
        <v>106</v>
      </c>
      <c r="G14" t="s">
        <v>107</v>
      </c>
      <c r="H14" t="s">
        <v>108</v>
      </c>
      <c r="I14" s="12">
        <v>44986</v>
      </c>
      <c r="J14" t="s">
        <v>109</v>
      </c>
      <c r="K14" t="s">
        <v>110</v>
      </c>
      <c r="L14" t="s">
        <v>111</v>
      </c>
    </row>
    <row r="15" spans="2:12" x14ac:dyDescent="0.45">
      <c r="B15">
        <v>2030</v>
      </c>
      <c r="C15" t="s">
        <v>118</v>
      </c>
      <c r="D15" t="s">
        <v>105</v>
      </c>
      <c r="E15">
        <v>75</v>
      </c>
      <c r="F15" t="s">
        <v>106</v>
      </c>
      <c r="G15" t="s">
        <v>107</v>
      </c>
      <c r="H15" t="s">
        <v>108</v>
      </c>
      <c r="I15" s="12">
        <v>44986</v>
      </c>
      <c r="J15" t="s">
        <v>109</v>
      </c>
      <c r="K15" t="s">
        <v>110</v>
      </c>
      <c r="L15" t="s">
        <v>111</v>
      </c>
    </row>
    <row r="16" spans="2:12" x14ac:dyDescent="0.45">
      <c r="B16">
        <v>2030</v>
      </c>
      <c r="C16" t="s">
        <v>118</v>
      </c>
      <c r="D16" t="s">
        <v>105</v>
      </c>
      <c r="E16">
        <v>103.4</v>
      </c>
      <c r="F16" t="s">
        <v>106</v>
      </c>
      <c r="G16" t="s">
        <v>112</v>
      </c>
      <c r="H16" t="s">
        <v>113</v>
      </c>
      <c r="I16" s="12">
        <v>45937</v>
      </c>
      <c r="J16" t="s">
        <v>114</v>
      </c>
      <c r="K16" t="s">
        <v>115</v>
      </c>
    </row>
    <row r="17" spans="2:12" x14ac:dyDescent="0.45">
      <c r="B17">
        <v>2030</v>
      </c>
      <c r="C17" t="s">
        <v>119</v>
      </c>
      <c r="D17" t="s">
        <v>105</v>
      </c>
      <c r="E17">
        <v>95</v>
      </c>
      <c r="F17" t="s">
        <v>106</v>
      </c>
      <c r="G17" t="s">
        <v>107</v>
      </c>
      <c r="H17" t="s">
        <v>108</v>
      </c>
      <c r="I17" s="12">
        <v>44986</v>
      </c>
      <c r="J17" t="s">
        <v>109</v>
      </c>
      <c r="K17" t="s">
        <v>110</v>
      </c>
      <c r="L17" t="s">
        <v>111</v>
      </c>
    </row>
    <row r="18" spans="2:12" x14ac:dyDescent="0.45">
      <c r="B18">
        <v>2030</v>
      </c>
      <c r="C18" t="s">
        <v>120</v>
      </c>
      <c r="D18" t="s">
        <v>105</v>
      </c>
      <c r="E18">
        <v>35</v>
      </c>
      <c r="F18" t="s">
        <v>106</v>
      </c>
      <c r="G18" t="s">
        <v>107</v>
      </c>
      <c r="H18" t="s">
        <v>108</v>
      </c>
      <c r="I18" s="12">
        <v>44986</v>
      </c>
      <c r="J18" t="s">
        <v>109</v>
      </c>
      <c r="K18" t="s">
        <v>110</v>
      </c>
      <c r="L18" t="s">
        <v>111</v>
      </c>
    </row>
    <row r="19" spans="2:12" x14ac:dyDescent="0.45">
      <c r="B19">
        <v>2030</v>
      </c>
      <c r="C19" t="s">
        <v>120</v>
      </c>
      <c r="D19" t="s">
        <v>105</v>
      </c>
      <c r="E19">
        <v>6.2</v>
      </c>
      <c r="F19" t="s">
        <v>106</v>
      </c>
      <c r="G19" t="s">
        <v>112</v>
      </c>
      <c r="H19" t="s">
        <v>113</v>
      </c>
      <c r="I19" s="12">
        <v>45937</v>
      </c>
      <c r="J19" t="s">
        <v>114</v>
      </c>
      <c r="K19" t="s">
        <v>115</v>
      </c>
    </row>
    <row r="20" spans="2:12" x14ac:dyDescent="0.45">
      <c r="B20">
        <v>2030</v>
      </c>
      <c r="C20" t="s">
        <v>121</v>
      </c>
      <c r="D20" t="s">
        <v>105</v>
      </c>
      <c r="E20">
        <v>334</v>
      </c>
      <c r="F20" t="s">
        <v>106</v>
      </c>
      <c r="G20" t="s">
        <v>107</v>
      </c>
      <c r="H20" t="s">
        <v>108</v>
      </c>
      <c r="I20" s="12">
        <v>44986</v>
      </c>
      <c r="J20" t="s">
        <v>109</v>
      </c>
      <c r="K20" t="s">
        <v>110</v>
      </c>
      <c r="L20" t="s">
        <v>111</v>
      </c>
    </row>
    <row r="21" spans="2:12" x14ac:dyDescent="0.45">
      <c r="B21">
        <v>2030</v>
      </c>
      <c r="C21" t="s">
        <v>121</v>
      </c>
      <c r="D21" t="s">
        <v>105</v>
      </c>
      <c r="E21">
        <v>187.8</v>
      </c>
      <c r="F21" t="s">
        <v>106</v>
      </c>
      <c r="G21" t="s">
        <v>112</v>
      </c>
      <c r="H21" t="s">
        <v>113</v>
      </c>
      <c r="I21" s="12">
        <v>45937</v>
      </c>
      <c r="J21" t="s">
        <v>114</v>
      </c>
      <c r="K21" t="s">
        <v>115</v>
      </c>
    </row>
    <row r="22" spans="2:12" x14ac:dyDescent="0.45">
      <c r="B22">
        <v>2030</v>
      </c>
      <c r="C22" t="s">
        <v>122</v>
      </c>
      <c r="D22" t="s">
        <v>105</v>
      </c>
      <c r="E22">
        <v>41</v>
      </c>
      <c r="F22" t="s">
        <v>106</v>
      </c>
      <c r="G22" t="s">
        <v>107</v>
      </c>
      <c r="H22" t="s">
        <v>108</v>
      </c>
      <c r="I22" s="12">
        <v>44986</v>
      </c>
      <c r="J22" t="s">
        <v>109</v>
      </c>
      <c r="K22" t="s">
        <v>110</v>
      </c>
      <c r="L22" t="s">
        <v>111</v>
      </c>
    </row>
    <row r="23" spans="2:12" x14ac:dyDescent="0.45">
      <c r="B23">
        <v>2030</v>
      </c>
      <c r="C23" t="s">
        <v>123</v>
      </c>
      <c r="D23" t="s">
        <v>105</v>
      </c>
      <c r="E23">
        <v>5</v>
      </c>
      <c r="F23" t="s">
        <v>106</v>
      </c>
      <c r="G23" t="s">
        <v>112</v>
      </c>
      <c r="H23" t="s">
        <v>113</v>
      </c>
      <c r="I23" s="12">
        <v>45937</v>
      </c>
      <c r="J23" t="s">
        <v>114</v>
      </c>
      <c r="K23" t="s">
        <v>115</v>
      </c>
    </row>
    <row r="24" spans="2:12" x14ac:dyDescent="0.45">
      <c r="B24">
        <v>2030</v>
      </c>
      <c r="C24" t="s">
        <v>123</v>
      </c>
      <c r="D24" t="s">
        <v>105</v>
      </c>
      <c r="E24">
        <v>13</v>
      </c>
      <c r="F24" t="s">
        <v>106</v>
      </c>
      <c r="G24" t="s">
        <v>107</v>
      </c>
      <c r="H24" t="s">
        <v>108</v>
      </c>
      <c r="I24" s="12">
        <v>44986</v>
      </c>
      <c r="J24" t="s">
        <v>109</v>
      </c>
      <c r="K24" t="s">
        <v>110</v>
      </c>
      <c r="L24" t="s">
        <v>111</v>
      </c>
    </row>
    <row r="25" spans="2:12" x14ac:dyDescent="0.45">
      <c r="B25">
        <v>2030</v>
      </c>
      <c r="C25" t="s">
        <v>124</v>
      </c>
      <c r="D25" t="s">
        <v>105</v>
      </c>
      <c r="E25">
        <v>468</v>
      </c>
      <c r="F25" t="s">
        <v>106</v>
      </c>
      <c r="G25" t="s">
        <v>107</v>
      </c>
      <c r="H25" t="s">
        <v>108</v>
      </c>
      <c r="I25" s="12">
        <v>44986</v>
      </c>
      <c r="J25" t="s">
        <v>109</v>
      </c>
      <c r="K25" t="s">
        <v>110</v>
      </c>
      <c r="L25" t="s">
        <v>111</v>
      </c>
    </row>
    <row r="26" spans="2:12" x14ac:dyDescent="0.45">
      <c r="B26">
        <v>2030</v>
      </c>
      <c r="C26" t="s">
        <v>124</v>
      </c>
      <c r="D26" t="s">
        <v>105</v>
      </c>
      <c r="E26">
        <v>428.3</v>
      </c>
      <c r="F26" t="s">
        <v>106</v>
      </c>
      <c r="G26" t="s">
        <v>112</v>
      </c>
      <c r="H26" t="s">
        <v>113</v>
      </c>
      <c r="I26" s="12">
        <v>45937</v>
      </c>
      <c r="J26" t="s">
        <v>114</v>
      </c>
      <c r="K26" t="s">
        <v>115</v>
      </c>
    </row>
    <row r="27" spans="2:12" x14ac:dyDescent="0.45">
      <c r="B27">
        <v>2030</v>
      </c>
      <c r="C27" t="s">
        <v>104</v>
      </c>
      <c r="D27" t="s">
        <v>125</v>
      </c>
      <c r="E27">
        <v>53</v>
      </c>
      <c r="F27" t="s">
        <v>106</v>
      </c>
      <c r="G27" t="s">
        <v>112</v>
      </c>
      <c r="H27" t="s">
        <v>113</v>
      </c>
      <c r="I27" s="12">
        <v>45937</v>
      </c>
      <c r="J27" t="s">
        <v>114</v>
      </c>
      <c r="K27" t="s">
        <v>115</v>
      </c>
    </row>
    <row r="28" spans="2:12" x14ac:dyDescent="0.45">
      <c r="B28">
        <v>2030</v>
      </c>
      <c r="C28" t="s">
        <v>104</v>
      </c>
      <c r="D28" t="s">
        <v>125</v>
      </c>
      <c r="E28">
        <v>18</v>
      </c>
      <c r="F28" t="s">
        <v>106</v>
      </c>
      <c r="G28" t="s">
        <v>107</v>
      </c>
      <c r="H28" t="s">
        <v>108</v>
      </c>
      <c r="I28" s="12">
        <v>44986</v>
      </c>
      <c r="J28" t="s">
        <v>109</v>
      </c>
      <c r="K28" t="s">
        <v>110</v>
      </c>
      <c r="L28" t="s">
        <v>111</v>
      </c>
    </row>
    <row r="29" spans="2:12" x14ac:dyDescent="0.45">
      <c r="B29">
        <v>2030</v>
      </c>
      <c r="C29" t="s">
        <v>116</v>
      </c>
      <c r="D29" t="s">
        <v>125</v>
      </c>
      <c r="E29">
        <v>310</v>
      </c>
      <c r="F29" t="s">
        <v>106</v>
      </c>
      <c r="G29" t="s">
        <v>107</v>
      </c>
      <c r="H29" t="s">
        <v>108</v>
      </c>
      <c r="I29" s="12">
        <v>44986</v>
      </c>
      <c r="J29" t="s">
        <v>109</v>
      </c>
      <c r="K29" t="s">
        <v>110</v>
      </c>
      <c r="L29" t="s">
        <v>111</v>
      </c>
    </row>
    <row r="30" spans="2:12" x14ac:dyDescent="0.45">
      <c r="B30">
        <v>2030</v>
      </c>
      <c r="C30" t="s">
        <v>117</v>
      </c>
      <c r="D30" t="s">
        <v>125</v>
      </c>
      <c r="E30">
        <v>708</v>
      </c>
      <c r="F30" t="s">
        <v>106</v>
      </c>
      <c r="G30" t="s">
        <v>107</v>
      </c>
      <c r="H30" t="s">
        <v>108</v>
      </c>
      <c r="I30" s="12">
        <v>44986</v>
      </c>
      <c r="J30" t="s">
        <v>109</v>
      </c>
      <c r="K30" t="s">
        <v>110</v>
      </c>
      <c r="L30" t="s">
        <v>111</v>
      </c>
    </row>
    <row r="31" spans="2:12" x14ac:dyDescent="0.45">
      <c r="B31">
        <v>2030</v>
      </c>
      <c r="C31" t="s">
        <v>118</v>
      </c>
      <c r="D31" t="s">
        <v>125</v>
      </c>
      <c r="E31">
        <v>258.5</v>
      </c>
      <c r="F31" t="s">
        <v>106</v>
      </c>
      <c r="G31" t="s">
        <v>112</v>
      </c>
      <c r="H31" t="s">
        <v>113</v>
      </c>
      <c r="I31" s="12">
        <v>45937</v>
      </c>
      <c r="J31" t="s">
        <v>114</v>
      </c>
      <c r="K31" t="s">
        <v>115</v>
      </c>
    </row>
    <row r="32" spans="2:12" x14ac:dyDescent="0.45">
      <c r="B32">
        <v>2030</v>
      </c>
      <c r="C32" t="s">
        <v>118</v>
      </c>
      <c r="D32" t="s">
        <v>125</v>
      </c>
      <c r="E32">
        <v>293</v>
      </c>
      <c r="F32" t="s">
        <v>106</v>
      </c>
      <c r="G32" t="s">
        <v>107</v>
      </c>
      <c r="H32" t="s">
        <v>108</v>
      </c>
      <c r="I32" s="12">
        <v>44986</v>
      </c>
      <c r="J32" t="s">
        <v>109</v>
      </c>
      <c r="K32" t="s">
        <v>110</v>
      </c>
      <c r="L32" t="s">
        <v>111</v>
      </c>
    </row>
    <row r="33" spans="2:12" x14ac:dyDescent="0.45">
      <c r="B33">
        <v>2030</v>
      </c>
      <c r="C33" t="s">
        <v>119</v>
      </c>
      <c r="D33" t="s">
        <v>125</v>
      </c>
      <c r="E33">
        <v>756</v>
      </c>
      <c r="F33" t="s">
        <v>106</v>
      </c>
      <c r="G33" t="s">
        <v>107</v>
      </c>
      <c r="H33" t="s">
        <v>108</v>
      </c>
      <c r="I33" s="12">
        <v>44986</v>
      </c>
      <c r="J33" t="s">
        <v>109</v>
      </c>
      <c r="K33" t="s">
        <v>110</v>
      </c>
      <c r="L33" t="s">
        <v>111</v>
      </c>
    </row>
    <row r="34" spans="2:12" x14ac:dyDescent="0.45">
      <c r="B34">
        <v>2030</v>
      </c>
      <c r="C34" t="s">
        <v>120</v>
      </c>
      <c r="D34" t="s">
        <v>125</v>
      </c>
      <c r="E34">
        <v>16.5</v>
      </c>
      <c r="F34" t="s">
        <v>106</v>
      </c>
      <c r="G34" t="s">
        <v>112</v>
      </c>
      <c r="H34" t="s">
        <v>113</v>
      </c>
      <c r="I34" s="12">
        <v>45937</v>
      </c>
      <c r="J34" t="s">
        <v>114</v>
      </c>
      <c r="K34" t="s">
        <v>115</v>
      </c>
    </row>
    <row r="35" spans="2:12" x14ac:dyDescent="0.45">
      <c r="B35">
        <v>2030</v>
      </c>
      <c r="C35" t="s">
        <v>121</v>
      </c>
      <c r="D35" t="s">
        <v>125</v>
      </c>
      <c r="E35">
        <v>559.79999999999995</v>
      </c>
      <c r="F35" t="s">
        <v>106</v>
      </c>
      <c r="G35" t="s">
        <v>112</v>
      </c>
      <c r="H35" t="s">
        <v>113</v>
      </c>
      <c r="I35" s="12">
        <v>45937</v>
      </c>
      <c r="J35" t="s">
        <v>114</v>
      </c>
      <c r="K35" t="s">
        <v>115</v>
      </c>
    </row>
    <row r="36" spans="2:12" x14ac:dyDescent="0.45">
      <c r="B36">
        <v>2030</v>
      </c>
      <c r="C36" t="s">
        <v>122</v>
      </c>
      <c r="D36" t="s">
        <v>125</v>
      </c>
      <c r="E36">
        <v>34</v>
      </c>
      <c r="F36" t="s">
        <v>106</v>
      </c>
      <c r="G36" t="s">
        <v>107</v>
      </c>
      <c r="H36" t="s">
        <v>108</v>
      </c>
      <c r="I36" s="12">
        <v>44986</v>
      </c>
      <c r="J36" t="s">
        <v>109</v>
      </c>
      <c r="K36" t="s">
        <v>110</v>
      </c>
      <c r="L36" t="s">
        <v>111</v>
      </c>
    </row>
    <row r="37" spans="2:12" x14ac:dyDescent="0.45">
      <c r="B37">
        <v>2030</v>
      </c>
      <c r="C37" t="s">
        <v>123</v>
      </c>
      <c r="D37" t="s">
        <v>125</v>
      </c>
      <c r="E37">
        <v>24.9</v>
      </c>
      <c r="F37" t="s">
        <v>106</v>
      </c>
      <c r="G37" t="s">
        <v>112</v>
      </c>
      <c r="H37" t="s">
        <v>113</v>
      </c>
      <c r="I37" s="12">
        <v>45937</v>
      </c>
      <c r="J37" t="s">
        <v>114</v>
      </c>
      <c r="K37" t="s">
        <v>115</v>
      </c>
    </row>
    <row r="38" spans="2:12" x14ac:dyDescent="0.45">
      <c r="B38">
        <v>2030</v>
      </c>
      <c r="C38" t="s">
        <v>123</v>
      </c>
      <c r="D38" t="s">
        <v>125</v>
      </c>
      <c r="E38">
        <v>17</v>
      </c>
      <c r="F38" t="s">
        <v>106</v>
      </c>
      <c r="G38" t="s">
        <v>107</v>
      </c>
      <c r="H38" t="s">
        <v>108</v>
      </c>
      <c r="I38" s="12">
        <v>44986</v>
      </c>
      <c r="J38" t="s">
        <v>109</v>
      </c>
      <c r="K38" t="s">
        <v>110</v>
      </c>
      <c r="L38" t="s">
        <v>111</v>
      </c>
    </row>
    <row r="39" spans="2:12" x14ac:dyDescent="0.45">
      <c r="B39">
        <v>2030</v>
      </c>
      <c r="C39" t="s">
        <v>124</v>
      </c>
      <c r="D39" t="s">
        <v>125</v>
      </c>
      <c r="E39">
        <v>984</v>
      </c>
      <c r="F39" t="s">
        <v>106</v>
      </c>
      <c r="G39" t="s">
        <v>107</v>
      </c>
      <c r="H39" t="s">
        <v>108</v>
      </c>
      <c r="I39" s="12">
        <v>44986</v>
      </c>
      <c r="J39" t="s">
        <v>109</v>
      </c>
      <c r="K39" t="s">
        <v>110</v>
      </c>
      <c r="L39" t="s">
        <v>111</v>
      </c>
    </row>
    <row r="40" spans="2:12" x14ac:dyDescent="0.45">
      <c r="B40">
        <v>2030</v>
      </c>
      <c r="C40" t="s">
        <v>124</v>
      </c>
      <c r="D40" t="s">
        <v>125</v>
      </c>
      <c r="E40">
        <v>578.20000000000005</v>
      </c>
      <c r="F40" t="s">
        <v>106</v>
      </c>
      <c r="G40" t="s">
        <v>112</v>
      </c>
      <c r="H40" t="s">
        <v>113</v>
      </c>
      <c r="I40" s="12">
        <v>45937</v>
      </c>
      <c r="J40" t="s">
        <v>114</v>
      </c>
      <c r="K40" t="s">
        <v>115</v>
      </c>
    </row>
    <row r="41" spans="2:12" x14ac:dyDescent="0.45">
      <c r="B41">
        <v>2030</v>
      </c>
      <c r="C41" t="s">
        <v>126</v>
      </c>
      <c r="D41" t="s">
        <v>125</v>
      </c>
      <c r="E41">
        <v>1294</v>
      </c>
      <c r="F41" t="s">
        <v>106</v>
      </c>
      <c r="G41" t="s">
        <v>107</v>
      </c>
      <c r="H41" t="s">
        <v>108</v>
      </c>
      <c r="I41" s="12">
        <v>44986</v>
      </c>
      <c r="J41" t="s">
        <v>109</v>
      </c>
      <c r="K41" t="s">
        <v>110</v>
      </c>
      <c r="L41" t="s">
        <v>111</v>
      </c>
    </row>
    <row r="42" spans="2:12" x14ac:dyDescent="0.45">
      <c r="B42">
        <v>2030</v>
      </c>
      <c r="C42" t="s">
        <v>104</v>
      </c>
      <c r="D42" t="s">
        <v>127</v>
      </c>
      <c r="F42" t="s">
        <v>106</v>
      </c>
      <c r="G42" t="s">
        <v>112</v>
      </c>
      <c r="H42" t="s">
        <v>113</v>
      </c>
      <c r="I42" s="12">
        <v>45937</v>
      </c>
      <c r="J42" t="s">
        <v>114</v>
      </c>
      <c r="K42" t="s">
        <v>115</v>
      </c>
    </row>
    <row r="43" spans="2:12" x14ac:dyDescent="0.45">
      <c r="B43">
        <v>2030</v>
      </c>
      <c r="C43" t="s">
        <v>104</v>
      </c>
      <c r="D43" t="s">
        <v>127</v>
      </c>
      <c r="E43">
        <v>0.41</v>
      </c>
      <c r="F43" t="s">
        <v>106</v>
      </c>
      <c r="G43" t="s">
        <v>107</v>
      </c>
      <c r="H43" t="s">
        <v>108</v>
      </c>
      <c r="I43" s="12">
        <v>44986</v>
      </c>
      <c r="J43" t="s">
        <v>109</v>
      </c>
      <c r="K43" t="s">
        <v>110</v>
      </c>
      <c r="L43" t="s">
        <v>111</v>
      </c>
    </row>
    <row r="44" spans="2:12" x14ac:dyDescent="0.45">
      <c r="B44">
        <v>2030</v>
      </c>
      <c r="C44" t="s">
        <v>116</v>
      </c>
      <c r="D44" t="s">
        <v>127</v>
      </c>
      <c r="E44">
        <v>7.02</v>
      </c>
      <c r="F44" t="s">
        <v>106</v>
      </c>
      <c r="G44" t="s">
        <v>107</v>
      </c>
      <c r="H44" t="s">
        <v>108</v>
      </c>
      <c r="I44" s="12">
        <v>44986</v>
      </c>
      <c r="J44" t="s">
        <v>109</v>
      </c>
      <c r="K44" t="s">
        <v>110</v>
      </c>
      <c r="L44" t="s">
        <v>111</v>
      </c>
    </row>
    <row r="45" spans="2:12" x14ac:dyDescent="0.45">
      <c r="B45">
        <v>2030</v>
      </c>
      <c r="C45" t="s">
        <v>117</v>
      </c>
      <c r="D45" t="s">
        <v>127</v>
      </c>
      <c r="E45">
        <v>16.04</v>
      </c>
      <c r="F45" t="s">
        <v>106</v>
      </c>
      <c r="G45" t="s">
        <v>107</v>
      </c>
      <c r="H45" t="s">
        <v>108</v>
      </c>
      <c r="I45" s="12">
        <v>44986</v>
      </c>
      <c r="J45" t="s">
        <v>109</v>
      </c>
      <c r="K45" t="s">
        <v>110</v>
      </c>
      <c r="L45" t="s">
        <v>111</v>
      </c>
    </row>
    <row r="46" spans="2:12" x14ac:dyDescent="0.45">
      <c r="B46">
        <v>2030</v>
      </c>
      <c r="C46" t="s">
        <v>118</v>
      </c>
      <c r="D46" t="s">
        <v>127</v>
      </c>
      <c r="E46">
        <v>6.64</v>
      </c>
      <c r="F46" t="s">
        <v>106</v>
      </c>
      <c r="G46" t="s">
        <v>107</v>
      </c>
      <c r="H46" t="s">
        <v>108</v>
      </c>
      <c r="I46" s="12">
        <v>44986</v>
      </c>
      <c r="J46" t="s">
        <v>109</v>
      </c>
      <c r="K46" t="s">
        <v>110</v>
      </c>
      <c r="L46" t="s">
        <v>111</v>
      </c>
    </row>
    <row r="47" spans="2:12" x14ac:dyDescent="0.45">
      <c r="B47">
        <v>2030</v>
      </c>
      <c r="C47" t="s">
        <v>118</v>
      </c>
      <c r="D47" t="s">
        <v>127</v>
      </c>
      <c r="F47" t="s">
        <v>106</v>
      </c>
      <c r="G47" t="s">
        <v>112</v>
      </c>
      <c r="H47" t="s">
        <v>113</v>
      </c>
      <c r="I47" s="12">
        <v>45937</v>
      </c>
      <c r="J47" t="s">
        <v>114</v>
      </c>
      <c r="K47" t="s">
        <v>115</v>
      </c>
    </row>
    <row r="48" spans="2:12" x14ac:dyDescent="0.45">
      <c r="B48">
        <v>2030</v>
      </c>
      <c r="C48" t="s">
        <v>119</v>
      </c>
      <c r="D48" t="s">
        <v>127</v>
      </c>
      <c r="E48">
        <v>17.13</v>
      </c>
      <c r="F48" t="s">
        <v>106</v>
      </c>
      <c r="G48" t="s">
        <v>107</v>
      </c>
      <c r="H48" t="s">
        <v>108</v>
      </c>
      <c r="I48" s="12">
        <v>44986</v>
      </c>
      <c r="J48" t="s">
        <v>109</v>
      </c>
      <c r="K48" t="s">
        <v>110</v>
      </c>
      <c r="L48" t="s">
        <v>111</v>
      </c>
    </row>
    <row r="49" spans="2:12" x14ac:dyDescent="0.45">
      <c r="B49">
        <v>2030</v>
      </c>
      <c r="C49" t="s">
        <v>122</v>
      </c>
      <c r="D49" t="s">
        <v>127</v>
      </c>
      <c r="E49">
        <v>0.77</v>
      </c>
      <c r="F49" t="s">
        <v>106</v>
      </c>
      <c r="G49" t="s">
        <v>107</v>
      </c>
      <c r="H49" t="s">
        <v>108</v>
      </c>
      <c r="I49" s="12">
        <v>44986</v>
      </c>
      <c r="J49" t="s">
        <v>109</v>
      </c>
      <c r="K49" t="s">
        <v>110</v>
      </c>
      <c r="L49" t="s">
        <v>111</v>
      </c>
    </row>
    <row r="50" spans="2:12" x14ac:dyDescent="0.45">
      <c r="B50">
        <v>2030</v>
      </c>
      <c r="C50" t="s">
        <v>123</v>
      </c>
      <c r="D50" t="s">
        <v>127</v>
      </c>
      <c r="E50">
        <v>0.39</v>
      </c>
      <c r="F50" t="s">
        <v>106</v>
      </c>
      <c r="G50" t="s">
        <v>107</v>
      </c>
      <c r="H50" t="s">
        <v>108</v>
      </c>
      <c r="I50" s="12">
        <v>44986</v>
      </c>
      <c r="J50" t="s">
        <v>109</v>
      </c>
      <c r="K50" t="s">
        <v>110</v>
      </c>
      <c r="L50" t="s">
        <v>111</v>
      </c>
    </row>
    <row r="51" spans="2:12" x14ac:dyDescent="0.45">
      <c r="B51">
        <v>2030</v>
      </c>
      <c r="C51" t="s">
        <v>123</v>
      </c>
      <c r="D51" t="s">
        <v>127</v>
      </c>
      <c r="F51" t="s">
        <v>106</v>
      </c>
      <c r="G51" t="s">
        <v>112</v>
      </c>
      <c r="H51" t="s">
        <v>113</v>
      </c>
      <c r="I51" s="12">
        <v>45937</v>
      </c>
      <c r="J51" t="s">
        <v>114</v>
      </c>
      <c r="K51" t="s">
        <v>115</v>
      </c>
    </row>
    <row r="52" spans="2:12" x14ac:dyDescent="0.45">
      <c r="B52">
        <v>2030</v>
      </c>
      <c r="C52" t="s">
        <v>128</v>
      </c>
      <c r="D52" t="s">
        <v>127</v>
      </c>
      <c r="E52">
        <v>30</v>
      </c>
      <c r="F52" t="s">
        <v>106</v>
      </c>
      <c r="G52" t="s">
        <v>112</v>
      </c>
      <c r="H52" t="s">
        <v>113</v>
      </c>
      <c r="I52" s="12">
        <v>45937</v>
      </c>
      <c r="J52" t="s">
        <v>114</v>
      </c>
      <c r="K52" t="s">
        <v>115</v>
      </c>
    </row>
    <row r="53" spans="2:12" x14ac:dyDescent="0.45">
      <c r="B53">
        <v>2030</v>
      </c>
      <c r="C53" t="s">
        <v>124</v>
      </c>
      <c r="D53" t="s">
        <v>127</v>
      </c>
      <c r="E53">
        <v>22.29</v>
      </c>
      <c r="F53" t="s">
        <v>106</v>
      </c>
      <c r="G53" t="s">
        <v>107</v>
      </c>
      <c r="H53" t="s">
        <v>108</v>
      </c>
      <c r="I53" s="12">
        <v>44986</v>
      </c>
      <c r="J53" t="s">
        <v>109</v>
      </c>
      <c r="K53" t="s">
        <v>110</v>
      </c>
      <c r="L53" t="s">
        <v>111</v>
      </c>
    </row>
    <row r="54" spans="2:12" x14ac:dyDescent="0.45">
      <c r="B54">
        <v>2030</v>
      </c>
      <c r="C54" t="s">
        <v>124</v>
      </c>
      <c r="D54" t="s">
        <v>127</v>
      </c>
      <c r="F54" t="s">
        <v>106</v>
      </c>
      <c r="G54" t="s">
        <v>112</v>
      </c>
      <c r="H54" t="s">
        <v>113</v>
      </c>
      <c r="I54" s="12">
        <v>45937</v>
      </c>
      <c r="J54" t="s">
        <v>114</v>
      </c>
      <c r="K54" t="s">
        <v>115</v>
      </c>
    </row>
    <row r="55" spans="2:12" x14ac:dyDescent="0.45">
      <c r="B55">
        <v>2030</v>
      </c>
      <c r="C55" t="s">
        <v>126</v>
      </c>
      <c r="D55" t="s">
        <v>127</v>
      </c>
      <c r="E55">
        <v>29.32</v>
      </c>
      <c r="F55" t="s">
        <v>106</v>
      </c>
      <c r="G55" t="s">
        <v>107</v>
      </c>
      <c r="H55" t="s">
        <v>108</v>
      </c>
      <c r="I55" s="12">
        <v>44986</v>
      </c>
      <c r="J55" t="s">
        <v>109</v>
      </c>
      <c r="K55" t="s">
        <v>110</v>
      </c>
      <c r="L55" t="s">
        <v>111</v>
      </c>
    </row>
    <row r="56" spans="2:12" x14ac:dyDescent="0.45">
      <c r="B56">
        <v>2030</v>
      </c>
      <c r="C56" t="s">
        <v>126</v>
      </c>
      <c r="D56" t="s">
        <v>127</v>
      </c>
      <c r="F56" t="s">
        <v>106</v>
      </c>
      <c r="G56" t="s">
        <v>112</v>
      </c>
      <c r="H56" t="s">
        <v>113</v>
      </c>
      <c r="I56" s="12">
        <v>45937</v>
      </c>
      <c r="J56" t="s">
        <v>114</v>
      </c>
      <c r="K56" t="s">
        <v>115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40"/>
  <sheetViews>
    <sheetView workbookViewId="0">
      <selection activeCell="B5" sqref="B5"/>
    </sheetView>
  </sheetViews>
  <sheetFormatPr defaultRowHeight="14.25" x14ac:dyDescent="0.45"/>
  <cols>
    <col min="2" max="2" width="10.9296875" bestFit="1" customWidth="1"/>
    <col min="3" max="3" width="10.73046875" bestFit="1" customWidth="1"/>
    <col min="4" max="4" width="8.59765625" customWidth="1"/>
    <col min="5" max="5" width="9.53125" customWidth="1"/>
    <col min="6" max="7" width="9.73046875" bestFit="1" customWidth="1"/>
    <col min="8" max="8" width="10.73046875" bestFit="1" customWidth="1"/>
    <col min="9" max="9" width="8.59765625" bestFit="1" customWidth="1"/>
    <col min="10" max="10" width="8.9296875" bestFit="1" customWidth="1"/>
    <col min="15" max="15" width="6.265625" bestFit="1" customWidth="1"/>
    <col min="16" max="16" width="4.06640625" bestFit="1" customWidth="1"/>
    <col min="17" max="17" width="4.19921875" bestFit="1" customWidth="1"/>
    <col min="18" max="18" width="4.73046875" bestFit="1" customWidth="1"/>
    <col min="19" max="19" width="4.19921875" bestFit="1" customWidth="1"/>
    <col min="20" max="20" width="4.73046875" bestFit="1" customWidth="1"/>
    <col min="21" max="21" width="24" bestFit="1" customWidth="1"/>
    <col min="22" max="22" width="6.33203125" bestFit="1" customWidth="1"/>
    <col min="23" max="23" width="12.06640625" bestFit="1" customWidth="1"/>
    <col min="24" max="24" width="7" bestFit="1" customWidth="1"/>
    <col min="25" max="25" width="7.1328125" bestFit="1" customWidth="1"/>
    <col min="26" max="27" width="4.73046875" bestFit="1" customWidth="1"/>
    <col min="28" max="28" width="9.19921875" bestFit="1" customWidth="1"/>
    <col min="29" max="29" width="11.19921875" bestFit="1" customWidth="1"/>
    <col min="32" max="32" width="23.73046875" bestFit="1" customWidth="1"/>
    <col min="33" max="33" width="6.33203125" bestFit="1" customWidth="1"/>
    <col min="34" max="34" width="7" bestFit="1" customWidth="1"/>
    <col min="35" max="35" width="7.86328125" bestFit="1" customWidth="1"/>
    <col min="36" max="36" width="4.73046875" bestFit="1" customWidth="1"/>
    <col min="37" max="37" width="9.19921875" bestFit="1" customWidth="1"/>
    <col min="38" max="38" width="11.19921875" bestFit="1" customWidth="1"/>
  </cols>
  <sheetData>
    <row r="1" spans="1:38" x14ac:dyDescent="0.45">
      <c r="AB1">
        <v>1.1000000000000001</v>
      </c>
      <c r="AD1">
        <v>0.2</v>
      </c>
    </row>
    <row r="2" spans="1:38" x14ac:dyDescent="0.45">
      <c r="F2" s="6" t="s">
        <v>50</v>
      </c>
      <c r="G2" s="6" t="s">
        <v>51</v>
      </c>
      <c r="H2" s="6" t="s">
        <v>52</v>
      </c>
      <c r="I2" s="6" t="s">
        <v>53</v>
      </c>
      <c r="J2" s="6" t="s">
        <v>54</v>
      </c>
    </row>
    <row r="3" spans="1:38" x14ac:dyDescent="0.45">
      <c r="B3" t="s">
        <v>0</v>
      </c>
      <c r="F3" t="s">
        <v>55</v>
      </c>
      <c r="G3" s="3">
        <v>0.54863047126229303</v>
      </c>
      <c r="H3" s="3">
        <v>0.89062522319196646</v>
      </c>
      <c r="I3" s="3">
        <v>0.57869297792104235</v>
      </c>
      <c r="J3" s="3">
        <v>0.94365811868302962</v>
      </c>
      <c r="V3" t="s">
        <v>1</v>
      </c>
    </row>
    <row r="4" spans="1:38" x14ac:dyDescent="0.45">
      <c r="A4" t="s">
        <v>48</v>
      </c>
      <c r="B4" t="s">
        <v>2</v>
      </c>
      <c r="C4" t="s">
        <v>3</v>
      </c>
      <c r="D4" t="s">
        <v>4</v>
      </c>
      <c r="F4" t="s">
        <v>5</v>
      </c>
      <c r="G4" s="3">
        <v>0.37884710642106634</v>
      </c>
      <c r="H4" s="3">
        <v>0.68993375409691593</v>
      </c>
      <c r="I4" s="3">
        <v>0.45128471065076869</v>
      </c>
      <c r="J4" s="3">
        <v>0.78236903179580108</v>
      </c>
    </row>
    <row r="5" spans="1:38" x14ac:dyDescent="0.45">
      <c r="B5" t="s">
        <v>88</v>
      </c>
      <c r="C5" t="s">
        <v>43</v>
      </c>
      <c r="D5" s="4"/>
      <c r="F5" t="s">
        <v>8</v>
      </c>
      <c r="G5" s="3">
        <v>0.23254337785044626</v>
      </c>
      <c r="H5" s="3">
        <v>0.43459414324342821</v>
      </c>
      <c r="I5" s="3">
        <v>0.21452713874059057</v>
      </c>
      <c r="J5" s="3">
        <v>0.39466156459867135</v>
      </c>
    </row>
    <row r="6" spans="1:38" x14ac:dyDescent="0.45">
      <c r="A6" s="5">
        <v>0.28000000000000003</v>
      </c>
      <c r="B6" t="s">
        <v>83</v>
      </c>
      <c r="C6" t="s">
        <v>7</v>
      </c>
      <c r="D6" s="4" t="str">
        <f>IFERROR(MIN(VLOOKUP(B6,$F$3:$J$11,5,FALSE),$A$6),"")</f>
        <v/>
      </c>
      <c r="F6" t="s">
        <v>89</v>
      </c>
      <c r="G6" s="3"/>
      <c r="H6" s="3"/>
      <c r="I6" s="3">
        <v>0.59758823019714979</v>
      </c>
      <c r="J6" s="3">
        <v>0.87674857001201367</v>
      </c>
      <c r="U6" t="s">
        <v>11</v>
      </c>
      <c r="AF6" t="s">
        <v>10</v>
      </c>
    </row>
    <row r="7" spans="1:38" x14ac:dyDescent="0.45">
      <c r="B7" t="s">
        <v>84</v>
      </c>
      <c r="C7" t="s">
        <v>7</v>
      </c>
      <c r="D7" s="4" t="str">
        <f t="shared" ref="D7" si="0">IFERROR(VLOOKUP(B7,$F$3:$J$11,5,FALSE),"")</f>
        <v/>
      </c>
      <c r="F7" t="s">
        <v>6</v>
      </c>
      <c r="G7" s="3">
        <v>0.30106784050434288</v>
      </c>
      <c r="H7" s="3">
        <v>0.43326382946908459</v>
      </c>
      <c r="I7" s="3">
        <v>0.24865417698441153</v>
      </c>
      <c r="J7" s="3">
        <v>0.3892785813467925</v>
      </c>
      <c r="U7" t="s">
        <v>13</v>
      </c>
      <c r="V7" t="s">
        <v>2</v>
      </c>
      <c r="W7" t="s">
        <v>14</v>
      </c>
      <c r="X7" t="s">
        <v>15</v>
      </c>
      <c r="Y7" t="s">
        <v>18</v>
      </c>
      <c r="Z7">
        <v>2022</v>
      </c>
      <c r="AA7">
        <v>2050</v>
      </c>
      <c r="AB7" t="s">
        <v>16</v>
      </c>
      <c r="AC7" t="s">
        <v>17</v>
      </c>
      <c r="AF7" t="s">
        <v>13</v>
      </c>
      <c r="AG7" t="s">
        <v>2</v>
      </c>
      <c r="AH7" t="s">
        <v>15</v>
      </c>
      <c r="AI7" t="s">
        <v>18</v>
      </c>
      <c r="AJ7">
        <v>2050</v>
      </c>
      <c r="AK7" t="s">
        <v>16</v>
      </c>
      <c r="AL7" t="s">
        <v>17</v>
      </c>
    </row>
    <row r="8" spans="1:38" x14ac:dyDescent="0.45">
      <c r="B8" t="s">
        <v>19</v>
      </c>
      <c r="C8" t="s">
        <v>7</v>
      </c>
      <c r="D8" s="4">
        <f>IFERROR(VLOOKUP(B8,$F$3:$J$11,3,FALSE),"")</f>
        <v>0.94168774792584609</v>
      </c>
      <c r="F8" t="s">
        <v>19</v>
      </c>
      <c r="G8" s="3">
        <v>0.86193992895014826</v>
      </c>
      <c r="H8" s="3">
        <v>0.94168774792584609</v>
      </c>
      <c r="I8" s="3">
        <v>0.89761085725848577</v>
      </c>
      <c r="J8" s="3">
        <v>0.98116112012154111</v>
      </c>
      <c r="U8" t="s">
        <v>20</v>
      </c>
      <c r="V8" t="s">
        <v>5</v>
      </c>
      <c r="W8" s="1" t="s">
        <v>21</v>
      </c>
      <c r="X8" s="2">
        <f>-1/8.76</f>
        <v>-0.11415525114155252</v>
      </c>
      <c r="Z8" s="2">
        <f>VLOOKUP(V8,$F$3:$J$11,3,FALSE)</f>
        <v>0.68993375409691593</v>
      </c>
      <c r="AA8" s="2">
        <f>Z8*$AB$1</f>
        <v>0.75892712950660757</v>
      </c>
      <c r="AB8">
        <v>0</v>
      </c>
      <c r="AC8">
        <v>3</v>
      </c>
      <c r="AF8" t="s">
        <v>22</v>
      </c>
      <c r="AG8" t="s">
        <v>5</v>
      </c>
      <c r="AH8">
        <f>-1/8.76</f>
        <v>-0.11415525114155252</v>
      </c>
      <c r="AI8" s="2">
        <f>VLOOKUP(AG8,$F$3:$J$11,2,FALSE)</f>
        <v>0.37884710642106634</v>
      </c>
      <c r="AJ8">
        <f>AI8*$AD$1</f>
        <v>7.5769421284213267E-2</v>
      </c>
      <c r="AK8">
        <v>0</v>
      </c>
      <c r="AL8">
        <v>3</v>
      </c>
    </row>
    <row r="9" spans="1:38" x14ac:dyDescent="0.45">
      <c r="F9" t="s">
        <v>23</v>
      </c>
      <c r="G9" s="3">
        <v>8.8500483037795494E-2</v>
      </c>
      <c r="H9" s="3">
        <v>0.24242125602133488</v>
      </c>
      <c r="I9" s="3">
        <v>0.11213559179835184</v>
      </c>
      <c r="J9" s="3">
        <v>0.29107932795949315</v>
      </c>
      <c r="U9" t="s">
        <v>24</v>
      </c>
      <c r="V9" t="s">
        <v>8</v>
      </c>
      <c r="W9" s="1" t="s">
        <v>21</v>
      </c>
      <c r="X9" s="2">
        <f>-1/8.76</f>
        <v>-0.11415525114155252</v>
      </c>
      <c r="Z9" s="2">
        <f>VLOOKUP(V9,$F$3:$J$11,3,FALSE)</f>
        <v>0.43459414324342821</v>
      </c>
      <c r="AA9" s="2">
        <f>Z9*$AB$1</f>
        <v>0.47805355756777107</v>
      </c>
      <c r="AB9">
        <v>0</v>
      </c>
      <c r="AC9">
        <v>3</v>
      </c>
      <c r="AF9" t="s">
        <v>25</v>
      </c>
      <c r="AG9" t="s">
        <v>8</v>
      </c>
      <c r="AH9">
        <f>-1/8.76</f>
        <v>-0.11415525114155252</v>
      </c>
      <c r="AI9" s="2">
        <f>VLOOKUP(AG9,$F$3:$J$11,2,FALSE)</f>
        <v>0.23254337785044626</v>
      </c>
      <c r="AJ9">
        <f>AI9*$AD$1</f>
        <v>4.6508675570089253E-2</v>
      </c>
      <c r="AK9">
        <v>0</v>
      </c>
      <c r="AL9">
        <v>3</v>
      </c>
    </row>
    <row r="10" spans="1:38" ht="14.65" customHeight="1" x14ac:dyDescent="0.45">
      <c r="F10" t="s">
        <v>9</v>
      </c>
      <c r="G10" s="3">
        <v>3.6837332815181839E-2</v>
      </c>
      <c r="H10" s="3">
        <v>0.20499200320398811</v>
      </c>
      <c r="I10" s="3">
        <v>0.12571540459727984</v>
      </c>
      <c r="J10" s="3">
        <v>0.18705064796094981</v>
      </c>
    </row>
    <row r="11" spans="1:38" ht="14.65" customHeight="1" x14ac:dyDescent="0.45">
      <c r="F11" t="s">
        <v>90</v>
      </c>
      <c r="G11" s="3"/>
      <c r="H11" s="3"/>
      <c r="I11" s="3">
        <v>0.39999922078326866</v>
      </c>
      <c r="J11" s="3">
        <v>0.99885844748858443</v>
      </c>
    </row>
    <row r="12" spans="1:38" x14ac:dyDescent="0.45">
      <c r="F12" t="s">
        <v>91</v>
      </c>
      <c r="G12" s="3">
        <v>0.19932808100882485</v>
      </c>
      <c r="H12" s="3">
        <v>0.34995147575899105</v>
      </c>
      <c r="I12" s="3">
        <v>0.20109032913765423</v>
      </c>
      <c r="J12" s="3">
        <v>0.35393301361822532</v>
      </c>
    </row>
    <row r="13" spans="1:38" x14ac:dyDescent="0.45">
      <c r="B13" t="s">
        <v>26</v>
      </c>
      <c r="U13" t="s">
        <v>86</v>
      </c>
    </row>
    <row r="14" spans="1:38" x14ac:dyDescent="0.45">
      <c r="B14" t="s">
        <v>27</v>
      </c>
      <c r="C14" t="s">
        <v>28</v>
      </c>
      <c r="D14" t="s">
        <v>3</v>
      </c>
      <c r="U14" t="s">
        <v>13</v>
      </c>
      <c r="V14" t="s">
        <v>2</v>
      </c>
      <c r="W14" t="s">
        <v>14</v>
      </c>
      <c r="X14" t="s">
        <v>15</v>
      </c>
      <c r="Y14" t="s">
        <v>18</v>
      </c>
      <c r="Z14">
        <v>2022</v>
      </c>
      <c r="AA14">
        <v>2050</v>
      </c>
      <c r="AB14" t="s">
        <v>16</v>
      </c>
      <c r="AC14" t="s">
        <v>17</v>
      </c>
    </row>
    <row r="15" spans="1:38" x14ac:dyDescent="0.45">
      <c r="B15" t="s">
        <v>29</v>
      </c>
      <c r="C15">
        <v>2100</v>
      </c>
      <c r="D15" s="1" t="str">
        <f>_xlfn.TEXTJOIN(",",TRUE,L15:L28)</f>
        <v>Hydropower - large-scale unit,Solar photovoltaics - Large scale unit,Wind offshore,Wind onshore</v>
      </c>
      <c r="L15" s="7" t="s">
        <v>68</v>
      </c>
      <c r="U15" t="s">
        <v>64</v>
      </c>
      <c r="V15" t="s">
        <v>19</v>
      </c>
      <c r="Y15">
        <v>1</v>
      </c>
      <c r="AB15">
        <f>AE15*2.5</f>
        <v>236.64999999999998</v>
      </c>
      <c r="AC15">
        <v>3</v>
      </c>
      <c r="AE15" s="11">
        <f>SUMIFS(historical_data_long!$D$3:$D$626,historical_data_long!$A$3:$A$626,Veda!$V15,historical_data_long!$C$3:$C$626,"GW",historical_data_long!$B$3:$B$626,2022)</f>
        <v>94.66</v>
      </c>
      <c r="AF15" s="10" t="s">
        <v>87</v>
      </c>
    </row>
    <row r="16" spans="1:38" x14ac:dyDescent="0.45">
      <c r="L16" s="7" t="s">
        <v>34</v>
      </c>
    </row>
    <row r="17" spans="2:12" x14ac:dyDescent="0.45">
      <c r="L17" s="7" t="s">
        <v>35</v>
      </c>
    </row>
    <row r="18" spans="2:12" x14ac:dyDescent="0.45">
      <c r="L18" s="7" t="s">
        <v>36</v>
      </c>
    </row>
    <row r="20" spans="2:12" x14ac:dyDescent="0.45">
      <c r="B20" t="s">
        <v>26</v>
      </c>
    </row>
    <row r="21" spans="2:12" x14ac:dyDescent="0.45">
      <c r="B21" t="s">
        <v>27</v>
      </c>
      <c r="C21" t="s">
        <v>30</v>
      </c>
      <c r="D21" t="s">
        <v>31</v>
      </c>
      <c r="E21" t="s">
        <v>28</v>
      </c>
      <c r="F21" t="s">
        <v>14</v>
      </c>
      <c r="G21" t="s">
        <v>3</v>
      </c>
    </row>
    <row r="22" spans="2:12" x14ac:dyDescent="0.45">
      <c r="B22" t="s">
        <v>32</v>
      </c>
      <c r="C22" t="s">
        <v>5</v>
      </c>
      <c r="D22" t="s">
        <v>33</v>
      </c>
      <c r="E22">
        <f>I22*3.6</f>
        <v>338.40000000000003</v>
      </c>
      <c r="I22">
        <v>94</v>
      </c>
    </row>
    <row r="23" spans="2:12" x14ac:dyDescent="0.45">
      <c r="B23" t="s">
        <v>32</v>
      </c>
      <c r="C23" t="s">
        <v>8</v>
      </c>
      <c r="D23" t="s">
        <v>33</v>
      </c>
      <c r="E23">
        <f>I23*3.6</f>
        <v>198</v>
      </c>
      <c r="I23">
        <v>55</v>
      </c>
    </row>
    <row r="24" spans="2:12" x14ac:dyDescent="0.45">
      <c r="B24" t="s">
        <v>32</v>
      </c>
      <c r="C24" t="s">
        <v>23</v>
      </c>
      <c r="D24" t="s">
        <v>33</v>
      </c>
      <c r="E24">
        <f>I24*3.6</f>
        <v>252</v>
      </c>
      <c r="I24">
        <v>70</v>
      </c>
    </row>
    <row r="25" spans="2:12" x14ac:dyDescent="0.45">
      <c r="B25" t="s">
        <v>44</v>
      </c>
      <c r="C25" t="s">
        <v>45</v>
      </c>
      <c r="D25" t="s">
        <v>46</v>
      </c>
      <c r="E25">
        <v>1</v>
      </c>
    </row>
    <row r="26" spans="2:12" x14ac:dyDescent="0.45">
      <c r="B26" t="s">
        <v>44</v>
      </c>
      <c r="C26" t="s">
        <v>47</v>
      </c>
      <c r="D26" t="s">
        <v>46</v>
      </c>
      <c r="E26">
        <v>-1</v>
      </c>
    </row>
    <row r="27" spans="2:12" x14ac:dyDescent="0.45">
      <c r="B27" t="s">
        <v>49</v>
      </c>
      <c r="C27" t="s">
        <v>47</v>
      </c>
      <c r="E27">
        <v>0.03</v>
      </c>
      <c r="F27" t="str">
        <f>C27</f>
        <v>co2captured</v>
      </c>
    </row>
    <row r="28" spans="2:12" x14ac:dyDescent="0.45">
      <c r="B28" t="s">
        <v>65</v>
      </c>
      <c r="E28">
        <v>50</v>
      </c>
      <c r="G28" t="s">
        <v>66</v>
      </c>
    </row>
    <row r="29" spans="2:12" x14ac:dyDescent="0.45">
      <c r="B29" t="s">
        <v>67</v>
      </c>
      <c r="E29">
        <v>8.76</v>
      </c>
      <c r="G29" t="s">
        <v>66</v>
      </c>
    </row>
    <row r="35" spans="2:6" x14ac:dyDescent="0.45">
      <c r="E35" t="s">
        <v>37</v>
      </c>
    </row>
    <row r="36" spans="2:6" x14ac:dyDescent="0.45">
      <c r="B36" t="s">
        <v>13</v>
      </c>
      <c r="C36" t="s">
        <v>38</v>
      </c>
      <c r="D36" t="s">
        <v>2</v>
      </c>
      <c r="E36" t="s">
        <v>18</v>
      </c>
      <c r="F36" t="s">
        <v>17</v>
      </c>
    </row>
    <row r="37" spans="2:6" x14ac:dyDescent="0.45">
      <c r="B37" t="s">
        <v>39</v>
      </c>
      <c r="C37" t="s">
        <v>40</v>
      </c>
      <c r="E37">
        <v>1</v>
      </c>
      <c r="F37">
        <v>2</v>
      </c>
    </row>
    <row r="38" spans="2:6" x14ac:dyDescent="0.45">
      <c r="D38" t="s">
        <v>9</v>
      </c>
      <c r="E38">
        <v>-1</v>
      </c>
    </row>
    <row r="39" spans="2:6" x14ac:dyDescent="0.45">
      <c r="B39" t="s">
        <v>41</v>
      </c>
      <c r="C39" t="s">
        <v>42</v>
      </c>
      <c r="E39">
        <v>1</v>
      </c>
      <c r="F39">
        <v>2</v>
      </c>
    </row>
    <row r="40" spans="2:6" x14ac:dyDescent="0.45">
      <c r="D40" t="s">
        <v>85</v>
      </c>
      <c r="E40">
        <v>-1</v>
      </c>
    </row>
  </sheetData>
  <pageMargins left="0.7" right="0.7" top="0.75" bottom="0.75" header="0.3" footer="0.3"/>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0A1887-1B0C-44A8-9658-90FD86FEE0A5}">
  <dimension ref="A9:J23"/>
  <sheetViews>
    <sheetView workbookViewId="0">
      <selection activeCell="A7" sqref="A7"/>
    </sheetView>
  </sheetViews>
  <sheetFormatPr defaultColWidth="9.1328125" defaultRowHeight="14.25" x14ac:dyDescent="0.45"/>
  <cols>
    <col min="1" max="1" width="6.59765625" bestFit="1" customWidth="1"/>
    <col min="2" max="2" width="19.265625" customWidth="1"/>
    <col min="3" max="3" width="8.46484375" bestFit="1" customWidth="1"/>
    <col min="4" max="4" width="11.06640625" bestFit="1" customWidth="1"/>
    <col min="5" max="5" width="8.33203125" bestFit="1" customWidth="1"/>
    <col min="6" max="6" width="8.73046875" bestFit="1" customWidth="1"/>
    <col min="7" max="7" width="9.06640625" bestFit="1" customWidth="1"/>
    <col min="8" max="8" width="9.46484375" bestFit="1" customWidth="1"/>
    <col min="9" max="9" width="10.59765625" bestFit="1" customWidth="1"/>
    <col min="10" max="10" width="11" bestFit="1" customWidth="1"/>
  </cols>
  <sheetData>
    <row r="9" spans="2:10" x14ac:dyDescent="0.45">
      <c r="B9" t="s">
        <v>129</v>
      </c>
    </row>
    <row r="10" spans="2:10" x14ac:dyDescent="0.45">
      <c r="B10" t="s">
        <v>130</v>
      </c>
      <c r="C10" t="s">
        <v>69</v>
      </c>
      <c r="D10" t="s">
        <v>70</v>
      </c>
      <c r="E10" t="s">
        <v>71</v>
      </c>
      <c r="F10" t="s">
        <v>72</v>
      </c>
      <c r="G10" t="s">
        <v>73</v>
      </c>
      <c r="H10" t="s">
        <v>74</v>
      </c>
      <c r="I10" t="s">
        <v>75</v>
      </c>
      <c r="J10" t="s">
        <v>76</v>
      </c>
    </row>
    <row r="11" spans="2:10" x14ac:dyDescent="0.45">
      <c r="B11" t="s">
        <v>77</v>
      </c>
      <c r="C11">
        <v>25</v>
      </c>
      <c r="D11">
        <v>40</v>
      </c>
      <c r="E11">
        <v>15</v>
      </c>
      <c r="F11">
        <v>25</v>
      </c>
      <c r="G11">
        <v>0.5</v>
      </c>
      <c r="H11">
        <v>1.5</v>
      </c>
      <c r="I11">
        <v>1</v>
      </c>
      <c r="J11">
        <v>3</v>
      </c>
    </row>
    <row r="14" spans="2:10" x14ac:dyDescent="0.45">
      <c r="B14" t="s">
        <v>1</v>
      </c>
    </row>
    <row r="18" spans="1:8" ht="14.65" thickBot="1" x14ac:dyDescent="0.5">
      <c r="B18" s="9" t="s">
        <v>82</v>
      </c>
    </row>
    <row r="19" spans="1:8" ht="15" thickTop="1" thickBot="1" x14ac:dyDescent="0.5">
      <c r="A19" s="8" t="s">
        <v>48</v>
      </c>
      <c r="B19" s="8" t="s">
        <v>78</v>
      </c>
      <c r="C19" s="8" t="s">
        <v>2</v>
      </c>
      <c r="D19" s="8" t="s">
        <v>79</v>
      </c>
      <c r="E19" s="8" t="s">
        <v>80</v>
      </c>
      <c r="F19" s="8">
        <v>2025</v>
      </c>
      <c r="G19" s="8">
        <v>2040</v>
      </c>
      <c r="H19" s="8">
        <v>0</v>
      </c>
    </row>
    <row r="20" spans="1:8" x14ac:dyDescent="0.45">
      <c r="A20" t="s">
        <v>9</v>
      </c>
      <c r="B20" t="str">
        <f>"uce_buildrate_"&amp;A20</f>
        <v>uce_buildrate_solar</v>
      </c>
      <c r="C20" t="str">
        <f>A20</f>
        <v>solar</v>
      </c>
      <c r="D20" t="s">
        <v>81</v>
      </c>
      <c r="E20">
        <v>1</v>
      </c>
      <c r="F20">
        <f>C11</f>
        <v>25</v>
      </c>
      <c r="G20">
        <f>D11</f>
        <v>40</v>
      </c>
      <c r="H20">
        <v>4</v>
      </c>
    </row>
    <row r="21" spans="1:8" x14ac:dyDescent="0.45">
      <c r="A21" t="s">
        <v>12</v>
      </c>
      <c r="B21" t="str">
        <f t="shared" ref="B21:B23" si="0">"uce_buildrate_"&amp;A21</f>
        <v>uce_buildrate_wind</v>
      </c>
      <c r="C21" t="str">
        <f>A21&amp;"*"</f>
        <v>wind*</v>
      </c>
      <c r="D21" t="s">
        <v>81</v>
      </c>
      <c r="E21">
        <v>1</v>
      </c>
      <c r="F21">
        <f>E11</f>
        <v>15</v>
      </c>
      <c r="G21">
        <f>F11</f>
        <v>25</v>
      </c>
      <c r="H21">
        <v>4</v>
      </c>
    </row>
    <row r="22" spans="1:8" x14ac:dyDescent="0.45">
      <c r="A22" t="s">
        <v>6</v>
      </c>
      <c r="B22" t="str">
        <f t="shared" si="0"/>
        <v>uce_buildrate_hydro</v>
      </c>
      <c r="C22" t="str">
        <f t="shared" ref="C22:C23" si="1">A22</f>
        <v>hydro</v>
      </c>
      <c r="D22" t="s">
        <v>81</v>
      </c>
      <c r="E22">
        <v>1</v>
      </c>
      <c r="F22">
        <f>G11</f>
        <v>0.5</v>
      </c>
      <c r="G22">
        <f>H11</f>
        <v>1.5</v>
      </c>
      <c r="H22">
        <v>4</v>
      </c>
    </row>
    <row r="23" spans="1:8" x14ac:dyDescent="0.45">
      <c r="A23" t="s">
        <v>19</v>
      </c>
      <c r="B23" t="str">
        <f t="shared" si="0"/>
        <v>uce_buildrate_nuclear</v>
      </c>
      <c r="C23" t="str">
        <f t="shared" si="1"/>
        <v>nuclear</v>
      </c>
      <c r="D23" t="s">
        <v>81</v>
      </c>
      <c r="E23">
        <v>1</v>
      </c>
      <c r="F23">
        <f>I11</f>
        <v>1</v>
      </c>
      <c r="G23">
        <f>J11</f>
        <v>3</v>
      </c>
      <c r="H23">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3DFE9-8C65-4A33-8FAE-96323628CE2A}">
  <dimension ref="A1:D765"/>
  <sheetViews>
    <sheetView workbookViewId="0">
      <selection sqref="A1:D765"/>
    </sheetView>
  </sheetViews>
  <sheetFormatPr defaultRowHeight="14.25" x14ac:dyDescent="0.45"/>
  <sheetData>
    <row r="1" spans="1:4" x14ac:dyDescent="0.45">
      <c r="A1" t="s">
        <v>50</v>
      </c>
      <c r="B1" t="s">
        <v>56</v>
      </c>
      <c r="C1" t="s">
        <v>57</v>
      </c>
      <c r="D1" t="s">
        <v>58</v>
      </c>
    </row>
    <row r="2" spans="1:4" x14ac:dyDescent="0.45">
      <c r="A2" t="s">
        <v>55</v>
      </c>
      <c r="B2">
        <v>2000</v>
      </c>
      <c r="C2" t="s">
        <v>59</v>
      </c>
      <c r="D2">
        <v>60.73</v>
      </c>
    </row>
    <row r="3" spans="1:4" x14ac:dyDescent="0.45">
      <c r="A3" t="s">
        <v>5</v>
      </c>
      <c r="B3">
        <v>2000</v>
      </c>
      <c r="C3" t="s">
        <v>59</v>
      </c>
      <c r="D3">
        <v>1966.27</v>
      </c>
    </row>
    <row r="4" spans="1:4" x14ac:dyDescent="0.45">
      <c r="A4" t="s">
        <v>8</v>
      </c>
      <c r="B4">
        <v>2000</v>
      </c>
      <c r="C4" t="s">
        <v>59</v>
      </c>
      <c r="D4">
        <v>614.99</v>
      </c>
    </row>
    <row r="5" spans="1:4" x14ac:dyDescent="0.45">
      <c r="A5" t="s">
        <v>6</v>
      </c>
      <c r="B5">
        <v>2000</v>
      </c>
      <c r="C5" t="s">
        <v>59</v>
      </c>
      <c r="D5">
        <v>270.02999999999997</v>
      </c>
    </row>
    <row r="6" spans="1:4" x14ac:dyDescent="0.45">
      <c r="A6" t="s">
        <v>19</v>
      </c>
      <c r="B6">
        <v>2000</v>
      </c>
      <c r="C6" t="s">
        <v>59</v>
      </c>
      <c r="D6">
        <v>753.89</v>
      </c>
    </row>
    <row r="7" spans="1:4" x14ac:dyDescent="0.45">
      <c r="A7" t="s">
        <v>23</v>
      </c>
      <c r="B7">
        <v>2000</v>
      </c>
      <c r="C7" t="s">
        <v>59</v>
      </c>
      <c r="D7">
        <v>116.02</v>
      </c>
    </row>
    <row r="8" spans="1:4" x14ac:dyDescent="0.45">
      <c r="A8" t="s">
        <v>55</v>
      </c>
      <c r="B8">
        <v>2000</v>
      </c>
      <c r="C8" t="s">
        <v>59</v>
      </c>
      <c r="D8">
        <v>14.09</v>
      </c>
    </row>
    <row r="9" spans="1:4" x14ac:dyDescent="0.45">
      <c r="A9" t="s">
        <v>55</v>
      </c>
      <c r="B9">
        <v>2001</v>
      </c>
      <c r="C9" t="s">
        <v>59</v>
      </c>
      <c r="D9">
        <v>49.75</v>
      </c>
    </row>
    <row r="10" spans="1:4" x14ac:dyDescent="0.45">
      <c r="A10" t="s">
        <v>5</v>
      </c>
      <c r="B10">
        <v>2001</v>
      </c>
      <c r="C10" t="s">
        <v>59</v>
      </c>
      <c r="D10">
        <v>1903.96</v>
      </c>
    </row>
    <row r="11" spans="1:4" x14ac:dyDescent="0.45">
      <c r="A11" t="s">
        <v>8</v>
      </c>
      <c r="B11">
        <v>2001</v>
      </c>
      <c r="C11" t="s">
        <v>59</v>
      </c>
      <c r="D11">
        <v>639.13</v>
      </c>
    </row>
    <row r="12" spans="1:4" x14ac:dyDescent="0.45">
      <c r="A12" t="s">
        <v>6</v>
      </c>
      <c r="B12">
        <v>2001</v>
      </c>
      <c r="C12" t="s">
        <v>59</v>
      </c>
      <c r="D12">
        <v>208.14</v>
      </c>
    </row>
    <row r="13" spans="1:4" x14ac:dyDescent="0.45">
      <c r="A13" t="s">
        <v>19</v>
      </c>
      <c r="B13">
        <v>2001</v>
      </c>
      <c r="C13" t="s">
        <v>59</v>
      </c>
      <c r="D13">
        <v>768.83</v>
      </c>
    </row>
    <row r="14" spans="1:4" x14ac:dyDescent="0.45">
      <c r="A14" t="s">
        <v>23</v>
      </c>
      <c r="B14">
        <v>2001</v>
      </c>
      <c r="C14" t="s">
        <v>59</v>
      </c>
      <c r="D14">
        <v>135.59</v>
      </c>
    </row>
    <row r="15" spans="1:4" x14ac:dyDescent="0.45">
      <c r="A15" t="s">
        <v>55</v>
      </c>
      <c r="B15">
        <v>2001</v>
      </c>
      <c r="C15" t="s">
        <v>59</v>
      </c>
      <c r="D15">
        <v>14.89</v>
      </c>
    </row>
    <row r="16" spans="1:4" x14ac:dyDescent="0.45">
      <c r="A16" t="s">
        <v>55</v>
      </c>
      <c r="B16">
        <v>2002</v>
      </c>
      <c r="C16" t="s">
        <v>59</v>
      </c>
      <c r="D16">
        <v>53.71</v>
      </c>
    </row>
    <row r="17" spans="1:4" x14ac:dyDescent="0.45">
      <c r="A17" t="s">
        <v>5</v>
      </c>
      <c r="B17">
        <v>2002</v>
      </c>
      <c r="C17" t="s">
        <v>59</v>
      </c>
      <c r="D17">
        <v>1933.13</v>
      </c>
    </row>
    <row r="18" spans="1:4" x14ac:dyDescent="0.45">
      <c r="A18" t="s">
        <v>8</v>
      </c>
      <c r="B18">
        <v>2002</v>
      </c>
      <c r="C18" t="s">
        <v>59</v>
      </c>
      <c r="D18">
        <v>691.01</v>
      </c>
    </row>
    <row r="19" spans="1:4" x14ac:dyDescent="0.45">
      <c r="A19" t="s">
        <v>6</v>
      </c>
      <c r="B19">
        <v>2002</v>
      </c>
      <c r="C19" t="s">
        <v>59</v>
      </c>
      <c r="D19">
        <v>255.59</v>
      </c>
    </row>
    <row r="20" spans="1:4" x14ac:dyDescent="0.45">
      <c r="A20" t="s">
        <v>19</v>
      </c>
      <c r="B20">
        <v>2002</v>
      </c>
      <c r="C20" t="s">
        <v>59</v>
      </c>
      <c r="D20">
        <v>780.06</v>
      </c>
    </row>
    <row r="21" spans="1:4" x14ac:dyDescent="0.45">
      <c r="A21" t="s">
        <v>23</v>
      </c>
      <c r="B21">
        <v>2002</v>
      </c>
      <c r="C21" t="s">
        <v>59</v>
      </c>
      <c r="D21">
        <v>103.69</v>
      </c>
    </row>
    <row r="22" spans="1:4" x14ac:dyDescent="0.45">
      <c r="A22" t="s">
        <v>55</v>
      </c>
      <c r="B22">
        <v>2002</v>
      </c>
      <c r="C22" t="s">
        <v>59</v>
      </c>
      <c r="D22">
        <v>16.14</v>
      </c>
    </row>
    <row r="23" spans="1:4" x14ac:dyDescent="0.45">
      <c r="A23" t="s">
        <v>55</v>
      </c>
      <c r="B23">
        <v>2003</v>
      </c>
      <c r="C23" t="s">
        <v>59</v>
      </c>
      <c r="D23">
        <v>53.34</v>
      </c>
    </row>
    <row r="24" spans="1:4" x14ac:dyDescent="0.45">
      <c r="A24" t="s">
        <v>5</v>
      </c>
      <c r="B24">
        <v>2003</v>
      </c>
      <c r="C24" t="s">
        <v>59</v>
      </c>
      <c r="D24">
        <v>1973.74</v>
      </c>
    </row>
    <row r="25" spans="1:4" x14ac:dyDescent="0.45">
      <c r="A25" t="s">
        <v>8</v>
      </c>
      <c r="B25">
        <v>2003</v>
      </c>
      <c r="C25" t="s">
        <v>59</v>
      </c>
      <c r="D25">
        <v>649.91</v>
      </c>
    </row>
    <row r="26" spans="1:4" x14ac:dyDescent="0.45">
      <c r="A26" t="s">
        <v>6</v>
      </c>
      <c r="B26">
        <v>2003</v>
      </c>
      <c r="C26" t="s">
        <v>59</v>
      </c>
      <c r="D26">
        <v>267.27</v>
      </c>
    </row>
    <row r="27" spans="1:4" x14ac:dyDescent="0.45">
      <c r="A27" t="s">
        <v>19</v>
      </c>
      <c r="B27">
        <v>2003</v>
      </c>
      <c r="C27" t="s">
        <v>59</v>
      </c>
      <c r="D27">
        <v>763.73</v>
      </c>
    </row>
    <row r="28" spans="1:4" x14ac:dyDescent="0.45">
      <c r="A28" t="s">
        <v>23</v>
      </c>
      <c r="B28">
        <v>2003</v>
      </c>
      <c r="C28" t="s">
        <v>59</v>
      </c>
      <c r="D28">
        <v>132.38</v>
      </c>
    </row>
    <row r="29" spans="1:4" x14ac:dyDescent="0.45">
      <c r="A29" t="s">
        <v>55</v>
      </c>
      <c r="B29">
        <v>2003</v>
      </c>
      <c r="C29" t="s">
        <v>59</v>
      </c>
      <c r="D29">
        <v>16.850000000000001</v>
      </c>
    </row>
    <row r="30" spans="1:4" x14ac:dyDescent="0.45">
      <c r="A30" t="s">
        <v>55</v>
      </c>
      <c r="B30">
        <v>2004</v>
      </c>
      <c r="C30" t="s">
        <v>59</v>
      </c>
      <c r="D30">
        <v>53.54</v>
      </c>
    </row>
    <row r="31" spans="1:4" x14ac:dyDescent="0.45">
      <c r="A31" t="s">
        <v>5</v>
      </c>
      <c r="B31">
        <v>2004</v>
      </c>
      <c r="C31" t="s">
        <v>59</v>
      </c>
      <c r="D31">
        <v>1978.3</v>
      </c>
    </row>
    <row r="32" spans="1:4" x14ac:dyDescent="0.45">
      <c r="A32" t="s">
        <v>8</v>
      </c>
      <c r="B32">
        <v>2004</v>
      </c>
      <c r="C32" t="s">
        <v>59</v>
      </c>
      <c r="D32">
        <v>710.1</v>
      </c>
    </row>
    <row r="33" spans="1:4" x14ac:dyDescent="0.45">
      <c r="A33" t="s">
        <v>6</v>
      </c>
      <c r="B33">
        <v>2004</v>
      </c>
      <c r="C33" t="s">
        <v>59</v>
      </c>
      <c r="D33">
        <v>259.93</v>
      </c>
    </row>
    <row r="34" spans="1:4" x14ac:dyDescent="0.45">
      <c r="A34" t="s">
        <v>19</v>
      </c>
      <c r="B34">
        <v>2004</v>
      </c>
      <c r="C34" t="s">
        <v>59</v>
      </c>
      <c r="D34">
        <v>788.53</v>
      </c>
    </row>
    <row r="35" spans="1:4" x14ac:dyDescent="0.45">
      <c r="A35" t="s">
        <v>23</v>
      </c>
      <c r="B35">
        <v>2004</v>
      </c>
      <c r="C35" t="s">
        <v>59</v>
      </c>
      <c r="D35">
        <v>129.88</v>
      </c>
    </row>
    <row r="36" spans="1:4" x14ac:dyDescent="0.45">
      <c r="A36" t="s">
        <v>55</v>
      </c>
      <c r="B36">
        <v>2004</v>
      </c>
      <c r="C36" t="s">
        <v>59</v>
      </c>
      <c r="D36">
        <v>16.95</v>
      </c>
    </row>
    <row r="37" spans="1:4" x14ac:dyDescent="0.45">
      <c r="A37" t="s">
        <v>55</v>
      </c>
      <c r="B37">
        <v>2005</v>
      </c>
      <c r="C37" t="s">
        <v>59</v>
      </c>
      <c r="D37">
        <v>54.28</v>
      </c>
    </row>
    <row r="38" spans="1:4" x14ac:dyDescent="0.45">
      <c r="A38" t="s">
        <v>5</v>
      </c>
      <c r="B38">
        <v>2005</v>
      </c>
      <c r="C38" t="s">
        <v>59</v>
      </c>
      <c r="D38">
        <v>2012.87</v>
      </c>
    </row>
    <row r="39" spans="1:4" x14ac:dyDescent="0.45">
      <c r="A39" t="s">
        <v>8</v>
      </c>
      <c r="B39">
        <v>2005</v>
      </c>
      <c r="C39" t="s">
        <v>59</v>
      </c>
      <c r="D39">
        <v>760.96</v>
      </c>
    </row>
    <row r="40" spans="1:4" x14ac:dyDescent="0.45">
      <c r="A40" t="s">
        <v>6</v>
      </c>
      <c r="B40">
        <v>2005</v>
      </c>
      <c r="C40" t="s">
        <v>59</v>
      </c>
      <c r="D40">
        <v>263.76</v>
      </c>
    </row>
    <row r="41" spans="1:4" x14ac:dyDescent="0.45">
      <c r="A41" t="s">
        <v>19</v>
      </c>
      <c r="B41">
        <v>2005</v>
      </c>
      <c r="C41" t="s">
        <v>59</v>
      </c>
      <c r="D41">
        <v>781.99</v>
      </c>
    </row>
    <row r="42" spans="1:4" x14ac:dyDescent="0.45">
      <c r="A42" t="s">
        <v>23</v>
      </c>
      <c r="B42">
        <v>2005</v>
      </c>
      <c r="C42" t="s">
        <v>59</v>
      </c>
      <c r="D42">
        <v>126.13</v>
      </c>
    </row>
    <row r="43" spans="1:4" x14ac:dyDescent="0.45">
      <c r="A43" t="s">
        <v>55</v>
      </c>
      <c r="B43">
        <v>2005</v>
      </c>
      <c r="C43" t="s">
        <v>59</v>
      </c>
      <c r="D43">
        <v>16.64</v>
      </c>
    </row>
    <row r="44" spans="1:4" x14ac:dyDescent="0.45">
      <c r="A44" t="s">
        <v>55</v>
      </c>
      <c r="B44">
        <v>2006</v>
      </c>
      <c r="C44" t="s">
        <v>59</v>
      </c>
      <c r="D44">
        <v>54.86</v>
      </c>
    </row>
    <row r="45" spans="1:4" x14ac:dyDescent="0.45">
      <c r="A45" t="s">
        <v>5</v>
      </c>
      <c r="B45">
        <v>2006</v>
      </c>
      <c r="C45" t="s">
        <v>59</v>
      </c>
      <c r="D45">
        <v>1990.51</v>
      </c>
    </row>
    <row r="46" spans="1:4" x14ac:dyDescent="0.45">
      <c r="A46" t="s">
        <v>8</v>
      </c>
      <c r="B46">
        <v>2006</v>
      </c>
      <c r="C46" t="s">
        <v>59</v>
      </c>
      <c r="D46">
        <v>816.44</v>
      </c>
    </row>
    <row r="47" spans="1:4" x14ac:dyDescent="0.45">
      <c r="A47" t="s">
        <v>6</v>
      </c>
      <c r="B47">
        <v>2006</v>
      </c>
      <c r="C47" t="s">
        <v>59</v>
      </c>
      <c r="D47">
        <v>282.69</v>
      </c>
    </row>
    <row r="48" spans="1:4" x14ac:dyDescent="0.45">
      <c r="A48" t="s">
        <v>19</v>
      </c>
      <c r="B48">
        <v>2006</v>
      </c>
      <c r="C48" t="s">
        <v>59</v>
      </c>
      <c r="D48">
        <v>787.22</v>
      </c>
    </row>
    <row r="49" spans="1:4" x14ac:dyDescent="0.45">
      <c r="A49" t="s">
        <v>23</v>
      </c>
      <c r="B49">
        <v>2006</v>
      </c>
      <c r="C49" t="s">
        <v>59</v>
      </c>
      <c r="D49">
        <v>71.61</v>
      </c>
    </row>
    <row r="50" spans="1:4" x14ac:dyDescent="0.45">
      <c r="A50" t="s">
        <v>55</v>
      </c>
      <c r="B50">
        <v>2006</v>
      </c>
      <c r="C50" t="s">
        <v>59</v>
      </c>
      <c r="D50">
        <v>16.510000000000002</v>
      </c>
    </row>
    <row r="51" spans="1:4" x14ac:dyDescent="0.45">
      <c r="A51" t="s">
        <v>55</v>
      </c>
      <c r="B51">
        <v>2007</v>
      </c>
      <c r="C51" t="s">
        <v>59</v>
      </c>
      <c r="D51">
        <v>55.54</v>
      </c>
    </row>
    <row r="52" spans="1:4" x14ac:dyDescent="0.45">
      <c r="A52" t="s">
        <v>5</v>
      </c>
      <c r="B52">
        <v>2007</v>
      </c>
      <c r="C52" t="s">
        <v>59</v>
      </c>
      <c r="D52">
        <v>2016.46</v>
      </c>
    </row>
    <row r="53" spans="1:4" x14ac:dyDescent="0.45">
      <c r="A53" t="s">
        <v>8</v>
      </c>
      <c r="B53">
        <v>2007</v>
      </c>
      <c r="C53" t="s">
        <v>59</v>
      </c>
      <c r="D53">
        <v>896.59</v>
      </c>
    </row>
    <row r="54" spans="1:4" x14ac:dyDescent="0.45">
      <c r="A54" t="s">
        <v>6</v>
      </c>
      <c r="B54">
        <v>2007</v>
      </c>
      <c r="C54" t="s">
        <v>59</v>
      </c>
      <c r="D54">
        <v>240.61</v>
      </c>
    </row>
    <row r="55" spans="1:4" x14ac:dyDescent="0.45">
      <c r="A55" t="s">
        <v>19</v>
      </c>
      <c r="B55">
        <v>2007</v>
      </c>
      <c r="C55" t="s">
        <v>59</v>
      </c>
      <c r="D55">
        <v>806.42</v>
      </c>
    </row>
    <row r="56" spans="1:4" x14ac:dyDescent="0.45">
      <c r="A56" t="s">
        <v>23</v>
      </c>
      <c r="B56">
        <v>2007</v>
      </c>
      <c r="C56" t="s">
        <v>59</v>
      </c>
      <c r="D56">
        <v>75.19</v>
      </c>
    </row>
    <row r="57" spans="1:4" x14ac:dyDescent="0.45">
      <c r="A57" t="s">
        <v>55</v>
      </c>
      <c r="B57">
        <v>2007</v>
      </c>
      <c r="C57" t="s">
        <v>59</v>
      </c>
      <c r="D57">
        <v>16.7</v>
      </c>
    </row>
    <row r="58" spans="1:4" x14ac:dyDescent="0.45">
      <c r="A58" t="s">
        <v>55</v>
      </c>
      <c r="B58">
        <v>2008</v>
      </c>
      <c r="C58" t="s">
        <v>59</v>
      </c>
      <c r="D58">
        <v>55.03</v>
      </c>
    </row>
    <row r="59" spans="1:4" x14ac:dyDescent="0.45">
      <c r="A59" t="s">
        <v>5</v>
      </c>
      <c r="B59">
        <v>2008</v>
      </c>
      <c r="C59" t="s">
        <v>59</v>
      </c>
      <c r="D59">
        <v>1985.8</v>
      </c>
    </row>
    <row r="60" spans="1:4" x14ac:dyDescent="0.45">
      <c r="A60" t="s">
        <v>8</v>
      </c>
      <c r="B60">
        <v>2008</v>
      </c>
      <c r="C60" t="s">
        <v>59</v>
      </c>
      <c r="D60">
        <v>882.98</v>
      </c>
    </row>
    <row r="61" spans="1:4" x14ac:dyDescent="0.45">
      <c r="A61" t="s">
        <v>6</v>
      </c>
      <c r="B61">
        <v>2008</v>
      </c>
      <c r="C61" t="s">
        <v>59</v>
      </c>
      <c r="D61">
        <v>248.54</v>
      </c>
    </row>
    <row r="62" spans="1:4" x14ac:dyDescent="0.45">
      <c r="A62" t="s">
        <v>19</v>
      </c>
      <c r="B62">
        <v>2008</v>
      </c>
      <c r="C62" t="s">
        <v>59</v>
      </c>
      <c r="D62">
        <v>806.21</v>
      </c>
    </row>
    <row r="63" spans="1:4" x14ac:dyDescent="0.45">
      <c r="A63" t="s">
        <v>23</v>
      </c>
      <c r="B63">
        <v>2008</v>
      </c>
      <c r="C63" t="s">
        <v>59</v>
      </c>
      <c r="D63">
        <v>55.43</v>
      </c>
    </row>
    <row r="64" spans="1:4" x14ac:dyDescent="0.45">
      <c r="A64" t="s">
        <v>55</v>
      </c>
      <c r="B64">
        <v>2008</v>
      </c>
      <c r="C64" t="s">
        <v>59</v>
      </c>
      <c r="D64">
        <v>17.32</v>
      </c>
    </row>
    <row r="65" spans="1:4" x14ac:dyDescent="0.45">
      <c r="A65" t="s">
        <v>55</v>
      </c>
      <c r="B65">
        <v>2009</v>
      </c>
      <c r="C65" t="s">
        <v>59</v>
      </c>
      <c r="D65">
        <v>54.49</v>
      </c>
    </row>
    <row r="66" spans="1:4" x14ac:dyDescent="0.45">
      <c r="A66" t="s">
        <v>5</v>
      </c>
      <c r="B66">
        <v>2009</v>
      </c>
      <c r="C66" t="s">
        <v>59</v>
      </c>
      <c r="D66">
        <v>1755.9</v>
      </c>
    </row>
    <row r="67" spans="1:4" x14ac:dyDescent="0.45">
      <c r="A67" t="s">
        <v>8</v>
      </c>
      <c r="B67">
        <v>2009</v>
      </c>
      <c r="C67" t="s">
        <v>59</v>
      </c>
      <c r="D67">
        <v>920.98</v>
      </c>
    </row>
    <row r="68" spans="1:4" x14ac:dyDescent="0.45">
      <c r="A68" t="s">
        <v>6</v>
      </c>
      <c r="B68">
        <v>2009</v>
      </c>
      <c r="C68" t="s">
        <v>59</v>
      </c>
      <c r="D68">
        <v>268.82</v>
      </c>
    </row>
    <row r="69" spans="1:4" x14ac:dyDescent="0.45">
      <c r="A69" t="s">
        <v>19</v>
      </c>
      <c r="B69">
        <v>2009</v>
      </c>
      <c r="C69" t="s">
        <v>59</v>
      </c>
      <c r="D69">
        <v>798.85</v>
      </c>
    </row>
    <row r="70" spans="1:4" x14ac:dyDescent="0.45">
      <c r="A70" t="s">
        <v>23</v>
      </c>
      <c r="B70">
        <v>2009</v>
      </c>
      <c r="C70" t="s">
        <v>59</v>
      </c>
      <c r="D70">
        <v>48.53</v>
      </c>
    </row>
    <row r="71" spans="1:4" x14ac:dyDescent="0.45">
      <c r="A71" t="s">
        <v>55</v>
      </c>
      <c r="B71">
        <v>2009</v>
      </c>
      <c r="C71" t="s">
        <v>59</v>
      </c>
      <c r="D71">
        <v>17.47</v>
      </c>
    </row>
    <row r="72" spans="1:4" x14ac:dyDescent="0.45">
      <c r="A72" t="s">
        <v>55</v>
      </c>
      <c r="B72">
        <v>2010</v>
      </c>
      <c r="C72" t="s">
        <v>59</v>
      </c>
      <c r="D72">
        <v>56.09</v>
      </c>
    </row>
    <row r="73" spans="1:4" x14ac:dyDescent="0.45">
      <c r="A73" t="s">
        <v>5</v>
      </c>
      <c r="B73">
        <v>2010</v>
      </c>
      <c r="C73" t="s">
        <v>59</v>
      </c>
      <c r="D73">
        <v>1847.29</v>
      </c>
    </row>
    <row r="74" spans="1:4" x14ac:dyDescent="0.45">
      <c r="A74" t="s">
        <v>8</v>
      </c>
      <c r="B74">
        <v>2010</v>
      </c>
      <c r="C74" t="s">
        <v>59</v>
      </c>
      <c r="D74">
        <v>987.7</v>
      </c>
    </row>
    <row r="75" spans="1:4" x14ac:dyDescent="0.45">
      <c r="A75" t="s">
        <v>6</v>
      </c>
      <c r="B75">
        <v>2010</v>
      </c>
      <c r="C75" t="s">
        <v>59</v>
      </c>
      <c r="D75">
        <v>254.7</v>
      </c>
    </row>
    <row r="76" spans="1:4" x14ac:dyDescent="0.45">
      <c r="A76" t="s">
        <v>19</v>
      </c>
      <c r="B76">
        <v>2010</v>
      </c>
      <c r="C76" t="s">
        <v>59</v>
      </c>
      <c r="D76">
        <v>806.97</v>
      </c>
    </row>
    <row r="77" spans="1:4" x14ac:dyDescent="0.45">
      <c r="A77" t="s">
        <v>23</v>
      </c>
      <c r="B77">
        <v>2010</v>
      </c>
      <c r="C77" t="s">
        <v>59</v>
      </c>
      <c r="D77">
        <v>47.5</v>
      </c>
    </row>
    <row r="78" spans="1:4" x14ac:dyDescent="0.45">
      <c r="A78" t="s">
        <v>55</v>
      </c>
      <c r="B78">
        <v>2010</v>
      </c>
      <c r="C78" t="s">
        <v>59</v>
      </c>
      <c r="D78">
        <v>17.829999999999998</v>
      </c>
    </row>
    <row r="79" spans="1:4" x14ac:dyDescent="0.45">
      <c r="A79" t="s">
        <v>55</v>
      </c>
      <c r="B79">
        <v>2011</v>
      </c>
      <c r="C79" t="s">
        <v>59</v>
      </c>
      <c r="D79">
        <v>56.67</v>
      </c>
    </row>
    <row r="80" spans="1:4" x14ac:dyDescent="0.45">
      <c r="A80" t="s">
        <v>5</v>
      </c>
      <c r="B80">
        <v>2011</v>
      </c>
      <c r="C80" t="s">
        <v>59</v>
      </c>
      <c r="D80">
        <v>1733.43</v>
      </c>
    </row>
    <row r="81" spans="1:4" x14ac:dyDescent="0.45">
      <c r="A81" t="s">
        <v>8</v>
      </c>
      <c r="B81">
        <v>2011</v>
      </c>
      <c r="C81" t="s">
        <v>59</v>
      </c>
      <c r="D81">
        <v>1013.69</v>
      </c>
    </row>
    <row r="82" spans="1:4" x14ac:dyDescent="0.45">
      <c r="A82" t="s">
        <v>6</v>
      </c>
      <c r="B82">
        <v>2011</v>
      </c>
      <c r="C82" t="s">
        <v>59</v>
      </c>
      <c r="D82">
        <v>312.93</v>
      </c>
    </row>
    <row r="83" spans="1:4" x14ac:dyDescent="0.45">
      <c r="A83" t="s">
        <v>19</v>
      </c>
      <c r="B83">
        <v>2011</v>
      </c>
      <c r="C83" t="s">
        <v>59</v>
      </c>
      <c r="D83">
        <v>790.2</v>
      </c>
    </row>
    <row r="84" spans="1:4" x14ac:dyDescent="0.45">
      <c r="A84" t="s">
        <v>23</v>
      </c>
      <c r="B84">
        <v>2011</v>
      </c>
      <c r="C84" t="s">
        <v>59</v>
      </c>
      <c r="D84">
        <v>41.81</v>
      </c>
    </row>
    <row r="85" spans="1:4" x14ac:dyDescent="0.45">
      <c r="A85" t="s">
        <v>55</v>
      </c>
      <c r="B85">
        <v>2011</v>
      </c>
      <c r="C85" t="s">
        <v>59</v>
      </c>
      <c r="D85">
        <v>18.14</v>
      </c>
    </row>
    <row r="86" spans="1:4" x14ac:dyDescent="0.45">
      <c r="A86" t="s">
        <v>55</v>
      </c>
      <c r="B86">
        <v>2012</v>
      </c>
      <c r="C86" t="s">
        <v>59</v>
      </c>
      <c r="D86">
        <v>57.62</v>
      </c>
    </row>
    <row r="87" spans="1:4" x14ac:dyDescent="0.45">
      <c r="A87" t="s">
        <v>5</v>
      </c>
      <c r="B87">
        <v>2012</v>
      </c>
      <c r="C87" t="s">
        <v>59</v>
      </c>
      <c r="D87">
        <v>1514.04</v>
      </c>
    </row>
    <row r="88" spans="1:4" x14ac:dyDescent="0.45">
      <c r="A88" t="s">
        <v>8</v>
      </c>
      <c r="B88">
        <v>2012</v>
      </c>
      <c r="C88" t="s">
        <v>59</v>
      </c>
      <c r="D88">
        <v>1225.8900000000001</v>
      </c>
    </row>
    <row r="89" spans="1:4" x14ac:dyDescent="0.45">
      <c r="A89" t="s">
        <v>6</v>
      </c>
      <c r="B89">
        <v>2012</v>
      </c>
      <c r="C89" t="s">
        <v>59</v>
      </c>
      <c r="D89">
        <v>271.29000000000002</v>
      </c>
    </row>
    <row r="90" spans="1:4" x14ac:dyDescent="0.45">
      <c r="A90" t="s">
        <v>19</v>
      </c>
      <c r="B90">
        <v>2012</v>
      </c>
      <c r="C90" t="s">
        <v>59</v>
      </c>
      <c r="D90">
        <v>769.33</v>
      </c>
    </row>
    <row r="91" spans="1:4" x14ac:dyDescent="0.45">
      <c r="A91" t="s">
        <v>23</v>
      </c>
      <c r="B91">
        <v>2012</v>
      </c>
      <c r="C91" t="s">
        <v>59</v>
      </c>
      <c r="D91">
        <v>39.090000000000003</v>
      </c>
    </row>
    <row r="92" spans="1:4" x14ac:dyDescent="0.45">
      <c r="A92" t="s">
        <v>55</v>
      </c>
      <c r="B92">
        <v>2012</v>
      </c>
      <c r="C92" t="s">
        <v>59</v>
      </c>
      <c r="D92">
        <v>18.260000000000002</v>
      </c>
    </row>
    <row r="93" spans="1:4" x14ac:dyDescent="0.45">
      <c r="A93" t="s">
        <v>55</v>
      </c>
      <c r="B93">
        <v>2013</v>
      </c>
      <c r="C93" t="s">
        <v>59</v>
      </c>
      <c r="D93">
        <v>60.86</v>
      </c>
    </row>
    <row r="94" spans="1:4" x14ac:dyDescent="0.45">
      <c r="A94" t="s">
        <v>5</v>
      </c>
      <c r="B94">
        <v>2013</v>
      </c>
      <c r="C94" t="s">
        <v>59</v>
      </c>
      <c r="D94">
        <v>1581.11</v>
      </c>
    </row>
    <row r="95" spans="1:4" x14ac:dyDescent="0.45">
      <c r="A95" t="s">
        <v>8</v>
      </c>
      <c r="B95">
        <v>2013</v>
      </c>
      <c r="C95" t="s">
        <v>59</v>
      </c>
      <c r="D95">
        <v>1124.8399999999999</v>
      </c>
    </row>
    <row r="96" spans="1:4" x14ac:dyDescent="0.45">
      <c r="A96" t="s">
        <v>6</v>
      </c>
      <c r="B96">
        <v>2013</v>
      </c>
      <c r="C96" t="s">
        <v>59</v>
      </c>
      <c r="D96">
        <v>263.88</v>
      </c>
    </row>
    <row r="97" spans="1:4" x14ac:dyDescent="0.45">
      <c r="A97" t="s">
        <v>19</v>
      </c>
      <c r="B97">
        <v>2013</v>
      </c>
      <c r="C97" t="s">
        <v>59</v>
      </c>
      <c r="D97">
        <v>789.02</v>
      </c>
    </row>
    <row r="98" spans="1:4" x14ac:dyDescent="0.45">
      <c r="A98" t="s">
        <v>23</v>
      </c>
      <c r="B98">
        <v>2013</v>
      </c>
      <c r="C98" t="s">
        <v>59</v>
      </c>
      <c r="D98">
        <v>40.26</v>
      </c>
    </row>
    <row r="99" spans="1:4" x14ac:dyDescent="0.45">
      <c r="A99" t="s">
        <v>55</v>
      </c>
      <c r="B99">
        <v>2013</v>
      </c>
      <c r="C99" t="s">
        <v>59</v>
      </c>
      <c r="D99">
        <v>18.760000000000002</v>
      </c>
    </row>
    <row r="100" spans="1:4" x14ac:dyDescent="0.45">
      <c r="A100" t="s">
        <v>55</v>
      </c>
      <c r="B100">
        <v>2014</v>
      </c>
      <c r="C100" t="s">
        <v>59</v>
      </c>
      <c r="D100">
        <v>63.99</v>
      </c>
    </row>
    <row r="101" spans="1:4" x14ac:dyDescent="0.45">
      <c r="A101" t="s">
        <v>5</v>
      </c>
      <c r="B101">
        <v>2014</v>
      </c>
      <c r="C101" t="s">
        <v>59</v>
      </c>
      <c r="D101">
        <v>1581.71</v>
      </c>
    </row>
    <row r="102" spans="1:4" x14ac:dyDescent="0.45">
      <c r="A102" t="s">
        <v>8</v>
      </c>
      <c r="B102">
        <v>2014</v>
      </c>
      <c r="C102" t="s">
        <v>59</v>
      </c>
      <c r="D102">
        <v>1126.6099999999999</v>
      </c>
    </row>
    <row r="103" spans="1:4" x14ac:dyDescent="0.45">
      <c r="A103" t="s">
        <v>6</v>
      </c>
      <c r="B103">
        <v>2014</v>
      </c>
      <c r="C103" t="s">
        <v>59</v>
      </c>
      <c r="D103">
        <v>253.19</v>
      </c>
    </row>
    <row r="104" spans="1:4" x14ac:dyDescent="0.45">
      <c r="A104" t="s">
        <v>19</v>
      </c>
      <c r="B104">
        <v>2014</v>
      </c>
      <c r="C104" t="s">
        <v>59</v>
      </c>
      <c r="D104">
        <v>797.17</v>
      </c>
    </row>
    <row r="105" spans="1:4" x14ac:dyDescent="0.45">
      <c r="A105" t="s">
        <v>23</v>
      </c>
      <c r="B105">
        <v>2014</v>
      </c>
      <c r="C105" t="s">
        <v>59</v>
      </c>
      <c r="D105">
        <v>43.69</v>
      </c>
    </row>
    <row r="106" spans="1:4" x14ac:dyDescent="0.45">
      <c r="A106" t="s">
        <v>55</v>
      </c>
      <c r="B106">
        <v>2014</v>
      </c>
      <c r="C106" t="s">
        <v>59</v>
      </c>
      <c r="D106">
        <v>19.079999999999998</v>
      </c>
    </row>
    <row r="107" spans="1:4" x14ac:dyDescent="0.45">
      <c r="A107" t="s">
        <v>55</v>
      </c>
      <c r="B107">
        <v>2015</v>
      </c>
      <c r="C107" t="s">
        <v>59</v>
      </c>
      <c r="D107">
        <v>63.63</v>
      </c>
    </row>
    <row r="108" spans="1:4" x14ac:dyDescent="0.45">
      <c r="A108" t="s">
        <v>5</v>
      </c>
      <c r="B108">
        <v>2015</v>
      </c>
      <c r="C108" t="s">
        <v>59</v>
      </c>
      <c r="D108">
        <v>1352.4</v>
      </c>
    </row>
    <row r="109" spans="1:4" x14ac:dyDescent="0.45">
      <c r="A109" t="s">
        <v>8</v>
      </c>
      <c r="B109">
        <v>2015</v>
      </c>
      <c r="C109" t="s">
        <v>59</v>
      </c>
      <c r="D109">
        <v>1333.48</v>
      </c>
    </row>
    <row r="110" spans="1:4" x14ac:dyDescent="0.45">
      <c r="A110" t="s">
        <v>6</v>
      </c>
      <c r="B110">
        <v>2015</v>
      </c>
      <c r="C110" t="s">
        <v>59</v>
      </c>
      <c r="D110">
        <v>243.99</v>
      </c>
    </row>
    <row r="111" spans="1:4" x14ac:dyDescent="0.45">
      <c r="A111" t="s">
        <v>19</v>
      </c>
      <c r="B111">
        <v>2015</v>
      </c>
      <c r="C111" t="s">
        <v>59</v>
      </c>
      <c r="D111">
        <v>797.18</v>
      </c>
    </row>
    <row r="112" spans="1:4" x14ac:dyDescent="0.45">
      <c r="A112" t="s">
        <v>23</v>
      </c>
      <c r="B112">
        <v>2015</v>
      </c>
      <c r="C112" t="s">
        <v>59</v>
      </c>
      <c r="D112">
        <v>44.44</v>
      </c>
    </row>
    <row r="113" spans="1:4" x14ac:dyDescent="0.45">
      <c r="A113" t="s">
        <v>55</v>
      </c>
      <c r="B113">
        <v>2015</v>
      </c>
      <c r="C113" t="s">
        <v>59</v>
      </c>
      <c r="D113">
        <v>19.12</v>
      </c>
    </row>
    <row r="114" spans="1:4" x14ac:dyDescent="0.45">
      <c r="A114" t="s">
        <v>55</v>
      </c>
      <c r="B114">
        <v>2016</v>
      </c>
      <c r="C114" t="s">
        <v>59</v>
      </c>
      <c r="D114">
        <v>62.76</v>
      </c>
    </row>
    <row r="115" spans="1:4" x14ac:dyDescent="0.45">
      <c r="A115" t="s">
        <v>5</v>
      </c>
      <c r="B115">
        <v>2016</v>
      </c>
      <c r="C115" t="s">
        <v>59</v>
      </c>
      <c r="D115">
        <v>1239.1500000000001</v>
      </c>
    </row>
    <row r="116" spans="1:4" x14ac:dyDescent="0.45">
      <c r="A116" t="s">
        <v>8</v>
      </c>
      <c r="B116">
        <v>2016</v>
      </c>
      <c r="C116" t="s">
        <v>59</v>
      </c>
      <c r="D116">
        <v>1378.31</v>
      </c>
    </row>
    <row r="117" spans="1:4" x14ac:dyDescent="0.45">
      <c r="A117" t="s">
        <v>6</v>
      </c>
      <c r="B117">
        <v>2016</v>
      </c>
      <c r="C117" t="s">
        <v>59</v>
      </c>
      <c r="D117">
        <v>261.13</v>
      </c>
    </row>
    <row r="118" spans="1:4" x14ac:dyDescent="0.45">
      <c r="A118" t="s">
        <v>19</v>
      </c>
      <c r="B118">
        <v>2016</v>
      </c>
      <c r="C118" t="s">
        <v>59</v>
      </c>
      <c r="D118">
        <v>805.69</v>
      </c>
    </row>
    <row r="119" spans="1:4" x14ac:dyDescent="0.45">
      <c r="A119" t="s">
        <v>23</v>
      </c>
      <c r="B119">
        <v>2016</v>
      </c>
      <c r="C119" t="s">
        <v>59</v>
      </c>
      <c r="D119">
        <v>39.5</v>
      </c>
    </row>
    <row r="120" spans="1:4" x14ac:dyDescent="0.45">
      <c r="A120" t="s">
        <v>55</v>
      </c>
      <c r="B120">
        <v>2016</v>
      </c>
      <c r="C120" t="s">
        <v>59</v>
      </c>
      <c r="D120">
        <v>19.16</v>
      </c>
    </row>
    <row r="121" spans="1:4" x14ac:dyDescent="0.45">
      <c r="A121" t="s">
        <v>55</v>
      </c>
      <c r="B121">
        <v>2017</v>
      </c>
      <c r="C121" t="s">
        <v>59</v>
      </c>
      <c r="D121">
        <v>62.73</v>
      </c>
    </row>
    <row r="122" spans="1:4" x14ac:dyDescent="0.45">
      <c r="A122" t="s">
        <v>5</v>
      </c>
      <c r="B122">
        <v>2017</v>
      </c>
      <c r="C122" t="s">
        <v>59</v>
      </c>
      <c r="D122">
        <v>1205.8399999999999</v>
      </c>
    </row>
    <row r="123" spans="1:4" x14ac:dyDescent="0.45">
      <c r="A123" t="s">
        <v>8</v>
      </c>
      <c r="B123">
        <v>2017</v>
      </c>
      <c r="C123" t="s">
        <v>59</v>
      </c>
      <c r="D123">
        <v>1296.44</v>
      </c>
    </row>
    <row r="124" spans="1:4" x14ac:dyDescent="0.45">
      <c r="A124" t="s">
        <v>6</v>
      </c>
      <c r="B124">
        <v>2017</v>
      </c>
      <c r="C124" t="s">
        <v>59</v>
      </c>
      <c r="D124">
        <v>293.83999999999997</v>
      </c>
    </row>
    <row r="125" spans="1:4" x14ac:dyDescent="0.45">
      <c r="A125" t="s">
        <v>19</v>
      </c>
      <c r="B125">
        <v>2017</v>
      </c>
      <c r="C125" t="s">
        <v>59</v>
      </c>
      <c r="D125">
        <v>804.95</v>
      </c>
    </row>
    <row r="126" spans="1:4" x14ac:dyDescent="0.45">
      <c r="A126" t="s">
        <v>23</v>
      </c>
      <c r="B126">
        <v>2017</v>
      </c>
      <c r="C126" t="s">
        <v>59</v>
      </c>
      <c r="D126">
        <v>37.89</v>
      </c>
    </row>
    <row r="127" spans="1:4" x14ac:dyDescent="0.45">
      <c r="A127" t="s">
        <v>55</v>
      </c>
      <c r="B127">
        <v>2017</v>
      </c>
      <c r="C127" t="s">
        <v>59</v>
      </c>
      <c r="D127">
        <v>19.04</v>
      </c>
    </row>
    <row r="128" spans="1:4" x14ac:dyDescent="0.45">
      <c r="A128" t="s">
        <v>55</v>
      </c>
      <c r="B128">
        <v>2018</v>
      </c>
      <c r="C128" t="s">
        <v>59</v>
      </c>
      <c r="D128">
        <v>61.83</v>
      </c>
    </row>
    <row r="129" spans="1:4" x14ac:dyDescent="0.45">
      <c r="A129" t="s">
        <v>5</v>
      </c>
      <c r="B129">
        <v>2018</v>
      </c>
      <c r="C129" t="s">
        <v>59</v>
      </c>
      <c r="D129">
        <v>1149.49</v>
      </c>
    </row>
    <row r="130" spans="1:4" x14ac:dyDescent="0.45">
      <c r="A130" t="s">
        <v>8</v>
      </c>
      <c r="B130">
        <v>2018</v>
      </c>
      <c r="C130" t="s">
        <v>59</v>
      </c>
      <c r="D130">
        <v>1469.13</v>
      </c>
    </row>
    <row r="131" spans="1:4" x14ac:dyDescent="0.45">
      <c r="A131" t="s">
        <v>6</v>
      </c>
      <c r="B131">
        <v>2018</v>
      </c>
      <c r="C131" t="s">
        <v>59</v>
      </c>
      <c r="D131">
        <v>286.62</v>
      </c>
    </row>
    <row r="132" spans="1:4" x14ac:dyDescent="0.45">
      <c r="A132" t="s">
        <v>19</v>
      </c>
      <c r="B132">
        <v>2018</v>
      </c>
      <c r="C132" t="s">
        <v>59</v>
      </c>
      <c r="D132">
        <v>807.08</v>
      </c>
    </row>
    <row r="133" spans="1:4" x14ac:dyDescent="0.45">
      <c r="A133" t="s">
        <v>23</v>
      </c>
      <c r="B133">
        <v>2018</v>
      </c>
      <c r="C133" t="s">
        <v>59</v>
      </c>
      <c r="D133">
        <v>42.68</v>
      </c>
    </row>
    <row r="134" spans="1:4" x14ac:dyDescent="0.45">
      <c r="A134" t="s">
        <v>55</v>
      </c>
      <c r="B134">
        <v>2018</v>
      </c>
      <c r="C134" t="s">
        <v>59</v>
      </c>
      <c r="D134">
        <v>18.690000000000001</v>
      </c>
    </row>
    <row r="135" spans="1:4" x14ac:dyDescent="0.45">
      <c r="A135" t="s">
        <v>55</v>
      </c>
      <c r="B135">
        <v>2019</v>
      </c>
      <c r="C135" t="s">
        <v>59</v>
      </c>
      <c r="D135">
        <v>57.51</v>
      </c>
    </row>
    <row r="136" spans="1:4" x14ac:dyDescent="0.45">
      <c r="A136" t="s">
        <v>5</v>
      </c>
      <c r="B136">
        <v>2019</v>
      </c>
      <c r="C136" t="s">
        <v>59</v>
      </c>
      <c r="D136">
        <v>964.96</v>
      </c>
    </row>
    <row r="137" spans="1:4" x14ac:dyDescent="0.45">
      <c r="A137" t="s">
        <v>8</v>
      </c>
      <c r="B137">
        <v>2019</v>
      </c>
      <c r="C137" t="s">
        <v>59</v>
      </c>
      <c r="D137">
        <v>1585.81</v>
      </c>
    </row>
    <row r="138" spans="1:4" x14ac:dyDescent="0.45">
      <c r="A138" t="s">
        <v>6</v>
      </c>
      <c r="B138">
        <v>2019</v>
      </c>
      <c r="C138" t="s">
        <v>59</v>
      </c>
      <c r="D138">
        <v>282.61</v>
      </c>
    </row>
    <row r="139" spans="1:4" x14ac:dyDescent="0.45">
      <c r="A139" t="s">
        <v>19</v>
      </c>
      <c r="B139">
        <v>2019</v>
      </c>
      <c r="C139" t="s">
        <v>59</v>
      </c>
      <c r="D139">
        <v>809.41</v>
      </c>
    </row>
    <row r="140" spans="1:4" x14ac:dyDescent="0.45">
      <c r="A140" t="s">
        <v>23</v>
      </c>
      <c r="B140">
        <v>2019</v>
      </c>
      <c r="C140" t="s">
        <v>59</v>
      </c>
      <c r="D140">
        <v>37.44</v>
      </c>
    </row>
    <row r="141" spans="1:4" x14ac:dyDescent="0.45">
      <c r="A141" t="s">
        <v>55</v>
      </c>
      <c r="B141">
        <v>2019</v>
      </c>
      <c r="C141" t="s">
        <v>59</v>
      </c>
      <c r="D141">
        <v>17.87</v>
      </c>
    </row>
    <row r="142" spans="1:4" x14ac:dyDescent="0.45">
      <c r="A142" t="s">
        <v>55</v>
      </c>
      <c r="B142">
        <v>2020</v>
      </c>
      <c r="C142" t="s">
        <v>59</v>
      </c>
      <c r="D142">
        <v>54.7</v>
      </c>
    </row>
    <row r="143" spans="1:4" x14ac:dyDescent="0.45">
      <c r="A143" t="s">
        <v>5</v>
      </c>
      <c r="B143">
        <v>2020</v>
      </c>
      <c r="C143" t="s">
        <v>59</v>
      </c>
      <c r="D143">
        <v>773.39</v>
      </c>
    </row>
    <row r="144" spans="1:4" x14ac:dyDescent="0.45">
      <c r="A144" t="s">
        <v>8</v>
      </c>
      <c r="B144">
        <v>2020</v>
      </c>
      <c r="C144" t="s">
        <v>59</v>
      </c>
      <c r="D144">
        <v>1624.17</v>
      </c>
    </row>
    <row r="145" spans="1:4" x14ac:dyDescent="0.45">
      <c r="A145" t="s">
        <v>6</v>
      </c>
      <c r="B145">
        <v>2020</v>
      </c>
      <c r="C145" t="s">
        <v>59</v>
      </c>
      <c r="D145">
        <v>279.95</v>
      </c>
    </row>
    <row r="146" spans="1:4" x14ac:dyDescent="0.45">
      <c r="A146" t="s">
        <v>19</v>
      </c>
      <c r="B146">
        <v>2020</v>
      </c>
      <c r="C146" t="s">
        <v>59</v>
      </c>
      <c r="D146">
        <v>789.88</v>
      </c>
    </row>
    <row r="147" spans="1:4" x14ac:dyDescent="0.45">
      <c r="A147" t="s">
        <v>23</v>
      </c>
      <c r="B147">
        <v>2020</v>
      </c>
      <c r="C147" t="s">
        <v>59</v>
      </c>
      <c r="D147">
        <v>34.340000000000003</v>
      </c>
    </row>
    <row r="148" spans="1:4" x14ac:dyDescent="0.45">
      <c r="A148" t="s">
        <v>55</v>
      </c>
      <c r="B148">
        <v>2020</v>
      </c>
      <c r="C148" t="s">
        <v>59</v>
      </c>
      <c r="D148">
        <v>18.09</v>
      </c>
    </row>
    <row r="149" spans="1:4" x14ac:dyDescent="0.45">
      <c r="A149" t="s">
        <v>55</v>
      </c>
      <c r="B149">
        <v>2021</v>
      </c>
      <c r="C149" t="s">
        <v>59</v>
      </c>
      <c r="D149">
        <v>54.25</v>
      </c>
    </row>
    <row r="150" spans="1:4" x14ac:dyDescent="0.45">
      <c r="A150" t="s">
        <v>5</v>
      </c>
      <c r="B150">
        <v>2021</v>
      </c>
      <c r="C150" t="s">
        <v>59</v>
      </c>
      <c r="D150">
        <v>898</v>
      </c>
    </row>
    <row r="151" spans="1:4" x14ac:dyDescent="0.45">
      <c r="A151" t="s">
        <v>8</v>
      </c>
      <c r="B151">
        <v>2021</v>
      </c>
      <c r="C151" t="s">
        <v>59</v>
      </c>
      <c r="D151">
        <v>1579.19</v>
      </c>
    </row>
    <row r="152" spans="1:4" x14ac:dyDescent="0.45">
      <c r="A152" t="s">
        <v>6</v>
      </c>
      <c r="B152">
        <v>2021</v>
      </c>
      <c r="C152" t="s">
        <v>59</v>
      </c>
      <c r="D152">
        <v>246.47</v>
      </c>
    </row>
    <row r="153" spans="1:4" x14ac:dyDescent="0.45">
      <c r="A153" t="s">
        <v>19</v>
      </c>
      <c r="B153">
        <v>2021</v>
      </c>
      <c r="C153" t="s">
        <v>59</v>
      </c>
      <c r="D153">
        <v>779.65</v>
      </c>
    </row>
    <row r="154" spans="1:4" x14ac:dyDescent="0.45">
      <c r="A154" t="s">
        <v>23</v>
      </c>
      <c r="B154">
        <v>2021</v>
      </c>
      <c r="C154" t="s">
        <v>59</v>
      </c>
      <c r="D154">
        <v>35.200000000000003</v>
      </c>
    </row>
    <row r="155" spans="1:4" x14ac:dyDescent="0.45">
      <c r="A155" t="s">
        <v>55</v>
      </c>
      <c r="B155">
        <v>2021</v>
      </c>
      <c r="C155" t="s">
        <v>59</v>
      </c>
      <c r="D155">
        <v>18.239999999999998</v>
      </c>
    </row>
    <row r="156" spans="1:4" x14ac:dyDescent="0.45">
      <c r="A156" t="s">
        <v>55</v>
      </c>
      <c r="B156">
        <v>2022</v>
      </c>
      <c r="C156" t="s">
        <v>59</v>
      </c>
      <c r="D156">
        <v>51.85</v>
      </c>
    </row>
    <row r="157" spans="1:4" x14ac:dyDescent="0.45">
      <c r="A157" t="s">
        <v>5</v>
      </c>
      <c r="B157">
        <v>2022</v>
      </c>
      <c r="C157" t="s">
        <v>59</v>
      </c>
      <c r="D157">
        <v>831.51</v>
      </c>
    </row>
    <row r="158" spans="1:4" x14ac:dyDescent="0.45">
      <c r="A158" t="s">
        <v>8</v>
      </c>
      <c r="B158">
        <v>2022</v>
      </c>
      <c r="C158" t="s">
        <v>59</v>
      </c>
      <c r="D158">
        <v>1687.06</v>
      </c>
    </row>
    <row r="159" spans="1:4" x14ac:dyDescent="0.45">
      <c r="A159" t="s">
        <v>6</v>
      </c>
      <c r="B159">
        <v>2022</v>
      </c>
      <c r="C159" t="s">
        <v>59</v>
      </c>
      <c r="D159">
        <v>248.76</v>
      </c>
    </row>
    <row r="160" spans="1:4" x14ac:dyDescent="0.45">
      <c r="A160" t="s">
        <v>19</v>
      </c>
      <c r="B160">
        <v>2022</v>
      </c>
      <c r="C160" t="s">
        <v>59</v>
      </c>
      <c r="D160">
        <v>771.54</v>
      </c>
    </row>
    <row r="161" spans="1:4" x14ac:dyDescent="0.45">
      <c r="A161" t="s">
        <v>23</v>
      </c>
      <c r="B161">
        <v>2022</v>
      </c>
      <c r="C161" t="s">
        <v>59</v>
      </c>
      <c r="D161">
        <v>38.64</v>
      </c>
    </row>
    <row r="162" spans="1:4" x14ac:dyDescent="0.45">
      <c r="A162" t="s">
        <v>55</v>
      </c>
      <c r="B162">
        <v>2022</v>
      </c>
      <c r="C162" t="s">
        <v>59</v>
      </c>
      <c r="D162">
        <v>18.16</v>
      </c>
    </row>
    <row r="163" spans="1:4" x14ac:dyDescent="0.45">
      <c r="A163" t="s">
        <v>55</v>
      </c>
      <c r="B163">
        <v>2023</v>
      </c>
      <c r="C163" t="s">
        <v>59</v>
      </c>
      <c r="D163">
        <v>47.2</v>
      </c>
    </row>
    <row r="164" spans="1:4" x14ac:dyDescent="0.45">
      <c r="A164" t="s">
        <v>5</v>
      </c>
      <c r="B164">
        <v>2023</v>
      </c>
      <c r="C164" t="s">
        <v>59</v>
      </c>
      <c r="D164">
        <v>675.11</v>
      </c>
    </row>
    <row r="165" spans="1:4" x14ac:dyDescent="0.45">
      <c r="A165" t="s">
        <v>8</v>
      </c>
      <c r="B165">
        <v>2023</v>
      </c>
      <c r="C165" t="s">
        <v>59</v>
      </c>
      <c r="D165">
        <v>1806.06</v>
      </c>
    </row>
    <row r="166" spans="1:4" x14ac:dyDescent="0.45">
      <c r="A166" t="s">
        <v>6</v>
      </c>
      <c r="B166">
        <v>2023</v>
      </c>
      <c r="C166" t="s">
        <v>59</v>
      </c>
      <c r="D166">
        <v>239.01</v>
      </c>
    </row>
    <row r="167" spans="1:4" x14ac:dyDescent="0.45">
      <c r="A167" t="s">
        <v>19</v>
      </c>
      <c r="B167">
        <v>2023</v>
      </c>
      <c r="C167" t="s">
        <v>59</v>
      </c>
      <c r="D167">
        <v>774.87</v>
      </c>
    </row>
    <row r="168" spans="1:4" x14ac:dyDescent="0.45">
      <c r="A168" t="s">
        <v>23</v>
      </c>
      <c r="B168">
        <v>2023</v>
      </c>
      <c r="C168" t="s">
        <v>59</v>
      </c>
      <c r="D168">
        <v>33.130000000000003</v>
      </c>
    </row>
    <row r="169" spans="1:4" x14ac:dyDescent="0.45">
      <c r="A169" t="s">
        <v>55</v>
      </c>
      <c r="B169">
        <v>2023</v>
      </c>
      <c r="C169" t="s">
        <v>59</v>
      </c>
      <c r="D169">
        <v>18.45</v>
      </c>
    </row>
    <row r="170" spans="1:4" x14ac:dyDescent="0.45">
      <c r="A170" t="s">
        <v>55</v>
      </c>
      <c r="B170">
        <v>2000</v>
      </c>
      <c r="C170" t="s">
        <v>60</v>
      </c>
      <c r="D170">
        <v>5.63</v>
      </c>
    </row>
    <row r="171" spans="1:4" x14ac:dyDescent="0.45">
      <c r="A171" t="s">
        <v>5</v>
      </c>
      <c r="B171">
        <v>2000</v>
      </c>
      <c r="C171" t="s">
        <v>60</v>
      </c>
      <c r="D171">
        <v>334.24</v>
      </c>
    </row>
    <row r="172" spans="1:4" x14ac:dyDescent="0.45">
      <c r="A172" t="s">
        <v>8</v>
      </c>
      <c r="B172">
        <v>2000</v>
      </c>
      <c r="C172" t="s">
        <v>60</v>
      </c>
      <c r="D172">
        <v>161.54</v>
      </c>
    </row>
    <row r="173" spans="1:4" x14ac:dyDescent="0.45">
      <c r="A173" t="s">
        <v>6</v>
      </c>
      <c r="B173">
        <v>2000</v>
      </c>
      <c r="C173" t="s">
        <v>60</v>
      </c>
      <c r="D173">
        <v>79.36</v>
      </c>
    </row>
    <row r="174" spans="1:4" x14ac:dyDescent="0.45">
      <c r="A174" t="s">
        <v>19</v>
      </c>
      <c r="B174">
        <v>2000</v>
      </c>
      <c r="C174" t="s">
        <v>60</v>
      </c>
      <c r="D174">
        <v>97.86</v>
      </c>
    </row>
    <row r="175" spans="1:4" x14ac:dyDescent="0.45">
      <c r="A175" t="s">
        <v>23</v>
      </c>
      <c r="B175">
        <v>2000</v>
      </c>
      <c r="C175" t="s">
        <v>60</v>
      </c>
      <c r="D175">
        <v>86.09</v>
      </c>
    </row>
    <row r="176" spans="1:4" x14ac:dyDescent="0.45">
      <c r="A176" t="s">
        <v>55</v>
      </c>
      <c r="B176">
        <v>2000</v>
      </c>
      <c r="C176" t="s">
        <v>60</v>
      </c>
      <c r="D176">
        <v>3.96</v>
      </c>
    </row>
    <row r="177" spans="1:4" x14ac:dyDescent="0.45">
      <c r="A177" t="s">
        <v>55</v>
      </c>
      <c r="B177">
        <v>2001</v>
      </c>
      <c r="C177" t="s">
        <v>60</v>
      </c>
      <c r="D177">
        <v>7.13</v>
      </c>
    </row>
    <row r="178" spans="1:4" x14ac:dyDescent="0.45">
      <c r="A178" t="s">
        <v>5</v>
      </c>
      <c r="B178">
        <v>2001</v>
      </c>
      <c r="C178" t="s">
        <v>60</v>
      </c>
      <c r="D178">
        <v>335.32</v>
      </c>
    </row>
    <row r="179" spans="1:4" x14ac:dyDescent="0.45">
      <c r="A179" t="s">
        <v>8</v>
      </c>
      <c r="B179">
        <v>2001</v>
      </c>
      <c r="C179" t="s">
        <v>60</v>
      </c>
      <c r="D179">
        <v>199.67</v>
      </c>
    </row>
    <row r="180" spans="1:4" x14ac:dyDescent="0.45">
      <c r="A180" t="s">
        <v>6</v>
      </c>
      <c r="B180">
        <v>2001</v>
      </c>
      <c r="C180" t="s">
        <v>60</v>
      </c>
      <c r="D180">
        <v>78.92</v>
      </c>
    </row>
    <row r="181" spans="1:4" x14ac:dyDescent="0.45">
      <c r="A181" t="s">
        <v>19</v>
      </c>
      <c r="B181">
        <v>2001</v>
      </c>
      <c r="C181" t="s">
        <v>60</v>
      </c>
      <c r="D181">
        <v>98.16</v>
      </c>
    </row>
    <row r="182" spans="1:4" x14ac:dyDescent="0.45">
      <c r="A182" t="s">
        <v>23</v>
      </c>
      <c r="B182">
        <v>2001</v>
      </c>
      <c r="C182" t="s">
        <v>60</v>
      </c>
      <c r="D182">
        <v>87.75</v>
      </c>
    </row>
    <row r="183" spans="1:4" x14ac:dyDescent="0.45">
      <c r="A183" t="s">
        <v>55</v>
      </c>
      <c r="B183">
        <v>2001</v>
      </c>
      <c r="C183" t="s">
        <v>60</v>
      </c>
      <c r="D183">
        <v>3.46</v>
      </c>
    </row>
    <row r="184" spans="1:4" x14ac:dyDescent="0.45">
      <c r="A184" t="s">
        <v>55</v>
      </c>
      <c r="B184">
        <v>2002</v>
      </c>
      <c r="C184" t="s">
        <v>60</v>
      </c>
      <c r="D184">
        <v>7.16</v>
      </c>
    </row>
    <row r="185" spans="1:4" x14ac:dyDescent="0.45">
      <c r="A185" t="s">
        <v>5</v>
      </c>
      <c r="B185">
        <v>2002</v>
      </c>
      <c r="C185" t="s">
        <v>60</v>
      </c>
      <c r="D185">
        <v>335.8</v>
      </c>
    </row>
    <row r="186" spans="1:4" x14ac:dyDescent="0.45">
      <c r="A186" t="s">
        <v>8</v>
      </c>
      <c r="B186">
        <v>2002</v>
      </c>
      <c r="C186" t="s">
        <v>60</v>
      </c>
      <c r="D186">
        <v>264.55</v>
      </c>
    </row>
    <row r="187" spans="1:4" x14ac:dyDescent="0.45">
      <c r="A187" t="s">
        <v>6</v>
      </c>
      <c r="B187">
        <v>2002</v>
      </c>
      <c r="C187" t="s">
        <v>60</v>
      </c>
      <c r="D187">
        <v>79.36</v>
      </c>
    </row>
    <row r="188" spans="1:4" x14ac:dyDescent="0.45">
      <c r="A188" t="s">
        <v>19</v>
      </c>
      <c r="B188">
        <v>2002</v>
      </c>
      <c r="C188" t="s">
        <v>60</v>
      </c>
      <c r="D188">
        <v>98.66</v>
      </c>
    </row>
    <row r="189" spans="1:4" x14ac:dyDescent="0.45">
      <c r="A189" t="s">
        <v>23</v>
      </c>
      <c r="B189">
        <v>2002</v>
      </c>
      <c r="C189" t="s">
        <v>60</v>
      </c>
      <c r="D189">
        <v>61.52</v>
      </c>
    </row>
    <row r="190" spans="1:4" x14ac:dyDescent="0.45">
      <c r="A190" t="s">
        <v>55</v>
      </c>
      <c r="B190">
        <v>2002</v>
      </c>
      <c r="C190" t="s">
        <v>60</v>
      </c>
      <c r="D190">
        <v>3.5</v>
      </c>
    </row>
    <row r="191" spans="1:4" x14ac:dyDescent="0.45">
      <c r="A191" t="s">
        <v>55</v>
      </c>
      <c r="B191">
        <v>2003</v>
      </c>
      <c r="C191" t="s">
        <v>60</v>
      </c>
      <c r="D191">
        <v>7.19</v>
      </c>
    </row>
    <row r="192" spans="1:4" x14ac:dyDescent="0.45">
      <c r="A192" t="s">
        <v>5</v>
      </c>
      <c r="B192">
        <v>2003</v>
      </c>
      <c r="C192" t="s">
        <v>60</v>
      </c>
      <c r="D192">
        <v>334.47</v>
      </c>
    </row>
    <row r="193" spans="1:4" x14ac:dyDescent="0.45">
      <c r="A193" t="s">
        <v>8</v>
      </c>
      <c r="B193">
        <v>2003</v>
      </c>
      <c r="C193" t="s">
        <v>60</v>
      </c>
      <c r="D193">
        <v>319.04000000000002</v>
      </c>
    </row>
    <row r="194" spans="1:4" x14ac:dyDescent="0.45">
      <c r="A194" t="s">
        <v>6</v>
      </c>
      <c r="B194">
        <v>2003</v>
      </c>
      <c r="C194" t="s">
        <v>60</v>
      </c>
      <c r="D194">
        <v>78.69</v>
      </c>
    </row>
    <row r="195" spans="1:4" x14ac:dyDescent="0.45">
      <c r="A195" t="s">
        <v>19</v>
      </c>
      <c r="B195">
        <v>2003</v>
      </c>
      <c r="C195" t="s">
        <v>60</v>
      </c>
      <c r="D195">
        <v>99.21</v>
      </c>
    </row>
    <row r="196" spans="1:4" x14ac:dyDescent="0.45">
      <c r="A196" t="s">
        <v>23</v>
      </c>
      <c r="B196">
        <v>2003</v>
      </c>
      <c r="C196" t="s">
        <v>60</v>
      </c>
      <c r="D196">
        <v>62.58</v>
      </c>
    </row>
    <row r="197" spans="1:4" x14ac:dyDescent="0.45">
      <c r="A197" t="s">
        <v>55</v>
      </c>
      <c r="B197">
        <v>2003</v>
      </c>
      <c r="C197" t="s">
        <v>60</v>
      </c>
      <c r="D197">
        <v>3.35</v>
      </c>
    </row>
    <row r="198" spans="1:4" x14ac:dyDescent="0.45">
      <c r="A198" t="s">
        <v>55</v>
      </c>
      <c r="B198">
        <v>2004</v>
      </c>
      <c r="C198" t="s">
        <v>60</v>
      </c>
      <c r="D198">
        <v>7.51</v>
      </c>
    </row>
    <row r="199" spans="1:4" x14ac:dyDescent="0.45">
      <c r="A199" t="s">
        <v>5</v>
      </c>
      <c r="B199">
        <v>2004</v>
      </c>
      <c r="C199" t="s">
        <v>60</v>
      </c>
      <c r="D199">
        <v>334.48</v>
      </c>
    </row>
    <row r="200" spans="1:4" x14ac:dyDescent="0.45">
      <c r="A200" t="s">
        <v>8</v>
      </c>
      <c r="B200">
        <v>2004</v>
      </c>
      <c r="C200" t="s">
        <v>60</v>
      </c>
      <c r="D200">
        <v>343.88</v>
      </c>
    </row>
    <row r="201" spans="1:4" x14ac:dyDescent="0.45">
      <c r="A201" t="s">
        <v>6</v>
      </c>
      <c r="B201">
        <v>2004</v>
      </c>
      <c r="C201" t="s">
        <v>60</v>
      </c>
      <c r="D201">
        <v>77.64</v>
      </c>
    </row>
    <row r="202" spans="1:4" x14ac:dyDescent="0.45">
      <c r="A202" t="s">
        <v>19</v>
      </c>
      <c r="B202">
        <v>2004</v>
      </c>
      <c r="C202" t="s">
        <v>60</v>
      </c>
      <c r="D202">
        <v>99.63</v>
      </c>
    </row>
    <row r="203" spans="1:4" x14ac:dyDescent="0.45">
      <c r="A203" t="s">
        <v>23</v>
      </c>
      <c r="B203">
        <v>2004</v>
      </c>
      <c r="C203" t="s">
        <v>60</v>
      </c>
      <c r="D203">
        <v>61.16</v>
      </c>
    </row>
    <row r="204" spans="1:4" x14ac:dyDescent="0.45">
      <c r="A204" t="s">
        <v>55</v>
      </c>
      <c r="B204">
        <v>2004</v>
      </c>
      <c r="C204" t="s">
        <v>60</v>
      </c>
      <c r="D204">
        <v>3.25</v>
      </c>
    </row>
    <row r="205" spans="1:4" x14ac:dyDescent="0.45">
      <c r="A205" t="s">
        <v>55</v>
      </c>
      <c r="B205">
        <v>2005</v>
      </c>
      <c r="C205" t="s">
        <v>60</v>
      </c>
      <c r="D205">
        <v>7.63</v>
      </c>
    </row>
    <row r="206" spans="1:4" x14ac:dyDescent="0.45">
      <c r="A206" t="s">
        <v>5</v>
      </c>
      <c r="B206">
        <v>2005</v>
      </c>
      <c r="C206" t="s">
        <v>60</v>
      </c>
      <c r="D206">
        <v>334.63</v>
      </c>
    </row>
    <row r="207" spans="1:4" x14ac:dyDescent="0.45">
      <c r="A207" t="s">
        <v>8</v>
      </c>
      <c r="B207">
        <v>2005</v>
      </c>
      <c r="C207" t="s">
        <v>60</v>
      </c>
      <c r="D207">
        <v>359.84</v>
      </c>
    </row>
    <row r="208" spans="1:4" x14ac:dyDescent="0.45">
      <c r="A208" t="s">
        <v>6</v>
      </c>
      <c r="B208">
        <v>2005</v>
      </c>
      <c r="C208" t="s">
        <v>60</v>
      </c>
      <c r="D208">
        <v>77.540000000000006</v>
      </c>
    </row>
    <row r="209" spans="1:4" x14ac:dyDescent="0.45">
      <c r="A209" t="s">
        <v>19</v>
      </c>
      <c r="B209">
        <v>2005</v>
      </c>
      <c r="C209" t="s">
        <v>60</v>
      </c>
      <c r="D209">
        <v>99.99</v>
      </c>
    </row>
    <row r="210" spans="1:4" x14ac:dyDescent="0.45">
      <c r="A210" t="s">
        <v>23</v>
      </c>
      <c r="B210">
        <v>2005</v>
      </c>
      <c r="C210" t="s">
        <v>60</v>
      </c>
      <c r="D210">
        <v>60.85</v>
      </c>
    </row>
    <row r="211" spans="1:4" x14ac:dyDescent="0.45">
      <c r="A211" t="s">
        <v>55</v>
      </c>
      <c r="B211">
        <v>2005</v>
      </c>
      <c r="C211" t="s">
        <v>60</v>
      </c>
      <c r="D211">
        <v>3.37</v>
      </c>
    </row>
    <row r="212" spans="1:4" x14ac:dyDescent="0.45">
      <c r="A212" t="s">
        <v>55</v>
      </c>
      <c r="B212">
        <v>2006</v>
      </c>
      <c r="C212" t="s">
        <v>60</v>
      </c>
      <c r="D212">
        <v>7.91</v>
      </c>
    </row>
    <row r="213" spans="1:4" x14ac:dyDescent="0.45">
      <c r="A213" t="s">
        <v>5</v>
      </c>
      <c r="B213">
        <v>2006</v>
      </c>
      <c r="C213" t="s">
        <v>60</v>
      </c>
      <c r="D213">
        <v>334.94</v>
      </c>
    </row>
    <row r="214" spans="1:4" x14ac:dyDescent="0.45">
      <c r="A214" t="s">
        <v>8</v>
      </c>
      <c r="B214">
        <v>2006</v>
      </c>
      <c r="C214" t="s">
        <v>60</v>
      </c>
      <c r="D214">
        <v>371.13</v>
      </c>
    </row>
    <row r="215" spans="1:4" x14ac:dyDescent="0.45">
      <c r="A215" t="s">
        <v>6</v>
      </c>
      <c r="B215">
        <v>2006</v>
      </c>
      <c r="C215" t="s">
        <v>60</v>
      </c>
      <c r="D215">
        <v>77.819999999999993</v>
      </c>
    </row>
    <row r="216" spans="1:4" x14ac:dyDescent="0.45">
      <c r="A216" t="s">
        <v>19</v>
      </c>
      <c r="B216">
        <v>2006</v>
      </c>
      <c r="C216" t="s">
        <v>60</v>
      </c>
      <c r="D216">
        <v>100.33</v>
      </c>
    </row>
    <row r="217" spans="1:4" x14ac:dyDescent="0.45">
      <c r="A217" t="s">
        <v>23</v>
      </c>
      <c r="B217">
        <v>2006</v>
      </c>
      <c r="C217" t="s">
        <v>60</v>
      </c>
      <c r="D217">
        <v>60.32</v>
      </c>
    </row>
    <row r="218" spans="1:4" x14ac:dyDescent="0.45">
      <c r="A218" t="s">
        <v>55</v>
      </c>
      <c r="B218">
        <v>2006</v>
      </c>
      <c r="C218" t="s">
        <v>60</v>
      </c>
      <c r="D218">
        <v>3.37</v>
      </c>
    </row>
    <row r="219" spans="1:4" x14ac:dyDescent="0.45">
      <c r="A219" t="s">
        <v>55</v>
      </c>
      <c r="B219">
        <v>2007</v>
      </c>
      <c r="C219" t="s">
        <v>60</v>
      </c>
      <c r="D219">
        <v>8.6199999999999992</v>
      </c>
    </row>
    <row r="220" spans="1:4" x14ac:dyDescent="0.45">
      <c r="A220" t="s">
        <v>5</v>
      </c>
      <c r="B220">
        <v>2007</v>
      </c>
      <c r="C220" t="s">
        <v>60</v>
      </c>
      <c r="D220">
        <v>333.64</v>
      </c>
    </row>
    <row r="221" spans="1:4" x14ac:dyDescent="0.45">
      <c r="A221" t="s">
        <v>8</v>
      </c>
      <c r="B221">
        <v>2007</v>
      </c>
      <c r="C221" t="s">
        <v>60</v>
      </c>
      <c r="D221">
        <v>378.97</v>
      </c>
    </row>
    <row r="222" spans="1:4" x14ac:dyDescent="0.45">
      <c r="A222" t="s">
        <v>6</v>
      </c>
      <c r="B222">
        <v>2007</v>
      </c>
      <c r="C222" t="s">
        <v>60</v>
      </c>
      <c r="D222">
        <v>77.88</v>
      </c>
    </row>
    <row r="223" spans="1:4" x14ac:dyDescent="0.45">
      <c r="A223" t="s">
        <v>19</v>
      </c>
      <c r="B223">
        <v>2007</v>
      </c>
      <c r="C223" t="s">
        <v>60</v>
      </c>
      <c r="D223">
        <v>100.27</v>
      </c>
    </row>
    <row r="224" spans="1:4" x14ac:dyDescent="0.45">
      <c r="A224" t="s">
        <v>23</v>
      </c>
      <c r="B224">
        <v>2007</v>
      </c>
      <c r="C224" t="s">
        <v>60</v>
      </c>
      <c r="D224">
        <v>58.35</v>
      </c>
    </row>
    <row r="225" spans="1:4" x14ac:dyDescent="0.45">
      <c r="A225" t="s">
        <v>55</v>
      </c>
      <c r="B225">
        <v>2007</v>
      </c>
      <c r="C225" t="s">
        <v>60</v>
      </c>
      <c r="D225">
        <v>3.32</v>
      </c>
    </row>
    <row r="226" spans="1:4" x14ac:dyDescent="0.45">
      <c r="A226" t="s">
        <v>55</v>
      </c>
      <c r="B226">
        <v>2008</v>
      </c>
      <c r="C226" t="s">
        <v>60</v>
      </c>
      <c r="D226">
        <v>8.83</v>
      </c>
    </row>
    <row r="227" spans="1:4" x14ac:dyDescent="0.45">
      <c r="A227" t="s">
        <v>5</v>
      </c>
      <c r="B227">
        <v>2008</v>
      </c>
      <c r="C227" t="s">
        <v>60</v>
      </c>
      <c r="D227">
        <v>334.56</v>
      </c>
    </row>
    <row r="228" spans="1:4" x14ac:dyDescent="0.45">
      <c r="A228" t="s">
        <v>8</v>
      </c>
      <c r="B228">
        <v>2008</v>
      </c>
      <c r="C228" t="s">
        <v>60</v>
      </c>
      <c r="D228">
        <v>388.45</v>
      </c>
    </row>
    <row r="229" spans="1:4" x14ac:dyDescent="0.45">
      <c r="A229" t="s">
        <v>6</v>
      </c>
      <c r="B229">
        <v>2008</v>
      </c>
      <c r="C229" t="s">
        <v>60</v>
      </c>
      <c r="D229">
        <v>77.930000000000007</v>
      </c>
    </row>
    <row r="230" spans="1:4" x14ac:dyDescent="0.45">
      <c r="A230" t="s">
        <v>19</v>
      </c>
      <c r="B230">
        <v>2008</v>
      </c>
      <c r="C230" t="s">
        <v>60</v>
      </c>
      <c r="D230">
        <v>100.75</v>
      </c>
    </row>
    <row r="231" spans="1:4" x14ac:dyDescent="0.45">
      <c r="A231" t="s">
        <v>23</v>
      </c>
      <c r="B231">
        <v>2008</v>
      </c>
      <c r="C231" t="s">
        <v>60</v>
      </c>
      <c r="D231">
        <v>59.77</v>
      </c>
    </row>
    <row r="232" spans="1:4" x14ac:dyDescent="0.45">
      <c r="A232" t="s">
        <v>55</v>
      </c>
      <c r="B232">
        <v>2008</v>
      </c>
      <c r="C232" t="s">
        <v>60</v>
      </c>
      <c r="D232">
        <v>3.34</v>
      </c>
    </row>
    <row r="233" spans="1:4" x14ac:dyDescent="0.45">
      <c r="A233" t="s">
        <v>55</v>
      </c>
      <c r="B233">
        <v>2009</v>
      </c>
      <c r="C233" t="s">
        <v>60</v>
      </c>
      <c r="D233">
        <v>9.0299999999999994</v>
      </c>
    </row>
    <row r="234" spans="1:4" x14ac:dyDescent="0.45">
      <c r="A234" t="s">
        <v>5</v>
      </c>
      <c r="B234">
        <v>2009</v>
      </c>
      <c r="C234" t="s">
        <v>60</v>
      </c>
      <c r="D234">
        <v>335.94</v>
      </c>
    </row>
    <row r="235" spans="1:4" x14ac:dyDescent="0.45">
      <c r="A235" t="s">
        <v>8</v>
      </c>
      <c r="B235">
        <v>2009</v>
      </c>
      <c r="C235" t="s">
        <v>60</v>
      </c>
      <c r="D235">
        <v>399.05</v>
      </c>
    </row>
    <row r="236" spans="1:4" x14ac:dyDescent="0.45">
      <c r="A236" t="s">
        <v>6</v>
      </c>
      <c r="B236">
        <v>2009</v>
      </c>
      <c r="C236" t="s">
        <v>60</v>
      </c>
      <c r="D236">
        <v>78.52</v>
      </c>
    </row>
    <row r="237" spans="1:4" x14ac:dyDescent="0.45">
      <c r="A237" t="s">
        <v>19</v>
      </c>
      <c r="B237">
        <v>2009</v>
      </c>
      <c r="C237" t="s">
        <v>60</v>
      </c>
      <c r="D237">
        <v>101</v>
      </c>
    </row>
    <row r="238" spans="1:4" x14ac:dyDescent="0.45">
      <c r="A238" t="s">
        <v>23</v>
      </c>
      <c r="B238">
        <v>2009</v>
      </c>
      <c r="C238" t="s">
        <v>60</v>
      </c>
      <c r="D238">
        <v>59.12</v>
      </c>
    </row>
    <row r="239" spans="1:4" x14ac:dyDescent="0.45">
      <c r="A239" t="s">
        <v>55</v>
      </c>
      <c r="B239">
        <v>2009</v>
      </c>
      <c r="C239" t="s">
        <v>60</v>
      </c>
      <c r="D239">
        <v>3.5</v>
      </c>
    </row>
    <row r="240" spans="1:4" x14ac:dyDescent="0.45">
      <c r="A240" t="s">
        <v>55</v>
      </c>
      <c r="B240">
        <v>2010</v>
      </c>
      <c r="C240" t="s">
        <v>60</v>
      </c>
      <c r="D240">
        <v>9.19</v>
      </c>
    </row>
    <row r="241" spans="1:4" x14ac:dyDescent="0.45">
      <c r="A241" t="s">
        <v>5</v>
      </c>
      <c r="B241">
        <v>2010</v>
      </c>
      <c r="C241" t="s">
        <v>60</v>
      </c>
      <c r="D241">
        <v>339.36</v>
      </c>
    </row>
    <row r="242" spans="1:4" x14ac:dyDescent="0.45">
      <c r="A242" t="s">
        <v>8</v>
      </c>
      <c r="B242">
        <v>2010</v>
      </c>
      <c r="C242" t="s">
        <v>60</v>
      </c>
      <c r="D242">
        <v>407.07</v>
      </c>
    </row>
    <row r="243" spans="1:4" x14ac:dyDescent="0.45">
      <c r="A243" t="s">
        <v>6</v>
      </c>
      <c r="B243">
        <v>2010</v>
      </c>
      <c r="C243" t="s">
        <v>60</v>
      </c>
      <c r="D243">
        <v>82.61</v>
      </c>
    </row>
    <row r="244" spans="1:4" x14ac:dyDescent="0.45">
      <c r="A244" t="s">
        <v>19</v>
      </c>
      <c r="B244">
        <v>2010</v>
      </c>
      <c r="C244" t="s">
        <v>60</v>
      </c>
      <c r="D244">
        <v>101.17</v>
      </c>
    </row>
    <row r="245" spans="1:4" x14ac:dyDescent="0.45">
      <c r="A245" t="s">
        <v>23</v>
      </c>
      <c r="B245">
        <v>2010</v>
      </c>
      <c r="C245" t="s">
        <v>60</v>
      </c>
      <c r="D245">
        <v>59.53</v>
      </c>
    </row>
    <row r="246" spans="1:4" x14ac:dyDescent="0.45">
      <c r="A246" t="s">
        <v>55</v>
      </c>
      <c r="B246">
        <v>2010</v>
      </c>
      <c r="C246" t="s">
        <v>60</v>
      </c>
      <c r="D246">
        <v>3.51</v>
      </c>
    </row>
    <row r="247" spans="1:4" x14ac:dyDescent="0.45">
      <c r="A247" t="s">
        <v>55</v>
      </c>
      <c r="B247">
        <v>2011</v>
      </c>
      <c r="C247" t="s">
        <v>60</v>
      </c>
      <c r="D247">
        <v>9.3699999999999992</v>
      </c>
    </row>
    <row r="248" spans="1:4" x14ac:dyDescent="0.45">
      <c r="A248" t="s">
        <v>5</v>
      </c>
      <c r="B248">
        <v>2011</v>
      </c>
      <c r="C248" t="s">
        <v>60</v>
      </c>
      <c r="D248">
        <v>340.2</v>
      </c>
    </row>
    <row r="249" spans="1:4" x14ac:dyDescent="0.45">
      <c r="A249" t="s">
        <v>8</v>
      </c>
      <c r="B249">
        <v>2011</v>
      </c>
      <c r="C249" t="s">
        <v>60</v>
      </c>
      <c r="D249">
        <v>418.3</v>
      </c>
    </row>
    <row r="250" spans="1:4" x14ac:dyDescent="0.45">
      <c r="A250" t="s">
        <v>6</v>
      </c>
      <c r="B250">
        <v>2011</v>
      </c>
      <c r="C250" t="s">
        <v>60</v>
      </c>
      <c r="D250">
        <v>82.45</v>
      </c>
    </row>
    <row r="251" spans="1:4" x14ac:dyDescent="0.45">
      <c r="A251" t="s">
        <v>19</v>
      </c>
      <c r="B251">
        <v>2011</v>
      </c>
      <c r="C251" t="s">
        <v>60</v>
      </c>
      <c r="D251">
        <v>101.42</v>
      </c>
    </row>
    <row r="252" spans="1:4" x14ac:dyDescent="0.45">
      <c r="A252" t="s">
        <v>23</v>
      </c>
      <c r="B252">
        <v>2011</v>
      </c>
      <c r="C252" t="s">
        <v>60</v>
      </c>
      <c r="D252">
        <v>53.93</v>
      </c>
    </row>
    <row r="253" spans="1:4" x14ac:dyDescent="0.45">
      <c r="A253" t="s">
        <v>55</v>
      </c>
      <c r="B253">
        <v>2011</v>
      </c>
      <c r="C253" t="s">
        <v>60</v>
      </c>
      <c r="D253">
        <v>3.53</v>
      </c>
    </row>
    <row r="254" spans="1:4" x14ac:dyDescent="0.45">
      <c r="A254" t="s">
        <v>55</v>
      </c>
      <c r="B254">
        <v>2012</v>
      </c>
      <c r="C254" t="s">
        <v>60</v>
      </c>
      <c r="D254">
        <v>10.119999999999999</v>
      </c>
    </row>
    <row r="255" spans="1:4" x14ac:dyDescent="0.45">
      <c r="A255" t="s">
        <v>5</v>
      </c>
      <c r="B255">
        <v>2012</v>
      </c>
      <c r="C255" t="s">
        <v>60</v>
      </c>
      <c r="D255">
        <v>332.88</v>
      </c>
    </row>
    <row r="256" spans="1:4" x14ac:dyDescent="0.45">
      <c r="A256" t="s">
        <v>8</v>
      </c>
      <c r="B256">
        <v>2012</v>
      </c>
      <c r="C256" t="s">
        <v>60</v>
      </c>
      <c r="D256">
        <v>429.01</v>
      </c>
    </row>
    <row r="257" spans="1:4" x14ac:dyDescent="0.45">
      <c r="A257" t="s">
        <v>6</v>
      </c>
      <c r="B257">
        <v>2012</v>
      </c>
      <c r="C257" t="s">
        <v>60</v>
      </c>
      <c r="D257">
        <v>82.56</v>
      </c>
    </row>
    <row r="258" spans="1:4" x14ac:dyDescent="0.45">
      <c r="A258" t="s">
        <v>19</v>
      </c>
      <c r="B258">
        <v>2012</v>
      </c>
      <c r="C258" t="s">
        <v>60</v>
      </c>
      <c r="D258">
        <v>101.89</v>
      </c>
    </row>
    <row r="259" spans="1:4" x14ac:dyDescent="0.45">
      <c r="A259" t="s">
        <v>23</v>
      </c>
      <c r="B259">
        <v>2012</v>
      </c>
      <c r="C259" t="s">
        <v>60</v>
      </c>
      <c r="D259">
        <v>49.83</v>
      </c>
    </row>
    <row r="260" spans="1:4" x14ac:dyDescent="0.45">
      <c r="A260" t="s">
        <v>55</v>
      </c>
      <c r="B260">
        <v>2012</v>
      </c>
      <c r="C260" t="s">
        <v>60</v>
      </c>
      <c r="D260">
        <v>3.69</v>
      </c>
    </row>
    <row r="261" spans="1:4" x14ac:dyDescent="0.45">
      <c r="A261" t="s">
        <v>55</v>
      </c>
      <c r="B261">
        <v>2013</v>
      </c>
      <c r="C261" t="s">
        <v>60</v>
      </c>
      <c r="D261">
        <v>11.17</v>
      </c>
    </row>
    <row r="262" spans="1:4" x14ac:dyDescent="0.45">
      <c r="A262" t="s">
        <v>5</v>
      </c>
      <c r="B262">
        <v>2013</v>
      </c>
      <c r="C262" t="s">
        <v>60</v>
      </c>
      <c r="D262">
        <v>327.89</v>
      </c>
    </row>
    <row r="263" spans="1:4" x14ac:dyDescent="0.45">
      <c r="A263" t="s">
        <v>8</v>
      </c>
      <c r="B263">
        <v>2013</v>
      </c>
      <c r="C263" t="s">
        <v>60</v>
      </c>
      <c r="D263">
        <v>437.26</v>
      </c>
    </row>
    <row r="264" spans="1:4" x14ac:dyDescent="0.45">
      <c r="A264" t="s">
        <v>6</v>
      </c>
      <c r="B264">
        <v>2013</v>
      </c>
      <c r="C264" t="s">
        <v>60</v>
      </c>
      <c r="D264">
        <v>83.01</v>
      </c>
    </row>
    <row r="265" spans="1:4" x14ac:dyDescent="0.45">
      <c r="A265" t="s">
        <v>19</v>
      </c>
      <c r="B265">
        <v>2013</v>
      </c>
      <c r="C265" t="s">
        <v>60</v>
      </c>
      <c r="D265">
        <v>99.24</v>
      </c>
    </row>
    <row r="266" spans="1:4" x14ac:dyDescent="0.45">
      <c r="A266" t="s">
        <v>23</v>
      </c>
      <c r="B266">
        <v>2013</v>
      </c>
      <c r="C266" t="s">
        <v>60</v>
      </c>
      <c r="D266">
        <v>46.76</v>
      </c>
    </row>
    <row r="267" spans="1:4" x14ac:dyDescent="0.45">
      <c r="A267" t="s">
        <v>55</v>
      </c>
      <c r="B267">
        <v>2013</v>
      </c>
      <c r="C267" t="s">
        <v>60</v>
      </c>
      <c r="D267">
        <v>3.72</v>
      </c>
    </row>
    <row r="268" spans="1:4" x14ac:dyDescent="0.45">
      <c r="A268" t="s">
        <v>55</v>
      </c>
      <c r="B268">
        <v>2014</v>
      </c>
      <c r="C268" t="s">
        <v>60</v>
      </c>
      <c r="D268">
        <v>11.3</v>
      </c>
    </row>
    <row r="269" spans="1:4" x14ac:dyDescent="0.45">
      <c r="A269" t="s">
        <v>5</v>
      </c>
      <c r="B269">
        <v>2014</v>
      </c>
      <c r="C269" t="s">
        <v>60</v>
      </c>
      <c r="D269">
        <v>323.38</v>
      </c>
    </row>
    <row r="270" spans="1:4" x14ac:dyDescent="0.45">
      <c r="A270" t="s">
        <v>8</v>
      </c>
      <c r="B270">
        <v>2014</v>
      </c>
      <c r="C270" t="s">
        <v>60</v>
      </c>
      <c r="D270">
        <v>448.9</v>
      </c>
    </row>
    <row r="271" spans="1:4" x14ac:dyDescent="0.45">
      <c r="A271" t="s">
        <v>6</v>
      </c>
      <c r="B271">
        <v>2014</v>
      </c>
      <c r="C271" t="s">
        <v>60</v>
      </c>
      <c r="D271">
        <v>83.49</v>
      </c>
    </row>
    <row r="272" spans="1:4" x14ac:dyDescent="0.45">
      <c r="A272" t="s">
        <v>19</v>
      </c>
      <c r="B272">
        <v>2014</v>
      </c>
      <c r="C272" t="s">
        <v>60</v>
      </c>
      <c r="D272">
        <v>98.57</v>
      </c>
    </row>
    <row r="273" spans="1:4" x14ac:dyDescent="0.45">
      <c r="A273" t="s">
        <v>23</v>
      </c>
      <c r="B273">
        <v>2014</v>
      </c>
      <c r="C273" t="s">
        <v>60</v>
      </c>
      <c r="D273">
        <v>44.84</v>
      </c>
    </row>
    <row r="274" spans="1:4" x14ac:dyDescent="0.45">
      <c r="A274" t="s">
        <v>55</v>
      </c>
      <c r="B274">
        <v>2014</v>
      </c>
      <c r="C274" t="s">
        <v>60</v>
      </c>
      <c r="D274">
        <v>3.63</v>
      </c>
    </row>
    <row r="275" spans="1:4" x14ac:dyDescent="0.45">
      <c r="A275" t="s">
        <v>55</v>
      </c>
      <c r="B275">
        <v>2015</v>
      </c>
      <c r="C275" t="s">
        <v>60</v>
      </c>
      <c r="D275">
        <v>11.85</v>
      </c>
    </row>
    <row r="276" spans="1:4" x14ac:dyDescent="0.45">
      <c r="A276" t="s">
        <v>5</v>
      </c>
      <c r="B276">
        <v>2015</v>
      </c>
      <c r="C276" t="s">
        <v>60</v>
      </c>
      <c r="D276">
        <v>301.70999999999998</v>
      </c>
    </row>
    <row r="277" spans="1:4" x14ac:dyDescent="0.45">
      <c r="A277" t="s">
        <v>8</v>
      </c>
      <c r="B277">
        <v>2015</v>
      </c>
      <c r="C277" t="s">
        <v>60</v>
      </c>
      <c r="D277">
        <v>460.37</v>
      </c>
    </row>
    <row r="278" spans="1:4" x14ac:dyDescent="0.45">
      <c r="A278" t="s">
        <v>6</v>
      </c>
      <c r="B278">
        <v>2015</v>
      </c>
      <c r="C278" t="s">
        <v>60</v>
      </c>
      <c r="D278">
        <v>83.5</v>
      </c>
    </row>
    <row r="279" spans="1:4" x14ac:dyDescent="0.45">
      <c r="A279" t="s">
        <v>19</v>
      </c>
      <c r="B279">
        <v>2015</v>
      </c>
      <c r="C279" t="s">
        <v>60</v>
      </c>
      <c r="D279">
        <v>98.67</v>
      </c>
    </row>
    <row r="280" spans="1:4" x14ac:dyDescent="0.45">
      <c r="A280" t="s">
        <v>23</v>
      </c>
      <c r="B280">
        <v>2015</v>
      </c>
      <c r="C280" t="s">
        <v>60</v>
      </c>
      <c r="D280">
        <v>39.42</v>
      </c>
    </row>
    <row r="281" spans="1:4" x14ac:dyDescent="0.45">
      <c r="A281" t="s">
        <v>55</v>
      </c>
      <c r="B281">
        <v>2015</v>
      </c>
      <c r="C281" t="s">
        <v>60</v>
      </c>
      <c r="D281">
        <v>3.67</v>
      </c>
    </row>
    <row r="282" spans="1:4" x14ac:dyDescent="0.45">
      <c r="A282" t="s">
        <v>55</v>
      </c>
      <c r="B282">
        <v>2016</v>
      </c>
      <c r="C282" t="s">
        <v>60</v>
      </c>
      <c r="D282">
        <v>11.78</v>
      </c>
    </row>
    <row r="283" spans="1:4" x14ac:dyDescent="0.45">
      <c r="A283" t="s">
        <v>5</v>
      </c>
      <c r="B283">
        <v>2016</v>
      </c>
      <c r="C283" t="s">
        <v>60</v>
      </c>
      <c r="D283">
        <v>285.75</v>
      </c>
    </row>
    <row r="284" spans="1:4" x14ac:dyDescent="0.45">
      <c r="A284" t="s">
        <v>8</v>
      </c>
      <c r="B284">
        <v>2016</v>
      </c>
      <c r="C284" t="s">
        <v>60</v>
      </c>
      <c r="D284">
        <v>473.01</v>
      </c>
    </row>
    <row r="285" spans="1:4" x14ac:dyDescent="0.45">
      <c r="A285" t="s">
        <v>6</v>
      </c>
      <c r="B285">
        <v>2016</v>
      </c>
      <c r="C285" t="s">
        <v>60</v>
      </c>
      <c r="D285">
        <v>83.82</v>
      </c>
    </row>
    <row r="286" spans="1:4" x14ac:dyDescent="0.45">
      <c r="A286" t="s">
        <v>19</v>
      </c>
      <c r="B286">
        <v>2016</v>
      </c>
      <c r="C286" t="s">
        <v>60</v>
      </c>
      <c r="D286">
        <v>99.56</v>
      </c>
    </row>
    <row r="287" spans="1:4" x14ac:dyDescent="0.45">
      <c r="A287" t="s">
        <v>23</v>
      </c>
      <c r="B287">
        <v>2016</v>
      </c>
      <c r="C287" t="s">
        <v>60</v>
      </c>
      <c r="D287">
        <v>36.92</v>
      </c>
    </row>
    <row r="288" spans="1:4" x14ac:dyDescent="0.45">
      <c r="A288" t="s">
        <v>55</v>
      </c>
      <c r="B288">
        <v>2016</v>
      </c>
      <c r="C288" t="s">
        <v>60</v>
      </c>
      <c r="D288">
        <v>3.64</v>
      </c>
    </row>
    <row r="289" spans="1:4" x14ac:dyDescent="0.45">
      <c r="A289" t="s">
        <v>55</v>
      </c>
      <c r="B289">
        <v>2017</v>
      </c>
      <c r="C289" t="s">
        <v>60</v>
      </c>
      <c r="D289">
        <v>11.72</v>
      </c>
    </row>
    <row r="290" spans="1:4" x14ac:dyDescent="0.45">
      <c r="A290" t="s">
        <v>5</v>
      </c>
      <c r="B290">
        <v>2017</v>
      </c>
      <c r="C290" t="s">
        <v>60</v>
      </c>
      <c r="D290">
        <v>276.88</v>
      </c>
    </row>
    <row r="291" spans="1:4" x14ac:dyDescent="0.45">
      <c r="A291" t="s">
        <v>8</v>
      </c>
      <c r="B291">
        <v>2017</v>
      </c>
      <c r="C291" t="s">
        <v>60</v>
      </c>
      <c r="D291">
        <v>484.89</v>
      </c>
    </row>
    <row r="292" spans="1:4" x14ac:dyDescent="0.45">
      <c r="A292" t="s">
        <v>6</v>
      </c>
      <c r="B292">
        <v>2017</v>
      </c>
      <c r="C292" t="s">
        <v>60</v>
      </c>
      <c r="D292">
        <v>83.79</v>
      </c>
    </row>
    <row r="293" spans="1:4" x14ac:dyDescent="0.45">
      <c r="A293" t="s">
        <v>19</v>
      </c>
      <c r="B293">
        <v>2017</v>
      </c>
      <c r="C293" t="s">
        <v>60</v>
      </c>
      <c r="D293">
        <v>99.63</v>
      </c>
    </row>
    <row r="294" spans="1:4" x14ac:dyDescent="0.45">
      <c r="A294" t="s">
        <v>23</v>
      </c>
      <c r="B294">
        <v>2017</v>
      </c>
      <c r="C294" t="s">
        <v>60</v>
      </c>
      <c r="D294">
        <v>36.6</v>
      </c>
    </row>
    <row r="295" spans="1:4" x14ac:dyDescent="0.45">
      <c r="A295" t="s">
        <v>55</v>
      </c>
      <c r="B295">
        <v>2017</v>
      </c>
      <c r="C295" t="s">
        <v>60</v>
      </c>
      <c r="D295">
        <v>3.61</v>
      </c>
    </row>
    <row r="296" spans="1:4" x14ac:dyDescent="0.45">
      <c r="A296" t="s">
        <v>55</v>
      </c>
      <c r="B296">
        <v>2018</v>
      </c>
      <c r="C296" t="s">
        <v>60</v>
      </c>
      <c r="D296">
        <v>11.5</v>
      </c>
    </row>
    <row r="297" spans="1:4" x14ac:dyDescent="0.45">
      <c r="A297" t="s">
        <v>5</v>
      </c>
      <c r="B297">
        <v>2018</v>
      </c>
      <c r="C297" t="s">
        <v>60</v>
      </c>
      <c r="D297">
        <v>260.95</v>
      </c>
    </row>
    <row r="298" spans="1:4" x14ac:dyDescent="0.45">
      <c r="A298" t="s">
        <v>8</v>
      </c>
      <c r="B298">
        <v>2018</v>
      </c>
      <c r="C298" t="s">
        <v>60</v>
      </c>
      <c r="D298">
        <v>509.07</v>
      </c>
    </row>
    <row r="299" spans="1:4" x14ac:dyDescent="0.45">
      <c r="A299" t="s">
        <v>6</v>
      </c>
      <c r="B299">
        <v>2018</v>
      </c>
      <c r="C299" t="s">
        <v>60</v>
      </c>
      <c r="D299">
        <v>83.88</v>
      </c>
    </row>
    <row r="300" spans="1:4" x14ac:dyDescent="0.45">
      <c r="A300" t="s">
        <v>19</v>
      </c>
      <c r="B300">
        <v>2018</v>
      </c>
      <c r="C300" t="s">
        <v>60</v>
      </c>
      <c r="D300">
        <v>99.43</v>
      </c>
    </row>
    <row r="301" spans="1:4" x14ac:dyDescent="0.45">
      <c r="A301" t="s">
        <v>23</v>
      </c>
      <c r="B301">
        <v>2018</v>
      </c>
      <c r="C301" t="s">
        <v>60</v>
      </c>
      <c r="D301">
        <v>34.78</v>
      </c>
    </row>
    <row r="302" spans="1:4" x14ac:dyDescent="0.45">
      <c r="A302" t="s">
        <v>55</v>
      </c>
      <c r="B302">
        <v>2018</v>
      </c>
      <c r="C302" t="s">
        <v>60</v>
      </c>
      <c r="D302">
        <v>3.56</v>
      </c>
    </row>
    <row r="303" spans="1:4" x14ac:dyDescent="0.45">
      <c r="A303" t="s">
        <v>55</v>
      </c>
      <c r="B303">
        <v>2019</v>
      </c>
      <c r="C303" t="s">
        <v>60</v>
      </c>
      <c r="D303">
        <v>10.99</v>
      </c>
    </row>
    <row r="304" spans="1:4" x14ac:dyDescent="0.45">
      <c r="A304" t="s">
        <v>5</v>
      </c>
      <c r="B304">
        <v>2019</v>
      </c>
      <c r="C304" t="s">
        <v>60</v>
      </c>
      <c r="D304">
        <v>244.7</v>
      </c>
    </row>
    <row r="305" spans="1:4" x14ac:dyDescent="0.45">
      <c r="A305" t="s">
        <v>8</v>
      </c>
      <c r="B305">
        <v>2019</v>
      </c>
      <c r="C305" t="s">
        <v>60</v>
      </c>
      <c r="D305">
        <v>519.28</v>
      </c>
    </row>
    <row r="306" spans="1:4" x14ac:dyDescent="0.45">
      <c r="A306" t="s">
        <v>6</v>
      </c>
      <c r="B306">
        <v>2019</v>
      </c>
      <c r="C306" t="s">
        <v>60</v>
      </c>
      <c r="D306">
        <v>83.79</v>
      </c>
    </row>
    <row r="307" spans="1:4" x14ac:dyDescent="0.45">
      <c r="A307" t="s">
        <v>19</v>
      </c>
      <c r="B307">
        <v>2019</v>
      </c>
      <c r="C307" t="s">
        <v>60</v>
      </c>
      <c r="D307">
        <v>98.12</v>
      </c>
    </row>
    <row r="308" spans="1:4" x14ac:dyDescent="0.45">
      <c r="A308" t="s">
        <v>23</v>
      </c>
      <c r="B308">
        <v>2019</v>
      </c>
      <c r="C308" t="s">
        <v>60</v>
      </c>
      <c r="D308">
        <v>34.01</v>
      </c>
    </row>
    <row r="309" spans="1:4" x14ac:dyDescent="0.45">
      <c r="A309" t="s">
        <v>55</v>
      </c>
      <c r="B309">
        <v>2019</v>
      </c>
      <c r="C309" t="s">
        <v>60</v>
      </c>
      <c r="D309">
        <v>3.62</v>
      </c>
    </row>
    <row r="310" spans="1:4" x14ac:dyDescent="0.45">
      <c r="A310" t="s">
        <v>55</v>
      </c>
      <c r="B310">
        <v>2020</v>
      </c>
      <c r="C310" t="s">
        <v>60</v>
      </c>
      <c r="D310">
        <v>10.83</v>
      </c>
    </row>
    <row r="311" spans="1:4" x14ac:dyDescent="0.45">
      <c r="A311" t="s">
        <v>5</v>
      </c>
      <c r="B311">
        <v>2020</v>
      </c>
      <c r="C311" t="s">
        <v>60</v>
      </c>
      <c r="D311">
        <v>233.04</v>
      </c>
    </row>
    <row r="312" spans="1:4" x14ac:dyDescent="0.45">
      <c r="A312" t="s">
        <v>8</v>
      </c>
      <c r="B312">
        <v>2020</v>
      </c>
      <c r="C312" t="s">
        <v>60</v>
      </c>
      <c r="D312">
        <v>523.75</v>
      </c>
    </row>
    <row r="313" spans="1:4" x14ac:dyDescent="0.45">
      <c r="A313" t="s">
        <v>6</v>
      </c>
      <c r="B313">
        <v>2020</v>
      </c>
      <c r="C313" t="s">
        <v>60</v>
      </c>
      <c r="D313">
        <v>83.83</v>
      </c>
    </row>
    <row r="314" spans="1:4" x14ac:dyDescent="0.45">
      <c r="A314" t="s">
        <v>19</v>
      </c>
      <c r="B314">
        <v>2020</v>
      </c>
      <c r="C314" t="s">
        <v>60</v>
      </c>
      <c r="D314">
        <v>96.5</v>
      </c>
    </row>
    <row r="315" spans="1:4" x14ac:dyDescent="0.45">
      <c r="A315" t="s">
        <v>23</v>
      </c>
      <c r="B315">
        <v>2020</v>
      </c>
      <c r="C315" t="s">
        <v>60</v>
      </c>
      <c r="D315">
        <v>30.15</v>
      </c>
    </row>
    <row r="316" spans="1:4" x14ac:dyDescent="0.45">
      <c r="A316" t="s">
        <v>55</v>
      </c>
      <c r="B316">
        <v>2020</v>
      </c>
      <c r="C316" t="s">
        <v>60</v>
      </c>
      <c r="D316">
        <v>3.63</v>
      </c>
    </row>
    <row r="317" spans="1:4" x14ac:dyDescent="0.45">
      <c r="A317" t="s">
        <v>55</v>
      </c>
      <c r="B317">
        <v>2021</v>
      </c>
      <c r="C317" t="s">
        <v>60</v>
      </c>
      <c r="D317">
        <v>10.28</v>
      </c>
    </row>
    <row r="318" spans="1:4" x14ac:dyDescent="0.45">
      <c r="A318" t="s">
        <v>5</v>
      </c>
      <c r="B318">
        <v>2021</v>
      </c>
      <c r="C318" t="s">
        <v>60</v>
      </c>
      <c r="D318">
        <v>224.59</v>
      </c>
    </row>
    <row r="319" spans="1:4" x14ac:dyDescent="0.45">
      <c r="A319" t="s">
        <v>8</v>
      </c>
      <c r="B319">
        <v>2021</v>
      </c>
      <c r="C319" t="s">
        <v>60</v>
      </c>
      <c r="D319">
        <v>530.26</v>
      </c>
    </row>
    <row r="320" spans="1:4" x14ac:dyDescent="0.45">
      <c r="A320" t="s">
        <v>6</v>
      </c>
      <c r="B320">
        <v>2021</v>
      </c>
      <c r="C320" t="s">
        <v>60</v>
      </c>
      <c r="D320">
        <v>84.29</v>
      </c>
    </row>
    <row r="321" spans="1:4" x14ac:dyDescent="0.45">
      <c r="A321" t="s">
        <v>19</v>
      </c>
      <c r="B321">
        <v>2021</v>
      </c>
      <c r="C321" t="s">
        <v>60</v>
      </c>
      <c r="D321">
        <v>95.55</v>
      </c>
    </row>
    <row r="322" spans="1:4" x14ac:dyDescent="0.45">
      <c r="A322" t="s">
        <v>23</v>
      </c>
      <c r="B322">
        <v>2021</v>
      </c>
      <c r="C322" t="s">
        <v>60</v>
      </c>
      <c r="D322">
        <v>30.78</v>
      </c>
    </row>
    <row r="323" spans="1:4" x14ac:dyDescent="0.45">
      <c r="A323" t="s">
        <v>55</v>
      </c>
      <c r="B323">
        <v>2021</v>
      </c>
      <c r="C323" t="s">
        <v>60</v>
      </c>
      <c r="D323">
        <v>3.66</v>
      </c>
    </row>
    <row r="324" spans="1:4" x14ac:dyDescent="0.45">
      <c r="A324" t="s">
        <v>55</v>
      </c>
      <c r="B324">
        <v>2022</v>
      </c>
      <c r="C324" t="s">
        <v>60</v>
      </c>
      <c r="D324">
        <v>10.08</v>
      </c>
    </row>
    <row r="325" spans="1:4" x14ac:dyDescent="0.45">
      <c r="A325" t="s">
        <v>5</v>
      </c>
      <c r="B325">
        <v>2022</v>
      </c>
      <c r="C325" t="s">
        <v>60</v>
      </c>
      <c r="D325">
        <v>209.94</v>
      </c>
    </row>
    <row r="326" spans="1:4" x14ac:dyDescent="0.45">
      <c r="A326" t="s">
        <v>8</v>
      </c>
      <c r="B326">
        <v>2022</v>
      </c>
      <c r="C326" t="s">
        <v>60</v>
      </c>
      <c r="D326">
        <v>535.49</v>
      </c>
    </row>
    <row r="327" spans="1:4" x14ac:dyDescent="0.45">
      <c r="A327" t="s">
        <v>6</v>
      </c>
      <c r="B327">
        <v>2022</v>
      </c>
      <c r="C327" t="s">
        <v>60</v>
      </c>
      <c r="D327">
        <v>86.63</v>
      </c>
    </row>
    <row r="328" spans="1:4" x14ac:dyDescent="0.45">
      <c r="A328" t="s">
        <v>19</v>
      </c>
      <c r="B328">
        <v>2022</v>
      </c>
      <c r="C328" t="s">
        <v>60</v>
      </c>
      <c r="D328">
        <v>94.66</v>
      </c>
    </row>
    <row r="329" spans="1:4" x14ac:dyDescent="0.45">
      <c r="A329" t="s">
        <v>23</v>
      </c>
      <c r="B329">
        <v>2022</v>
      </c>
      <c r="C329" t="s">
        <v>60</v>
      </c>
      <c r="D329">
        <v>33.18</v>
      </c>
    </row>
    <row r="330" spans="1:4" x14ac:dyDescent="0.45">
      <c r="A330" t="s">
        <v>55</v>
      </c>
      <c r="B330">
        <v>2022</v>
      </c>
      <c r="C330" t="s">
        <v>60</v>
      </c>
      <c r="D330">
        <v>3.67</v>
      </c>
    </row>
    <row r="331" spans="1:4" x14ac:dyDescent="0.45">
      <c r="A331" t="s">
        <v>55</v>
      </c>
      <c r="B331">
        <v>2023</v>
      </c>
      <c r="C331" t="s">
        <v>60</v>
      </c>
      <c r="D331">
        <v>9.9600000000000009</v>
      </c>
    </row>
    <row r="332" spans="1:4" x14ac:dyDescent="0.45">
      <c r="A332" t="s">
        <v>5</v>
      </c>
      <c r="B332">
        <v>2023</v>
      </c>
      <c r="C332" t="s">
        <v>60</v>
      </c>
      <c r="D332">
        <v>200.28</v>
      </c>
    </row>
    <row r="333" spans="1:4" x14ac:dyDescent="0.45">
      <c r="A333" t="s">
        <v>8</v>
      </c>
      <c r="B333">
        <v>2023</v>
      </c>
      <c r="C333" t="s">
        <v>60</v>
      </c>
      <c r="D333">
        <v>542.92999999999995</v>
      </c>
    </row>
    <row r="334" spans="1:4" x14ac:dyDescent="0.45">
      <c r="A334" t="s">
        <v>6</v>
      </c>
      <c r="B334">
        <v>2023</v>
      </c>
      <c r="C334" t="s">
        <v>60</v>
      </c>
      <c r="D334">
        <v>86.66</v>
      </c>
    </row>
    <row r="335" spans="1:4" x14ac:dyDescent="0.45">
      <c r="A335" t="s">
        <v>19</v>
      </c>
      <c r="B335">
        <v>2023</v>
      </c>
      <c r="C335" t="s">
        <v>60</v>
      </c>
      <c r="D335">
        <v>95.77</v>
      </c>
    </row>
    <row r="336" spans="1:4" x14ac:dyDescent="0.45">
      <c r="A336" t="s">
        <v>23</v>
      </c>
      <c r="B336">
        <v>2023</v>
      </c>
      <c r="C336" t="s">
        <v>60</v>
      </c>
      <c r="D336">
        <v>32.159999999999997</v>
      </c>
    </row>
    <row r="337" spans="1:4" x14ac:dyDescent="0.45">
      <c r="A337" t="s">
        <v>55</v>
      </c>
      <c r="B337">
        <v>2023</v>
      </c>
      <c r="C337" t="s">
        <v>60</v>
      </c>
      <c r="D337">
        <v>3.7</v>
      </c>
    </row>
    <row r="338" spans="1:4" x14ac:dyDescent="0.45">
      <c r="A338" t="s">
        <v>55</v>
      </c>
      <c r="B338">
        <v>2000</v>
      </c>
      <c r="C338" t="s">
        <v>61</v>
      </c>
      <c r="D338">
        <v>13.13</v>
      </c>
    </row>
    <row r="339" spans="1:4" x14ac:dyDescent="0.45">
      <c r="A339" t="s">
        <v>5</v>
      </c>
      <c r="B339">
        <v>2000</v>
      </c>
      <c r="C339" t="s">
        <v>61</v>
      </c>
      <c r="D339">
        <v>1760.68</v>
      </c>
    </row>
    <row r="340" spans="1:4" x14ac:dyDescent="0.45">
      <c r="A340" t="s">
        <v>8</v>
      </c>
      <c r="B340">
        <v>2000</v>
      </c>
      <c r="C340" t="s">
        <v>61</v>
      </c>
      <c r="D340">
        <v>310.61</v>
      </c>
    </row>
    <row r="341" spans="1:4" x14ac:dyDescent="0.45">
      <c r="A341" t="s">
        <v>6</v>
      </c>
      <c r="B341">
        <v>2000</v>
      </c>
      <c r="C341" t="s">
        <v>61</v>
      </c>
      <c r="D341">
        <v>6.42</v>
      </c>
    </row>
    <row r="342" spans="1:4" x14ac:dyDescent="0.45">
      <c r="A342" t="s">
        <v>19</v>
      </c>
      <c r="B342">
        <v>2000</v>
      </c>
      <c r="C342" t="s">
        <v>61</v>
      </c>
      <c r="D342">
        <v>3.84</v>
      </c>
    </row>
    <row r="343" spans="1:4" x14ac:dyDescent="0.45">
      <c r="A343" t="s">
        <v>23</v>
      </c>
      <c r="B343">
        <v>2000</v>
      </c>
      <c r="C343" t="s">
        <v>61</v>
      </c>
      <c r="D343">
        <v>76.34</v>
      </c>
    </row>
    <row r="344" spans="1:4" x14ac:dyDescent="0.45">
      <c r="A344" t="s">
        <v>55</v>
      </c>
      <c r="B344">
        <v>2000</v>
      </c>
      <c r="C344" t="s">
        <v>61</v>
      </c>
      <c r="D344">
        <v>0.53</v>
      </c>
    </row>
    <row r="345" spans="1:4" x14ac:dyDescent="0.45">
      <c r="A345" t="s">
        <v>9</v>
      </c>
      <c r="B345">
        <v>2000</v>
      </c>
      <c r="C345" t="s">
        <v>61</v>
      </c>
      <c r="D345">
        <v>0.02</v>
      </c>
    </row>
    <row r="346" spans="1:4" x14ac:dyDescent="0.45">
      <c r="A346" t="s">
        <v>91</v>
      </c>
      <c r="B346">
        <v>2000</v>
      </c>
      <c r="C346" t="s">
        <v>61</v>
      </c>
      <c r="D346">
        <v>0.05</v>
      </c>
    </row>
    <row r="347" spans="1:4" x14ac:dyDescent="0.45">
      <c r="A347" t="s">
        <v>55</v>
      </c>
      <c r="B347">
        <v>2001</v>
      </c>
      <c r="C347" t="s">
        <v>61</v>
      </c>
      <c r="D347">
        <v>10.76</v>
      </c>
    </row>
    <row r="348" spans="1:4" x14ac:dyDescent="0.45">
      <c r="A348" t="s">
        <v>5</v>
      </c>
      <c r="B348">
        <v>2001</v>
      </c>
      <c r="C348" t="s">
        <v>61</v>
      </c>
      <c r="D348">
        <v>1705.02</v>
      </c>
    </row>
    <row r="349" spans="1:4" x14ac:dyDescent="0.45">
      <c r="A349" t="s">
        <v>8</v>
      </c>
      <c r="B349">
        <v>2001</v>
      </c>
      <c r="C349" t="s">
        <v>61</v>
      </c>
      <c r="D349">
        <v>322.8</v>
      </c>
    </row>
    <row r="350" spans="1:4" x14ac:dyDescent="0.45">
      <c r="A350" t="s">
        <v>6</v>
      </c>
      <c r="B350">
        <v>2001</v>
      </c>
      <c r="C350" t="s">
        <v>61</v>
      </c>
      <c r="D350">
        <v>4.95</v>
      </c>
    </row>
    <row r="351" spans="1:4" x14ac:dyDescent="0.45">
      <c r="A351" t="s">
        <v>19</v>
      </c>
      <c r="B351">
        <v>2001</v>
      </c>
      <c r="C351" t="s">
        <v>61</v>
      </c>
      <c r="D351">
        <v>3.91</v>
      </c>
    </row>
    <row r="352" spans="1:4" x14ac:dyDescent="0.45">
      <c r="A352" t="s">
        <v>23</v>
      </c>
      <c r="B352">
        <v>2001</v>
      </c>
      <c r="C352" t="s">
        <v>61</v>
      </c>
      <c r="D352">
        <v>89.22</v>
      </c>
    </row>
    <row r="353" spans="1:4" x14ac:dyDescent="0.45">
      <c r="A353" t="s">
        <v>55</v>
      </c>
      <c r="B353">
        <v>2001</v>
      </c>
      <c r="C353" t="s">
        <v>61</v>
      </c>
      <c r="D353">
        <v>0.56000000000000005</v>
      </c>
    </row>
    <row r="354" spans="1:4" x14ac:dyDescent="0.45">
      <c r="A354" t="s">
        <v>9</v>
      </c>
      <c r="B354">
        <v>2001</v>
      </c>
      <c r="C354" t="s">
        <v>61</v>
      </c>
      <c r="D354">
        <v>0.03</v>
      </c>
    </row>
    <row r="355" spans="1:4" x14ac:dyDescent="0.45">
      <c r="A355" t="s">
        <v>91</v>
      </c>
      <c r="B355">
        <v>2001</v>
      </c>
      <c r="C355" t="s">
        <v>61</v>
      </c>
      <c r="D355">
        <v>0.06</v>
      </c>
    </row>
    <row r="356" spans="1:4" x14ac:dyDescent="0.45">
      <c r="A356" t="s">
        <v>55</v>
      </c>
      <c r="B356">
        <v>2002</v>
      </c>
      <c r="C356" t="s">
        <v>61</v>
      </c>
      <c r="D356">
        <v>11.61</v>
      </c>
    </row>
    <row r="357" spans="1:4" x14ac:dyDescent="0.45">
      <c r="A357" t="s">
        <v>5</v>
      </c>
      <c r="B357">
        <v>2002</v>
      </c>
      <c r="C357" t="s">
        <v>61</v>
      </c>
      <c r="D357">
        <v>1731.28</v>
      </c>
    </row>
    <row r="358" spans="1:4" x14ac:dyDescent="0.45">
      <c r="A358" t="s">
        <v>8</v>
      </c>
      <c r="B358">
        <v>2002</v>
      </c>
      <c r="C358" t="s">
        <v>61</v>
      </c>
      <c r="D358">
        <v>349</v>
      </c>
    </row>
    <row r="359" spans="1:4" x14ac:dyDescent="0.45">
      <c r="A359" t="s">
        <v>6</v>
      </c>
      <c r="B359">
        <v>2002</v>
      </c>
      <c r="C359" t="s">
        <v>61</v>
      </c>
      <c r="D359">
        <v>6.07</v>
      </c>
    </row>
    <row r="360" spans="1:4" x14ac:dyDescent="0.45">
      <c r="A360" t="s">
        <v>19</v>
      </c>
      <c r="B360">
        <v>2002</v>
      </c>
      <c r="C360" t="s">
        <v>61</v>
      </c>
      <c r="D360">
        <v>3.97</v>
      </c>
    </row>
    <row r="361" spans="1:4" x14ac:dyDescent="0.45">
      <c r="A361" t="s">
        <v>23</v>
      </c>
      <c r="B361">
        <v>2002</v>
      </c>
      <c r="C361" t="s">
        <v>61</v>
      </c>
      <c r="D361">
        <v>68.23</v>
      </c>
    </row>
    <row r="362" spans="1:4" x14ac:dyDescent="0.45">
      <c r="A362" t="s">
        <v>55</v>
      </c>
      <c r="B362">
        <v>2002</v>
      </c>
      <c r="C362" t="s">
        <v>61</v>
      </c>
      <c r="D362">
        <v>0.61</v>
      </c>
    </row>
    <row r="363" spans="1:4" x14ac:dyDescent="0.45">
      <c r="A363" t="s">
        <v>9</v>
      </c>
      <c r="B363">
        <v>2002</v>
      </c>
      <c r="C363" t="s">
        <v>61</v>
      </c>
      <c r="D363">
        <v>0.03</v>
      </c>
    </row>
    <row r="364" spans="1:4" x14ac:dyDescent="0.45">
      <c r="A364" t="s">
        <v>91</v>
      </c>
      <c r="B364">
        <v>2002</v>
      </c>
      <c r="C364" t="s">
        <v>61</v>
      </c>
      <c r="D364">
        <v>0.09</v>
      </c>
    </row>
    <row r="365" spans="1:4" x14ac:dyDescent="0.45">
      <c r="A365" t="s">
        <v>55</v>
      </c>
      <c r="B365">
        <v>2003</v>
      </c>
      <c r="C365" t="s">
        <v>61</v>
      </c>
      <c r="D365">
        <v>11.53</v>
      </c>
    </row>
    <row r="366" spans="1:4" x14ac:dyDescent="0.45">
      <c r="A366" t="s">
        <v>5</v>
      </c>
      <c r="B366">
        <v>2003</v>
      </c>
      <c r="C366" t="s">
        <v>61</v>
      </c>
      <c r="D366">
        <v>1767.63</v>
      </c>
    </row>
    <row r="367" spans="1:4" x14ac:dyDescent="0.45">
      <c r="A367" t="s">
        <v>8</v>
      </c>
      <c r="B367">
        <v>2003</v>
      </c>
      <c r="C367" t="s">
        <v>61</v>
      </c>
      <c r="D367">
        <v>328.25</v>
      </c>
    </row>
    <row r="368" spans="1:4" x14ac:dyDescent="0.45">
      <c r="A368" t="s">
        <v>6</v>
      </c>
      <c r="B368">
        <v>2003</v>
      </c>
      <c r="C368" t="s">
        <v>61</v>
      </c>
      <c r="D368">
        <v>6.35</v>
      </c>
    </row>
    <row r="369" spans="1:4" x14ac:dyDescent="0.45">
      <c r="A369" t="s">
        <v>19</v>
      </c>
      <c r="B369">
        <v>2003</v>
      </c>
      <c r="C369" t="s">
        <v>61</v>
      </c>
      <c r="D369">
        <v>3.89</v>
      </c>
    </row>
    <row r="370" spans="1:4" x14ac:dyDescent="0.45">
      <c r="A370" t="s">
        <v>23</v>
      </c>
      <c r="B370">
        <v>2003</v>
      </c>
      <c r="C370" t="s">
        <v>61</v>
      </c>
      <c r="D370">
        <v>87.11</v>
      </c>
    </row>
    <row r="371" spans="1:4" x14ac:dyDescent="0.45">
      <c r="A371" t="s">
        <v>55</v>
      </c>
      <c r="B371">
        <v>2003</v>
      </c>
      <c r="C371" t="s">
        <v>61</v>
      </c>
      <c r="D371">
        <v>0.63</v>
      </c>
    </row>
    <row r="372" spans="1:4" x14ac:dyDescent="0.45">
      <c r="A372" t="s">
        <v>9</v>
      </c>
      <c r="B372">
        <v>2003</v>
      </c>
      <c r="C372" t="s">
        <v>61</v>
      </c>
      <c r="D372">
        <v>0.03</v>
      </c>
    </row>
    <row r="373" spans="1:4" x14ac:dyDescent="0.45">
      <c r="A373" t="s">
        <v>91</v>
      </c>
      <c r="B373">
        <v>2003</v>
      </c>
      <c r="C373" t="s">
        <v>61</v>
      </c>
      <c r="D373">
        <v>0.09</v>
      </c>
    </row>
    <row r="374" spans="1:4" x14ac:dyDescent="0.45">
      <c r="A374" t="s">
        <v>55</v>
      </c>
      <c r="B374">
        <v>2004</v>
      </c>
      <c r="C374" t="s">
        <v>61</v>
      </c>
      <c r="D374">
        <v>11.58</v>
      </c>
    </row>
    <row r="375" spans="1:4" x14ac:dyDescent="0.45">
      <c r="A375" t="s">
        <v>5</v>
      </c>
      <c r="B375">
        <v>2004</v>
      </c>
      <c r="C375" t="s">
        <v>61</v>
      </c>
      <c r="D375">
        <v>1771.68</v>
      </c>
    </row>
    <row r="376" spans="1:4" x14ac:dyDescent="0.45">
      <c r="A376" t="s">
        <v>8</v>
      </c>
      <c r="B376">
        <v>2004</v>
      </c>
      <c r="C376" t="s">
        <v>61</v>
      </c>
      <c r="D376">
        <v>358.65</v>
      </c>
    </row>
    <row r="377" spans="1:4" x14ac:dyDescent="0.45">
      <c r="A377" t="s">
        <v>6</v>
      </c>
      <c r="B377">
        <v>2004</v>
      </c>
      <c r="C377" t="s">
        <v>61</v>
      </c>
      <c r="D377">
        <v>6.18</v>
      </c>
    </row>
    <row r="378" spans="1:4" x14ac:dyDescent="0.45">
      <c r="A378" t="s">
        <v>19</v>
      </c>
      <c r="B378">
        <v>2004</v>
      </c>
      <c r="C378" t="s">
        <v>61</v>
      </c>
      <c r="D378">
        <v>4.01</v>
      </c>
    </row>
    <row r="379" spans="1:4" x14ac:dyDescent="0.45">
      <c r="A379" t="s">
        <v>23</v>
      </c>
      <c r="B379">
        <v>2004</v>
      </c>
      <c r="C379" t="s">
        <v>61</v>
      </c>
      <c r="D379">
        <v>85.46</v>
      </c>
    </row>
    <row r="380" spans="1:4" x14ac:dyDescent="0.45">
      <c r="A380" t="s">
        <v>55</v>
      </c>
      <c r="B380">
        <v>2004</v>
      </c>
      <c r="C380" t="s">
        <v>61</v>
      </c>
      <c r="D380">
        <v>0.64</v>
      </c>
    </row>
    <row r="381" spans="1:4" x14ac:dyDescent="0.45">
      <c r="A381" t="s">
        <v>9</v>
      </c>
      <c r="B381">
        <v>2004</v>
      </c>
      <c r="C381" t="s">
        <v>61</v>
      </c>
      <c r="D381">
        <v>0.03</v>
      </c>
    </row>
    <row r="382" spans="1:4" x14ac:dyDescent="0.45">
      <c r="A382" t="s">
        <v>91</v>
      </c>
      <c r="B382">
        <v>2004</v>
      </c>
      <c r="C382" t="s">
        <v>61</v>
      </c>
      <c r="D382">
        <v>0.12</v>
      </c>
    </row>
    <row r="383" spans="1:4" x14ac:dyDescent="0.45">
      <c r="A383" t="s">
        <v>55</v>
      </c>
      <c r="B383">
        <v>2005</v>
      </c>
      <c r="C383" t="s">
        <v>61</v>
      </c>
      <c r="D383">
        <v>11.74</v>
      </c>
    </row>
    <row r="384" spans="1:4" x14ac:dyDescent="0.45">
      <c r="A384" t="s">
        <v>5</v>
      </c>
      <c r="B384">
        <v>2005</v>
      </c>
      <c r="C384" t="s">
        <v>61</v>
      </c>
      <c r="D384">
        <v>1802.65</v>
      </c>
    </row>
    <row r="385" spans="1:4" x14ac:dyDescent="0.45">
      <c r="A385" t="s">
        <v>8</v>
      </c>
      <c r="B385">
        <v>2005</v>
      </c>
      <c r="C385" t="s">
        <v>61</v>
      </c>
      <c r="D385">
        <v>384.33</v>
      </c>
    </row>
    <row r="386" spans="1:4" x14ac:dyDescent="0.45">
      <c r="A386" t="s">
        <v>6</v>
      </c>
      <c r="B386">
        <v>2005</v>
      </c>
      <c r="C386" t="s">
        <v>61</v>
      </c>
      <c r="D386">
        <v>6.27</v>
      </c>
    </row>
    <row r="387" spans="1:4" x14ac:dyDescent="0.45">
      <c r="A387" t="s">
        <v>19</v>
      </c>
      <c r="B387">
        <v>2005</v>
      </c>
      <c r="C387" t="s">
        <v>61</v>
      </c>
      <c r="D387">
        <v>3.98</v>
      </c>
    </row>
    <row r="388" spans="1:4" x14ac:dyDescent="0.45">
      <c r="A388" t="s">
        <v>23</v>
      </c>
      <c r="B388">
        <v>2005</v>
      </c>
      <c r="C388" t="s">
        <v>61</v>
      </c>
      <c r="D388">
        <v>82.99</v>
      </c>
    </row>
    <row r="389" spans="1:4" x14ac:dyDescent="0.45">
      <c r="A389" t="s">
        <v>55</v>
      </c>
      <c r="B389">
        <v>2005</v>
      </c>
      <c r="C389" t="s">
        <v>61</v>
      </c>
      <c r="D389">
        <v>0.63</v>
      </c>
    </row>
    <row r="390" spans="1:4" x14ac:dyDescent="0.45">
      <c r="A390" t="s">
        <v>9</v>
      </c>
      <c r="B390">
        <v>2005</v>
      </c>
      <c r="C390" t="s">
        <v>61</v>
      </c>
      <c r="D390">
        <v>0.03</v>
      </c>
    </row>
    <row r="391" spans="1:4" x14ac:dyDescent="0.45">
      <c r="A391" t="s">
        <v>91</v>
      </c>
      <c r="B391">
        <v>2005</v>
      </c>
      <c r="C391" t="s">
        <v>61</v>
      </c>
      <c r="D391">
        <v>0.15</v>
      </c>
    </row>
    <row r="392" spans="1:4" x14ac:dyDescent="0.45">
      <c r="A392" t="s">
        <v>55</v>
      </c>
      <c r="B392">
        <v>2006</v>
      </c>
      <c r="C392" t="s">
        <v>61</v>
      </c>
      <c r="D392">
        <v>11.86</v>
      </c>
    </row>
    <row r="393" spans="1:4" x14ac:dyDescent="0.45">
      <c r="A393" t="s">
        <v>5</v>
      </c>
      <c r="B393">
        <v>2006</v>
      </c>
      <c r="C393" t="s">
        <v>61</v>
      </c>
      <c r="D393">
        <v>1782.66</v>
      </c>
    </row>
    <row r="394" spans="1:4" x14ac:dyDescent="0.45">
      <c r="A394" t="s">
        <v>8</v>
      </c>
      <c r="B394">
        <v>2006</v>
      </c>
      <c r="C394" t="s">
        <v>61</v>
      </c>
      <c r="D394">
        <v>412.35</v>
      </c>
    </row>
    <row r="395" spans="1:4" x14ac:dyDescent="0.45">
      <c r="A395" t="s">
        <v>6</v>
      </c>
      <c r="B395">
        <v>2006</v>
      </c>
      <c r="C395" t="s">
        <v>61</v>
      </c>
      <c r="D395">
        <v>6.72</v>
      </c>
    </row>
    <row r="396" spans="1:4" x14ac:dyDescent="0.45">
      <c r="A396" t="s">
        <v>19</v>
      </c>
      <c r="B396">
        <v>2006</v>
      </c>
      <c r="C396" t="s">
        <v>61</v>
      </c>
      <c r="D396">
        <v>4.01</v>
      </c>
    </row>
    <row r="397" spans="1:4" x14ac:dyDescent="0.45">
      <c r="A397" t="s">
        <v>23</v>
      </c>
      <c r="B397">
        <v>2006</v>
      </c>
      <c r="C397" t="s">
        <v>61</v>
      </c>
      <c r="D397">
        <v>47.12</v>
      </c>
    </row>
    <row r="398" spans="1:4" x14ac:dyDescent="0.45">
      <c r="A398" t="s">
        <v>55</v>
      </c>
      <c r="B398">
        <v>2006</v>
      </c>
      <c r="C398" t="s">
        <v>61</v>
      </c>
      <c r="D398">
        <v>0.62</v>
      </c>
    </row>
    <row r="399" spans="1:4" x14ac:dyDescent="0.45">
      <c r="A399" t="s">
        <v>9</v>
      </c>
      <c r="B399">
        <v>2006</v>
      </c>
      <c r="C399" t="s">
        <v>61</v>
      </c>
      <c r="D399">
        <v>0.02</v>
      </c>
    </row>
    <row r="400" spans="1:4" x14ac:dyDescent="0.45">
      <c r="A400" t="s">
        <v>91</v>
      </c>
      <c r="B400">
        <v>2006</v>
      </c>
      <c r="C400" t="s">
        <v>61</v>
      </c>
      <c r="D400">
        <v>0.22</v>
      </c>
    </row>
    <row r="401" spans="1:4" x14ac:dyDescent="0.45">
      <c r="A401" t="s">
        <v>55</v>
      </c>
      <c r="B401">
        <v>2007</v>
      </c>
      <c r="C401" t="s">
        <v>61</v>
      </c>
      <c r="D401">
        <v>12.01</v>
      </c>
    </row>
    <row r="402" spans="1:4" x14ac:dyDescent="0.45">
      <c r="A402" t="s">
        <v>5</v>
      </c>
      <c r="B402">
        <v>2007</v>
      </c>
      <c r="C402" t="s">
        <v>61</v>
      </c>
      <c r="D402">
        <v>1805.74</v>
      </c>
    </row>
    <row r="403" spans="1:4" x14ac:dyDescent="0.45">
      <c r="A403" t="s">
        <v>8</v>
      </c>
      <c r="B403">
        <v>2007</v>
      </c>
      <c r="C403" t="s">
        <v>61</v>
      </c>
      <c r="D403">
        <v>452.84</v>
      </c>
    </row>
    <row r="404" spans="1:4" x14ac:dyDescent="0.45">
      <c r="A404" t="s">
        <v>6</v>
      </c>
      <c r="B404">
        <v>2007</v>
      </c>
      <c r="C404" t="s">
        <v>61</v>
      </c>
      <c r="D404">
        <v>5.72</v>
      </c>
    </row>
    <row r="405" spans="1:4" x14ac:dyDescent="0.45">
      <c r="A405" t="s">
        <v>19</v>
      </c>
      <c r="B405">
        <v>2007</v>
      </c>
      <c r="C405" t="s">
        <v>61</v>
      </c>
      <c r="D405">
        <v>4.0999999999999996</v>
      </c>
    </row>
    <row r="406" spans="1:4" x14ac:dyDescent="0.45">
      <c r="A406" t="s">
        <v>23</v>
      </c>
      <c r="B406">
        <v>2007</v>
      </c>
      <c r="C406" t="s">
        <v>61</v>
      </c>
      <c r="D406">
        <v>49.48</v>
      </c>
    </row>
    <row r="407" spans="1:4" x14ac:dyDescent="0.45">
      <c r="A407" t="s">
        <v>55</v>
      </c>
      <c r="B407">
        <v>2007</v>
      </c>
      <c r="C407" t="s">
        <v>61</v>
      </c>
      <c r="D407">
        <v>0.63</v>
      </c>
    </row>
    <row r="408" spans="1:4" x14ac:dyDescent="0.45">
      <c r="A408" t="s">
        <v>9</v>
      </c>
      <c r="B408">
        <v>2007</v>
      </c>
      <c r="C408" t="s">
        <v>61</v>
      </c>
      <c r="D408">
        <v>0.03</v>
      </c>
    </row>
    <row r="409" spans="1:4" x14ac:dyDescent="0.45">
      <c r="A409" t="s">
        <v>91</v>
      </c>
      <c r="B409">
        <v>2007</v>
      </c>
      <c r="C409" t="s">
        <v>61</v>
      </c>
      <c r="D409">
        <v>0.28999999999999998</v>
      </c>
    </row>
    <row r="410" spans="1:4" x14ac:dyDescent="0.45">
      <c r="A410" t="s">
        <v>55</v>
      </c>
      <c r="B410">
        <v>2008</v>
      </c>
      <c r="C410" t="s">
        <v>61</v>
      </c>
      <c r="D410">
        <v>11.9</v>
      </c>
    </row>
    <row r="411" spans="1:4" x14ac:dyDescent="0.45">
      <c r="A411" t="s">
        <v>5</v>
      </c>
      <c r="B411">
        <v>2008</v>
      </c>
      <c r="C411" t="s">
        <v>61</v>
      </c>
      <c r="D411">
        <v>1778.06</v>
      </c>
    </row>
    <row r="412" spans="1:4" x14ac:dyDescent="0.45">
      <c r="A412" t="s">
        <v>8</v>
      </c>
      <c r="B412">
        <v>2008</v>
      </c>
      <c r="C412" t="s">
        <v>61</v>
      </c>
      <c r="D412">
        <v>445.96</v>
      </c>
    </row>
    <row r="413" spans="1:4" x14ac:dyDescent="0.45">
      <c r="A413" t="s">
        <v>6</v>
      </c>
      <c r="B413">
        <v>2008</v>
      </c>
      <c r="C413" t="s">
        <v>61</v>
      </c>
      <c r="D413">
        <v>5.91</v>
      </c>
    </row>
    <row r="414" spans="1:4" x14ac:dyDescent="0.45">
      <c r="A414" t="s">
        <v>19</v>
      </c>
      <c r="B414">
        <v>2008</v>
      </c>
      <c r="C414" t="s">
        <v>61</v>
      </c>
      <c r="D414">
        <v>4.0999999999999996</v>
      </c>
    </row>
    <row r="415" spans="1:4" x14ac:dyDescent="0.45">
      <c r="A415" t="s">
        <v>23</v>
      </c>
      <c r="B415">
        <v>2008</v>
      </c>
      <c r="C415" t="s">
        <v>61</v>
      </c>
      <c r="D415">
        <v>36.47</v>
      </c>
    </row>
    <row r="416" spans="1:4" x14ac:dyDescent="0.45">
      <c r="A416" t="s">
        <v>55</v>
      </c>
      <c r="B416">
        <v>2008</v>
      </c>
      <c r="C416" t="s">
        <v>61</v>
      </c>
      <c r="D416">
        <v>0.65</v>
      </c>
    </row>
    <row r="417" spans="1:4" x14ac:dyDescent="0.45">
      <c r="A417" t="s">
        <v>9</v>
      </c>
      <c r="B417">
        <v>2008</v>
      </c>
      <c r="C417" t="s">
        <v>61</v>
      </c>
      <c r="D417">
        <v>0.04</v>
      </c>
    </row>
    <row r="418" spans="1:4" x14ac:dyDescent="0.45">
      <c r="A418" t="s">
        <v>91</v>
      </c>
      <c r="B418">
        <v>2008</v>
      </c>
      <c r="C418" t="s">
        <v>61</v>
      </c>
      <c r="D418">
        <v>0.47</v>
      </c>
    </row>
    <row r="419" spans="1:4" x14ac:dyDescent="0.45">
      <c r="A419" t="s">
        <v>55</v>
      </c>
      <c r="B419">
        <v>2009</v>
      </c>
      <c r="C419" t="s">
        <v>61</v>
      </c>
      <c r="D419">
        <v>11.78</v>
      </c>
    </row>
    <row r="420" spans="1:4" x14ac:dyDescent="0.45">
      <c r="A420" t="s">
        <v>5</v>
      </c>
      <c r="B420">
        <v>2009</v>
      </c>
      <c r="C420" t="s">
        <v>61</v>
      </c>
      <c r="D420">
        <v>1572.28</v>
      </c>
    </row>
    <row r="421" spans="1:4" x14ac:dyDescent="0.45">
      <c r="A421" t="s">
        <v>8</v>
      </c>
      <c r="B421">
        <v>2009</v>
      </c>
      <c r="C421" t="s">
        <v>61</v>
      </c>
      <c r="D421">
        <v>465.15</v>
      </c>
    </row>
    <row r="422" spans="1:4" x14ac:dyDescent="0.45">
      <c r="A422" t="s">
        <v>6</v>
      </c>
      <c r="B422">
        <v>2009</v>
      </c>
      <c r="C422" t="s">
        <v>61</v>
      </c>
      <c r="D422">
        <v>6.39</v>
      </c>
    </row>
    <row r="423" spans="1:4" x14ac:dyDescent="0.45">
      <c r="A423" t="s">
        <v>19</v>
      </c>
      <c r="B423">
        <v>2009</v>
      </c>
      <c r="C423" t="s">
        <v>61</v>
      </c>
      <c r="D423">
        <v>4.07</v>
      </c>
    </row>
    <row r="424" spans="1:4" x14ac:dyDescent="0.45">
      <c r="A424" t="s">
        <v>23</v>
      </c>
      <c r="B424">
        <v>2009</v>
      </c>
      <c r="C424" t="s">
        <v>61</v>
      </c>
      <c r="D424">
        <v>31.93</v>
      </c>
    </row>
    <row r="425" spans="1:4" x14ac:dyDescent="0.45">
      <c r="A425" t="s">
        <v>55</v>
      </c>
      <c r="B425">
        <v>2009</v>
      </c>
      <c r="C425" t="s">
        <v>61</v>
      </c>
      <c r="D425">
        <v>0.66</v>
      </c>
    </row>
    <row r="426" spans="1:4" x14ac:dyDescent="0.45">
      <c r="A426" t="s">
        <v>9</v>
      </c>
      <c r="B426">
        <v>2009</v>
      </c>
      <c r="C426" t="s">
        <v>61</v>
      </c>
      <c r="D426">
        <v>0.04</v>
      </c>
    </row>
    <row r="427" spans="1:4" x14ac:dyDescent="0.45">
      <c r="A427" t="s">
        <v>91</v>
      </c>
      <c r="B427">
        <v>2009</v>
      </c>
      <c r="C427" t="s">
        <v>61</v>
      </c>
      <c r="D427">
        <v>0.62</v>
      </c>
    </row>
    <row r="428" spans="1:4" x14ac:dyDescent="0.45">
      <c r="A428" t="s">
        <v>55</v>
      </c>
      <c r="B428">
        <v>2010</v>
      </c>
      <c r="C428" t="s">
        <v>61</v>
      </c>
      <c r="D428">
        <v>12.13</v>
      </c>
    </row>
    <row r="429" spans="1:4" x14ac:dyDescent="0.45">
      <c r="A429" t="s">
        <v>5</v>
      </c>
      <c r="B429">
        <v>2010</v>
      </c>
      <c r="C429" t="s">
        <v>61</v>
      </c>
      <c r="D429">
        <v>1653.85</v>
      </c>
    </row>
    <row r="430" spans="1:4" x14ac:dyDescent="0.45">
      <c r="A430" t="s">
        <v>8</v>
      </c>
      <c r="B430">
        <v>2010</v>
      </c>
      <c r="C430" t="s">
        <v>61</v>
      </c>
      <c r="D430">
        <v>498.85</v>
      </c>
    </row>
    <row r="431" spans="1:4" x14ac:dyDescent="0.45">
      <c r="A431" t="s">
        <v>6</v>
      </c>
      <c r="B431">
        <v>2010</v>
      </c>
      <c r="C431" t="s">
        <v>61</v>
      </c>
      <c r="D431">
        <v>6.05</v>
      </c>
    </row>
    <row r="432" spans="1:4" x14ac:dyDescent="0.45">
      <c r="A432" t="s">
        <v>19</v>
      </c>
      <c r="B432">
        <v>2010</v>
      </c>
      <c r="C432" t="s">
        <v>61</v>
      </c>
      <c r="D432">
        <v>4.1100000000000003</v>
      </c>
    </row>
    <row r="433" spans="1:4" x14ac:dyDescent="0.45">
      <c r="A433" t="s">
        <v>23</v>
      </c>
      <c r="B433">
        <v>2010</v>
      </c>
      <c r="C433" t="s">
        <v>61</v>
      </c>
      <c r="D433">
        <v>31.26</v>
      </c>
    </row>
    <row r="434" spans="1:4" x14ac:dyDescent="0.45">
      <c r="A434" t="s">
        <v>55</v>
      </c>
      <c r="B434">
        <v>2010</v>
      </c>
      <c r="C434" t="s">
        <v>61</v>
      </c>
      <c r="D434">
        <v>0.67</v>
      </c>
    </row>
    <row r="435" spans="1:4" x14ac:dyDescent="0.45">
      <c r="A435" t="s">
        <v>9</v>
      </c>
      <c r="B435">
        <v>2010</v>
      </c>
      <c r="C435" t="s">
        <v>61</v>
      </c>
      <c r="D435">
        <v>0.06</v>
      </c>
    </row>
    <row r="436" spans="1:4" x14ac:dyDescent="0.45">
      <c r="A436" t="s">
        <v>91</v>
      </c>
      <c r="B436">
        <v>2010</v>
      </c>
      <c r="C436" t="s">
        <v>61</v>
      </c>
      <c r="D436">
        <v>0.8</v>
      </c>
    </row>
    <row r="437" spans="1:4" x14ac:dyDescent="0.45">
      <c r="A437" t="s">
        <v>55</v>
      </c>
      <c r="B437">
        <v>2011</v>
      </c>
      <c r="C437" t="s">
        <v>61</v>
      </c>
      <c r="D437">
        <v>12.25</v>
      </c>
    </row>
    <row r="438" spans="1:4" x14ac:dyDescent="0.45">
      <c r="A438" t="s">
        <v>5</v>
      </c>
      <c r="B438">
        <v>2011</v>
      </c>
      <c r="C438" t="s">
        <v>61</v>
      </c>
      <c r="D438">
        <v>1551.27</v>
      </c>
    </row>
    <row r="439" spans="1:4" x14ac:dyDescent="0.45">
      <c r="A439" t="s">
        <v>8</v>
      </c>
      <c r="B439">
        <v>2011</v>
      </c>
      <c r="C439" t="s">
        <v>61</v>
      </c>
      <c r="D439">
        <v>511.98</v>
      </c>
    </row>
    <row r="440" spans="1:4" x14ac:dyDescent="0.45">
      <c r="A440" t="s">
        <v>6</v>
      </c>
      <c r="B440">
        <v>2011</v>
      </c>
      <c r="C440" t="s">
        <v>61</v>
      </c>
      <c r="D440">
        <v>7.44</v>
      </c>
    </row>
    <row r="441" spans="1:4" x14ac:dyDescent="0.45">
      <c r="A441" t="s">
        <v>19</v>
      </c>
      <c r="B441">
        <v>2011</v>
      </c>
      <c r="C441" t="s">
        <v>61</v>
      </c>
      <c r="D441">
        <v>4.0199999999999996</v>
      </c>
    </row>
    <row r="442" spans="1:4" x14ac:dyDescent="0.45">
      <c r="A442" t="s">
        <v>23</v>
      </c>
      <c r="B442">
        <v>2011</v>
      </c>
      <c r="C442" t="s">
        <v>61</v>
      </c>
      <c r="D442">
        <v>27.51</v>
      </c>
    </row>
    <row r="443" spans="1:4" x14ac:dyDescent="0.45">
      <c r="A443" t="s">
        <v>55</v>
      </c>
      <c r="B443">
        <v>2011</v>
      </c>
      <c r="C443" t="s">
        <v>61</v>
      </c>
      <c r="D443">
        <v>0.68</v>
      </c>
    </row>
    <row r="444" spans="1:4" x14ac:dyDescent="0.45">
      <c r="A444" t="s">
        <v>9</v>
      </c>
      <c r="B444">
        <v>2011</v>
      </c>
      <c r="C444" t="s">
        <v>61</v>
      </c>
      <c r="D444">
        <v>0.09</v>
      </c>
    </row>
    <row r="445" spans="1:4" x14ac:dyDescent="0.45">
      <c r="A445" t="s">
        <v>91</v>
      </c>
      <c r="B445">
        <v>2011</v>
      </c>
      <c r="C445" t="s">
        <v>61</v>
      </c>
      <c r="D445">
        <v>1.01</v>
      </c>
    </row>
    <row r="446" spans="1:4" x14ac:dyDescent="0.45">
      <c r="A446" t="s">
        <v>55</v>
      </c>
      <c r="B446">
        <v>2012</v>
      </c>
      <c r="C446" t="s">
        <v>61</v>
      </c>
      <c r="D446">
        <v>12.46</v>
      </c>
    </row>
    <row r="447" spans="1:4" x14ac:dyDescent="0.45">
      <c r="A447" t="s">
        <v>5</v>
      </c>
      <c r="B447">
        <v>2012</v>
      </c>
      <c r="C447" t="s">
        <v>61</v>
      </c>
      <c r="D447">
        <v>1354.25</v>
      </c>
    </row>
    <row r="448" spans="1:4" x14ac:dyDescent="0.45">
      <c r="A448" t="s">
        <v>8</v>
      </c>
      <c r="B448">
        <v>2012</v>
      </c>
      <c r="C448" t="s">
        <v>61</v>
      </c>
      <c r="D448">
        <v>619.15</v>
      </c>
    </row>
    <row r="449" spans="1:4" x14ac:dyDescent="0.45">
      <c r="A449" t="s">
        <v>6</v>
      </c>
      <c r="B449">
        <v>2012</v>
      </c>
      <c r="C449" t="s">
        <v>61</v>
      </c>
      <c r="D449">
        <v>6.45</v>
      </c>
    </row>
    <row r="450" spans="1:4" x14ac:dyDescent="0.45">
      <c r="A450" t="s">
        <v>19</v>
      </c>
      <c r="B450">
        <v>2012</v>
      </c>
      <c r="C450" t="s">
        <v>61</v>
      </c>
      <c r="D450">
        <v>3.92</v>
      </c>
    </row>
    <row r="451" spans="1:4" x14ac:dyDescent="0.45">
      <c r="A451" t="s">
        <v>23</v>
      </c>
      <c r="B451">
        <v>2012</v>
      </c>
      <c r="C451" t="s">
        <v>61</v>
      </c>
      <c r="D451">
        <v>25.72</v>
      </c>
    </row>
    <row r="452" spans="1:4" x14ac:dyDescent="0.45">
      <c r="A452" t="s">
        <v>55</v>
      </c>
      <c r="B452">
        <v>2012</v>
      </c>
      <c r="C452" t="s">
        <v>61</v>
      </c>
      <c r="D452">
        <v>0.69</v>
      </c>
    </row>
    <row r="453" spans="1:4" x14ac:dyDescent="0.45">
      <c r="A453" t="s">
        <v>9</v>
      </c>
      <c r="B453">
        <v>2012</v>
      </c>
      <c r="C453" t="s">
        <v>61</v>
      </c>
      <c r="D453">
        <v>0.21</v>
      </c>
    </row>
    <row r="454" spans="1:4" x14ac:dyDescent="0.45">
      <c r="A454" t="s">
        <v>91</v>
      </c>
      <c r="B454">
        <v>2012</v>
      </c>
      <c r="C454" t="s">
        <v>61</v>
      </c>
      <c r="D454">
        <v>1.19</v>
      </c>
    </row>
    <row r="455" spans="1:4" x14ac:dyDescent="0.45">
      <c r="A455" t="s">
        <v>55</v>
      </c>
      <c r="B455">
        <v>2013</v>
      </c>
      <c r="C455" t="s">
        <v>61</v>
      </c>
      <c r="D455">
        <v>13.16</v>
      </c>
    </row>
    <row r="456" spans="1:4" x14ac:dyDescent="0.45">
      <c r="A456" t="s">
        <v>5</v>
      </c>
      <c r="B456">
        <v>2013</v>
      </c>
      <c r="C456" t="s">
        <v>61</v>
      </c>
      <c r="D456">
        <v>1413.46</v>
      </c>
    </row>
    <row r="457" spans="1:4" x14ac:dyDescent="0.45">
      <c r="A457" t="s">
        <v>8</v>
      </c>
      <c r="B457">
        <v>2013</v>
      </c>
      <c r="C457" t="s">
        <v>61</v>
      </c>
      <c r="D457">
        <v>568.12</v>
      </c>
    </row>
    <row r="458" spans="1:4" x14ac:dyDescent="0.45">
      <c r="A458" t="s">
        <v>6</v>
      </c>
      <c r="B458">
        <v>2013</v>
      </c>
      <c r="C458" t="s">
        <v>61</v>
      </c>
      <c r="D458">
        <v>6.27</v>
      </c>
    </row>
    <row r="459" spans="1:4" x14ac:dyDescent="0.45">
      <c r="A459" t="s">
        <v>19</v>
      </c>
      <c r="B459">
        <v>2013</v>
      </c>
      <c r="C459" t="s">
        <v>61</v>
      </c>
      <c r="D459">
        <v>4.0199999999999996</v>
      </c>
    </row>
    <row r="460" spans="1:4" x14ac:dyDescent="0.45">
      <c r="A460" t="s">
        <v>23</v>
      </c>
      <c r="B460">
        <v>2013</v>
      </c>
      <c r="C460" t="s">
        <v>61</v>
      </c>
      <c r="D460">
        <v>26.49</v>
      </c>
    </row>
    <row r="461" spans="1:4" x14ac:dyDescent="0.45">
      <c r="A461" t="s">
        <v>55</v>
      </c>
      <c r="B461">
        <v>2013</v>
      </c>
      <c r="C461" t="s">
        <v>61</v>
      </c>
      <c r="D461">
        <v>0.71</v>
      </c>
    </row>
    <row r="462" spans="1:4" x14ac:dyDescent="0.45">
      <c r="A462" t="s">
        <v>9</v>
      </c>
      <c r="B462">
        <v>2013</v>
      </c>
      <c r="C462" t="s">
        <v>61</v>
      </c>
      <c r="D462">
        <v>0.43</v>
      </c>
    </row>
    <row r="463" spans="1:4" x14ac:dyDescent="0.45">
      <c r="A463" t="s">
        <v>91</v>
      </c>
      <c r="B463">
        <v>2013</v>
      </c>
      <c r="C463" t="s">
        <v>61</v>
      </c>
      <c r="D463">
        <v>1.41</v>
      </c>
    </row>
    <row r="464" spans="1:4" x14ac:dyDescent="0.45">
      <c r="A464" t="s">
        <v>55</v>
      </c>
      <c r="B464">
        <v>2014</v>
      </c>
      <c r="C464" t="s">
        <v>61</v>
      </c>
      <c r="D464">
        <v>13.83</v>
      </c>
    </row>
    <row r="465" spans="1:4" x14ac:dyDescent="0.45">
      <c r="A465" t="s">
        <v>5</v>
      </c>
      <c r="B465">
        <v>2014</v>
      </c>
      <c r="C465" t="s">
        <v>61</v>
      </c>
      <c r="D465">
        <v>1413.53</v>
      </c>
    </row>
    <row r="466" spans="1:4" x14ac:dyDescent="0.45">
      <c r="A466" t="s">
        <v>8</v>
      </c>
      <c r="B466">
        <v>2014</v>
      </c>
      <c r="C466" t="s">
        <v>61</v>
      </c>
      <c r="D466">
        <v>569.01</v>
      </c>
    </row>
    <row r="467" spans="1:4" x14ac:dyDescent="0.45">
      <c r="A467" t="s">
        <v>6</v>
      </c>
      <c r="B467">
        <v>2014</v>
      </c>
      <c r="C467" t="s">
        <v>61</v>
      </c>
      <c r="D467">
        <v>6.02</v>
      </c>
    </row>
    <row r="468" spans="1:4" x14ac:dyDescent="0.45">
      <c r="A468" t="s">
        <v>19</v>
      </c>
      <c r="B468">
        <v>2014</v>
      </c>
      <c r="C468" t="s">
        <v>61</v>
      </c>
      <c r="D468">
        <v>4.0599999999999996</v>
      </c>
    </row>
    <row r="469" spans="1:4" x14ac:dyDescent="0.45">
      <c r="A469" t="s">
        <v>23</v>
      </c>
      <c r="B469">
        <v>2014</v>
      </c>
      <c r="C469" t="s">
        <v>61</v>
      </c>
      <c r="D469">
        <v>28.75</v>
      </c>
    </row>
    <row r="470" spans="1:4" x14ac:dyDescent="0.45">
      <c r="A470" t="s">
        <v>55</v>
      </c>
      <c r="B470">
        <v>2014</v>
      </c>
      <c r="C470" t="s">
        <v>61</v>
      </c>
      <c r="D470">
        <v>0.72</v>
      </c>
    </row>
    <row r="471" spans="1:4" x14ac:dyDescent="0.45">
      <c r="A471" t="s">
        <v>9</v>
      </c>
      <c r="B471">
        <v>2014</v>
      </c>
      <c r="C471" t="s">
        <v>61</v>
      </c>
      <c r="D471">
        <v>1.37</v>
      </c>
    </row>
    <row r="472" spans="1:4" x14ac:dyDescent="0.45">
      <c r="A472" t="s">
        <v>91</v>
      </c>
      <c r="B472">
        <v>2014</v>
      </c>
      <c r="C472" t="s">
        <v>61</v>
      </c>
      <c r="D472">
        <v>1.53</v>
      </c>
    </row>
    <row r="473" spans="1:4" x14ac:dyDescent="0.45">
      <c r="A473" t="s">
        <v>55</v>
      </c>
      <c r="B473">
        <v>2015</v>
      </c>
      <c r="C473" t="s">
        <v>61</v>
      </c>
      <c r="D473">
        <v>13.76</v>
      </c>
    </row>
    <row r="474" spans="1:4" x14ac:dyDescent="0.45">
      <c r="A474" t="s">
        <v>5</v>
      </c>
      <c r="B474">
        <v>2015</v>
      </c>
      <c r="C474" t="s">
        <v>61</v>
      </c>
      <c r="D474">
        <v>1208.29</v>
      </c>
    </row>
    <row r="475" spans="1:4" x14ac:dyDescent="0.45">
      <c r="A475" t="s">
        <v>8</v>
      </c>
      <c r="B475">
        <v>2015</v>
      </c>
      <c r="C475" t="s">
        <v>61</v>
      </c>
      <c r="D475">
        <v>673.49</v>
      </c>
    </row>
    <row r="476" spans="1:4" x14ac:dyDescent="0.45">
      <c r="A476" t="s">
        <v>6</v>
      </c>
      <c r="B476">
        <v>2015</v>
      </c>
      <c r="C476" t="s">
        <v>61</v>
      </c>
      <c r="D476">
        <v>5.8</v>
      </c>
    </row>
    <row r="477" spans="1:4" x14ac:dyDescent="0.45">
      <c r="A477" t="s">
        <v>19</v>
      </c>
      <c r="B477">
        <v>2015</v>
      </c>
      <c r="C477" t="s">
        <v>61</v>
      </c>
      <c r="D477">
        <v>4.0599999999999996</v>
      </c>
    </row>
    <row r="478" spans="1:4" x14ac:dyDescent="0.45">
      <c r="A478" t="s">
        <v>23</v>
      </c>
      <c r="B478">
        <v>2015</v>
      </c>
      <c r="C478" t="s">
        <v>61</v>
      </c>
      <c r="D478">
        <v>29.24</v>
      </c>
    </row>
    <row r="479" spans="1:4" x14ac:dyDescent="0.45">
      <c r="A479" t="s">
        <v>55</v>
      </c>
      <c r="B479">
        <v>2015</v>
      </c>
      <c r="C479" t="s">
        <v>61</v>
      </c>
      <c r="D479">
        <v>0.72</v>
      </c>
    </row>
    <row r="480" spans="1:4" x14ac:dyDescent="0.45">
      <c r="A480" t="s">
        <v>9</v>
      </c>
      <c r="B480">
        <v>2015</v>
      </c>
      <c r="C480" t="s">
        <v>61</v>
      </c>
      <c r="D480">
        <v>1.85</v>
      </c>
    </row>
    <row r="481" spans="1:4" x14ac:dyDescent="0.45">
      <c r="A481" t="s">
        <v>91</v>
      </c>
      <c r="B481">
        <v>2015</v>
      </c>
      <c r="C481" t="s">
        <v>61</v>
      </c>
      <c r="D481">
        <v>1.61</v>
      </c>
    </row>
    <row r="482" spans="1:4" x14ac:dyDescent="0.45">
      <c r="A482" t="s">
        <v>55</v>
      </c>
      <c r="B482">
        <v>2016</v>
      </c>
      <c r="C482" t="s">
        <v>61</v>
      </c>
      <c r="D482">
        <v>13.57</v>
      </c>
    </row>
    <row r="483" spans="1:4" x14ac:dyDescent="0.45">
      <c r="A483" t="s">
        <v>5</v>
      </c>
      <c r="B483">
        <v>2016</v>
      </c>
      <c r="C483" t="s">
        <v>61</v>
      </c>
      <c r="D483">
        <v>1106.54</v>
      </c>
    </row>
    <row r="484" spans="1:4" x14ac:dyDescent="0.45">
      <c r="A484" t="s">
        <v>8</v>
      </c>
      <c r="B484">
        <v>2016</v>
      </c>
      <c r="C484" t="s">
        <v>61</v>
      </c>
      <c r="D484">
        <v>696.14</v>
      </c>
    </row>
    <row r="485" spans="1:4" x14ac:dyDescent="0.45">
      <c r="A485" t="s">
        <v>6</v>
      </c>
      <c r="B485">
        <v>2016</v>
      </c>
      <c r="C485" t="s">
        <v>61</v>
      </c>
      <c r="D485">
        <v>6.2</v>
      </c>
    </row>
    <row r="486" spans="1:4" x14ac:dyDescent="0.45">
      <c r="A486" t="s">
        <v>19</v>
      </c>
      <c r="B486">
        <v>2016</v>
      </c>
      <c r="C486" t="s">
        <v>61</v>
      </c>
      <c r="D486">
        <v>4.0999999999999996</v>
      </c>
    </row>
    <row r="487" spans="1:4" x14ac:dyDescent="0.45">
      <c r="A487" t="s">
        <v>23</v>
      </c>
      <c r="B487">
        <v>2016</v>
      </c>
      <c r="C487" t="s">
        <v>61</v>
      </c>
      <c r="D487">
        <v>25.99</v>
      </c>
    </row>
    <row r="488" spans="1:4" x14ac:dyDescent="0.45">
      <c r="A488" t="s">
        <v>55</v>
      </c>
      <c r="B488">
        <v>2016</v>
      </c>
      <c r="C488" t="s">
        <v>61</v>
      </c>
      <c r="D488">
        <v>0.72</v>
      </c>
    </row>
    <row r="489" spans="1:4" x14ac:dyDescent="0.45">
      <c r="A489" t="s">
        <v>9</v>
      </c>
      <c r="B489">
        <v>2016</v>
      </c>
      <c r="C489" t="s">
        <v>61</v>
      </c>
      <c r="D489">
        <v>2.61</v>
      </c>
    </row>
    <row r="490" spans="1:4" x14ac:dyDescent="0.45">
      <c r="A490" t="s">
        <v>91</v>
      </c>
      <c r="B490">
        <v>2016</v>
      </c>
      <c r="C490" t="s">
        <v>61</v>
      </c>
      <c r="D490">
        <v>1.91</v>
      </c>
    </row>
    <row r="491" spans="1:4" x14ac:dyDescent="0.45">
      <c r="A491" t="s">
        <v>55</v>
      </c>
      <c r="B491">
        <v>2017</v>
      </c>
      <c r="C491" t="s">
        <v>61</v>
      </c>
      <c r="D491">
        <v>13.56</v>
      </c>
    </row>
    <row r="492" spans="1:4" x14ac:dyDescent="0.45">
      <c r="A492" t="s">
        <v>5</v>
      </c>
      <c r="B492">
        <v>2017</v>
      </c>
      <c r="C492" t="s">
        <v>61</v>
      </c>
      <c r="D492">
        <v>1076.3800000000001</v>
      </c>
    </row>
    <row r="493" spans="1:4" x14ac:dyDescent="0.45">
      <c r="A493" t="s">
        <v>8</v>
      </c>
      <c r="B493">
        <v>2017</v>
      </c>
      <c r="C493" t="s">
        <v>61</v>
      </c>
      <c r="D493">
        <v>654.79</v>
      </c>
    </row>
    <row r="494" spans="1:4" x14ac:dyDescent="0.45">
      <c r="A494" t="s">
        <v>6</v>
      </c>
      <c r="B494">
        <v>2017</v>
      </c>
      <c r="C494" t="s">
        <v>61</v>
      </c>
      <c r="D494">
        <v>6.98</v>
      </c>
    </row>
    <row r="495" spans="1:4" x14ac:dyDescent="0.45">
      <c r="A495" t="s">
        <v>19</v>
      </c>
      <c r="B495">
        <v>2017</v>
      </c>
      <c r="C495" t="s">
        <v>61</v>
      </c>
      <c r="D495">
        <v>4.0999999999999996</v>
      </c>
    </row>
    <row r="496" spans="1:4" x14ac:dyDescent="0.45">
      <c r="A496" t="s">
        <v>23</v>
      </c>
      <c r="B496">
        <v>2017</v>
      </c>
      <c r="C496" t="s">
        <v>61</v>
      </c>
      <c r="D496">
        <v>24.93</v>
      </c>
    </row>
    <row r="497" spans="1:4" x14ac:dyDescent="0.45">
      <c r="A497" t="s">
        <v>55</v>
      </c>
      <c r="B497">
        <v>2017</v>
      </c>
      <c r="C497" t="s">
        <v>61</v>
      </c>
      <c r="D497">
        <v>0.72</v>
      </c>
    </row>
    <row r="498" spans="1:4" x14ac:dyDescent="0.45">
      <c r="A498" t="s">
        <v>9</v>
      </c>
      <c r="B498">
        <v>2017</v>
      </c>
      <c r="C498" t="s">
        <v>61</v>
      </c>
      <c r="D498">
        <v>3.67</v>
      </c>
    </row>
    <row r="499" spans="1:4" x14ac:dyDescent="0.45">
      <c r="A499" t="s">
        <v>91</v>
      </c>
      <c r="B499">
        <v>2017</v>
      </c>
      <c r="C499" t="s">
        <v>61</v>
      </c>
      <c r="D499">
        <v>2.14</v>
      </c>
    </row>
    <row r="500" spans="1:4" x14ac:dyDescent="0.45">
      <c r="A500" t="s">
        <v>55</v>
      </c>
      <c r="B500">
        <v>2018</v>
      </c>
      <c r="C500" t="s">
        <v>61</v>
      </c>
      <c r="D500">
        <v>13.37</v>
      </c>
    </row>
    <row r="501" spans="1:4" x14ac:dyDescent="0.45">
      <c r="A501" t="s">
        <v>5</v>
      </c>
      <c r="B501">
        <v>2018</v>
      </c>
      <c r="C501" t="s">
        <v>61</v>
      </c>
      <c r="D501">
        <v>1025.8800000000001</v>
      </c>
    </row>
    <row r="502" spans="1:4" x14ac:dyDescent="0.45">
      <c r="A502" t="s">
        <v>8</v>
      </c>
      <c r="B502">
        <v>2018</v>
      </c>
      <c r="C502" t="s">
        <v>61</v>
      </c>
      <c r="D502">
        <v>742.01</v>
      </c>
    </row>
    <row r="503" spans="1:4" x14ac:dyDescent="0.45">
      <c r="A503" t="s">
        <v>6</v>
      </c>
      <c r="B503">
        <v>2018</v>
      </c>
      <c r="C503" t="s">
        <v>61</v>
      </c>
      <c r="D503">
        <v>6.81</v>
      </c>
    </row>
    <row r="504" spans="1:4" x14ac:dyDescent="0.45">
      <c r="A504" t="s">
        <v>19</v>
      </c>
      <c r="B504">
        <v>2018</v>
      </c>
      <c r="C504" t="s">
        <v>61</v>
      </c>
      <c r="D504">
        <v>4.1100000000000003</v>
      </c>
    </row>
    <row r="505" spans="1:4" x14ac:dyDescent="0.45">
      <c r="A505" t="s">
        <v>23</v>
      </c>
      <c r="B505">
        <v>2018</v>
      </c>
      <c r="C505" t="s">
        <v>61</v>
      </c>
      <c r="D505">
        <v>28.08</v>
      </c>
    </row>
    <row r="506" spans="1:4" x14ac:dyDescent="0.45">
      <c r="A506" t="s">
        <v>55</v>
      </c>
      <c r="B506">
        <v>2018</v>
      </c>
      <c r="C506" t="s">
        <v>61</v>
      </c>
      <c r="D506">
        <v>0.7</v>
      </c>
    </row>
    <row r="507" spans="1:4" x14ac:dyDescent="0.45">
      <c r="A507" t="s">
        <v>9</v>
      </c>
      <c r="B507">
        <v>2018</v>
      </c>
      <c r="C507" t="s">
        <v>61</v>
      </c>
      <c r="D507">
        <v>4.4400000000000004</v>
      </c>
    </row>
    <row r="508" spans="1:4" x14ac:dyDescent="0.45">
      <c r="A508" t="s">
        <v>91</v>
      </c>
      <c r="B508">
        <v>2018</v>
      </c>
      <c r="C508" t="s">
        <v>61</v>
      </c>
      <c r="D508">
        <v>2.2999999999999998</v>
      </c>
    </row>
    <row r="509" spans="1:4" x14ac:dyDescent="0.45">
      <c r="A509" t="s">
        <v>55</v>
      </c>
      <c r="B509">
        <v>2019</v>
      </c>
      <c r="C509" t="s">
        <v>61</v>
      </c>
      <c r="D509">
        <v>12.43</v>
      </c>
    </row>
    <row r="510" spans="1:4" x14ac:dyDescent="0.45">
      <c r="A510" t="s">
        <v>5</v>
      </c>
      <c r="B510">
        <v>2019</v>
      </c>
      <c r="C510" t="s">
        <v>61</v>
      </c>
      <c r="D510">
        <v>861.26</v>
      </c>
    </row>
    <row r="511" spans="1:4" x14ac:dyDescent="0.45">
      <c r="A511" t="s">
        <v>8</v>
      </c>
      <c r="B511">
        <v>2019</v>
      </c>
      <c r="C511" t="s">
        <v>61</v>
      </c>
      <c r="D511">
        <v>800.94</v>
      </c>
    </row>
    <row r="512" spans="1:4" x14ac:dyDescent="0.45">
      <c r="A512" t="s">
        <v>6</v>
      </c>
      <c r="B512">
        <v>2019</v>
      </c>
      <c r="C512" t="s">
        <v>61</v>
      </c>
      <c r="D512">
        <v>6.71</v>
      </c>
    </row>
    <row r="513" spans="1:4" x14ac:dyDescent="0.45">
      <c r="A513" t="s">
        <v>19</v>
      </c>
      <c r="B513">
        <v>2019</v>
      </c>
      <c r="C513" t="s">
        <v>61</v>
      </c>
      <c r="D513">
        <v>4.12</v>
      </c>
    </row>
    <row r="514" spans="1:4" x14ac:dyDescent="0.45">
      <c r="A514" t="s">
        <v>23</v>
      </c>
      <c r="B514">
        <v>2019</v>
      </c>
      <c r="C514" t="s">
        <v>61</v>
      </c>
      <c r="D514">
        <v>24.64</v>
      </c>
    </row>
    <row r="515" spans="1:4" x14ac:dyDescent="0.45">
      <c r="A515" t="s">
        <v>55</v>
      </c>
      <c r="B515">
        <v>2019</v>
      </c>
      <c r="C515" t="s">
        <v>61</v>
      </c>
      <c r="D515">
        <v>0.67</v>
      </c>
    </row>
    <row r="516" spans="1:4" x14ac:dyDescent="0.45">
      <c r="A516" t="s">
        <v>9</v>
      </c>
      <c r="B516">
        <v>2019</v>
      </c>
      <c r="C516" t="s">
        <v>61</v>
      </c>
      <c r="D516">
        <v>5.08</v>
      </c>
    </row>
    <row r="517" spans="1:4" x14ac:dyDescent="0.45">
      <c r="A517" t="s">
        <v>91</v>
      </c>
      <c r="B517">
        <v>2019</v>
      </c>
      <c r="C517" t="s">
        <v>61</v>
      </c>
      <c r="D517">
        <v>2.4900000000000002</v>
      </c>
    </row>
    <row r="518" spans="1:4" x14ac:dyDescent="0.45">
      <c r="A518" t="s">
        <v>55</v>
      </c>
      <c r="B518">
        <v>2020</v>
      </c>
      <c r="C518" t="s">
        <v>61</v>
      </c>
      <c r="D518">
        <v>11.83</v>
      </c>
    </row>
    <row r="519" spans="1:4" x14ac:dyDescent="0.45">
      <c r="A519" t="s">
        <v>5</v>
      </c>
      <c r="B519">
        <v>2020</v>
      </c>
      <c r="C519" t="s">
        <v>61</v>
      </c>
      <c r="D519">
        <v>690.37</v>
      </c>
    </row>
    <row r="520" spans="1:4" x14ac:dyDescent="0.45">
      <c r="A520" t="s">
        <v>8</v>
      </c>
      <c r="B520">
        <v>2020</v>
      </c>
      <c r="C520" t="s">
        <v>61</v>
      </c>
      <c r="D520">
        <v>820.31</v>
      </c>
    </row>
    <row r="521" spans="1:4" x14ac:dyDescent="0.45">
      <c r="A521" t="s">
        <v>6</v>
      </c>
      <c r="B521">
        <v>2020</v>
      </c>
      <c r="C521" t="s">
        <v>61</v>
      </c>
      <c r="D521">
        <v>6.65</v>
      </c>
    </row>
    <row r="522" spans="1:4" x14ac:dyDescent="0.45">
      <c r="A522" t="s">
        <v>19</v>
      </c>
      <c r="B522">
        <v>2020</v>
      </c>
      <c r="C522" t="s">
        <v>61</v>
      </c>
      <c r="D522">
        <v>4.0199999999999996</v>
      </c>
    </row>
    <row r="523" spans="1:4" x14ac:dyDescent="0.45">
      <c r="A523" t="s">
        <v>23</v>
      </c>
      <c r="B523">
        <v>2020</v>
      </c>
      <c r="C523" t="s">
        <v>61</v>
      </c>
      <c r="D523">
        <v>22.6</v>
      </c>
    </row>
    <row r="524" spans="1:4" x14ac:dyDescent="0.45">
      <c r="A524" t="s">
        <v>55</v>
      </c>
      <c r="B524">
        <v>2020</v>
      </c>
      <c r="C524" t="s">
        <v>61</v>
      </c>
      <c r="D524">
        <v>0.68</v>
      </c>
    </row>
    <row r="525" spans="1:4" x14ac:dyDescent="0.45">
      <c r="A525" t="s">
        <v>9</v>
      </c>
      <c r="B525">
        <v>2020</v>
      </c>
      <c r="C525" t="s">
        <v>61</v>
      </c>
      <c r="D525">
        <v>6.21</v>
      </c>
    </row>
    <row r="526" spans="1:4" x14ac:dyDescent="0.45">
      <c r="A526" t="s">
        <v>91</v>
      </c>
      <c r="B526">
        <v>2020</v>
      </c>
      <c r="C526" t="s">
        <v>61</v>
      </c>
      <c r="D526">
        <v>2.85</v>
      </c>
    </row>
    <row r="527" spans="1:4" x14ac:dyDescent="0.45">
      <c r="A527" t="s">
        <v>55</v>
      </c>
      <c r="B527">
        <v>2021</v>
      </c>
      <c r="C527" t="s">
        <v>61</v>
      </c>
      <c r="D527">
        <v>11.73</v>
      </c>
    </row>
    <row r="528" spans="1:4" x14ac:dyDescent="0.45">
      <c r="A528" t="s">
        <v>5</v>
      </c>
      <c r="B528">
        <v>2021</v>
      </c>
      <c r="C528" t="s">
        <v>61</v>
      </c>
      <c r="D528">
        <v>801.35</v>
      </c>
    </row>
    <row r="529" spans="1:4" x14ac:dyDescent="0.45">
      <c r="A529" t="s">
        <v>8</v>
      </c>
      <c r="B529">
        <v>2021</v>
      </c>
      <c r="C529" t="s">
        <v>61</v>
      </c>
      <c r="D529">
        <v>797.59</v>
      </c>
    </row>
    <row r="530" spans="1:4" x14ac:dyDescent="0.45">
      <c r="A530" t="s">
        <v>6</v>
      </c>
      <c r="B530">
        <v>2021</v>
      </c>
      <c r="C530" t="s">
        <v>61</v>
      </c>
      <c r="D530">
        <v>5.86</v>
      </c>
    </row>
    <row r="531" spans="1:4" x14ac:dyDescent="0.45">
      <c r="A531" t="s">
        <v>19</v>
      </c>
      <c r="B531">
        <v>2021</v>
      </c>
      <c r="C531" t="s">
        <v>61</v>
      </c>
      <c r="D531">
        <v>3.97</v>
      </c>
    </row>
    <row r="532" spans="1:4" x14ac:dyDescent="0.45">
      <c r="A532" t="s">
        <v>23</v>
      </c>
      <c r="B532">
        <v>2021</v>
      </c>
      <c r="C532" t="s">
        <v>61</v>
      </c>
      <c r="D532">
        <v>23.16</v>
      </c>
    </row>
    <row r="533" spans="1:4" x14ac:dyDescent="0.45">
      <c r="A533" t="s">
        <v>55</v>
      </c>
      <c r="B533">
        <v>2021</v>
      </c>
      <c r="C533" t="s">
        <v>61</v>
      </c>
      <c r="D533">
        <v>0.69</v>
      </c>
    </row>
    <row r="534" spans="1:4" x14ac:dyDescent="0.45">
      <c r="A534" t="s">
        <v>9</v>
      </c>
      <c r="B534">
        <v>2021</v>
      </c>
      <c r="C534" t="s">
        <v>61</v>
      </c>
      <c r="D534">
        <v>7.81</v>
      </c>
    </row>
    <row r="535" spans="1:4" x14ac:dyDescent="0.45">
      <c r="A535" t="s">
        <v>91</v>
      </c>
      <c r="B535">
        <v>2021</v>
      </c>
      <c r="C535" t="s">
        <v>61</v>
      </c>
      <c r="D535">
        <v>3.19</v>
      </c>
    </row>
    <row r="536" spans="1:4" x14ac:dyDescent="0.45">
      <c r="A536" t="s">
        <v>55</v>
      </c>
      <c r="B536">
        <v>2022</v>
      </c>
      <c r="C536" t="s">
        <v>61</v>
      </c>
      <c r="D536">
        <v>11.21</v>
      </c>
    </row>
    <row r="537" spans="1:4" x14ac:dyDescent="0.45">
      <c r="A537" t="s">
        <v>5</v>
      </c>
      <c r="B537">
        <v>2022</v>
      </c>
      <c r="C537" t="s">
        <v>61</v>
      </c>
      <c r="D537">
        <v>742.01</v>
      </c>
    </row>
    <row r="538" spans="1:4" x14ac:dyDescent="0.45">
      <c r="A538" t="s">
        <v>8</v>
      </c>
      <c r="B538">
        <v>2022</v>
      </c>
      <c r="C538" t="s">
        <v>61</v>
      </c>
      <c r="D538">
        <v>852.07</v>
      </c>
    </row>
    <row r="539" spans="1:4" x14ac:dyDescent="0.45">
      <c r="A539" t="s">
        <v>6</v>
      </c>
      <c r="B539">
        <v>2022</v>
      </c>
      <c r="C539" t="s">
        <v>61</v>
      </c>
      <c r="D539">
        <v>5.91</v>
      </c>
    </row>
    <row r="540" spans="1:4" x14ac:dyDescent="0.45">
      <c r="A540" t="s">
        <v>19</v>
      </c>
      <c r="B540">
        <v>2022</v>
      </c>
      <c r="C540" t="s">
        <v>61</v>
      </c>
      <c r="D540">
        <v>3.93</v>
      </c>
    </row>
    <row r="541" spans="1:4" x14ac:dyDescent="0.45">
      <c r="A541" t="s">
        <v>23</v>
      </c>
      <c r="B541">
        <v>2022</v>
      </c>
      <c r="C541" t="s">
        <v>61</v>
      </c>
      <c r="D541">
        <v>25.43</v>
      </c>
    </row>
    <row r="542" spans="1:4" x14ac:dyDescent="0.45">
      <c r="A542" t="s">
        <v>55</v>
      </c>
      <c r="B542">
        <v>2022</v>
      </c>
      <c r="C542" t="s">
        <v>61</v>
      </c>
      <c r="D542">
        <v>0.68</v>
      </c>
    </row>
    <row r="543" spans="1:4" x14ac:dyDescent="0.45">
      <c r="A543" t="s">
        <v>9</v>
      </c>
      <c r="B543">
        <v>2022</v>
      </c>
      <c r="C543" t="s">
        <v>61</v>
      </c>
      <c r="D543">
        <v>9.74</v>
      </c>
    </row>
    <row r="544" spans="1:4" x14ac:dyDescent="0.45">
      <c r="A544" t="s">
        <v>91</v>
      </c>
      <c r="B544">
        <v>2022</v>
      </c>
      <c r="C544" t="s">
        <v>61</v>
      </c>
      <c r="D544">
        <v>3.66</v>
      </c>
    </row>
    <row r="545" spans="1:4" x14ac:dyDescent="0.45">
      <c r="A545" t="s">
        <v>55</v>
      </c>
      <c r="B545">
        <v>2023</v>
      </c>
      <c r="C545" t="s">
        <v>61</v>
      </c>
      <c r="D545">
        <v>10.199999999999999</v>
      </c>
    </row>
    <row r="546" spans="1:4" x14ac:dyDescent="0.45">
      <c r="A546" t="s">
        <v>5</v>
      </c>
      <c r="B546">
        <v>2023</v>
      </c>
      <c r="C546" t="s">
        <v>61</v>
      </c>
      <c r="D546">
        <v>602.54</v>
      </c>
    </row>
    <row r="547" spans="1:4" x14ac:dyDescent="0.45">
      <c r="A547" t="s">
        <v>8</v>
      </c>
      <c r="B547">
        <v>2023</v>
      </c>
      <c r="C547" t="s">
        <v>61</v>
      </c>
      <c r="D547">
        <v>912.18</v>
      </c>
    </row>
    <row r="548" spans="1:4" x14ac:dyDescent="0.45">
      <c r="A548" t="s">
        <v>6</v>
      </c>
      <c r="B548">
        <v>2023</v>
      </c>
      <c r="C548" t="s">
        <v>61</v>
      </c>
      <c r="D548">
        <v>5.68</v>
      </c>
    </row>
    <row r="549" spans="1:4" x14ac:dyDescent="0.45">
      <c r="A549" t="s">
        <v>19</v>
      </c>
      <c r="B549">
        <v>2023</v>
      </c>
      <c r="C549" t="s">
        <v>61</v>
      </c>
      <c r="D549">
        <v>3.94</v>
      </c>
    </row>
    <row r="550" spans="1:4" x14ac:dyDescent="0.45">
      <c r="A550" t="s">
        <v>23</v>
      </c>
      <c r="B550">
        <v>2023</v>
      </c>
      <c r="C550" t="s">
        <v>61</v>
      </c>
      <c r="D550">
        <v>21.8</v>
      </c>
    </row>
    <row r="551" spans="1:4" x14ac:dyDescent="0.45">
      <c r="A551" t="s">
        <v>55</v>
      </c>
      <c r="B551">
        <v>2023</v>
      </c>
      <c r="C551" t="s">
        <v>61</v>
      </c>
      <c r="D551">
        <v>0.69</v>
      </c>
    </row>
    <row r="552" spans="1:4" x14ac:dyDescent="0.45">
      <c r="A552" t="s">
        <v>9</v>
      </c>
      <c r="B552">
        <v>2023</v>
      </c>
      <c r="C552" t="s">
        <v>61</v>
      </c>
      <c r="D552">
        <v>11.35</v>
      </c>
    </row>
    <row r="553" spans="1:4" x14ac:dyDescent="0.45">
      <c r="A553" t="s">
        <v>91</v>
      </c>
      <c r="B553">
        <v>2023</v>
      </c>
      <c r="C553" t="s">
        <v>61</v>
      </c>
      <c r="D553">
        <v>3.55</v>
      </c>
    </row>
    <row r="554" spans="1:4" x14ac:dyDescent="0.45">
      <c r="A554" t="s">
        <v>9</v>
      </c>
      <c r="B554">
        <v>2018</v>
      </c>
      <c r="C554" t="s">
        <v>60</v>
      </c>
      <c r="D554">
        <v>50.229093999999996</v>
      </c>
    </row>
    <row r="555" spans="1:4" x14ac:dyDescent="0.45">
      <c r="A555" t="s">
        <v>9</v>
      </c>
      <c r="B555">
        <v>2019</v>
      </c>
      <c r="C555" t="s">
        <v>60</v>
      </c>
      <c r="D555">
        <v>59.829129000000002</v>
      </c>
    </row>
    <row r="556" spans="1:4" x14ac:dyDescent="0.45">
      <c r="A556" t="s">
        <v>9</v>
      </c>
      <c r="B556">
        <v>2020</v>
      </c>
      <c r="C556" t="s">
        <v>60</v>
      </c>
      <c r="D556">
        <v>74.693196999999998</v>
      </c>
    </row>
    <row r="557" spans="1:4" x14ac:dyDescent="0.45">
      <c r="A557" t="s">
        <v>9</v>
      </c>
      <c r="B557">
        <v>2021</v>
      </c>
      <c r="C557" t="s">
        <v>60</v>
      </c>
      <c r="D557">
        <v>93.910912999999994</v>
      </c>
    </row>
    <row r="558" spans="1:4" x14ac:dyDescent="0.45">
      <c r="A558" t="s">
        <v>9</v>
      </c>
      <c r="B558">
        <v>2022</v>
      </c>
      <c r="C558" t="s">
        <v>60</v>
      </c>
      <c r="D558">
        <v>112.88094700000001</v>
      </c>
    </row>
    <row r="559" spans="1:4" x14ac:dyDescent="0.45">
      <c r="A559" t="s">
        <v>9</v>
      </c>
      <c r="B559">
        <v>2023</v>
      </c>
      <c r="C559" t="s">
        <v>60</v>
      </c>
      <c r="D559">
        <v>137.72527700000001</v>
      </c>
    </row>
    <row r="560" spans="1:4" x14ac:dyDescent="0.45">
      <c r="A560" t="s">
        <v>9</v>
      </c>
      <c r="B560">
        <v>2024</v>
      </c>
      <c r="C560" t="s">
        <v>60</v>
      </c>
      <c r="D560">
        <v>175.99027699999999</v>
      </c>
    </row>
    <row r="561" spans="1:4" x14ac:dyDescent="0.45">
      <c r="A561" t="s">
        <v>9</v>
      </c>
      <c r="B561">
        <v>2018</v>
      </c>
      <c r="C561" t="s">
        <v>60</v>
      </c>
      <c r="D561">
        <v>1.7579</v>
      </c>
    </row>
    <row r="562" spans="1:4" x14ac:dyDescent="0.45">
      <c r="A562" t="s">
        <v>9</v>
      </c>
      <c r="B562">
        <v>2019</v>
      </c>
      <c r="C562" t="s">
        <v>60</v>
      </c>
      <c r="D562">
        <v>1.7581</v>
      </c>
    </row>
    <row r="563" spans="1:4" x14ac:dyDescent="0.45">
      <c r="A563" t="s">
        <v>9</v>
      </c>
      <c r="B563">
        <v>2020</v>
      </c>
      <c r="C563" t="s">
        <v>60</v>
      </c>
      <c r="D563">
        <v>1.7479</v>
      </c>
    </row>
    <row r="564" spans="1:4" x14ac:dyDescent="0.45">
      <c r="A564" t="s">
        <v>9</v>
      </c>
      <c r="B564">
        <v>2021</v>
      </c>
      <c r="C564" t="s">
        <v>60</v>
      </c>
      <c r="D564">
        <v>1.48</v>
      </c>
    </row>
    <row r="565" spans="1:4" x14ac:dyDescent="0.45">
      <c r="A565" t="s">
        <v>9</v>
      </c>
      <c r="B565">
        <v>2022</v>
      </c>
      <c r="C565" t="s">
        <v>60</v>
      </c>
      <c r="D565">
        <v>1.48</v>
      </c>
    </row>
    <row r="566" spans="1:4" x14ac:dyDescent="0.45">
      <c r="A566" t="s">
        <v>9</v>
      </c>
      <c r="B566">
        <v>2023</v>
      </c>
      <c r="C566" t="s">
        <v>60</v>
      </c>
      <c r="D566">
        <v>1.48</v>
      </c>
    </row>
    <row r="567" spans="1:4" x14ac:dyDescent="0.45">
      <c r="A567" t="s">
        <v>9</v>
      </c>
      <c r="B567">
        <v>2024</v>
      </c>
      <c r="C567" t="s">
        <v>60</v>
      </c>
      <c r="D567">
        <v>1.48</v>
      </c>
    </row>
    <row r="568" spans="1:4" x14ac:dyDescent="0.45">
      <c r="A568" t="s">
        <v>9</v>
      </c>
      <c r="B568">
        <v>2011</v>
      </c>
      <c r="C568" t="s">
        <v>60</v>
      </c>
      <c r="D568">
        <v>5.1719999999999997</v>
      </c>
    </row>
    <row r="569" spans="1:4" x14ac:dyDescent="0.45">
      <c r="A569" t="s">
        <v>9</v>
      </c>
      <c r="B569">
        <v>2012</v>
      </c>
      <c r="C569" t="s">
        <v>60</v>
      </c>
      <c r="D569">
        <v>8.1370000000000005</v>
      </c>
    </row>
    <row r="570" spans="1:4" x14ac:dyDescent="0.45">
      <c r="A570" t="s">
        <v>9</v>
      </c>
      <c r="B570">
        <v>2013</v>
      </c>
      <c r="C570" t="s">
        <v>60</v>
      </c>
      <c r="D570">
        <v>11.959100000000001</v>
      </c>
    </row>
    <row r="571" spans="1:4" x14ac:dyDescent="0.45">
      <c r="A571" t="s">
        <v>9</v>
      </c>
      <c r="B571">
        <v>2014</v>
      </c>
      <c r="C571" t="s">
        <v>60</v>
      </c>
      <c r="D571">
        <v>16.445428</v>
      </c>
    </row>
    <row r="572" spans="1:4" x14ac:dyDescent="0.45">
      <c r="A572" t="s">
        <v>9</v>
      </c>
      <c r="B572">
        <v>2015</v>
      </c>
      <c r="C572" t="s">
        <v>60</v>
      </c>
      <c r="D572">
        <v>22.478946000000001</v>
      </c>
    </row>
    <row r="573" spans="1:4" x14ac:dyDescent="0.45">
      <c r="A573" t="s">
        <v>9</v>
      </c>
      <c r="B573">
        <v>2016</v>
      </c>
      <c r="C573" t="s">
        <v>60</v>
      </c>
      <c r="D573">
        <v>33.675773999999997</v>
      </c>
    </row>
    <row r="574" spans="1:4" x14ac:dyDescent="0.45">
      <c r="A574" t="s">
        <v>9</v>
      </c>
      <c r="B574">
        <v>2017</v>
      </c>
      <c r="C574" t="s">
        <v>60</v>
      </c>
      <c r="D574">
        <v>42.011940000000003</v>
      </c>
    </row>
    <row r="575" spans="1:4" x14ac:dyDescent="0.45">
      <c r="A575" t="s">
        <v>9</v>
      </c>
      <c r="B575">
        <v>2011</v>
      </c>
      <c r="C575" t="s">
        <v>60</v>
      </c>
      <c r="D575">
        <v>0.47149999999999997</v>
      </c>
    </row>
    <row r="576" spans="1:4" x14ac:dyDescent="0.45">
      <c r="A576" t="s">
        <v>9</v>
      </c>
      <c r="B576">
        <v>2012</v>
      </c>
      <c r="C576" t="s">
        <v>60</v>
      </c>
      <c r="D576">
        <v>0.47599999999999998</v>
      </c>
    </row>
    <row r="577" spans="1:4" x14ac:dyDescent="0.45">
      <c r="A577" t="s">
        <v>9</v>
      </c>
      <c r="B577">
        <v>2013</v>
      </c>
      <c r="C577" t="s">
        <v>60</v>
      </c>
      <c r="D577">
        <v>1.2864</v>
      </c>
    </row>
    <row r="578" spans="1:4" x14ac:dyDescent="0.45">
      <c r="A578" t="s">
        <v>9</v>
      </c>
      <c r="B578">
        <v>2014</v>
      </c>
      <c r="C578" t="s">
        <v>60</v>
      </c>
      <c r="D578">
        <v>1.6667000000000001</v>
      </c>
    </row>
    <row r="579" spans="1:4" x14ac:dyDescent="0.45">
      <c r="A579" t="s">
        <v>9</v>
      </c>
      <c r="B579">
        <v>2015</v>
      </c>
      <c r="C579" t="s">
        <v>60</v>
      </c>
      <c r="D579">
        <v>1.7579</v>
      </c>
    </row>
    <row r="580" spans="1:4" x14ac:dyDescent="0.45">
      <c r="A580" t="s">
        <v>9</v>
      </c>
      <c r="B580">
        <v>2016</v>
      </c>
      <c r="C580" t="s">
        <v>60</v>
      </c>
      <c r="D580">
        <v>1.7579</v>
      </c>
    </row>
    <row r="581" spans="1:4" x14ac:dyDescent="0.45">
      <c r="A581" t="s">
        <v>9</v>
      </c>
      <c r="B581">
        <v>2017</v>
      </c>
      <c r="C581" t="s">
        <v>60</v>
      </c>
      <c r="D581">
        <v>1.7579</v>
      </c>
    </row>
    <row r="582" spans="1:4" x14ac:dyDescent="0.45">
      <c r="A582" t="s">
        <v>9</v>
      </c>
      <c r="B582">
        <v>2004</v>
      </c>
      <c r="C582" t="s">
        <v>60</v>
      </c>
      <c r="D582">
        <v>0.36299999999999999</v>
      </c>
    </row>
    <row r="583" spans="1:4" x14ac:dyDescent="0.45">
      <c r="A583" t="s">
        <v>9</v>
      </c>
      <c r="B583">
        <v>2005</v>
      </c>
      <c r="C583" t="s">
        <v>60</v>
      </c>
      <c r="D583">
        <v>0.49299999999999999</v>
      </c>
    </row>
    <row r="584" spans="1:4" x14ac:dyDescent="0.45">
      <c r="A584" t="s">
        <v>9</v>
      </c>
      <c r="B584">
        <v>2006</v>
      </c>
      <c r="C584" t="s">
        <v>60</v>
      </c>
      <c r="D584">
        <v>0.69799999999999995</v>
      </c>
    </row>
    <row r="585" spans="1:4" x14ac:dyDescent="0.45">
      <c r="A585" t="s">
        <v>9</v>
      </c>
      <c r="B585">
        <v>2007</v>
      </c>
      <c r="C585" t="s">
        <v>60</v>
      </c>
      <c r="D585">
        <v>0.97399999999999998</v>
      </c>
    </row>
    <row r="586" spans="1:4" x14ac:dyDescent="0.45">
      <c r="A586" t="s">
        <v>9</v>
      </c>
      <c r="B586">
        <v>2008</v>
      </c>
      <c r="C586" t="s">
        <v>60</v>
      </c>
      <c r="D586">
        <v>1.153</v>
      </c>
    </row>
    <row r="587" spans="1:4" x14ac:dyDescent="0.45">
      <c r="A587" t="s">
        <v>9</v>
      </c>
      <c r="B587">
        <v>2009</v>
      </c>
      <c r="C587" t="s">
        <v>60</v>
      </c>
      <c r="D587">
        <v>1.6140000000000001</v>
      </c>
    </row>
    <row r="588" spans="1:4" x14ac:dyDescent="0.45">
      <c r="A588" t="s">
        <v>9</v>
      </c>
      <c r="B588">
        <v>2010</v>
      </c>
      <c r="C588" t="s">
        <v>60</v>
      </c>
      <c r="D588">
        <v>2.9089999999999998</v>
      </c>
    </row>
    <row r="589" spans="1:4" x14ac:dyDescent="0.45">
      <c r="A589" t="s">
        <v>9</v>
      </c>
      <c r="B589">
        <v>2004</v>
      </c>
      <c r="C589" t="s">
        <v>60</v>
      </c>
      <c r="D589">
        <v>0.38880000000000003</v>
      </c>
    </row>
    <row r="590" spans="1:4" x14ac:dyDescent="0.45">
      <c r="A590" t="s">
        <v>9</v>
      </c>
      <c r="B590">
        <v>2005</v>
      </c>
      <c r="C590" t="s">
        <v>60</v>
      </c>
      <c r="D590">
        <v>0.40079999999999999</v>
      </c>
    </row>
    <row r="591" spans="1:4" x14ac:dyDescent="0.45">
      <c r="A591" t="s">
        <v>9</v>
      </c>
      <c r="B591">
        <v>2006</v>
      </c>
      <c r="C591" t="s">
        <v>60</v>
      </c>
      <c r="D591">
        <v>0.40079999999999999</v>
      </c>
    </row>
    <row r="592" spans="1:4" x14ac:dyDescent="0.45">
      <c r="A592" t="s">
        <v>9</v>
      </c>
      <c r="B592">
        <v>2007</v>
      </c>
      <c r="C592" t="s">
        <v>60</v>
      </c>
      <c r="D592">
        <v>0.46479999999999999</v>
      </c>
    </row>
    <row r="593" spans="1:4" x14ac:dyDescent="0.45">
      <c r="A593" t="s">
        <v>9</v>
      </c>
      <c r="B593">
        <v>2008</v>
      </c>
      <c r="C593" t="s">
        <v>60</v>
      </c>
      <c r="D593">
        <v>0.46479999999999999</v>
      </c>
    </row>
    <row r="594" spans="1:4" x14ac:dyDescent="0.45">
      <c r="A594" t="s">
        <v>9</v>
      </c>
      <c r="B594">
        <v>2009</v>
      </c>
      <c r="C594" t="s">
        <v>60</v>
      </c>
      <c r="D594">
        <v>0.47299999999999998</v>
      </c>
    </row>
    <row r="595" spans="1:4" x14ac:dyDescent="0.45">
      <c r="A595" t="s">
        <v>9</v>
      </c>
      <c r="B595">
        <v>2010</v>
      </c>
      <c r="C595" t="s">
        <v>60</v>
      </c>
      <c r="D595">
        <v>0.47299999999999998</v>
      </c>
    </row>
    <row r="596" spans="1:4" x14ac:dyDescent="0.45">
      <c r="A596" t="s">
        <v>9</v>
      </c>
      <c r="B596">
        <v>2000</v>
      </c>
      <c r="C596" t="s">
        <v>60</v>
      </c>
      <c r="D596">
        <v>0.17471300000000001</v>
      </c>
    </row>
    <row r="597" spans="1:4" x14ac:dyDescent="0.45">
      <c r="A597" t="s">
        <v>9</v>
      </c>
      <c r="B597">
        <v>2001</v>
      </c>
      <c r="C597" t="s">
        <v>60</v>
      </c>
      <c r="D597">
        <v>0.20980000000000001</v>
      </c>
    </row>
    <row r="598" spans="1:4" x14ac:dyDescent="0.45">
      <c r="A598" t="s">
        <v>9</v>
      </c>
      <c r="B598">
        <v>2002</v>
      </c>
      <c r="C598" t="s">
        <v>60</v>
      </c>
      <c r="D598">
        <v>0.25380000000000003</v>
      </c>
    </row>
    <row r="599" spans="1:4" x14ac:dyDescent="0.45">
      <c r="A599" t="s">
        <v>9</v>
      </c>
      <c r="B599">
        <v>2003</v>
      </c>
      <c r="C599" t="s">
        <v>60</v>
      </c>
      <c r="D599">
        <v>0.29220000000000002</v>
      </c>
    </row>
    <row r="600" spans="1:4" x14ac:dyDescent="0.45">
      <c r="A600" t="s">
        <v>9</v>
      </c>
      <c r="B600">
        <v>2000</v>
      </c>
      <c r="C600" t="s">
        <v>60</v>
      </c>
      <c r="D600">
        <v>0.41899999999999998</v>
      </c>
    </row>
    <row r="601" spans="1:4" x14ac:dyDescent="0.45">
      <c r="A601" t="s">
        <v>9</v>
      </c>
      <c r="B601">
        <v>2001</v>
      </c>
      <c r="C601" t="s">
        <v>60</v>
      </c>
      <c r="D601">
        <v>0.38880000000000003</v>
      </c>
    </row>
    <row r="602" spans="1:4" x14ac:dyDescent="0.45">
      <c r="A602" t="s">
        <v>9</v>
      </c>
      <c r="B602">
        <v>2002</v>
      </c>
      <c r="C602" t="s">
        <v>60</v>
      </c>
      <c r="D602">
        <v>0.38880000000000003</v>
      </c>
    </row>
    <row r="603" spans="1:4" x14ac:dyDescent="0.45">
      <c r="A603" t="s">
        <v>9</v>
      </c>
      <c r="B603">
        <v>2003</v>
      </c>
      <c r="C603" t="s">
        <v>60</v>
      </c>
      <c r="D603">
        <v>0.38880000000000003</v>
      </c>
    </row>
    <row r="604" spans="1:4" x14ac:dyDescent="0.45">
      <c r="A604" t="s">
        <v>9</v>
      </c>
      <c r="B604">
        <v>2002</v>
      </c>
      <c r="C604" t="s">
        <v>59</v>
      </c>
      <c r="D604">
        <v>0.26100000000000001</v>
      </c>
    </row>
    <row r="605" spans="1:4" x14ac:dyDescent="0.45">
      <c r="A605" t="s">
        <v>9</v>
      </c>
      <c r="B605">
        <v>2003</v>
      </c>
      <c r="C605" t="s">
        <v>59</v>
      </c>
      <c r="D605">
        <v>0.3</v>
      </c>
    </row>
    <row r="606" spans="1:4" x14ac:dyDescent="0.45">
      <c r="A606" t="s">
        <v>9</v>
      </c>
      <c r="B606">
        <v>2004</v>
      </c>
      <c r="C606" t="s">
        <v>59</v>
      </c>
      <c r="D606">
        <v>0.378</v>
      </c>
    </row>
    <row r="607" spans="1:4" x14ac:dyDescent="0.45">
      <c r="A607" t="s">
        <v>9</v>
      </c>
      <c r="B607">
        <v>2005</v>
      </c>
      <c r="C607" t="s">
        <v>59</v>
      </c>
      <c r="D607">
        <v>0.52400000000000002</v>
      </c>
    </row>
    <row r="608" spans="1:4" x14ac:dyDescent="0.45">
      <c r="A608" t="s">
        <v>9</v>
      </c>
      <c r="B608">
        <v>2006</v>
      </c>
      <c r="C608" t="s">
        <v>59</v>
      </c>
      <c r="D608">
        <v>0.73699999999999999</v>
      </c>
    </row>
    <row r="609" spans="1:4" x14ac:dyDescent="0.45">
      <c r="A609" t="s">
        <v>9</v>
      </c>
      <c r="B609">
        <v>2007</v>
      </c>
      <c r="C609" t="s">
        <v>59</v>
      </c>
      <c r="D609">
        <v>1.0009999999999999</v>
      </c>
    </row>
    <row r="610" spans="1:4" x14ac:dyDescent="0.45">
      <c r="A610" t="s">
        <v>9</v>
      </c>
      <c r="B610">
        <v>2008</v>
      </c>
      <c r="C610" t="s">
        <v>59</v>
      </c>
      <c r="D610">
        <v>1.214</v>
      </c>
    </row>
    <row r="611" spans="1:4" x14ac:dyDescent="0.45">
      <c r="A611" t="s">
        <v>9</v>
      </c>
      <c r="B611">
        <v>2009</v>
      </c>
      <c r="C611" t="s">
        <v>59</v>
      </c>
      <c r="D611">
        <v>1.6990000000000001</v>
      </c>
    </row>
    <row r="612" spans="1:4" x14ac:dyDescent="0.45">
      <c r="A612" t="s">
        <v>9</v>
      </c>
      <c r="B612">
        <v>2010</v>
      </c>
      <c r="C612" t="s">
        <v>59</v>
      </c>
      <c r="D612">
        <v>3.0630000000000002</v>
      </c>
    </row>
    <row r="613" spans="1:4" x14ac:dyDescent="0.45">
      <c r="A613" t="s">
        <v>9</v>
      </c>
      <c r="B613">
        <v>2011</v>
      </c>
      <c r="C613" t="s">
        <v>59</v>
      </c>
      <c r="D613">
        <v>5.3220000000000001</v>
      </c>
    </row>
    <row r="614" spans="1:4" x14ac:dyDescent="0.45">
      <c r="A614" t="s">
        <v>9</v>
      </c>
      <c r="B614">
        <v>2012</v>
      </c>
      <c r="C614" t="s">
        <v>59</v>
      </c>
      <c r="D614">
        <v>9.1859999999999999</v>
      </c>
    </row>
    <row r="615" spans="1:4" x14ac:dyDescent="0.45">
      <c r="A615" t="s">
        <v>9</v>
      </c>
      <c r="B615">
        <v>2013</v>
      </c>
      <c r="C615" t="s">
        <v>59</v>
      </c>
      <c r="D615">
        <v>14.858000000000001</v>
      </c>
    </row>
    <row r="616" spans="1:4" x14ac:dyDescent="0.45">
      <c r="A616" t="s">
        <v>9</v>
      </c>
      <c r="B616">
        <v>2014</v>
      </c>
      <c r="C616" t="s">
        <v>59</v>
      </c>
      <c r="D616">
        <v>23.076000000000001</v>
      </c>
    </row>
    <row r="617" spans="1:4" x14ac:dyDescent="0.45">
      <c r="A617" t="s">
        <v>9</v>
      </c>
      <c r="B617">
        <v>2015</v>
      </c>
      <c r="C617" t="s">
        <v>59</v>
      </c>
      <c r="D617">
        <v>32.091000000000001</v>
      </c>
    </row>
    <row r="618" spans="1:4" x14ac:dyDescent="0.45">
      <c r="A618" t="s">
        <v>9</v>
      </c>
      <c r="B618">
        <v>2016</v>
      </c>
      <c r="C618" t="s">
        <v>59</v>
      </c>
      <c r="D618">
        <v>46.633000000000003</v>
      </c>
    </row>
    <row r="619" spans="1:4" x14ac:dyDescent="0.45">
      <c r="A619" t="s">
        <v>9</v>
      </c>
      <c r="B619">
        <v>2017</v>
      </c>
      <c r="C619" t="s">
        <v>59</v>
      </c>
      <c r="D619">
        <v>67.393000000000001</v>
      </c>
    </row>
    <row r="620" spans="1:4" x14ac:dyDescent="0.45">
      <c r="A620" t="s">
        <v>9</v>
      </c>
      <c r="B620">
        <v>2018</v>
      </c>
      <c r="C620" t="s">
        <v>59</v>
      </c>
      <c r="D620">
        <v>81.244</v>
      </c>
    </row>
    <row r="621" spans="1:4" x14ac:dyDescent="0.45">
      <c r="A621" t="s">
        <v>9</v>
      </c>
      <c r="B621">
        <v>2019</v>
      </c>
      <c r="C621" t="s">
        <v>59</v>
      </c>
      <c r="D621">
        <v>93.942999999999998</v>
      </c>
    </row>
    <row r="622" spans="1:4" x14ac:dyDescent="0.45">
      <c r="A622" t="s">
        <v>9</v>
      </c>
      <c r="B622">
        <v>2020</v>
      </c>
      <c r="C622" t="s">
        <v>59</v>
      </c>
      <c r="D622">
        <v>115.902</v>
      </c>
    </row>
    <row r="623" spans="1:4" x14ac:dyDescent="0.45">
      <c r="A623" t="s">
        <v>9</v>
      </c>
      <c r="B623">
        <v>2021</v>
      </c>
      <c r="C623" t="s">
        <v>59</v>
      </c>
      <c r="D623">
        <v>148.15299999999999</v>
      </c>
    </row>
    <row r="624" spans="1:4" x14ac:dyDescent="0.45">
      <c r="A624" t="s">
        <v>9</v>
      </c>
      <c r="B624">
        <v>2022</v>
      </c>
      <c r="C624" t="s">
        <v>59</v>
      </c>
      <c r="D624">
        <v>183.81200000000001</v>
      </c>
    </row>
    <row r="625" spans="1:4" x14ac:dyDescent="0.45">
      <c r="A625" t="s">
        <v>9</v>
      </c>
      <c r="B625">
        <v>2002</v>
      </c>
      <c r="C625" t="s">
        <v>59</v>
      </c>
      <c r="D625">
        <v>0.56899999999999995</v>
      </c>
    </row>
    <row r="626" spans="1:4" x14ac:dyDescent="0.45">
      <c r="A626" t="s">
        <v>9</v>
      </c>
      <c r="B626">
        <v>2003</v>
      </c>
      <c r="C626" t="s">
        <v>59</v>
      </c>
      <c r="D626">
        <v>0.54800000000000004</v>
      </c>
    </row>
    <row r="627" spans="1:4" x14ac:dyDescent="0.45">
      <c r="A627" t="s">
        <v>9</v>
      </c>
      <c r="B627">
        <v>2004</v>
      </c>
      <c r="C627" t="s">
        <v>59</v>
      </c>
      <c r="D627">
        <v>0.58699999999999997</v>
      </c>
    </row>
    <row r="628" spans="1:4" x14ac:dyDescent="0.45">
      <c r="A628" t="s">
        <v>9</v>
      </c>
      <c r="B628">
        <v>2005</v>
      </c>
      <c r="C628" t="s">
        <v>59</v>
      </c>
      <c r="D628">
        <v>0.59599999999999997</v>
      </c>
    </row>
    <row r="629" spans="1:4" x14ac:dyDescent="0.45">
      <c r="A629" t="s">
        <v>9</v>
      </c>
      <c r="B629">
        <v>2006</v>
      </c>
      <c r="C629" t="s">
        <v>59</v>
      </c>
      <c r="D629">
        <v>0.55000000000000004</v>
      </c>
    </row>
    <row r="630" spans="1:4" x14ac:dyDescent="0.45">
      <c r="A630" t="s">
        <v>9</v>
      </c>
      <c r="B630">
        <v>2007</v>
      </c>
      <c r="C630" t="s">
        <v>59</v>
      </c>
      <c r="D630">
        <v>0.67300000000000004</v>
      </c>
    </row>
    <row r="631" spans="1:4" x14ac:dyDescent="0.45">
      <c r="A631" t="s">
        <v>9</v>
      </c>
      <c r="B631">
        <v>2008</v>
      </c>
      <c r="C631" t="s">
        <v>59</v>
      </c>
      <c r="D631">
        <v>0.879</v>
      </c>
    </row>
    <row r="632" spans="1:4" x14ac:dyDescent="0.45">
      <c r="A632" t="s">
        <v>9</v>
      </c>
      <c r="B632">
        <v>2009</v>
      </c>
      <c r="C632" t="s">
        <v>59</v>
      </c>
      <c r="D632">
        <v>0.81599999999999995</v>
      </c>
    </row>
    <row r="633" spans="1:4" x14ac:dyDescent="0.45">
      <c r="A633" t="s">
        <v>9</v>
      </c>
      <c r="B633">
        <v>2010</v>
      </c>
      <c r="C633" t="s">
        <v>59</v>
      </c>
      <c r="D633">
        <v>0.879</v>
      </c>
    </row>
    <row r="634" spans="1:4" x14ac:dyDescent="0.45">
      <c r="A634" t="s">
        <v>9</v>
      </c>
      <c r="B634">
        <v>2011</v>
      </c>
      <c r="C634" t="s">
        <v>59</v>
      </c>
      <c r="D634">
        <v>0.89300000000000002</v>
      </c>
    </row>
    <row r="635" spans="1:4" x14ac:dyDescent="0.45">
      <c r="A635" t="s">
        <v>9</v>
      </c>
      <c r="B635">
        <v>2012</v>
      </c>
      <c r="C635" t="s">
        <v>59</v>
      </c>
      <c r="D635">
        <v>0.95899999999999996</v>
      </c>
    </row>
    <row r="636" spans="1:4" x14ac:dyDescent="0.45">
      <c r="A636" t="s">
        <v>9</v>
      </c>
      <c r="B636">
        <v>2013</v>
      </c>
      <c r="C636" t="s">
        <v>59</v>
      </c>
      <c r="D636">
        <v>1.014</v>
      </c>
    </row>
    <row r="637" spans="1:4" x14ac:dyDescent="0.45">
      <c r="A637" t="s">
        <v>9</v>
      </c>
      <c r="B637">
        <v>2014</v>
      </c>
      <c r="C637" t="s">
        <v>59</v>
      </c>
      <c r="D637">
        <v>2.6880000000000002</v>
      </c>
    </row>
    <row r="638" spans="1:4" x14ac:dyDescent="0.45">
      <c r="A638" t="s">
        <v>9</v>
      </c>
      <c r="B638">
        <v>2015</v>
      </c>
      <c r="C638" t="s">
        <v>59</v>
      </c>
      <c r="D638">
        <v>3.544</v>
      </c>
    </row>
    <row r="639" spans="1:4" x14ac:dyDescent="0.45">
      <c r="A639" t="s">
        <v>9</v>
      </c>
      <c r="B639">
        <v>2016</v>
      </c>
      <c r="C639" t="s">
        <v>59</v>
      </c>
      <c r="D639">
        <v>3.7010000000000001</v>
      </c>
    </row>
    <row r="640" spans="1:4" x14ac:dyDescent="0.45">
      <c r="A640" t="s">
        <v>9</v>
      </c>
      <c r="B640">
        <v>2017</v>
      </c>
      <c r="C640" t="s">
        <v>59</v>
      </c>
      <c r="D640">
        <v>3.5870000000000002</v>
      </c>
    </row>
    <row r="641" spans="1:4" x14ac:dyDescent="0.45">
      <c r="A641" t="s">
        <v>9</v>
      </c>
      <c r="B641">
        <v>2018</v>
      </c>
      <c r="C641" t="s">
        <v>59</v>
      </c>
      <c r="D641">
        <v>3.94</v>
      </c>
    </row>
    <row r="642" spans="1:4" x14ac:dyDescent="0.45">
      <c r="A642" t="s">
        <v>9</v>
      </c>
      <c r="B642">
        <v>2019</v>
      </c>
      <c r="C642" t="s">
        <v>59</v>
      </c>
      <c r="D642">
        <v>3.5350000000000001</v>
      </c>
    </row>
    <row r="643" spans="1:4" x14ac:dyDescent="0.45">
      <c r="A643" t="s">
        <v>9</v>
      </c>
      <c r="B643">
        <v>2020</v>
      </c>
      <c r="C643" t="s">
        <v>59</v>
      </c>
      <c r="D643">
        <v>3.427</v>
      </c>
    </row>
    <row r="644" spans="1:4" x14ac:dyDescent="0.45">
      <c r="A644" t="s">
        <v>9</v>
      </c>
      <c r="B644">
        <v>2021</v>
      </c>
      <c r="C644" t="s">
        <v>59</v>
      </c>
      <c r="D644">
        <v>3.17</v>
      </c>
    </row>
    <row r="645" spans="1:4" x14ac:dyDescent="0.45">
      <c r="A645" t="s">
        <v>9</v>
      </c>
      <c r="B645">
        <v>2022</v>
      </c>
      <c r="C645" t="s">
        <v>59</v>
      </c>
      <c r="D645">
        <v>3.2589999999999999</v>
      </c>
    </row>
    <row r="646" spans="1:4" x14ac:dyDescent="0.45">
      <c r="A646" t="s">
        <v>9</v>
      </c>
      <c r="B646">
        <v>2000</v>
      </c>
      <c r="C646" t="s">
        <v>59</v>
      </c>
      <c r="D646">
        <v>0.183</v>
      </c>
    </row>
    <row r="647" spans="1:4" x14ac:dyDescent="0.45">
      <c r="A647" t="s">
        <v>9</v>
      </c>
      <c r="B647">
        <v>2001</v>
      </c>
      <c r="C647" t="s">
        <v>59</v>
      </c>
      <c r="D647">
        <v>0.22</v>
      </c>
    </row>
    <row r="648" spans="1:4" x14ac:dyDescent="0.45">
      <c r="A648" t="s">
        <v>9</v>
      </c>
      <c r="B648">
        <v>2000</v>
      </c>
      <c r="C648" t="s">
        <v>59</v>
      </c>
      <c r="D648">
        <v>0.52600000000000002</v>
      </c>
    </row>
    <row r="649" spans="1:4" x14ac:dyDescent="0.45">
      <c r="A649" t="s">
        <v>9</v>
      </c>
      <c r="B649">
        <v>2001</v>
      </c>
      <c r="C649" t="s">
        <v>59</v>
      </c>
      <c r="D649">
        <v>0.56499999999999995</v>
      </c>
    </row>
    <row r="650" spans="1:4" x14ac:dyDescent="0.45">
      <c r="A650" t="s">
        <v>91</v>
      </c>
      <c r="B650">
        <v>2018</v>
      </c>
      <c r="C650" t="s">
        <v>60</v>
      </c>
      <c r="D650">
        <v>94.636884999999992</v>
      </c>
    </row>
    <row r="651" spans="1:4" x14ac:dyDescent="0.45">
      <c r="A651" t="s">
        <v>91</v>
      </c>
      <c r="B651">
        <v>2019</v>
      </c>
      <c r="C651" t="s">
        <v>60</v>
      </c>
      <c r="D651">
        <v>103.80625599999999</v>
      </c>
    </row>
    <row r="652" spans="1:4" x14ac:dyDescent="0.45">
      <c r="A652" t="s">
        <v>91</v>
      </c>
      <c r="B652">
        <v>2020</v>
      </c>
      <c r="C652" t="s">
        <v>60</v>
      </c>
      <c r="D652">
        <v>118.63424000000001</v>
      </c>
    </row>
    <row r="653" spans="1:4" x14ac:dyDescent="0.45">
      <c r="A653" t="s">
        <v>91</v>
      </c>
      <c r="B653">
        <v>2021</v>
      </c>
      <c r="C653" t="s">
        <v>60</v>
      </c>
      <c r="D653">
        <v>132.97797700000001</v>
      </c>
    </row>
    <row r="654" spans="1:4" x14ac:dyDescent="0.45">
      <c r="A654" t="s">
        <v>91</v>
      </c>
      <c r="B654">
        <v>2022</v>
      </c>
      <c r="C654" t="s">
        <v>60</v>
      </c>
      <c r="D654">
        <v>141.63261199999999</v>
      </c>
    </row>
    <row r="655" spans="1:4" x14ac:dyDescent="0.45">
      <c r="A655" t="s">
        <v>91</v>
      </c>
      <c r="B655">
        <v>2023</v>
      </c>
      <c r="C655" t="s">
        <v>60</v>
      </c>
      <c r="D655">
        <v>147.97856099999998</v>
      </c>
    </row>
    <row r="656" spans="1:4" x14ac:dyDescent="0.45">
      <c r="A656" t="s">
        <v>91</v>
      </c>
      <c r="B656">
        <v>2024</v>
      </c>
      <c r="C656" t="s">
        <v>60</v>
      </c>
      <c r="D656">
        <v>152.98096100000001</v>
      </c>
    </row>
    <row r="657" spans="1:4" x14ac:dyDescent="0.45">
      <c r="A657" t="s">
        <v>91</v>
      </c>
      <c r="B657">
        <v>2011</v>
      </c>
      <c r="C657" t="s">
        <v>60</v>
      </c>
      <c r="D657">
        <v>45.794967999999997</v>
      </c>
    </row>
    <row r="658" spans="1:4" x14ac:dyDescent="0.45">
      <c r="A658" t="s">
        <v>91</v>
      </c>
      <c r="B658">
        <v>2012</v>
      </c>
      <c r="C658" t="s">
        <v>60</v>
      </c>
      <c r="D658">
        <v>59.453299000000001</v>
      </c>
    </row>
    <row r="659" spans="1:4" x14ac:dyDescent="0.45">
      <c r="A659" t="s">
        <v>91</v>
      </c>
      <c r="B659">
        <v>2013</v>
      </c>
      <c r="C659" t="s">
        <v>60</v>
      </c>
      <c r="D659">
        <v>60.198163999999998</v>
      </c>
    </row>
    <row r="660" spans="1:4" x14ac:dyDescent="0.45">
      <c r="A660" t="s">
        <v>91</v>
      </c>
      <c r="B660">
        <v>2014</v>
      </c>
      <c r="C660" t="s">
        <v>60</v>
      </c>
      <c r="D660">
        <v>64.430166</v>
      </c>
    </row>
    <row r="661" spans="1:4" x14ac:dyDescent="0.45">
      <c r="A661" t="s">
        <v>91</v>
      </c>
      <c r="B661">
        <v>2015</v>
      </c>
      <c r="C661" t="s">
        <v>60</v>
      </c>
      <c r="D661">
        <v>72.767216000000005</v>
      </c>
    </row>
    <row r="662" spans="1:4" x14ac:dyDescent="0.45">
      <c r="A662" t="s">
        <v>91</v>
      </c>
      <c r="B662">
        <v>2016</v>
      </c>
      <c r="C662" t="s">
        <v>60</v>
      </c>
      <c r="D662">
        <v>81.473061999999999</v>
      </c>
    </row>
    <row r="663" spans="1:4" x14ac:dyDescent="0.45">
      <c r="A663" t="s">
        <v>91</v>
      </c>
      <c r="B663">
        <v>2017</v>
      </c>
      <c r="C663" t="s">
        <v>60</v>
      </c>
      <c r="D663">
        <v>87.801479999999998</v>
      </c>
    </row>
    <row r="664" spans="1:4" x14ac:dyDescent="0.45">
      <c r="A664" t="s">
        <v>91</v>
      </c>
      <c r="B664">
        <v>2004</v>
      </c>
      <c r="C664" t="s">
        <v>60</v>
      </c>
      <c r="D664">
        <v>6.4558</v>
      </c>
    </row>
    <row r="665" spans="1:4" x14ac:dyDescent="0.45">
      <c r="A665" t="s">
        <v>91</v>
      </c>
      <c r="B665">
        <v>2005</v>
      </c>
      <c r="C665" t="s">
        <v>60</v>
      </c>
      <c r="D665">
        <v>8.70641</v>
      </c>
    </row>
    <row r="666" spans="1:4" x14ac:dyDescent="0.45">
      <c r="A666" t="s">
        <v>91</v>
      </c>
      <c r="B666">
        <v>2006</v>
      </c>
      <c r="C666" t="s">
        <v>60</v>
      </c>
      <c r="D666">
        <v>11.328790000000001</v>
      </c>
    </row>
    <row r="667" spans="1:4" x14ac:dyDescent="0.45">
      <c r="A667" t="s">
        <v>91</v>
      </c>
      <c r="B667">
        <v>2007</v>
      </c>
      <c r="C667" t="s">
        <v>60</v>
      </c>
      <c r="D667">
        <v>16.515099999999997</v>
      </c>
    </row>
    <row r="668" spans="1:4" x14ac:dyDescent="0.45">
      <c r="A668" t="s">
        <v>91</v>
      </c>
      <c r="B668">
        <v>2008</v>
      </c>
      <c r="C668" t="s">
        <v>60</v>
      </c>
      <c r="D668">
        <v>24.651299999999999</v>
      </c>
    </row>
    <row r="669" spans="1:4" x14ac:dyDescent="0.45">
      <c r="A669" t="s">
        <v>91</v>
      </c>
      <c r="B669">
        <v>2009</v>
      </c>
      <c r="C669" t="s">
        <v>60</v>
      </c>
      <c r="D669">
        <v>34.2958</v>
      </c>
    </row>
    <row r="670" spans="1:4" x14ac:dyDescent="0.45">
      <c r="A670" t="s">
        <v>91</v>
      </c>
      <c r="B670">
        <v>2010</v>
      </c>
      <c r="C670" t="s">
        <v>60</v>
      </c>
      <c r="D670">
        <v>39.349694999999997</v>
      </c>
    </row>
    <row r="671" spans="1:4" x14ac:dyDescent="0.45">
      <c r="A671" t="s">
        <v>91</v>
      </c>
      <c r="B671">
        <v>2000</v>
      </c>
      <c r="C671" t="s">
        <v>60</v>
      </c>
      <c r="D671">
        <v>2.3769999999999998</v>
      </c>
    </row>
    <row r="672" spans="1:4" x14ac:dyDescent="0.45">
      <c r="A672" t="s">
        <v>91</v>
      </c>
      <c r="B672">
        <v>2001</v>
      </c>
      <c r="C672" t="s">
        <v>60</v>
      </c>
      <c r="D672">
        <v>3.8636399999999997</v>
      </c>
    </row>
    <row r="673" spans="1:4" x14ac:dyDescent="0.45">
      <c r="A673" t="s">
        <v>91</v>
      </c>
      <c r="B673">
        <v>2002</v>
      </c>
      <c r="C673" t="s">
        <v>60</v>
      </c>
      <c r="D673">
        <v>4.4166400000000001</v>
      </c>
    </row>
    <row r="674" spans="1:4" x14ac:dyDescent="0.45">
      <c r="A674" t="s">
        <v>91</v>
      </c>
      <c r="B674">
        <v>2003</v>
      </c>
      <c r="C674" t="s">
        <v>60</v>
      </c>
      <c r="D674">
        <v>5.99519</v>
      </c>
    </row>
    <row r="675" spans="1:4" x14ac:dyDescent="0.45">
      <c r="A675" t="s">
        <v>91</v>
      </c>
      <c r="B675">
        <v>2002</v>
      </c>
      <c r="C675" t="s">
        <v>59</v>
      </c>
      <c r="D675">
        <v>10.459</v>
      </c>
    </row>
    <row r="676" spans="1:4" x14ac:dyDescent="0.45">
      <c r="A676" t="s">
        <v>91</v>
      </c>
      <c r="B676">
        <v>2003</v>
      </c>
      <c r="C676" t="s">
        <v>59</v>
      </c>
      <c r="D676">
        <v>11.3</v>
      </c>
    </row>
    <row r="677" spans="1:4" x14ac:dyDescent="0.45">
      <c r="A677" t="s">
        <v>91</v>
      </c>
      <c r="B677">
        <v>2004</v>
      </c>
      <c r="C677" t="s">
        <v>59</v>
      </c>
      <c r="D677">
        <v>14.291</v>
      </c>
    </row>
    <row r="678" spans="1:4" x14ac:dyDescent="0.45">
      <c r="A678" t="s">
        <v>91</v>
      </c>
      <c r="B678">
        <v>2005</v>
      </c>
      <c r="C678" t="s">
        <v>59</v>
      </c>
      <c r="D678">
        <v>17.881</v>
      </c>
    </row>
    <row r="679" spans="1:4" x14ac:dyDescent="0.45">
      <c r="A679" t="s">
        <v>91</v>
      </c>
      <c r="B679">
        <v>2006</v>
      </c>
      <c r="C679" t="s">
        <v>59</v>
      </c>
      <c r="D679">
        <v>26.675999999999998</v>
      </c>
    </row>
    <row r="680" spans="1:4" x14ac:dyDescent="0.45">
      <c r="A680" t="s">
        <v>91</v>
      </c>
      <c r="B680">
        <v>2007</v>
      </c>
      <c r="C680" t="s">
        <v>59</v>
      </c>
      <c r="D680">
        <v>34.603000000000002</v>
      </c>
    </row>
    <row r="681" spans="1:4" x14ac:dyDescent="0.45">
      <c r="A681" t="s">
        <v>91</v>
      </c>
      <c r="B681">
        <v>2008</v>
      </c>
      <c r="C681" t="s">
        <v>59</v>
      </c>
      <c r="D681">
        <v>55.695999999999998</v>
      </c>
    </row>
    <row r="682" spans="1:4" x14ac:dyDescent="0.45">
      <c r="A682" t="s">
        <v>91</v>
      </c>
      <c r="B682">
        <v>2009</v>
      </c>
      <c r="C682" t="s">
        <v>59</v>
      </c>
      <c r="D682">
        <v>74.225999999999999</v>
      </c>
    </row>
    <row r="683" spans="1:4" x14ac:dyDescent="0.45">
      <c r="A683" t="s">
        <v>91</v>
      </c>
      <c r="B683">
        <v>2010</v>
      </c>
      <c r="C683" t="s">
        <v>59</v>
      </c>
      <c r="D683">
        <v>95.147999999999996</v>
      </c>
    </row>
    <row r="684" spans="1:4" x14ac:dyDescent="0.45">
      <c r="A684" t="s">
        <v>91</v>
      </c>
      <c r="B684">
        <v>2011</v>
      </c>
      <c r="C684" t="s">
        <v>59</v>
      </c>
      <c r="D684">
        <v>120.854</v>
      </c>
    </row>
    <row r="685" spans="1:4" x14ac:dyDescent="0.45">
      <c r="A685" t="s">
        <v>91</v>
      </c>
      <c r="B685">
        <v>2012</v>
      </c>
      <c r="C685" t="s">
        <v>59</v>
      </c>
      <c r="D685">
        <v>141.922</v>
      </c>
    </row>
    <row r="686" spans="1:4" x14ac:dyDescent="0.45">
      <c r="A686" t="s">
        <v>91</v>
      </c>
      <c r="B686">
        <v>2013</v>
      </c>
      <c r="C686" t="s">
        <v>59</v>
      </c>
      <c r="D686">
        <v>169.71299999999999</v>
      </c>
    </row>
    <row r="687" spans="1:4" x14ac:dyDescent="0.45">
      <c r="A687" t="s">
        <v>91</v>
      </c>
      <c r="B687">
        <v>2014</v>
      </c>
      <c r="C687" t="s">
        <v>59</v>
      </c>
      <c r="D687">
        <v>183.89189999999999</v>
      </c>
    </row>
    <row r="688" spans="1:4" x14ac:dyDescent="0.45">
      <c r="A688" t="s">
        <v>91</v>
      </c>
      <c r="B688">
        <v>2015</v>
      </c>
      <c r="C688" t="s">
        <v>59</v>
      </c>
      <c r="D688">
        <v>192.99182500000001</v>
      </c>
    </row>
    <row r="689" spans="1:4" x14ac:dyDescent="0.45">
      <c r="A689" t="s">
        <v>91</v>
      </c>
      <c r="B689">
        <v>2016</v>
      </c>
      <c r="C689" t="s">
        <v>59</v>
      </c>
      <c r="D689">
        <v>229.36833300000001</v>
      </c>
    </row>
    <row r="690" spans="1:4" x14ac:dyDescent="0.45">
      <c r="A690" t="s">
        <v>91</v>
      </c>
      <c r="B690">
        <v>2017</v>
      </c>
      <c r="C690" t="s">
        <v>59</v>
      </c>
      <c r="D690">
        <v>257.14633300000003</v>
      </c>
    </row>
    <row r="691" spans="1:4" x14ac:dyDescent="0.45">
      <c r="A691" t="s">
        <v>91</v>
      </c>
      <c r="B691">
        <v>2018</v>
      </c>
      <c r="C691" t="s">
        <v>59</v>
      </c>
      <c r="D691">
        <v>275.73133300000001</v>
      </c>
    </row>
    <row r="692" spans="1:4" x14ac:dyDescent="0.45">
      <c r="A692" t="s">
        <v>91</v>
      </c>
      <c r="B692">
        <v>2019</v>
      </c>
      <c r="C692" t="s">
        <v>59</v>
      </c>
      <c r="D692">
        <v>298.09733299999999</v>
      </c>
    </row>
    <row r="693" spans="1:4" x14ac:dyDescent="0.45">
      <c r="A693" t="s">
        <v>91</v>
      </c>
      <c r="B693">
        <v>2020</v>
      </c>
      <c r="C693" t="s">
        <v>59</v>
      </c>
      <c r="D693">
        <v>341.67328499999996</v>
      </c>
    </row>
    <row r="694" spans="1:4" x14ac:dyDescent="0.45">
      <c r="A694" t="s">
        <v>91</v>
      </c>
      <c r="B694">
        <v>2021</v>
      </c>
      <c r="C694" t="s">
        <v>59</v>
      </c>
      <c r="D694">
        <v>382.669285</v>
      </c>
    </row>
    <row r="695" spans="1:4" x14ac:dyDescent="0.45">
      <c r="A695" t="s">
        <v>91</v>
      </c>
      <c r="B695">
        <v>2022</v>
      </c>
      <c r="C695" t="s">
        <v>59</v>
      </c>
      <c r="D695">
        <v>439.12528499999996</v>
      </c>
    </row>
    <row r="696" spans="1:4" x14ac:dyDescent="0.45">
      <c r="A696" t="s">
        <v>91</v>
      </c>
      <c r="B696">
        <v>2000</v>
      </c>
      <c r="C696" t="s">
        <v>59</v>
      </c>
      <c r="D696">
        <v>5.65</v>
      </c>
    </row>
    <row r="697" spans="1:4" x14ac:dyDescent="0.45">
      <c r="A697" t="s">
        <v>91</v>
      </c>
      <c r="B697">
        <v>2001</v>
      </c>
      <c r="C697" t="s">
        <v>59</v>
      </c>
      <c r="D697">
        <v>6.806</v>
      </c>
    </row>
    <row r="698" spans="1:4" x14ac:dyDescent="0.45">
      <c r="A698" t="s">
        <v>90</v>
      </c>
      <c r="B698">
        <v>2018</v>
      </c>
      <c r="C698" t="s">
        <v>60</v>
      </c>
      <c r="D698">
        <v>2.93E-2</v>
      </c>
    </row>
    <row r="699" spans="1:4" x14ac:dyDescent="0.45">
      <c r="A699" t="s">
        <v>90</v>
      </c>
      <c r="B699">
        <v>2019</v>
      </c>
      <c r="C699" t="s">
        <v>60</v>
      </c>
      <c r="D699">
        <v>2.93E-2</v>
      </c>
    </row>
    <row r="700" spans="1:4" x14ac:dyDescent="0.45">
      <c r="A700" t="s">
        <v>90</v>
      </c>
      <c r="B700">
        <v>2020</v>
      </c>
      <c r="C700" t="s">
        <v>60</v>
      </c>
      <c r="D700">
        <v>2.93E-2</v>
      </c>
    </row>
    <row r="701" spans="1:4" x14ac:dyDescent="0.45">
      <c r="A701" t="s">
        <v>90</v>
      </c>
      <c r="B701">
        <v>2021</v>
      </c>
      <c r="C701" t="s">
        <v>60</v>
      </c>
      <c r="D701">
        <v>4.1299999999999996E-2</v>
      </c>
    </row>
    <row r="702" spans="1:4" x14ac:dyDescent="0.45">
      <c r="A702" t="s">
        <v>90</v>
      </c>
      <c r="B702">
        <v>2022</v>
      </c>
      <c r="C702" t="s">
        <v>60</v>
      </c>
      <c r="D702">
        <v>4.1299999999999996E-2</v>
      </c>
    </row>
    <row r="703" spans="1:4" x14ac:dyDescent="0.45">
      <c r="A703" t="s">
        <v>90</v>
      </c>
      <c r="B703">
        <v>2023</v>
      </c>
      <c r="C703" t="s">
        <v>60</v>
      </c>
      <c r="D703">
        <v>4.1299999999999996E-2</v>
      </c>
    </row>
    <row r="704" spans="1:4" x14ac:dyDescent="0.45">
      <c r="A704" t="s">
        <v>90</v>
      </c>
      <c r="B704">
        <v>2024</v>
      </c>
      <c r="C704" t="s">
        <v>60</v>
      </c>
      <c r="D704">
        <v>0.17130000000000001</v>
      </c>
    </row>
    <row r="705" spans="1:4" x14ac:dyDescent="0.45">
      <c r="A705" t="s">
        <v>90</v>
      </c>
      <c r="B705">
        <v>2014</v>
      </c>
      <c r="C705" t="s">
        <v>60</v>
      </c>
      <c r="D705">
        <v>2.0000000000000002E-5</v>
      </c>
    </row>
    <row r="706" spans="1:4" x14ac:dyDescent="0.45">
      <c r="A706" t="s">
        <v>90</v>
      </c>
      <c r="B706">
        <v>2015</v>
      </c>
      <c r="C706" t="s">
        <v>60</v>
      </c>
      <c r="D706">
        <v>2.0000000000000002E-5</v>
      </c>
    </row>
    <row r="707" spans="1:4" x14ac:dyDescent="0.45">
      <c r="A707" t="s">
        <v>90</v>
      </c>
      <c r="B707">
        <v>2016</v>
      </c>
      <c r="C707" t="s">
        <v>60</v>
      </c>
      <c r="D707">
        <v>2.93E-2</v>
      </c>
    </row>
    <row r="708" spans="1:4" x14ac:dyDescent="0.45">
      <c r="A708" t="s">
        <v>90</v>
      </c>
      <c r="B708">
        <v>2017</v>
      </c>
      <c r="C708" t="s">
        <v>60</v>
      </c>
      <c r="D708">
        <v>2.93E-2</v>
      </c>
    </row>
    <row r="709" spans="1:4" x14ac:dyDescent="0.45">
      <c r="A709" t="s">
        <v>90</v>
      </c>
      <c r="B709">
        <v>2014</v>
      </c>
      <c r="C709" t="s">
        <v>59</v>
      </c>
      <c r="D709">
        <v>1E-4</v>
      </c>
    </row>
    <row r="710" spans="1:4" x14ac:dyDescent="0.45">
      <c r="A710" t="s">
        <v>90</v>
      </c>
      <c r="B710">
        <v>2015</v>
      </c>
      <c r="C710" t="s">
        <v>59</v>
      </c>
      <c r="D710">
        <v>1.75E-4</v>
      </c>
    </row>
    <row r="711" spans="1:4" x14ac:dyDescent="0.45">
      <c r="A711" t="s">
        <v>90</v>
      </c>
      <c r="B711">
        <v>2016</v>
      </c>
      <c r="C711" t="s">
        <v>59</v>
      </c>
      <c r="D711">
        <v>0.10266700000000001</v>
      </c>
    </row>
    <row r="712" spans="1:4" x14ac:dyDescent="0.45">
      <c r="A712" t="s">
        <v>90</v>
      </c>
      <c r="B712">
        <v>2017</v>
      </c>
      <c r="C712" t="s">
        <v>59</v>
      </c>
      <c r="D712">
        <v>0.10266700000000001</v>
      </c>
    </row>
    <row r="713" spans="1:4" x14ac:dyDescent="0.45">
      <c r="A713" t="s">
        <v>90</v>
      </c>
      <c r="B713">
        <v>2018</v>
      </c>
      <c r="C713" t="s">
        <v>59</v>
      </c>
      <c r="D713">
        <v>0.10266700000000001</v>
      </c>
    </row>
    <row r="714" spans="1:4" x14ac:dyDescent="0.45">
      <c r="A714" t="s">
        <v>90</v>
      </c>
      <c r="B714">
        <v>2019</v>
      </c>
      <c r="C714" t="s">
        <v>59</v>
      </c>
      <c r="D714">
        <v>0.10266700000000001</v>
      </c>
    </row>
    <row r="715" spans="1:4" x14ac:dyDescent="0.45">
      <c r="A715" t="s">
        <v>90</v>
      </c>
      <c r="B715">
        <v>2020</v>
      </c>
      <c r="C715" t="s">
        <v>59</v>
      </c>
      <c r="D715">
        <v>0.14471500000000001</v>
      </c>
    </row>
    <row r="716" spans="1:4" x14ac:dyDescent="0.45">
      <c r="A716" t="s">
        <v>90</v>
      </c>
      <c r="B716">
        <v>2021</v>
      </c>
      <c r="C716" t="s">
        <v>59</v>
      </c>
      <c r="D716">
        <v>0.14471500000000001</v>
      </c>
    </row>
    <row r="717" spans="1:4" x14ac:dyDescent="0.45">
      <c r="A717" t="s">
        <v>90</v>
      </c>
      <c r="B717">
        <v>2022</v>
      </c>
      <c r="C717" t="s">
        <v>59</v>
      </c>
      <c r="D717">
        <v>0.14471500000000001</v>
      </c>
    </row>
    <row r="718" spans="1:4" x14ac:dyDescent="0.45">
      <c r="A718" t="s">
        <v>62</v>
      </c>
      <c r="B718">
        <v>2000</v>
      </c>
      <c r="C718" t="s">
        <v>59</v>
      </c>
      <c r="D718">
        <v>14.7</v>
      </c>
    </row>
    <row r="719" spans="1:4" x14ac:dyDescent="0.45">
      <c r="A719" t="s">
        <v>63</v>
      </c>
      <c r="B719">
        <v>2000</v>
      </c>
      <c r="C719" t="s">
        <v>59</v>
      </c>
      <c r="D719">
        <v>48.6</v>
      </c>
    </row>
    <row r="720" spans="1:4" x14ac:dyDescent="0.45">
      <c r="A720" t="s">
        <v>62</v>
      </c>
      <c r="B720">
        <v>2001</v>
      </c>
      <c r="C720" t="s">
        <v>59</v>
      </c>
      <c r="D720">
        <v>16.5</v>
      </c>
    </row>
    <row r="721" spans="1:4" x14ac:dyDescent="0.45">
      <c r="A721" t="s">
        <v>63</v>
      </c>
      <c r="B721">
        <v>2001</v>
      </c>
      <c r="C721" t="s">
        <v>59</v>
      </c>
      <c r="D721">
        <v>38.5</v>
      </c>
    </row>
    <row r="722" spans="1:4" x14ac:dyDescent="0.45">
      <c r="A722" t="s">
        <v>62</v>
      </c>
      <c r="B722">
        <v>2002</v>
      </c>
      <c r="C722" t="s">
        <v>59</v>
      </c>
      <c r="D722">
        <v>13.6</v>
      </c>
    </row>
    <row r="723" spans="1:4" x14ac:dyDescent="0.45">
      <c r="A723" t="s">
        <v>63</v>
      </c>
      <c r="B723">
        <v>2002</v>
      </c>
      <c r="C723" t="s">
        <v>59</v>
      </c>
      <c r="D723">
        <v>36.4</v>
      </c>
    </row>
    <row r="724" spans="1:4" x14ac:dyDescent="0.45">
      <c r="A724" t="s">
        <v>62</v>
      </c>
      <c r="B724">
        <v>2003</v>
      </c>
      <c r="C724" t="s">
        <v>59</v>
      </c>
      <c r="D724">
        <v>24</v>
      </c>
    </row>
    <row r="725" spans="1:4" x14ac:dyDescent="0.45">
      <c r="A725" t="s">
        <v>63</v>
      </c>
      <c r="B725">
        <v>2003</v>
      </c>
      <c r="C725" t="s">
        <v>59</v>
      </c>
      <c r="D725">
        <v>30.4</v>
      </c>
    </row>
    <row r="726" spans="1:4" x14ac:dyDescent="0.45">
      <c r="A726" t="s">
        <v>62</v>
      </c>
      <c r="B726">
        <v>2004</v>
      </c>
      <c r="C726" t="s">
        <v>59</v>
      </c>
      <c r="D726">
        <v>22.9</v>
      </c>
    </row>
    <row r="727" spans="1:4" x14ac:dyDescent="0.45">
      <c r="A727" t="s">
        <v>63</v>
      </c>
      <c r="B727">
        <v>2004</v>
      </c>
      <c r="C727" t="s">
        <v>59</v>
      </c>
      <c r="D727">
        <v>34.200000000000003</v>
      </c>
    </row>
    <row r="728" spans="1:4" x14ac:dyDescent="0.45">
      <c r="A728" t="s">
        <v>62</v>
      </c>
      <c r="B728">
        <v>2005</v>
      </c>
      <c r="C728" t="s">
        <v>59</v>
      </c>
      <c r="D728">
        <v>19.8</v>
      </c>
    </row>
    <row r="729" spans="1:4" x14ac:dyDescent="0.45">
      <c r="A729" t="s">
        <v>63</v>
      </c>
      <c r="B729">
        <v>2005</v>
      </c>
      <c r="C729" t="s">
        <v>59</v>
      </c>
      <c r="D729">
        <v>44.5</v>
      </c>
    </row>
    <row r="730" spans="1:4" x14ac:dyDescent="0.45">
      <c r="A730" t="s">
        <v>62</v>
      </c>
      <c r="B730">
        <v>2006</v>
      </c>
      <c r="C730" t="s">
        <v>59</v>
      </c>
      <c r="D730">
        <v>24.3</v>
      </c>
    </row>
    <row r="731" spans="1:4" x14ac:dyDescent="0.45">
      <c r="A731" t="s">
        <v>63</v>
      </c>
      <c r="B731">
        <v>2006</v>
      </c>
      <c r="C731" t="s">
        <v>59</v>
      </c>
      <c r="D731">
        <v>42.7</v>
      </c>
    </row>
    <row r="732" spans="1:4" x14ac:dyDescent="0.45">
      <c r="A732" t="s">
        <v>62</v>
      </c>
      <c r="B732">
        <v>2007</v>
      </c>
      <c r="C732" t="s">
        <v>59</v>
      </c>
      <c r="D732">
        <v>20.100000000000001</v>
      </c>
    </row>
    <row r="733" spans="1:4" x14ac:dyDescent="0.45">
      <c r="A733" t="s">
        <v>63</v>
      </c>
      <c r="B733">
        <v>2007</v>
      </c>
      <c r="C733" t="s">
        <v>59</v>
      </c>
      <c r="D733">
        <v>51.4</v>
      </c>
    </row>
    <row r="734" spans="1:4" x14ac:dyDescent="0.45">
      <c r="A734" t="s">
        <v>62</v>
      </c>
      <c r="B734">
        <v>2008</v>
      </c>
      <c r="C734" t="s">
        <v>59</v>
      </c>
      <c r="D734">
        <v>24.2</v>
      </c>
    </row>
    <row r="735" spans="1:4" x14ac:dyDescent="0.45">
      <c r="A735" t="s">
        <v>63</v>
      </c>
      <c r="B735">
        <v>2008</v>
      </c>
      <c r="C735" t="s">
        <v>59</v>
      </c>
      <c r="D735">
        <v>57</v>
      </c>
    </row>
    <row r="736" spans="1:4" x14ac:dyDescent="0.45">
      <c r="A736" t="s">
        <v>62</v>
      </c>
      <c r="B736">
        <v>2009</v>
      </c>
      <c r="C736" t="s">
        <v>59</v>
      </c>
      <c r="D736">
        <v>18.100000000000001</v>
      </c>
    </row>
    <row r="737" spans="1:4" x14ac:dyDescent="0.45">
      <c r="A737" t="s">
        <v>63</v>
      </c>
      <c r="B737">
        <v>2009</v>
      </c>
      <c r="C737" t="s">
        <v>59</v>
      </c>
      <c r="D737">
        <v>52.2</v>
      </c>
    </row>
    <row r="738" spans="1:4" x14ac:dyDescent="0.45">
      <c r="A738" t="s">
        <v>62</v>
      </c>
      <c r="B738">
        <v>2010</v>
      </c>
      <c r="C738" t="s">
        <v>59</v>
      </c>
      <c r="D738">
        <v>19.100000000000001</v>
      </c>
    </row>
    <row r="739" spans="1:4" x14ac:dyDescent="0.45">
      <c r="A739" t="s">
        <v>63</v>
      </c>
      <c r="B739">
        <v>2010</v>
      </c>
      <c r="C739" t="s">
        <v>59</v>
      </c>
      <c r="D739">
        <v>45.1</v>
      </c>
    </row>
    <row r="740" spans="1:4" x14ac:dyDescent="0.45">
      <c r="A740" t="s">
        <v>62</v>
      </c>
      <c r="B740">
        <v>2011</v>
      </c>
      <c r="C740" t="s">
        <v>59</v>
      </c>
      <c r="D740">
        <v>15</v>
      </c>
    </row>
    <row r="741" spans="1:4" x14ac:dyDescent="0.45">
      <c r="A741" t="s">
        <v>63</v>
      </c>
      <c r="B741">
        <v>2011</v>
      </c>
      <c r="C741" t="s">
        <v>59</v>
      </c>
      <c r="D741">
        <v>52.3</v>
      </c>
    </row>
    <row r="742" spans="1:4" x14ac:dyDescent="0.45">
      <c r="A742" t="s">
        <v>62</v>
      </c>
      <c r="B742">
        <v>2012</v>
      </c>
      <c r="C742" t="s">
        <v>59</v>
      </c>
      <c r="D742">
        <v>12</v>
      </c>
    </row>
    <row r="743" spans="1:4" x14ac:dyDescent="0.45">
      <c r="A743" t="s">
        <v>63</v>
      </c>
      <c r="B743">
        <v>2012</v>
      </c>
      <c r="C743" t="s">
        <v>59</v>
      </c>
      <c r="D743">
        <v>59.3</v>
      </c>
    </row>
    <row r="744" spans="1:4" x14ac:dyDescent="0.45">
      <c r="A744" t="s">
        <v>62</v>
      </c>
      <c r="B744">
        <v>2013</v>
      </c>
      <c r="C744" t="s">
        <v>59</v>
      </c>
      <c r="D744">
        <v>11.4</v>
      </c>
    </row>
    <row r="745" spans="1:4" x14ac:dyDescent="0.45">
      <c r="A745" t="s">
        <v>63</v>
      </c>
      <c r="B745">
        <v>2013</v>
      </c>
      <c r="C745" t="s">
        <v>59</v>
      </c>
      <c r="D745">
        <v>70.400000000000006</v>
      </c>
    </row>
    <row r="746" spans="1:4" x14ac:dyDescent="0.45">
      <c r="A746" t="s">
        <v>62</v>
      </c>
      <c r="B746">
        <v>2014</v>
      </c>
      <c r="C746" t="s">
        <v>59</v>
      </c>
      <c r="D746">
        <v>13.3</v>
      </c>
    </row>
    <row r="747" spans="1:4" x14ac:dyDescent="0.45">
      <c r="A747" t="s">
        <v>63</v>
      </c>
      <c r="B747">
        <v>2014</v>
      </c>
      <c r="C747" t="s">
        <v>59</v>
      </c>
      <c r="D747">
        <v>66.5</v>
      </c>
    </row>
    <row r="748" spans="1:4" x14ac:dyDescent="0.45">
      <c r="A748" t="s">
        <v>62</v>
      </c>
      <c r="B748">
        <v>2015</v>
      </c>
      <c r="C748" t="s">
        <v>59</v>
      </c>
      <c r="D748">
        <v>9.1</v>
      </c>
    </row>
    <row r="749" spans="1:4" x14ac:dyDescent="0.45">
      <c r="A749" t="s">
        <v>63</v>
      </c>
      <c r="B749">
        <v>2015</v>
      </c>
      <c r="C749" t="s">
        <v>59</v>
      </c>
      <c r="D749">
        <v>75.8</v>
      </c>
    </row>
    <row r="750" spans="1:4" x14ac:dyDescent="0.45">
      <c r="A750" t="s">
        <v>62</v>
      </c>
      <c r="B750">
        <v>2016</v>
      </c>
      <c r="C750" t="s">
        <v>59</v>
      </c>
      <c r="D750">
        <v>6.2</v>
      </c>
    </row>
    <row r="751" spans="1:4" x14ac:dyDescent="0.45">
      <c r="A751" t="s">
        <v>63</v>
      </c>
      <c r="B751">
        <v>2016</v>
      </c>
      <c r="C751" t="s">
        <v>59</v>
      </c>
      <c r="D751">
        <v>72.7</v>
      </c>
    </row>
    <row r="752" spans="1:4" x14ac:dyDescent="0.45">
      <c r="A752" t="s">
        <v>62</v>
      </c>
      <c r="B752">
        <v>2017</v>
      </c>
      <c r="C752" t="s">
        <v>59</v>
      </c>
      <c r="D752">
        <v>9.4</v>
      </c>
    </row>
    <row r="753" spans="1:4" x14ac:dyDescent="0.45">
      <c r="A753" t="s">
        <v>63</v>
      </c>
      <c r="B753">
        <v>2017</v>
      </c>
      <c r="C753" t="s">
        <v>59</v>
      </c>
      <c r="D753">
        <v>65.7</v>
      </c>
    </row>
    <row r="754" spans="1:4" x14ac:dyDescent="0.45">
      <c r="A754" t="s">
        <v>62</v>
      </c>
      <c r="B754">
        <v>2018</v>
      </c>
      <c r="C754" t="s">
        <v>59</v>
      </c>
      <c r="D754">
        <v>13.8</v>
      </c>
    </row>
    <row r="755" spans="1:4" x14ac:dyDescent="0.45">
      <c r="A755" t="s">
        <v>63</v>
      </c>
      <c r="B755">
        <v>2018</v>
      </c>
      <c r="C755" t="s">
        <v>59</v>
      </c>
      <c r="D755">
        <v>58.3</v>
      </c>
    </row>
    <row r="756" spans="1:4" x14ac:dyDescent="0.45">
      <c r="A756" t="s">
        <v>62</v>
      </c>
      <c r="B756">
        <v>2019</v>
      </c>
      <c r="C756" t="s">
        <v>59</v>
      </c>
      <c r="D756">
        <v>20</v>
      </c>
    </row>
    <row r="757" spans="1:4" x14ac:dyDescent="0.45">
      <c r="A757" t="s">
        <v>63</v>
      </c>
      <c r="B757">
        <v>2019</v>
      </c>
      <c r="C757" t="s">
        <v>59</v>
      </c>
      <c r="D757">
        <v>59.1</v>
      </c>
    </row>
    <row r="758" spans="1:4" x14ac:dyDescent="0.45">
      <c r="A758" t="s">
        <v>62</v>
      </c>
      <c r="B758">
        <v>2020</v>
      </c>
      <c r="C758" t="s">
        <v>59</v>
      </c>
      <c r="D758">
        <v>14.1</v>
      </c>
    </row>
    <row r="759" spans="1:4" x14ac:dyDescent="0.45">
      <c r="A759" t="s">
        <v>63</v>
      </c>
      <c r="B759">
        <v>2020</v>
      </c>
      <c r="C759" t="s">
        <v>59</v>
      </c>
      <c r="D759">
        <v>61.4</v>
      </c>
    </row>
    <row r="760" spans="1:4" x14ac:dyDescent="0.45">
      <c r="A760" t="s">
        <v>62</v>
      </c>
      <c r="B760">
        <v>2021</v>
      </c>
      <c r="C760" t="s">
        <v>59</v>
      </c>
      <c r="D760">
        <v>13.9</v>
      </c>
    </row>
    <row r="761" spans="1:4" x14ac:dyDescent="0.45">
      <c r="A761" t="s">
        <v>63</v>
      </c>
      <c r="B761">
        <v>2021</v>
      </c>
      <c r="C761" t="s">
        <v>59</v>
      </c>
      <c r="D761">
        <v>53.2</v>
      </c>
    </row>
    <row r="762" spans="1:4" x14ac:dyDescent="0.45">
      <c r="A762" t="s">
        <v>62</v>
      </c>
      <c r="B762">
        <v>2022</v>
      </c>
      <c r="C762" t="s">
        <v>59</v>
      </c>
      <c r="D762">
        <v>15.8</v>
      </c>
    </row>
    <row r="763" spans="1:4" x14ac:dyDescent="0.45">
      <c r="A763" t="s">
        <v>63</v>
      </c>
      <c r="B763">
        <v>2022</v>
      </c>
      <c r="C763" t="s">
        <v>59</v>
      </c>
      <c r="D763">
        <v>57</v>
      </c>
    </row>
    <row r="764" spans="1:4" x14ac:dyDescent="0.45">
      <c r="A764" t="s">
        <v>62</v>
      </c>
      <c r="B764">
        <v>2023</v>
      </c>
      <c r="C764" t="s">
        <v>59</v>
      </c>
      <c r="D764">
        <v>19.899999999999999</v>
      </c>
    </row>
    <row r="765" spans="1:4" x14ac:dyDescent="0.45">
      <c r="A765" t="s">
        <v>63</v>
      </c>
      <c r="B765">
        <v>2023</v>
      </c>
      <c r="C765" t="s">
        <v>59</v>
      </c>
      <c r="D765">
        <v>38.9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grids</vt:lpstr>
      <vt:lpstr>re_targets</vt:lpstr>
      <vt:lpstr>Veda</vt:lpstr>
      <vt:lpstr>buildrates</vt:lpstr>
      <vt:lpstr>historical_data_long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2025-11-07T07:14:25Z</dcterms:modified>
</cp:coreProperties>
</file>