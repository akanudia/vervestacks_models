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SAU_grids_kan25\SuppXLS\"/>
    </mc:Choice>
  </mc:AlternateContent>
  <xr:revisionPtr revIDLastSave="0" documentId="8_{CDF1BA49-64D6-48BB-884B-FEB80741AE70}" xr6:coauthVersionLast="47" xr6:coauthVersionMax="47" xr10:uidLastSave="{00000000-0000-0000-0000-000000000000}"/>
  <bookViews>
    <workbookView xWindow="-98" yWindow="-98" windowWidth="28996" windowHeight="17475" firstSheet="4" activeTab="4" xr2:uid="{00000000-000D-0000-FFFF-FFFF00000000}"/>
  </bookViews>
  <sheets>
    <sheet name="ev_charging_uc" sheetId="6" r:id="rId1"/>
    <sheet name="timeslice_def" sheetId="7" r:id="rId2"/>
    <sheet name="resource_profiles" sheetId="8" r:id="rId3"/>
    <sheet name="firmness" sheetId="9" r:id="rId4"/>
    <sheet name="load_demand_peak_hydro" sheetId="10" r:id="rId5"/>
  </sheets>
  <externalReferences>
    <externalReference r:id="rId6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9" i="10" l="1"/>
  <c r="A11" i="10"/>
  <c r="L9" i="10" s="1"/>
  <c r="A10" i="6"/>
  <c r="H23" i="6" s="1"/>
  <c r="Q9" i="9"/>
  <c r="N9" i="9"/>
  <c r="J9" i="9"/>
  <c r="F9" i="9"/>
  <c r="B9" i="9"/>
  <c r="L9" i="8"/>
  <c r="G9" i="8"/>
  <c r="B9" i="8"/>
  <c r="A11" i="7"/>
  <c r="C9" i="7" s="1"/>
  <c r="H9" i="10" l="1"/>
  <c r="C9" i="10"/>
  <c r="H24" i="6"/>
  <c r="H21" i="6" s="1"/>
  <c r="I24" i="6"/>
  <c r="I23" i="6" s="1"/>
  <c r="E24" i="6"/>
  <c r="E23" i="6"/>
</calcChain>
</file>

<file path=xl/sharedStrings.xml><?xml version="1.0" encoding="utf-8"?>
<sst xmlns="http://schemas.openxmlformats.org/spreadsheetml/2006/main" count="1298" uniqueCount="329">
  <si>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</si>
  <si>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</si>
  <si>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</si>
  <si>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</si>
  <si>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</si>
  <si>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</si>
  <si>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</si>
  <si>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</si>
  <si>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</si>
  <si>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</si>
  <si>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</si>
  <si>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</si>
  <si>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</si>
  <si>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</si>
  <si>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</si>
  <si>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</si>
  <si>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</si>
  <si>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~UC_T: LO</t>
  </si>
  <si>
    <t>PSET_SET</t>
  </si>
  <si>
    <t>PSET_PN</t>
  </si>
  <si>
    <t>PSET_CO</t>
  </si>
  <si>
    <t>UC_ACT</t>
  </si>
  <si>
    <t>UC_COMPRD</t>
  </si>
  <si>
    <t>UC_RHSRTS</t>
  </si>
  <si>
    <t>UC_RHSRTS~0</t>
  </si>
  <si>
    <t>UC_Desc</t>
  </si>
  <si>
    <t>UCE_Min-DispatchablePrd</t>
  </si>
  <si>
    <t>ELE,CHP</t>
  </si>
  <si>
    <t>*,-solar,-wind*,-ELC,-ELCSPV,-elc[_]???[_]*,-e[_]*</t>
  </si>
  <si>
    <t>DAYNITE</t>
  </si>
  <si>
    <t>Min dispatchable electricity generation in each grid in each TS</t>
  </si>
  <si>
    <t>DEF_E</t>
  </si>
  <si>
    <t>season</t>
  </si>
  <si>
    <t>weekly</t>
  </si>
  <si>
    <t>daynite</t>
  </si>
  <si>
    <t>wparent</t>
  </si>
  <si>
    <t>dparent</t>
  </si>
  <si>
    <t>A</t>
  </si>
  <si>
    <t>a</t>
  </si>
  <si>
    <t>H</t>
  </si>
  <si>
    <t>ts_01</t>
  </si>
  <si>
    <t>commodity</t>
  </si>
  <si>
    <t>timeslice</t>
  </si>
  <si>
    <t>com_fr</t>
  </si>
  <si>
    <t>process</t>
  </si>
  <si>
    <t>elc_spv_SAU_001</t>
  </si>
  <si>
    <t>AaH</t>
  </si>
  <si>
    <t>IMPNRGZ</t>
  </si>
  <si>
    <t>elc_spv_SAU_002</t>
  </si>
  <si>
    <t>elc_spv_SAU_003</t>
  </si>
  <si>
    <t>elc_spv_SAU_004</t>
  </si>
  <si>
    <t>elc_spv_SAU_005</t>
  </si>
  <si>
    <t>elc_spv_SAU_006</t>
  </si>
  <si>
    <t>elc_spv_SAU_007</t>
  </si>
  <si>
    <t>elc_spv_SAU_008</t>
  </si>
  <si>
    <t>elc_spv_SAU_009</t>
  </si>
  <si>
    <t>elc_spv_SAU_010</t>
  </si>
  <si>
    <t>elc_spv_SAU_011</t>
  </si>
  <si>
    <t>elc_spv_SAU_012</t>
  </si>
  <si>
    <t>elc_spv_SAU_013</t>
  </si>
  <si>
    <t>elc_spv_SAU_014</t>
  </si>
  <si>
    <t>elc_spv_SAU_015</t>
  </si>
  <si>
    <t>elc_spv_SAU_016</t>
  </si>
  <si>
    <t>elc_spv_SAU_017</t>
  </si>
  <si>
    <t>elc_spv_SAU_018</t>
  </si>
  <si>
    <t>elc_spv_SAU_019</t>
  </si>
  <si>
    <t>elc_spv_SAU_020</t>
  </si>
  <si>
    <t>elc_spv_SAU_021</t>
  </si>
  <si>
    <t>elc_spv_SAU_022</t>
  </si>
  <si>
    <t>elc_spv_SAU_023</t>
  </si>
  <si>
    <t>elc_spv_SAU_024</t>
  </si>
  <si>
    <t>elc_spv_SAU_025</t>
  </si>
  <si>
    <t>elc_spv_SAU_026</t>
  </si>
  <si>
    <t>elc_spv_SAU_027</t>
  </si>
  <si>
    <t>elc_spv_SAU_028</t>
  </si>
  <si>
    <t>elc_spv_SAU_029</t>
  </si>
  <si>
    <t>elc_spv_SAU_030</t>
  </si>
  <si>
    <t>elc_spv_SAU_031</t>
  </si>
  <si>
    <t>elc_spv_SAU_032</t>
  </si>
  <si>
    <t>elc_spv_SAU_033</t>
  </si>
  <si>
    <t>elc_spv_SAU_034</t>
  </si>
  <si>
    <t>elc_spv_SAU_035</t>
  </si>
  <si>
    <t>elc_spv_SAU_036</t>
  </si>
  <si>
    <t>elc_spv_SAU_037</t>
  </si>
  <si>
    <t>elc_spv_SAU_038</t>
  </si>
  <si>
    <t>elc_spv_SAU_039</t>
  </si>
  <si>
    <t>elc_spv_SAU_040</t>
  </si>
  <si>
    <t>elc_spv_SAU_041</t>
  </si>
  <si>
    <t>elc_spv_SAU_042</t>
  </si>
  <si>
    <t>elc_spv_SAU_043</t>
  </si>
  <si>
    <t>elc_spv_SAU_044</t>
  </si>
  <si>
    <t>elc_spv_SAU_045</t>
  </si>
  <si>
    <t>elc_spv_SAU_046</t>
  </si>
  <si>
    <t>elc_spv_SAU_047</t>
  </si>
  <si>
    <t>elc_spv_SAU_048</t>
  </si>
  <si>
    <t>elc_spv_SAU_049</t>
  </si>
  <si>
    <t>elc_spv_SAU_050</t>
  </si>
  <si>
    <t>elc_spv_SAU_051</t>
  </si>
  <si>
    <t>elc_spv_SAU_052</t>
  </si>
  <si>
    <t>elc_spv_SAU_053</t>
  </si>
  <si>
    <t>elc_spv_SAU_054</t>
  </si>
  <si>
    <t>elc_spv_SAU_055</t>
  </si>
  <si>
    <t>elc_spv_SAU_056</t>
  </si>
  <si>
    <t>elc_spv_SAU_057</t>
  </si>
  <si>
    <t>elc_spv_SAU_058</t>
  </si>
  <si>
    <t>elc_spv_SAU_059</t>
  </si>
  <si>
    <t>elc_won_SAU_001</t>
  </si>
  <si>
    <t>elc_won_SAU_002</t>
  </si>
  <si>
    <t>elc_won_SAU_003</t>
  </si>
  <si>
    <t>elc_won_SAU_004</t>
  </si>
  <si>
    <t>elc_won_SAU_005</t>
  </si>
  <si>
    <t>elc_won_SAU_006</t>
  </si>
  <si>
    <t>elc_won_SAU_007</t>
  </si>
  <si>
    <t>elc_won_SAU_008</t>
  </si>
  <si>
    <t>elc_won_SAU_009</t>
  </si>
  <si>
    <t>elc_won_SAU_010</t>
  </si>
  <si>
    <t>elc_won_SAU_011</t>
  </si>
  <si>
    <t>elc_won_SAU_012</t>
  </si>
  <si>
    <t>elc_won_SAU_013</t>
  </si>
  <si>
    <t>elc_won_SAU_014</t>
  </si>
  <si>
    <t>elc_won_SAU_015</t>
  </si>
  <si>
    <t>elc_won_SAU_016</t>
  </si>
  <si>
    <t>elc_won_SAU_017</t>
  </si>
  <si>
    <t>elc_won_SAU_018</t>
  </si>
  <si>
    <t>elc_won_SAU_019</t>
  </si>
  <si>
    <t>elc_won_SAU_020</t>
  </si>
  <si>
    <t>elc_won_SAU_021</t>
  </si>
  <si>
    <t>elc_won_SAU_022</t>
  </si>
  <si>
    <t>elc_won_SAU_023</t>
  </si>
  <si>
    <t>elc_won_SAU_024</t>
  </si>
  <si>
    <t>elc_won_SAU_025</t>
  </si>
  <si>
    <t>elc_won_SAU_026</t>
  </si>
  <si>
    <t>elc_won_SAU_027</t>
  </si>
  <si>
    <t>elc_won_SAU_028</t>
  </si>
  <si>
    <t>elc_won_SAU_029</t>
  </si>
  <si>
    <t>elc_won_SAU_030</t>
  </si>
  <si>
    <t>elc_won_SAU_031</t>
  </si>
  <si>
    <t>elc_won_SAU_032</t>
  </si>
  <si>
    <t>elc_won_SAU_033</t>
  </si>
  <si>
    <t>elc_won_SAU_034</t>
  </si>
  <si>
    <t>elc_won_SAU_035</t>
  </si>
  <si>
    <t>elc_won_SAU_036</t>
  </si>
  <si>
    <t>elc_won_SAU_037</t>
  </si>
  <si>
    <t>elc_won_SAU_038</t>
  </si>
  <si>
    <t>elc_won_SAU_039</t>
  </si>
  <si>
    <t>elc_won_SAU_040</t>
  </si>
  <si>
    <t>elc_won_SAU_041</t>
  </si>
  <si>
    <t>elc_won_SAU_042</t>
  </si>
  <si>
    <t>elc_won_SAU_043</t>
  </si>
  <si>
    <t>elc_won_SAU_044</t>
  </si>
  <si>
    <t>elc_won_SAU_045</t>
  </si>
  <si>
    <t>elc_won_SAU_046</t>
  </si>
  <si>
    <t>elc_won_SAU_047</t>
  </si>
  <si>
    <t>elc_won_SAU_048</t>
  </si>
  <si>
    <t>elc_won_SAU_049</t>
  </si>
  <si>
    <t>elc_won_SAU_050</t>
  </si>
  <si>
    <t>elc_won_SAU_051</t>
  </si>
  <si>
    <t>elc_won_SAU_052</t>
  </si>
  <si>
    <t>elc_won_SAU_053</t>
  </si>
  <si>
    <t>elc_won_SAU_054</t>
  </si>
  <si>
    <t>elc_won_SAU_055</t>
  </si>
  <si>
    <t>elc_won_SAU_056</t>
  </si>
  <si>
    <t>elc_won_SAU_057</t>
  </si>
  <si>
    <t>elc_wof_SAU_001</t>
  </si>
  <si>
    <t>elc_wof_SAU_002</t>
  </si>
  <si>
    <t>elc_wof_SAU_003</t>
  </si>
  <si>
    <t>elc_wof_SAU_004</t>
  </si>
  <si>
    <t>elc_wof_SAU_005</t>
  </si>
  <si>
    <t>elc_wof_SAU_006</t>
  </si>
  <si>
    <t>elc_wof_SAU_007</t>
  </si>
  <si>
    <t>elc_wof_SAU_008</t>
  </si>
  <si>
    <t>elc_wof_SAU_009</t>
  </si>
  <si>
    <t>elc_wof_SAU_010</t>
  </si>
  <si>
    <t>elc_wof_SAU_011</t>
  </si>
  <si>
    <t>elc_wof_SAU_012</t>
  </si>
  <si>
    <t>elc_wof_SAU_013</t>
  </si>
  <si>
    <t>elc_wof_SAU_014</t>
  </si>
  <si>
    <t>elc_wof_SAU_015</t>
  </si>
  <si>
    <t>distr_solelc_spv_SAU_001</t>
  </si>
  <si>
    <t>distr_solelc_spv_SAU_002</t>
  </si>
  <si>
    <t>distr_solelc_spv_SAU_003</t>
  </si>
  <si>
    <t>distr_solelc_spv_SAU_004</t>
  </si>
  <si>
    <t>distr_solelc_spv_SAU_005</t>
  </si>
  <si>
    <t>distr_solelc_spv_SAU_006</t>
  </si>
  <si>
    <t>distr_solelc_spv_SAU_007</t>
  </si>
  <si>
    <t>distr_solelc_spv_SAU_008</t>
  </si>
  <si>
    <t>distr_solelc_spv_SAU_009</t>
  </si>
  <si>
    <t>distr_solelc_spv_SAU_010</t>
  </si>
  <si>
    <t>distr_solelc_spv_SAU_011</t>
  </si>
  <si>
    <t>distr_solelc_spv_SAU_012</t>
  </si>
  <si>
    <t>distr_solelc_spv_SAU_013</t>
  </si>
  <si>
    <t>distr_solelc_spv_SAU_014</t>
  </si>
  <si>
    <t>distr_solelc_spv_SAU_015</t>
  </si>
  <si>
    <t>distr_solelc_spv_SAU_016</t>
  </si>
  <si>
    <t>distr_solelc_spv_SAU_017</t>
  </si>
  <si>
    <t>distr_solelc_spv_SAU_018</t>
  </si>
  <si>
    <t>distr_solelc_spv_SAU_019</t>
  </si>
  <si>
    <t>distr_solelc_spv_SAU_020</t>
  </si>
  <si>
    <t>distr_solelc_spv_SAU_021</t>
  </si>
  <si>
    <t>distr_solelc_spv_SAU_022</t>
  </si>
  <si>
    <t>distr_solelc_spv_SAU_023</t>
  </si>
  <si>
    <t>distr_solelc_spv_SAU_024</t>
  </si>
  <si>
    <t>distr_solelc_spv_SAU_025</t>
  </si>
  <si>
    <t>distr_solelc_spv_SAU_026</t>
  </si>
  <si>
    <t>distr_solelc_spv_SAU_027</t>
  </si>
  <si>
    <t>distr_solelc_spv_SAU_028</t>
  </si>
  <si>
    <t>distr_solelc_spv_SAU_029</t>
  </si>
  <si>
    <t>distr_solelc_spv_SAU_030</t>
  </si>
  <si>
    <t>distr_solelc_spv_SAU_031</t>
  </si>
  <si>
    <t>distr_solelc_spv_SAU_032</t>
  </si>
  <si>
    <t>distr_solelc_spv_SAU_033</t>
  </si>
  <si>
    <t>distr_solelc_spv_SAU_034</t>
  </si>
  <si>
    <t>distr_solelc_spv_SAU_035</t>
  </si>
  <si>
    <t>distr_solelc_spv_SAU_036</t>
  </si>
  <si>
    <t>distr_solelc_spv_SAU_037</t>
  </si>
  <si>
    <t>distr_solelc_spv_SAU_038</t>
  </si>
  <si>
    <t>distr_solelc_spv_SAU_039</t>
  </si>
  <si>
    <t>distr_solelc_spv_SAU_040</t>
  </si>
  <si>
    <t>distr_solelc_spv_SAU_041</t>
  </si>
  <si>
    <t>distr_solelc_spv_SAU_042</t>
  </si>
  <si>
    <t>distr_solelc_spv_SAU_043</t>
  </si>
  <si>
    <t>distr_solelc_spv_SAU_044</t>
  </si>
  <si>
    <t>distr_solelc_spv_SAU_045</t>
  </si>
  <si>
    <t>distr_solelc_spv_SAU_046</t>
  </si>
  <si>
    <t>distr_solelc_spv_SAU_047</t>
  </si>
  <si>
    <t>distr_solelc_spv_SAU_048</t>
  </si>
  <si>
    <t>distr_solelc_spv_SAU_049</t>
  </si>
  <si>
    <t>distr_solelc_spv_SAU_050</t>
  </si>
  <si>
    <t>distr_solelc_spv_SAU_051</t>
  </si>
  <si>
    <t>distr_solelc_spv_SAU_052</t>
  </si>
  <si>
    <t>distr_solelc_spv_SAU_053</t>
  </si>
  <si>
    <t>distr_solelc_spv_SAU_054</t>
  </si>
  <si>
    <t>distr_solelc_spv_SAU_055</t>
  </si>
  <si>
    <t>distr_solelc_spv_SAU_056</t>
  </si>
  <si>
    <t>distr_solelc_spv_SAU_057</t>
  </si>
  <si>
    <t>distr_solelc_spv_SAU_058</t>
  </si>
  <si>
    <t>distr_solelc_spv_SAU_059</t>
  </si>
  <si>
    <t>distr_wofelc_wof_SAU_001</t>
  </si>
  <si>
    <t>distr_wofelc_wof_SAU_002</t>
  </si>
  <si>
    <t>distr_wofelc_wof_SAU_003</t>
  </si>
  <si>
    <t>distr_wofelc_wof_SAU_004</t>
  </si>
  <si>
    <t>distr_wofelc_wof_SAU_005</t>
  </si>
  <si>
    <t>distr_wofelc_wof_SAU_006</t>
  </si>
  <si>
    <t>distr_wofelc_wof_SAU_007</t>
  </si>
  <si>
    <t>distr_wofelc_wof_SAU_008</t>
  </si>
  <si>
    <t>distr_wofelc_wof_SAU_009</t>
  </si>
  <si>
    <t>distr_wofelc_wof_SAU_010</t>
  </si>
  <si>
    <t>distr_wofelc_wof_SAU_011</t>
  </si>
  <si>
    <t>distr_wofelc_wof_SAU_012</t>
  </si>
  <si>
    <t>distr_wofelc_wof_SAU_013</t>
  </si>
  <si>
    <t>distr_wofelc_wof_SAU_014</t>
  </si>
  <si>
    <t>distr_wofelc_wof_SAU_015</t>
  </si>
  <si>
    <t>distr_wonelc_won_SAU_001</t>
  </si>
  <si>
    <t>distr_wonelc_won_SAU_002</t>
  </si>
  <si>
    <t>distr_wonelc_won_SAU_003</t>
  </si>
  <si>
    <t>distr_wonelc_won_SAU_004</t>
  </si>
  <si>
    <t>distr_wonelc_won_SAU_005</t>
  </si>
  <si>
    <t>distr_wonelc_won_SAU_006</t>
  </si>
  <si>
    <t>distr_wonelc_won_SAU_007</t>
  </si>
  <si>
    <t>distr_wonelc_won_SAU_008</t>
  </si>
  <si>
    <t>distr_wonelc_won_SAU_009</t>
  </si>
  <si>
    <t>distr_wonelc_won_SAU_010</t>
  </si>
  <si>
    <t>distr_wonelc_won_SAU_011</t>
  </si>
  <si>
    <t>distr_wonelc_won_SAU_012</t>
  </si>
  <si>
    <t>distr_wonelc_won_SAU_013</t>
  </si>
  <si>
    <t>distr_wonelc_won_SAU_014</t>
  </si>
  <si>
    <t>distr_wonelc_won_SAU_015</t>
  </si>
  <si>
    <t>distr_wonelc_won_SAU_016</t>
  </si>
  <si>
    <t>distr_wonelc_won_SAU_017</t>
  </si>
  <si>
    <t>distr_wonelc_won_SAU_018</t>
  </si>
  <si>
    <t>distr_wonelc_won_SAU_019</t>
  </si>
  <si>
    <t>distr_wonelc_won_SAU_020</t>
  </si>
  <si>
    <t>distr_wonelc_won_SAU_021</t>
  </si>
  <si>
    <t>distr_wonelc_won_SAU_022</t>
  </si>
  <si>
    <t>distr_wonelc_won_SAU_023</t>
  </si>
  <si>
    <t>distr_wonelc_won_SAU_024</t>
  </si>
  <si>
    <t>distr_wonelc_won_SAU_025</t>
  </si>
  <si>
    <t>distr_wonelc_won_SAU_026</t>
  </si>
  <si>
    <t>distr_wonelc_won_SAU_027</t>
  </si>
  <si>
    <t>distr_wonelc_won_SAU_028</t>
  </si>
  <si>
    <t>distr_wonelc_won_SAU_029</t>
  </si>
  <si>
    <t>distr_wonelc_won_SAU_030</t>
  </si>
  <si>
    <t>distr_wonelc_won_SAU_031</t>
  </si>
  <si>
    <t>distr_wonelc_won_SAU_032</t>
  </si>
  <si>
    <t>distr_wonelc_won_SAU_033</t>
  </si>
  <si>
    <t>distr_wonelc_won_SAU_034</t>
  </si>
  <si>
    <t>distr_wonelc_won_SAU_035</t>
  </si>
  <si>
    <t>distr_wonelc_won_SAU_036</t>
  </si>
  <si>
    <t>distr_wonelc_won_SAU_037</t>
  </si>
  <si>
    <t>distr_wonelc_won_SAU_038</t>
  </si>
  <si>
    <t>distr_wonelc_won_SAU_039</t>
  </si>
  <si>
    <t>distr_wonelc_won_SAU_040</t>
  </si>
  <si>
    <t>distr_wonelc_won_SAU_041</t>
  </si>
  <si>
    <t>distr_wonelc_won_SAU_042</t>
  </si>
  <si>
    <t>distr_wonelc_won_SAU_043</t>
  </si>
  <si>
    <t>distr_wonelc_won_SAU_044</t>
  </si>
  <si>
    <t>distr_wonelc_won_SAU_045</t>
  </si>
  <si>
    <t>distr_wonelc_won_SAU_046</t>
  </si>
  <si>
    <t>distr_wonelc_won_SAU_047</t>
  </si>
  <si>
    <t>distr_wonelc_won_SAU_048</t>
  </si>
  <si>
    <t>distr_wonelc_won_SAU_049</t>
  </si>
  <si>
    <t>distr_wonelc_won_SAU_050</t>
  </si>
  <si>
    <t>distr_wonelc_won_SAU_051</t>
  </si>
  <si>
    <t>distr_wonelc_won_SAU_052</t>
  </si>
  <si>
    <t>distr_wonelc_won_SAU_053</t>
  </si>
  <si>
    <t>distr_wonelc_won_SAU_054</t>
  </si>
  <si>
    <t>distr_wonelc_won_SAU_055</t>
  </si>
  <si>
    <t>distr_wonelc_won_SAU_056</t>
  </si>
  <si>
    <t>distr_wonelc_won_SAU_057</t>
  </si>
  <si>
    <t>distr_sol*</t>
  </si>
  <si>
    <t>ELC4H</t>
  </si>
  <si>
    <t>distr_won*</t>
  </si>
  <si>
    <t>distr_wof*</t>
  </si>
  <si>
    <t>ELC8H</t>
  </si>
  <si>
    <t>other_indexes</t>
  </si>
  <si>
    <t>ncap_com</t>
  </si>
  <si>
    <t>DEF_C</t>
  </si>
  <si>
    <t>OUT</t>
  </si>
  <si>
    <t>g_yrfr</t>
  </si>
  <si>
    <t>elc_roadtransport</t>
  </si>
  <si>
    <t>day_night</t>
  </si>
  <si>
    <t>D</t>
  </si>
  <si>
    <t>N</t>
  </si>
  <si>
    <t>elc_buildings</t>
  </si>
  <si>
    <t>elc_industry</t>
  </si>
  <si>
    <t>com_pkflx</t>
  </si>
  <si>
    <t>Year</t>
  </si>
  <si>
    <t>ncap_afs</t>
  </si>
  <si>
    <t>pset_ci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</si>
</sst>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4" fillId="2" borderId="3" applyNumberFormat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</cellStyleXfs>
  <cellXfs count="6">
    <xf numFmtId="0" fontId="0" fillId="0" borderId="0" xfId="0"/>
    <xf numFmtId="0" fontId="1" fillId="0" borderId="0" xfId="0" applyFont="1"/>
    <xf numFmtId="0" fontId="4" fillId="2" borderId="3" xfId="1"/>
    <xf numFmtId="0" fontId="2" fillId="0" borderId="1" xfId="2"/>
    <xf numFmtId="0" fontId="3" fillId="0" borderId="2" xfId="3"/>
    <xf numFmtId="0" fontId="0" fillId="3" borderId="0" xfId="0" applyFill="1"/>
  </cellXfs>
  <cellStyles count="4">
    <cellStyle name="Heading 2 2" xfId="2" xr:uid="{A6AB1C46-4E7B-4C21-A104-E4DF3FE4CE4A}"/>
    <cellStyle name="Heading 3 2" xfId="3" xr:uid="{F2503A68-FC7E-4C35-8B5A-10334C80FC2A}"/>
    <cellStyle name="Input 2" xfId="1" xr:uid="{08B5D232-691F-4F66-AEAC-8298A30D4B3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Ved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d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N32"/>
  <sheetViews>
    <sheetView workbookViewId="0">
      <selection activeCell="C29" sqref="C29"/>
    </sheetView>
  </sheetViews>
  <sheetFormatPr defaultRowHeight="14.25" x14ac:dyDescent="0.45"/>
  <sheetData>
    <row r="10" spans="1:4" x14ac:dyDescent="0.45">
      <c r="A10" t="str">
        <f>IFERROR([1]Veda!D5,"ts_01")</f>
        <v>ts_01</v>
      </c>
      <c r="B10" s="5"/>
      <c r="C10" s="5" t="s">
        <v>320</v>
      </c>
      <c r="D10" t="s">
        <v>40</v>
      </c>
    </row>
    <row r="11" spans="1:4" x14ac:dyDescent="0.45">
      <c r="B11" s="5"/>
      <c r="C11" s="5" t="s">
        <v>321</v>
      </c>
      <c r="D11" t="s">
        <v>46</v>
      </c>
    </row>
    <row r="12" spans="1:4" x14ac:dyDescent="0.45">
      <c r="B12" s="5"/>
      <c r="C12" s="5" t="s">
        <v>322</v>
      </c>
      <c r="D12" t="s">
        <v>46</v>
      </c>
    </row>
    <row r="17" spans="3:14" x14ac:dyDescent="0.45">
      <c r="I17" s="2">
        <v>0.75</v>
      </c>
      <c r="K17" s="1" t="s">
        <v>0</v>
      </c>
    </row>
    <row r="18" spans="3:14" ht="17.649999999999999" thickBot="1" x14ac:dyDescent="0.6">
      <c r="C18" s="3" t="s">
        <v>1</v>
      </c>
    </row>
    <row r="19" spans="3:14" ht="14.65" thickTop="1" x14ac:dyDescent="0.45"/>
    <row r="21" spans="3:14" ht="17.649999999999999" thickBot="1" x14ac:dyDescent="0.6">
      <c r="H21" s="3" t="str">
        <f>IF(H23=H24,"Not Required!","~UC_T: LO")</f>
        <v>Not Required!</v>
      </c>
    </row>
    <row r="22" spans="3:14" ht="15" thickTop="1" thickBot="1" x14ac:dyDescent="0.5">
      <c r="C22" s="4" t="s">
        <v>2</v>
      </c>
      <c r="D22" s="4" t="s">
        <v>3</v>
      </c>
      <c r="E22" s="4" t="s">
        <v>4</v>
      </c>
      <c r="F22" s="4" t="s">
        <v>5</v>
      </c>
      <c r="G22" s="4" t="s">
        <v>6</v>
      </c>
      <c r="H22" s="4" t="s">
        <v>7</v>
      </c>
      <c r="I22" s="4" t="s">
        <v>8</v>
      </c>
      <c r="J22" s="4" t="s">
        <v>9</v>
      </c>
      <c r="K22" s="4" t="s">
        <v>10</v>
      </c>
    </row>
    <row r="23" spans="3:14" x14ac:dyDescent="0.45">
      <c r="C23" t="s">
        <v>11</v>
      </c>
      <c r="D23" t="s">
        <v>12</v>
      </c>
      <c r="E23" t="str">
        <f>G23</f>
        <v>AuxStoIN</v>
      </c>
      <c r="F23" t="s">
        <v>13</v>
      </c>
      <c r="G23" t="s">
        <v>14</v>
      </c>
      <c r="H23" t="str">
        <f>HLOOKUP($A$10,$D$10:$CU$12,3,FALSE)</f>
        <v>AaH</v>
      </c>
      <c r="I23">
        <f>1+I24</f>
        <v>0.25</v>
      </c>
      <c r="J23">
        <v>0</v>
      </c>
      <c r="K23">
        <v>3</v>
      </c>
      <c r="M23" t="s">
        <v>15</v>
      </c>
    </row>
    <row r="24" spans="3:14" x14ac:dyDescent="0.45">
      <c r="D24" t="s">
        <v>12</v>
      </c>
      <c r="E24" t="str">
        <f>G24</f>
        <v>AuxStoIN</v>
      </c>
      <c r="F24" t="s">
        <v>13</v>
      </c>
      <c r="G24" t="s">
        <v>14</v>
      </c>
      <c r="H24" t="str">
        <f>HLOOKUP($A$10,$D$10:$CU$12,2,FALSE)</f>
        <v>AaH</v>
      </c>
      <c r="I24">
        <f>-$I$17</f>
        <v>-0.75</v>
      </c>
      <c r="M24" t="s">
        <v>16</v>
      </c>
    </row>
    <row r="29" spans="3:14" ht="17.649999999999999" thickBot="1" x14ac:dyDescent="0.6">
      <c r="I29" s="3" t="s">
        <v>17</v>
      </c>
    </row>
    <row r="30" spans="3:14" ht="15" thickTop="1" thickBot="1" x14ac:dyDescent="0.5">
      <c r="C30" s="4" t="s">
        <v>2</v>
      </c>
      <c r="D30" s="4" t="s">
        <v>18</v>
      </c>
      <c r="E30" s="4" t="s">
        <v>19</v>
      </c>
      <c r="F30" s="4" t="s">
        <v>3</v>
      </c>
      <c r="G30" s="4" t="s">
        <v>20</v>
      </c>
      <c r="H30" s="4" t="s">
        <v>6</v>
      </c>
      <c r="I30" s="4" t="s">
        <v>7</v>
      </c>
      <c r="J30" s="4" t="s">
        <v>21</v>
      </c>
      <c r="K30" s="4" t="s">
        <v>22</v>
      </c>
      <c r="L30" s="4" t="s">
        <v>23</v>
      </c>
      <c r="M30" s="4" t="s">
        <v>24</v>
      </c>
      <c r="N30" s="4" t="s">
        <v>25</v>
      </c>
    </row>
    <row r="31" spans="3:14" x14ac:dyDescent="0.45">
      <c r="C31" t="s">
        <v>26</v>
      </c>
      <c r="D31" t="s">
        <v>27</v>
      </c>
      <c r="F31" t="s">
        <v>28</v>
      </c>
      <c r="I31" t="s">
        <v>29</v>
      </c>
      <c r="J31">
        <v>1</v>
      </c>
      <c r="L31">
        <v>0</v>
      </c>
      <c r="M31">
        <v>5</v>
      </c>
      <c r="N31" t="s">
        <v>30</v>
      </c>
    </row>
    <row r="32" spans="3:14" x14ac:dyDescent="0.45">
      <c r="H32" t="s">
        <v>31</v>
      </c>
      <c r="I32" t="s">
        <v>29</v>
      </c>
      <c r="K32"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5BD36-CA4B-4CB7-B358-7A41A659AF85}">
  <dimension ref="A9:G11"/>
  <sheetViews>
    <sheetView workbookViewId="0"/>
  </sheetViews>
  <sheetFormatPr defaultRowHeight="14.25" x14ac:dyDescent="0.45"/>
  <sheetData>
    <row r="9" spans="1:7" x14ac:dyDescent="0.45">
      <c r="C9" t="str">
        <f>IF(A11="x","DeActivated","~TimeSlices")</f>
        <v>~TimeSlices</v>
      </c>
    </row>
    <row r="10" spans="1:7" x14ac:dyDescent="0.45">
      <c r="A10" t="s">
        <v>40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</row>
    <row r="11" spans="1:7" x14ac:dyDescent="0.45">
      <c r="A11" t="str">
        <f>IFERROR(IF([1]Veda!D5=A10,"ok","x"),"")</f>
        <v/>
      </c>
      <c r="C11" t="s">
        <v>37</v>
      </c>
      <c r="D11" t="s">
        <v>38</v>
      </c>
      <c r="E11" t="s">
        <v>39</v>
      </c>
      <c r="F11" t="s">
        <v>37</v>
      </c>
      <c r="G11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B74B3-2A60-4E77-9A1F-06F042AA85D1}">
  <dimension ref="B9:O69"/>
  <sheetViews>
    <sheetView workbookViewId="0"/>
  </sheetViews>
  <sheetFormatPr defaultRowHeight="14.25" x14ac:dyDescent="0.45"/>
  <sheetData>
    <row r="9" spans="2:15" x14ac:dyDescent="0.45">
      <c r="B9" t="str">
        <f>IF(A11="x","DeActivated","~TFM_DINS-AT")</f>
        <v>~TFM_DINS-AT</v>
      </c>
      <c r="G9" t="str">
        <f>IF(A11="x","DeActivated","~TFM_DINS-AT")</f>
        <v>~TFM_DINS-AT</v>
      </c>
      <c r="L9" t="str">
        <f>IF(A11="x","DeActivated","~TFM_DINS-AT")</f>
        <v>~TFM_DINS-AT</v>
      </c>
    </row>
    <row r="10" spans="2:15" x14ac:dyDescent="0.45">
      <c r="B10" t="s">
        <v>41</v>
      </c>
      <c r="C10" t="s">
        <v>42</v>
      </c>
      <c r="D10" t="s">
        <v>43</v>
      </c>
      <c r="E10" t="s">
        <v>44</v>
      </c>
      <c r="G10" t="s">
        <v>41</v>
      </c>
      <c r="H10" t="s">
        <v>42</v>
      </c>
      <c r="I10" t="s">
        <v>43</v>
      </c>
      <c r="J10" t="s">
        <v>44</v>
      </c>
      <c r="L10" t="s">
        <v>41</v>
      </c>
      <c r="M10" t="s">
        <v>42</v>
      </c>
      <c r="N10" t="s">
        <v>43</v>
      </c>
      <c r="O10" t="s">
        <v>44</v>
      </c>
    </row>
    <row r="11" spans="2:15" x14ac:dyDescent="0.45">
      <c r="B11" t="s">
        <v>45</v>
      </c>
      <c r="C11" t="s">
        <v>46</v>
      </c>
      <c r="D11">
        <v>1.0000000000000004</v>
      </c>
      <c r="E11" t="s">
        <v>47</v>
      </c>
      <c r="G11" t="s">
        <v>106</v>
      </c>
      <c r="H11" t="s">
        <v>46</v>
      </c>
      <c r="I11">
        <v>0.99999999999999822</v>
      </c>
      <c r="J11" t="s">
        <v>47</v>
      </c>
      <c r="L11" t="s">
        <v>163</v>
      </c>
      <c r="M11" t="s">
        <v>46</v>
      </c>
      <c r="N11">
        <v>1.0000000000000024</v>
      </c>
      <c r="O11" t="s">
        <v>47</v>
      </c>
    </row>
    <row r="12" spans="2:15" x14ac:dyDescent="0.45">
      <c r="B12" t="s">
        <v>48</v>
      </c>
      <c r="C12" t="s">
        <v>46</v>
      </c>
      <c r="D12">
        <v>0.99999999999999745</v>
      </c>
      <c r="E12" t="s">
        <v>47</v>
      </c>
      <c r="G12" t="s">
        <v>107</v>
      </c>
      <c r="H12" t="s">
        <v>46</v>
      </c>
      <c r="I12">
        <v>0.99999999999999578</v>
      </c>
      <c r="J12" t="s">
        <v>47</v>
      </c>
      <c r="L12" t="s">
        <v>164</v>
      </c>
      <c r="M12" t="s">
        <v>46</v>
      </c>
      <c r="N12">
        <v>0.99999999999999911</v>
      </c>
      <c r="O12" t="s">
        <v>47</v>
      </c>
    </row>
    <row r="13" spans="2:15" x14ac:dyDescent="0.45">
      <c r="B13" t="s">
        <v>49</v>
      </c>
      <c r="C13" t="s">
        <v>46</v>
      </c>
      <c r="D13">
        <v>0.99999999999999745</v>
      </c>
      <c r="E13" t="s">
        <v>47</v>
      </c>
      <c r="G13" t="s">
        <v>108</v>
      </c>
      <c r="H13" t="s">
        <v>46</v>
      </c>
      <c r="I13">
        <v>0.99999999999999589</v>
      </c>
      <c r="J13" t="s">
        <v>47</v>
      </c>
      <c r="L13" t="s">
        <v>165</v>
      </c>
      <c r="M13" t="s">
        <v>46</v>
      </c>
      <c r="N13">
        <v>1.0000000000000011</v>
      </c>
      <c r="O13" t="s">
        <v>47</v>
      </c>
    </row>
    <row r="14" spans="2:15" x14ac:dyDescent="0.45">
      <c r="B14" t="s">
        <v>50</v>
      </c>
      <c r="C14" t="s">
        <v>46</v>
      </c>
      <c r="D14">
        <v>1.0000000000000002</v>
      </c>
      <c r="E14" t="s">
        <v>47</v>
      </c>
      <c r="G14" t="s">
        <v>109</v>
      </c>
      <c r="H14" t="s">
        <v>46</v>
      </c>
      <c r="I14">
        <v>0.99999999999999567</v>
      </c>
      <c r="J14" t="s">
        <v>47</v>
      </c>
      <c r="L14" t="s">
        <v>166</v>
      </c>
      <c r="M14" t="s">
        <v>46</v>
      </c>
      <c r="N14">
        <v>0.99999999999999822</v>
      </c>
      <c r="O14" t="s">
        <v>47</v>
      </c>
    </row>
    <row r="15" spans="2:15" x14ac:dyDescent="0.45">
      <c r="B15" t="s">
        <v>51</v>
      </c>
      <c r="C15" t="s">
        <v>46</v>
      </c>
      <c r="D15">
        <v>1.0000000000000024</v>
      </c>
      <c r="E15" t="s">
        <v>47</v>
      </c>
      <c r="G15" t="s">
        <v>110</v>
      </c>
      <c r="H15" t="s">
        <v>46</v>
      </c>
      <c r="I15">
        <v>1.0000000000000007</v>
      </c>
      <c r="J15" t="s">
        <v>47</v>
      </c>
      <c r="L15" t="s">
        <v>167</v>
      </c>
      <c r="M15" t="s">
        <v>46</v>
      </c>
      <c r="N15">
        <v>0.99999999999999822</v>
      </c>
      <c r="O15" t="s">
        <v>47</v>
      </c>
    </row>
    <row r="16" spans="2:15" x14ac:dyDescent="0.45">
      <c r="B16" t="s">
        <v>52</v>
      </c>
      <c r="C16" t="s">
        <v>46</v>
      </c>
      <c r="D16">
        <v>1.0000000000000016</v>
      </c>
      <c r="E16" t="s">
        <v>47</v>
      </c>
      <c r="G16" t="s">
        <v>111</v>
      </c>
      <c r="H16" t="s">
        <v>46</v>
      </c>
      <c r="I16">
        <v>0.99999999999999223</v>
      </c>
      <c r="J16" t="s">
        <v>47</v>
      </c>
      <c r="L16" t="s">
        <v>168</v>
      </c>
      <c r="M16" t="s">
        <v>46</v>
      </c>
      <c r="N16">
        <v>0.99999999999999623</v>
      </c>
      <c r="O16" t="s">
        <v>47</v>
      </c>
    </row>
    <row r="17" spans="2:15" x14ac:dyDescent="0.45">
      <c r="B17" t="s">
        <v>53</v>
      </c>
      <c r="C17" t="s">
        <v>46</v>
      </c>
      <c r="D17">
        <v>1.0000000000000033</v>
      </c>
      <c r="E17" t="s">
        <v>47</v>
      </c>
      <c r="G17" t="s">
        <v>112</v>
      </c>
      <c r="H17" t="s">
        <v>46</v>
      </c>
      <c r="I17">
        <v>0.999999999999998</v>
      </c>
      <c r="J17" t="s">
        <v>47</v>
      </c>
      <c r="L17" t="s">
        <v>169</v>
      </c>
      <c r="M17" t="s">
        <v>46</v>
      </c>
      <c r="N17">
        <v>0.99999999999999678</v>
      </c>
      <c r="O17" t="s">
        <v>47</v>
      </c>
    </row>
    <row r="18" spans="2:15" x14ac:dyDescent="0.45">
      <c r="B18" t="s">
        <v>54</v>
      </c>
      <c r="C18" t="s">
        <v>46</v>
      </c>
      <c r="D18">
        <v>1.0000000000000033</v>
      </c>
      <c r="E18" t="s">
        <v>47</v>
      </c>
      <c r="G18" t="s">
        <v>113</v>
      </c>
      <c r="H18" t="s">
        <v>46</v>
      </c>
      <c r="I18">
        <v>0.99999999999999689</v>
      </c>
      <c r="J18" t="s">
        <v>47</v>
      </c>
      <c r="L18" t="s">
        <v>170</v>
      </c>
      <c r="M18" t="s">
        <v>46</v>
      </c>
      <c r="N18">
        <v>0.99999999999999711</v>
      </c>
      <c r="O18" t="s">
        <v>47</v>
      </c>
    </row>
    <row r="19" spans="2:15" x14ac:dyDescent="0.45">
      <c r="B19" t="s">
        <v>55</v>
      </c>
      <c r="C19" t="s">
        <v>46</v>
      </c>
      <c r="D19">
        <v>1</v>
      </c>
      <c r="E19" t="s">
        <v>47</v>
      </c>
      <c r="G19" t="s">
        <v>114</v>
      </c>
      <c r="H19" t="s">
        <v>46</v>
      </c>
      <c r="I19">
        <v>0.99999999999999778</v>
      </c>
      <c r="J19" t="s">
        <v>47</v>
      </c>
      <c r="L19" t="s">
        <v>171</v>
      </c>
      <c r="M19" t="s">
        <v>46</v>
      </c>
      <c r="N19">
        <v>0.99999999999999611</v>
      </c>
      <c r="O19" t="s">
        <v>47</v>
      </c>
    </row>
    <row r="20" spans="2:15" x14ac:dyDescent="0.45">
      <c r="B20" t="s">
        <v>56</v>
      </c>
      <c r="C20" t="s">
        <v>46</v>
      </c>
      <c r="D20">
        <v>0.99999999999999845</v>
      </c>
      <c r="E20" t="s">
        <v>47</v>
      </c>
      <c r="G20" t="s">
        <v>115</v>
      </c>
      <c r="H20" t="s">
        <v>46</v>
      </c>
      <c r="I20">
        <v>1.0000000000000002</v>
      </c>
      <c r="J20" t="s">
        <v>47</v>
      </c>
      <c r="L20" t="s">
        <v>172</v>
      </c>
      <c r="M20" t="s">
        <v>46</v>
      </c>
      <c r="N20">
        <v>0.99999999999999933</v>
      </c>
      <c r="O20" t="s">
        <v>47</v>
      </c>
    </row>
    <row r="21" spans="2:15" x14ac:dyDescent="0.45">
      <c r="B21" t="s">
        <v>57</v>
      </c>
      <c r="C21" t="s">
        <v>46</v>
      </c>
      <c r="D21">
        <v>0.99999999999999889</v>
      </c>
      <c r="E21" t="s">
        <v>47</v>
      </c>
      <c r="G21" t="s">
        <v>116</v>
      </c>
      <c r="H21" t="s">
        <v>46</v>
      </c>
      <c r="I21">
        <v>0.99999999999999767</v>
      </c>
      <c r="J21" t="s">
        <v>47</v>
      </c>
      <c r="L21" t="s">
        <v>173</v>
      </c>
      <c r="M21" t="s">
        <v>46</v>
      </c>
      <c r="N21">
        <v>1.0000000000000029</v>
      </c>
      <c r="O21" t="s">
        <v>47</v>
      </c>
    </row>
    <row r="22" spans="2:15" x14ac:dyDescent="0.45">
      <c r="B22" t="s">
        <v>58</v>
      </c>
      <c r="C22" t="s">
        <v>46</v>
      </c>
      <c r="D22">
        <v>1.0000000000000018</v>
      </c>
      <c r="E22" t="s">
        <v>47</v>
      </c>
      <c r="G22" t="s">
        <v>117</v>
      </c>
      <c r="H22" t="s">
        <v>46</v>
      </c>
      <c r="I22">
        <v>1.0000000000000002</v>
      </c>
      <c r="J22" t="s">
        <v>47</v>
      </c>
      <c r="L22" t="s">
        <v>174</v>
      </c>
      <c r="M22" t="s">
        <v>46</v>
      </c>
      <c r="N22">
        <v>1.0000000000000018</v>
      </c>
      <c r="O22" t="s">
        <v>47</v>
      </c>
    </row>
    <row r="23" spans="2:15" x14ac:dyDescent="0.45">
      <c r="B23" t="s">
        <v>59</v>
      </c>
      <c r="C23" t="s">
        <v>46</v>
      </c>
      <c r="D23">
        <v>1.0000000000000029</v>
      </c>
      <c r="E23" t="s">
        <v>47</v>
      </c>
      <c r="G23" t="s">
        <v>118</v>
      </c>
      <c r="H23" t="s">
        <v>46</v>
      </c>
      <c r="I23">
        <v>1</v>
      </c>
      <c r="J23" t="s">
        <v>47</v>
      </c>
      <c r="L23" t="s">
        <v>175</v>
      </c>
      <c r="M23" t="s">
        <v>46</v>
      </c>
      <c r="N23">
        <v>1.0000000000000051</v>
      </c>
      <c r="O23" t="s">
        <v>47</v>
      </c>
    </row>
    <row r="24" spans="2:15" x14ac:dyDescent="0.45">
      <c r="B24" t="s">
        <v>60</v>
      </c>
      <c r="C24" t="s">
        <v>46</v>
      </c>
      <c r="D24">
        <v>1.0000000000000013</v>
      </c>
      <c r="E24" t="s">
        <v>47</v>
      </c>
      <c r="G24" t="s">
        <v>119</v>
      </c>
      <c r="H24" t="s">
        <v>46</v>
      </c>
      <c r="I24">
        <v>0.99999999999999745</v>
      </c>
      <c r="J24" t="s">
        <v>47</v>
      </c>
      <c r="L24" t="s">
        <v>176</v>
      </c>
      <c r="M24" t="s">
        <v>46</v>
      </c>
      <c r="N24">
        <v>1.0000000000000033</v>
      </c>
      <c r="O24" t="s">
        <v>47</v>
      </c>
    </row>
    <row r="25" spans="2:15" x14ac:dyDescent="0.45">
      <c r="B25" t="s">
        <v>61</v>
      </c>
      <c r="C25" t="s">
        <v>46</v>
      </c>
      <c r="D25">
        <v>1.0000000000000009</v>
      </c>
      <c r="E25" t="s">
        <v>47</v>
      </c>
      <c r="G25" t="s">
        <v>120</v>
      </c>
      <c r="H25" t="s">
        <v>46</v>
      </c>
      <c r="I25">
        <v>0.99999999999999734</v>
      </c>
      <c r="J25" t="s">
        <v>47</v>
      </c>
      <c r="L25" t="s">
        <v>177</v>
      </c>
      <c r="M25" t="s">
        <v>46</v>
      </c>
      <c r="N25">
        <v>0.99999999999999978</v>
      </c>
      <c r="O25" t="s">
        <v>47</v>
      </c>
    </row>
    <row r="26" spans="2:15" x14ac:dyDescent="0.45">
      <c r="B26" t="s">
        <v>62</v>
      </c>
      <c r="C26" t="s">
        <v>46</v>
      </c>
      <c r="D26">
        <v>1</v>
      </c>
      <c r="E26" t="s">
        <v>47</v>
      </c>
      <c r="G26" t="s">
        <v>121</v>
      </c>
      <c r="H26" t="s">
        <v>46</v>
      </c>
      <c r="I26">
        <v>1.0000000000000009</v>
      </c>
      <c r="J26" t="s">
        <v>47</v>
      </c>
    </row>
    <row r="27" spans="2:15" x14ac:dyDescent="0.45">
      <c r="B27" t="s">
        <v>63</v>
      </c>
      <c r="C27" t="s">
        <v>46</v>
      </c>
      <c r="D27">
        <v>0.99999999999999734</v>
      </c>
      <c r="E27" t="s">
        <v>47</v>
      </c>
      <c r="G27" t="s">
        <v>122</v>
      </c>
      <c r="H27" t="s">
        <v>46</v>
      </c>
      <c r="I27">
        <v>0.99999999999999867</v>
      </c>
      <c r="J27" t="s">
        <v>47</v>
      </c>
    </row>
    <row r="28" spans="2:15" x14ac:dyDescent="0.45">
      <c r="B28" t="s">
        <v>64</v>
      </c>
      <c r="C28" t="s">
        <v>46</v>
      </c>
      <c r="D28">
        <v>1.0000000000000033</v>
      </c>
      <c r="E28" t="s">
        <v>47</v>
      </c>
      <c r="G28" t="s">
        <v>123</v>
      </c>
      <c r="H28" t="s">
        <v>46</v>
      </c>
      <c r="I28">
        <v>0.999999999999999</v>
      </c>
      <c r="J28" t="s">
        <v>47</v>
      </c>
    </row>
    <row r="29" spans="2:15" x14ac:dyDescent="0.45">
      <c r="B29" t="s">
        <v>65</v>
      </c>
      <c r="C29" t="s">
        <v>46</v>
      </c>
      <c r="D29">
        <v>0.99999999999999778</v>
      </c>
      <c r="E29" t="s">
        <v>47</v>
      </c>
      <c r="G29" t="s">
        <v>124</v>
      </c>
      <c r="H29" t="s">
        <v>46</v>
      </c>
      <c r="I29">
        <v>0.99999999999999567</v>
      </c>
      <c r="J29" t="s">
        <v>47</v>
      </c>
    </row>
    <row r="30" spans="2:15" x14ac:dyDescent="0.45">
      <c r="B30" t="s">
        <v>66</v>
      </c>
      <c r="C30" t="s">
        <v>46</v>
      </c>
      <c r="D30">
        <v>1.0000000000000016</v>
      </c>
      <c r="E30" t="s">
        <v>47</v>
      </c>
      <c r="G30" t="s">
        <v>125</v>
      </c>
      <c r="H30" t="s">
        <v>46</v>
      </c>
      <c r="I30">
        <v>0.99999999999999367</v>
      </c>
      <c r="J30" t="s">
        <v>47</v>
      </c>
    </row>
    <row r="31" spans="2:15" x14ac:dyDescent="0.45">
      <c r="B31" t="s">
        <v>67</v>
      </c>
      <c r="C31" t="s">
        <v>46</v>
      </c>
      <c r="D31">
        <v>0.999999999999998</v>
      </c>
      <c r="E31" t="s">
        <v>47</v>
      </c>
      <c r="G31" t="s">
        <v>126</v>
      </c>
      <c r="H31" t="s">
        <v>46</v>
      </c>
      <c r="I31">
        <v>0.99999999999999933</v>
      </c>
      <c r="J31" t="s">
        <v>47</v>
      </c>
    </row>
    <row r="32" spans="2:15" x14ac:dyDescent="0.45">
      <c r="B32" t="s">
        <v>68</v>
      </c>
      <c r="C32" t="s">
        <v>46</v>
      </c>
      <c r="D32">
        <v>1.0000000000000033</v>
      </c>
      <c r="E32" t="s">
        <v>47</v>
      </c>
      <c r="G32" t="s">
        <v>127</v>
      </c>
      <c r="H32" t="s">
        <v>46</v>
      </c>
      <c r="I32">
        <v>1</v>
      </c>
      <c r="J32" t="s">
        <v>47</v>
      </c>
    </row>
    <row r="33" spans="2:10" x14ac:dyDescent="0.45">
      <c r="B33" t="s">
        <v>69</v>
      </c>
      <c r="C33" t="s">
        <v>46</v>
      </c>
      <c r="D33">
        <v>0.99999999999999811</v>
      </c>
      <c r="E33" t="s">
        <v>47</v>
      </c>
      <c r="G33" t="s">
        <v>128</v>
      </c>
      <c r="H33" t="s">
        <v>46</v>
      </c>
      <c r="I33">
        <v>0.99999999999999811</v>
      </c>
      <c r="J33" t="s">
        <v>47</v>
      </c>
    </row>
    <row r="34" spans="2:10" x14ac:dyDescent="0.45">
      <c r="B34" t="s">
        <v>70</v>
      </c>
      <c r="C34" t="s">
        <v>46</v>
      </c>
      <c r="D34">
        <v>1.0000000000000029</v>
      </c>
      <c r="E34" t="s">
        <v>47</v>
      </c>
      <c r="G34" t="s">
        <v>129</v>
      </c>
      <c r="H34" t="s">
        <v>46</v>
      </c>
      <c r="I34">
        <v>0.99999999999999922</v>
      </c>
      <c r="J34" t="s">
        <v>47</v>
      </c>
    </row>
    <row r="35" spans="2:10" x14ac:dyDescent="0.45">
      <c r="B35" t="s">
        <v>71</v>
      </c>
      <c r="C35" t="s">
        <v>46</v>
      </c>
      <c r="D35">
        <v>0.99999999999999734</v>
      </c>
      <c r="E35" t="s">
        <v>47</v>
      </c>
      <c r="G35" t="s">
        <v>130</v>
      </c>
      <c r="H35" t="s">
        <v>46</v>
      </c>
      <c r="I35">
        <v>1.000000000000002</v>
      </c>
      <c r="J35" t="s">
        <v>47</v>
      </c>
    </row>
    <row r="36" spans="2:10" x14ac:dyDescent="0.45">
      <c r="B36" t="s">
        <v>72</v>
      </c>
      <c r="C36" t="s">
        <v>46</v>
      </c>
      <c r="D36">
        <v>0.99999999999999933</v>
      </c>
      <c r="E36" t="s">
        <v>47</v>
      </c>
      <c r="G36" t="s">
        <v>131</v>
      </c>
      <c r="H36" t="s">
        <v>46</v>
      </c>
      <c r="I36">
        <v>0.99999999999999645</v>
      </c>
      <c r="J36" t="s">
        <v>47</v>
      </c>
    </row>
    <row r="37" spans="2:10" x14ac:dyDescent="0.45">
      <c r="B37" t="s">
        <v>73</v>
      </c>
      <c r="C37" t="s">
        <v>46</v>
      </c>
      <c r="D37">
        <v>0.99999999999999922</v>
      </c>
      <c r="E37" t="s">
        <v>47</v>
      </c>
      <c r="G37" t="s">
        <v>132</v>
      </c>
      <c r="H37" t="s">
        <v>46</v>
      </c>
      <c r="I37">
        <v>0.99999999999999967</v>
      </c>
      <c r="J37" t="s">
        <v>47</v>
      </c>
    </row>
    <row r="38" spans="2:10" x14ac:dyDescent="0.45">
      <c r="B38" t="s">
        <v>74</v>
      </c>
      <c r="C38" t="s">
        <v>46</v>
      </c>
      <c r="D38">
        <v>0.99999999999999833</v>
      </c>
      <c r="E38" t="s">
        <v>47</v>
      </c>
      <c r="G38" t="s">
        <v>133</v>
      </c>
      <c r="H38" t="s">
        <v>46</v>
      </c>
      <c r="I38">
        <v>1.0000000000000036</v>
      </c>
      <c r="J38" t="s">
        <v>47</v>
      </c>
    </row>
    <row r="39" spans="2:10" x14ac:dyDescent="0.45">
      <c r="B39" t="s">
        <v>75</v>
      </c>
      <c r="C39" t="s">
        <v>46</v>
      </c>
      <c r="D39">
        <v>0.99999999999999911</v>
      </c>
      <c r="E39" t="s">
        <v>47</v>
      </c>
      <c r="G39" t="s">
        <v>134</v>
      </c>
      <c r="H39" t="s">
        <v>46</v>
      </c>
      <c r="I39">
        <v>1.0000000000000047</v>
      </c>
      <c r="J39" t="s">
        <v>47</v>
      </c>
    </row>
    <row r="40" spans="2:10" x14ac:dyDescent="0.45">
      <c r="B40" t="s">
        <v>76</v>
      </c>
      <c r="C40" t="s">
        <v>46</v>
      </c>
      <c r="D40">
        <v>1.0000000000000013</v>
      </c>
      <c r="E40" t="s">
        <v>47</v>
      </c>
      <c r="G40" t="s">
        <v>135</v>
      </c>
      <c r="H40" t="s">
        <v>46</v>
      </c>
      <c r="I40">
        <v>0.99999999999999933</v>
      </c>
      <c r="J40" t="s">
        <v>47</v>
      </c>
    </row>
    <row r="41" spans="2:10" x14ac:dyDescent="0.45">
      <c r="B41" t="s">
        <v>77</v>
      </c>
      <c r="C41" t="s">
        <v>46</v>
      </c>
      <c r="D41">
        <v>1.0000000000000009</v>
      </c>
      <c r="E41" t="s">
        <v>47</v>
      </c>
      <c r="G41" t="s">
        <v>136</v>
      </c>
      <c r="H41" t="s">
        <v>46</v>
      </c>
      <c r="I41">
        <v>0.99999999999999778</v>
      </c>
      <c r="J41" t="s">
        <v>47</v>
      </c>
    </row>
    <row r="42" spans="2:10" x14ac:dyDescent="0.45">
      <c r="B42" t="s">
        <v>78</v>
      </c>
      <c r="C42" t="s">
        <v>46</v>
      </c>
      <c r="D42">
        <v>0.99999999999999689</v>
      </c>
      <c r="E42" t="s">
        <v>47</v>
      </c>
      <c r="G42" t="s">
        <v>137</v>
      </c>
      <c r="H42" t="s">
        <v>46</v>
      </c>
      <c r="I42">
        <v>1.0000000000000004</v>
      </c>
      <c r="J42" t="s">
        <v>47</v>
      </c>
    </row>
    <row r="43" spans="2:10" x14ac:dyDescent="0.45">
      <c r="B43" t="s">
        <v>79</v>
      </c>
      <c r="C43" t="s">
        <v>46</v>
      </c>
      <c r="D43">
        <v>0.99999999999999956</v>
      </c>
      <c r="E43" t="s">
        <v>47</v>
      </c>
      <c r="G43" t="s">
        <v>138</v>
      </c>
      <c r="H43" t="s">
        <v>46</v>
      </c>
      <c r="I43">
        <v>0.99999999999999667</v>
      </c>
      <c r="J43" t="s">
        <v>47</v>
      </c>
    </row>
    <row r="44" spans="2:10" x14ac:dyDescent="0.45">
      <c r="B44" t="s">
        <v>80</v>
      </c>
      <c r="C44" t="s">
        <v>46</v>
      </c>
      <c r="D44">
        <v>1.0000000000000018</v>
      </c>
      <c r="E44" t="s">
        <v>47</v>
      </c>
      <c r="G44" t="s">
        <v>139</v>
      </c>
      <c r="H44" t="s">
        <v>46</v>
      </c>
      <c r="I44">
        <v>0.99999999999999512</v>
      </c>
      <c r="J44" t="s">
        <v>47</v>
      </c>
    </row>
    <row r="45" spans="2:10" x14ac:dyDescent="0.45">
      <c r="B45" t="s">
        <v>81</v>
      </c>
      <c r="C45" t="s">
        <v>46</v>
      </c>
      <c r="D45">
        <v>0.99999999999999489</v>
      </c>
      <c r="E45" t="s">
        <v>47</v>
      </c>
      <c r="G45" t="s">
        <v>140</v>
      </c>
      <c r="H45" t="s">
        <v>46</v>
      </c>
      <c r="I45">
        <v>1.0000000000000044</v>
      </c>
      <c r="J45" t="s">
        <v>47</v>
      </c>
    </row>
    <row r="46" spans="2:10" x14ac:dyDescent="0.45">
      <c r="B46" t="s">
        <v>82</v>
      </c>
      <c r="C46" t="s">
        <v>46</v>
      </c>
      <c r="D46">
        <v>1.0000000000000002</v>
      </c>
      <c r="E46" t="s">
        <v>47</v>
      </c>
      <c r="G46" t="s">
        <v>141</v>
      </c>
      <c r="H46" t="s">
        <v>46</v>
      </c>
      <c r="I46">
        <v>0.99999999999999822</v>
      </c>
      <c r="J46" t="s">
        <v>47</v>
      </c>
    </row>
    <row r="47" spans="2:10" x14ac:dyDescent="0.45">
      <c r="B47" t="s">
        <v>83</v>
      </c>
      <c r="C47" t="s">
        <v>46</v>
      </c>
      <c r="D47">
        <v>0.99999999999999734</v>
      </c>
      <c r="E47" t="s">
        <v>47</v>
      </c>
      <c r="G47" t="s">
        <v>142</v>
      </c>
      <c r="H47" t="s">
        <v>46</v>
      </c>
      <c r="I47">
        <v>1.0000000000000018</v>
      </c>
      <c r="J47" t="s">
        <v>47</v>
      </c>
    </row>
    <row r="48" spans="2:10" x14ac:dyDescent="0.45">
      <c r="B48" t="s">
        <v>84</v>
      </c>
      <c r="C48" t="s">
        <v>46</v>
      </c>
      <c r="D48">
        <v>1.0000000000000016</v>
      </c>
      <c r="E48" t="s">
        <v>47</v>
      </c>
      <c r="G48" t="s">
        <v>143</v>
      </c>
      <c r="H48" t="s">
        <v>46</v>
      </c>
      <c r="I48">
        <v>1.0000000000000002</v>
      </c>
      <c r="J48" t="s">
        <v>47</v>
      </c>
    </row>
    <row r="49" spans="2:10" x14ac:dyDescent="0.45">
      <c r="B49" t="s">
        <v>85</v>
      </c>
      <c r="C49" t="s">
        <v>46</v>
      </c>
      <c r="D49">
        <v>1.0000000000000042</v>
      </c>
      <c r="E49" t="s">
        <v>47</v>
      </c>
      <c r="G49" t="s">
        <v>144</v>
      </c>
      <c r="H49" t="s">
        <v>46</v>
      </c>
      <c r="I49">
        <v>1.0000000000000031</v>
      </c>
      <c r="J49" t="s">
        <v>47</v>
      </c>
    </row>
    <row r="50" spans="2:10" x14ac:dyDescent="0.45">
      <c r="B50" t="s">
        <v>86</v>
      </c>
      <c r="C50" t="s">
        <v>46</v>
      </c>
      <c r="D50">
        <v>0.99999999999999911</v>
      </c>
      <c r="E50" t="s">
        <v>47</v>
      </c>
      <c r="G50" t="s">
        <v>145</v>
      </c>
      <c r="H50" t="s">
        <v>46</v>
      </c>
      <c r="I50">
        <v>1.0000000000000018</v>
      </c>
      <c r="J50" t="s">
        <v>47</v>
      </c>
    </row>
    <row r="51" spans="2:10" x14ac:dyDescent="0.45">
      <c r="B51" t="s">
        <v>87</v>
      </c>
      <c r="C51" t="s">
        <v>46</v>
      </c>
      <c r="D51">
        <v>1.0000000000000027</v>
      </c>
      <c r="E51" t="s">
        <v>47</v>
      </c>
      <c r="G51" t="s">
        <v>146</v>
      </c>
      <c r="H51" t="s">
        <v>46</v>
      </c>
      <c r="I51">
        <v>0.99999999999999734</v>
      </c>
      <c r="J51" t="s">
        <v>47</v>
      </c>
    </row>
    <row r="52" spans="2:10" x14ac:dyDescent="0.45">
      <c r="B52" t="s">
        <v>88</v>
      </c>
      <c r="C52" t="s">
        <v>46</v>
      </c>
      <c r="D52">
        <v>1.0000000000000018</v>
      </c>
      <c r="E52" t="s">
        <v>47</v>
      </c>
      <c r="G52" t="s">
        <v>147</v>
      </c>
      <c r="H52" t="s">
        <v>46</v>
      </c>
      <c r="I52">
        <v>1.0000000000000024</v>
      </c>
      <c r="J52" t="s">
        <v>47</v>
      </c>
    </row>
    <row r="53" spans="2:10" x14ac:dyDescent="0.45">
      <c r="B53" t="s">
        <v>89</v>
      </c>
      <c r="C53" t="s">
        <v>46</v>
      </c>
      <c r="D53">
        <v>1.0000000000000011</v>
      </c>
      <c r="E53" t="s">
        <v>47</v>
      </c>
      <c r="G53" t="s">
        <v>148</v>
      </c>
      <c r="H53" t="s">
        <v>46</v>
      </c>
      <c r="I53">
        <v>0.99999999999999989</v>
      </c>
      <c r="J53" t="s">
        <v>47</v>
      </c>
    </row>
    <row r="54" spans="2:10" x14ac:dyDescent="0.45">
      <c r="B54" t="s">
        <v>90</v>
      </c>
      <c r="C54" t="s">
        <v>46</v>
      </c>
      <c r="D54">
        <v>0.99999999999999956</v>
      </c>
      <c r="E54" t="s">
        <v>47</v>
      </c>
      <c r="G54" t="s">
        <v>149</v>
      </c>
      <c r="H54" t="s">
        <v>46</v>
      </c>
      <c r="I54">
        <v>0.99999999999999656</v>
      </c>
      <c r="J54" t="s">
        <v>47</v>
      </c>
    </row>
    <row r="55" spans="2:10" x14ac:dyDescent="0.45">
      <c r="B55" t="s">
        <v>91</v>
      </c>
      <c r="C55" t="s">
        <v>46</v>
      </c>
      <c r="D55">
        <v>1.0000000000000018</v>
      </c>
      <c r="E55" t="s">
        <v>47</v>
      </c>
      <c r="G55" t="s">
        <v>150</v>
      </c>
      <c r="H55" t="s">
        <v>46</v>
      </c>
      <c r="I55">
        <v>0.99999999999999933</v>
      </c>
      <c r="J55" t="s">
        <v>47</v>
      </c>
    </row>
    <row r="56" spans="2:10" x14ac:dyDescent="0.45">
      <c r="B56" t="s">
        <v>92</v>
      </c>
      <c r="C56" t="s">
        <v>46</v>
      </c>
      <c r="D56">
        <v>0.99999999999999922</v>
      </c>
      <c r="E56" t="s">
        <v>47</v>
      </c>
      <c r="G56" t="s">
        <v>151</v>
      </c>
      <c r="H56" t="s">
        <v>46</v>
      </c>
      <c r="I56">
        <v>0.99999999999999811</v>
      </c>
      <c r="J56" t="s">
        <v>47</v>
      </c>
    </row>
    <row r="57" spans="2:10" x14ac:dyDescent="0.45">
      <c r="B57" t="s">
        <v>93</v>
      </c>
      <c r="C57" t="s">
        <v>46</v>
      </c>
      <c r="D57">
        <v>1.0000000000000011</v>
      </c>
      <c r="E57" t="s">
        <v>47</v>
      </c>
      <c r="G57" t="s">
        <v>152</v>
      </c>
      <c r="H57" t="s">
        <v>46</v>
      </c>
      <c r="I57">
        <v>0.99999999999999856</v>
      </c>
      <c r="J57" t="s">
        <v>47</v>
      </c>
    </row>
    <row r="58" spans="2:10" x14ac:dyDescent="0.45">
      <c r="B58" t="s">
        <v>94</v>
      </c>
      <c r="C58" t="s">
        <v>46</v>
      </c>
      <c r="D58">
        <v>0.99999999999999523</v>
      </c>
      <c r="E58" t="s">
        <v>47</v>
      </c>
      <c r="G58" t="s">
        <v>153</v>
      </c>
      <c r="H58" t="s">
        <v>46</v>
      </c>
      <c r="I58">
        <v>1.0000000000000038</v>
      </c>
      <c r="J58" t="s">
        <v>47</v>
      </c>
    </row>
    <row r="59" spans="2:10" x14ac:dyDescent="0.45">
      <c r="B59" t="s">
        <v>95</v>
      </c>
      <c r="C59" t="s">
        <v>46</v>
      </c>
      <c r="D59">
        <v>1.0000000000000009</v>
      </c>
      <c r="E59" t="s">
        <v>47</v>
      </c>
      <c r="G59" t="s">
        <v>154</v>
      </c>
      <c r="H59" t="s">
        <v>46</v>
      </c>
      <c r="I59">
        <v>0.99999999999999767</v>
      </c>
      <c r="J59" t="s">
        <v>47</v>
      </c>
    </row>
    <row r="60" spans="2:10" x14ac:dyDescent="0.45">
      <c r="B60" t="s">
        <v>96</v>
      </c>
      <c r="C60" t="s">
        <v>46</v>
      </c>
      <c r="D60">
        <v>1.0000000000000016</v>
      </c>
      <c r="E60" t="s">
        <v>47</v>
      </c>
      <c r="G60" t="s">
        <v>155</v>
      </c>
      <c r="H60" t="s">
        <v>46</v>
      </c>
      <c r="I60">
        <v>1.0000000000000013</v>
      </c>
      <c r="J60" t="s">
        <v>47</v>
      </c>
    </row>
    <row r="61" spans="2:10" x14ac:dyDescent="0.45">
      <c r="B61" t="s">
        <v>97</v>
      </c>
      <c r="C61" t="s">
        <v>46</v>
      </c>
      <c r="D61">
        <v>0.99999999999999734</v>
      </c>
      <c r="E61" t="s">
        <v>47</v>
      </c>
      <c r="G61" t="s">
        <v>156</v>
      </c>
      <c r="H61" t="s">
        <v>46</v>
      </c>
      <c r="I61">
        <v>1.0000000000000009</v>
      </c>
      <c r="J61" t="s">
        <v>47</v>
      </c>
    </row>
    <row r="62" spans="2:10" x14ac:dyDescent="0.45">
      <c r="B62" t="s">
        <v>98</v>
      </c>
      <c r="C62" t="s">
        <v>46</v>
      </c>
      <c r="D62">
        <v>0.99999999999999623</v>
      </c>
      <c r="E62" t="s">
        <v>47</v>
      </c>
      <c r="G62" t="s">
        <v>157</v>
      </c>
      <c r="H62" t="s">
        <v>46</v>
      </c>
      <c r="I62">
        <v>1.0000000000000009</v>
      </c>
      <c r="J62" t="s">
        <v>47</v>
      </c>
    </row>
    <row r="63" spans="2:10" x14ac:dyDescent="0.45">
      <c r="B63" t="s">
        <v>99</v>
      </c>
      <c r="C63" t="s">
        <v>46</v>
      </c>
      <c r="D63">
        <v>1.0000000000000029</v>
      </c>
      <c r="E63" t="s">
        <v>47</v>
      </c>
      <c r="G63" t="s">
        <v>158</v>
      </c>
      <c r="H63" t="s">
        <v>46</v>
      </c>
      <c r="I63">
        <v>0.99999999999999922</v>
      </c>
      <c r="J63" t="s">
        <v>47</v>
      </c>
    </row>
    <row r="64" spans="2:10" x14ac:dyDescent="0.45">
      <c r="B64" t="s">
        <v>100</v>
      </c>
      <c r="C64" t="s">
        <v>46</v>
      </c>
      <c r="D64">
        <v>0.99999999999999922</v>
      </c>
      <c r="E64" t="s">
        <v>47</v>
      </c>
      <c r="G64" t="s">
        <v>159</v>
      </c>
      <c r="H64" t="s">
        <v>46</v>
      </c>
      <c r="I64">
        <v>0.99999999999999756</v>
      </c>
      <c r="J64" t="s">
        <v>47</v>
      </c>
    </row>
    <row r="65" spans="2:10" x14ac:dyDescent="0.45">
      <c r="B65" t="s">
        <v>101</v>
      </c>
      <c r="C65" t="s">
        <v>46</v>
      </c>
      <c r="D65">
        <v>0.999999999999999</v>
      </c>
      <c r="E65" t="s">
        <v>47</v>
      </c>
      <c r="G65" t="s">
        <v>160</v>
      </c>
      <c r="H65" t="s">
        <v>46</v>
      </c>
      <c r="I65">
        <v>1.0000000000000002</v>
      </c>
      <c r="J65" t="s">
        <v>47</v>
      </c>
    </row>
    <row r="66" spans="2:10" x14ac:dyDescent="0.45">
      <c r="B66" t="s">
        <v>102</v>
      </c>
      <c r="C66" t="s">
        <v>46</v>
      </c>
      <c r="D66">
        <v>1.0000000000000022</v>
      </c>
      <c r="E66" t="s">
        <v>47</v>
      </c>
      <c r="G66" t="s">
        <v>161</v>
      </c>
      <c r="H66" t="s">
        <v>46</v>
      </c>
      <c r="I66">
        <v>1.0000000000000011</v>
      </c>
      <c r="J66" t="s">
        <v>47</v>
      </c>
    </row>
    <row r="67" spans="2:10" x14ac:dyDescent="0.45">
      <c r="B67" t="s">
        <v>103</v>
      </c>
      <c r="C67" t="s">
        <v>46</v>
      </c>
      <c r="D67">
        <v>0.99999999999999833</v>
      </c>
      <c r="E67" t="s">
        <v>47</v>
      </c>
      <c r="G67" t="s">
        <v>162</v>
      </c>
      <c r="H67" t="s">
        <v>46</v>
      </c>
      <c r="I67">
        <v>1.0000000000000011</v>
      </c>
      <c r="J67" t="s">
        <v>47</v>
      </c>
    </row>
    <row r="68" spans="2:10" x14ac:dyDescent="0.45">
      <c r="B68" t="s">
        <v>104</v>
      </c>
      <c r="C68" t="s">
        <v>46</v>
      </c>
      <c r="D68">
        <v>0.99999999999999922</v>
      </c>
      <c r="E68" t="s">
        <v>47</v>
      </c>
    </row>
    <row r="69" spans="2:10" x14ac:dyDescent="0.45">
      <c r="B69" t="s">
        <v>105</v>
      </c>
      <c r="C69" t="s">
        <v>46</v>
      </c>
      <c r="D69">
        <v>1.0000000000000011</v>
      </c>
      <c r="E69" t="s">
        <v>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ECDF0-B7AF-4C43-8B89-4CE081C766B3}">
  <dimension ref="B9:T141"/>
  <sheetViews>
    <sheetView workbookViewId="0"/>
  </sheetViews>
  <sheetFormatPr defaultRowHeight="14.25" x14ac:dyDescent="0.45"/>
  <sheetData>
    <row r="9" spans="2:20" x14ac:dyDescent="0.45">
      <c r="B9" t="str">
        <f>IF(A11="x","DeActivated","~TFM_DINS-TSL: attribute=FLO_EMIS; other_indexes=ACT")</f>
        <v>~TFM_DINS-TSL: attribute=FLO_EMIS; other_indexes=ACT</v>
      </c>
      <c r="F9" t="str">
        <f>IF(A11="x","DeActivated","~TFM_INS-TSL: attribute=FLO_SHAR; limtype=FX")</f>
        <v>~TFM_INS-TSL: attribute=FLO_SHAR; limtype=FX</v>
      </c>
      <c r="J9" t="str">
        <f>IF(A11="x","DeActivated","~TFM_INS-TSL: attribute=FLO_SHAR; limtype=FX")</f>
        <v>~TFM_INS-TSL: attribute=FLO_SHAR; limtype=FX</v>
      </c>
      <c r="N9" t="str">
        <f>IF(A11="x","DeActivated","~TFM_DINS-TSL: attribute=NCAP_PKCNT")</f>
        <v>~TFM_DINS-TSL: attribute=NCAP_PKCNT</v>
      </c>
      <c r="Q9" t="str">
        <f>IF(A11="x","DeActivated","~TFM_DINS-AT")</f>
        <v>~TFM_DINS-AT</v>
      </c>
    </row>
    <row r="10" spans="2:20" x14ac:dyDescent="0.45">
      <c r="B10" t="s">
        <v>44</v>
      </c>
      <c r="C10" t="s">
        <v>41</v>
      </c>
      <c r="D10" t="s">
        <v>46</v>
      </c>
      <c r="F10" t="s">
        <v>44</v>
      </c>
      <c r="G10" t="s">
        <v>41</v>
      </c>
      <c r="H10" t="s">
        <v>46</v>
      </c>
      <c r="J10" t="s">
        <v>44</v>
      </c>
      <c r="K10" t="s">
        <v>41</v>
      </c>
      <c r="L10" t="s">
        <v>46</v>
      </c>
      <c r="N10" t="s">
        <v>44</v>
      </c>
      <c r="O10" t="s">
        <v>46</v>
      </c>
      <c r="Q10" t="s">
        <v>44</v>
      </c>
      <c r="R10" t="s">
        <v>41</v>
      </c>
      <c r="S10" t="s">
        <v>314</v>
      </c>
      <c r="T10" t="s">
        <v>315</v>
      </c>
    </row>
    <row r="11" spans="2:20" x14ac:dyDescent="0.45">
      <c r="B11" t="s">
        <v>178</v>
      </c>
      <c r="C11" t="s">
        <v>31</v>
      </c>
      <c r="D11">
        <v>0.51970925983273542</v>
      </c>
      <c r="F11" t="s">
        <v>309</v>
      </c>
      <c r="G11" t="s">
        <v>310</v>
      </c>
      <c r="H11">
        <v>0.13980318541723252</v>
      </c>
      <c r="J11" t="s">
        <v>309</v>
      </c>
      <c r="K11" t="s">
        <v>313</v>
      </c>
      <c r="L11">
        <v>0.16206878547779466</v>
      </c>
      <c r="N11" t="s">
        <v>178</v>
      </c>
      <c r="O11">
        <v>0.25894169394674926</v>
      </c>
      <c r="Q11" t="s">
        <v>178</v>
      </c>
      <c r="R11" t="s">
        <v>316</v>
      </c>
      <c r="S11" t="s">
        <v>317</v>
      </c>
      <c r="T11">
        <v>0.25894169394674926</v>
      </c>
    </row>
    <row r="12" spans="2:20" x14ac:dyDescent="0.45">
      <c r="B12" t="s">
        <v>179</v>
      </c>
      <c r="C12" t="s">
        <v>31</v>
      </c>
      <c r="D12">
        <v>0.52366459903776863</v>
      </c>
      <c r="F12" t="s">
        <v>311</v>
      </c>
      <c r="G12" t="s">
        <v>310</v>
      </c>
      <c r="H12">
        <v>1.5209213949491337E-2</v>
      </c>
      <c r="J12" t="s">
        <v>311</v>
      </c>
      <c r="K12" t="s">
        <v>313</v>
      </c>
      <c r="L12">
        <v>2.3357947054531064E-2</v>
      </c>
      <c r="N12" t="s">
        <v>179</v>
      </c>
      <c r="O12">
        <v>0.26408510847840971</v>
      </c>
      <c r="Q12" t="s">
        <v>179</v>
      </c>
      <c r="R12" t="s">
        <v>316</v>
      </c>
      <c r="S12" t="s">
        <v>317</v>
      </c>
      <c r="T12">
        <v>0.26408510847840971</v>
      </c>
    </row>
    <row r="13" spans="2:20" x14ac:dyDescent="0.45">
      <c r="B13" t="s">
        <v>180</v>
      </c>
      <c r="C13" t="s">
        <v>31</v>
      </c>
      <c r="D13">
        <v>0.52514847341347159</v>
      </c>
      <c r="F13" t="s">
        <v>312</v>
      </c>
      <c r="G13" t="s">
        <v>310</v>
      </c>
      <c r="H13">
        <v>3.3756956722730516E-3</v>
      </c>
      <c r="J13" t="s">
        <v>312</v>
      </c>
      <c r="K13" t="s">
        <v>313</v>
      </c>
      <c r="L13">
        <v>8.3746634768938066E-3</v>
      </c>
      <c r="N13" t="s">
        <v>180</v>
      </c>
      <c r="O13">
        <v>0.25022737912869653</v>
      </c>
      <c r="Q13" t="s">
        <v>180</v>
      </c>
      <c r="R13" t="s">
        <v>316</v>
      </c>
      <c r="S13" t="s">
        <v>317</v>
      </c>
      <c r="T13">
        <v>0.25022737912869653</v>
      </c>
    </row>
    <row r="14" spans="2:20" x14ac:dyDescent="0.45">
      <c r="B14" t="s">
        <v>181</v>
      </c>
      <c r="C14" t="s">
        <v>31</v>
      </c>
      <c r="D14">
        <v>0.51476021065528788</v>
      </c>
      <c r="N14" t="s">
        <v>181</v>
      </c>
      <c r="O14">
        <v>0.26999287196049826</v>
      </c>
      <c r="Q14" t="s">
        <v>181</v>
      </c>
      <c r="R14" t="s">
        <v>316</v>
      </c>
      <c r="S14" t="s">
        <v>317</v>
      </c>
      <c r="T14">
        <v>0.26999287196049826</v>
      </c>
    </row>
    <row r="15" spans="2:20" x14ac:dyDescent="0.45">
      <c r="B15" t="s">
        <v>182</v>
      </c>
      <c r="C15" t="s">
        <v>31</v>
      </c>
      <c r="D15">
        <v>0.51813340836499544</v>
      </c>
      <c r="N15" t="s">
        <v>182</v>
      </c>
      <c r="O15">
        <v>0.27263453818858913</v>
      </c>
      <c r="Q15" t="s">
        <v>182</v>
      </c>
      <c r="R15" t="s">
        <v>316</v>
      </c>
      <c r="S15" t="s">
        <v>317</v>
      </c>
      <c r="T15">
        <v>0.27263453818858913</v>
      </c>
    </row>
    <row r="16" spans="2:20" x14ac:dyDescent="0.45">
      <c r="B16" t="s">
        <v>183</v>
      </c>
      <c r="C16" t="s">
        <v>31</v>
      </c>
      <c r="D16">
        <v>0.52279415448321653</v>
      </c>
      <c r="N16" t="s">
        <v>183</v>
      </c>
      <c r="O16">
        <v>0.26802145451241122</v>
      </c>
      <c r="Q16" t="s">
        <v>183</v>
      </c>
      <c r="R16" t="s">
        <v>316</v>
      </c>
      <c r="S16" t="s">
        <v>317</v>
      </c>
      <c r="T16">
        <v>0.26802145451241122</v>
      </c>
    </row>
    <row r="17" spans="2:20" x14ac:dyDescent="0.45">
      <c r="B17" t="s">
        <v>184</v>
      </c>
      <c r="C17" t="s">
        <v>31</v>
      </c>
      <c r="D17">
        <v>0.52172284692301951</v>
      </c>
      <c r="N17" t="s">
        <v>184</v>
      </c>
      <c r="O17">
        <v>0.27364467805548232</v>
      </c>
      <c r="Q17" t="s">
        <v>184</v>
      </c>
      <c r="R17" t="s">
        <v>316</v>
      </c>
      <c r="S17" t="s">
        <v>317</v>
      </c>
      <c r="T17">
        <v>0.27364467805548232</v>
      </c>
    </row>
    <row r="18" spans="2:20" x14ac:dyDescent="0.45">
      <c r="B18" t="s">
        <v>185</v>
      </c>
      <c r="C18" t="s">
        <v>31</v>
      </c>
      <c r="D18">
        <v>0.51737907305051034</v>
      </c>
      <c r="N18" t="s">
        <v>185</v>
      </c>
      <c r="O18">
        <v>0.28334892040480542</v>
      </c>
      <c r="Q18" t="s">
        <v>185</v>
      </c>
      <c r="R18" t="s">
        <v>316</v>
      </c>
      <c r="S18" t="s">
        <v>317</v>
      </c>
      <c r="T18">
        <v>0.28334892040480542</v>
      </c>
    </row>
    <row r="19" spans="2:20" x14ac:dyDescent="0.45">
      <c r="B19" t="s">
        <v>186</v>
      </c>
      <c r="C19" t="s">
        <v>31</v>
      </c>
      <c r="D19">
        <v>0.51681257425943317</v>
      </c>
      <c r="N19" t="s">
        <v>186</v>
      </c>
      <c r="O19">
        <v>0.27852338085493511</v>
      </c>
      <c r="Q19" t="s">
        <v>186</v>
      </c>
      <c r="R19" t="s">
        <v>316</v>
      </c>
      <c r="S19" t="s">
        <v>317</v>
      </c>
      <c r="T19">
        <v>0.27852338085493511</v>
      </c>
    </row>
    <row r="20" spans="2:20" x14ac:dyDescent="0.45">
      <c r="B20" t="s">
        <v>187</v>
      </c>
      <c r="C20" t="s">
        <v>31</v>
      </c>
      <c r="D20">
        <v>0.51796597991488058</v>
      </c>
      <c r="N20" t="s">
        <v>187</v>
      </c>
      <c r="O20">
        <v>0.28475647508899837</v>
      </c>
      <c r="Q20" t="s">
        <v>187</v>
      </c>
      <c r="R20" t="s">
        <v>316</v>
      </c>
      <c r="S20" t="s">
        <v>317</v>
      </c>
      <c r="T20">
        <v>0.28475647508899837</v>
      </c>
    </row>
    <row r="21" spans="2:20" x14ac:dyDescent="0.45">
      <c r="B21" t="s">
        <v>188</v>
      </c>
      <c r="C21" t="s">
        <v>31</v>
      </c>
      <c r="D21">
        <v>0.51549362370914087</v>
      </c>
      <c r="N21" t="s">
        <v>188</v>
      </c>
      <c r="O21">
        <v>0.28483703317191339</v>
      </c>
      <c r="Q21" t="s">
        <v>188</v>
      </c>
      <c r="R21" t="s">
        <v>316</v>
      </c>
      <c r="S21" t="s">
        <v>317</v>
      </c>
      <c r="T21">
        <v>0.28483703317191339</v>
      </c>
    </row>
    <row r="22" spans="2:20" x14ac:dyDescent="0.45">
      <c r="B22" t="s">
        <v>189</v>
      </c>
      <c r="C22" t="s">
        <v>31</v>
      </c>
      <c r="D22">
        <v>0.5204005239197026</v>
      </c>
      <c r="N22" t="s">
        <v>189</v>
      </c>
      <c r="O22">
        <v>0.28315049103182272</v>
      </c>
      <c r="Q22" t="s">
        <v>189</v>
      </c>
      <c r="R22" t="s">
        <v>316</v>
      </c>
      <c r="S22" t="s">
        <v>317</v>
      </c>
      <c r="T22">
        <v>0.28315049103182272</v>
      </c>
    </row>
    <row r="23" spans="2:20" x14ac:dyDescent="0.45">
      <c r="B23" t="s">
        <v>190</v>
      </c>
      <c r="C23" t="s">
        <v>31</v>
      </c>
      <c r="D23">
        <v>0.52164308421380734</v>
      </c>
      <c r="N23" t="s">
        <v>190</v>
      </c>
      <c r="O23">
        <v>0.27702526551153622</v>
      </c>
      <c r="Q23" t="s">
        <v>190</v>
      </c>
      <c r="R23" t="s">
        <v>316</v>
      </c>
      <c r="S23" t="s">
        <v>317</v>
      </c>
      <c r="T23">
        <v>0.27702526551153622</v>
      </c>
    </row>
    <row r="24" spans="2:20" x14ac:dyDescent="0.45">
      <c r="B24" t="s">
        <v>191</v>
      </c>
      <c r="C24" t="s">
        <v>31</v>
      </c>
      <c r="D24">
        <v>0.51926833990884047</v>
      </c>
      <c r="N24" t="s">
        <v>191</v>
      </c>
      <c r="O24">
        <v>0.28110420710397649</v>
      </c>
      <c r="Q24" t="s">
        <v>191</v>
      </c>
      <c r="R24" t="s">
        <v>316</v>
      </c>
      <c r="S24" t="s">
        <v>317</v>
      </c>
      <c r="T24">
        <v>0.28110420710397649</v>
      </c>
    </row>
    <row r="25" spans="2:20" x14ac:dyDescent="0.45">
      <c r="B25" t="s">
        <v>192</v>
      </c>
      <c r="C25" t="s">
        <v>31</v>
      </c>
      <c r="D25">
        <v>0.52305454872660839</v>
      </c>
      <c r="N25" t="s">
        <v>192</v>
      </c>
      <c r="O25">
        <v>0.27296280835871273</v>
      </c>
      <c r="Q25" t="s">
        <v>192</v>
      </c>
      <c r="R25" t="s">
        <v>316</v>
      </c>
      <c r="S25" t="s">
        <v>317</v>
      </c>
      <c r="T25">
        <v>0.27296280835871273</v>
      </c>
    </row>
    <row r="26" spans="2:20" x14ac:dyDescent="0.45">
      <c r="B26" t="s">
        <v>193</v>
      </c>
      <c r="C26" t="s">
        <v>31</v>
      </c>
      <c r="D26">
        <v>0.52081838943044478</v>
      </c>
      <c r="N26" t="s">
        <v>193</v>
      </c>
      <c r="O26">
        <v>0.27617707525294205</v>
      </c>
      <c r="Q26" t="s">
        <v>193</v>
      </c>
      <c r="R26" t="s">
        <v>316</v>
      </c>
      <c r="S26" t="s">
        <v>317</v>
      </c>
      <c r="T26">
        <v>0.27617707525294205</v>
      </c>
    </row>
    <row r="27" spans="2:20" x14ac:dyDescent="0.45">
      <c r="B27" t="s">
        <v>194</v>
      </c>
      <c r="C27" t="s">
        <v>31</v>
      </c>
      <c r="D27">
        <v>0.52203067219315413</v>
      </c>
      <c r="N27" t="s">
        <v>194</v>
      </c>
      <c r="O27">
        <v>0.27281431370445181</v>
      </c>
      <c r="Q27" t="s">
        <v>194</v>
      </c>
      <c r="R27" t="s">
        <v>316</v>
      </c>
      <c r="S27" t="s">
        <v>317</v>
      </c>
      <c r="T27">
        <v>0.27281431370445181</v>
      </c>
    </row>
    <row r="28" spans="2:20" x14ac:dyDescent="0.45">
      <c r="B28" t="s">
        <v>195</v>
      </c>
      <c r="C28" t="s">
        <v>31</v>
      </c>
      <c r="D28">
        <v>0.5248760803372633</v>
      </c>
      <c r="N28" t="s">
        <v>195</v>
      </c>
      <c r="O28">
        <v>0.26851517965773741</v>
      </c>
      <c r="Q28" t="s">
        <v>195</v>
      </c>
      <c r="R28" t="s">
        <v>316</v>
      </c>
      <c r="S28" t="s">
        <v>317</v>
      </c>
      <c r="T28">
        <v>0.26851517965773741</v>
      </c>
    </row>
    <row r="29" spans="2:20" x14ac:dyDescent="0.45">
      <c r="B29" t="s">
        <v>196</v>
      </c>
      <c r="C29" t="s">
        <v>31</v>
      </c>
      <c r="D29">
        <v>0.52247228376818655</v>
      </c>
      <c r="N29" t="s">
        <v>196</v>
      </c>
      <c r="O29">
        <v>0.27497555623752257</v>
      </c>
      <c r="Q29" t="s">
        <v>196</v>
      </c>
      <c r="R29" t="s">
        <v>316</v>
      </c>
      <c r="S29" t="s">
        <v>317</v>
      </c>
      <c r="T29">
        <v>0.27497555623752257</v>
      </c>
    </row>
    <row r="30" spans="2:20" x14ac:dyDescent="0.45">
      <c r="B30" t="s">
        <v>197</v>
      </c>
      <c r="C30" t="s">
        <v>31</v>
      </c>
      <c r="D30">
        <v>0.52348375026682203</v>
      </c>
      <c r="N30" t="s">
        <v>197</v>
      </c>
      <c r="O30">
        <v>0.27065201105380288</v>
      </c>
      <c r="Q30" t="s">
        <v>197</v>
      </c>
      <c r="R30" t="s">
        <v>316</v>
      </c>
      <c r="S30" t="s">
        <v>317</v>
      </c>
      <c r="T30">
        <v>0.27065201105380288</v>
      </c>
    </row>
    <row r="31" spans="2:20" x14ac:dyDescent="0.45">
      <c r="B31" t="s">
        <v>198</v>
      </c>
      <c r="C31" t="s">
        <v>31</v>
      </c>
      <c r="D31">
        <v>0.52288982136030704</v>
      </c>
      <c r="N31" t="s">
        <v>198</v>
      </c>
      <c r="O31">
        <v>0.26869601256533093</v>
      </c>
      <c r="Q31" t="s">
        <v>198</v>
      </c>
      <c r="R31" t="s">
        <v>316</v>
      </c>
      <c r="S31" t="s">
        <v>317</v>
      </c>
      <c r="T31">
        <v>0.26869601256533093</v>
      </c>
    </row>
    <row r="32" spans="2:20" x14ac:dyDescent="0.45">
      <c r="B32" t="s">
        <v>199</v>
      </c>
      <c r="C32" t="s">
        <v>31</v>
      </c>
      <c r="D32">
        <v>0.52294010927028078</v>
      </c>
      <c r="N32" t="s">
        <v>199</v>
      </c>
      <c r="O32">
        <v>0.26934632509674411</v>
      </c>
      <c r="Q32" t="s">
        <v>199</v>
      </c>
      <c r="R32" t="s">
        <v>316</v>
      </c>
      <c r="S32" t="s">
        <v>317</v>
      </c>
      <c r="T32">
        <v>0.26934632509674411</v>
      </c>
    </row>
    <row r="33" spans="2:20" x14ac:dyDescent="0.45">
      <c r="B33" t="s">
        <v>200</v>
      </c>
      <c r="C33" t="s">
        <v>31</v>
      </c>
      <c r="D33">
        <v>0.52322652240645462</v>
      </c>
      <c r="N33" t="s">
        <v>200</v>
      </c>
      <c r="O33">
        <v>0.27197969610000794</v>
      </c>
      <c r="Q33" t="s">
        <v>200</v>
      </c>
      <c r="R33" t="s">
        <v>316</v>
      </c>
      <c r="S33" t="s">
        <v>317</v>
      </c>
      <c r="T33">
        <v>0.27197969610000794</v>
      </c>
    </row>
    <row r="34" spans="2:20" x14ac:dyDescent="0.45">
      <c r="B34" t="s">
        <v>201</v>
      </c>
      <c r="C34" t="s">
        <v>31</v>
      </c>
      <c r="D34">
        <v>0.52242685132198319</v>
      </c>
      <c r="N34" t="s">
        <v>201</v>
      </c>
      <c r="O34">
        <v>0.27091461171073061</v>
      </c>
      <c r="Q34" t="s">
        <v>201</v>
      </c>
      <c r="R34" t="s">
        <v>316</v>
      </c>
      <c r="S34" t="s">
        <v>317</v>
      </c>
      <c r="T34">
        <v>0.27091461171073061</v>
      </c>
    </row>
    <row r="35" spans="2:20" x14ac:dyDescent="0.45">
      <c r="B35" t="s">
        <v>202</v>
      </c>
      <c r="C35" t="s">
        <v>31</v>
      </c>
      <c r="D35">
        <v>0.52376841974452593</v>
      </c>
      <c r="N35" t="s">
        <v>202</v>
      </c>
      <c r="O35">
        <v>0.26695190916811418</v>
      </c>
      <c r="Q35" t="s">
        <v>202</v>
      </c>
      <c r="R35" t="s">
        <v>316</v>
      </c>
      <c r="S35" t="s">
        <v>317</v>
      </c>
      <c r="T35">
        <v>0.26695190916811418</v>
      </c>
    </row>
    <row r="36" spans="2:20" x14ac:dyDescent="0.45">
      <c r="B36" t="s">
        <v>203</v>
      </c>
      <c r="C36" t="s">
        <v>31</v>
      </c>
      <c r="D36">
        <v>0.52393567988182943</v>
      </c>
      <c r="N36" t="s">
        <v>203</v>
      </c>
      <c r="O36">
        <v>0.26310826118915859</v>
      </c>
      <c r="Q36" t="s">
        <v>203</v>
      </c>
      <c r="R36" t="s">
        <v>316</v>
      </c>
      <c r="S36" t="s">
        <v>317</v>
      </c>
      <c r="T36">
        <v>0.26310826118915859</v>
      </c>
    </row>
    <row r="37" spans="2:20" x14ac:dyDescent="0.45">
      <c r="B37" t="s">
        <v>204</v>
      </c>
      <c r="C37" t="s">
        <v>31</v>
      </c>
      <c r="D37">
        <v>0.52359087171140217</v>
      </c>
      <c r="N37" t="s">
        <v>204</v>
      </c>
      <c r="O37">
        <v>0.26318153137852468</v>
      </c>
      <c r="Q37" t="s">
        <v>204</v>
      </c>
      <c r="R37" t="s">
        <v>316</v>
      </c>
      <c r="S37" t="s">
        <v>317</v>
      </c>
      <c r="T37">
        <v>0.26318153137852468</v>
      </c>
    </row>
    <row r="38" spans="2:20" x14ac:dyDescent="0.45">
      <c r="B38" t="s">
        <v>205</v>
      </c>
      <c r="C38" t="s">
        <v>31</v>
      </c>
      <c r="D38">
        <v>0.52386939745498451</v>
      </c>
      <c r="N38" t="s">
        <v>205</v>
      </c>
      <c r="O38">
        <v>0.26708676292115802</v>
      </c>
      <c r="Q38" t="s">
        <v>205</v>
      </c>
      <c r="R38" t="s">
        <v>316</v>
      </c>
      <c r="S38" t="s">
        <v>317</v>
      </c>
      <c r="T38">
        <v>0.26708676292115802</v>
      </c>
    </row>
    <row r="39" spans="2:20" x14ac:dyDescent="0.45">
      <c r="B39" t="s">
        <v>206</v>
      </c>
      <c r="C39" t="s">
        <v>31</v>
      </c>
      <c r="D39">
        <v>0.52285795790002776</v>
      </c>
      <c r="N39" t="s">
        <v>206</v>
      </c>
      <c r="O39">
        <v>0.26538654815332152</v>
      </c>
      <c r="Q39" t="s">
        <v>206</v>
      </c>
      <c r="R39" t="s">
        <v>316</v>
      </c>
      <c r="S39" t="s">
        <v>317</v>
      </c>
      <c r="T39">
        <v>0.26538654815332152</v>
      </c>
    </row>
    <row r="40" spans="2:20" x14ac:dyDescent="0.45">
      <c r="B40" t="s">
        <v>207</v>
      </c>
      <c r="C40" t="s">
        <v>31</v>
      </c>
      <c r="D40">
        <v>0.52593115128022883</v>
      </c>
      <c r="N40" t="s">
        <v>207</v>
      </c>
      <c r="O40">
        <v>0.26944291543723903</v>
      </c>
      <c r="Q40" t="s">
        <v>207</v>
      </c>
      <c r="R40" t="s">
        <v>316</v>
      </c>
      <c r="S40" t="s">
        <v>317</v>
      </c>
      <c r="T40">
        <v>0.26944291543723903</v>
      </c>
    </row>
    <row r="41" spans="2:20" x14ac:dyDescent="0.45">
      <c r="B41" t="s">
        <v>208</v>
      </c>
      <c r="C41" t="s">
        <v>31</v>
      </c>
      <c r="D41">
        <v>0.52748066352334999</v>
      </c>
      <c r="N41" t="s">
        <v>208</v>
      </c>
      <c r="O41">
        <v>0.26828222763327303</v>
      </c>
      <c r="Q41" t="s">
        <v>208</v>
      </c>
      <c r="R41" t="s">
        <v>316</v>
      </c>
      <c r="S41" t="s">
        <v>317</v>
      </c>
      <c r="T41">
        <v>0.26828222763327303</v>
      </c>
    </row>
    <row r="42" spans="2:20" x14ac:dyDescent="0.45">
      <c r="B42" t="s">
        <v>209</v>
      </c>
      <c r="C42" t="s">
        <v>31</v>
      </c>
      <c r="D42">
        <v>0.52599350900455955</v>
      </c>
      <c r="N42" t="s">
        <v>209</v>
      </c>
      <c r="O42">
        <v>0.26616679170013641</v>
      </c>
      <c r="Q42" t="s">
        <v>209</v>
      </c>
      <c r="R42" t="s">
        <v>316</v>
      </c>
      <c r="S42" t="s">
        <v>317</v>
      </c>
      <c r="T42">
        <v>0.26616679170013641</v>
      </c>
    </row>
    <row r="43" spans="2:20" x14ac:dyDescent="0.45">
      <c r="B43" t="s">
        <v>210</v>
      </c>
      <c r="C43" t="s">
        <v>31</v>
      </c>
      <c r="D43">
        <v>0.52901045807169678</v>
      </c>
      <c r="N43" t="s">
        <v>210</v>
      </c>
      <c r="O43">
        <v>0.27367188614482829</v>
      </c>
      <c r="Q43" t="s">
        <v>210</v>
      </c>
      <c r="R43" t="s">
        <v>316</v>
      </c>
      <c r="S43" t="s">
        <v>317</v>
      </c>
      <c r="T43">
        <v>0.27367188614482829</v>
      </c>
    </row>
    <row r="44" spans="2:20" x14ac:dyDescent="0.45">
      <c r="B44" t="s">
        <v>211</v>
      </c>
      <c r="C44" t="s">
        <v>31</v>
      </c>
      <c r="D44">
        <v>0.52721724152590776</v>
      </c>
      <c r="N44" t="s">
        <v>211</v>
      </c>
      <c r="O44">
        <v>0.27160365341135173</v>
      </c>
      <c r="Q44" t="s">
        <v>211</v>
      </c>
      <c r="R44" t="s">
        <v>316</v>
      </c>
      <c r="S44" t="s">
        <v>317</v>
      </c>
      <c r="T44">
        <v>0.27160365341135173</v>
      </c>
    </row>
    <row r="45" spans="2:20" x14ac:dyDescent="0.45">
      <c r="B45" t="s">
        <v>212</v>
      </c>
      <c r="C45" t="s">
        <v>31</v>
      </c>
      <c r="D45">
        <v>0.52879209460197352</v>
      </c>
      <c r="N45" t="s">
        <v>212</v>
      </c>
      <c r="O45">
        <v>0.26855343828479844</v>
      </c>
      <c r="Q45" t="s">
        <v>212</v>
      </c>
      <c r="R45" t="s">
        <v>316</v>
      </c>
      <c r="S45" t="s">
        <v>317</v>
      </c>
      <c r="T45">
        <v>0.26855343828479844</v>
      </c>
    </row>
    <row r="46" spans="2:20" x14ac:dyDescent="0.45">
      <c r="B46" t="s">
        <v>213</v>
      </c>
      <c r="C46" t="s">
        <v>31</v>
      </c>
      <c r="D46">
        <v>0.5291455745871344</v>
      </c>
      <c r="N46" t="s">
        <v>213</v>
      </c>
      <c r="O46">
        <v>0.26834918539741226</v>
      </c>
      <c r="Q46" t="s">
        <v>213</v>
      </c>
      <c r="R46" t="s">
        <v>316</v>
      </c>
      <c r="S46" t="s">
        <v>317</v>
      </c>
      <c r="T46">
        <v>0.26834918539741226</v>
      </c>
    </row>
    <row r="47" spans="2:20" x14ac:dyDescent="0.45">
      <c r="B47" t="s">
        <v>214</v>
      </c>
      <c r="C47" t="s">
        <v>31</v>
      </c>
      <c r="D47">
        <v>0.53056932575888383</v>
      </c>
      <c r="N47" t="s">
        <v>214</v>
      </c>
      <c r="O47">
        <v>0.27191659241517685</v>
      </c>
      <c r="Q47" t="s">
        <v>214</v>
      </c>
      <c r="R47" t="s">
        <v>316</v>
      </c>
      <c r="S47" t="s">
        <v>317</v>
      </c>
      <c r="T47">
        <v>0.27191659241517685</v>
      </c>
    </row>
    <row r="48" spans="2:20" x14ac:dyDescent="0.45">
      <c r="B48" t="s">
        <v>215</v>
      </c>
      <c r="C48" t="s">
        <v>31</v>
      </c>
      <c r="D48">
        <v>0.53134372726363832</v>
      </c>
      <c r="N48" t="s">
        <v>215</v>
      </c>
      <c r="O48">
        <v>0.26616500329234521</v>
      </c>
      <c r="Q48" t="s">
        <v>215</v>
      </c>
      <c r="R48" t="s">
        <v>316</v>
      </c>
      <c r="S48" t="s">
        <v>317</v>
      </c>
      <c r="T48">
        <v>0.26616500329234521</v>
      </c>
    </row>
    <row r="49" spans="2:20" x14ac:dyDescent="0.45">
      <c r="B49" t="s">
        <v>216</v>
      </c>
      <c r="C49" t="s">
        <v>31</v>
      </c>
      <c r="D49">
        <v>0.52970598102169264</v>
      </c>
      <c r="N49" t="s">
        <v>216</v>
      </c>
      <c r="O49">
        <v>0.26014140289609383</v>
      </c>
      <c r="Q49" t="s">
        <v>216</v>
      </c>
      <c r="R49" t="s">
        <v>316</v>
      </c>
      <c r="S49" t="s">
        <v>317</v>
      </c>
      <c r="T49">
        <v>0.26014140289609383</v>
      </c>
    </row>
    <row r="50" spans="2:20" x14ac:dyDescent="0.45">
      <c r="B50" t="s">
        <v>217</v>
      </c>
      <c r="C50" t="s">
        <v>31</v>
      </c>
      <c r="D50">
        <v>0.52784985458501621</v>
      </c>
      <c r="N50" t="s">
        <v>217</v>
      </c>
      <c r="O50">
        <v>0.24269616196106331</v>
      </c>
      <c r="Q50" t="s">
        <v>217</v>
      </c>
      <c r="R50" t="s">
        <v>316</v>
      </c>
      <c r="S50" t="s">
        <v>317</v>
      </c>
      <c r="T50">
        <v>0.24269616196106331</v>
      </c>
    </row>
    <row r="51" spans="2:20" x14ac:dyDescent="0.45">
      <c r="B51" t="s">
        <v>218</v>
      </c>
      <c r="C51" t="s">
        <v>31</v>
      </c>
      <c r="D51">
        <v>0.53212084788795644</v>
      </c>
      <c r="N51" t="s">
        <v>218</v>
      </c>
      <c r="O51">
        <v>0.23855857401330713</v>
      </c>
      <c r="Q51" t="s">
        <v>218</v>
      </c>
      <c r="R51" t="s">
        <v>316</v>
      </c>
      <c r="S51" t="s">
        <v>317</v>
      </c>
      <c r="T51">
        <v>0.23855857401330713</v>
      </c>
    </row>
    <row r="52" spans="2:20" x14ac:dyDescent="0.45">
      <c r="B52" t="s">
        <v>219</v>
      </c>
      <c r="C52" t="s">
        <v>31</v>
      </c>
      <c r="D52">
        <v>0.5265441358946602</v>
      </c>
      <c r="N52" t="s">
        <v>219</v>
      </c>
      <c r="O52">
        <v>0.26765376454782791</v>
      </c>
      <c r="Q52" t="s">
        <v>219</v>
      </c>
      <c r="R52" t="s">
        <v>316</v>
      </c>
      <c r="S52" t="s">
        <v>317</v>
      </c>
      <c r="T52">
        <v>0.26765376454782791</v>
      </c>
    </row>
    <row r="53" spans="2:20" x14ac:dyDescent="0.45">
      <c r="B53" t="s">
        <v>220</v>
      </c>
      <c r="C53" t="s">
        <v>31</v>
      </c>
      <c r="D53">
        <v>0.52768991649638464</v>
      </c>
      <c r="N53" t="s">
        <v>220</v>
      </c>
      <c r="O53">
        <v>0.2629034721938121</v>
      </c>
      <c r="Q53" t="s">
        <v>220</v>
      </c>
      <c r="R53" t="s">
        <v>316</v>
      </c>
      <c r="S53" t="s">
        <v>317</v>
      </c>
      <c r="T53">
        <v>0.2629034721938121</v>
      </c>
    </row>
    <row r="54" spans="2:20" x14ac:dyDescent="0.45">
      <c r="B54" t="s">
        <v>221</v>
      </c>
      <c r="C54" t="s">
        <v>31</v>
      </c>
      <c r="D54">
        <v>0.52500282919210417</v>
      </c>
      <c r="N54" t="s">
        <v>221</v>
      </c>
      <c r="O54">
        <v>0.26766054936545142</v>
      </c>
      <c r="Q54" t="s">
        <v>221</v>
      </c>
      <c r="R54" t="s">
        <v>316</v>
      </c>
      <c r="S54" t="s">
        <v>317</v>
      </c>
      <c r="T54">
        <v>0.26766054936545142</v>
      </c>
    </row>
    <row r="55" spans="2:20" x14ac:dyDescent="0.45">
      <c r="B55" t="s">
        <v>222</v>
      </c>
      <c r="C55" t="s">
        <v>31</v>
      </c>
      <c r="D55">
        <v>0.52488970551197278</v>
      </c>
      <c r="N55" t="s">
        <v>222</v>
      </c>
      <c r="O55">
        <v>0.26950713316950603</v>
      </c>
      <c r="Q55" t="s">
        <v>222</v>
      </c>
      <c r="R55" t="s">
        <v>316</v>
      </c>
      <c r="S55" t="s">
        <v>317</v>
      </c>
      <c r="T55">
        <v>0.26950713316950603</v>
      </c>
    </row>
    <row r="56" spans="2:20" x14ac:dyDescent="0.45">
      <c r="B56" t="s">
        <v>223</v>
      </c>
      <c r="C56" t="s">
        <v>31</v>
      </c>
      <c r="D56">
        <v>0.52483678341281326</v>
      </c>
      <c r="N56" t="s">
        <v>223</v>
      </c>
      <c r="O56">
        <v>0.27181620300581766</v>
      </c>
      <c r="Q56" t="s">
        <v>223</v>
      </c>
      <c r="R56" t="s">
        <v>316</v>
      </c>
      <c r="S56" t="s">
        <v>317</v>
      </c>
      <c r="T56">
        <v>0.27181620300581766</v>
      </c>
    </row>
    <row r="57" spans="2:20" x14ac:dyDescent="0.45">
      <c r="B57" t="s">
        <v>224</v>
      </c>
      <c r="C57" t="s">
        <v>31</v>
      </c>
      <c r="D57">
        <v>0.52454794397747928</v>
      </c>
      <c r="N57" t="s">
        <v>224</v>
      </c>
      <c r="O57">
        <v>0.26991341572059613</v>
      </c>
      <c r="Q57" t="s">
        <v>224</v>
      </c>
      <c r="R57" t="s">
        <v>316</v>
      </c>
      <c r="S57" t="s">
        <v>317</v>
      </c>
      <c r="T57">
        <v>0.26991341572059613</v>
      </c>
    </row>
    <row r="58" spans="2:20" x14ac:dyDescent="0.45">
      <c r="B58" t="s">
        <v>225</v>
      </c>
      <c r="C58" t="s">
        <v>31</v>
      </c>
      <c r="D58">
        <v>0.52631185199842845</v>
      </c>
      <c r="N58" t="s">
        <v>225</v>
      </c>
      <c r="O58">
        <v>0.26206055238331072</v>
      </c>
      <c r="Q58" t="s">
        <v>225</v>
      </c>
      <c r="R58" t="s">
        <v>316</v>
      </c>
      <c r="S58" t="s">
        <v>317</v>
      </c>
      <c r="T58">
        <v>0.26206055238331072</v>
      </c>
    </row>
    <row r="59" spans="2:20" x14ac:dyDescent="0.45">
      <c r="B59" t="s">
        <v>226</v>
      </c>
      <c r="C59" t="s">
        <v>31</v>
      </c>
      <c r="D59">
        <v>0.52440781420906679</v>
      </c>
      <c r="N59" t="s">
        <v>226</v>
      </c>
      <c r="O59">
        <v>0.26735140789000722</v>
      </c>
      <c r="Q59" t="s">
        <v>226</v>
      </c>
      <c r="R59" t="s">
        <v>316</v>
      </c>
      <c r="S59" t="s">
        <v>317</v>
      </c>
      <c r="T59">
        <v>0.26735140789000722</v>
      </c>
    </row>
    <row r="60" spans="2:20" x14ac:dyDescent="0.45">
      <c r="B60" t="s">
        <v>227</v>
      </c>
      <c r="C60" t="s">
        <v>31</v>
      </c>
      <c r="D60">
        <v>0.52281426890776406</v>
      </c>
      <c r="N60" t="s">
        <v>227</v>
      </c>
      <c r="O60">
        <v>0.26719717743447668</v>
      </c>
      <c r="Q60" t="s">
        <v>227</v>
      </c>
      <c r="R60" t="s">
        <v>316</v>
      </c>
      <c r="S60" t="s">
        <v>317</v>
      </c>
      <c r="T60">
        <v>0.26719717743447668</v>
      </c>
    </row>
    <row r="61" spans="2:20" x14ac:dyDescent="0.45">
      <c r="B61" t="s">
        <v>228</v>
      </c>
      <c r="C61" t="s">
        <v>31</v>
      </c>
      <c r="D61">
        <v>0.52217199647873536</v>
      </c>
      <c r="N61" t="s">
        <v>228</v>
      </c>
      <c r="O61">
        <v>0.2643330204456355</v>
      </c>
      <c r="Q61" t="s">
        <v>228</v>
      </c>
      <c r="R61" t="s">
        <v>316</v>
      </c>
      <c r="S61" t="s">
        <v>317</v>
      </c>
      <c r="T61">
        <v>0.2643330204456355</v>
      </c>
    </row>
    <row r="62" spans="2:20" x14ac:dyDescent="0.45">
      <c r="B62" t="s">
        <v>229</v>
      </c>
      <c r="C62" t="s">
        <v>31</v>
      </c>
      <c r="D62">
        <v>0.52259110358676852</v>
      </c>
      <c r="N62" t="s">
        <v>229</v>
      </c>
      <c r="O62">
        <v>0.27050658855868159</v>
      </c>
      <c r="Q62" t="s">
        <v>229</v>
      </c>
      <c r="R62" t="s">
        <v>316</v>
      </c>
      <c r="S62" t="s">
        <v>317</v>
      </c>
      <c r="T62">
        <v>0.27050658855868159</v>
      </c>
    </row>
    <row r="63" spans="2:20" x14ac:dyDescent="0.45">
      <c r="B63" t="s">
        <v>230</v>
      </c>
      <c r="C63" t="s">
        <v>31</v>
      </c>
      <c r="D63">
        <v>0.52409083141132096</v>
      </c>
      <c r="N63" t="s">
        <v>230</v>
      </c>
      <c r="O63">
        <v>0.26913877108563944</v>
      </c>
      <c r="Q63" t="s">
        <v>230</v>
      </c>
      <c r="R63" t="s">
        <v>316</v>
      </c>
      <c r="S63" t="s">
        <v>317</v>
      </c>
      <c r="T63">
        <v>0.26913877108563944</v>
      </c>
    </row>
    <row r="64" spans="2:20" x14ac:dyDescent="0.45">
      <c r="B64" t="s">
        <v>231</v>
      </c>
      <c r="C64" t="s">
        <v>31</v>
      </c>
      <c r="D64">
        <v>0.52403972806913102</v>
      </c>
      <c r="N64" t="s">
        <v>231</v>
      </c>
      <c r="O64">
        <v>0.26698602896177465</v>
      </c>
      <c r="Q64" t="s">
        <v>231</v>
      </c>
      <c r="R64" t="s">
        <v>316</v>
      </c>
      <c r="S64" t="s">
        <v>317</v>
      </c>
      <c r="T64">
        <v>0.26698602896177465</v>
      </c>
    </row>
    <row r="65" spans="2:20" x14ac:dyDescent="0.45">
      <c r="B65" t="s">
        <v>232</v>
      </c>
      <c r="C65" t="s">
        <v>31</v>
      </c>
      <c r="D65">
        <v>0.52150635429386394</v>
      </c>
      <c r="N65" t="s">
        <v>232</v>
      </c>
      <c r="O65">
        <v>0.26631430334127604</v>
      </c>
      <c r="Q65" t="s">
        <v>232</v>
      </c>
      <c r="R65" t="s">
        <v>316</v>
      </c>
      <c r="S65" t="s">
        <v>317</v>
      </c>
      <c r="T65">
        <v>0.26631430334127604</v>
      </c>
    </row>
    <row r="66" spans="2:20" x14ac:dyDescent="0.45">
      <c r="B66" t="s">
        <v>233</v>
      </c>
      <c r="C66" t="s">
        <v>31</v>
      </c>
      <c r="D66">
        <v>0.52493537762259157</v>
      </c>
      <c r="N66" t="s">
        <v>233</v>
      </c>
      <c r="O66">
        <v>0.26246746138853816</v>
      </c>
      <c r="Q66" t="s">
        <v>233</v>
      </c>
      <c r="R66" t="s">
        <v>316</v>
      </c>
      <c r="S66" t="s">
        <v>317</v>
      </c>
      <c r="T66">
        <v>0.26246746138853816</v>
      </c>
    </row>
    <row r="67" spans="2:20" x14ac:dyDescent="0.45">
      <c r="B67" t="s">
        <v>234</v>
      </c>
      <c r="C67" t="s">
        <v>31</v>
      </c>
      <c r="D67">
        <v>0.52469793355159944</v>
      </c>
      <c r="N67" t="s">
        <v>234</v>
      </c>
      <c r="O67">
        <v>0.26771582433467628</v>
      </c>
      <c r="Q67" t="s">
        <v>234</v>
      </c>
      <c r="R67" t="s">
        <v>316</v>
      </c>
      <c r="S67" t="s">
        <v>317</v>
      </c>
      <c r="T67">
        <v>0.26771582433467628</v>
      </c>
    </row>
    <row r="68" spans="2:20" x14ac:dyDescent="0.45">
      <c r="B68" t="s">
        <v>235</v>
      </c>
      <c r="C68" t="s">
        <v>31</v>
      </c>
      <c r="D68">
        <v>0.52465163251738334</v>
      </c>
      <c r="N68" t="s">
        <v>235</v>
      </c>
      <c r="O68">
        <v>0.26806194704149527</v>
      </c>
      <c r="Q68" t="s">
        <v>235</v>
      </c>
      <c r="R68" t="s">
        <v>316</v>
      </c>
      <c r="S68" t="s">
        <v>317</v>
      </c>
      <c r="T68">
        <v>0.26806194704149527</v>
      </c>
    </row>
    <row r="69" spans="2:20" x14ac:dyDescent="0.45">
      <c r="B69" t="s">
        <v>236</v>
      </c>
      <c r="C69" t="s">
        <v>31</v>
      </c>
      <c r="D69">
        <v>0.52534994921429634</v>
      </c>
      <c r="N69" t="s">
        <v>236</v>
      </c>
      <c r="O69">
        <v>0.2681110194103149</v>
      </c>
      <c r="Q69" t="s">
        <v>236</v>
      </c>
      <c r="R69" t="s">
        <v>316</v>
      </c>
      <c r="S69" t="s">
        <v>317</v>
      </c>
      <c r="T69">
        <v>0.2681110194103149</v>
      </c>
    </row>
    <row r="70" spans="2:20" x14ac:dyDescent="0.45">
      <c r="B70" t="s">
        <v>237</v>
      </c>
      <c r="C70" t="s">
        <v>31</v>
      </c>
      <c r="D70">
        <v>0.47103890562077422</v>
      </c>
      <c r="N70" t="s">
        <v>237</v>
      </c>
      <c r="O70">
        <v>0.25458545177133951</v>
      </c>
      <c r="Q70" t="s">
        <v>252</v>
      </c>
      <c r="R70" t="s">
        <v>316</v>
      </c>
      <c r="S70" t="s">
        <v>317</v>
      </c>
      <c r="T70">
        <v>0.34160792113686517</v>
      </c>
    </row>
    <row r="71" spans="2:20" x14ac:dyDescent="0.45">
      <c r="B71" t="s">
        <v>238</v>
      </c>
      <c r="C71" t="s">
        <v>31</v>
      </c>
      <c r="D71">
        <v>0.50801151126926947</v>
      </c>
      <c r="N71" t="s">
        <v>238</v>
      </c>
      <c r="O71">
        <v>0.2121948216443991</v>
      </c>
      <c r="Q71" t="s">
        <v>253</v>
      </c>
      <c r="R71" t="s">
        <v>316</v>
      </c>
      <c r="S71" t="s">
        <v>317</v>
      </c>
      <c r="T71">
        <v>0.28230205392812641</v>
      </c>
    </row>
    <row r="72" spans="2:20" x14ac:dyDescent="0.45">
      <c r="B72" t="s">
        <v>239</v>
      </c>
      <c r="C72" t="s">
        <v>31</v>
      </c>
      <c r="D72">
        <v>0.48993574702499526</v>
      </c>
      <c r="N72" t="s">
        <v>239</v>
      </c>
      <c r="O72">
        <v>0.21298161994892925</v>
      </c>
      <c r="Q72" t="s">
        <v>254</v>
      </c>
      <c r="R72" t="s">
        <v>316</v>
      </c>
      <c r="S72" t="s">
        <v>317</v>
      </c>
      <c r="T72">
        <v>0.32215694441337972</v>
      </c>
    </row>
    <row r="73" spans="2:20" x14ac:dyDescent="0.45">
      <c r="B73" t="s">
        <v>240</v>
      </c>
      <c r="C73" t="s">
        <v>31</v>
      </c>
      <c r="D73">
        <v>0.43607677234595382</v>
      </c>
      <c r="N73" t="s">
        <v>240</v>
      </c>
      <c r="O73">
        <v>0.22999992445358125</v>
      </c>
      <c r="Q73" t="s">
        <v>255</v>
      </c>
      <c r="R73" t="s">
        <v>316</v>
      </c>
      <c r="S73" t="s">
        <v>317</v>
      </c>
      <c r="T73">
        <v>0.2746398886081336</v>
      </c>
    </row>
    <row r="74" spans="2:20" x14ac:dyDescent="0.45">
      <c r="B74" t="s">
        <v>241</v>
      </c>
      <c r="C74" t="s">
        <v>31</v>
      </c>
      <c r="D74">
        <v>0.43832091869824397</v>
      </c>
      <c r="N74" t="s">
        <v>241</v>
      </c>
      <c r="O74">
        <v>0.33178579985559037</v>
      </c>
      <c r="Q74" t="s">
        <v>256</v>
      </c>
      <c r="R74" t="s">
        <v>316</v>
      </c>
      <c r="S74" t="s">
        <v>317</v>
      </c>
      <c r="T74">
        <v>0.37606798282866732</v>
      </c>
    </row>
    <row r="75" spans="2:20" x14ac:dyDescent="0.45">
      <c r="B75" t="s">
        <v>242</v>
      </c>
      <c r="C75" t="s">
        <v>31</v>
      </c>
      <c r="D75">
        <v>0.43504118240803313</v>
      </c>
      <c r="N75" t="s">
        <v>242</v>
      </c>
      <c r="O75">
        <v>0.32570276026731304</v>
      </c>
      <c r="Q75" t="s">
        <v>257</v>
      </c>
      <c r="R75" t="s">
        <v>316</v>
      </c>
      <c r="S75" t="s">
        <v>317</v>
      </c>
      <c r="T75">
        <v>0.33496679692974168</v>
      </c>
    </row>
    <row r="76" spans="2:20" x14ac:dyDescent="0.45">
      <c r="B76" t="s">
        <v>243</v>
      </c>
      <c r="C76" t="s">
        <v>31</v>
      </c>
      <c r="D76">
        <v>0.44961507332346251</v>
      </c>
      <c r="N76" t="s">
        <v>243</v>
      </c>
      <c r="O76">
        <v>0.25929882460997261</v>
      </c>
      <c r="Q76" t="s">
        <v>258</v>
      </c>
      <c r="R76" t="s">
        <v>316</v>
      </c>
      <c r="S76" t="s">
        <v>317</v>
      </c>
      <c r="T76">
        <v>0.32971029464318224</v>
      </c>
    </row>
    <row r="77" spans="2:20" x14ac:dyDescent="0.45">
      <c r="B77" t="s">
        <v>244</v>
      </c>
      <c r="C77" t="s">
        <v>31</v>
      </c>
      <c r="D77">
        <v>0.45100483288206639</v>
      </c>
      <c r="N77" t="s">
        <v>244</v>
      </c>
      <c r="O77">
        <v>0.25345611102554055</v>
      </c>
      <c r="Q77" t="s">
        <v>259</v>
      </c>
      <c r="R77" t="s">
        <v>316</v>
      </c>
      <c r="S77" t="s">
        <v>317</v>
      </c>
      <c r="T77">
        <v>0.2565264141557817</v>
      </c>
    </row>
    <row r="78" spans="2:20" x14ac:dyDescent="0.45">
      <c r="B78" t="s">
        <v>245</v>
      </c>
      <c r="C78" t="s">
        <v>31</v>
      </c>
      <c r="D78">
        <v>0.45449536794424006</v>
      </c>
      <c r="N78" t="s">
        <v>245</v>
      </c>
      <c r="O78">
        <v>0.25237235097119132</v>
      </c>
      <c r="Q78" t="s">
        <v>260</v>
      </c>
      <c r="R78" t="s">
        <v>316</v>
      </c>
      <c r="S78" t="s">
        <v>317</v>
      </c>
      <c r="T78">
        <v>0.25091201088821946</v>
      </c>
    </row>
    <row r="79" spans="2:20" x14ac:dyDescent="0.45">
      <c r="B79" t="s">
        <v>246</v>
      </c>
      <c r="C79" t="s">
        <v>31</v>
      </c>
      <c r="D79">
        <v>0.40090411770904466</v>
      </c>
      <c r="N79" t="s">
        <v>246</v>
      </c>
      <c r="O79">
        <v>0.35516317097112576</v>
      </c>
      <c r="Q79" t="s">
        <v>261</v>
      </c>
      <c r="R79" t="s">
        <v>316</v>
      </c>
      <c r="S79" t="s">
        <v>317</v>
      </c>
      <c r="T79">
        <v>0.23646887203854508</v>
      </c>
    </row>
    <row r="80" spans="2:20" x14ac:dyDescent="0.45">
      <c r="B80" t="s">
        <v>247</v>
      </c>
      <c r="C80" t="s">
        <v>31</v>
      </c>
      <c r="D80">
        <v>0.41384738820057188</v>
      </c>
      <c r="N80" t="s">
        <v>247</v>
      </c>
      <c r="O80">
        <v>0.33539024325920941</v>
      </c>
      <c r="Q80" t="s">
        <v>262</v>
      </c>
      <c r="R80" t="s">
        <v>316</v>
      </c>
      <c r="S80" t="s">
        <v>317</v>
      </c>
      <c r="T80">
        <v>0.25496480028810697</v>
      </c>
    </row>
    <row r="81" spans="2:20" x14ac:dyDescent="0.45">
      <c r="B81" t="s">
        <v>248</v>
      </c>
      <c r="C81" t="s">
        <v>31</v>
      </c>
      <c r="D81">
        <v>0.37015980547129562</v>
      </c>
      <c r="N81" t="s">
        <v>248</v>
      </c>
      <c r="O81">
        <v>0.37404683498011826</v>
      </c>
      <c r="Q81" t="s">
        <v>263</v>
      </c>
      <c r="R81" t="s">
        <v>316</v>
      </c>
      <c r="S81" t="s">
        <v>317</v>
      </c>
      <c r="T81">
        <v>0.25727928715633597</v>
      </c>
    </row>
    <row r="82" spans="2:20" x14ac:dyDescent="0.45">
      <c r="B82" t="s">
        <v>249</v>
      </c>
      <c r="C82" t="s">
        <v>31</v>
      </c>
      <c r="D82">
        <v>0.37004925952995577</v>
      </c>
      <c r="N82" t="s">
        <v>249</v>
      </c>
      <c r="O82">
        <v>0.35811478768244448</v>
      </c>
      <c r="Q82" t="s">
        <v>264</v>
      </c>
      <c r="R82" t="s">
        <v>316</v>
      </c>
      <c r="S82" t="s">
        <v>317</v>
      </c>
      <c r="T82">
        <v>0.25365984208934317</v>
      </c>
    </row>
    <row r="83" spans="2:20" x14ac:dyDescent="0.45">
      <c r="B83" t="s">
        <v>250</v>
      </c>
      <c r="C83" t="s">
        <v>31</v>
      </c>
      <c r="D83">
        <v>0.40989461518143844</v>
      </c>
      <c r="N83" t="s">
        <v>250</v>
      </c>
      <c r="O83">
        <v>0.23948837429701428</v>
      </c>
      <c r="Q83" t="s">
        <v>265</v>
      </c>
      <c r="R83" t="s">
        <v>316</v>
      </c>
      <c r="S83" t="s">
        <v>317</v>
      </c>
      <c r="T83">
        <v>0.23196001234151697</v>
      </c>
    </row>
    <row r="84" spans="2:20" x14ac:dyDescent="0.45">
      <c r="B84" t="s">
        <v>251</v>
      </c>
      <c r="C84" t="s">
        <v>31</v>
      </c>
      <c r="D84">
        <v>0.37903830111839526</v>
      </c>
      <c r="N84" t="s">
        <v>251</v>
      </c>
      <c r="O84">
        <v>0.32470203473057263</v>
      </c>
      <c r="Q84" t="s">
        <v>266</v>
      </c>
      <c r="R84" t="s">
        <v>316</v>
      </c>
      <c r="S84" t="s">
        <v>317</v>
      </c>
      <c r="T84">
        <v>0.24188956325056524</v>
      </c>
    </row>
    <row r="85" spans="2:20" x14ac:dyDescent="0.45">
      <c r="B85" t="s">
        <v>252</v>
      </c>
      <c r="C85" t="s">
        <v>31</v>
      </c>
      <c r="D85">
        <v>0.35450799838048486</v>
      </c>
      <c r="N85" t="s">
        <v>252</v>
      </c>
      <c r="O85">
        <v>0.34161068510658316</v>
      </c>
      <c r="Q85" t="s">
        <v>267</v>
      </c>
      <c r="R85" t="s">
        <v>316</v>
      </c>
      <c r="S85" t="s">
        <v>317</v>
      </c>
      <c r="T85">
        <v>0.22258626319753017</v>
      </c>
    </row>
    <row r="86" spans="2:20" x14ac:dyDescent="0.45">
      <c r="B86" t="s">
        <v>253</v>
      </c>
      <c r="C86" t="s">
        <v>31</v>
      </c>
      <c r="D86">
        <v>0.37435008875283993</v>
      </c>
      <c r="N86" t="s">
        <v>253</v>
      </c>
      <c r="O86">
        <v>0.28234663080413441</v>
      </c>
      <c r="Q86" t="s">
        <v>268</v>
      </c>
      <c r="R86" t="s">
        <v>316</v>
      </c>
      <c r="S86" t="s">
        <v>317</v>
      </c>
      <c r="T86">
        <v>0.2385650681192617</v>
      </c>
    </row>
    <row r="87" spans="2:20" x14ac:dyDescent="0.45">
      <c r="B87" t="s">
        <v>254</v>
      </c>
      <c r="C87" t="s">
        <v>31</v>
      </c>
      <c r="D87">
        <v>0.35759486509271476</v>
      </c>
      <c r="N87" t="s">
        <v>254</v>
      </c>
      <c r="O87">
        <v>0.32215694441337972</v>
      </c>
      <c r="Q87" t="s">
        <v>269</v>
      </c>
      <c r="R87" t="s">
        <v>316</v>
      </c>
      <c r="S87" t="s">
        <v>317</v>
      </c>
      <c r="T87">
        <v>0.25397255539762009</v>
      </c>
    </row>
    <row r="88" spans="2:20" x14ac:dyDescent="0.45">
      <c r="B88" t="s">
        <v>255</v>
      </c>
      <c r="C88" t="s">
        <v>31</v>
      </c>
      <c r="D88">
        <v>0.36157054507039099</v>
      </c>
      <c r="N88" t="s">
        <v>255</v>
      </c>
      <c r="O88">
        <v>0.2746398886081336</v>
      </c>
      <c r="Q88" t="s">
        <v>270</v>
      </c>
      <c r="R88" t="s">
        <v>316</v>
      </c>
      <c r="S88" t="s">
        <v>317</v>
      </c>
      <c r="T88">
        <v>0.13328494306405989</v>
      </c>
    </row>
    <row r="89" spans="2:20" x14ac:dyDescent="0.45">
      <c r="B89" t="s">
        <v>256</v>
      </c>
      <c r="C89" t="s">
        <v>31</v>
      </c>
      <c r="D89">
        <v>0.33142540579298196</v>
      </c>
      <c r="N89" t="s">
        <v>256</v>
      </c>
      <c r="O89">
        <v>0.37606798282866732</v>
      </c>
      <c r="Q89" t="s">
        <v>271</v>
      </c>
      <c r="R89" t="s">
        <v>316</v>
      </c>
      <c r="S89" t="s">
        <v>317</v>
      </c>
      <c r="T89">
        <v>0.15099568780695341</v>
      </c>
    </row>
    <row r="90" spans="2:20" x14ac:dyDescent="0.45">
      <c r="B90" t="s">
        <v>257</v>
      </c>
      <c r="C90" t="s">
        <v>31</v>
      </c>
      <c r="D90">
        <v>0.33387863989314193</v>
      </c>
      <c r="N90" t="s">
        <v>257</v>
      </c>
      <c r="O90">
        <v>0.33496679692974168</v>
      </c>
      <c r="Q90" t="s">
        <v>272</v>
      </c>
      <c r="R90" t="s">
        <v>316</v>
      </c>
      <c r="S90" t="s">
        <v>317</v>
      </c>
      <c r="T90">
        <v>0.3033053589484489</v>
      </c>
    </row>
    <row r="91" spans="2:20" x14ac:dyDescent="0.45">
      <c r="B91" t="s">
        <v>258</v>
      </c>
      <c r="C91" t="s">
        <v>31</v>
      </c>
      <c r="D91">
        <v>0.33865570939861794</v>
      </c>
      <c r="N91" t="s">
        <v>258</v>
      </c>
      <c r="O91">
        <v>0.32971029464318224</v>
      </c>
      <c r="Q91" t="s">
        <v>273</v>
      </c>
      <c r="R91" t="s">
        <v>316</v>
      </c>
      <c r="S91" t="s">
        <v>317</v>
      </c>
      <c r="T91">
        <v>0.27206204478087748</v>
      </c>
    </row>
    <row r="92" spans="2:20" x14ac:dyDescent="0.45">
      <c r="B92" t="s">
        <v>259</v>
      </c>
      <c r="C92" t="s">
        <v>31</v>
      </c>
      <c r="D92">
        <v>0.35496469748061604</v>
      </c>
      <c r="N92" t="s">
        <v>259</v>
      </c>
      <c r="O92">
        <v>0.2565264141557817</v>
      </c>
      <c r="Q92" t="s">
        <v>274</v>
      </c>
      <c r="R92" t="s">
        <v>316</v>
      </c>
      <c r="S92" t="s">
        <v>317</v>
      </c>
      <c r="T92">
        <v>0.21579142466850584</v>
      </c>
    </row>
    <row r="93" spans="2:20" x14ac:dyDescent="0.45">
      <c r="B93" t="s">
        <v>260</v>
      </c>
      <c r="C93" t="s">
        <v>31</v>
      </c>
      <c r="D93">
        <v>0.35665601151263443</v>
      </c>
      <c r="N93" t="s">
        <v>260</v>
      </c>
      <c r="O93">
        <v>0.25091201088821946</v>
      </c>
      <c r="Q93" t="s">
        <v>275</v>
      </c>
      <c r="R93" t="s">
        <v>316</v>
      </c>
      <c r="S93" t="s">
        <v>317</v>
      </c>
      <c r="T93">
        <v>0.34754906125172846</v>
      </c>
    </row>
    <row r="94" spans="2:20" x14ac:dyDescent="0.45">
      <c r="B94" t="s">
        <v>261</v>
      </c>
      <c r="C94" t="s">
        <v>31</v>
      </c>
      <c r="D94">
        <v>0.34049788968290901</v>
      </c>
      <c r="N94" t="s">
        <v>261</v>
      </c>
      <c r="O94">
        <v>0.23646887203854508</v>
      </c>
      <c r="Q94" t="s">
        <v>276</v>
      </c>
      <c r="R94" t="s">
        <v>316</v>
      </c>
      <c r="S94" t="s">
        <v>317</v>
      </c>
      <c r="T94">
        <v>0.15087666278465017</v>
      </c>
    </row>
    <row r="95" spans="2:20" x14ac:dyDescent="0.45">
      <c r="B95" t="s">
        <v>262</v>
      </c>
      <c r="C95" t="s">
        <v>31</v>
      </c>
      <c r="D95">
        <v>0.37100500985062362</v>
      </c>
      <c r="N95" t="s">
        <v>262</v>
      </c>
      <c r="O95">
        <v>0.25496480028810697</v>
      </c>
      <c r="Q95" t="s">
        <v>277</v>
      </c>
      <c r="R95" t="s">
        <v>316</v>
      </c>
      <c r="S95" t="s">
        <v>317</v>
      </c>
      <c r="T95">
        <v>0.11585530225526287</v>
      </c>
    </row>
    <row r="96" spans="2:20" x14ac:dyDescent="0.45">
      <c r="B96" t="s">
        <v>263</v>
      </c>
      <c r="C96" t="s">
        <v>31</v>
      </c>
      <c r="D96">
        <v>0.37620690117107869</v>
      </c>
      <c r="N96" t="s">
        <v>263</v>
      </c>
      <c r="O96">
        <v>0.25727928715633597</v>
      </c>
      <c r="Q96" t="s">
        <v>278</v>
      </c>
      <c r="R96" t="s">
        <v>316</v>
      </c>
      <c r="S96" t="s">
        <v>317</v>
      </c>
      <c r="T96">
        <v>0.18338438482646008</v>
      </c>
    </row>
    <row r="97" spans="2:20" x14ac:dyDescent="0.45">
      <c r="B97" t="s">
        <v>264</v>
      </c>
      <c r="C97" t="s">
        <v>31</v>
      </c>
      <c r="D97">
        <v>0.34281270600447017</v>
      </c>
      <c r="N97" t="s">
        <v>264</v>
      </c>
      <c r="O97">
        <v>0.25365984208934317</v>
      </c>
      <c r="Q97" t="s">
        <v>279</v>
      </c>
      <c r="R97" t="s">
        <v>316</v>
      </c>
      <c r="S97" t="s">
        <v>317</v>
      </c>
      <c r="T97">
        <v>0.14292238282980349</v>
      </c>
    </row>
    <row r="98" spans="2:20" x14ac:dyDescent="0.45">
      <c r="B98" t="s">
        <v>265</v>
      </c>
      <c r="C98" t="s">
        <v>31</v>
      </c>
      <c r="D98">
        <v>0.37277760710676405</v>
      </c>
      <c r="N98" t="s">
        <v>265</v>
      </c>
      <c r="O98">
        <v>0.23196001234151697</v>
      </c>
      <c r="Q98" t="s">
        <v>280</v>
      </c>
      <c r="R98" t="s">
        <v>316</v>
      </c>
      <c r="S98" t="s">
        <v>317</v>
      </c>
      <c r="T98">
        <v>0.11553108404850751</v>
      </c>
    </row>
    <row r="99" spans="2:20" x14ac:dyDescent="0.45">
      <c r="B99" t="s">
        <v>266</v>
      </c>
      <c r="C99" t="s">
        <v>31</v>
      </c>
      <c r="D99">
        <v>0.36151135860989253</v>
      </c>
      <c r="N99" t="s">
        <v>266</v>
      </c>
      <c r="O99">
        <v>0.24188956325056524</v>
      </c>
      <c r="Q99" t="s">
        <v>281</v>
      </c>
      <c r="R99" t="s">
        <v>316</v>
      </c>
      <c r="S99" t="s">
        <v>317</v>
      </c>
      <c r="T99">
        <v>0.18315479870651971</v>
      </c>
    </row>
    <row r="100" spans="2:20" x14ac:dyDescent="0.45">
      <c r="B100" t="s">
        <v>267</v>
      </c>
      <c r="C100" t="s">
        <v>31</v>
      </c>
      <c r="D100">
        <v>0.36736450207141014</v>
      </c>
      <c r="N100" t="s">
        <v>267</v>
      </c>
      <c r="O100">
        <v>0.22258626319753017</v>
      </c>
      <c r="Q100" t="s">
        <v>282</v>
      </c>
      <c r="R100" t="s">
        <v>316</v>
      </c>
      <c r="S100" t="s">
        <v>317</v>
      </c>
      <c r="T100">
        <v>0.12617207787449394</v>
      </c>
    </row>
    <row r="101" spans="2:20" x14ac:dyDescent="0.45">
      <c r="B101" t="s">
        <v>268</v>
      </c>
      <c r="C101" t="s">
        <v>31</v>
      </c>
      <c r="D101">
        <v>0.39006376671053722</v>
      </c>
      <c r="N101" t="s">
        <v>268</v>
      </c>
      <c r="O101">
        <v>0.2385650681192617</v>
      </c>
      <c r="Q101" t="s">
        <v>283</v>
      </c>
      <c r="R101" t="s">
        <v>316</v>
      </c>
      <c r="S101" t="s">
        <v>317</v>
      </c>
      <c r="T101">
        <v>0.19439346959905984</v>
      </c>
    </row>
    <row r="102" spans="2:20" x14ac:dyDescent="0.45">
      <c r="B102" t="s">
        <v>269</v>
      </c>
      <c r="C102" t="s">
        <v>31</v>
      </c>
      <c r="D102">
        <v>0.38286459097740977</v>
      </c>
      <c r="N102" t="s">
        <v>269</v>
      </c>
      <c r="O102">
        <v>0.25397255539762009</v>
      </c>
      <c r="Q102" t="s">
        <v>284</v>
      </c>
      <c r="R102" t="s">
        <v>316</v>
      </c>
      <c r="S102" t="s">
        <v>317</v>
      </c>
      <c r="T102">
        <v>0.24095500255719662</v>
      </c>
    </row>
    <row r="103" spans="2:20" x14ac:dyDescent="0.45">
      <c r="B103" t="s">
        <v>270</v>
      </c>
      <c r="C103" t="s">
        <v>31</v>
      </c>
      <c r="D103">
        <v>0.38047506671510528</v>
      </c>
      <c r="N103" t="s">
        <v>270</v>
      </c>
      <c r="O103">
        <v>0.13328494306405989</v>
      </c>
      <c r="Q103" t="s">
        <v>285</v>
      </c>
      <c r="R103" t="s">
        <v>316</v>
      </c>
      <c r="S103" t="s">
        <v>317</v>
      </c>
      <c r="T103">
        <v>0.28758995108663354</v>
      </c>
    </row>
    <row r="104" spans="2:20" x14ac:dyDescent="0.45">
      <c r="B104" t="s">
        <v>271</v>
      </c>
      <c r="C104" t="s">
        <v>31</v>
      </c>
      <c r="D104">
        <v>0.41187632933461199</v>
      </c>
      <c r="N104" t="s">
        <v>271</v>
      </c>
      <c r="O104">
        <v>0.15099622582771138</v>
      </c>
      <c r="Q104" t="s">
        <v>286</v>
      </c>
      <c r="R104" t="s">
        <v>316</v>
      </c>
      <c r="S104" t="s">
        <v>317</v>
      </c>
      <c r="T104">
        <v>0.31595431711915417</v>
      </c>
    </row>
    <row r="105" spans="2:20" x14ac:dyDescent="0.45">
      <c r="B105" t="s">
        <v>272</v>
      </c>
      <c r="C105" t="s">
        <v>31</v>
      </c>
      <c r="D105">
        <v>0.36215259789571352</v>
      </c>
      <c r="N105" t="s">
        <v>272</v>
      </c>
      <c r="O105">
        <v>0.30330547943782787</v>
      </c>
      <c r="Q105" t="s">
        <v>287</v>
      </c>
      <c r="R105" t="s">
        <v>316</v>
      </c>
      <c r="S105" t="s">
        <v>317</v>
      </c>
      <c r="T105">
        <v>0.25929423534439999</v>
      </c>
    </row>
    <row r="106" spans="2:20" x14ac:dyDescent="0.45">
      <c r="B106" t="s">
        <v>273</v>
      </c>
      <c r="C106" t="s">
        <v>31</v>
      </c>
      <c r="D106">
        <v>0.33802642092453955</v>
      </c>
      <c r="N106" t="s">
        <v>273</v>
      </c>
      <c r="O106">
        <v>0.27206975616014456</v>
      </c>
      <c r="Q106" t="s">
        <v>288</v>
      </c>
      <c r="R106" t="s">
        <v>316</v>
      </c>
      <c r="S106" t="s">
        <v>317</v>
      </c>
      <c r="T106">
        <v>0.1831950870291284</v>
      </c>
    </row>
    <row r="107" spans="2:20" x14ac:dyDescent="0.45">
      <c r="B107" t="s">
        <v>274</v>
      </c>
      <c r="C107" t="s">
        <v>31</v>
      </c>
      <c r="D107">
        <v>0.44277036471809422</v>
      </c>
      <c r="N107" t="s">
        <v>274</v>
      </c>
      <c r="O107">
        <v>0.21579142466850584</v>
      </c>
      <c r="Q107" t="s">
        <v>289</v>
      </c>
      <c r="R107" t="s">
        <v>316</v>
      </c>
      <c r="S107" t="s">
        <v>317</v>
      </c>
      <c r="T107">
        <v>0.29957311289550476</v>
      </c>
    </row>
    <row r="108" spans="2:20" x14ac:dyDescent="0.45">
      <c r="B108" t="s">
        <v>275</v>
      </c>
      <c r="C108" t="s">
        <v>31</v>
      </c>
      <c r="D108">
        <v>0.30980010534527713</v>
      </c>
      <c r="N108" t="s">
        <v>275</v>
      </c>
      <c r="O108">
        <v>0.34756999508527742</v>
      </c>
      <c r="Q108" t="s">
        <v>290</v>
      </c>
      <c r="R108" t="s">
        <v>316</v>
      </c>
      <c r="S108" t="s">
        <v>317</v>
      </c>
      <c r="T108">
        <v>0.24641089707908448</v>
      </c>
    </row>
    <row r="109" spans="2:20" x14ac:dyDescent="0.45">
      <c r="B109" t="s">
        <v>276</v>
      </c>
      <c r="C109" t="s">
        <v>31</v>
      </c>
      <c r="D109">
        <v>0.45549943683552502</v>
      </c>
      <c r="N109" t="s">
        <v>276</v>
      </c>
      <c r="O109">
        <v>0.15087666278465017</v>
      </c>
      <c r="Q109" t="s">
        <v>291</v>
      </c>
      <c r="R109" t="s">
        <v>316</v>
      </c>
      <c r="S109" t="s">
        <v>317</v>
      </c>
      <c r="T109">
        <v>0.23160337485958074</v>
      </c>
    </row>
    <row r="110" spans="2:20" x14ac:dyDescent="0.45">
      <c r="B110" t="s">
        <v>277</v>
      </c>
      <c r="C110" t="s">
        <v>31</v>
      </c>
      <c r="D110">
        <v>0.528433625720095</v>
      </c>
      <c r="N110" t="s">
        <v>277</v>
      </c>
      <c r="O110">
        <v>0.11585530225526287</v>
      </c>
      <c r="Q110" t="s">
        <v>292</v>
      </c>
      <c r="R110" t="s">
        <v>316</v>
      </c>
      <c r="S110" t="s">
        <v>317</v>
      </c>
      <c r="T110">
        <v>0.37653663670267651</v>
      </c>
    </row>
    <row r="111" spans="2:20" x14ac:dyDescent="0.45">
      <c r="B111" t="s">
        <v>278</v>
      </c>
      <c r="C111" t="s">
        <v>31</v>
      </c>
      <c r="D111">
        <v>0.42584194471466652</v>
      </c>
      <c r="N111" t="s">
        <v>278</v>
      </c>
      <c r="O111">
        <v>0.18338438482646008</v>
      </c>
      <c r="Q111" t="s">
        <v>293</v>
      </c>
      <c r="R111" t="s">
        <v>316</v>
      </c>
      <c r="S111" t="s">
        <v>317</v>
      </c>
      <c r="T111">
        <v>0.32901505794903285</v>
      </c>
    </row>
    <row r="112" spans="2:20" x14ac:dyDescent="0.45">
      <c r="B112" t="s">
        <v>279</v>
      </c>
      <c r="C112" t="s">
        <v>31</v>
      </c>
      <c r="D112">
        <v>0.43849766033824678</v>
      </c>
      <c r="N112" t="s">
        <v>279</v>
      </c>
      <c r="O112">
        <v>0.14293741866284723</v>
      </c>
      <c r="Q112" t="s">
        <v>294</v>
      </c>
      <c r="R112" t="s">
        <v>316</v>
      </c>
      <c r="S112" t="s">
        <v>317</v>
      </c>
      <c r="T112">
        <v>0.27113260132701139</v>
      </c>
    </row>
    <row r="113" spans="2:20" x14ac:dyDescent="0.45">
      <c r="B113" t="s">
        <v>280</v>
      </c>
      <c r="C113" t="s">
        <v>31</v>
      </c>
      <c r="D113">
        <v>0.50094003731044168</v>
      </c>
      <c r="N113" t="s">
        <v>280</v>
      </c>
      <c r="O113">
        <v>0.11553108404850751</v>
      </c>
      <c r="Q113" t="s">
        <v>295</v>
      </c>
      <c r="R113" t="s">
        <v>316</v>
      </c>
      <c r="S113" t="s">
        <v>317</v>
      </c>
      <c r="T113">
        <v>0.21877200377941872</v>
      </c>
    </row>
    <row r="114" spans="2:20" x14ac:dyDescent="0.45">
      <c r="B114" t="s">
        <v>281</v>
      </c>
      <c r="C114" t="s">
        <v>31</v>
      </c>
      <c r="D114">
        <v>0.4111243607812588</v>
      </c>
      <c r="N114" t="s">
        <v>281</v>
      </c>
      <c r="O114">
        <v>0.18315479870651971</v>
      </c>
      <c r="Q114" t="s">
        <v>296</v>
      </c>
      <c r="R114" t="s">
        <v>316</v>
      </c>
      <c r="S114" t="s">
        <v>317</v>
      </c>
      <c r="T114">
        <v>0.13205279097007472</v>
      </c>
    </row>
    <row r="115" spans="2:20" x14ac:dyDescent="0.45">
      <c r="B115" t="s">
        <v>282</v>
      </c>
      <c r="C115" t="s">
        <v>31</v>
      </c>
      <c r="D115">
        <v>0.50749965641712336</v>
      </c>
      <c r="N115" t="s">
        <v>282</v>
      </c>
      <c r="O115">
        <v>0.12617207787449394</v>
      </c>
      <c r="Q115" t="s">
        <v>297</v>
      </c>
      <c r="R115" t="s">
        <v>316</v>
      </c>
      <c r="S115" t="s">
        <v>317</v>
      </c>
      <c r="T115">
        <v>0.24219634761428821</v>
      </c>
    </row>
    <row r="116" spans="2:20" x14ac:dyDescent="0.45">
      <c r="B116" t="s">
        <v>283</v>
      </c>
      <c r="C116" t="s">
        <v>31</v>
      </c>
      <c r="D116">
        <v>0.43882378441321479</v>
      </c>
      <c r="N116" t="s">
        <v>283</v>
      </c>
      <c r="O116">
        <v>0.19439346959905984</v>
      </c>
      <c r="Q116" t="s">
        <v>298</v>
      </c>
      <c r="R116" t="s">
        <v>316</v>
      </c>
      <c r="S116" t="s">
        <v>317</v>
      </c>
      <c r="T116">
        <v>0.3346763493534648</v>
      </c>
    </row>
    <row r="117" spans="2:20" x14ac:dyDescent="0.45">
      <c r="B117" t="s">
        <v>284</v>
      </c>
      <c r="C117" t="s">
        <v>31</v>
      </c>
      <c r="D117">
        <v>0.34748633502005749</v>
      </c>
      <c r="N117" t="s">
        <v>284</v>
      </c>
      <c r="O117">
        <v>0.24095500255719662</v>
      </c>
      <c r="Q117" t="s">
        <v>299</v>
      </c>
      <c r="R117" t="s">
        <v>316</v>
      </c>
      <c r="S117" t="s">
        <v>317</v>
      </c>
      <c r="T117">
        <v>0.33313937323906684</v>
      </c>
    </row>
    <row r="118" spans="2:20" x14ac:dyDescent="0.45">
      <c r="B118" t="s">
        <v>285</v>
      </c>
      <c r="C118" t="s">
        <v>31</v>
      </c>
      <c r="D118">
        <v>0.35300929408679887</v>
      </c>
      <c r="N118" t="s">
        <v>285</v>
      </c>
      <c r="O118">
        <v>0.28758995108663354</v>
      </c>
      <c r="Q118" t="s">
        <v>300</v>
      </c>
      <c r="R118" t="s">
        <v>316</v>
      </c>
      <c r="S118" t="s">
        <v>317</v>
      </c>
      <c r="T118">
        <v>0.2820986222785305</v>
      </c>
    </row>
    <row r="119" spans="2:20" x14ac:dyDescent="0.45">
      <c r="B119" t="s">
        <v>286</v>
      </c>
      <c r="C119" t="s">
        <v>31</v>
      </c>
      <c r="D119">
        <v>0.31162583534845467</v>
      </c>
      <c r="N119" t="s">
        <v>286</v>
      </c>
      <c r="O119">
        <v>0.31595431737204821</v>
      </c>
      <c r="Q119" t="s">
        <v>301</v>
      </c>
      <c r="R119" t="s">
        <v>316</v>
      </c>
      <c r="S119" t="s">
        <v>317</v>
      </c>
      <c r="T119">
        <v>0.29871990827982381</v>
      </c>
    </row>
    <row r="120" spans="2:20" x14ac:dyDescent="0.45">
      <c r="B120" t="s">
        <v>287</v>
      </c>
      <c r="C120" t="s">
        <v>31</v>
      </c>
      <c r="D120">
        <v>0.33986571808931332</v>
      </c>
      <c r="N120" t="s">
        <v>287</v>
      </c>
      <c r="O120">
        <v>0.25929423534439999</v>
      </c>
      <c r="Q120" t="s">
        <v>302</v>
      </c>
      <c r="R120" t="s">
        <v>316</v>
      </c>
      <c r="S120" t="s">
        <v>317</v>
      </c>
      <c r="T120">
        <v>0.28994306429971739</v>
      </c>
    </row>
    <row r="121" spans="2:20" x14ac:dyDescent="0.45">
      <c r="B121" t="s">
        <v>288</v>
      </c>
      <c r="C121" t="s">
        <v>31</v>
      </c>
      <c r="D121">
        <v>0.39596062128737558</v>
      </c>
      <c r="N121" t="s">
        <v>288</v>
      </c>
      <c r="O121">
        <v>0.1831950870291284</v>
      </c>
      <c r="Q121" t="s">
        <v>303</v>
      </c>
      <c r="R121" t="s">
        <v>316</v>
      </c>
      <c r="S121" t="s">
        <v>317</v>
      </c>
      <c r="T121">
        <v>0.29654299728692446</v>
      </c>
    </row>
    <row r="122" spans="2:20" x14ac:dyDescent="0.45">
      <c r="B122" t="s">
        <v>289</v>
      </c>
      <c r="C122" t="s">
        <v>31</v>
      </c>
      <c r="D122">
        <v>0.31130443751517833</v>
      </c>
      <c r="N122" t="s">
        <v>289</v>
      </c>
      <c r="O122">
        <v>0.29959088305490733</v>
      </c>
      <c r="Q122" t="s">
        <v>304</v>
      </c>
      <c r="R122" t="s">
        <v>316</v>
      </c>
      <c r="S122" t="s">
        <v>317</v>
      </c>
      <c r="T122">
        <v>0.31078194531993919</v>
      </c>
    </row>
    <row r="123" spans="2:20" x14ac:dyDescent="0.45">
      <c r="B123" t="s">
        <v>290</v>
      </c>
      <c r="C123" t="s">
        <v>31</v>
      </c>
      <c r="D123">
        <v>0.34520656314009041</v>
      </c>
      <c r="N123" t="s">
        <v>290</v>
      </c>
      <c r="O123">
        <v>0.24641214604087838</v>
      </c>
      <c r="Q123" t="s">
        <v>305</v>
      </c>
      <c r="R123" t="s">
        <v>316</v>
      </c>
      <c r="S123" t="s">
        <v>317</v>
      </c>
      <c r="T123">
        <v>0.32937480904033783</v>
      </c>
    </row>
    <row r="124" spans="2:20" x14ac:dyDescent="0.45">
      <c r="B124" t="s">
        <v>291</v>
      </c>
      <c r="C124" t="s">
        <v>31</v>
      </c>
      <c r="D124">
        <v>0.32797758398556165</v>
      </c>
      <c r="N124" t="s">
        <v>291</v>
      </c>
      <c r="O124">
        <v>0.23160371241482391</v>
      </c>
      <c r="Q124" t="s">
        <v>306</v>
      </c>
      <c r="R124" t="s">
        <v>316</v>
      </c>
      <c r="S124" t="s">
        <v>317</v>
      </c>
      <c r="T124">
        <v>0.30223640123585516</v>
      </c>
    </row>
    <row r="125" spans="2:20" x14ac:dyDescent="0.45">
      <c r="B125" t="s">
        <v>292</v>
      </c>
      <c r="C125" t="s">
        <v>31</v>
      </c>
      <c r="D125">
        <v>0.28943358802643371</v>
      </c>
      <c r="N125" t="s">
        <v>292</v>
      </c>
      <c r="O125">
        <v>0.37657795561659679</v>
      </c>
      <c r="Q125" t="s">
        <v>307</v>
      </c>
      <c r="R125" t="s">
        <v>316</v>
      </c>
      <c r="S125" t="s">
        <v>317</v>
      </c>
      <c r="T125">
        <v>0.36230322618840588</v>
      </c>
    </row>
    <row r="126" spans="2:20" x14ac:dyDescent="0.45">
      <c r="B126" t="s">
        <v>293</v>
      </c>
      <c r="C126" t="s">
        <v>31</v>
      </c>
      <c r="D126">
        <v>0.31978509529079374</v>
      </c>
      <c r="N126" t="s">
        <v>293</v>
      </c>
      <c r="O126">
        <v>0.32901505794903285</v>
      </c>
      <c r="Q126" t="s">
        <v>308</v>
      </c>
      <c r="R126" t="s">
        <v>316</v>
      </c>
      <c r="S126" t="s">
        <v>317</v>
      </c>
      <c r="T126">
        <v>0.29575040714019113</v>
      </c>
    </row>
    <row r="127" spans="2:20" x14ac:dyDescent="0.45">
      <c r="B127" t="s">
        <v>294</v>
      </c>
      <c r="C127" t="s">
        <v>31</v>
      </c>
      <c r="D127">
        <v>0.31555734702710736</v>
      </c>
      <c r="N127" t="s">
        <v>294</v>
      </c>
      <c r="O127">
        <v>0.27115614735065652</v>
      </c>
      <c r="Q127" t="s">
        <v>237</v>
      </c>
      <c r="R127" t="s">
        <v>316</v>
      </c>
      <c r="S127" t="s">
        <v>317</v>
      </c>
      <c r="T127">
        <v>0.25458545177133951</v>
      </c>
    </row>
    <row r="128" spans="2:20" x14ac:dyDescent="0.45">
      <c r="B128" t="s">
        <v>295</v>
      </c>
      <c r="C128" t="s">
        <v>31</v>
      </c>
      <c r="D128">
        <v>0.35994905805529498</v>
      </c>
      <c r="N128" t="s">
        <v>295</v>
      </c>
      <c r="O128">
        <v>0.21892965631498545</v>
      </c>
      <c r="Q128" t="s">
        <v>238</v>
      </c>
      <c r="R128" t="s">
        <v>316</v>
      </c>
      <c r="S128" t="s">
        <v>317</v>
      </c>
      <c r="T128">
        <v>0.2121948216443991</v>
      </c>
    </row>
    <row r="129" spans="2:20" x14ac:dyDescent="0.45">
      <c r="B129" t="s">
        <v>296</v>
      </c>
      <c r="C129" t="s">
        <v>31</v>
      </c>
      <c r="D129">
        <v>0.4129884469590871</v>
      </c>
      <c r="N129" t="s">
        <v>296</v>
      </c>
      <c r="O129">
        <v>0.13205279097007472</v>
      </c>
      <c r="Q129" t="s">
        <v>239</v>
      </c>
      <c r="R129" t="s">
        <v>316</v>
      </c>
      <c r="S129" t="s">
        <v>317</v>
      </c>
      <c r="T129">
        <v>0.21298161994892925</v>
      </c>
    </row>
    <row r="130" spans="2:20" x14ac:dyDescent="0.45">
      <c r="B130" t="s">
        <v>297</v>
      </c>
      <c r="C130" t="s">
        <v>31</v>
      </c>
      <c r="D130">
        <v>0.35110338118397016</v>
      </c>
      <c r="N130" t="s">
        <v>297</v>
      </c>
      <c r="O130">
        <v>0.24221323433498526</v>
      </c>
      <c r="Q130" t="s">
        <v>240</v>
      </c>
      <c r="R130" t="s">
        <v>316</v>
      </c>
      <c r="S130" t="s">
        <v>317</v>
      </c>
      <c r="T130">
        <v>0.22999992445358125</v>
      </c>
    </row>
    <row r="131" spans="2:20" x14ac:dyDescent="0.45">
      <c r="B131" t="s">
        <v>298</v>
      </c>
      <c r="C131" t="s">
        <v>31</v>
      </c>
      <c r="D131">
        <v>0.34963155162678761</v>
      </c>
      <c r="N131" t="s">
        <v>298</v>
      </c>
      <c r="O131">
        <v>0.3346763493534648</v>
      </c>
      <c r="Q131" t="s">
        <v>241</v>
      </c>
      <c r="R131" t="s">
        <v>316</v>
      </c>
      <c r="S131" t="s">
        <v>317</v>
      </c>
      <c r="T131">
        <v>0.33178579985559037</v>
      </c>
    </row>
    <row r="132" spans="2:20" x14ac:dyDescent="0.45">
      <c r="B132" t="s">
        <v>299</v>
      </c>
      <c r="C132" t="s">
        <v>31</v>
      </c>
      <c r="D132">
        <v>0.33845344967301355</v>
      </c>
      <c r="N132" t="s">
        <v>299</v>
      </c>
      <c r="O132">
        <v>0.33313937323906684</v>
      </c>
      <c r="Q132" t="s">
        <v>242</v>
      </c>
      <c r="R132" t="s">
        <v>316</v>
      </c>
      <c r="S132" t="s">
        <v>317</v>
      </c>
      <c r="T132">
        <v>0.32570276026731304</v>
      </c>
    </row>
    <row r="133" spans="2:20" x14ac:dyDescent="0.45">
      <c r="B133" t="s">
        <v>300</v>
      </c>
      <c r="C133" t="s">
        <v>31</v>
      </c>
      <c r="D133">
        <v>0.33301880162975156</v>
      </c>
      <c r="N133" t="s">
        <v>300</v>
      </c>
      <c r="O133">
        <v>0.28211619126627063</v>
      </c>
      <c r="Q133" t="s">
        <v>243</v>
      </c>
      <c r="R133" t="s">
        <v>316</v>
      </c>
      <c r="S133" t="s">
        <v>317</v>
      </c>
      <c r="T133">
        <v>0.25929882460997261</v>
      </c>
    </row>
    <row r="134" spans="2:20" x14ac:dyDescent="0.45">
      <c r="B134" t="s">
        <v>301</v>
      </c>
      <c r="C134" t="s">
        <v>31</v>
      </c>
      <c r="D134">
        <v>0.33723938940797671</v>
      </c>
      <c r="N134" t="s">
        <v>301</v>
      </c>
      <c r="O134">
        <v>0.29873127727474702</v>
      </c>
      <c r="Q134" t="s">
        <v>244</v>
      </c>
      <c r="R134" t="s">
        <v>316</v>
      </c>
      <c r="S134" t="s">
        <v>317</v>
      </c>
      <c r="T134">
        <v>0.25345611102554055</v>
      </c>
    </row>
    <row r="135" spans="2:20" x14ac:dyDescent="0.45">
      <c r="B135" t="s">
        <v>302</v>
      </c>
      <c r="C135" t="s">
        <v>31</v>
      </c>
      <c r="D135">
        <v>0.34756124582810421</v>
      </c>
      <c r="N135" t="s">
        <v>302</v>
      </c>
      <c r="O135">
        <v>0.28994306429971739</v>
      </c>
      <c r="Q135" t="s">
        <v>245</v>
      </c>
      <c r="R135" t="s">
        <v>316</v>
      </c>
      <c r="S135" t="s">
        <v>317</v>
      </c>
      <c r="T135">
        <v>0.25237235097119132</v>
      </c>
    </row>
    <row r="136" spans="2:20" x14ac:dyDescent="0.45">
      <c r="B136" t="s">
        <v>303</v>
      </c>
      <c r="C136" t="s">
        <v>31</v>
      </c>
      <c r="D136">
        <v>0.35112408009153823</v>
      </c>
      <c r="N136" t="s">
        <v>303</v>
      </c>
      <c r="O136">
        <v>0.29655367945514011</v>
      </c>
      <c r="Q136" t="s">
        <v>246</v>
      </c>
      <c r="R136" t="s">
        <v>316</v>
      </c>
      <c r="S136" t="s">
        <v>317</v>
      </c>
      <c r="T136">
        <v>0.35516317097112576</v>
      </c>
    </row>
    <row r="137" spans="2:20" x14ac:dyDescent="0.45">
      <c r="B137" t="s">
        <v>304</v>
      </c>
      <c r="C137" t="s">
        <v>31</v>
      </c>
      <c r="D137">
        <v>0.33857270268988965</v>
      </c>
      <c r="N137" t="s">
        <v>304</v>
      </c>
      <c r="O137">
        <v>0.31078194531993919</v>
      </c>
      <c r="Q137" t="s">
        <v>247</v>
      </c>
      <c r="R137" t="s">
        <v>316</v>
      </c>
      <c r="S137" t="s">
        <v>317</v>
      </c>
      <c r="T137">
        <v>0.33539024325920941</v>
      </c>
    </row>
    <row r="138" spans="2:20" x14ac:dyDescent="0.45">
      <c r="B138" t="s">
        <v>305</v>
      </c>
      <c r="C138" t="s">
        <v>31</v>
      </c>
      <c r="D138">
        <v>0.33242841164887205</v>
      </c>
      <c r="N138" t="s">
        <v>305</v>
      </c>
      <c r="O138">
        <v>0.32937480904033783</v>
      </c>
      <c r="Q138" t="s">
        <v>248</v>
      </c>
      <c r="R138" t="s">
        <v>316</v>
      </c>
      <c r="S138" t="s">
        <v>317</v>
      </c>
      <c r="T138">
        <v>0.37404683498011826</v>
      </c>
    </row>
    <row r="139" spans="2:20" x14ac:dyDescent="0.45">
      <c r="B139" t="s">
        <v>306</v>
      </c>
      <c r="C139" t="s">
        <v>31</v>
      </c>
      <c r="D139">
        <v>0.31486474376006962</v>
      </c>
      <c r="N139" t="s">
        <v>306</v>
      </c>
      <c r="O139">
        <v>0.30231035055563482</v>
      </c>
      <c r="Q139" t="s">
        <v>249</v>
      </c>
      <c r="R139" t="s">
        <v>316</v>
      </c>
      <c r="S139" t="s">
        <v>317</v>
      </c>
      <c r="T139">
        <v>0.35811478768244448</v>
      </c>
    </row>
    <row r="140" spans="2:20" x14ac:dyDescent="0.45">
      <c r="B140" t="s">
        <v>307</v>
      </c>
      <c r="C140" t="s">
        <v>31</v>
      </c>
      <c r="D140">
        <v>0.30058227028248524</v>
      </c>
      <c r="N140" t="s">
        <v>307</v>
      </c>
      <c r="O140">
        <v>0.36230358744774532</v>
      </c>
      <c r="Q140" t="s">
        <v>250</v>
      </c>
      <c r="R140" t="s">
        <v>316</v>
      </c>
      <c r="S140" t="s">
        <v>317</v>
      </c>
      <c r="T140">
        <v>0.23948837429701428</v>
      </c>
    </row>
    <row r="141" spans="2:20" x14ac:dyDescent="0.45">
      <c r="B141" t="s">
        <v>308</v>
      </c>
      <c r="C141" t="s">
        <v>31</v>
      </c>
      <c r="D141">
        <v>0.32053754020524367</v>
      </c>
      <c r="N141" t="s">
        <v>308</v>
      </c>
      <c r="O141">
        <v>0.29575430547584952</v>
      </c>
      <c r="Q141" t="s">
        <v>251</v>
      </c>
      <c r="R141" t="s">
        <v>316</v>
      </c>
      <c r="S141" t="s">
        <v>317</v>
      </c>
      <c r="T141">
        <v>0.32470203473057263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52E37-A51D-4EEA-8157-74352FD7CFFC}">
  <dimension ref="A9:S12"/>
  <sheetViews>
    <sheetView tabSelected="1" workbookViewId="0"/>
  </sheetViews>
  <sheetFormatPr defaultRowHeight="14.25" x14ac:dyDescent="0.45"/>
  <sheetData>
    <row r="9" spans="1:19" x14ac:dyDescent="0.45">
      <c r="C9" t="str">
        <f>IF(A11="x","DeActivated","~TFM_DINS-AT")</f>
        <v>~TFM_DINS-AT</v>
      </c>
      <c r="H9" t="str">
        <f>IF(A11="x","DeActivated","~TFM_DINS-AT")</f>
        <v>~TFM_DINS-AT</v>
      </c>
      <c r="L9" t="str">
        <f>IF(A11="x","DeActivated","~TFM_DINS-AT")</f>
        <v>~TFM_DINS-AT</v>
      </c>
      <c r="P9" t="str">
        <f>IF(A11="x","DeActivated","~TFM_INS-AT")</f>
        <v>~TFM_INS-AT</v>
      </c>
    </row>
    <row r="10" spans="1:19" x14ac:dyDescent="0.45">
      <c r="A10" t="s">
        <v>40</v>
      </c>
      <c r="C10" t="s">
        <v>318</v>
      </c>
      <c r="D10" t="s">
        <v>43</v>
      </c>
      <c r="E10" t="s">
        <v>42</v>
      </c>
      <c r="F10" t="s">
        <v>41</v>
      </c>
      <c r="H10" t="s">
        <v>41</v>
      </c>
      <c r="I10" t="s">
        <v>42</v>
      </c>
      <c r="J10" t="s">
        <v>43</v>
      </c>
      <c r="L10" t="s">
        <v>41</v>
      </c>
      <c r="M10" t="s">
        <v>42</v>
      </c>
      <c r="N10" t="s">
        <v>325</v>
      </c>
      <c r="P10" t="s">
        <v>326</v>
      </c>
      <c r="Q10" t="s">
        <v>42</v>
      </c>
      <c r="R10" t="s">
        <v>327</v>
      </c>
      <c r="S10" t="s">
        <v>328</v>
      </c>
    </row>
    <row r="11" spans="1:19" x14ac:dyDescent="0.45">
      <c r="A11" t="str">
        <f>IFERROR(IF([1]Veda!D5=A10,"ok","x"),"")</f>
        <v/>
      </c>
      <c r="C11">
        <v>1</v>
      </c>
      <c r="D11">
        <v>1.0000000000000002</v>
      </c>
      <c r="E11" t="s">
        <v>46</v>
      </c>
      <c r="F11" t="s">
        <v>319</v>
      </c>
      <c r="H11" t="s">
        <v>323</v>
      </c>
      <c r="I11" t="s">
        <v>46</v>
      </c>
      <c r="J11">
        <v>1</v>
      </c>
      <c r="L11" t="s">
        <v>12</v>
      </c>
      <c r="M11" t="s">
        <v>46</v>
      </c>
      <c r="N11">
        <v>0.38315287445850954</v>
      </c>
    </row>
    <row r="12" spans="1:19" x14ac:dyDescent="0.45">
      <c r="H12" t="s">
        <v>324</v>
      </c>
      <c r="I12" t="s">
        <v>46</v>
      </c>
      <c r="J1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ev_charging_uc</vt:lpstr>
      <vt:lpstr>timeslice_def</vt:lpstr>
      <vt:lpstr>resource_profiles</vt:lpstr>
      <vt:lpstr>firmness</vt:lpstr>
      <vt:lpstr>load_demand_peak_hydro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2026-07-23T04:40:13Z</dcterms:modified>
</cp:coreProperties>
</file>