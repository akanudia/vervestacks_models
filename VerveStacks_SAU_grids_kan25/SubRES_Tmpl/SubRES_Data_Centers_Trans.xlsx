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never"/>
  <mc:AlternateContent xmlns:mc="http://schemas.openxmlformats.org/markup-compatibility/2006">
    <mc:Choice Requires="x15">
      <x15ac:absPath xmlns:x15ac="http://schemas.microsoft.com/office/spreadsheetml/2010/11/ac" url="C:\Veda\VerveStacks\assumptions\VerveStacks_ISO_template\SubRES_Tmpl\"/>
    </mc:Choice>
  </mc:AlternateContent>
  <xr:revisionPtr revIDLastSave="0" documentId="13_ncr:1_{253B7126-F1B2-4F6B-AB53-4221FBC2A220}" xr6:coauthVersionLast="47" xr6:coauthVersionMax="47" xr10:uidLastSave="{00000000-0000-0000-0000-000000000000}"/>
  <bookViews>
    <workbookView xWindow="28702" yWindow="-98" windowWidth="28995" windowHeight="15675" xr2:uid="{00000000-000D-0000-FFFF-FFFF00000000}"/>
  </bookViews>
  <sheets>
    <sheet name="DC detail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6" l="1"/>
  <c r="L11" i="6"/>
  <c r="M11" i="6" s="1"/>
  <c r="N11" i="6" s="1"/>
  <c r="O11" i="6" s="1"/>
  <c r="P11" i="6" s="1"/>
  <c r="G13" i="6"/>
  <c r="G14" i="6"/>
  <c r="G15" i="6"/>
  <c r="G16" i="6"/>
  <c r="G12" i="6"/>
</calcChain>
</file>

<file path=xl/sharedStrings.xml><?xml version="1.0" encoding="utf-8"?>
<sst xmlns="http://schemas.openxmlformats.org/spreadsheetml/2006/main" count="102" uniqueCount="79">
  <si>
    <t>process</t>
  </si>
  <si>
    <t>commodity</t>
  </si>
  <si>
    <t>io</t>
  </si>
  <si>
    <t>IN</t>
  </si>
  <si>
    <t>e_w79866837-400_FRA</t>
  </si>
  <si>
    <t>e_w85203486-400_FRA</t>
  </si>
  <si>
    <t>paris</t>
  </si>
  <si>
    <t>dunkirk</t>
  </si>
  <si>
    <t>e_w49510896-400_FRA</t>
  </si>
  <si>
    <t>Toulouse</t>
  </si>
  <si>
    <t>e_w24020601-400_FRA</t>
  </si>
  <si>
    <t>Lyon</t>
  </si>
  <si>
    <t>e_w90842395-400_FRA</t>
  </si>
  <si>
    <t>Nice</t>
  </si>
  <si>
    <t>~tfm_topins</t>
  </si>
  <si>
    <t>DC_1</t>
  </si>
  <si>
    <t>DC_2</t>
  </si>
  <si>
    <t>DC_3</t>
  </si>
  <si>
    <t>DC_4</t>
  </si>
  <si>
    <t>DC_5</t>
  </si>
  <si>
    <t>Total</t>
  </si>
  <si>
    <t>~tfm_ins</t>
  </si>
  <si>
    <t>attribute</t>
  </si>
  <si>
    <t>cap2act</t>
  </si>
  <si>
    <t>value</t>
  </si>
  <si>
    <t>DC_*</t>
  </si>
  <si>
    <t>eff</t>
  </si>
  <si>
    <t>~tfm_ins-TS: attribute=NCAP_AF; limtype=FX</t>
  </si>
  <si>
    <t>~tfm_ins-TS: attribute=NCAP_PASTI</t>
  </si>
  <si>
    <t>e_w110086345-400_FRA</t>
  </si>
  <si>
    <t>grid node -- way/110086345-400 (Nimes, 30 km)</t>
  </si>
  <si>
    <t>e_w111558550-400_FRA</t>
  </si>
  <si>
    <t>grid node -- way/111558550-400 (Bayonne, 9 km)</t>
  </si>
  <si>
    <t>e_w112342683-400_FRA</t>
  </si>
  <si>
    <t>grid node -- way/112342683-400 (Nantes, 25 km)</t>
  </si>
  <si>
    <t>e_w118086309-400_FRA</t>
  </si>
  <si>
    <t>grid node -- way/118086309-400 (Strasbourg, 16 km)</t>
  </si>
  <si>
    <t>e_w146695955-400_FRA</t>
  </si>
  <si>
    <t>grid node -- way/146695955-400 (Brest, 23 km)</t>
  </si>
  <si>
    <t>e_w147132694-400_FRA</t>
  </si>
  <si>
    <t>grid node -- way/147132694-400 (Grenoble, 26 km)</t>
  </si>
  <si>
    <t>e_w159167277-400_FRA</t>
  </si>
  <si>
    <t>grid node -- way/159167277-400 (Besancon, 42 km)</t>
  </si>
  <si>
    <t>e_w179260933-400_FRA</t>
  </si>
  <si>
    <t>grid node -- way/179260933-400 (Dijon, 25 km)</t>
  </si>
  <si>
    <t>e_w235370803-400_FRA</t>
  </si>
  <si>
    <t>grid node -- way/235370803-400 (Bordeaux, 28 km)</t>
  </si>
  <si>
    <t>grid node -- way/24020601-400 (Lyon, 24 km)</t>
  </si>
  <si>
    <t>e_w27259817-400_FRA</t>
  </si>
  <si>
    <t>grid node -- way/27259817-400 (Marseille, 17 km)</t>
  </si>
  <si>
    <t>e_w36805588-400_FRA</t>
  </si>
  <si>
    <t>grid node -- way/36805588-400 (Amiens, 6 km)</t>
  </si>
  <si>
    <t>grid node -- way/49510896-400 (Toulouse, 27 km)</t>
  </si>
  <si>
    <t>e_w71933077-400_FRA</t>
  </si>
  <si>
    <t>grid node -- way/71933077-400 (Clermont-Ferrand, 15 km)</t>
  </si>
  <si>
    <t>grid node -- way/79866837-400 (Paris, 64 km)</t>
  </si>
  <si>
    <t>e_w81641090-400_FRA</t>
  </si>
  <si>
    <t>grid node -- way/81641090-400 (Metz, 11 km)</t>
  </si>
  <si>
    <t>e_w82599261-400_FRA</t>
  </si>
  <si>
    <t>grid node -- way/82599261-400 (Troyes, 27 km)</t>
  </si>
  <si>
    <t>e_w82825438-400_FRA</t>
  </si>
  <si>
    <t>grid node -- way/82825438-400 (Reims, 74 km)</t>
  </si>
  <si>
    <t>e_w85047359-400_FRA</t>
  </si>
  <si>
    <t>grid node -- way/85047359-400 (Paris, 41 km)</t>
  </si>
  <si>
    <t>grid node -- way/85203486-400 (Dunkerque, 18 km)</t>
  </si>
  <si>
    <t>e_w85605950-400_FRA</t>
  </si>
  <si>
    <t>grid node -- way/85605950-400 (Lille, 12 km)</t>
  </si>
  <si>
    <t>e_w85710783-400_FRA</t>
  </si>
  <si>
    <t>grid node -- way/85710783-400 (Rouen, 24 km)</t>
  </si>
  <si>
    <t>e_w85995894-400_FRA</t>
  </si>
  <si>
    <t>grid node -- way/85995894-400 (Rennes, 9 km)</t>
  </si>
  <si>
    <t>grid node -- way/90842395-400 (Nice, 13 km)</t>
  </si>
  <si>
    <t>e_w98890904-400_FRA</t>
  </si>
  <si>
    <t>grid node -- way/98890904-400 (Beziers, 45 km)</t>
  </si>
  <si>
    <t>e_w99722046-400_FRA</t>
  </si>
  <si>
    <t>grid node -- way/99722046-400 (Angers, 44 km)</t>
  </si>
  <si>
    <t>node</t>
  </si>
  <si>
    <t>city</t>
  </si>
  <si>
    <t>include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</si>
</sst>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STKFLOW - 14 of 38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0" borderId="0"/>
    <xf numFmtId="0" fontId="7" fillId="0" borderId="0"/>
    <xf numFmtId="9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</cellStyleXfs>
  <cellXfs count="3">
    <xf numFmtId="0" fontId="0" fillId="0" borderId="0" xfId="0"/>
    <xf numFmtId="0" fontId="2" fillId="0" borderId="0" xfId="0" applyFont="1"/>
    <xf numFmtId="0" fontId="9" fillId="0" borderId="0" xfId="0" applyFont="1"/>
  </cellXfs>
  <cellStyles count="14">
    <cellStyle name="20% - Accent3 3 2" xfId="3" xr:uid="{59D3A925-6B7E-44B5-81EC-8C6FF8CA8AE5}"/>
    <cellStyle name="Comma 2" xfId="7" xr:uid="{2CEE6867-970A-42EA-BCFF-691982426456}"/>
    <cellStyle name="Neutral 2" xfId="1" xr:uid="{32FA146A-D266-4079-A99E-8A626F062ABE}"/>
    <cellStyle name="Normal" xfId="0" builtinId="0"/>
    <cellStyle name="Normal 10" xfId="13" xr:uid="{5B373CF2-B0E2-43EE-8D33-7FD41D45955C}"/>
    <cellStyle name="Normal 2" xfId="9" xr:uid="{5DC9C16E-B6D3-4458-B5A9-A445D3C07A92}"/>
    <cellStyle name="Normal 3" xfId="2" xr:uid="{FCFE18AD-AB16-4E25-B48A-C7B8A7745BD4}"/>
    <cellStyle name="Normal 3 2" xfId="4" xr:uid="{92C1BEAD-FDFC-4E87-A8E8-7737F88712D8}"/>
    <cellStyle name="Normal 4" xfId="5" xr:uid="{2AF13847-A8A9-4252-AA34-DFF2B743A685}"/>
    <cellStyle name="Normal 4 2" xfId="10" xr:uid="{7472EA0D-65E2-4F47-9D9D-F6F8FAF5327B}"/>
    <cellStyle name="Normal 5" xfId="11" xr:uid="{DDCF67BE-EB9E-42E3-8F45-A34E93113CCA}"/>
    <cellStyle name="Normal 5 2" xfId="12" xr:uid="{A5A68E1F-56AE-40E4-B5FC-371D74DDD53F}"/>
    <cellStyle name="Normal 6" xfId="8" xr:uid="{0A77384E-3D34-4B23-B744-E0E385FFB9A4}"/>
    <cellStyle name="Percent 4" xfId="6" xr:uid="{9F165C27-B9A1-42E0-A41F-91FE18CE7F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A1:T27"/>
  <sheetViews>
    <sheetView tabSelected="1" workbookViewId="0">
      <selection activeCell="C2" sqref="C2"/>
    </sheetView>
  </sheetViews>
  <sheetFormatPr defaultRowHeight="14.25"/>
  <cols>
    <col min="1" max="1" width="20.73046875" bestFit="1" customWidth="1"/>
    <col min="2" max="2" width="47.86328125" bestFit="1" customWidth="1"/>
    <col min="3" max="3" width="6.3984375" bestFit="1" customWidth="1"/>
    <col min="5" max="5" width="10.265625" bestFit="1" customWidth="1"/>
    <col min="6" max="6" width="7.796875" bestFit="1" customWidth="1"/>
    <col min="7" max="7" width="19.73046875" bestFit="1" customWidth="1"/>
    <col min="10" max="10" width="36.3984375" bestFit="1" customWidth="1"/>
    <col min="11" max="11" width="4.9296875" bestFit="1" customWidth="1"/>
    <col min="12" max="12" width="6.59765625" bestFit="1" customWidth="1"/>
    <col min="13" max="18" width="4.73046875" bestFit="1" customWidth="1"/>
    <col min="19" max="19" width="1.73046875" bestFit="1" customWidth="1"/>
    <col min="20" max="20" width="5.46484375" bestFit="1" customWidth="1"/>
    <col min="22" max="22" width="15.53125" customWidth="1"/>
    <col min="23" max="23" width="4.73046875" bestFit="1" customWidth="1"/>
    <col min="24" max="24" width="5.46484375" bestFit="1" customWidth="1"/>
  </cols>
  <sheetData>
    <row r="1" spans="1:18">
      <c r="A1" t="s">
        <v>76</v>
      </c>
      <c r="B1" t="s">
        <v>77</v>
      </c>
      <c r="C1" t="s">
        <v>78</v>
      </c>
    </row>
    <row r="2" spans="1:18">
      <c r="A2" t="s">
        <v>29</v>
      </c>
      <c r="B2" t="s">
        <v>30</v>
      </c>
      <c r="C2">
        <v>1</v>
      </c>
      <c r="F2" t="s">
        <v>6</v>
      </c>
      <c r="G2" t="s">
        <v>4</v>
      </c>
      <c r="J2" t="s">
        <v>21</v>
      </c>
    </row>
    <row r="3" spans="1:18">
      <c r="A3" t="s">
        <v>31</v>
      </c>
      <c r="B3" t="s">
        <v>32</v>
      </c>
      <c r="F3" t="s">
        <v>7</v>
      </c>
      <c r="G3" t="s">
        <v>5</v>
      </c>
      <c r="J3" t="s">
        <v>22</v>
      </c>
      <c r="K3" t="s">
        <v>24</v>
      </c>
      <c r="L3" t="s">
        <v>0</v>
      </c>
    </row>
    <row r="4" spans="1:18">
      <c r="A4" t="s">
        <v>33</v>
      </c>
      <c r="B4" t="s">
        <v>34</v>
      </c>
      <c r="F4" t="s">
        <v>9</v>
      </c>
      <c r="G4" t="s">
        <v>8</v>
      </c>
      <c r="J4" t="s">
        <v>23</v>
      </c>
      <c r="K4">
        <v>8.76</v>
      </c>
      <c r="L4" t="s">
        <v>25</v>
      </c>
    </row>
    <row r="5" spans="1:18">
      <c r="A5" t="s">
        <v>35</v>
      </c>
      <c r="B5" t="s">
        <v>36</v>
      </c>
      <c r="F5" t="s">
        <v>11</v>
      </c>
      <c r="G5" t="s">
        <v>10</v>
      </c>
      <c r="J5" t="s">
        <v>26</v>
      </c>
      <c r="K5">
        <v>1</v>
      </c>
      <c r="L5" t="s">
        <v>25</v>
      </c>
    </row>
    <row r="6" spans="1:18">
      <c r="A6" t="s">
        <v>37</v>
      </c>
      <c r="B6" t="s">
        <v>38</v>
      </c>
      <c r="C6">
        <v>1</v>
      </c>
      <c r="F6" t="s">
        <v>13</v>
      </c>
      <c r="G6" t="s">
        <v>12</v>
      </c>
    </row>
    <row r="7" spans="1:18">
      <c r="A7" t="s">
        <v>39</v>
      </c>
      <c r="B7" t="s">
        <v>40</v>
      </c>
    </row>
    <row r="8" spans="1:18">
      <c r="A8" t="s">
        <v>41</v>
      </c>
      <c r="B8" t="s">
        <v>42</v>
      </c>
    </row>
    <row r="9" spans="1:18">
      <c r="A9" t="s">
        <v>43</v>
      </c>
      <c r="B9" t="s">
        <v>44</v>
      </c>
    </row>
    <row r="10" spans="1:18">
      <c r="A10" t="s">
        <v>45</v>
      </c>
      <c r="B10" t="s">
        <v>46</v>
      </c>
      <c r="E10" t="s">
        <v>14</v>
      </c>
      <c r="J10" t="s">
        <v>28</v>
      </c>
    </row>
    <row r="11" spans="1:18">
      <c r="A11" t="s">
        <v>10</v>
      </c>
      <c r="B11" t="s">
        <v>47</v>
      </c>
      <c r="C11">
        <v>1</v>
      </c>
      <c r="E11" t="s">
        <v>0</v>
      </c>
      <c r="F11" t="s">
        <v>2</v>
      </c>
      <c r="G11" t="s">
        <v>1</v>
      </c>
      <c r="J11" t="s">
        <v>0</v>
      </c>
      <c r="K11">
        <v>2025</v>
      </c>
      <c r="L11">
        <f>K11+1</f>
        <v>2026</v>
      </c>
      <c r="M11">
        <f t="shared" ref="M11:P11" si="0">L11+1</f>
        <v>2027</v>
      </c>
      <c r="N11">
        <f t="shared" si="0"/>
        <v>2028</v>
      </c>
      <c r="O11">
        <f t="shared" si="0"/>
        <v>2029</v>
      </c>
      <c r="P11">
        <f t="shared" si="0"/>
        <v>2030</v>
      </c>
      <c r="Q11">
        <v>2032</v>
      </c>
      <c r="R11">
        <v>2035</v>
      </c>
    </row>
    <row r="12" spans="1:18">
      <c r="A12" t="s">
        <v>48</v>
      </c>
      <c r="B12" t="s">
        <v>49</v>
      </c>
      <c r="E12" t="s">
        <v>15</v>
      </c>
      <c r="F12" t="s">
        <v>3</v>
      </c>
      <c r="G12" t="str">
        <f>G2</f>
        <v>e_w79866837-400_FRA</v>
      </c>
      <c r="J12" t="s">
        <v>15</v>
      </c>
      <c r="L12">
        <v>0.5</v>
      </c>
      <c r="N12">
        <v>0.5</v>
      </c>
      <c r="P12">
        <v>1</v>
      </c>
    </row>
    <row r="13" spans="1:18">
      <c r="A13" t="s">
        <v>50</v>
      </c>
      <c r="B13" t="s">
        <v>51</v>
      </c>
      <c r="E13" t="s">
        <v>16</v>
      </c>
      <c r="F13" t="s">
        <v>3</v>
      </c>
      <c r="G13" t="str">
        <f>G3</f>
        <v>e_w85203486-400_FRA</v>
      </c>
      <c r="J13" t="s">
        <v>16</v>
      </c>
      <c r="M13">
        <v>0.5</v>
      </c>
      <c r="O13">
        <v>0.5</v>
      </c>
      <c r="Q13">
        <v>1</v>
      </c>
    </row>
    <row r="14" spans="1:18">
      <c r="A14" t="s">
        <v>8</v>
      </c>
      <c r="B14" t="s">
        <v>52</v>
      </c>
      <c r="E14" t="s">
        <v>17</v>
      </c>
      <c r="F14" t="s">
        <v>3</v>
      </c>
      <c r="G14" t="str">
        <f>G4</f>
        <v>e_w49510896-400_FRA</v>
      </c>
      <c r="J14" t="s">
        <v>17</v>
      </c>
      <c r="M14">
        <v>1</v>
      </c>
      <c r="P14">
        <v>1</v>
      </c>
    </row>
    <row r="15" spans="1:18">
      <c r="A15" t="s">
        <v>53</v>
      </c>
      <c r="B15" t="s">
        <v>54</v>
      </c>
      <c r="E15" t="s">
        <v>18</v>
      </c>
      <c r="F15" t="s">
        <v>3</v>
      </c>
      <c r="G15" t="str">
        <f>G5</f>
        <v>e_w24020601-400_FRA</v>
      </c>
      <c r="J15" t="s">
        <v>18</v>
      </c>
      <c r="L15">
        <v>0.25</v>
      </c>
      <c r="M15">
        <v>0.25</v>
      </c>
      <c r="O15">
        <v>0.5</v>
      </c>
    </row>
    <row r="16" spans="1:18">
      <c r="A16" t="s">
        <v>4</v>
      </c>
      <c r="B16" t="s">
        <v>55</v>
      </c>
      <c r="C16">
        <v>1</v>
      </c>
      <c r="E16" t="s">
        <v>19</v>
      </c>
      <c r="F16" t="s">
        <v>3</v>
      </c>
      <c r="G16" t="str">
        <f>G6</f>
        <v>e_w90842395-400_FRA</v>
      </c>
      <c r="J16" t="s">
        <v>19</v>
      </c>
      <c r="N16">
        <v>1</v>
      </c>
    </row>
    <row r="17" spans="1:20">
      <c r="A17" t="s">
        <v>56</v>
      </c>
      <c r="B17" t="s">
        <v>57</v>
      </c>
    </row>
    <row r="18" spans="1:20">
      <c r="A18" t="s">
        <v>58</v>
      </c>
      <c r="B18" t="s">
        <v>59</v>
      </c>
      <c r="S18" s="1">
        <f>SUM(K12:S16)</f>
        <v>8</v>
      </c>
      <c r="T18" s="2" t="s">
        <v>20</v>
      </c>
    </row>
    <row r="19" spans="1:20">
      <c r="A19" t="s">
        <v>60</v>
      </c>
      <c r="B19" t="s">
        <v>61</v>
      </c>
    </row>
    <row r="20" spans="1:20">
      <c r="A20" t="s">
        <v>62</v>
      </c>
      <c r="B20" t="s">
        <v>63</v>
      </c>
      <c r="J20" t="s">
        <v>27</v>
      </c>
    </row>
    <row r="21" spans="1:20">
      <c r="A21" t="s">
        <v>5</v>
      </c>
      <c r="B21" t="s">
        <v>64</v>
      </c>
      <c r="J21" t="s">
        <v>0</v>
      </c>
      <c r="K21">
        <v>2025</v>
      </c>
      <c r="L21">
        <v>0</v>
      </c>
    </row>
    <row r="22" spans="1:20">
      <c r="A22" t="s">
        <v>65</v>
      </c>
      <c r="B22" t="s">
        <v>66</v>
      </c>
      <c r="J22" t="s">
        <v>15</v>
      </c>
      <c r="K22">
        <v>0.85</v>
      </c>
      <c r="L22">
        <v>3</v>
      </c>
    </row>
    <row r="23" spans="1:20">
      <c r="A23" t="s">
        <v>67</v>
      </c>
      <c r="B23" t="s">
        <v>68</v>
      </c>
      <c r="J23" t="s">
        <v>16</v>
      </c>
      <c r="K23">
        <v>0.85</v>
      </c>
      <c r="L23">
        <v>3</v>
      </c>
    </row>
    <row r="24" spans="1:20">
      <c r="A24" t="s">
        <v>69</v>
      </c>
      <c r="B24" t="s">
        <v>70</v>
      </c>
      <c r="J24" t="s">
        <v>17</v>
      </c>
      <c r="K24">
        <v>0.85</v>
      </c>
      <c r="L24">
        <v>3</v>
      </c>
    </row>
    <row r="25" spans="1:20">
      <c r="A25" t="s">
        <v>12</v>
      </c>
      <c r="B25" t="s">
        <v>71</v>
      </c>
      <c r="J25" t="s">
        <v>18</v>
      </c>
      <c r="K25">
        <v>0.85</v>
      </c>
      <c r="L25">
        <v>3</v>
      </c>
    </row>
    <row r="26" spans="1:20">
      <c r="A26" t="s">
        <v>72</v>
      </c>
      <c r="B26" t="s">
        <v>73</v>
      </c>
      <c r="J26" t="s">
        <v>19</v>
      </c>
      <c r="K26">
        <v>0.85</v>
      </c>
      <c r="L26">
        <v>3</v>
      </c>
    </row>
    <row r="27" spans="1:20">
      <c r="A27" t="s">
        <v>74</v>
      </c>
      <c r="B27" t="s">
        <v>75</v>
      </c>
    </row>
  </sheetData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2026-07-29T08:27:43Z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