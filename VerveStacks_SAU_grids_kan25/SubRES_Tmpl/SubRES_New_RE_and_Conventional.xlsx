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SubRES_Tmpl\"/>
    </mc:Choice>
  </mc:AlternateContent>
  <xr:revisionPtr revIDLastSave="0" documentId="8_{C80CC3F1-3BE5-4117-AF70-8B30EB461AA9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<sst xmlns="http://schemas.openxmlformats.org/spreadsheetml/2006/main" count="3513" uniqueCount="943">
  <si>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</si>
  <si>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</si>
  <si>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</si>
  <si>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</si>
  <si>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</si>
  <si>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</si>
  <si>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</si>
  <si>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</si>
  <si>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</si>
  <si>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</si>
  <si>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</si>
  <si>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</si>
  <si>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</si>
  <si>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</si>
  <si>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</si>
  <si>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</si>
  <si>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</si>
  <si>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</si>
  <si>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</si>
  <si>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</si>
  <si>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</si>
  <si>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</si>
  <si>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</si>
  <si>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</si>
  <si>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</si>
  <si>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</si>
  <si>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</si>
  <si>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</si>
  <si>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</si>
  <si>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</si>
  <si>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</si>
  <si>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</si>
  <si>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</si>
  <si>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</si>
  <si>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</si>
  <si>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</si>
  <si>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</si>
  <si>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</si>
  <si>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</si>
  <si>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</si>
  <si>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</si>
  <si>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</si>
  <si>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</si>
  <si>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</si>
  <si>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</si>
  <si>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</si>
  <si>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</si>
  <si>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</si>
  <si>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</si>
  <si>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</si>
  <si>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</si>
  <si>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</si>
  <si>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</si>
  <si>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</si>
  <si>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</si>
  <si>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</si>
  <si>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</si>
  <si>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</si>
  <si>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</si>
  <si>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</si>
  <si>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</si>
  <si>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</si>
  <si>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</si>
  <si>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</si>
  <si>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</si>
  <si>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</si>
  <si>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</si>
  <si>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</si>
  <si>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</si>
  <si>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</si>
  <si>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</si>
  <si>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</si>
  <si>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</si>
  <si>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</si>
  <si>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</si>
  <si>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</si>
  <si>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</si>
  <si>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</si>
  <si>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</si>
  <si>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</si>
  <si>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</si>
  <si>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</si>
  <si>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</si>
  <si>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</si>
  <si>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</si>
  <si>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</si>
  <si>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</si>
  <si>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</si>
  <si>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</si>
  <si>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</si>
  <si>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</si>
  <si>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</si>
  <si>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</si>
  <si>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</si>
  <si>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</si>
  <si>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</si>
  <si>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</si>
  <si>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</si>
  <si>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</si>
  <si>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</si>
  <si>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</si>
  <si>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</si>
  <si>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</si>
  <si>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</si>
  <si>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</si>
  <si>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</si>
  <si>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</si>
  <si>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</si>
  <si>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</si>
  <si>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</si>
  <si>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</si>
  <si>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</si>
  <si>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</si>
  <si>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</si>
  <si>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</si>
  <si>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</si>
  <si>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</si>
  <si>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</si>
  <si>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</si>
  <si>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</si>
  <si>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</si>
  <si>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</si>
  <si>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</si>
  <si>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</si>
  <si>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</si>
  <si>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</si>
  <si>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</si>
  <si>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</si>
  <si>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</si>
  <si>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</si>
  <si>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</si>
  <si>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</si>
  <si>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</si>
  <si>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</si>
  <si>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</si>
  <si>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</si>
  <si>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</si>
  <si>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</si>
  <si>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</si>
  <si>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</si>
  <si>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</si>
  <si>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</si>
  <si>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</si>
  <si>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</si>
  <si>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</si>
  <si>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</si>
  <si>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</si>
  <si>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</si>
  <si>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</si>
  <si>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</si>
  <si>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</si>
  <si>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</si>
  <si>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</si>
  <si>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</si>
  <si>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</si>
  <si>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</si>
  <si>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</si>
  <si>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</si>
  <si>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</si>
  <si>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</si>
  <si>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</si>
  <si>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</si>
  <si>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</si>
  <si>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</si>
  <si>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</si>
  <si>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</si>
  <si>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</si>
  <si>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</si>
  <si>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</si>
  <si>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</si>
  <si>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</si>
  <si>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</si>
  <si>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</si>
  <si>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e_spv_SAU_001</t>
  </si>
  <si>
    <t>solar resource in cluster 1</t>
  </si>
  <si>
    <t>annual</t>
  </si>
  <si>
    <t>no</t>
  </si>
  <si>
    <t>e_spv_SAU_002</t>
  </si>
  <si>
    <t>solar resource in cluster 2</t>
  </si>
  <si>
    <t>e_spv_SAU_003</t>
  </si>
  <si>
    <t>solar resource in cluster 3</t>
  </si>
  <si>
    <t>e_spv_SAU_004</t>
  </si>
  <si>
    <t>solar resource in cluster 4</t>
  </si>
  <si>
    <t>e_spv_SAU_005</t>
  </si>
  <si>
    <t>solar resource in cluster 5</t>
  </si>
  <si>
    <t>e_spv_SAU_006</t>
  </si>
  <si>
    <t>solar resource in cluster 6</t>
  </si>
  <si>
    <t>e_spv_SAU_007</t>
  </si>
  <si>
    <t>solar resource in cluster 7</t>
  </si>
  <si>
    <t>e_spv_SAU_008</t>
  </si>
  <si>
    <t>solar resource in cluster 8</t>
  </si>
  <si>
    <t>e_spv_SAU_009</t>
  </si>
  <si>
    <t>solar resource in cluster 9</t>
  </si>
  <si>
    <t>e_spv_SAU_010</t>
  </si>
  <si>
    <t>solar resource in cluster 10</t>
  </si>
  <si>
    <t>e_spv_SAU_011</t>
  </si>
  <si>
    <t>solar resource in cluster 11</t>
  </si>
  <si>
    <t>e_spv_SAU_012</t>
  </si>
  <si>
    <t>solar resource in cluster 12</t>
  </si>
  <si>
    <t>e_spv_SAU_013</t>
  </si>
  <si>
    <t>solar resource in cluster 13</t>
  </si>
  <si>
    <t>e_spv_SAU_014</t>
  </si>
  <si>
    <t>solar resource in cluster 14</t>
  </si>
  <si>
    <t>e_spv_SAU_015</t>
  </si>
  <si>
    <t>solar resource in cluster 15</t>
  </si>
  <si>
    <t>e_spv_SAU_016</t>
  </si>
  <si>
    <t>solar resource in cluster 16</t>
  </si>
  <si>
    <t>e_spv_SAU_017</t>
  </si>
  <si>
    <t>solar resource in cluster 17</t>
  </si>
  <si>
    <t>e_spv_SAU_018</t>
  </si>
  <si>
    <t>solar resource in cluster 18</t>
  </si>
  <si>
    <t>e_spv_SAU_019</t>
  </si>
  <si>
    <t>solar resource in cluster 19</t>
  </si>
  <si>
    <t>e_spv_SAU_020</t>
  </si>
  <si>
    <t>solar resource in cluster 20</t>
  </si>
  <si>
    <t>e_spv_SAU_021</t>
  </si>
  <si>
    <t>solar resource in cluster 21</t>
  </si>
  <si>
    <t>e_spv_SAU_022</t>
  </si>
  <si>
    <t>solar resource in cluster 22</t>
  </si>
  <si>
    <t>e_spv_SAU_023</t>
  </si>
  <si>
    <t>solar resource in cluster 23</t>
  </si>
  <si>
    <t>e_spv_SAU_024</t>
  </si>
  <si>
    <t>solar resource in cluster 24</t>
  </si>
  <si>
    <t>e_spv_SAU_025</t>
  </si>
  <si>
    <t>solar resource in cluster 25</t>
  </si>
  <si>
    <t>e_spv_SAU_026</t>
  </si>
  <si>
    <t>solar resource in cluster 26</t>
  </si>
  <si>
    <t>e_spv_SAU_027</t>
  </si>
  <si>
    <t>solar resource in cluster 27</t>
  </si>
  <si>
    <t>e_spv_SAU_028</t>
  </si>
  <si>
    <t>solar resource in cluster 28</t>
  </si>
  <si>
    <t>e_spv_SAU_029</t>
  </si>
  <si>
    <t>solar resource in cluster 29</t>
  </si>
  <si>
    <t>e_spv_SAU_030</t>
  </si>
  <si>
    <t>solar resource in cluster 30</t>
  </si>
  <si>
    <t>e_spv_SAU_031</t>
  </si>
  <si>
    <t>solar resource in cluster 31</t>
  </si>
  <si>
    <t>e_spv_SAU_032</t>
  </si>
  <si>
    <t>solar resource in cluster 32</t>
  </si>
  <si>
    <t>e_spv_SAU_033</t>
  </si>
  <si>
    <t>solar resource in cluster 33</t>
  </si>
  <si>
    <t>e_spv_SAU_034</t>
  </si>
  <si>
    <t>solar resource in cluster 34</t>
  </si>
  <si>
    <t>e_spv_SAU_035</t>
  </si>
  <si>
    <t>solar resource in cluster 35</t>
  </si>
  <si>
    <t>e_spv_SAU_036</t>
  </si>
  <si>
    <t>solar resource in cluster 36</t>
  </si>
  <si>
    <t>e_spv_SAU_037</t>
  </si>
  <si>
    <t>solar resource in cluster 37</t>
  </si>
  <si>
    <t>e_spv_SAU_038</t>
  </si>
  <si>
    <t>solar resource in cluster 38</t>
  </si>
  <si>
    <t>e_spv_SAU_039</t>
  </si>
  <si>
    <t>solar resource in cluster 39</t>
  </si>
  <si>
    <t>e_spv_SAU_040</t>
  </si>
  <si>
    <t>solar resource in cluster 40</t>
  </si>
  <si>
    <t>e_spv_SAU_041</t>
  </si>
  <si>
    <t>solar resource in cluster 41</t>
  </si>
  <si>
    <t>e_spv_SAU_042</t>
  </si>
  <si>
    <t>solar resource in cluster 42</t>
  </si>
  <si>
    <t>e_spv_SAU_043</t>
  </si>
  <si>
    <t>solar resource in cluster 43</t>
  </si>
  <si>
    <t>e_spv_SAU_044</t>
  </si>
  <si>
    <t>solar resource in cluster 44</t>
  </si>
  <si>
    <t>e_spv_SAU_045</t>
  </si>
  <si>
    <t>solar resource in cluster 45</t>
  </si>
  <si>
    <t>e_spv_SAU_046</t>
  </si>
  <si>
    <t>solar resource in cluster 46</t>
  </si>
  <si>
    <t>e_spv_SAU_047</t>
  </si>
  <si>
    <t>solar resource in cluster 47</t>
  </si>
  <si>
    <t>e_spv_SAU_048</t>
  </si>
  <si>
    <t>solar resource in cluster 48</t>
  </si>
  <si>
    <t>e_spv_SAU_049</t>
  </si>
  <si>
    <t>solar resource in cluster 49</t>
  </si>
  <si>
    <t>e_spv_SAU_050</t>
  </si>
  <si>
    <t>solar resource in cluster 50</t>
  </si>
  <si>
    <t>e_spv_SAU_051</t>
  </si>
  <si>
    <t>solar resource in cluster 51</t>
  </si>
  <si>
    <t>e_spv_SAU_052</t>
  </si>
  <si>
    <t>solar resource in cluster 52</t>
  </si>
  <si>
    <t>e_spv_SAU_053</t>
  </si>
  <si>
    <t>solar resource in cluster 53</t>
  </si>
  <si>
    <t>e_spv_SAU_054</t>
  </si>
  <si>
    <t>solar resource in cluster 54</t>
  </si>
  <si>
    <t>e_spv_SAU_055</t>
  </si>
  <si>
    <t>solar resource in cluster 55</t>
  </si>
  <si>
    <t>e_spv_SAU_056</t>
  </si>
  <si>
    <t>solar resource in cluster 56</t>
  </si>
  <si>
    <t>e_spv_SAU_057</t>
  </si>
  <si>
    <t>solar resource in cluster 57</t>
  </si>
  <si>
    <t>e_spv_SAU_058</t>
  </si>
  <si>
    <t>solar resource in cluster 58</t>
  </si>
  <si>
    <t>e_spv_SAU_059</t>
  </si>
  <si>
    <t>solar resource in cluster 59</t>
  </si>
  <si>
    <t>~fi_t</t>
  </si>
  <si>
    <t>comm-out</t>
  </si>
  <si>
    <t>cap_bnd</t>
  </si>
  <si>
    <t>af~fx</t>
  </si>
  <si>
    <t>elc_spv_SAU_001</t>
  </si>
  <si>
    <t>elc_spv_SAU_002</t>
  </si>
  <si>
    <t>elc_spv_SAU_003</t>
  </si>
  <si>
    <t>elc_spv_SAU_004</t>
  </si>
  <si>
    <t>elc_spv_SAU_005</t>
  </si>
  <si>
    <t>elc_spv_SAU_006</t>
  </si>
  <si>
    <t>elc_spv_SAU_007</t>
  </si>
  <si>
    <t>elc_spv_SAU_008</t>
  </si>
  <si>
    <t>elc_spv_SAU_009</t>
  </si>
  <si>
    <t>elc_spv_SAU_010</t>
  </si>
  <si>
    <t>elc_spv_SAU_011</t>
  </si>
  <si>
    <t>elc_spv_SAU_012</t>
  </si>
  <si>
    <t>elc_spv_SAU_013</t>
  </si>
  <si>
    <t>elc_spv_SAU_014</t>
  </si>
  <si>
    <t>elc_spv_SAU_015</t>
  </si>
  <si>
    <t>elc_spv_SAU_016</t>
  </si>
  <si>
    <t>elc_spv_SAU_017</t>
  </si>
  <si>
    <t>elc_spv_SAU_018</t>
  </si>
  <si>
    <t>elc_spv_SAU_019</t>
  </si>
  <si>
    <t>elc_spv_SAU_020</t>
  </si>
  <si>
    <t>elc_spv_SAU_021</t>
  </si>
  <si>
    <t>elc_spv_SAU_022</t>
  </si>
  <si>
    <t>elc_spv_SAU_023</t>
  </si>
  <si>
    <t>elc_spv_SAU_024</t>
  </si>
  <si>
    <t>elc_spv_SAU_025</t>
  </si>
  <si>
    <t>elc_spv_SAU_026</t>
  </si>
  <si>
    <t>elc_spv_SAU_027</t>
  </si>
  <si>
    <t>elc_spv_SAU_028</t>
  </si>
  <si>
    <t>elc_spv_SAU_029</t>
  </si>
  <si>
    <t>elc_spv_SAU_030</t>
  </si>
  <si>
    <t>elc_spv_SAU_031</t>
  </si>
  <si>
    <t>elc_spv_SAU_032</t>
  </si>
  <si>
    <t>elc_spv_SAU_033</t>
  </si>
  <si>
    <t>elc_spv_SAU_034</t>
  </si>
  <si>
    <t>elc_spv_SAU_035</t>
  </si>
  <si>
    <t>elc_spv_SAU_036</t>
  </si>
  <si>
    <t>elc_spv_SAU_037</t>
  </si>
  <si>
    <t>elc_spv_SAU_038</t>
  </si>
  <si>
    <t>elc_spv_SAU_039</t>
  </si>
  <si>
    <t>elc_spv_SAU_040</t>
  </si>
  <si>
    <t>elc_spv_SAU_041</t>
  </si>
  <si>
    <t>elc_spv_SAU_042</t>
  </si>
  <si>
    <t>elc_spv_SAU_043</t>
  </si>
  <si>
    <t>elc_spv_SAU_044</t>
  </si>
  <si>
    <t>elc_spv_SAU_045</t>
  </si>
  <si>
    <t>elc_spv_SAU_046</t>
  </si>
  <si>
    <t>elc_spv_SAU_047</t>
  </si>
  <si>
    <t>elc_spv_SAU_048</t>
  </si>
  <si>
    <t>elc_spv_SAU_049</t>
  </si>
  <si>
    <t>elc_spv_SAU_050</t>
  </si>
  <si>
    <t>elc_spv_SAU_051</t>
  </si>
  <si>
    <t>elc_spv_SAU_052</t>
  </si>
  <si>
    <t>elc_spv_SAU_053</t>
  </si>
  <si>
    <t>elc_spv_SAU_054</t>
  </si>
  <si>
    <t>elc_spv_SAU_055</t>
  </si>
  <si>
    <t>elc_spv_SAU_056</t>
  </si>
  <si>
    <t>elc_spv_SAU_057</t>
  </si>
  <si>
    <t>elc_spv_SAU_058</t>
  </si>
  <si>
    <t>elc_spv_SAU_059</t>
  </si>
  <si>
    <t>primarycg</t>
  </si>
  <si>
    <t>pre</t>
  </si>
  <si>
    <t>distr_solelc_spv_SAU_003</t>
  </si>
  <si>
    <t>connecting solar to buses in cluster 3</t>
  </si>
  <si>
    <t>NRGI</t>
  </si>
  <si>
    <t>daynite</t>
  </si>
  <si>
    <t>distr_solelc_spv_SAU_031</t>
  </si>
  <si>
    <t>connecting solar to buses in cluster 31</t>
  </si>
  <si>
    <t>distr_solelc_spv_SAU_033</t>
  </si>
  <si>
    <t>connecting solar to buses in cluster 33</t>
  </si>
  <si>
    <t>distr_solelc_spv_SAU_016</t>
  </si>
  <si>
    <t>connecting solar to buses in cluster 16</t>
  </si>
  <si>
    <t>distr_solelc_spv_SAU_001</t>
  </si>
  <si>
    <t>connecting solar to buses in cluster 1</t>
  </si>
  <si>
    <t>distr_solelc_spv_SAU_041</t>
  </si>
  <si>
    <t>connecting solar to buses in cluster 41</t>
  </si>
  <si>
    <t>distr_solelc_spv_SAU_057</t>
  </si>
  <si>
    <t>connecting solar to buses in cluster 57</t>
  </si>
  <si>
    <t>distr_solelc_spv_SAU_010</t>
  </si>
  <si>
    <t>connecting solar to buses in cluster 10</t>
  </si>
  <si>
    <t>distr_solelc_spv_SAU_042</t>
  </si>
  <si>
    <t>connecting solar to buses in cluster 42</t>
  </si>
  <si>
    <t>distr_solelc_spv_SAU_026</t>
  </si>
  <si>
    <t>connecting solar to buses in cluster 26</t>
  </si>
  <si>
    <t>distr_solelc_spv_SAU_056</t>
  </si>
  <si>
    <t>connecting solar to buses in cluster 56</t>
  </si>
  <si>
    <t>distr_solelc_spv_SAU_037</t>
  </si>
  <si>
    <t>connecting solar to buses in cluster 37</t>
  </si>
  <si>
    <t>distr_solelc_spv_SAU_047</t>
  </si>
  <si>
    <t>connecting solar to buses in cluster 47</t>
  </si>
  <si>
    <t>distr_solelc_spv_SAU_004</t>
  </si>
  <si>
    <t>connecting solar to buses in cluster 4</t>
  </si>
  <si>
    <t>distr_solelc_spv_SAU_015</t>
  </si>
  <si>
    <t>connecting solar to buses in cluster 15</t>
  </si>
  <si>
    <t>distr_solelc_spv_SAU_006</t>
  </si>
  <si>
    <t>connecting solar to buses in cluster 6</t>
  </si>
  <si>
    <t>distr_solelc_spv_SAU_044</t>
  </si>
  <si>
    <t>connecting solar to buses in cluster 44</t>
  </si>
  <si>
    <t>distr_solelc_spv_SAU_049</t>
  </si>
  <si>
    <t>connecting solar to buses in cluster 49</t>
  </si>
  <si>
    <t>distr_solelc_spv_SAU_017</t>
  </si>
  <si>
    <t>connecting solar to buses in cluster 17</t>
  </si>
  <si>
    <t>distr_solelc_spv_SAU_008</t>
  </si>
  <si>
    <t>connecting solar to buses in cluster 8</t>
  </si>
  <si>
    <t>distr_solelc_spv_SAU_013</t>
  </si>
  <si>
    <t>connecting solar to buses in cluster 13</t>
  </si>
  <si>
    <t>distr_solelc_spv_SAU_040</t>
  </si>
  <si>
    <t>connecting solar to buses in cluster 40</t>
  </si>
  <si>
    <t>distr_solelc_spv_SAU_024</t>
  </si>
  <si>
    <t>connecting solar to buses in cluster 24</t>
  </si>
  <si>
    <t>distr_solelc_spv_SAU_020</t>
  </si>
  <si>
    <t>connecting solar to buses in cluster 20</t>
  </si>
  <si>
    <t>distr_solelc_spv_SAU_046</t>
  </si>
  <si>
    <t>connecting solar to buses in cluster 46</t>
  </si>
  <si>
    <t>distr_solelc_spv_SAU_050</t>
  </si>
  <si>
    <t>connecting solar to buses in cluster 50</t>
  </si>
  <si>
    <t>distr_solelc_spv_SAU_012</t>
  </si>
  <si>
    <t>connecting solar to buses in cluster 12</t>
  </si>
  <si>
    <t>distr_solelc_spv_SAU_019</t>
  </si>
  <si>
    <t>connecting solar to buses in cluster 19</t>
  </si>
  <si>
    <t>distr_solelc_spv_SAU_021</t>
  </si>
  <si>
    <t>connecting solar to buses in cluster 21</t>
  </si>
  <si>
    <t>distr_solelc_spv_SAU_032</t>
  </si>
  <si>
    <t>connecting solar to buses in cluster 32</t>
  </si>
  <si>
    <t>distr_solelc_spv_SAU_030</t>
  </si>
  <si>
    <t>connecting solar to buses in cluster 30</t>
  </si>
  <si>
    <t>distr_solelc_spv_SAU_053</t>
  </si>
  <si>
    <t>connecting solar to buses in cluster 53</t>
  </si>
  <si>
    <t>distr_solelc_spv_SAU_051</t>
  </si>
  <si>
    <t>connecting solar to buses in cluster 51</t>
  </si>
  <si>
    <t>distr_solelc_spv_SAU_048</t>
  </si>
  <si>
    <t>connecting solar to buses in cluster 48</t>
  </si>
  <si>
    <t>distr_solelc_spv_SAU_009</t>
  </si>
  <si>
    <t>connecting solar to buses in cluster 9</t>
  </si>
  <si>
    <t>distr_solelc_spv_SAU_043</t>
  </si>
  <si>
    <t>connecting solar to buses in cluster 43</t>
  </si>
  <si>
    <t>distr_solelc_spv_SAU_023</t>
  </si>
  <si>
    <t>connecting solar to buses in cluster 23</t>
  </si>
  <si>
    <t>distr_solelc_spv_SAU_036</t>
  </si>
  <si>
    <t>connecting solar to buses in cluster 36</t>
  </si>
  <si>
    <t>distr_solelc_spv_SAU_034</t>
  </si>
  <si>
    <t>connecting solar to buses in cluster 34</t>
  </si>
  <si>
    <t>distr_solelc_spv_SAU_011</t>
  </si>
  <si>
    <t>connecting solar to buses in cluster 11</t>
  </si>
  <si>
    <t>distr_solelc_spv_SAU_005</t>
  </si>
  <si>
    <t>connecting solar to buses in cluster 5</t>
  </si>
  <si>
    <t>distr_solelc_spv_SAU_007</t>
  </si>
  <si>
    <t>connecting solar to buses in cluster 7</t>
  </si>
  <si>
    <t>distr_solelc_spv_SAU_029</t>
  </si>
  <si>
    <t>connecting solar to buses in cluster 29</t>
  </si>
  <si>
    <t>distr_solelc_spv_SAU_058</t>
  </si>
  <si>
    <t>connecting solar to buses in cluster 58</t>
  </si>
  <si>
    <t>distr_solelc_spv_SAU_002</t>
  </si>
  <si>
    <t>connecting solar to buses in cluster 2</t>
  </si>
  <si>
    <t>distr_solelc_spv_SAU_045</t>
  </si>
  <si>
    <t>connecting solar to buses in cluster 45</t>
  </si>
  <si>
    <t>distr_solelc_spv_SAU_014</t>
  </si>
  <si>
    <t>connecting solar to buses in cluster 14</t>
  </si>
  <si>
    <t>distr_solelc_spv_SAU_018</t>
  </si>
  <si>
    <t>connecting solar to buses in cluster 18</t>
  </si>
  <si>
    <t>distr_solelc_spv_SAU_039</t>
  </si>
  <si>
    <t>connecting solar to buses in cluster 39</t>
  </si>
  <si>
    <t>distr_solelc_spv_SAU_038</t>
  </si>
  <si>
    <t>connecting solar to buses in cluster 38</t>
  </si>
  <si>
    <t>distr_solelc_spv_SAU_025</t>
  </si>
  <si>
    <t>connecting solar to buses in cluster 25</t>
  </si>
  <si>
    <t>distr_solelc_spv_SAU_052</t>
  </si>
  <si>
    <t>connecting solar to buses in cluster 52</t>
  </si>
  <si>
    <t>distr_solelc_spv_SAU_054</t>
  </si>
  <si>
    <t>connecting solar to buses in cluster 54</t>
  </si>
  <si>
    <t>distr_solelc_spv_SAU_022</t>
  </si>
  <si>
    <t>connecting solar to buses in cluster 22</t>
  </si>
  <si>
    <t>distr_solelc_spv_SAU_028</t>
  </si>
  <si>
    <t>connecting solar to buses in cluster 28</t>
  </si>
  <si>
    <t>distr_solelc_spv_SAU_035</t>
  </si>
  <si>
    <t>connecting solar to buses in cluster 35</t>
  </si>
  <si>
    <t>distr_solelc_spv_SAU_059</t>
  </si>
  <si>
    <t>connecting solar to buses in cluster 59</t>
  </si>
  <si>
    <t>distr_solelc_spv_SAU_027</t>
  </si>
  <si>
    <t>connecting solar to buses in cluster 27</t>
  </si>
  <si>
    <t>distr_solelc_spv_SAU_055</t>
  </si>
  <si>
    <t>connecting solar to buses in cluster 55</t>
  </si>
  <si>
    <t>comm-in</t>
  </si>
  <si>
    <t>ncap_cost~USD21_alt</t>
  </si>
  <si>
    <t>e_w203627872-380_SAU,e_w115168488-380_SAU,e_w204824991-380_SAU</t>
  </si>
  <si>
    <t>e_w204824991-380_SAU,e_w586137460-380_SAU,e_w899264357-380_SAU</t>
  </si>
  <si>
    <t>e_w586137460-380_SAU</t>
  </si>
  <si>
    <t>e_w582073817-380_SAU,e_w818080067-380_SAU</t>
  </si>
  <si>
    <t>e_w115168488-380_SAU,e_w524688755-380_SAU,e_w524938770-380_SAU,e_w203627872-380_SAU,e_w1317464635-380_SAU</t>
  </si>
  <si>
    <t>e_w820233467-380_SAU</t>
  </si>
  <si>
    <t>e_w207785816-380_SAU,e_w900157271-380_SAU,e_w198144511-230_SAU</t>
  </si>
  <si>
    <t>e_SA12-380_SAU</t>
  </si>
  <si>
    <t>e_w115168488-380_SAU,e_w204824991-380_SAU</t>
  </si>
  <si>
    <t>e_w597093579-380_SAU,e_w198144511-230_SAU</t>
  </si>
  <si>
    <t>e_w198144511-230_SAU,e_w900157271-380_SAU</t>
  </si>
  <si>
    <t>e_w586137460-380_SAU,e_w900157271-380_SAU</t>
  </si>
  <si>
    <t>e_w818155745-380_SAU,e_w524938770-380_SAU</t>
  </si>
  <si>
    <t>e_w1317464635-380_SAU,e_w115168488-380_SAU,e_w524688755-380_SAU</t>
  </si>
  <si>
    <t>e_w899264357-380_SAU</t>
  </si>
  <si>
    <t>e_w900157271-380_SAU</t>
  </si>
  <si>
    <t>e_w582073817-380_SAU,e_SA4-380_SAU</t>
  </si>
  <si>
    <t>e_w820233467-380_SAU,e_w204824991-380_SAU</t>
  </si>
  <si>
    <t>e_w181132741-380_SAU</t>
  </si>
  <si>
    <t>e_SA4-380_SAU,e_w818080067-380_SAU</t>
  </si>
  <si>
    <t>e_w586137460-380_SAU,e_w207785816-380_SAU</t>
  </si>
  <si>
    <t>e_SA12-380_SAU,e_SA4-380_SAU,e_w582073817-380_SAU</t>
  </si>
  <si>
    <t>e_w181132741-380_SAU,e_SA4-380_SAU</t>
  </si>
  <si>
    <t>e_w181132741-380_SAU,e_w899264357-380_SAU,e_w597093579-380_SAU</t>
  </si>
  <si>
    <t>e_w899264357-380_SAU,e_w586137460-380_SAU,e_w207785816-380_SAU</t>
  </si>
  <si>
    <t>e_w207785816-380_SAU</t>
  </si>
  <si>
    <t>e_w207785816-380_SAU,e_w900157271-380_SAU</t>
  </si>
  <si>
    <t>e_w818155745-380_SAU,e_SA12-380_SAU</t>
  </si>
  <si>
    <t>e_w204824991-380_SAU,e_w203627872-380_SAU,e_w115168488-380_SAU</t>
  </si>
  <si>
    <t>e_w1317464635-380_SAU,e_w181132741-380_SAU</t>
  </si>
  <si>
    <t>e_w204824991-380_SAU,e_w586137460-380_SAU</t>
  </si>
  <si>
    <t>e_w524938770-380_SAU,e_SA12-380_SAU,e_w1317464635-380_SAU</t>
  </si>
  <si>
    <t>e_w1317464635-380_SAU,e_SA4-380_SAU,e_w181132741-380_SAU</t>
  </si>
  <si>
    <t>e_w181132741-380_SAU,e_w597093579-380_SAU</t>
  </si>
  <si>
    <t>e_w899264357-380_SAU,e_w207785816-380_SAU</t>
  </si>
  <si>
    <t>e_w115168488-380_SAU</t>
  </si>
  <si>
    <t>e_w115168488-380_SAU,e_w1317464635-380_SAU,e_w181132741-380_SAU,e_w899264357-380_SAU</t>
  </si>
  <si>
    <t>e_SA12-380_SAU,e_w582073817-380_SAU</t>
  </si>
  <si>
    <t>e_w818080067-380_SAU,e_SA4-380_SAU</t>
  </si>
  <si>
    <t>e_w204824991-380_SAU,e_w820233467-380_SAU</t>
  </si>
  <si>
    <t>e_w586137460-380_SAU,e_w204824991-380_SAU</t>
  </si>
  <si>
    <t>e_w899264357-380_SAU,e_w900157271-380_SAU,e_w198144511-230_SAU</t>
  </si>
  <si>
    <t>e_w181132741-380_SAU,e_w899264357-380_SAU</t>
  </si>
  <si>
    <t>e_w181132741-380_SAU,e_SA4-380_SAU,e_w597093579-380_SAU</t>
  </si>
  <si>
    <t>e_w198144511-230_SAU</t>
  </si>
  <si>
    <t>distr_wonelc_won_SAU_006</t>
  </si>
  <si>
    <t>connecting wind onshore to buses in cluster 6</t>
  </si>
  <si>
    <t>distr_wonelc_won_SAU_028</t>
  </si>
  <si>
    <t>connecting wind onshore to buses in cluster 28</t>
  </si>
  <si>
    <t>distr_wonelc_won_SAU_042</t>
  </si>
  <si>
    <t>connecting wind onshore to buses in cluster 42</t>
  </si>
  <si>
    <t>distr_wonelc_won_SAU_035</t>
  </si>
  <si>
    <t>connecting wind onshore to buses in cluster 35</t>
  </si>
  <si>
    <t>distr_wonelc_won_SAU_020</t>
  </si>
  <si>
    <t>connecting wind onshore to buses in cluster 20</t>
  </si>
  <si>
    <t>distr_wonelc_won_SAU_014</t>
  </si>
  <si>
    <t>connecting wind onshore to buses in cluster 14</t>
  </si>
  <si>
    <t>distr_wonelc_won_SAU_056</t>
  </si>
  <si>
    <t>connecting wind onshore to buses in cluster 56</t>
  </si>
  <si>
    <t>distr_wonelc_won_SAU_043</t>
  </si>
  <si>
    <t>connecting wind onshore to buses in cluster 43</t>
  </si>
  <si>
    <t>distr_wonelc_won_SAU_036</t>
  </si>
  <si>
    <t>connecting wind onshore to buses in cluster 36</t>
  </si>
  <si>
    <t>distr_wonelc_won_SAU_037</t>
  </si>
  <si>
    <t>connecting wind onshore to buses in cluster 37</t>
  </si>
  <si>
    <t>distr_wonelc_won_SAU_052</t>
  </si>
  <si>
    <t>connecting wind onshore to buses in cluster 52</t>
  </si>
  <si>
    <t>distr_wonelc_won_SAU_016</t>
  </si>
  <si>
    <t>connecting wind onshore to buses in cluster 16</t>
  </si>
  <si>
    <t>distr_wonelc_won_SAU_033</t>
  </si>
  <si>
    <t>connecting wind onshore to buses in cluster 33</t>
  </si>
  <si>
    <t>distr_wonelc_won_SAU_034</t>
  </si>
  <si>
    <t>connecting wind onshore to buses in cluster 34</t>
  </si>
  <si>
    <t>distr_wonelc_won_SAU_048</t>
  </si>
  <si>
    <t>connecting wind onshore to buses in cluster 48</t>
  </si>
  <si>
    <t>distr_wonelc_won_SAU_021</t>
  </si>
  <si>
    <t>connecting wind onshore to buses in cluster 21</t>
  </si>
  <si>
    <t>distr_wonelc_won_SAU_024</t>
  </si>
  <si>
    <t>connecting wind onshore to buses in cluster 24</t>
  </si>
  <si>
    <t>distr_wonelc_won_SAU_008</t>
  </si>
  <si>
    <t>connecting wind onshore to buses in cluster 8</t>
  </si>
  <si>
    <t>distr_wonelc_won_SAU_005</t>
  </si>
  <si>
    <t>connecting wind onshore to buses in cluster 5</t>
  </si>
  <si>
    <t>distr_wonelc_won_SAU_045</t>
  </si>
  <si>
    <t>connecting wind onshore to buses in cluster 45</t>
  </si>
  <si>
    <t>distr_wonelc_won_SAU_057</t>
  </si>
  <si>
    <t>connecting wind onshore to buses in cluster 57</t>
  </si>
  <si>
    <t>distr_wonelc_won_SAU_054</t>
  </si>
  <si>
    <t>connecting wind onshore to buses in cluster 54</t>
  </si>
  <si>
    <t>distr_wonelc_won_SAU_017</t>
  </si>
  <si>
    <t>connecting wind onshore to buses in cluster 17</t>
  </si>
  <si>
    <t>distr_wonelc_won_SAU_041</t>
  </si>
  <si>
    <t>connecting wind onshore to buses in cluster 41</t>
  </si>
  <si>
    <t>distr_wonelc_won_SAU_015</t>
  </si>
  <si>
    <t>connecting wind onshore to buses in cluster 15</t>
  </si>
  <si>
    <t>distr_wonelc_won_SAU_022</t>
  </si>
  <si>
    <t>connecting wind onshore to buses in cluster 22</t>
  </si>
  <si>
    <t>distr_wonelc_won_SAU_046</t>
  </si>
  <si>
    <t>connecting wind onshore to buses in cluster 46</t>
  </si>
  <si>
    <t>distr_wonelc_won_SAU_051</t>
  </si>
  <si>
    <t>connecting wind onshore to buses in cluster 51</t>
  </si>
  <si>
    <t>distr_wonelc_won_SAU_053</t>
  </si>
  <si>
    <t>connecting wind onshore to buses in cluster 53</t>
  </si>
  <si>
    <t>distr_wonelc_won_SAU_002</t>
  </si>
  <si>
    <t>connecting wind onshore to buses in cluster 2</t>
  </si>
  <si>
    <t>distr_wonelc_won_SAU_027</t>
  </si>
  <si>
    <t>connecting wind onshore to buses in cluster 27</t>
  </si>
  <si>
    <t>distr_wonelc_won_SAU_023</t>
  </si>
  <si>
    <t>connecting wind onshore to buses in cluster 23</t>
  </si>
  <si>
    <t>distr_wonelc_won_SAU_049</t>
  </si>
  <si>
    <t>connecting wind onshore to buses in cluster 49</t>
  </si>
  <si>
    <t>distr_wonelc_won_SAU_019</t>
  </si>
  <si>
    <t>connecting wind onshore to buses in cluster 19</t>
  </si>
  <si>
    <t>distr_wonelc_won_SAU_038</t>
  </si>
  <si>
    <t>connecting wind onshore to buses in cluster 38</t>
  </si>
  <si>
    <t>distr_wonelc_won_SAU_013</t>
  </si>
  <si>
    <t>connecting wind onshore to buses in cluster 13</t>
  </si>
  <si>
    <t>distr_wonelc_won_SAU_004</t>
  </si>
  <si>
    <t>connecting wind onshore to buses in cluster 4</t>
  </si>
  <si>
    <t>distr_wonelc_won_SAU_003</t>
  </si>
  <si>
    <t>connecting wind onshore to buses in cluster 3</t>
  </si>
  <si>
    <t>distr_wonelc_won_SAU_009</t>
  </si>
  <si>
    <t>connecting wind onshore to buses in cluster 9</t>
  </si>
  <si>
    <t>distr_wonelc_won_SAU_047</t>
  </si>
  <si>
    <t>connecting wind onshore to buses in cluster 47</t>
  </si>
  <si>
    <t>distr_wonelc_won_SAU_039</t>
  </si>
  <si>
    <t>connecting wind onshore to buses in cluster 39</t>
  </si>
  <si>
    <t>distr_wonelc_won_SAU_007</t>
  </si>
  <si>
    <t>connecting wind onshore to buses in cluster 7</t>
  </si>
  <si>
    <t>distr_wonelc_won_SAU_018</t>
  </si>
  <si>
    <t>connecting wind onshore to buses in cluster 18</t>
  </si>
  <si>
    <t>distr_wonelc_won_SAU_001</t>
  </si>
  <si>
    <t>connecting wind onshore to buses in cluster 1</t>
  </si>
  <si>
    <t>distr_wonelc_won_SAU_029</t>
  </si>
  <si>
    <t>connecting wind onshore to buses in cluster 29</t>
  </si>
  <si>
    <t>distr_wonelc_won_SAU_050</t>
  </si>
  <si>
    <t>connecting wind onshore to buses in cluster 50</t>
  </si>
  <si>
    <t>distr_wonelc_won_SAU_055</t>
  </si>
  <si>
    <t>connecting wind onshore to buses in cluster 55</t>
  </si>
  <si>
    <t>distr_wonelc_won_SAU_010</t>
  </si>
  <si>
    <t>connecting wind onshore to buses in cluster 10</t>
  </si>
  <si>
    <t>distr_wonelc_won_SAU_044</t>
  </si>
  <si>
    <t>connecting wind onshore to buses in cluster 44</t>
  </si>
  <si>
    <t>distr_wonelc_won_SAU_030</t>
  </si>
  <si>
    <t>connecting wind onshore to buses in cluster 30</t>
  </si>
  <si>
    <t>distr_wonelc_won_SAU_026</t>
  </si>
  <si>
    <t>connecting wind onshore to buses in cluster 26</t>
  </si>
  <si>
    <t>distr_wonelc_won_SAU_032</t>
  </si>
  <si>
    <t>connecting wind onshore to buses in cluster 32</t>
  </si>
  <si>
    <t>distr_wonelc_won_SAU_025</t>
  </si>
  <si>
    <t>connecting wind onshore to buses in cluster 25</t>
  </si>
  <si>
    <t>distr_wonelc_won_SAU_031</t>
  </si>
  <si>
    <t>connecting wind onshore to buses in cluster 31</t>
  </si>
  <si>
    <t>distr_wonelc_won_SAU_040</t>
  </si>
  <si>
    <t>connecting wind onshore to buses in cluster 40</t>
  </si>
  <si>
    <t>distr_wonelc_won_SAU_011</t>
  </si>
  <si>
    <t>connecting wind onshore to buses in cluster 11</t>
  </si>
  <si>
    <t>distr_wonelc_won_SAU_012</t>
  </si>
  <si>
    <t>connecting wind onshore to buses in cluster 12</t>
  </si>
  <si>
    <t>elc_won_SAU_006</t>
  </si>
  <si>
    <t>elc_won_SAU_028</t>
  </si>
  <si>
    <t>e_w818155745-380_SAU,e_w524938770-380_SAU,e_SA12-380_SAU</t>
  </si>
  <si>
    <t>elc_won_SAU_042</t>
  </si>
  <si>
    <t>elc_won_SAU_035</t>
  </si>
  <si>
    <t>elc_won_SAU_020</t>
  </si>
  <si>
    <t>elc_won_SAU_014</t>
  </si>
  <si>
    <t>e_w207785816-380_SAU,e_w586137460-380_SAU</t>
  </si>
  <si>
    <t>elc_won_SAU_056</t>
  </si>
  <si>
    <t>elc_won_SAU_043</t>
  </si>
  <si>
    <t>elc_won_SAU_036</t>
  </si>
  <si>
    <t>elc_won_SAU_037</t>
  </si>
  <si>
    <t>e_w207785816-380_SAU,e_w899264357-380_SAU</t>
  </si>
  <si>
    <t>elc_won_SAU_052</t>
  </si>
  <si>
    <t>e_SA4-380_SAU,e_w181132741-380_SAU</t>
  </si>
  <si>
    <t>elc_won_SAU_016</t>
  </si>
  <si>
    <t>elc_won_SAU_033</t>
  </si>
  <si>
    <t>e_w818155745-380_SAU</t>
  </si>
  <si>
    <t>elc_won_SAU_034</t>
  </si>
  <si>
    <t>elc_won_SAU_048</t>
  </si>
  <si>
    <t>elc_won_SAU_021</t>
  </si>
  <si>
    <t>elc_won_SAU_024</t>
  </si>
  <si>
    <t>elc_won_SAU_008</t>
  </si>
  <si>
    <t>elc_won_SAU_005</t>
  </si>
  <si>
    <t>elc_won_SAU_045</t>
  </si>
  <si>
    <t>elc_won_SAU_057</t>
  </si>
  <si>
    <t>elc_won_SAU_054</t>
  </si>
  <si>
    <t>elc_won_SAU_017</t>
  </si>
  <si>
    <t>elc_won_SAU_041</t>
  </si>
  <si>
    <t>e_w115168488-380_SAU,e_w1317464635-380_SAU,e_w181132741-380_SAU,e_w204824991-380_SAU,e_w899264357-380_SAU</t>
  </si>
  <si>
    <t>elc_won_SAU_015</t>
  </si>
  <si>
    <t>e_w586137460-380_SAU,e_w207785816-380_SAU,e_w900157271-380_SAU</t>
  </si>
  <si>
    <t>elc_won_SAU_022</t>
  </si>
  <si>
    <t>e_w1317464635-380_SAU,e_w115168488-380_SAU,e_w524688755-380_SAU,e_w203627872-380_SAU,e_w204824991-380_SAU</t>
  </si>
  <si>
    <t>elc_won_SAU_046</t>
  </si>
  <si>
    <t>elc_won_SAU_051</t>
  </si>
  <si>
    <t>e_w582073817-380_SAU,e_w818080067-380_SAU,e_SA4-380_SAU</t>
  </si>
  <si>
    <t>elc_won_SAU_053</t>
  </si>
  <si>
    <t>e_SA4-380_SAU,e_w597093579-380_SAU</t>
  </si>
  <si>
    <t>elc_won_SAU_002</t>
  </si>
  <si>
    <t>elc_won_SAU_027</t>
  </si>
  <si>
    <t>e_w524938770-380_SAU,e_w115168488-380_SAU,e_w524688755-380_SAU</t>
  </si>
  <si>
    <t>elc_won_SAU_023</t>
  </si>
  <si>
    <t>e_w1317464635-380_SAU</t>
  </si>
  <si>
    <t>elc_won_SAU_049</t>
  </si>
  <si>
    <t>e_SA12-380_SAU,e_w582073817-380_SAU,e_SA4-380_SAU,e_w1317464635-380_SAU,e_w181132741-380_SAU</t>
  </si>
  <si>
    <t>elc_won_SAU_019</t>
  </si>
  <si>
    <t>elc_won_SAU_038</t>
  </si>
  <si>
    <t>e_w204824991-380_SAU,e_w899264357-380_SAU,e_w586137460-380_SAU,e_w207785816-380_SAU</t>
  </si>
  <si>
    <t>elc_won_SAU_013</t>
  </si>
  <si>
    <t>elc_won_SAU_004</t>
  </si>
  <si>
    <t>elc_won_SAU_003</t>
  </si>
  <si>
    <t>elc_won_SAU_009</t>
  </si>
  <si>
    <t>elc_won_SAU_047</t>
  </si>
  <si>
    <t>elc_won_SAU_039</t>
  </si>
  <si>
    <t>elc_won_SAU_007</t>
  </si>
  <si>
    <t>e_w899264357-380_SAU,e_w207785816-380_SAU,e_w597093579-380_SAU</t>
  </si>
  <si>
    <t>elc_won_SAU_018</t>
  </si>
  <si>
    <t>elc_won_SAU_001</t>
  </si>
  <si>
    <t>elc_won_SAU_029</t>
  </si>
  <si>
    <t>e_w524938770-380_SAU,e_SA12-380_SAU</t>
  </si>
  <si>
    <t>elc_won_SAU_050</t>
  </si>
  <si>
    <t>e_SA12-380_SAU,e_w582073817-380_SAU,e_SA4-380_SAU</t>
  </si>
  <si>
    <t>elc_won_SAU_055</t>
  </si>
  <si>
    <t>elc_won_SAU_010</t>
  </si>
  <si>
    <t>elc_won_SAU_044</t>
  </si>
  <si>
    <t>e_w818155745-380_SAU,e_SA12-380_SAU,e_w582073817-380_SAU</t>
  </si>
  <si>
    <t>elc_won_SAU_030</t>
  </si>
  <si>
    <t>e_SA12-380_SAU,e_w1317464635-380_SAU</t>
  </si>
  <si>
    <t>elc_won_SAU_026</t>
  </si>
  <si>
    <t>e_w524938770-380_SAU,e_w524688755-380_SAU</t>
  </si>
  <si>
    <t>elc_won_SAU_032</t>
  </si>
  <si>
    <t>e_w115168488-380_SAU,e_w203627872-380_SAU</t>
  </si>
  <si>
    <t>elc_won_SAU_025</t>
  </si>
  <si>
    <t>e_w524938770-380_SAU,e_w1317464635-380_SAU,e_w115168488-380_SAU,e_w524688755-380_SAU</t>
  </si>
  <si>
    <t>elc_won_SAU_031</t>
  </si>
  <si>
    <t>elc_won_SAU_040</t>
  </si>
  <si>
    <t>elc_won_SAU_011</t>
  </si>
  <si>
    <t>elc_won_SAU_012</t>
  </si>
  <si>
    <t>distr_wofelc_wof_SAU_006</t>
  </si>
  <si>
    <t>connecting wind offshore to buses in cluster 6</t>
  </si>
  <si>
    <t>distr_wofelc_wof_SAU_007</t>
  </si>
  <si>
    <t>connecting wind offshore to buses in cluster 7</t>
  </si>
  <si>
    <t>distr_wofelc_wof_SAU_008</t>
  </si>
  <si>
    <t>connecting wind offshore to buses in cluster 8</t>
  </si>
  <si>
    <t>distr_wofelc_wof_SAU_005</t>
  </si>
  <si>
    <t>connecting wind offshore to buses in cluster 5</t>
  </si>
  <si>
    <t>distr_wofelc_wof_SAU_004</t>
  </si>
  <si>
    <t>connecting wind offshore to buses in cluster 4</t>
  </si>
  <si>
    <t>distr_wofelc_wof_SAU_011</t>
  </si>
  <si>
    <t>connecting wind offshore to buses in cluster 11</t>
  </si>
  <si>
    <t>distr_wofelc_wof_SAU_009</t>
  </si>
  <si>
    <t>connecting wind offshore to buses in cluster 9</t>
  </si>
  <si>
    <t>distr_wofelc_wof_SAU_012</t>
  </si>
  <si>
    <t>connecting wind offshore to buses in cluster 12</t>
  </si>
  <si>
    <t>distr_wofelc_wof_SAU_015</t>
  </si>
  <si>
    <t>connecting wind offshore to buses in cluster 15</t>
  </si>
  <si>
    <t>distr_wofelc_wof_SAU_014</t>
  </si>
  <si>
    <t>connecting wind offshore to buses in cluster 14</t>
  </si>
  <si>
    <t>distr_wofelc_wof_SAU_001</t>
  </si>
  <si>
    <t>connecting wind offshore to buses in cluster 1</t>
  </si>
  <si>
    <t>distr_wofelc_wof_SAU_013</t>
  </si>
  <si>
    <t>connecting wind offshore to buses in cluster 13</t>
  </si>
  <si>
    <t>distr_wofelc_wof_SAU_003</t>
  </si>
  <si>
    <t>connecting wind offshore to buses in cluster 3</t>
  </si>
  <si>
    <t>distr_wofelc_wof_SAU_010</t>
  </si>
  <si>
    <t>connecting wind offshore to buses in cluster 10</t>
  </si>
  <si>
    <t>distr_wofelc_wof_SAU_002</t>
  </si>
  <si>
    <t>connecting wind offshore to buses in cluster 2</t>
  </si>
  <si>
    <t>elc_wof_SAU_006</t>
  </si>
  <si>
    <t>elc_wof_SAU_007</t>
  </si>
  <si>
    <t>e_w203627872-380_SAU</t>
  </si>
  <si>
    <t>elc_wof_SAU_008</t>
  </si>
  <si>
    <t>elc_wof_SAU_005</t>
  </si>
  <si>
    <t>elc_wof_SAU_004</t>
  </si>
  <si>
    <t>elc_wof_SAU_011</t>
  </si>
  <si>
    <t>e_w524688755-380_SAU,e_w524938770-380_SAU,e_w115168488-380_SAU</t>
  </si>
  <si>
    <t>elc_wof_SAU_009</t>
  </si>
  <si>
    <t>e_w115168488-380_SAU,e_w524688755-380_SAU</t>
  </si>
  <si>
    <t>elc_wof_SAU_012</t>
  </si>
  <si>
    <t>elc_wof_SAU_015</t>
  </si>
  <si>
    <t>elc_wof_SAU_014</t>
  </si>
  <si>
    <t>elc_wof_SAU_001</t>
  </si>
  <si>
    <t>e_w203627872-380_SAU,e_w820233467-380_SAU</t>
  </si>
  <si>
    <t>elc_wof_SAU_013</t>
  </si>
  <si>
    <t>e_w524938770-380_SAU</t>
  </si>
  <si>
    <t>elc_wof_SAU_003</t>
  </si>
  <si>
    <t>elc_wof_SAU_010</t>
  </si>
  <si>
    <t>elc_wof_SAU_002</t>
  </si>
  <si>
    <t>e_won_SAU_001</t>
  </si>
  <si>
    <t>wind resource in cluster 1</t>
  </si>
  <si>
    <t>e_won_SAU_002</t>
  </si>
  <si>
    <t>wind resource in cluster 2</t>
  </si>
  <si>
    <t>e_won_SAU_003</t>
  </si>
  <si>
    <t>wind resource in cluster 3</t>
  </si>
  <si>
    <t>e_won_SAU_004</t>
  </si>
  <si>
    <t>wind resource in cluster 4</t>
  </si>
  <si>
    <t>e_won_SAU_005</t>
  </si>
  <si>
    <t>wind resource in cluster 5</t>
  </si>
  <si>
    <t>e_won_SAU_006</t>
  </si>
  <si>
    <t>wind resource in cluster 6</t>
  </si>
  <si>
    <t>e_won_SAU_007</t>
  </si>
  <si>
    <t>wind resource in cluster 7</t>
  </si>
  <si>
    <t>e_won_SAU_008</t>
  </si>
  <si>
    <t>wind resource in cluster 8</t>
  </si>
  <si>
    <t>e_won_SAU_009</t>
  </si>
  <si>
    <t>wind resource in cluster 9</t>
  </si>
  <si>
    <t>e_won_SAU_010</t>
  </si>
  <si>
    <t>wind resource in cluster 10</t>
  </si>
  <si>
    <t>e_won_SAU_011</t>
  </si>
  <si>
    <t>wind resource in cluster 11</t>
  </si>
  <si>
    <t>e_won_SAU_012</t>
  </si>
  <si>
    <t>wind resource in cluster 12</t>
  </si>
  <si>
    <t>e_won_SAU_013</t>
  </si>
  <si>
    <t>wind resource in cluster 13</t>
  </si>
  <si>
    <t>e_won_SAU_014</t>
  </si>
  <si>
    <t>wind resource in cluster 14</t>
  </si>
  <si>
    <t>e_won_SAU_015</t>
  </si>
  <si>
    <t>wind resource in cluster 15</t>
  </si>
  <si>
    <t>e_won_SAU_016</t>
  </si>
  <si>
    <t>wind resource in cluster 16</t>
  </si>
  <si>
    <t>e_won_SAU_017</t>
  </si>
  <si>
    <t>wind resource in cluster 17</t>
  </si>
  <si>
    <t>e_won_SAU_018</t>
  </si>
  <si>
    <t>wind resource in cluster 18</t>
  </si>
  <si>
    <t>e_won_SAU_019</t>
  </si>
  <si>
    <t>wind resource in cluster 19</t>
  </si>
  <si>
    <t>e_won_SAU_020</t>
  </si>
  <si>
    <t>wind resource in cluster 20</t>
  </si>
  <si>
    <t>e_won_SAU_021</t>
  </si>
  <si>
    <t>wind resource in cluster 21</t>
  </si>
  <si>
    <t>e_won_SAU_022</t>
  </si>
  <si>
    <t>wind resource in cluster 22</t>
  </si>
  <si>
    <t>e_won_SAU_023</t>
  </si>
  <si>
    <t>wind resource in cluster 23</t>
  </si>
  <si>
    <t>e_won_SAU_024</t>
  </si>
  <si>
    <t>wind resource in cluster 24</t>
  </si>
  <si>
    <t>e_won_SAU_025</t>
  </si>
  <si>
    <t>wind resource in cluster 25</t>
  </si>
  <si>
    <t>e_won_SAU_026</t>
  </si>
  <si>
    <t>wind resource in cluster 26</t>
  </si>
  <si>
    <t>e_won_SAU_027</t>
  </si>
  <si>
    <t>wind resource in cluster 27</t>
  </si>
  <si>
    <t>e_won_SAU_028</t>
  </si>
  <si>
    <t>wind resource in cluster 28</t>
  </si>
  <si>
    <t>e_won_SAU_029</t>
  </si>
  <si>
    <t>wind resource in cluster 29</t>
  </si>
  <si>
    <t>e_won_SAU_030</t>
  </si>
  <si>
    <t>wind resource in cluster 30</t>
  </si>
  <si>
    <t>e_won_SAU_031</t>
  </si>
  <si>
    <t>wind resource in cluster 31</t>
  </si>
  <si>
    <t>e_won_SAU_032</t>
  </si>
  <si>
    <t>wind resource in cluster 32</t>
  </si>
  <si>
    <t>e_won_SAU_033</t>
  </si>
  <si>
    <t>wind resource in cluster 33</t>
  </si>
  <si>
    <t>e_won_SAU_034</t>
  </si>
  <si>
    <t>wind resource in cluster 34</t>
  </si>
  <si>
    <t>e_won_SAU_035</t>
  </si>
  <si>
    <t>wind resource in cluster 35</t>
  </si>
  <si>
    <t>e_won_SAU_036</t>
  </si>
  <si>
    <t>wind resource in cluster 36</t>
  </si>
  <si>
    <t>e_won_SAU_037</t>
  </si>
  <si>
    <t>wind resource in cluster 37</t>
  </si>
  <si>
    <t>e_won_SAU_038</t>
  </si>
  <si>
    <t>wind resource in cluster 38</t>
  </si>
  <si>
    <t>e_won_SAU_039</t>
  </si>
  <si>
    <t>wind resource in cluster 39</t>
  </si>
  <si>
    <t>e_won_SAU_040</t>
  </si>
  <si>
    <t>wind resource in cluster 40</t>
  </si>
  <si>
    <t>e_won_SAU_041</t>
  </si>
  <si>
    <t>wind resource in cluster 41</t>
  </si>
  <si>
    <t>e_won_SAU_042</t>
  </si>
  <si>
    <t>wind resource in cluster 42</t>
  </si>
  <si>
    <t>e_won_SAU_043</t>
  </si>
  <si>
    <t>wind resource in cluster 43</t>
  </si>
  <si>
    <t>e_won_SAU_044</t>
  </si>
  <si>
    <t>wind resource in cluster 44</t>
  </si>
  <si>
    <t>e_won_SAU_045</t>
  </si>
  <si>
    <t>wind resource in cluster 45</t>
  </si>
  <si>
    <t>e_won_SAU_046</t>
  </si>
  <si>
    <t>wind resource in cluster 46</t>
  </si>
  <si>
    <t>e_won_SAU_047</t>
  </si>
  <si>
    <t>wind resource in cluster 47</t>
  </si>
  <si>
    <t>e_won_SAU_048</t>
  </si>
  <si>
    <t>wind resource in cluster 48</t>
  </si>
  <si>
    <t>e_won_SAU_049</t>
  </si>
  <si>
    <t>wind resource in cluster 49</t>
  </si>
  <si>
    <t>e_won_SAU_050</t>
  </si>
  <si>
    <t>wind resource in cluster 50</t>
  </si>
  <si>
    <t>e_won_SAU_051</t>
  </si>
  <si>
    <t>wind resource in cluster 51</t>
  </si>
  <si>
    <t>e_won_SAU_052</t>
  </si>
  <si>
    <t>wind resource in cluster 52</t>
  </si>
  <si>
    <t>e_won_SAU_053</t>
  </si>
  <si>
    <t>wind resource in cluster 53</t>
  </si>
  <si>
    <t>e_won_SAU_054</t>
  </si>
  <si>
    <t>wind resource in cluster 54</t>
  </si>
  <si>
    <t>e_won_SAU_055</t>
  </si>
  <si>
    <t>wind resource in cluster 55</t>
  </si>
  <si>
    <t>e_won_SAU_056</t>
  </si>
  <si>
    <t>wind resource in cluster 56</t>
  </si>
  <si>
    <t>e_won_SAU_057</t>
  </si>
  <si>
    <t>wind resource in cluster 57</t>
  </si>
  <si>
    <t>e_wof_SAU_001</t>
  </si>
  <si>
    <t>wind offshore resource in cluster 1</t>
  </si>
  <si>
    <t>e_wof_SAU_002</t>
  </si>
  <si>
    <t>wind offshore resource in cluster 2</t>
  </si>
  <si>
    <t>e_wof_SAU_003</t>
  </si>
  <si>
    <t>wind offshore resource in cluster 3</t>
  </si>
  <si>
    <t>e_wof_SAU_004</t>
  </si>
  <si>
    <t>wind offshore resource in cluster 4</t>
  </si>
  <si>
    <t>e_wof_SAU_005</t>
  </si>
  <si>
    <t>wind offshore resource in cluster 5</t>
  </si>
  <si>
    <t>e_wof_SAU_006</t>
  </si>
  <si>
    <t>wind offshore resource in cluster 6</t>
  </si>
  <si>
    <t>e_wof_SAU_007</t>
  </si>
  <si>
    <t>wind offshore resource in cluster 7</t>
  </si>
  <si>
    <t>e_wof_SAU_008</t>
  </si>
  <si>
    <t>wind offshore resource in cluster 8</t>
  </si>
  <si>
    <t>e_wof_SAU_009</t>
  </si>
  <si>
    <t>wind offshore resource in cluster 9</t>
  </si>
  <si>
    <t>e_wof_SAU_010</t>
  </si>
  <si>
    <t>wind offshore resource in cluster 10</t>
  </si>
  <si>
    <t>e_wof_SAU_011</t>
  </si>
  <si>
    <t>wind offshore resource in cluster 11</t>
  </si>
  <si>
    <t>e_wof_SAU_012</t>
  </si>
  <si>
    <t>wind offshore resource in cluster 12</t>
  </si>
  <si>
    <t>e_wof_SAU_013</t>
  </si>
  <si>
    <t>wind offshore resource in cluster 13</t>
  </si>
  <si>
    <t>e_wof_SAU_014</t>
  </si>
  <si>
    <t>wind offshore resource in cluster 14</t>
  </si>
  <si>
    <t>e_wof_SAU_015</t>
  </si>
  <si>
    <t>wind offshore resource in cluster 15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</si>
  <si>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</si>
  <si>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</si>
  <si>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</si>
  <si>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</si>
  <si>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</si>
  <si>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</si>
  <si>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</si>
  <si>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</si>
  <si>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</si>
  <si>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</si>
  <si>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</si>
  <si>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</si>
  <si>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</si>
  <si>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</si>
  <si>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</si>
  <si>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</si>
  <si>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</si>
  <si>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</si>
  <si>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</si>
  <si>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</si>
  <si>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</si>
  <si>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</si>
  <si>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</si>
  <si>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</si>
  <si>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</si>
  <si>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</si>
  <si>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</si>
  <si>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</si>
  <si>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</si>
  <si>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</si>
  <si>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e_SA126-400_SAU,e_w186499524-400_SAU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</si>
</sst>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topLeftCell="H1" workbookViewId="0">
      <selection activeCell="L11" sqref="L11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163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104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103</v>
      </c>
      <c r="D15" s="1" t="s">
        <v>105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146</v>
      </c>
      <c r="D16" s="1" t="s">
        <v>147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148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151</v>
      </c>
      <c r="D19" s="1" t="s">
        <v>106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153</v>
      </c>
      <c r="D20" s="1" t="s">
        <v>152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154</v>
      </c>
      <c r="D21" s="1" t="s">
        <v>155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156</v>
      </c>
      <c r="D22" s="1" t="s">
        <v>159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157</v>
      </c>
      <c r="D23" t="s">
        <v>160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158</v>
      </c>
      <c r="D24" t="s">
        <v>161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149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150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e_SA126-400_SAU,e_w186499524-400_SAU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e_SA126-400_SAU,e_w186499524-400_SAU</v>
      </c>
      <c r="P28">
        <v>0</v>
      </c>
      <c r="Q28">
        <v>3</v>
      </c>
      <c r="R28">
        <v>1000</v>
      </c>
      <c r="S28">
        <v>50</v>
      </c>
      <c r="V28" s="147" t="s">
        <v>942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102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162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107</v>
      </c>
      <c r="C1" s="148" t="s">
        <v>108</v>
      </c>
      <c r="D1" s="148"/>
      <c r="E1" s="148"/>
      <c r="F1" s="149" t="s">
        <v>109</v>
      </c>
      <c r="G1" s="148"/>
      <c r="H1" s="150"/>
      <c r="I1" s="148" t="s">
        <v>110</v>
      </c>
      <c r="J1" s="148"/>
      <c r="K1" s="148"/>
      <c r="L1" s="148"/>
      <c r="M1" s="148"/>
      <c r="N1" s="148"/>
      <c r="O1" s="151" t="s">
        <v>111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112</v>
      </c>
      <c r="G2" s="28" t="s">
        <v>112</v>
      </c>
      <c r="H2" s="28" t="s">
        <v>112</v>
      </c>
      <c r="I2" s="28" t="s">
        <v>113</v>
      </c>
      <c r="J2" s="28" t="s">
        <v>145</v>
      </c>
      <c r="K2" s="28" t="str">
        <f>I2</f>
        <v>input~GASNGA</v>
      </c>
      <c r="L2" s="28" t="s">
        <v>145</v>
      </c>
      <c r="M2" s="28" t="str">
        <f>K2</f>
        <v>input~GASNGA</v>
      </c>
      <c r="N2" s="28" t="s">
        <v>145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114</v>
      </c>
      <c r="F4" s="30">
        <v>2015</v>
      </c>
      <c r="G4" s="29">
        <v>2030</v>
      </c>
      <c r="H4" s="31" t="s">
        <v>114</v>
      </c>
      <c r="I4" s="29" t="s">
        <v>115</v>
      </c>
      <c r="J4" s="29" t="s">
        <v>116</v>
      </c>
      <c r="K4" s="32" t="s">
        <v>117</v>
      </c>
      <c r="L4" s="33" t="s">
        <v>118</v>
      </c>
      <c r="M4" s="29" t="s">
        <v>119</v>
      </c>
      <c r="N4" s="29" t="s">
        <v>120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121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122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123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124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125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126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127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128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129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130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131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132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133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134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135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136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137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138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139</v>
      </c>
      <c r="P23" s="123"/>
      <c r="Q23" s="123"/>
      <c r="R23" s="123"/>
    </row>
    <row r="26" spans="1:26" ht="17.25" thickBot="1">
      <c r="C26" s="143" t="s">
        <v>140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145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141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142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2EAB-3B2F-4922-A546-E987322184E3}">
  <dimension ref="B9:BD69"/>
  <sheetViews>
    <sheetView workbookViewId="0"/>
  </sheetViews>
  <sheetFormatPr defaultRowHeight="14.25"/>
  <sheetData>
    <row r="9" spans="2:56">
      <c r="B9" t="s">
        <v>164</v>
      </c>
      <c r="J9" t="s">
        <v>293</v>
      </c>
      <c r="O9" t="s">
        <v>164</v>
      </c>
      <c r="X9" t="s">
        <v>293</v>
      </c>
      <c r="AD9" t="s">
        <v>164</v>
      </c>
      <c r="AL9" t="s">
        <v>293</v>
      </c>
      <c r="AR9" t="s">
        <v>164</v>
      </c>
      <c r="AZ9" t="s">
        <v>293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294</v>
      </c>
      <c r="L10" t="s">
        <v>295</v>
      </c>
      <c r="M10" t="s">
        <v>296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356</v>
      </c>
      <c r="U10" t="s">
        <v>170</v>
      </c>
      <c r="V10" t="s">
        <v>171</v>
      </c>
      <c r="X10" t="s">
        <v>166</v>
      </c>
      <c r="Y10" t="s">
        <v>478</v>
      </c>
      <c r="Z10" t="s">
        <v>294</v>
      </c>
      <c r="AA10" t="s">
        <v>145</v>
      </c>
      <c r="AB10" t="s">
        <v>479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478</v>
      </c>
      <c r="AN10" t="s">
        <v>294</v>
      </c>
      <c r="AO10" t="s">
        <v>145</v>
      </c>
      <c r="AP10" t="s">
        <v>479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478</v>
      </c>
      <c r="BB10" t="s">
        <v>294</v>
      </c>
      <c r="BC10" t="s">
        <v>145</v>
      </c>
      <c r="BD10" t="s">
        <v>479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297</v>
      </c>
      <c r="L11">
        <v>27.003506255863019</v>
      </c>
      <c r="M11">
        <v>0.25894169394674921</v>
      </c>
      <c r="O11" t="s">
        <v>357</v>
      </c>
      <c r="P11" t="s">
        <v>358</v>
      </c>
      <c r="Q11" t="s">
        <v>359</v>
      </c>
      <c r="R11" t="s">
        <v>10</v>
      </c>
      <c r="S11" t="s">
        <v>21</v>
      </c>
      <c r="T11" t="s">
        <v>360</v>
      </c>
      <c r="U11" t="s">
        <v>361</v>
      </c>
      <c r="V11" t="s">
        <v>176</v>
      </c>
      <c r="X11" t="s">
        <v>358</v>
      </c>
      <c r="Y11" t="s">
        <v>299</v>
      </c>
      <c r="Z11" t="s">
        <v>480</v>
      </c>
      <c r="AA11">
        <v>0.99696268975079438</v>
      </c>
      <c r="AB11">
        <v>55.684021235436248</v>
      </c>
      <c r="AD11" t="s">
        <v>357</v>
      </c>
      <c r="AE11" t="s">
        <v>525</v>
      </c>
      <c r="AF11" t="s">
        <v>526</v>
      </c>
      <c r="AG11" t="s">
        <v>10</v>
      </c>
      <c r="AH11" t="s">
        <v>21</v>
      </c>
      <c r="AI11" t="s">
        <v>361</v>
      </c>
      <c r="AJ11" t="s">
        <v>176</v>
      </c>
      <c r="AL11" t="s">
        <v>525</v>
      </c>
      <c r="AM11" t="s">
        <v>639</v>
      </c>
      <c r="AN11" t="s">
        <v>513</v>
      </c>
      <c r="AO11">
        <v>0.99452344599216957</v>
      </c>
      <c r="AP11">
        <v>100.40349014355834</v>
      </c>
      <c r="AR11" t="s">
        <v>357</v>
      </c>
      <c r="AS11" t="s">
        <v>718</v>
      </c>
      <c r="AT11" t="s">
        <v>719</v>
      </c>
      <c r="AU11" t="s">
        <v>10</v>
      </c>
      <c r="AV11" t="s">
        <v>21</v>
      </c>
      <c r="AW11" t="s">
        <v>361</v>
      </c>
      <c r="AX11" t="s">
        <v>176</v>
      </c>
      <c r="AZ11" t="s">
        <v>718</v>
      </c>
      <c r="BA11" t="s">
        <v>748</v>
      </c>
      <c r="BB11" t="s">
        <v>524</v>
      </c>
      <c r="BC11">
        <v>0.99373441995445844</v>
      </c>
      <c r="BD11">
        <v>114.8689675015946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298</v>
      </c>
      <c r="L12">
        <v>23.51084303008188</v>
      </c>
      <c r="M12">
        <v>0.26408510847840971</v>
      </c>
      <c r="O12" t="s">
        <v>357</v>
      </c>
      <c r="P12" t="s">
        <v>362</v>
      </c>
      <c r="Q12" t="s">
        <v>363</v>
      </c>
      <c r="R12" t="s">
        <v>10</v>
      </c>
      <c r="S12" t="s">
        <v>21</v>
      </c>
      <c r="T12" t="s">
        <v>360</v>
      </c>
      <c r="U12" t="s">
        <v>361</v>
      </c>
      <c r="V12" t="s">
        <v>176</v>
      </c>
      <c r="X12" t="s">
        <v>362</v>
      </c>
      <c r="Y12" t="s">
        <v>327</v>
      </c>
      <c r="Z12" t="s">
        <v>481</v>
      </c>
      <c r="AA12">
        <v>0.99080281040153462</v>
      </c>
      <c r="AB12">
        <v>168.61514263853132</v>
      </c>
      <c r="AD12" t="s">
        <v>357</v>
      </c>
      <c r="AE12" t="s">
        <v>527</v>
      </c>
      <c r="AF12" t="s">
        <v>528</v>
      </c>
      <c r="AG12" t="s">
        <v>10</v>
      </c>
      <c r="AH12" t="s">
        <v>21</v>
      </c>
      <c r="AI12" t="s">
        <v>361</v>
      </c>
      <c r="AJ12" t="s">
        <v>176</v>
      </c>
      <c r="AL12" t="s">
        <v>527</v>
      </c>
      <c r="AM12" t="s">
        <v>640</v>
      </c>
      <c r="AN12" t="s">
        <v>641</v>
      </c>
      <c r="AO12">
        <v>0.99613173616148998</v>
      </c>
      <c r="AP12">
        <v>70.918170372684429</v>
      </c>
      <c r="AR12" t="s">
        <v>357</v>
      </c>
      <c r="AS12" t="s">
        <v>720</v>
      </c>
      <c r="AT12" t="s">
        <v>721</v>
      </c>
      <c r="AU12" t="s">
        <v>10</v>
      </c>
      <c r="AV12" t="s">
        <v>21</v>
      </c>
      <c r="AW12" t="s">
        <v>361</v>
      </c>
      <c r="AX12" t="s">
        <v>176</v>
      </c>
      <c r="AZ12" t="s">
        <v>720</v>
      </c>
      <c r="BA12" t="s">
        <v>749</v>
      </c>
      <c r="BB12" t="s">
        <v>750</v>
      </c>
      <c r="BC12">
        <v>0.9946830183430353</v>
      </c>
      <c r="BD12">
        <v>97.477997044351895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299</v>
      </c>
      <c r="L13">
        <v>13.943134149741439</v>
      </c>
      <c r="M13">
        <v>0.25022737912869653</v>
      </c>
      <c r="O13" t="s">
        <v>357</v>
      </c>
      <c r="P13" t="s">
        <v>364</v>
      </c>
      <c r="Q13" t="s">
        <v>365</v>
      </c>
      <c r="R13" t="s">
        <v>10</v>
      </c>
      <c r="S13" t="s">
        <v>21</v>
      </c>
      <c r="T13" t="s">
        <v>360</v>
      </c>
      <c r="U13" t="s">
        <v>361</v>
      </c>
      <c r="V13" t="s">
        <v>176</v>
      </c>
      <c r="X13" t="s">
        <v>364</v>
      </c>
      <c r="Y13" t="s">
        <v>329</v>
      </c>
      <c r="Z13" t="s">
        <v>482</v>
      </c>
      <c r="AA13">
        <v>0.99579622489302932</v>
      </c>
      <c r="AB13">
        <v>77.069210294461683</v>
      </c>
      <c r="AD13" t="s">
        <v>357</v>
      </c>
      <c r="AE13" t="s">
        <v>529</v>
      </c>
      <c r="AF13" t="s">
        <v>530</v>
      </c>
      <c r="AG13" t="s">
        <v>10</v>
      </c>
      <c r="AH13" t="s">
        <v>21</v>
      </c>
      <c r="AI13" t="s">
        <v>361</v>
      </c>
      <c r="AJ13" t="s">
        <v>176</v>
      </c>
      <c r="AL13" t="s">
        <v>529</v>
      </c>
      <c r="AM13" t="s">
        <v>642</v>
      </c>
      <c r="AN13" t="s">
        <v>510</v>
      </c>
      <c r="AO13">
        <v>0.99401348566274372</v>
      </c>
      <c r="AP13">
        <v>109.75276284969773</v>
      </c>
      <c r="AR13" t="s">
        <v>357</v>
      </c>
      <c r="AS13" t="s">
        <v>722</v>
      </c>
      <c r="AT13" t="s">
        <v>723</v>
      </c>
      <c r="AU13" t="s">
        <v>10</v>
      </c>
      <c r="AV13" t="s">
        <v>21</v>
      </c>
      <c r="AW13" t="s">
        <v>361</v>
      </c>
      <c r="AX13" t="s">
        <v>176</v>
      </c>
      <c r="AZ13" t="s">
        <v>722</v>
      </c>
      <c r="BA13" t="s">
        <v>751</v>
      </c>
      <c r="BB13" t="s">
        <v>711</v>
      </c>
      <c r="BC13">
        <v>0.99562471898701166</v>
      </c>
      <c r="BD13">
        <v>80.213485238119745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300</v>
      </c>
      <c r="L14">
        <v>20.073655284287604</v>
      </c>
      <c r="M14">
        <v>0.26999287196049809</v>
      </c>
      <c r="O14" t="s">
        <v>357</v>
      </c>
      <c r="P14" t="s">
        <v>366</v>
      </c>
      <c r="Q14" t="s">
        <v>367</v>
      </c>
      <c r="R14" t="s">
        <v>10</v>
      </c>
      <c r="S14" t="s">
        <v>21</v>
      </c>
      <c r="T14" t="s">
        <v>360</v>
      </c>
      <c r="U14" t="s">
        <v>361</v>
      </c>
      <c r="V14" t="s">
        <v>176</v>
      </c>
      <c r="X14" t="s">
        <v>366</v>
      </c>
      <c r="Y14" t="s">
        <v>312</v>
      </c>
      <c r="Z14" t="s">
        <v>483</v>
      </c>
      <c r="AA14">
        <v>0.99569030823620586</v>
      </c>
      <c r="AB14">
        <v>79.011015669559924</v>
      </c>
      <c r="AD14" t="s">
        <v>357</v>
      </c>
      <c r="AE14" t="s">
        <v>531</v>
      </c>
      <c r="AF14" t="s">
        <v>532</v>
      </c>
      <c r="AG14" t="s">
        <v>10</v>
      </c>
      <c r="AH14" t="s">
        <v>21</v>
      </c>
      <c r="AI14" t="s">
        <v>361</v>
      </c>
      <c r="AJ14" t="s">
        <v>176</v>
      </c>
      <c r="AL14" t="s">
        <v>531</v>
      </c>
      <c r="AM14" t="s">
        <v>643</v>
      </c>
      <c r="AN14" t="s">
        <v>514</v>
      </c>
      <c r="AO14">
        <v>0.99719505862833968</v>
      </c>
      <c r="AP14">
        <v>51.423925147105876</v>
      </c>
      <c r="AR14" t="s">
        <v>357</v>
      </c>
      <c r="AS14" t="s">
        <v>724</v>
      </c>
      <c r="AT14" t="s">
        <v>725</v>
      </c>
      <c r="AU14" t="s">
        <v>10</v>
      </c>
      <c r="AV14" t="s">
        <v>21</v>
      </c>
      <c r="AW14" t="s">
        <v>361</v>
      </c>
      <c r="AX14" t="s">
        <v>176</v>
      </c>
      <c r="AZ14" t="s">
        <v>724</v>
      </c>
      <c r="BA14" t="s">
        <v>752</v>
      </c>
      <c r="BB14" t="s">
        <v>524</v>
      </c>
      <c r="BC14">
        <v>0.99258556051399616</v>
      </c>
      <c r="BD14">
        <v>135.93139057673795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301</v>
      </c>
      <c r="L15">
        <v>39.044533665390674</v>
      </c>
      <c r="M15">
        <v>0.27263453818858913</v>
      </c>
      <c r="O15" t="s">
        <v>357</v>
      </c>
      <c r="P15" t="s">
        <v>368</v>
      </c>
      <c r="Q15" t="s">
        <v>369</v>
      </c>
      <c r="R15" t="s">
        <v>10</v>
      </c>
      <c r="S15" t="s">
        <v>21</v>
      </c>
      <c r="T15" t="s">
        <v>360</v>
      </c>
      <c r="U15" t="s">
        <v>361</v>
      </c>
      <c r="V15" t="s">
        <v>176</v>
      </c>
      <c r="X15" t="s">
        <v>368</v>
      </c>
      <c r="Y15" t="s">
        <v>297</v>
      </c>
      <c r="Z15" t="s">
        <v>484</v>
      </c>
      <c r="AA15">
        <v>0.99830838325253757</v>
      </c>
      <c r="AB15">
        <v>31.012973703478178</v>
      </c>
      <c r="AD15" t="s">
        <v>357</v>
      </c>
      <c r="AE15" t="s">
        <v>533</v>
      </c>
      <c r="AF15" t="s">
        <v>534</v>
      </c>
      <c r="AG15" t="s">
        <v>10</v>
      </c>
      <c r="AH15" t="s">
        <v>21</v>
      </c>
      <c r="AI15" t="s">
        <v>361</v>
      </c>
      <c r="AJ15" t="s">
        <v>176</v>
      </c>
      <c r="AL15" t="s">
        <v>533</v>
      </c>
      <c r="AM15" t="s">
        <v>644</v>
      </c>
      <c r="AN15" t="s">
        <v>482</v>
      </c>
      <c r="AO15">
        <v>0.99756968390712597</v>
      </c>
      <c r="AP15">
        <v>44.555795036023476</v>
      </c>
      <c r="AR15" t="s">
        <v>357</v>
      </c>
      <c r="AS15" t="s">
        <v>726</v>
      </c>
      <c r="AT15" t="s">
        <v>727</v>
      </c>
      <c r="AU15" t="s">
        <v>10</v>
      </c>
      <c r="AV15" t="s">
        <v>21</v>
      </c>
      <c r="AW15" t="s">
        <v>361</v>
      </c>
      <c r="AX15" t="s">
        <v>176</v>
      </c>
      <c r="AZ15" t="s">
        <v>726</v>
      </c>
      <c r="BA15" t="s">
        <v>753</v>
      </c>
      <c r="BB15" t="s">
        <v>495</v>
      </c>
      <c r="BC15">
        <v>0.99780067380087223</v>
      </c>
      <c r="BD15">
        <v>40.320980317341572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302</v>
      </c>
      <c r="L16">
        <v>46.216463077600089</v>
      </c>
      <c r="M16">
        <v>0.26802145451241111</v>
      </c>
      <c r="O16" t="s">
        <v>357</v>
      </c>
      <c r="P16" t="s">
        <v>370</v>
      </c>
      <c r="Q16" t="s">
        <v>371</v>
      </c>
      <c r="R16" t="s">
        <v>10</v>
      </c>
      <c r="S16" t="s">
        <v>21</v>
      </c>
      <c r="T16" t="s">
        <v>360</v>
      </c>
      <c r="U16" t="s">
        <v>361</v>
      </c>
      <c r="V16" t="s">
        <v>176</v>
      </c>
      <c r="X16" t="s">
        <v>370</v>
      </c>
      <c r="Y16" t="s">
        <v>337</v>
      </c>
      <c r="Z16" t="s">
        <v>485</v>
      </c>
      <c r="AA16">
        <v>0.9986424466209517</v>
      </c>
      <c r="AB16">
        <v>24.888478615885646</v>
      </c>
      <c r="AD16" t="s">
        <v>357</v>
      </c>
      <c r="AE16" t="s">
        <v>535</v>
      </c>
      <c r="AF16" t="s">
        <v>536</v>
      </c>
      <c r="AG16" t="s">
        <v>10</v>
      </c>
      <c r="AH16" t="s">
        <v>21</v>
      </c>
      <c r="AI16" t="s">
        <v>361</v>
      </c>
      <c r="AJ16" t="s">
        <v>176</v>
      </c>
      <c r="AL16" t="s">
        <v>535</v>
      </c>
      <c r="AM16" t="s">
        <v>645</v>
      </c>
      <c r="AN16" t="s">
        <v>646</v>
      </c>
      <c r="AO16">
        <v>0.98633514910840148</v>
      </c>
      <c r="AP16">
        <v>250.52226634597372</v>
      </c>
      <c r="AR16" t="s">
        <v>357</v>
      </c>
      <c r="AS16" t="s">
        <v>728</v>
      </c>
      <c r="AT16" t="s">
        <v>729</v>
      </c>
      <c r="AU16" t="s">
        <v>10</v>
      </c>
      <c r="AV16" t="s">
        <v>21</v>
      </c>
      <c r="AW16" t="s">
        <v>361</v>
      </c>
      <c r="AX16" t="s">
        <v>176</v>
      </c>
      <c r="AZ16" t="s">
        <v>728</v>
      </c>
      <c r="BA16" t="s">
        <v>754</v>
      </c>
      <c r="BB16" t="s">
        <v>755</v>
      </c>
      <c r="BC16">
        <v>0.99328660809426739</v>
      </c>
      <c r="BD16">
        <v>123.07885160509801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303</v>
      </c>
      <c r="L17">
        <v>50.654586256844105</v>
      </c>
      <c r="M17">
        <v>0.2736446780554822</v>
      </c>
      <c r="O17" t="s">
        <v>357</v>
      </c>
      <c r="P17" t="s">
        <v>372</v>
      </c>
      <c r="Q17" t="s">
        <v>373</v>
      </c>
      <c r="R17" t="s">
        <v>10</v>
      </c>
      <c r="S17" t="s">
        <v>21</v>
      </c>
      <c r="T17" t="s">
        <v>360</v>
      </c>
      <c r="U17" t="s">
        <v>361</v>
      </c>
      <c r="V17" t="s">
        <v>176</v>
      </c>
      <c r="X17" t="s">
        <v>372</v>
      </c>
      <c r="Y17" t="s">
        <v>353</v>
      </c>
      <c r="Z17" t="s">
        <v>486</v>
      </c>
      <c r="AA17">
        <v>0.99822251696597952</v>
      </c>
      <c r="AB17">
        <v>32.587188957042969</v>
      </c>
      <c r="AD17" t="s">
        <v>357</v>
      </c>
      <c r="AE17" t="s">
        <v>537</v>
      </c>
      <c r="AF17" t="s">
        <v>538</v>
      </c>
      <c r="AG17" t="s">
        <v>10</v>
      </c>
      <c r="AH17" t="s">
        <v>21</v>
      </c>
      <c r="AI17" t="s">
        <v>361</v>
      </c>
      <c r="AJ17" t="s">
        <v>176</v>
      </c>
      <c r="AL17" t="s">
        <v>537</v>
      </c>
      <c r="AM17" t="s">
        <v>647</v>
      </c>
      <c r="AN17" t="s">
        <v>509</v>
      </c>
      <c r="AO17">
        <v>0.99423795514228697</v>
      </c>
      <c r="AP17">
        <v>105.63748905807284</v>
      </c>
      <c r="AR17" t="s">
        <v>357</v>
      </c>
      <c r="AS17" t="s">
        <v>730</v>
      </c>
      <c r="AT17" t="s">
        <v>731</v>
      </c>
      <c r="AU17" t="s">
        <v>10</v>
      </c>
      <c r="AV17" t="s">
        <v>21</v>
      </c>
      <c r="AW17" t="s">
        <v>361</v>
      </c>
      <c r="AX17" t="s">
        <v>176</v>
      </c>
      <c r="AZ17" t="s">
        <v>730</v>
      </c>
      <c r="BA17" t="s">
        <v>756</v>
      </c>
      <c r="BB17" t="s">
        <v>757</v>
      </c>
      <c r="BC17">
        <v>0.99598286193459573</v>
      </c>
      <c r="BD17">
        <v>73.647531199077619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304</v>
      </c>
      <c r="L18">
        <v>19.430242440581512</v>
      </c>
      <c r="M18">
        <v>0.2833489204048053</v>
      </c>
      <c r="O18" t="s">
        <v>357</v>
      </c>
      <c r="P18" t="s">
        <v>374</v>
      </c>
      <c r="Q18" t="s">
        <v>375</v>
      </c>
      <c r="R18" t="s">
        <v>10</v>
      </c>
      <c r="S18" t="s">
        <v>21</v>
      </c>
      <c r="T18" t="s">
        <v>360</v>
      </c>
      <c r="U18" t="s">
        <v>361</v>
      </c>
      <c r="V18" t="s">
        <v>176</v>
      </c>
      <c r="X18" t="s">
        <v>374</v>
      </c>
      <c r="Y18" t="s">
        <v>306</v>
      </c>
      <c r="Z18" t="s">
        <v>487</v>
      </c>
      <c r="AA18">
        <v>0.99639561719714309</v>
      </c>
      <c r="AB18">
        <v>66.080351385710131</v>
      </c>
      <c r="AD18" t="s">
        <v>357</v>
      </c>
      <c r="AE18" t="s">
        <v>539</v>
      </c>
      <c r="AF18" t="s">
        <v>540</v>
      </c>
      <c r="AG18" t="s">
        <v>10</v>
      </c>
      <c r="AH18" t="s">
        <v>21</v>
      </c>
      <c r="AI18" t="s">
        <v>361</v>
      </c>
      <c r="AJ18" t="s">
        <v>176</v>
      </c>
      <c r="AL18" t="s">
        <v>539</v>
      </c>
      <c r="AM18" t="s">
        <v>648</v>
      </c>
      <c r="AN18" t="s">
        <v>510</v>
      </c>
      <c r="AO18">
        <v>0.99425224693549752</v>
      </c>
      <c r="AP18">
        <v>105.37547284921166</v>
      </c>
      <c r="AR18" t="s">
        <v>357</v>
      </c>
      <c r="AS18" t="s">
        <v>732</v>
      </c>
      <c r="AT18" t="s">
        <v>733</v>
      </c>
      <c r="AU18" t="s">
        <v>10</v>
      </c>
      <c r="AV18" t="s">
        <v>21</v>
      </c>
      <c r="AW18" t="s">
        <v>361</v>
      </c>
      <c r="AX18" t="s">
        <v>176</v>
      </c>
      <c r="AZ18" t="s">
        <v>732</v>
      </c>
      <c r="BA18" t="s">
        <v>758</v>
      </c>
      <c r="BB18" t="s">
        <v>656</v>
      </c>
      <c r="BC18">
        <v>0.99622586247638467</v>
      </c>
      <c r="BD18">
        <v>69.192521266280892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305</v>
      </c>
      <c r="L19">
        <v>40.382877312194353</v>
      </c>
      <c r="M19">
        <v>0.27852338085493522</v>
      </c>
      <c r="O19" t="s">
        <v>357</v>
      </c>
      <c r="P19" t="s">
        <v>376</v>
      </c>
      <c r="Q19" t="s">
        <v>377</v>
      </c>
      <c r="R19" t="s">
        <v>10</v>
      </c>
      <c r="S19" t="s">
        <v>21</v>
      </c>
      <c r="T19" t="s">
        <v>360</v>
      </c>
      <c r="U19" t="s">
        <v>361</v>
      </c>
      <c r="V19" t="s">
        <v>176</v>
      </c>
      <c r="X19" t="s">
        <v>376</v>
      </c>
      <c r="Y19" t="s">
        <v>338</v>
      </c>
      <c r="Z19" t="s">
        <v>488</v>
      </c>
      <c r="AA19">
        <v>0.99478325736787054</v>
      </c>
      <c r="AB19">
        <v>95.640281589039844</v>
      </c>
      <c r="AD19" t="s">
        <v>357</v>
      </c>
      <c r="AE19" t="s">
        <v>541</v>
      </c>
      <c r="AF19" t="s">
        <v>542</v>
      </c>
      <c r="AG19" t="s">
        <v>10</v>
      </c>
      <c r="AH19" t="s">
        <v>21</v>
      </c>
      <c r="AI19" t="s">
        <v>361</v>
      </c>
      <c r="AJ19" t="s">
        <v>176</v>
      </c>
      <c r="AL19" t="s">
        <v>541</v>
      </c>
      <c r="AM19" t="s">
        <v>649</v>
      </c>
      <c r="AN19" t="s">
        <v>500</v>
      </c>
      <c r="AO19">
        <v>0.99380453235646471</v>
      </c>
      <c r="AP19">
        <v>113.5835734648128</v>
      </c>
      <c r="AR19" t="s">
        <v>357</v>
      </c>
      <c r="AS19" t="s">
        <v>734</v>
      </c>
      <c r="AT19" t="s">
        <v>735</v>
      </c>
      <c r="AU19" t="s">
        <v>10</v>
      </c>
      <c r="AV19" t="s">
        <v>21</v>
      </c>
      <c r="AW19" t="s">
        <v>361</v>
      </c>
      <c r="AX19" t="s">
        <v>176</v>
      </c>
      <c r="AZ19" t="s">
        <v>734</v>
      </c>
      <c r="BA19" t="s">
        <v>759</v>
      </c>
      <c r="BB19" t="s">
        <v>492</v>
      </c>
      <c r="BC19">
        <v>0.99471771596794578</v>
      </c>
      <c r="BD19">
        <v>96.841873920993507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306</v>
      </c>
      <c r="L20">
        <v>34.999606217595101</v>
      </c>
      <c r="M20">
        <v>0.28475647508899848</v>
      </c>
      <c r="O20" t="s">
        <v>357</v>
      </c>
      <c r="P20" t="s">
        <v>378</v>
      </c>
      <c r="Q20" t="s">
        <v>379</v>
      </c>
      <c r="R20" t="s">
        <v>10</v>
      </c>
      <c r="S20" t="s">
        <v>21</v>
      </c>
      <c r="T20" t="s">
        <v>360</v>
      </c>
      <c r="U20" t="s">
        <v>361</v>
      </c>
      <c r="V20" t="s">
        <v>176</v>
      </c>
      <c r="X20" t="s">
        <v>378</v>
      </c>
      <c r="Y20" t="s">
        <v>322</v>
      </c>
      <c r="Z20" t="s">
        <v>489</v>
      </c>
      <c r="AA20">
        <v>0.99387730304786159</v>
      </c>
      <c r="AB20">
        <v>112.24944412253714</v>
      </c>
      <c r="AD20" t="s">
        <v>357</v>
      </c>
      <c r="AE20" t="s">
        <v>543</v>
      </c>
      <c r="AF20" t="s">
        <v>544</v>
      </c>
      <c r="AG20" t="s">
        <v>10</v>
      </c>
      <c r="AH20" t="s">
        <v>21</v>
      </c>
      <c r="AI20" t="s">
        <v>361</v>
      </c>
      <c r="AJ20" t="s">
        <v>176</v>
      </c>
      <c r="AL20" t="s">
        <v>543</v>
      </c>
      <c r="AM20" t="s">
        <v>650</v>
      </c>
      <c r="AN20" t="s">
        <v>651</v>
      </c>
      <c r="AO20">
        <v>0.99454709507143513</v>
      </c>
      <c r="AP20">
        <v>99.969923690355856</v>
      </c>
      <c r="AR20" t="s">
        <v>357</v>
      </c>
      <c r="AS20" t="s">
        <v>736</v>
      </c>
      <c r="AT20" t="s">
        <v>737</v>
      </c>
      <c r="AU20" t="s">
        <v>10</v>
      </c>
      <c r="AV20" t="s">
        <v>21</v>
      </c>
      <c r="AW20" t="s">
        <v>361</v>
      </c>
      <c r="AX20" t="s">
        <v>176</v>
      </c>
      <c r="AZ20" t="s">
        <v>736</v>
      </c>
      <c r="BA20" t="s">
        <v>760</v>
      </c>
      <c r="BB20" t="s">
        <v>492</v>
      </c>
      <c r="BC20">
        <v>0.99714954069979167</v>
      </c>
      <c r="BD20">
        <v>52.258420503819536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307</v>
      </c>
      <c r="L21">
        <v>18.230846104838196</v>
      </c>
      <c r="M21">
        <v>0.28483703317191328</v>
      </c>
      <c r="O21" t="s">
        <v>357</v>
      </c>
      <c r="P21" t="s">
        <v>380</v>
      </c>
      <c r="Q21" t="s">
        <v>381</v>
      </c>
      <c r="R21" t="s">
        <v>10</v>
      </c>
      <c r="S21" t="s">
        <v>21</v>
      </c>
      <c r="T21" t="s">
        <v>360</v>
      </c>
      <c r="U21" t="s">
        <v>361</v>
      </c>
      <c r="V21" t="s">
        <v>176</v>
      </c>
      <c r="X21" t="s">
        <v>380</v>
      </c>
      <c r="Y21" t="s">
        <v>352</v>
      </c>
      <c r="Z21" t="s">
        <v>490</v>
      </c>
      <c r="AA21">
        <v>0.9988713684914583</v>
      </c>
      <c r="AB21">
        <v>20.691577656598067</v>
      </c>
      <c r="AD21" t="s">
        <v>357</v>
      </c>
      <c r="AE21" t="s">
        <v>545</v>
      </c>
      <c r="AF21" t="s">
        <v>546</v>
      </c>
      <c r="AG21" t="s">
        <v>10</v>
      </c>
      <c r="AH21" t="s">
        <v>21</v>
      </c>
      <c r="AI21" t="s">
        <v>361</v>
      </c>
      <c r="AJ21" t="s">
        <v>176</v>
      </c>
      <c r="AL21" t="s">
        <v>545</v>
      </c>
      <c r="AM21" t="s">
        <v>652</v>
      </c>
      <c r="AN21" t="s">
        <v>653</v>
      </c>
      <c r="AO21">
        <v>0.99397984942240614</v>
      </c>
      <c r="AP21">
        <v>110.36942725588814</v>
      </c>
      <c r="AR21" t="s">
        <v>357</v>
      </c>
      <c r="AS21" t="s">
        <v>738</v>
      </c>
      <c r="AT21" t="s">
        <v>739</v>
      </c>
      <c r="AU21" t="s">
        <v>10</v>
      </c>
      <c r="AV21" t="s">
        <v>21</v>
      </c>
      <c r="AW21" t="s">
        <v>361</v>
      </c>
      <c r="AX21" t="s">
        <v>176</v>
      </c>
      <c r="AZ21" t="s">
        <v>738</v>
      </c>
      <c r="BA21" t="s">
        <v>761</v>
      </c>
      <c r="BB21" t="s">
        <v>762</v>
      </c>
      <c r="BC21">
        <v>0.990347747379142</v>
      </c>
      <c r="BD21">
        <v>176.95796471572925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308</v>
      </c>
      <c r="L22">
        <v>62.504743685468085</v>
      </c>
      <c r="M22">
        <v>0.28315049103182272</v>
      </c>
      <c r="O22" t="s">
        <v>357</v>
      </c>
      <c r="P22" t="s">
        <v>382</v>
      </c>
      <c r="Q22" t="s">
        <v>383</v>
      </c>
      <c r="R22" t="s">
        <v>10</v>
      </c>
      <c r="S22" t="s">
        <v>21</v>
      </c>
      <c r="T22" t="s">
        <v>360</v>
      </c>
      <c r="U22" t="s">
        <v>361</v>
      </c>
      <c r="V22" t="s">
        <v>176</v>
      </c>
      <c r="X22" t="s">
        <v>382</v>
      </c>
      <c r="Y22" t="s">
        <v>333</v>
      </c>
      <c r="Z22" t="s">
        <v>482</v>
      </c>
      <c r="AA22">
        <v>0.99452867739052209</v>
      </c>
      <c r="AB22">
        <v>100.30758117376212</v>
      </c>
      <c r="AD22" t="s">
        <v>357</v>
      </c>
      <c r="AE22" t="s">
        <v>547</v>
      </c>
      <c r="AF22" t="s">
        <v>548</v>
      </c>
      <c r="AG22" t="s">
        <v>10</v>
      </c>
      <c r="AH22" t="s">
        <v>21</v>
      </c>
      <c r="AI22" t="s">
        <v>361</v>
      </c>
      <c r="AJ22" t="s">
        <v>176</v>
      </c>
      <c r="AL22" t="s">
        <v>547</v>
      </c>
      <c r="AM22" t="s">
        <v>654</v>
      </c>
      <c r="AN22" t="s">
        <v>505</v>
      </c>
      <c r="AO22">
        <v>0.99357578681487824</v>
      </c>
      <c r="AP22">
        <v>117.77724172723266</v>
      </c>
      <c r="AR22" t="s">
        <v>357</v>
      </c>
      <c r="AS22" t="s">
        <v>740</v>
      </c>
      <c r="AT22" t="s">
        <v>741</v>
      </c>
      <c r="AU22" t="s">
        <v>10</v>
      </c>
      <c r="AV22" t="s">
        <v>21</v>
      </c>
      <c r="AW22" t="s">
        <v>361</v>
      </c>
      <c r="AX22" t="s">
        <v>176</v>
      </c>
      <c r="AZ22" t="s">
        <v>740</v>
      </c>
      <c r="BA22" t="s">
        <v>763</v>
      </c>
      <c r="BB22" t="s">
        <v>764</v>
      </c>
      <c r="BC22">
        <v>0.99340481758705135</v>
      </c>
      <c r="BD22">
        <v>120.9116775707251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309</v>
      </c>
      <c r="L23">
        <v>46.598460238523593</v>
      </c>
      <c r="M23">
        <v>0.27702526551153622</v>
      </c>
      <c r="O23" t="s">
        <v>357</v>
      </c>
      <c r="P23" t="s">
        <v>384</v>
      </c>
      <c r="Q23" t="s">
        <v>385</v>
      </c>
      <c r="R23" t="s">
        <v>10</v>
      </c>
      <c r="S23" t="s">
        <v>21</v>
      </c>
      <c r="T23" t="s">
        <v>360</v>
      </c>
      <c r="U23" t="s">
        <v>361</v>
      </c>
      <c r="V23" t="s">
        <v>176</v>
      </c>
      <c r="X23" t="s">
        <v>384</v>
      </c>
      <c r="Y23" t="s">
        <v>343</v>
      </c>
      <c r="Z23" t="s">
        <v>491</v>
      </c>
      <c r="AA23">
        <v>0.97179899661735147</v>
      </c>
      <c r="AB23">
        <v>517.01839534855594</v>
      </c>
      <c r="AD23" t="s">
        <v>357</v>
      </c>
      <c r="AE23" t="s">
        <v>549</v>
      </c>
      <c r="AF23" t="s">
        <v>550</v>
      </c>
      <c r="AG23" t="s">
        <v>10</v>
      </c>
      <c r="AH23" t="s">
        <v>21</v>
      </c>
      <c r="AI23" t="s">
        <v>361</v>
      </c>
      <c r="AJ23" t="s">
        <v>176</v>
      </c>
      <c r="AL23" t="s">
        <v>549</v>
      </c>
      <c r="AM23" t="s">
        <v>655</v>
      </c>
      <c r="AN23" t="s">
        <v>656</v>
      </c>
      <c r="AO23">
        <v>0.99839984958131633</v>
      </c>
      <c r="AP23">
        <v>29.33609100920102</v>
      </c>
      <c r="AR23" t="s">
        <v>357</v>
      </c>
      <c r="AS23" t="s">
        <v>742</v>
      </c>
      <c r="AT23" t="s">
        <v>743</v>
      </c>
      <c r="AU23" t="s">
        <v>10</v>
      </c>
      <c r="AV23" t="s">
        <v>21</v>
      </c>
      <c r="AW23" t="s">
        <v>361</v>
      </c>
      <c r="AX23" t="s">
        <v>176</v>
      </c>
      <c r="AZ23" t="s">
        <v>742</v>
      </c>
      <c r="BA23" t="s">
        <v>765</v>
      </c>
      <c r="BB23" t="s">
        <v>485</v>
      </c>
      <c r="BC23">
        <v>0.98823641334977108</v>
      </c>
      <c r="BD23">
        <v>215.66575525419617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310</v>
      </c>
      <c r="L24">
        <v>54.443555836686421</v>
      </c>
      <c r="M24">
        <v>0.28110420710397649</v>
      </c>
      <c r="O24" t="s">
        <v>357</v>
      </c>
      <c r="P24" t="s">
        <v>386</v>
      </c>
      <c r="Q24" t="s">
        <v>387</v>
      </c>
      <c r="R24" t="s">
        <v>10</v>
      </c>
      <c r="S24" t="s">
        <v>21</v>
      </c>
      <c r="T24" t="s">
        <v>360</v>
      </c>
      <c r="U24" t="s">
        <v>361</v>
      </c>
      <c r="V24" t="s">
        <v>176</v>
      </c>
      <c r="X24" t="s">
        <v>386</v>
      </c>
      <c r="Y24" t="s">
        <v>300</v>
      </c>
      <c r="Z24" t="s">
        <v>492</v>
      </c>
      <c r="AA24">
        <v>0.99747091457046144</v>
      </c>
      <c r="AB24">
        <v>46.366566208207523</v>
      </c>
      <c r="AD24" t="s">
        <v>357</v>
      </c>
      <c r="AE24" t="s">
        <v>551</v>
      </c>
      <c r="AF24" t="s">
        <v>552</v>
      </c>
      <c r="AG24" t="s">
        <v>10</v>
      </c>
      <c r="AH24" t="s">
        <v>21</v>
      </c>
      <c r="AI24" t="s">
        <v>361</v>
      </c>
      <c r="AJ24" t="s">
        <v>176</v>
      </c>
      <c r="AL24" t="s">
        <v>551</v>
      </c>
      <c r="AM24" t="s">
        <v>657</v>
      </c>
      <c r="AN24" t="s">
        <v>492</v>
      </c>
      <c r="AO24">
        <v>0.99753480556870955</v>
      </c>
      <c r="AP24">
        <v>45.195231240324411</v>
      </c>
      <c r="AR24" t="s">
        <v>357</v>
      </c>
      <c r="AS24" t="s">
        <v>744</v>
      </c>
      <c r="AT24" t="s">
        <v>745</v>
      </c>
      <c r="AU24" t="s">
        <v>10</v>
      </c>
      <c r="AV24" t="s">
        <v>21</v>
      </c>
      <c r="AW24" t="s">
        <v>361</v>
      </c>
      <c r="AX24" t="s">
        <v>176</v>
      </c>
      <c r="AZ24" t="s">
        <v>744</v>
      </c>
      <c r="BA24" t="s">
        <v>766</v>
      </c>
      <c r="BB24" t="s">
        <v>764</v>
      </c>
      <c r="BC24">
        <v>0.99662267470695765</v>
      </c>
      <c r="BD24">
        <v>61.917630372443448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311</v>
      </c>
      <c r="L25">
        <v>43.226822862129843</v>
      </c>
      <c r="M25">
        <v>0.27296280835871262</v>
      </c>
      <c r="O25" t="s">
        <v>357</v>
      </c>
      <c r="P25" t="s">
        <v>388</v>
      </c>
      <c r="Q25" t="s">
        <v>389</v>
      </c>
      <c r="R25" t="s">
        <v>10</v>
      </c>
      <c r="S25" t="s">
        <v>21</v>
      </c>
      <c r="T25" t="s">
        <v>360</v>
      </c>
      <c r="U25" t="s">
        <v>361</v>
      </c>
      <c r="V25" t="s">
        <v>176</v>
      </c>
      <c r="X25" t="s">
        <v>388</v>
      </c>
      <c r="Y25" t="s">
        <v>311</v>
      </c>
      <c r="Z25" t="s">
        <v>483</v>
      </c>
      <c r="AA25">
        <v>0.99505083080645407</v>
      </c>
      <c r="AB25">
        <v>90.734768548341648</v>
      </c>
      <c r="AD25" t="s">
        <v>357</v>
      </c>
      <c r="AE25" t="s">
        <v>553</v>
      </c>
      <c r="AF25" t="s">
        <v>554</v>
      </c>
      <c r="AG25" t="s">
        <v>10</v>
      </c>
      <c r="AH25" t="s">
        <v>21</v>
      </c>
      <c r="AI25" t="s">
        <v>361</v>
      </c>
      <c r="AJ25" t="s">
        <v>176</v>
      </c>
      <c r="AL25" t="s">
        <v>553</v>
      </c>
      <c r="AM25" t="s">
        <v>658</v>
      </c>
      <c r="AN25" t="s">
        <v>483</v>
      </c>
      <c r="AO25">
        <v>0.99574634109779614</v>
      </c>
      <c r="AP25">
        <v>77.983746540404425</v>
      </c>
      <c r="AR25" t="s">
        <v>357</v>
      </c>
      <c r="AS25" t="s">
        <v>746</v>
      </c>
      <c r="AT25" t="s">
        <v>747</v>
      </c>
      <c r="AU25" t="s">
        <v>10</v>
      </c>
      <c r="AV25" t="s">
        <v>21</v>
      </c>
      <c r="AW25" t="s">
        <v>361</v>
      </c>
      <c r="AX25" t="s">
        <v>176</v>
      </c>
      <c r="AZ25" t="s">
        <v>746</v>
      </c>
      <c r="BA25" t="s">
        <v>767</v>
      </c>
      <c r="BB25" t="s">
        <v>485</v>
      </c>
      <c r="BC25">
        <v>0.99041409381468681</v>
      </c>
      <c r="BD25">
        <v>175.741613397409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312</v>
      </c>
      <c r="L26">
        <v>30.3432218934527</v>
      </c>
      <c r="M26">
        <v>0.27617707525294199</v>
      </c>
      <c r="O26" t="s">
        <v>357</v>
      </c>
      <c r="P26" t="s">
        <v>390</v>
      </c>
      <c r="Q26" t="s">
        <v>391</v>
      </c>
      <c r="R26" t="s">
        <v>10</v>
      </c>
      <c r="S26" t="s">
        <v>21</v>
      </c>
      <c r="T26" t="s">
        <v>360</v>
      </c>
      <c r="U26" t="s">
        <v>361</v>
      </c>
      <c r="V26" t="s">
        <v>176</v>
      </c>
      <c r="X26" t="s">
        <v>390</v>
      </c>
      <c r="Y26" t="s">
        <v>302</v>
      </c>
      <c r="Z26" t="s">
        <v>493</v>
      </c>
      <c r="AA26">
        <v>0.99618185830423567</v>
      </c>
      <c r="AB26">
        <v>69.999264422346712</v>
      </c>
      <c r="AD26" t="s">
        <v>357</v>
      </c>
      <c r="AE26" t="s">
        <v>555</v>
      </c>
      <c r="AF26" t="s">
        <v>556</v>
      </c>
      <c r="AG26" t="s">
        <v>10</v>
      </c>
      <c r="AH26" t="s">
        <v>21</v>
      </c>
      <c r="AI26" t="s">
        <v>361</v>
      </c>
      <c r="AJ26" t="s">
        <v>176</v>
      </c>
      <c r="AL26" t="s">
        <v>555</v>
      </c>
      <c r="AM26" t="s">
        <v>659</v>
      </c>
      <c r="AN26" t="s">
        <v>488</v>
      </c>
      <c r="AO26">
        <v>0.99552667642160975</v>
      </c>
      <c r="AP26">
        <v>82.010932270487288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313</v>
      </c>
      <c r="L27">
        <v>48.533249800497948</v>
      </c>
      <c r="M27">
        <v>0.27281431370445181</v>
      </c>
      <c r="O27" t="s">
        <v>357</v>
      </c>
      <c r="P27" t="s">
        <v>392</v>
      </c>
      <c r="Q27" t="s">
        <v>393</v>
      </c>
      <c r="R27" t="s">
        <v>10</v>
      </c>
      <c r="S27" t="s">
        <v>21</v>
      </c>
      <c r="T27" t="s">
        <v>360</v>
      </c>
      <c r="U27" t="s">
        <v>361</v>
      </c>
      <c r="V27" t="s">
        <v>176</v>
      </c>
      <c r="X27" t="s">
        <v>392</v>
      </c>
      <c r="Y27" t="s">
        <v>340</v>
      </c>
      <c r="Z27" t="s">
        <v>494</v>
      </c>
      <c r="AA27">
        <v>0.99382012268801767</v>
      </c>
      <c r="AB27">
        <v>113.29775071967697</v>
      </c>
      <c r="AD27" t="s">
        <v>357</v>
      </c>
      <c r="AE27" t="s">
        <v>557</v>
      </c>
      <c r="AF27" t="s">
        <v>558</v>
      </c>
      <c r="AG27" t="s">
        <v>10</v>
      </c>
      <c r="AH27" t="s">
        <v>21</v>
      </c>
      <c r="AI27" t="s">
        <v>361</v>
      </c>
      <c r="AJ27" t="s">
        <v>176</v>
      </c>
      <c r="AL27" t="s">
        <v>557</v>
      </c>
      <c r="AM27" t="s">
        <v>660</v>
      </c>
      <c r="AN27" t="s">
        <v>509</v>
      </c>
      <c r="AO27">
        <v>0.99509394394688344</v>
      </c>
      <c r="AP27">
        <v>89.944360973802588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314</v>
      </c>
      <c r="L28">
        <v>36.977533780303148</v>
      </c>
      <c r="M28">
        <v>0.2685151796577373</v>
      </c>
      <c r="O28" t="s">
        <v>357</v>
      </c>
      <c r="P28" t="s">
        <v>394</v>
      </c>
      <c r="Q28" t="s">
        <v>395</v>
      </c>
      <c r="R28" t="s">
        <v>10</v>
      </c>
      <c r="S28" t="s">
        <v>21</v>
      </c>
      <c r="T28" t="s">
        <v>360</v>
      </c>
      <c r="U28" t="s">
        <v>361</v>
      </c>
      <c r="V28" t="s">
        <v>176</v>
      </c>
      <c r="X28" t="s">
        <v>394</v>
      </c>
      <c r="Y28" t="s">
        <v>345</v>
      </c>
      <c r="Z28" t="s">
        <v>495</v>
      </c>
      <c r="AA28">
        <v>0.96824382590461799</v>
      </c>
      <c r="AB28">
        <v>582.19652508200454</v>
      </c>
      <c r="AD28" t="s">
        <v>357</v>
      </c>
      <c r="AE28" t="s">
        <v>559</v>
      </c>
      <c r="AF28" t="s">
        <v>560</v>
      </c>
      <c r="AG28" t="s">
        <v>10</v>
      </c>
      <c r="AH28" t="s">
        <v>21</v>
      </c>
      <c r="AI28" t="s">
        <v>361</v>
      </c>
      <c r="AJ28" t="s">
        <v>176</v>
      </c>
      <c r="AL28" t="s">
        <v>559</v>
      </c>
      <c r="AM28" t="s">
        <v>661</v>
      </c>
      <c r="AN28" t="s">
        <v>495</v>
      </c>
      <c r="AO28">
        <v>0.98558431541919211</v>
      </c>
      <c r="AP28">
        <v>264.28755064814555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315</v>
      </c>
      <c r="L29">
        <v>31.096599708889585</v>
      </c>
      <c r="M29">
        <v>0.27497555623752251</v>
      </c>
      <c r="O29" t="s">
        <v>357</v>
      </c>
      <c r="P29" t="s">
        <v>396</v>
      </c>
      <c r="Q29" t="s">
        <v>397</v>
      </c>
      <c r="R29" t="s">
        <v>10</v>
      </c>
      <c r="S29" t="s">
        <v>21</v>
      </c>
      <c r="T29" t="s">
        <v>360</v>
      </c>
      <c r="U29" t="s">
        <v>361</v>
      </c>
      <c r="V29" t="s">
        <v>176</v>
      </c>
      <c r="X29" t="s">
        <v>396</v>
      </c>
      <c r="Y29" t="s">
        <v>313</v>
      </c>
      <c r="Z29" t="s">
        <v>483</v>
      </c>
      <c r="AA29">
        <v>0.99706391072645384</v>
      </c>
      <c r="AB29">
        <v>53.828303348345614</v>
      </c>
      <c r="AD29" t="s">
        <v>357</v>
      </c>
      <c r="AE29" t="s">
        <v>561</v>
      </c>
      <c r="AF29" t="s">
        <v>562</v>
      </c>
      <c r="AG29" t="s">
        <v>10</v>
      </c>
      <c r="AH29" t="s">
        <v>21</v>
      </c>
      <c r="AI29" t="s">
        <v>361</v>
      </c>
      <c r="AJ29" t="s">
        <v>176</v>
      </c>
      <c r="AL29" t="s">
        <v>561</v>
      </c>
      <c r="AM29" t="s">
        <v>662</v>
      </c>
      <c r="AN29" t="s">
        <v>489</v>
      </c>
      <c r="AO29">
        <v>0.99417168399542333</v>
      </c>
      <c r="AP29">
        <v>106.85246008390632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316</v>
      </c>
      <c r="L30">
        <v>49.573242837290081</v>
      </c>
      <c r="M30">
        <v>0.27065201105380288</v>
      </c>
      <c r="O30" t="s">
        <v>357</v>
      </c>
      <c r="P30" t="s">
        <v>398</v>
      </c>
      <c r="Q30" t="s">
        <v>399</v>
      </c>
      <c r="R30" t="s">
        <v>10</v>
      </c>
      <c r="S30" t="s">
        <v>21</v>
      </c>
      <c r="T30" t="s">
        <v>360</v>
      </c>
      <c r="U30" t="s">
        <v>361</v>
      </c>
      <c r="V30" t="s">
        <v>176</v>
      </c>
      <c r="X30" t="s">
        <v>398</v>
      </c>
      <c r="Y30" t="s">
        <v>304</v>
      </c>
      <c r="Z30" t="s">
        <v>487</v>
      </c>
      <c r="AA30">
        <v>0.99602776752751798</v>
      </c>
      <c r="AB30">
        <v>72.824261995504671</v>
      </c>
      <c r="AD30" t="s">
        <v>357</v>
      </c>
      <c r="AE30" t="s">
        <v>563</v>
      </c>
      <c r="AF30" t="s">
        <v>564</v>
      </c>
      <c r="AG30" t="s">
        <v>10</v>
      </c>
      <c r="AH30" t="s">
        <v>21</v>
      </c>
      <c r="AI30" t="s">
        <v>361</v>
      </c>
      <c r="AJ30" t="s">
        <v>176</v>
      </c>
      <c r="AL30" t="s">
        <v>563</v>
      </c>
      <c r="AM30" t="s">
        <v>663</v>
      </c>
      <c r="AN30" t="s">
        <v>507</v>
      </c>
      <c r="AO30">
        <v>0.99597196524055454</v>
      </c>
      <c r="AP30">
        <v>73.847303923166677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317</v>
      </c>
      <c r="L31">
        <v>40.866130335914086</v>
      </c>
      <c r="M31">
        <v>0.26869601256533088</v>
      </c>
      <c r="O31" t="s">
        <v>357</v>
      </c>
      <c r="P31" t="s">
        <v>400</v>
      </c>
      <c r="Q31" t="s">
        <v>401</v>
      </c>
      <c r="R31" t="s">
        <v>10</v>
      </c>
      <c r="S31" t="s">
        <v>21</v>
      </c>
      <c r="T31" t="s">
        <v>360</v>
      </c>
      <c r="U31" t="s">
        <v>361</v>
      </c>
      <c r="V31" t="s">
        <v>176</v>
      </c>
      <c r="X31" t="s">
        <v>400</v>
      </c>
      <c r="Y31" t="s">
        <v>309</v>
      </c>
      <c r="Z31" t="s">
        <v>496</v>
      </c>
      <c r="AA31">
        <v>0.99602904965813843</v>
      </c>
      <c r="AB31">
        <v>72.800756267461594</v>
      </c>
      <c r="AD31" t="s">
        <v>357</v>
      </c>
      <c r="AE31" t="s">
        <v>565</v>
      </c>
      <c r="AF31" t="s">
        <v>566</v>
      </c>
      <c r="AG31" t="s">
        <v>10</v>
      </c>
      <c r="AH31" t="s">
        <v>21</v>
      </c>
      <c r="AI31" t="s">
        <v>361</v>
      </c>
      <c r="AJ31" t="s">
        <v>176</v>
      </c>
      <c r="AL31" t="s">
        <v>565</v>
      </c>
      <c r="AM31" t="s">
        <v>664</v>
      </c>
      <c r="AN31" t="s">
        <v>498</v>
      </c>
      <c r="AO31">
        <v>0.99592841699385404</v>
      </c>
      <c r="AP31">
        <v>74.645688446009217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318</v>
      </c>
      <c r="L32">
        <v>42.261066991323048</v>
      </c>
      <c r="M32">
        <v>0.26934632509674411</v>
      </c>
      <c r="O32" t="s">
        <v>357</v>
      </c>
      <c r="P32" t="s">
        <v>402</v>
      </c>
      <c r="Q32" t="s">
        <v>403</v>
      </c>
      <c r="R32" t="s">
        <v>10</v>
      </c>
      <c r="S32" t="s">
        <v>21</v>
      </c>
      <c r="T32" t="s">
        <v>360</v>
      </c>
      <c r="U32" t="s">
        <v>361</v>
      </c>
      <c r="V32" t="s">
        <v>176</v>
      </c>
      <c r="X32" t="s">
        <v>402</v>
      </c>
      <c r="Y32" t="s">
        <v>336</v>
      </c>
      <c r="Z32" t="s">
        <v>497</v>
      </c>
      <c r="AA32">
        <v>0.99749200922554471</v>
      </c>
      <c r="AB32">
        <v>45.979830865013916</v>
      </c>
      <c r="AD32" t="s">
        <v>357</v>
      </c>
      <c r="AE32" t="s">
        <v>567</v>
      </c>
      <c r="AF32" t="s">
        <v>568</v>
      </c>
      <c r="AG32" t="s">
        <v>10</v>
      </c>
      <c r="AH32" t="s">
        <v>21</v>
      </c>
      <c r="AI32" t="s">
        <v>361</v>
      </c>
      <c r="AJ32" t="s">
        <v>176</v>
      </c>
      <c r="AL32" t="s">
        <v>567</v>
      </c>
      <c r="AM32" t="s">
        <v>665</v>
      </c>
      <c r="AN32" t="s">
        <v>503</v>
      </c>
      <c r="AO32">
        <v>0.99603503633032486</v>
      </c>
      <c r="AP32">
        <v>72.691000610711512</v>
      </c>
    </row>
    <row r="33" spans="2:42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319</v>
      </c>
      <c r="L33">
        <v>45.034413858890922</v>
      </c>
      <c r="M33">
        <v>0.27197969610000788</v>
      </c>
      <c r="O33" t="s">
        <v>357</v>
      </c>
      <c r="P33" t="s">
        <v>404</v>
      </c>
      <c r="Q33" t="s">
        <v>405</v>
      </c>
      <c r="R33" t="s">
        <v>10</v>
      </c>
      <c r="S33" t="s">
        <v>21</v>
      </c>
      <c r="T33" t="s">
        <v>360</v>
      </c>
      <c r="U33" t="s">
        <v>361</v>
      </c>
      <c r="V33" t="s">
        <v>176</v>
      </c>
      <c r="X33" t="s">
        <v>404</v>
      </c>
      <c r="Y33" t="s">
        <v>320</v>
      </c>
      <c r="Z33" t="s">
        <v>498</v>
      </c>
      <c r="AA33">
        <v>0.99640650307416712</v>
      </c>
      <c r="AB33">
        <v>65.880776973603034</v>
      </c>
      <c r="AD33" t="s">
        <v>357</v>
      </c>
      <c r="AE33" t="s">
        <v>569</v>
      </c>
      <c r="AF33" t="s">
        <v>570</v>
      </c>
      <c r="AG33" t="s">
        <v>10</v>
      </c>
      <c r="AH33" t="s">
        <v>21</v>
      </c>
      <c r="AI33" t="s">
        <v>361</v>
      </c>
      <c r="AJ33" t="s">
        <v>176</v>
      </c>
      <c r="AL33" t="s">
        <v>569</v>
      </c>
      <c r="AM33" t="s">
        <v>666</v>
      </c>
      <c r="AN33" t="s">
        <v>495</v>
      </c>
      <c r="AO33">
        <v>0.98797149625219505</v>
      </c>
      <c r="AP33">
        <v>220.5225687097583</v>
      </c>
    </row>
    <row r="34" spans="2:42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320</v>
      </c>
      <c r="L34">
        <v>55.906804365674127</v>
      </c>
      <c r="M34">
        <v>0.2709146117107305</v>
      </c>
      <c r="O34" t="s">
        <v>357</v>
      </c>
      <c r="P34" t="s">
        <v>406</v>
      </c>
      <c r="Q34" t="s">
        <v>407</v>
      </c>
      <c r="R34" t="s">
        <v>10</v>
      </c>
      <c r="S34" t="s">
        <v>21</v>
      </c>
      <c r="T34" t="s">
        <v>360</v>
      </c>
      <c r="U34" t="s">
        <v>361</v>
      </c>
      <c r="V34" t="s">
        <v>176</v>
      </c>
      <c r="X34" t="s">
        <v>406</v>
      </c>
      <c r="Y34" t="s">
        <v>316</v>
      </c>
      <c r="Z34" t="s">
        <v>499</v>
      </c>
      <c r="AA34">
        <v>0.99464283064821435</v>
      </c>
      <c r="AB34">
        <v>98.214771449403088</v>
      </c>
      <c r="AD34" t="s">
        <v>357</v>
      </c>
      <c r="AE34" t="s">
        <v>571</v>
      </c>
      <c r="AF34" t="s">
        <v>572</v>
      </c>
      <c r="AG34" t="s">
        <v>10</v>
      </c>
      <c r="AH34" t="s">
        <v>21</v>
      </c>
      <c r="AI34" t="s">
        <v>361</v>
      </c>
      <c r="AJ34" t="s">
        <v>176</v>
      </c>
      <c r="AL34" t="s">
        <v>571</v>
      </c>
      <c r="AM34" t="s">
        <v>667</v>
      </c>
      <c r="AN34" t="s">
        <v>668</v>
      </c>
      <c r="AO34">
        <v>0.99095642121575722</v>
      </c>
      <c r="AP34">
        <v>165.79894437778461</v>
      </c>
    </row>
    <row r="35" spans="2:42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321</v>
      </c>
      <c r="L35">
        <v>37.300126929364929</v>
      </c>
      <c r="M35">
        <v>0.26695190916811412</v>
      </c>
      <c r="O35" t="s">
        <v>357</v>
      </c>
      <c r="P35" t="s">
        <v>408</v>
      </c>
      <c r="Q35" t="s">
        <v>409</v>
      </c>
      <c r="R35" t="s">
        <v>10</v>
      </c>
      <c r="S35" t="s">
        <v>21</v>
      </c>
      <c r="T35" t="s">
        <v>360</v>
      </c>
      <c r="U35" t="s">
        <v>361</v>
      </c>
      <c r="V35" t="s">
        <v>176</v>
      </c>
      <c r="X35" t="s">
        <v>408</v>
      </c>
      <c r="Y35" t="s">
        <v>342</v>
      </c>
      <c r="Z35" t="s">
        <v>500</v>
      </c>
      <c r="AA35">
        <v>0.98546614984935366</v>
      </c>
      <c r="AB35">
        <v>266.45391942851705</v>
      </c>
      <c r="AD35" t="s">
        <v>357</v>
      </c>
      <c r="AE35" t="s">
        <v>573</v>
      </c>
      <c r="AF35" t="s">
        <v>574</v>
      </c>
      <c r="AG35" t="s">
        <v>10</v>
      </c>
      <c r="AH35" t="s">
        <v>21</v>
      </c>
      <c r="AI35" t="s">
        <v>361</v>
      </c>
      <c r="AJ35" t="s">
        <v>176</v>
      </c>
      <c r="AL35" t="s">
        <v>573</v>
      </c>
      <c r="AM35" t="s">
        <v>669</v>
      </c>
      <c r="AN35" t="s">
        <v>670</v>
      </c>
      <c r="AO35">
        <v>0.97944419839266028</v>
      </c>
      <c r="AP35">
        <v>376.85636280122765</v>
      </c>
    </row>
    <row r="36" spans="2:42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322</v>
      </c>
      <c r="L36">
        <v>26.310021879287699</v>
      </c>
      <c r="M36">
        <v>0.26310826118915848</v>
      </c>
      <c r="O36" t="s">
        <v>357</v>
      </c>
      <c r="P36" t="s">
        <v>410</v>
      </c>
      <c r="Q36" t="s">
        <v>411</v>
      </c>
      <c r="R36" t="s">
        <v>10</v>
      </c>
      <c r="S36" t="s">
        <v>21</v>
      </c>
      <c r="T36" t="s">
        <v>360</v>
      </c>
      <c r="U36" t="s">
        <v>361</v>
      </c>
      <c r="V36" t="s">
        <v>176</v>
      </c>
      <c r="X36" t="s">
        <v>410</v>
      </c>
      <c r="Y36" t="s">
        <v>346</v>
      </c>
      <c r="Z36" t="s">
        <v>495</v>
      </c>
      <c r="AA36">
        <v>0.97830467520421338</v>
      </c>
      <c r="AB36">
        <v>397.74762125608811</v>
      </c>
      <c r="AD36" t="s">
        <v>357</v>
      </c>
      <c r="AE36" t="s">
        <v>575</v>
      </c>
      <c r="AF36" t="s">
        <v>576</v>
      </c>
      <c r="AG36" t="s">
        <v>10</v>
      </c>
      <c r="AH36" t="s">
        <v>21</v>
      </c>
      <c r="AI36" t="s">
        <v>361</v>
      </c>
      <c r="AJ36" t="s">
        <v>176</v>
      </c>
      <c r="AL36" t="s">
        <v>575</v>
      </c>
      <c r="AM36" t="s">
        <v>671</v>
      </c>
      <c r="AN36" t="s">
        <v>672</v>
      </c>
      <c r="AO36">
        <v>0.99537388871055088</v>
      </c>
      <c r="AP36">
        <v>84.812040306566487</v>
      </c>
    </row>
    <row r="37" spans="2:42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323</v>
      </c>
      <c r="L37">
        <v>32.600403273378411</v>
      </c>
      <c r="M37">
        <v>0.26318153137852468</v>
      </c>
      <c r="O37" t="s">
        <v>357</v>
      </c>
      <c r="P37" t="s">
        <v>412</v>
      </c>
      <c r="Q37" t="s">
        <v>413</v>
      </c>
      <c r="R37" t="s">
        <v>10</v>
      </c>
      <c r="S37" t="s">
        <v>21</v>
      </c>
      <c r="T37" t="s">
        <v>360</v>
      </c>
      <c r="U37" t="s">
        <v>361</v>
      </c>
      <c r="V37" t="s">
        <v>176</v>
      </c>
      <c r="X37" t="s">
        <v>412</v>
      </c>
      <c r="Y37" t="s">
        <v>308</v>
      </c>
      <c r="Z37" t="s">
        <v>501</v>
      </c>
      <c r="AA37">
        <v>0.99355869656544038</v>
      </c>
      <c r="AB37">
        <v>118.09056296692671</v>
      </c>
      <c r="AD37" t="s">
        <v>357</v>
      </c>
      <c r="AE37" t="s">
        <v>577</v>
      </c>
      <c r="AF37" t="s">
        <v>578</v>
      </c>
      <c r="AG37" t="s">
        <v>10</v>
      </c>
      <c r="AH37" t="s">
        <v>21</v>
      </c>
      <c r="AI37" t="s">
        <v>361</v>
      </c>
      <c r="AJ37" t="s">
        <v>176</v>
      </c>
      <c r="AL37" t="s">
        <v>577</v>
      </c>
      <c r="AM37" t="s">
        <v>673</v>
      </c>
      <c r="AN37" t="s">
        <v>487</v>
      </c>
      <c r="AO37">
        <v>0.99434230684812941</v>
      </c>
      <c r="AP37">
        <v>103.72437445096114</v>
      </c>
    </row>
    <row r="38" spans="2:42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324</v>
      </c>
      <c r="L38">
        <v>44.919098068137458</v>
      </c>
      <c r="M38">
        <v>0.26708676292115791</v>
      </c>
      <c r="O38" t="s">
        <v>357</v>
      </c>
      <c r="P38" t="s">
        <v>414</v>
      </c>
      <c r="Q38" t="s">
        <v>415</v>
      </c>
      <c r="R38" t="s">
        <v>10</v>
      </c>
      <c r="S38" t="s">
        <v>21</v>
      </c>
      <c r="T38" t="s">
        <v>360</v>
      </c>
      <c r="U38" t="s">
        <v>361</v>
      </c>
      <c r="V38" t="s">
        <v>176</v>
      </c>
      <c r="X38" t="s">
        <v>414</v>
      </c>
      <c r="Y38" t="s">
        <v>315</v>
      </c>
      <c r="Z38" t="s">
        <v>502</v>
      </c>
      <c r="AA38">
        <v>0.99465554801301226</v>
      </c>
      <c r="AB38">
        <v>97.981619761441394</v>
      </c>
      <c r="AD38" t="s">
        <v>357</v>
      </c>
      <c r="AE38" t="s">
        <v>579</v>
      </c>
      <c r="AF38" t="s">
        <v>580</v>
      </c>
      <c r="AG38" t="s">
        <v>10</v>
      </c>
      <c r="AH38" t="s">
        <v>21</v>
      </c>
      <c r="AI38" t="s">
        <v>361</v>
      </c>
      <c r="AJ38" t="s">
        <v>176</v>
      </c>
      <c r="AL38" t="s">
        <v>579</v>
      </c>
      <c r="AM38" t="s">
        <v>674</v>
      </c>
      <c r="AN38" t="s">
        <v>675</v>
      </c>
      <c r="AO38">
        <v>0.99568064166004167</v>
      </c>
      <c r="AP38">
        <v>79.188236232570304</v>
      </c>
    </row>
    <row r="39" spans="2:42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325</v>
      </c>
      <c r="L39">
        <v>48.939694357921937</v>
      </c>
      <c r="M39">
        <v>0.26538654815332152</v>
      </c>
      <c r="O39" t="s">
        <v>357</v>
      </c>
      <c r="P39" t="s">
        <v>416</v>
      </c>
      <c r="Q39" t="s">
        <v>417</v>
      </c>
      <c r="R39" t="s">
        <v>10</v>
      </c>
      <c r="S39" t="s">
        <v>21</v>
      </c>
      <c r="T39" t="s">
        <v>360</v>
      </c>
      <c r="U39" t="s">
        <v>361</v>
      </c>
      <c r="V39" t="s">
        <v>176</v>
      </c>
      <c r="X39" t="s">
        <v>416</v>
      </c>
      <c r="Y39" t="s">
        <v>317</v>
      </c>
      <c r="Z39" t="s">
        <v>503</v>
      </c>
      <c r="AA39">
        <v>0.99559588972333779</v>
      </c>
      <c r="AB39">
        <v>80.74202173880623</v>
      </c>
      <c r="AD39" t="s">
        <v>357</v>
      </c>
      <c r="AE39" t="s">
        <v>581</v>
      </c>
      <c r="AF39" t="s">
        <v>582</v>
      </c>
      <c r="AG39" t="s">
        <v>10</v>
      </c>
      <c r="AH39" t="s">
        <v>21</v>
      </c>
      <c r="AI39" t="s">
        <v>361</v>
      </c>
      <c r="AJ39" t="s">
        <v>176</v>
      </c>
      <c r="AL39" t="s">
        <v>581</v>
      </c>
      <c r="AM39" t="s">
        <v>676</v>
      </c>
      <c r="AN39" t="s">
        <v>677</v>
      </c>
      <c r="AO39">
        <v>0.99461370887370582</v>
      </c>
      <c r="AP39">
        <v>98.74867064872727</v>
      </c>
    </row>
    <row r="40" spans="2:42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326</v>
      </c>
      <c r="L40">
        <v>85.151507551238964</v>
      </c>
      <c r="M40">
        <v>0.26944291543723897</v>
      </c>
      <c r="O40" t="s">
        <v>357</v>
      </c>
      <c r="P40" t="s">
        <v>418</v>
      </c>
      <c r="Q40" t="s">
        <v>419</v>
      </c>
      <c r="R40" t="s">
        <v>10</v>
      </c>
      <c r="S40" t="s">
        <v>21</v>
      </c>
      <c r="T40" t="s">
        <v>360</v>
      </c>
      <c r="U40" t="s">
        <v>361</v>
      </c>
      <c r="V40" t="s">
        <v>176</v>
      </c>
      <c r="X40" t="s">
        <v>418</v>
      </c>
      <c r="Y40" t="s">
        <v>328</v>
      </c>
      <c r="Z40" t="s">
        <v>504</v>
      </c>
      <c r="AA40">
        <v>0.99304688575783195</v>
      </c>
      <c r="AB40">
        <v>127.47376110641395</v>
      </c>
      <c r="AD40" t="s">
        <v>357</v>
      </c>
      <c r="AE40" t="s">
        <v>583</v>
      </c>
      <c r="AF40" t="s">
        <v>584</v>
      </c>
      <c r="AG40" t="s">
        <v>10</v>
      </c>
      <c r="AH40" t="s">
        <v>21</v>
      </c>
      <c r="AI40" t="s">
        <v>361</v>
      </c>
      <c r="AJ40" t="s">
        <v>176</v>
      </c>
      <c r="AL40" t="s">
        <v>583</v>
      </c>
      <c r="AM40" t="s">
        <v>678</v>
      </c>
      <c r="AN40" t="s">
        <v>495</v>
      </c>
      <c r="AO40">
        <v>0.99733419165525339</v>
      </c>
      <c r="AP40">
        <v>48.873152987020767</v>
      </c>
    </row>
    <row r="41" spans="2:42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327</v>
      </c>
      <c r="L41">
        <v>44.903963485689772</v>
      </c>
      <c r="M41">
        <v>0.26828222763327297</v>
      </c>
      <c r="O41" t="s">
        <v>357</v>
      </c>
      <c r="P41" t="s">
        <v>420</v>
      </c>
      <c r="Q41" t="s">
        <v>421</v>
      </c>
      <c r="R41" t="s">
        <v>10</v>
      </c>
      <c r="S41" t="s">
        <v>21</v>
      </c>
      <c r="T41" t="s">
        <v>360</v>
      </c>
      <c r="U41" t="s">
        <v>361</v>
      </c>
      <c r="V41" t="s">
        <v>176</v>
      </c>
      <c r="X41" t="s">
        <v>420</v>
      </c>
      <c r="Y41" t="s">
        <v>326</v>
      </c>
      <c r="Z41" t="s">
        <v>505</v>
      </c>
      <c r="AA41">
        <v>0.99457914346098975</v>
      </c>
      <c r="AB41">
        <v>99.382369881854956</v>
      </c>
      <c r="AD41" t="s">
        <v>357</v>
      </c>
      <c r="AE41" t="s">
        <v>585</v>
      </c>
      <c r="AF41" t="s">
        <v>586</v>
      </c>
      <c r="AG41" t="s">
        <v>10</v>
      </c>
      <c r="AH41" t="s">
        <v>21</v>
      </c>
      <c r="AI41" t="s">
        <v>361</v>
      </c>
      <c r="AJ41" t="s">
        <v>176</v>
      </c>
      <c r="AL41" t="s">
        <v>585</v>
      </c>
      <c r="AM41" t="s">
        <v>679</v>
      </c>
      <c r="AN41" t="s">
        <v>680</v>
      </c>
      <c r="AO41">
        <v>0.99869856811798607</v>
      </c>
      <c r="AP41">
        <v>23.859584503589375</v>
      </c>
    </row>
    <row r="42" spans="2:42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328</v>
      </c>
      <c r="L42">
        <v>63.443614929566159</v>
      </c>
      <c r="M42">
        <v>0.26616679170013641</v>
      </c>
      <c r="O42" t="s">
        <v>357</v>
      </c>
      <c r="P42" t="s">
        <v>422</v>
      </c>
      <c r="Q42" t="s">
        <v>423</v>
      </c>
      <c r="R42" t="s">
        <v>10</v>
      </c>
      <c r="S42" t="s">
        <v>21</v>
      </c>
      <c r="T42" t="s">
        <v>360</v>
      </c>
      <c r="U42" t="s">
        <v>361</v>
      </c>
      <c r="V42" t="s">
        <v>176</v>
      </c>
      <c r="X42" t="s">
        <v>422</v>
      </c>
      <c r="Y42" t="s">
        <v>349</v>
      </c>
      <c r="Z42" t="s">
        <v>506</v>
      </c>
      <c r="AA42">
        <v>0.99071604796665225</v>
      </c>
      <c r="AB42">
        <v>170.20578727804204</v>
      </c>
      <c r="AD42" t="s">
        <v>357</v>
      </c>
      <c r="AE42" t="s">
        <v>587</v>
      </c>
      <c r="AF42" t="s">
        <v>588</v>
      </c>
      <c r="AG42" t="s">
        <v>10</v>
      </c>
      <c r="AH42" t="s">
        <v>21</v>
      </c>
      <c r="AI42" t="s">
        <v>361</v>
      </c>
      <c r="AJ42" t="s">
        <v>176</v>
      </c>
      <c r="AL42" t="s">
        <v>587</v>
      </c>
      <c r="AM42" t="s">
        <v>681</v>
      </c>
      <c r="AN42" t="s">
        <v>682</v>
      </c>
      <c r="AO42">
        <v>0.99571112389324046</v>
      </c>
      <c r="AP42">
        <v>78.629395290591617</v>
      </c>
    </row>
    <row r="43" spans="2:42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329</v>
      </c>
      <c r="L43">
        <v>63.832018015921584</v>
      </c>
      <c r="M43">
        <v>0.27367188614482829</v>
      </c>
      <c r="O43" t="s">
        <v>357</v>
      </c>
      <c r="P43" t="s">
        <v>424</v>
      </c>
      <c r="Q43" t="s">
        <v>425</v>
      </c>
      <c r="R43" t="s">
        <v>10</v>
      </c>
      <c r="S43" t="s">
        <v>21</v>
      </c>
      <c r="T43" t="s">
        <v>360</v>
      </c>
      <c r="U43" t="s">
        <v>361</v>
      </c>
      <c r="V43" t="s">
        <v>176</v>
      </c>
      <c r="X43" t="s">
        <v>424</v>
      </c>
      <c r="Y43" t="s">
        <v>347</v>
      </c>
      <c r="Z43" t="s">
        <v>495</v>
      </c>
      <c r="AA43">
        <v>0.98761355430624809</v>
      </c>
      <c r="AB43">
        <v>227.08483771878468</v>
      </c>
      <c r="AD43" t="s">
        <v>357</v>
      </c>
      <c r="AE43" t="s">
        <v>589</v>
      </c>
      <c r="AF43" t="s">
        <v>590</v>
      </c>
      <c r="AG43" t="s">
        <v>10</v>
      </c>
      <c r="AH43" t="s">
        <v>21</v>
      </c>
      <c r="AI43" t="s">
        <v>361</v>
      </c>
      <c r="AJ43" t="s">
        <v>176</v>
      </c>
      <c r="AL43" t="s">
        <v>589</v>
      </c>
      <c r="AM43" t="s">
        <v>683</v>
      </c>
      <c r="AN43" t="s">
        <v>684</v>
      </c>
      <c r="AO43">
        <v>0.99137249123357829</v>
      </c>
      <c r="AP43">
        <v>158.17099405106532</v>
      </c>
    </row>
    <row r="44" spans="2:42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330</v>
      </c>
      <c r="L44">
        <v>100.77590882062773</v>
      </c>
      <c r="M44">
        <v>0.27160365341135179</v>
      </c>
      <c r="O44" t="s">
        <v>357</v>
      </c>
      <c r="P44" t="s">
        <v>426</v>
      </c>
      <c r="Q44" t="s">
        <v>427</v>
      </c>
      <c r="R44" t="s">
        <v>10</v>
      </c>
      <c r="S44" t="s">
        <v>21</v>
      </c>
      <c r="T44" t="s">
        <v>360</v>
      </c>
      <c r="U44" t="s">
        <v>361</v>
      </c>
      <c r="V44" t="s">
        <v>176</v>
      </c>
      <c r="X44" t="s">
        <v>426</v>
      </c>
      <c r="Y44" t="s">
        <v>344</v>
      </c>
      <c r="Z44" t="s">
        <v>495</v>
      </c>
      <c r="AA44">
        <v>0.97378904282165912</v>
      </c>
      <c r="AB44">
        <v>480.53421493624944</v>
      </c>
      <c r="AD44" t="s">
        <v>357</v>
      </c>
      <c r="AE44" t="s">
        <v>591</v>
      </c>
      <c r="AF44" t="s">
        <v>592</v>
      </c>
      <c r="AG44" t="s">
        <v>10</v>
      </c>
      <c r="AH44" t="s">
        <v>21</v>
      </c>
      <c r="AI44" t="s">
        <v>361</v>
      </c>
      <c r="AJ44" t="s">
        <v>176</v>
      </c>
      <c r="AL44" t="s">
        <v>591</v>
      </c>
      <c r="AM44" t="s">
        <v>685</v>
      </c>
      <c r="AN44" t="s">
        <v>510</v>
      </c>
      <c r="AO44">
        <v>0.99599332454910006</v>
      </c>
      <c r="AP44">
        <v>73.455716599831945</v>
      </c>
    </row>
    <row r="45" spans="2:42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331</v>
      </c>
      <c r="L45">
        <v>32.539392136564267</v>
      </c>
      <c r="M45">
        <v>0.26855343828479838</v>
      </c>
      <c r="O45" t="s">
        <v>357</v>
      </c>
      <c r="P45" t="s">
        <v>428</v>
      </c>
      <c r="Q45" t="s">
        <v>429</v>
      </c>
      <c r="R45" t="s">
        <v>10</v>
      </c>
      <c r="S45" t="s">
        <v>21</v>
      </c>
      <c r="T45" t="s">
        <v>360</v>
      </c>
      <c r="U45" t="s">
        <v>361</v>
      </c>
      <c r="V45" t="s">
        <v>176</v>
      </c>
      <c r="X45" t="s">
        <v>428</v>
      </c>
      <c r="Y45" t="s">
        <v>305</v>
      </c>
      <c r="Z45" t="s">
        <v>507</v>
      </c>
      <c r="AA45">
        <v>0.995726462869435</v>
      </c>
      <c r="AB45">
        <v>78.348180727024172</v>
      </c>
      <c r="AD45" t="s">
        <v>357</v>
      </c>
      <c r="AE45" t="s">
        <v>593</v>
      </c>
      <c r="AF45" t="s">
        <v>594</v>
      </c>
      <c r="AG45" t="s">
        <v>10</v>
      </c>
      <c r="AH45" t="s">
        <v>21</v>
      </c>
      <c r="AI45" t="s">
        <v>361</v>
      </c>
      <c r="AJ45" t="s">
        <v>176</v>
      </c>
      <c r="AL45" t="s">
        <v>593</v>
      </c>
      <c r="AM45" t="s">
        <v>686</v>
      </c>
      <c r="AN45" t="s">
        <v>687</v>
      </c>
      <c r="AO45">
        <v>0.9911615033183967</v>
      </c>
      <c r="AP45">
        <v>162.03910582939466</v>
      </c>
    </row>
    <row r="46" spans="2:42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332</v>
      </c>
      <c r="L46">
        <v>52.337064837980478</v>
      </c>
      <c r="M46">
        <v>0.26834918539741232</v>
      </c>
      <c r="O46" t="s">
        <v>357</v>
      </c>
      <c r="P46" t="s">
        <v>430</v>
      </c>
      <c r="Q46" t="s">
        <v>431</v>
      </c>
      <c r="R46" t="s">
        <v>10</v>
      </c>
      <c r="S46" t="s">
        <v>21</v>
      </c>
      <c r="T46" t="s">
        <v>360</v>
      </c>
      <c r="U46" t="s">
        <v>361</v>
      </c>
      <c r="V46" t="s">
        <v>176</v>
      </c>
      <c r="X46" t="s">
        <v>430</v>
      </c>
      <c r="Y46" t="s">
        <v>339</v>
      </c>
      <c r="Z46" t="s">
        <v>508</v>
      </c>
      <c r="AA46">
        <v>0.99619958478128956</v>
      </c>
      <c r="AB46">
        <v>69.674279009690451</v>
      </c>
      <c r="AD46" t="s">
        <v>357</v>
      </c>
      <c r="AE46" t="s">
        <v>595</v>
      </c>
      <c r="AF46" t="s">
        <v>596</v>
      </c>
      <c r="AG46" t="s">
        <v>10</v>
      </c>
      <c r="AH46" t="s">
        <v>21</v>
      </c>
      <c r="AI46" t="s">
        <v>361</v>
      </c>
      <c r="AJ46" t="s">
        <v>176</v>
      </c>
      <c r="AL46" t="s">
        <v>595</v>
      </c>
      <c r="AM46" t="s">
        <v>688</v>
      </c>
      <c r="AN46" t="s">
        <v>482</v>
      </c>
      <c r="AO46">
        <v>0.99250307717988995</v>
      </c>
      <c r="AP46">
        <v>137.44358503535005</v>
      </c>
    </row>
    <row r="47" spans="2:42">
      <c r="B47" t="s">
        <v>172</v>
      </c>
      <c r="C47" t="s">
        <v>247</v>
      </c>
      <c r="D47" t="s">
        <v>248</v>
      </c>
      <c r="E47" t="s">
        <v>10</v>
      </c>
      <c r="F47" t="s">
        <v>21</v>
      </c>
      <c r="G47" t="s">
        <v>175</v>
      </c>
      <c r="H47" t="s">
        <v>176</v>
      </c>
      <c r="J47" t="s">
        <v>247</v>
      </c>
      <c r="K47" t="s">
        <v>333</v>
      </c>
      <c r="L47">
        <v>52.572580010764497</v>
      </c>
      <c r="M47">
        <v>0.27191659241517679</v>
      </c>
      <c r="O47" t="s">
        <v>357</v>
      </c>
      <c r="P47" t="s">
        <v>432</v>
      </c>
      <c r="Q47" t="s">
        <v>433</v>
      </c>
      <c r="R47" t="s">
        <v>10</v>
      </c>
      <c r="S47" t="s">
        <v>21</v>
      </c>
      <c r="T47" t="s">
        <v>360</v>
      </c>
      <c r="U47" t="s">
        <v>361</v>
      </c>
      <c r="V47" t="s">
        <v>176</v>
      </c>
      <c r="X47" t="s">
        <v>432</v>
      </c>
      <c r="Y47" t="s">
        <v>319</v>
      </c>
      <c r="Z47" t="s">
        <v>509</v>
      </c>
      <c r="AA47">
        <v>0.99467344166593308</v>
      </c>
      <c r="AB47">
        <v>97.65356945789361</v>
      </c>
      <c r="AD47" t="s">
        <v>357</v>
      </c>
      <c r="AE47" t="s">
        <v>597</v>
      </c>
      <c r="AF47" t="s">
        <v>598</v>
      </c>
      <c r="AG47" t="s">
        <v>10</v>
      </c>
      <c r="AH47" t="s">
        <v>21</v>
      </c>
      <c r="AI47" t="s">
        <v>361</v>
      </c>
      <c r="AJ47" t="s">
        <v>176</v>
      </c>
      <c r="AL47" t="s">
        <v>597</v>
      </c>
      <c r="AM47" t="s">
        <v>689</v>
      </c>
      <c r="AN47" t="s">
        <v>506</v>
      </c>
      <c r="AO47">
        <v>0.99762828135527759</v>
      </c>
      <c r="AP47">
        <v>43.481508486578257</v>
      </c>
    </row>
    <row r="48" spans="2:42">
      <c r="B48" t="s">
        <v>172</v>
      </c>
      <c r="C48" t="s">
        <v>249</v>
      </c>
      <c r="D48" t="s">
        <v>250</v>
      </c>
      <c r="E48" t="s">
        <v>10</v>
      </c>
      <c r="F48" t="s">
        <v>21</v>
      </c>
      <c r="G48" t="s">
        <v>175</v>
      </c>
      <c r="H48" t="s">
        <v>176</v>
      </c>
      <c r="J48" t="s">
        <v>249</v>
      </c>
      <c r="K48" t="s">
        <v>334</v>
      </c>
      <c r="L48">
        <v>22.811245392481641</v>
      </c>
      <c r="M48">
        <v>0.26616500329234521</v>
      </c>
      <c r="O48" t="s">
        <v>357</v>
      </c>
      <c r="P48" t="s">
        <v>434</v>
      </c>
      <c r="Q48" t="s">
        <v>435</v>
      </c>
      <c r="R48" t="s">
        <v>10</v>
      </c>
      <c r="S48" t="s">
        <v>21</v>
      </c>
      <c r="T48" t="s">
        <v>360</v>
      </c>
      <c r="U48" t="s">
        <v>361</v>
      </c>
      <c r="V48" t="s">
        <v>176</v>
      </c>
      <c r="X48" t="s">
        <v>434</v>
      </c>
      <c r="Y48" t="s">
        <v>332</v>
      </c>
      <c r="Z48" t="s">
        <v>510</v>
      </c>
      <c r="AA48">
        <v>0.99453893150792905</v>
      </c>
      <c r="AB48">
        <v>100.11958902130077</v>
      </c>
      <c r="AD48" t="s">
        <v>357</v>
      </c>
      <c r="AE48" t="s">
        <v>599</v>
      </c>
      <c r="AF48" t="s">
        <v>600</v>
      </c>
      <c r="AG48" t="s">
        <v>10</v>
      </c>
      <c r="AH48" t="s">
        <v>21</v>
      </c>
      <c r="AI48" t="s">
        <v>361</v>
      </c>
      <c r="AJ48" t="s">
        <v>176</v>
      </c>
      <c r="AL48" t="s">
        <v>599</v>
      </c>
      <c r="AM48" t="s">
        <v>690</v>
      </c>
      <c r="AN48" t="s">
        <v>486</v>
      </c>
      <c r="AO48">
        <v>0.99814919244123224</v>
      </c>
      <c r="AP48">
        <v>33.93147191074226</v>
      </c>
    </row>
    <row r="49" spans="2:42">
      <c r="B49" t="s">
        <v>172</v>
      </c>
      <c r="C49" t="s">
        <v>251</v>
      </c>
      <c r="D49" t="s">
        <v>252</v>
      </c>
      <c r="E49" t="s">
        <v>10</v>
      </c>
      <c r="F49" t="s">
        <v>21</v>
      </c>
      <c r="G49" t="s">
        <v>175</v>
      </c>
      <c r="H49" t="s">
        <v>176</v>
      </c>
      <c r="J49" t="s">
        <v>251</v>
      </c>
      <c r="K49" t="s">
        <v>335</v>
      </c>
      <c r="L49">
        <v>22.755416815227665</v>
      </c>
      <c r="M49">
        <v>0.26014140289609378</v>
      </c>
      <c r="O49" t="s">
        <v>357</v>
      </c>
      <c r="P49" t="s">
        <v>436</v>
      </c>
      <c r="Q49" t="s">
        <v>437</v>
      </c>
      <c r="R49" t="s">
        <v>10</v>
      </c>
      <c r="S49" t="s">
        <v>21</v>
      </c>
      <c r="T49" t="s">
        <v>360</v>
      </c>
      <c r="U49" t="s">
        <v>361</v>
      </c>
      <c r="V49" t="s">
        <v>176</v>
      </c>
      <c r="X49" t="s">
        <v>436</v>
      </c>
      <c r="Y49" t="s">
        <v>330</v>
      </c>
      <c r="Z49" t="s">
        <v>500</v>
      </c>
      <c r="AA49">
        <v>0.98831357341581272</v>
      </c>
      <c r="AB49">
        <v>214.25115404343418</v>
      </c>
      <c r="AD49" t="s">
        <v>357</v>
      </c>
      <c r="AE49" t="s">
        <v>601</v>
      </c>
      <c r="AF49" t="s">
        <v>602</v>
      </c>
      <c r="AG49" t="s">
        <v>10</v>
      </c>
      <c r="AH49" t="s">
        <v>21</v>
      </c>
      <c r="AI49" t="s">
        <v>361</v>
      </c>
      <c r="AJ49" t="s">
        <v>176</v>
      </c>
      <c r="AL49" t="s">
        <v>601</v>
      </c>
      <c r="AM49" t="s">
        <v>691</v>
      </c>
      <c r="AN49" t="s">
        <v>495</v>
      </c>
      <c r="AO49">
        <v>0.97472259529205563</v>
      </c>
      <c r="AP49">
        <v>463.41908631231416</v>
      </c>
    </row>
    <row r="50" spans="2:42">
      <c r="B50" t="s">
        <v>172</v>
      </c>
      <c r="C50" t="s">
        <v>253</v>
      </c>
      <c r="D50" t="s">
        <v>254</v>
      </c>
      <c r="E50" t="s">
        <v>10</v>
      </c>
      <c r="F50" t="s">
        <v>21</v>
      </c>
      <c r="G50" t="s">
        <v>175</v>
      </c>
      <c r="H50" t="s">
        <v>176</v>
      </c>
      <c r="J50" t="s">
        <v>253</v>
      </c>
      <c r="K50" t="s">
        <v>336</v>
      </c>
      <c r="L50">
        <v>15.801367035795908</v>
      </c>
      <c r="M50">
        <v>0.24269616196106319</v>
      </c>
      <c r="O50" t="s">
        <v>357</v>
      </c>
      <c r="P50" t="s">
        <v>438</v>
      </c>
      <c r="Q50" t="s">
        <v>439</v>
      </c>
      <c r="R50" t="s">
        <v>10</v>
      </c>
      <c r="S50" t="s">
        <v>21</v>
      </c>
      <c r="T50" t="s">
        <v>360</v>
      </c>
      <c r="U50" t="s">
        <v>361</v>
      </c>
      <c r="V50" t="s">
        <v>176</v>
      </c>
      <c r="X50" t="s">
        <v>438</v>
      </c>
      <c r="Y50" t="s">
        <v>307</v>
      </c>
      <c r="Z50" t="s">
        <v>507</v>
      </c>
      <c r="AA50">
        <v>0.99698542937844492</v>
      </c>
      <c r="AB50">
        <v>55.267128061843799</v>
      </c>
      <c r="AD50" t="s">
        <v>357</v>
      </c>
      <c r="AE50" t="s">
        <v>603</v>
      </c>
      <c r="AF50" t="s">
        <v>604</v>
      </c>
      <c r="AG50" t="s">
        <v>10</v>
      </c>
      <c r="AH50" t="s">
        <v>21</v>
      </c>
      <c r="AI50" t="s">
        <v>361</v>
      </c>
      <c r="AJ50" t="s">
        <v>176</v>
      </c>
      <c r="AL50" t="s">
        <v>603</v>
      </c>
      <c r="AM50" t="s">
        <v>692</v>
      </c>
      <c r="AN50" t="s">
        <v>483</v>
      </c>
      <c r="AO50">
        <v>0.99714785329843036</v>
      </c>
      <c r="AP50">
        <v>52.289356195443141</v>
      </c>
    </row>
    <row r="51" spans="2:42">
      <c r="B51" t="s">
        <v>172</v>
      </c>
      <c r="C51" t="s">
        <v>255</v>
      </c>
      <c r="D51" t="s">
        <v>256</v>
      </c>
      <c r="E51" t="s">
        <v>10</v>
      </c>
      <c r="F51" t="s">
        <v>21</v>
      </c>
      <c r="G51" t="s">
        <v>175</v>
      </c>
      <c r="H51" t="s">
        <v>176</v>
      </c>
      <c r="J51" t="s">
        <v>255</v>
      </c>
      <c r="K51" t="s">
        <v>337</v>
      </c>
      <c r="L51">
        <v>11.288301485969663</v>
      </c>
      <c r="M51">
        <v>0.2385585740133071</v>
      </c>
      <c r="O51" t="s">
        <v>357</v>
      </c>
      <c r="P51" t="s">
        <v>440</v>
      </c>
      <c r="Q51" t="s">
        <v>441</v>
      </c>
      <c r="R51" t="s">
        <v>10</v>
      </c>
      <c r="S51" t="s">
        <v>21</v>
      </c>
      <c r="T51" t="s">
        <v>360</v>
      </c>
      <c r="U51" t="s">
        <v>361</v>
      </c>
      <c r="V51" t="s">
        <v>176</v>
      </c>
      <c r="X51" t="s">
        <v>440</v>
      </c>
      <c r="Y51" t="s">
        <v>301</v>
      </c>
      <c r="Z51" t="s">
        <v>511</v>
      </c>
      <c r="AA51">
        <v>0.9934828000061533</v>
      </c>
      <c r="AB51">
        <v>119.4819998871902</v>
      </c>
      <c r="AD51" t="s">
        <v>357</v>
      </c>
      <c r="AE51" t="s">
        <v>605</v>
      </c>
      <c r="AF51" t="s">
        <v>606</v>
      </c>
      <c r="AG51" t="s">
        <v>10</v>
      </c>
      <c r="AH51" t="s">
        <v>21</v>
      </c>
      <c r="AI51" t="s">
        <v>361</v>
      </c>
      <c r="AJ51" t="s">
        <v>176</v>
      </c>
      <c r="AL51" t="s">
        <v>605</v>
      </c>
      <c r="AM51" t="s">
        <v>693</v>
      </c>
      <c r="AN51" t="s">
        <v>482</v>
      </c>
      <c r="AO51">
        <v>0.99216195917442584</v>
      </c>
      <c r="AP51">
        <v>143.69741513552631</v>
      </c>
    </row>
    <row r="52" spans="2:42">
      <c r="B52" t="s">
        <v>172</v>
      </c>
      <c r="C52" t="s">
        <v>257</v>
      </c>
      <c r="D52" t="s">
        <v>258</v>
      </c>
      <c r="E52" t="s">
        <v>10</v>
      </c>
      <c r="F52" t="s">
        <v>21</v>
      </c>
      <c r="G52" t="s">
        <v>175</v>
      </c>
      <c r="H52" t="s">
        <v>176</v>
      </c>
      <c r="J52" t="s">
        <v>257</v>
      </c>
      <c r="K52" t="s">
        <v>338</v>
      </c>
      <c r="L52">
        <v>40.483646118211951</v>
      </c>
      <c r="M52">
        <v>0.26765376454782791</v>
      </c>
      <c r="O52" t="s">
        <v>357</v>
      </c>
      <c r="P52" t="s">
        <v>442</v>
      </c>
      <c r="Q52" t="s">
        <v>443</v>
      </c>
      <c r="R52" t="s">
        <v>10</v>
      </c>
      <c r="S52" t="s">
        <v>21</v>
      </c>
      <c r="T52" t="s">
        <v>360</v>
      </c>
      <c r="U52" t="s">
        <v>361</v>
      </c>
      <c r="V52" t="s">
        <v>176</v>
      </c>
      <c r="X52" t="s">
        <v>442</v>
      </c>
      <c r="Y52" t="s">
        <v>303</v>
      </c>
      <c r="Z52" t="s">
        <v>512</v>
      </c>
      <c r="AA52">
        <v>0.99321708163681277</v>
      </c>
      <c r="AB52">
        <v>124.35350332509935</v>
      </c>
      <c r="AD52" t="s">
        <v>357</v>
      </c>
      <c r="AE52" t="s">
        <v>607</v>
      </c>
      <c r="AF52" t="s">
        <v>608</v>
      </c>
      <c r="AG52" t="s">
        <v>10</v>
      </c>
      <c r="AH52" t="s">
        <v>21</v>
      </c>
      <c r="AI52" t="s">
        <v>361</v>
      </c>
      <c r="AJ52" t="s">
        <v>176</v>
      </c>
      <c r="AL52" t="s">
        <v>607</v>
      </c>
      <c r="AM52" t="s">
        <v>694</v>
      </c>
      <c r="AN52" t="s">
        <v>695</v>
      </c>
      <c r="AO52">
        <v>0.99621578293196666</v>
      </c>
      <c r="AP52">
        <v>69.377312913945246</v>
      </c>
    </row>
    <row r="53" spans="2:42">
      <c r="B53" t="s">
        <v>172</v>
      </c>
      <c r="C53" t="s">
        <v>259</v>
      </c>
      <c r="D53" t="s">
        <v>260</v>
      </c>
      <c r="E53" t="s">
        <v>10</v>
      </c>
      <c r="F53" t="s">
        <v>21</v>
      </c>
      <c r="G53" t="s">
        <v>175</v>
      </c>
      <c r="H53" t="s">
        <v>176</v>
      </c>
      <c r="J53" t="s">
        <v>259</v>
      </c>
      <c r="K53" t="s">
        <v>339</v>
      </c>
      <c r="L53">
        <v>25.565021533228791</v>
      </c>
      <c r="M53">
        <v>0.2629034721938121</v>
      </c>
      <c r="O53" t="s">
        <v>357</v>
      </c>
      <c r="P53" t="s">
        <v>444</v>
      </c>
      <c r="Q53" t="s">
        <v>445</v>
      </c>
      <c r="R53" t="s">
        <v>10</v>
      </c>
      <c r="S53" t="s">
        <v>21</v>
      </c>
      <c r="T53" t="s">
        <v>360</v>
      </c>
      <c r="U53" t="s">
        <v>361</v>
      </c>
      <c r="V53" t="s">
        <v>176</v>
      </c>
      <c r="X53" t="s">
        <v>444</v>
      </c>
      <c r="Y53" t="s">
        <v>325</v>
      </c>
      <c r="Z53" t="s">
        <v>513</v>
      </c>
      <c r="AA53">
        <v>0.99453867174093369</v>
      </c>
      <c r="AB53">
        <v>100.12435141621516</v>
      </c>
      <c r="AD53" t="s">
        <v>357</v>
      </c>
      <c r="AE53" t="s">
        <v>609</v>
      </c>
      <c r="AF53" t="s">
        <v>610</v>
      </c>
      <c r="AG53" t="s">
        <v>10</v>
      </c>
      <c r="AH53" t="s">
        <v>21</v>
      </c>
      <c r="AI53" t="s">
        <v>361</v>
      </c>
      <c r="AJ53" t="s">
        <v>176</v>
      </c>
      <c r="AL53" t="s">
        <v>609</v>
      </c>
      <c r="AM53" t="s">
        <v>696</v>
      </c>
      <c r="AN53" t="s">
        <v>506</v>
      </c>
      <c r="AO53">
        <v>0.99480941720067528</v>
      </c>
      <c r="AP53">
        <v>95.160684654286598</v>
      </c>
    </row>
    <row r="54" spans="2:42">
      <c r="B54" t="s">
        <v>172</v>
      </c>
      <c r="C54" t="s">
        <v>261</v>
      </c>
      <c r="D54" t="s">
        <v>262</v>
      </c>
      <c r="E54" t="s">
        <v>10</v>
      </c>
      <c r="F54" t="s">
        <v>21</v>
      </c>
      <c r="G54" t="s">
        <v>175</v>
      </c>
      <c r="H54" t="s">
        <v>176</v>
      </c>
      <c r="J54" t="s">
        <v>261</v>
      </c>
      <c r="K54" t="s">
        <v>340</v>
      </c>
      <c r="L54">
        <v>44.688011784449195</v>
      </c>
      <c r="M54">
        <v>0.26766054936545142</v>
      </c>
      <c r="O54" t="s">
        <v>357</v>
      </c>
      <c r="P54" t="s">
        <v>446</v>
      </c>
      <c r="Q54" t="s">
        <v>447</v>
      </c>
      <c r="R54" t="s">
        <v>10</v>
      </c>
      <c r="S54" t="s">
        <v>21</v>
      </c>
      <c r="T54" t="s">
        <v>360</v>
      </c>
      <c r="U54" t="s">
        <v>361</v>
      </c>
      <c r="V54" t="s">
        <v>176</v>
      </c>
      <c r="X54" t="s">
        <v>446</v>
      </c>
      <c r="Y54" t="s">
        <v>354</v>
      </c>
      <c r="Z54" t="s">
        <v>514</v>
      </c>
      <c r="AA54">
        <v>0.99779322861139563</v>
      </c>
      <c r="AB54">
        <v>40.457475457746959</v>
      </c>
      <c r="AD54" t="s">
        <v>357</v>
      </c>
      <c r="AE54" t="s">
        <v>611</v>
      </c>
      <c r="AF54" t="s">
        <v>612</v>
      </c>
      <c r="AG54" t="s">
        <v>10</v>
      </c>
      <c r="AH54" t="s">
        <v>21</v>
      </c>
      <c r="AI54" t="s">
        <v>361</v>
      </c>
      <c r="AJ54" t="s">
        <v>176</v>
      </c>
      <c r="AL54" t="s">
        <v>611</v>
      </c>
      <c r="AM54" t="s">
        <v>697</v>
      </c>
      <c r="AN54" t="s">
        <v>490</v>
      </c>
      <c r="AO54">
        <v>0.99835008026027783</v>
      </c>
      <c r="AP54">
        <v>30.24852856157413</v>
      </c>
    </row>
    <row r="55" spans="2:42">
      <c r="B55" t="s">
        <v>172</v>
      </c>
      <c r="C55" t="s">
        <v>263</v>
      </c>
      <c r="D55" t="s">
        <v>264</v>
      </c>
      <c r="E55" t="s">
        <v>10</v>
      </c>
      <c r="F55" t="s">
        <v>21</v>
      </c>
      <c r="G55" t="s">
        <v>175</v>
      </c>
      <c r="H55" t="s">
        <v>176</v>
      </c>
      <c r="J55" t="s">
        <v>263</v>
      </c>
      <c r="K55" t="s">
        <v>341</v>
      </c>
      <c r="L55">
        <v>68.972306712348072</v>
      </c>
      <c r="M55">
        <v>0.26950713316950597</v>
      </c>
      <c r="O55" t="s">
        <v>357</v>
      </c>
      <c r="P55" t="s">
        <v>448</v>
      </c>
      <c r="Q55" t="s">
        <v>449</v>
      </c>
      <c r="R55" t="s">
        <v>10</v>
      </c>
      <c r="S55" t="s">
        <v>21</v>
      </c>
      <c r="T55" t="s">
        <v>360</v>
      </c>
      <c r="U55" t="s">
        <v>361</v>
      </c>
      <c r="V55" t="s">
        <v>176</v>
      </c>
      <c r="X55" t="s">
        <v>448</v>
      </c>
      <c r="Y55" t="s">
        <v>298</v>
      </c>
      <c r="Z55" t="s">
        <v>515</v>
      </c>
      <c r="AA55">
        <v>0.99660921899151722</v>
      </c>
      <c r="AB55">
        <v>62.164318488851343</v>
      </c>
      <c r="AD55" t="s">
        <v>357</v>
      </c>
      <c r="AE55" t="s">
        <v>613</v>
      </c>
      <c r="AF55" t="s">
        <v>614</v>
      </c>
      <c r="AG55" t="s">
        <v>10</v>
      </c>
      <c r="AH55" t="s">
        <v>21</v>
      </c>
      <c r="AI55" t="s">
        <v>361</v>
      </c>
      <c r="AJ55" t="s">
        <v>176</v>
      </c>
      <c r="AL55" t="s">
        <v>613</v>
      </c>
      <c r="AM55" t="s">
        <v>698</v>
      </c>
      <c r="AN55" t="s">
        <v>699</v>
      </c>
      <c r="AO55">
        <v>0.99413068845869101</v>
      </c>
      <c r="AP55">
        <v>107.60404492399896</v>
      </c>
    </row>
    <row r="56" spans="2:42">
      <c r="B56" t="s">
        <v>172</v>
      </c>
      <c r="C56" t="s">
        <v>265</v>
      </c>
      <c r="D56" t="s">
        <v>266</v>
      </c>
      <c r="E56" t="s">
        <v>10</v>
      </c>
      <c r="F56" t="s">
        <v>21</v>
      </c>
      <c r="G56" t="s">
        <v>175</v>
      </c>
      <c r="H56" t="s">
        <v>176</v>
      </c>
      <c r="J56" t="s">
        <v>265</v>
      </c>
      <c r="K56" t="s">
        <v>342</v>
      </c>
      <c r="L56">
        <v>54.77917767120244</v>
      </c>
      <c r="M56">
        <v>0.2718162030058176</v>
      </c>
      <c r="O56" t="s">
        <v>357</v>
      </c>
      <c r="P56" t="s">
        <v>450</v>
      </c>
      <c r="Q56" t="s">
        <v>451</v>
      </c>
      <c r="R56" t="s">
        <v>10</v>
      </c>
      <c r="S56" t="s">
        <v>21</v>
      </c>
      <c r="T56" t="s">
        <v>360</v>
      </c>
      <c r="U56" t="s">
        <v>361</v>
      </c>
      <c r="V56" t="s">
        <v>176</v>
      </c>
      <c r="X56" t="s">
        <v>450</v>
      </c>
      <c r="Y56" t="s">
        <v>341</v>
      </c>
      <c r="Z56" t="s">
        <v>516</v>
      </c>
      <c r="AA56">
        <v>0.99069501978739871</v>
      </c>
      <c r="AB56">
        <v>170.59130389769052</v>
      </c>
      <c r="AD56" t="s">
        <v>357</v>
      </c>
      <c r="AE56" t="s">
        <v>615</v>
      </c>
      <c r="AF56" t="s">
        <v>616</v>
      </c>
      <c r="AG56" t="s">
        <v>10</v>
      </c>
      <c r="AH56" t="s">
        <v>21</v>
      </c>
      <c r="AI56" t="s">
        <v>361</v>
      </c>
      <c r="AJ56" t="s">
        <v>176</v>
      </c>
      <c r="AL56" t="s">
        <v>615</v>
      </c>
      <c r="AM56" t="s">
        <v>700</v>
      </c>
      <c r="AN56" t="s">
        <v>701</v>
      </c>
      <c r="AO56">
        <v>0.99516481318893724</v>
      </c>
      <c r="AP56">
        <v>88.645091536150389</v>
      </c>
    </row>
    <row r="57" spans="2:42">
      <c r="B57" t="s">
        <v>172</v>
      </c>
      <c r="C57" t="s">
        <v>267</v>
      </c>
      <c r="D57" t="s">
        <v>268</v>
      </c>
      <c r="E57" t="s">
        <v>10</v>
      </c>
      <c r="F57" t="s">
        <v>21</v>
      </c>
      <c r="G57" t="s">
        <v>175</v>
      </c>
      <c r="H57" t="s">
        <v>176</v>
      </c>
      <c r="J57" t="s">
        <v>267</v>
      </c>
      <c r="K57" t="s">
        <v>343</v>
      </c>
      <c r="L57">
        <v>91.472700208641356</v>
      </c>
      <c r="M57">
        <v>0.26991341572059607</v>
      </c>
      <c r="O57" t="s">
        <v>357</v>
      </c>
      <c r="P57" t="s">
        <v>452</v>
      </c>
      <c r="Q57" t="s">
        <v>453</v>
      </c>
      <c r="R57" t="s">
        <v>10</v>
      </c>
      <c r="S57" t="s">
        <v>21</v>
      </c>
      <c r="T57" t="s">
        <v>360</v>
      </c>
      <c r="U57" t="s">
        <v>361</v>
      </c>
      <c r="V57" t="s">
        <v>176</v>
      </c>
      <c r="X57" t="s">
        <v>452</v>
      </c>
      <c r="Y57" t="s">
        <v>310</v>
      </c>
      <c r="Z57" t="s">
        <v>517</v>
      </c>
      <c r="AA57">
        <v>0.99249760008191157</v>
      </c>
      <c r="AB57">
        <v>137.54399849828698</v>
      </c>
      <c r="AD57" t="s">
        <v>357</v>
      </c>
      <c r="AE57" t="s">
        <v>617</v>
      </c>
      <c r="AF57" t="s">
        <v>618</v>
      </c>
      <c r="AG57" t="s">
        <v>10</v>
      </c>
      <c r="AH57" t="s">
        <v>21</v>
      </c>
      <c r="AI57" t="s">
        <v>361</v>
      </c>
      <c r="AJ57" t="s">
        <v>176</v>
      </c>
      <c r="AL57" t="s">
        <v>617</v>
      </c>
      <c r="AM57" t="s">
        <v>702</v>
      </c>
      <c r="AN57" t="s">
        <v>502</v>
      </c>
      <c r="AO57">
        <v>0.99575042910849376</v>
      </c>
      <c r="AP57">
        <v>77.908799677615178</v>
      </c>
    </row>
    <row r="58" spans="2:42">
      <c r="B58" t="s">
        <v>172</v>
      </c>
      <c r="C58" t="s">
        <v>269</v>
      </c>
      <c r="D58" t="s">
        <v>270</v>
      </c>
      <c r="E58" t="s">
        <v>10</v>
      </c>
      <c r="F58" t="s">
        <v>21</v>
      </c>
      <c r="G58" t="s">
        <v>175</v>
      </c>
      <c r="H58" t="s">
        <v>176</v>
      </c>
      <c r="J58" t="s">
        <v>269</v>
      </c>
      <c r="K58" t="s">
        <v>344</v>
      </c>
      <c r="L58">
        <v>27.384076623046184</v>
      </c>
      <c r="M58">
        <v>0.26206055238331072</v>
      </c>
      <c r="O58" t="s">
        <v>357</v>
      </c>
      <c r="P58" t="s">
        <v>454</v>
      </c>
      <c r="Q58" t="s">
        <v>455</v>
      </c>
      <c r="R58" t="s">
        <v>10</v>
      </c>
      <c r="S58" t="s">
        <v>21</v>
      </c>
      <c r="T58" t="s">
        <v>360</v>
      </c>
      <c r="U58" t="s">
        <v>361</v>
      </c>
      <c r="V58" t="s">
        <v>176</v>
      </c>
      <c r="X58" t="s">
        <v>454</v>
      </c>
      <c r="Y58" t="s">
        <v>314</v>
      </c>
      <c r="Z58" t="s">
        <v>518</v>
      </c>
      <c r="AA58">
        <v>0.99659574043303112</v>
      </c>
      <c r="AB58">
        <v>62.411425394430239</v>
      </c>
      <c r="AD58" t="s">
        <v>357</v>
      </c>
      <c r="AE58" t="s">
        <v>619</v>
      </c>
      <c r="AF58" t="s">
        <v>620</v>
      </c>
      <c r="AG58" t="s">
        <v>10</v>
      </c>
      <c r="AH58" t="s">
        <v>21</v>
      </c>
      <c r="AI58" t="s">
        <v>361</v>
      </c>
      <c r="AJ58" t="s">
        <v>176</v>
      </c>
      <c r="AL58" t="s">
        <v>619</v>
      </c>
      <c r="AM58" t="s">
        <v>703</v>
      </c>
      <c r="AN58" t="s">
        <v>491</v>
      </c>
      <c r="AO58">
        <v>0.97228963156816262</v>
      </c>
      <c r="AP58">
        <v>508.02342125035216</v>
      </c>
    </row>
    <row r="59" spans="2:42">
      <c r="B59" t="s">
        <v>172</v>
      </c>
      <c r="C59" t="s">
        <v>271</v>
      </c>
      <c r="D59" t="s">
        <v>272</v>
      </c>
      <c r="E59" t="s">
        <v>10</v>
      </c>
      <c r="F59" t="s">
        <v>21</v>
      </c>
      <c r="G59" t="s">
        <v>175</v>
      </c>
      <c r="H59" t="s">
        <v>176</v>
      </c>
      <c r="J59" t="s">
        <v>271</v>
      </c>
      <c r="K59" t="s">
        <v>345</v>
      </c>
      <c r="L59">
        <v>56.19364429668294</v>
      </c>
      <c r="M59">
        <v>0.267351407890007</v>
      </c>
      <c r="O59" t="s">
        <v>357</v>
      </c>
      <c r="P59" t="s">
        <v>456</v>
      </c>
      <c r="Q59" t="s">
        <v>457</v>
      </c>
      <c r="R59" t="s">
        <v>10</v>
      </c>
      <c r="S59" t="s">
        <v>21</v>
      </c>
      <c r="T59" t="s">
        <v>360</v>
      </c>
      <c r="U59" t="s">
        <v>361</v>
      </c>
      <c r="V59" t="s">
        <v>176</v>
      </c>
      <c r="X59" t="s">
        <v>456</v>
      </c>
      <c r="Y59" t="s">
        <v>335</v>
      </c>
      <c r="Z59" t="s">
        <v>519</v>
      </c>
      <c r="AA59">
        <v>0.99619933711347464</v>
      </c>
      <c r="AB59">
        <v>69.678819586298616</v>
      </c>
      <c r="AD59" t="s">
        <v>357</v>
      </c>
      <c r="AE59" t="s">
        <v>621</v>
      </c>
      <c r="AF59" t="s">
        <v>622</v>
      </c>
      <c r="AG59" t="s">
        <v>10</v>
      </c>
      <c r="AH59" t="s">
        <v>21</v>
      </c>
      <c r="AI59" t="s">
        <v>361</v>
      </c>
      <c r="AJ59" t="s">
        <v>176</v>
      </c>
      <c r="AL59" t="s">
        <v>621</v>
      </c>
      <c r="AM59" t="s">
        <v>704</v>
      </c>
      <c r="AN59" t="s">
        <v>705</v>
      </c>
      <c r="AO59">
        <v>0.9954181092030232</v>
      </c>
      <c r="AP59">
        <v>84.001331277908477</v>
      </c>
    </row>
    <row r="60" spans="2:42">
      <c r="B60" t="s">
        <v>172</v>
      </c>
      <c r="C60" t="s">
        <v>273</v>
      </c>
      <c r="D60" t="s">
        <v>274</v>
      </c>
      <c r="E60" t="s">
        <v>10</v>
      </c>
      <c r="F60" t="s">
        <v>21</v>
      </c>
      <c r="G60" t="s">
        <v>175</v>
      </c>
      <c r="H60" t="s">
        <v>176</v>
      </c>
      <c r="J60" t="s">
        <v>273</v>
      </c>
      <c r="K60" t="s">
        <v>346</v>
      </c>
      <c r="L60">
        <v>80.561836395349701</v>
      </c>
      <c r="M60">
        <v>0.26719717743447668</v>
      </c>
      <c r="O60" t="s">
        <v>357</v>
      </c>
      <c r="P60" t="s">
        <v>458</v>
      </c>
      <c r="Q60" t="s">
        <v>459</v>
      </c>
      <c r="R60" t="s">
        <v>10</v>
      </c>
      <c r="S60" t="s">
        <v>21</v>
      </c>
      <c r="T60" t="s">
        <v>360</v>
      </c>
      <c r="U60" t="s">
        <v>361</v>
      </c>
      <c r="V60" t="s">
        <v>176</v>
      </c>
      <c r="X60" t="s">
        <v>458</v>
      </c>
      <c r="Y60" t="s">
        <v>334</v>
      </c>
      <c r="Z60" t="s">
        <v>520</v>
      </c>
      <c r="AA60">
        <v>0.9936489084537441</v>
      </c>
      <c r="AB60">
        <v>116.43667834802481</v>
      </c>
      <c r="AD60" t="s">
        <v>357</v>
      </c>
      <c r="AE60" t="s">
        <v>623</v>
      </c>
      <c r="AF60" t="s">
        <v>624</v>
      </c>
      <c r="AG60" t="s">
        <v>10</v>
      </c>
      <c r="AH60" t="s">
        <v>21</v>
      </c>
      <c r="AI60" t="s">
        <v>361</v>
      </c>
      <c r="AJ60" t="s">
        <v>176</v>
      </c>
      <c r="AL60" t="s">
        <v>623</v>
      </c>
      <c r="AM60" t="s">
        <v>706</v>
      </c>
      <c r="AN60" t="s">
        <v>707</v>
      </c>
      <c r="AO60">
        <v>0.99528882296736398</v>
      </c>
      <c r="AP60">
        <v>86.371578931660309</v>
      </c>
    </row>
    <row r="61" spans="2:42">
      <c r="B61" t="s">
        <v>172</v>
      </c>
      <c r="C61" t="s">
        <v>275</v>
      </c>
      <c r="D61" t="s">
        <v>276</v>
      </c>
      <c r="E61" t="s">
        <v>10</v>
      </c>
      <c r="F61" t="s">
        <v>21</v>
      </c>
      <c r="G61" t="s">
        <v>175</v>
      </c>
      <c r="H61" t="s">
        <v>176</v>
      </c>
      <c r="J61" t="s">
        <v>275</v>
      </c>
      <c r="K61" t="s">
        <v>347</v>
      </c>
      <c r="L61">
        <v>48.75511489204164</v>
      </c>
      <c r="M61">
        <v>0.2643330204456355</v>
      </c>
      <c r="O61" t="s">
        <v>357</v>
      </c>
      <c r="P61" t="s">
        <v>460</v>
      </c>
      <c r="Q61" t="s">
        <v>461</v>
      </c>
      <c r="R61" t="s">
        <v>10</v>
      </c>
      <c r="S61" t="s">
        <v>21</v>
      </c>
      <c r="T61" t="s">
        <v>360</v>
      </c>
      <c r="U61" t="s">
        <v>361</v>
      </c>
      <c r="V61" t="s">
        <v>176</v>
      </c>
      <c r="X61" t="s">
        <v>460</v>
      </c>
      <c r="Y61" t="s">
        <v>321</v>
      </c>
      <c r="Z61" t="s">
        <v>521</v>
      </c>
      <c r="AA61">
        <v>0.99646788098520922</v>
      </c>
      <c r="AB61">
        <v>64.755515271164327</v>
      </c>
      <c r="AD61" t="s">
        <v>357</v>
      </c>
      <c r="AE61" t="s">
        <v>625</v>
      </c>
      <c r="AF61" t="s">
        <v>626</v>
      </c>
      <c r="AG61" t="s">
        <v>10</v>
      </c>
      <c r="AH61" t="s">
        <v>21</v>
      </c>
      <c r="AI61" t="s">
        <v>361</v>
      </c>
      <c r="AJ61" t="s">
        <v>176</v>
      </c>
      <c r="AL61" t="s">
        <v>625</v>
      </c>
      <c r="AM61" t="s">
        <v>708</v>
      </c>
      <c r="AN61" t="s">
        <v>709</v>
      </c>
      <c r="AO61">
        <v>0.99790105131742324</v>
      </c>
      <c r="AP61">
        <v>38.480725847241352</v>
      </c>
    </row>
    <row r="62" spans="2:42">
      <c r="B62" t="s">
        <v>172</v>
      </c>
      <c r="C62" t="s">
        <v>277</v>
      </c>
      <c r="D62" t="s">
        <v>278</v>
      </c>
      <c r="E62" t="s">
        <v>10</v>
      </c>
      <c r="F62" t="s">
        <v>21</v>
      </c>
      <c r="G62" t="s">
        <v>175</v>
      </c>
      <c r="H62" t="s">
        <v>176</v>
      </c>
      <c r="J62" t="s">
        <v>277</v>
      </c>
      <c r="K62" t="s">
        <v>348</v>
      </c>
      <c r="L62">
        <v>57.360523931853635</v>
      </c>
      <c r="M62">
        <v>0.27050658855868148</v>
      </c>
      <c r="O62" t="s">
        <v>357</v>
      </c>
      <c r="P62" t="s">
        <v>462</v>
      </c>
      <c r="Q62" t="s">
        <v>463</v>
      </c>
      <c r="R62" t="s">
        <v>10</v>
      </c>
      <c r="S62" t="s">
        <v>21</v>
      </c>
      <c r="T62" t="s">
        <v>360</v>
      </c>
      <c r="U62" t="s">
        <v>361</v>
      </c>
      <c r="V62" t="s">
        <v>176</v>
      </c>
      <c r="X62" t="s">
        <v>462</v>
      </c>
      <c r="Y62" t="s">
        <v>348</v>
      </c>
      <c r="Z62" t="s">
        <v>506</v>
      </c>
      <c r="AA62">
        <v>0.98251354146747882</v>
      </c>
      <c r="AB62">
        <v>320.58507309622223</v>
      </c>
      <c r="AD62" t="s">
        <v>357</v>
      </c>
      <c r="AE62" t="s">
        <v>627</v>
      </c>
      <c r="AF62" t="s">
        <v>628</v>
      </c>
      <c r="AG62" t="s">
        <v>10</v>
      </c>
      <c r="AH62" t="s">
        <v>21</v>
      </c>
      <c r="AI62" t="s">
        <v>361</v>
      </c>
      <c r="AJ62" t="s">
        <v>176</v>
      </c>
      <c r="AL62" t="s">
        <v>627</v>
      </c>
      <c r="AM62" t="s">
        <v>710</v>
      </c>
      <c r="AN62" t="s">
        <v>711</v>
      </c>
      <c r="AO62">
        <v>0.99879513173533752</v>
      </c>
      <c r="AP62">
        <v>22.089251518811956</v>
      </c>
    </row>
    <row r="63" spans="2:42">
      <c r="B63" t="s">
        <v>172</v>
      </c>
      <c r="C63" t="s">
        <v>279</v>
      </c>
      <c r="D63" t="s">
        <v>280</v>
      </c>
      <c r="E63" t="s">
        <v>10</v>
      </c>
      <c r="F63" t="s">
        <v>21</v>
      </c>
      <c r="G63" t="s">
        <v>175</v>
      </c>
      <c r="H63" t="s">
        <v>176</v>
      </c>
      <c r="J63" t="s">
        <v>279</v>
      </c>
      <c r="K63" t="s">
        <v>349</v>
      </c>
      <c r="L63">
        <v>79.480209556294426</v>
      </c>
      <c r="M63">
        <v>0.26913877108563938</v>
      </c>
      <c r="O63" t="s">
        <v>357</v>
      </c>
      <c r="P63" t="s">
        <v>464</v>
      </c>
      <c r="Q63" t="s">
        <v>465</v>
      </c>
      <c r="R63" t="s">
        <v>10</v>
      </c>
      <c r="S63" t="s">
        <v>21</v>
      </c>
      <c r="T63" t="s">
        <v>360</v>
      </c>
      <c r="U63" t="s">
        <v>361</v>
      </c>
      <c r="V63" t="s">
        <v>176</v>
      </c>
      <c r="X63" t="s">
        <v>464</v>
      </c>
      <c r="Y63" t="s">
        <v>350</v>
      </c>
      <c r="Z63" t="s">
        <v>495</v>
      </c>
      <c r="AA63">
        <v>0.99790048553623178</v>
      </c>
      <c r="AB63">
        <v>38.491098502418218</v>
      </c>
      <c r="AD63" t="s">
        <v>357</v>
      </c>
      <c r="AE63" t="s">
        <v>629</v>
      </c>
      <c r="AF63" t="s">
        <v>630</v>
      </c>
      <c r="AG63" t="s">
        <v>10</v>
      </c>
      <c r="AH63" t="s">
        <v>21</v>
      </c>
      <c r="AI63" t="s">
        <v>361</v>
      </c>
      <c r="AJ63" t="s">
        <v>176</v>
      </c>
      <c r="AL63" t="s">
        <v>629</v>
      </c>
      <c r="AM63" t="s">
        <v>712</v>
      </c>
      <c r="AN63" t="s">
        <v>713</v>
      </c>
      <c r="AO63">
        <v>0.99784614270606442</v>
      </c>
      <c r="AP63">
        <v>39.487383722152785</v>
      </c>
    </row>
    <row r="64" spans="2:42">
      <c r="B64" t="s">
        <v>172</v>
      </c>
      <c r="C64" t="s">
        <v>281</v>
      </c>
      <c r="D64" t="s">
        <v>282</v>
      </c>
      <c r="E64" t="s">
        <v>10</v>
      </c>
      <c r="F64" t="s">
        <v>21</v>
      </c>
      <c r="G64" t="s">
        <v>175</v>
      </c>
      <c r="H64" t="s">
        <v>176</v>
      </c>
      <c r="J64" t="s">
        <v>281</v>
      </c>
      <c r="K64" t="s">
        <v>350</v>
      </c>
      <c r="L64">
        <v>32.579806081800584</v>
      </c>
      <c r="M64">
        <v>0.26698602896177459</v>
      </c>
      <c r="O64" t="s">
        <v>357</v>
      </c>
      <c r="P64" t="s">
        <v>466</v>
      </c>
      <c r="Q64" t="s">
        <v>467</v>
      </c>
      <c r="R64" t="s">
        <v>10</v>
      </c>
      <c r="S64" t="s">
        <v>21</v>
      </c>
      <c r="T64" t="s">
        <v>360</v>
      </c>
      <c r="U64" t="s">
        <v>361</v>
      </c>
      <c r="V64" t="s">
        <v>176</v>
      </c>
      <c r="X64" t="s">
        <v>466</v>
      </c>
      <c r="Y64" t="s">
        <v>318</v>
      </c>
      <c r="Z64" t="s">
        <v>522</v>
      </c>
      <c r="AA64">
        <v>0.99779659814441168</v>
      </c>
      <c r="AB64">
        <v>40.39570068578638</v>
      </c>
      <c r="AD64" t="s">
        <v>357</v>
      </c>
      <c r="AE64" t="s">
        <v>631</v>
      </c>
      <c r="AF64" t="s">
        <v>632</v>
      </c>
      <c r="AG64" t="s">
        <v>10</v>
      </c>
      <c r="AH64" t="s">
        <v>21</v>
      </c>
      <c r="AI64" t="s">
        <v>361</v>
      </c>
      <c r="AJ64" t="s">
        <v>176</v>
      </c>
      <c r="AL64" t="s">
        <v>631</v>
      </c>
      <c r="AM64" t="s">
        <v>714</v>
      </c>
      <c r="AN64" t="s">
        <v>497</v>
      </c>
      <c r="AO64">
        <v>0.99808758387752583</v>
      </c>
      <c r="AP64">
        <v>35.060962245360315</v>
      </c>
    </row>
    <row r="65" spans="2:42">
      <c r="B65" t="s">
        <v>172</v>
      </c>
      <c r="C65" t="s">
        <v>283</v>
      </c>
      <c r="D65" t="s">
        <v>284</v>
      </c>
      <c r="E65" t="s">
        <v>10</v>
      </c>
      <c r="F65" t="s">
        <v>21</v>
      </c>
      <c r="G65" t="s">
        <v>175</v>
      </c>
      <c r="H65" t="s">
        <v>176</v>
      </c>
      <c r="J65" t="s">
        <v>283</v>
      </c>
      <c r="K65" t="s">
        <v>351</v>
      </c>
      <c r="L65">
        <v>53.896352776562644</v>
      </c>
      <c r="M65">
        <v>0.26631430334127598</v>
      </c>
      <c r="O65" t="s">
        <v>357</v>
      </c>
      <c r="P65" t="s">
        <v>468</v>
      </c>
      <c r="Q65" t="s">
        <v>469</v>
      </c>
      <c r="R65" t="s">
        <v>10</v>
      </c>
      <c r="S65" t="s">
        <v>21</v>
      </c>
      <c r="T65" t="s">
        <v>360</v>
      </c>
      <c r="U65" t="s">
        <v>361</v>
      </c>
      <c r="V65" t="s">
        <v>176</v>
      </c>
      <c r="X65" t="s">
        <v>468</v>
      </c>
      <c r="Y65" t="s">
        <v>324</v>
      </c>
      <c r="Z65" t="s">
        <v>523</v>
      </c>
      <c r="AA65">
        <v>0.99312004901307538</v>
      </c>
      <c r="AB65">
        <v>126.13243476028477</v>
      </c>
      <c r="AD65" t="s">
        <v>357</v>
      </c>
      <c r="AE65" t="s">
        <v>633</v>
      </c>
      <c r="AF65" t="s">
        <v>634</v>
      </c>
      <c r="AG65" t="s">
        <v>10</v>
      </c>
      <c r="AH65" t="s">
        <v>21</v>
      </c>
      <c r="AI65" t="s">
        <v>361</v>
      </c>
      <c r="AJ65" t="s">
        <v>176</v>
      </c>
      <c r="AL65" t="s">
        <v>633</v>
      </c>
      <c r="AM65" t="s">
        <v>715</v>
      </c>
      <c r="AN65" t="s">
        <v>482</v>
      </c>
      <c r="AO65">
        <v>0.99435834940894341</v>
      </c>
      <c r="AP65">
        <v>103.43026083603691</v>
      </c>
    </row>
    <row r="66" spans="2:42">
      <c r="B66" t="s">
        <v>172</v>
      </c>
      <c r="C66" t="s">
        <v>285</v>
      </c>
      <c r="D66" t="s">
        <v>286</v>
      </c>
      <c r="E66" t="s">
        <v>10</v>
      </c>
      <c r="F66" t="s">
        <v>21</v>
      </c>
      <c r="G66" t="s">
        <v>175</v>
      </c>
      <c r="H66" t="s">
        <v>176</v>
      </c>
      <c r="J66" t="s">
        <v>285</v>
      </c>
      <c r="K66" t="s">
        <v>352</v>
      </c>
      <c r="L66">
        <v>20.478033362788537</v>
      </c>
      <c r="M66">
        <v>0.26246746138853821</v>
      </c>
      <c r="O66" t="s">
        <v>357</v>
      </c>
      <c r="P66" t="s">
        <v>470</v>
      </c>
      <c r="Q66" t="s">
        <v>471</v>
      </c>
      <c r="R66" t="s">
        <v>10</v>
      </c>
      <c r="S66" t="s">
        <v>21</v>
      </c>
      <c r="T66" t="s">
        <v>360</v>
      </c>
      <c r="U66" t="s">
        <v>361</v>
      </c>
      <c r="V66" t="s">
        <v>176</v>
      </c>
      <c r="X66" t="s">
        <v>470</v>
      </c>
      <c r="Y66" t="s">
        <v>331</v>
      </c>
      <c r="Z66" t="s">
        <v>482</v>
      </c>
      <c r="AA66">
        <v>0.99550817361522914</v>
      </c>
      <c r="AB66">
        <v>82.350150387465703</v>
      </c>
      <c r="AD66" t="s">
        <v>357</v>
      </c>
      <c r="AE66" t="s">
        <v>635</v>
      </c>
      <c r="AF66" t="s">
        <v>636</v>
      </c>
      <c r="AG66" t="s">
        <v>10</v>
      </c>
      <c r="AH66" t="s">
        <v>21</v>
      </c>
      <c r="AI66" t="s">
        <v>361</v>
      </c>
      <c r="AJ66" t="s">
        <v>176</v>
      </c>
      <c r="AL66" t="s">
        <v>635</v>
      </c>
      <c r="AM66" t="s">
        <v>716</v>
      </c>
      <c r="AN66" t="s">
        <v>495</v>
      </c>
      <c r="AO66">
        <v>0.96791285861067489</v>
      </c>
      <c r="AP66">
        <v>588.26425880429485</v>
      </c>
    </row>
    <row r="67" spans="2:42">
      <c r="B67" t="s">
        <v>172</v>
      </c>
      <c r="C67" t="s">
        <v>287</v>
      </c>
      <c r="D67" t="s">
        <v>288</v>
      </c>
      <c r="E67" t="s">
        <v>10</v>
      </c>
      <c r="F67" t="s">
        <v>21</v>
      </c>
      <c r="G67" t="s">
        <v>175</v>
      </c>
      <c r="H67" t="s">
        <v>176</v>
      </c>
      <c r="J67" t="s">
        <v>287</v>
      </c>
      <c r="K67" t="s">
        <v>353</v>
      </c>
      <c r="L67">
        <v>49.365390522656512</v>
      </c>
      <c r="M67">
        <v>0.26771582433467628</v>
      </c>
      <c r="O67" t="s">
        <v>357</v>
      </c>
      <c r="P67" t="s">
        <v>472</v>
      </c>
      <c r="Q67" t="s">
        <v>473</v>
      </c>
      <c r="R67" t="s">
        <v>10</v>
      </c>
      <c r="S67" t="s">
        <v>21</v>
      </c>
      <c r="T67" t="s">
        <v>360</v>
      </c>
      <c r="U67" t="s">
        <v>361</v>
      </c>
      <c r="V67" t="s">
        <v>176</v>
      </c>
      <c r="X67" t="s">
        <v>472</v>
      </c>
      <c r="Y67" t="s">
        <v>355</v>
      </c>
      <c r="Z67" t="s">
        <v>506</v>
      </c>
      <c r="AA67">
        <v>0.99833662864108064</v>
      </c>
      <c r="AB67">
        <v>30.495141580187816</v>
      </c>
      <c r="AD67" t="s">
        <v>357</v>
      </c>
      <c r="AE67" t="s">
        <v>637</v>
      </c>
      <c r="AF67" t="s">
        <v>638</v>
      </c>
      <c r="AG67" t="s">
        <v>10</v>
      </c>
      <c r="AH67" t="s">
        <v>21</v>
      </c>
      <c r="AI67" t="s">
        <v>361</v>
      </c>
      <c r="AJ67" t="s">
        <v>176</v>
      </c>
      <c r="AL67" t="s">
        <v>637</v>
      </c>
      <c r="AM67" t="s">
        <v>717</v>
      </c>
      <c r="AN67" t="s">
        <v>495</v>
      </c>
      <c r="AO67">
        <v>0.97537069175149649</v>
      </c>
      <c r="AP67">
        <v>451.53731788923056</v>
      </c>
    </row>
    <row r="68" spans="2:42">
      <c r="B68" t="s">
        <v>172</v>
      </c>
      <c r="C68" t="s">
        <v>289</v>
      </c>
      <c r="D68" t="s">
        <v>290</v>
      </c>
      <c r="E68" t="s">
        <v>10</v>
      </c>
      <c r="F68" t="s">
        <v>21</v>
      </c>
      <c r="G68" t="s">
        <v>175</v>
      </c>
      <c r="H68" t="s">
        <v>176</v>
      </c>
      <c r="J68" t="s">
        <v>289</v>
      </c>
      <c r="K68" t="s">
        <v>354</v>
      </c>
      <c r="L68">
        <v>34.135491371570645</v>
      </c>
      <c r="M68">
        <v>0.26806194704149527</v>
      </c>
      <c r="O68" t="s">
        <v>357</v>
      </c>
      <c r="P68" t="s">
        <v>474</v>
      </c>
      <c r="Q68" t="s">
        <v>475</v>
      </c>
      <c r="R68" t="s">
        <v>10</v>
      </c>
      <c r="S68" t="s">
        <v>21</v>
      </c>
      <c r="T68" t="s">
        <v>360</v>
      </c>
      <c r="U68" t="s">
        <v>361</v>
      </c>
      <c r="V68" t="s">
        <v>176</v>
      </c>
      <c r="X68" t="s">
        <v>474</v>
      </c>
      <c r="Y68" t="s">
        <v>323</v>
      </c>
      <c r="Z68" t="s">
        <v>524</v>
      </c>
      <c r="AA68">
        <v>0.99718955137263765</v>
      </c>
      <c r="AB68">
        <v>51.524891501643573</v>
      </c>
    </row>
    <row r="69" spans="2:42">
      <c r="B69" t="s">
        <v>172</v>
      </c>
      <c r="C69" t="s">
        <v>291</v>
      </c>
      <c r="D69" t="s">
        <v>292</v>
      </c>
      <c r="E69" t="s">
        <v>10</v>
      </c>
      <c r="F69" t="s">
        <v>21</v>
      </c>
      <c r="G69" t="s">
        <v>175</v>
      </c>
      <c r="H69" t="s">
        <v>176</v>
      </c>
      <c r="J69" t="s">
        <v>291</v>
      </c>
      <c r="K69" t="s">
        <v>355</v>
      </c>
      <c r="L69">
        <v>52.186894192440441</v>
      </c>
      <c r="M69">
        <v>0.2681110194103149</v>
      </c>
      <c r="O69" t="s">
        <v>357</v>
      </c>
      <c r="P69" t="s">
        <v>476</v>
      </c>
      <c r="Q69" t="s">
        <v>477</v>
      </c>
      <c r="R69" t="s">
        <v>10</v>
      </c>
      <c r="S69" t="s">
        <v>21</v>
      </c>
      <c r="T69" t="s">
        <v>360</v>
      </c>
      <c r="U69" t="s">
        <v>361</v>
      </c>
      <c r="V69" t="s">
        <v>176</v>
      </c>
      <c r="X69" t="s">
        <v>476</v>
      </c>
      <c r="Y69" t="s">
        <v>351</v>
      </c>
      <c r="Z69" t="s">
        <v>495</v>
      </c>
      <c r="AA69">
        <v>0.99392843937740749</v>
      </c>
      <c r="AB69">
        <v>111.31194474752928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0025-8669-4E64-8114-EDBA9F90BFC9}">
  <dimension ref="B9:Z67"/>
  <sheetViews>
    <sheetView workbookViewId="0"/>
  </sheetViews>
  <sheetFormatPr defaultRowHeight="14.25"/>
  <sheetData>
    <row r="9" spans="2:26">
      <c r="B9" t="s">
        <v>164</v>
      </c>
      <c r="J9" t="s">
        <v>293</v>
      </c>
      <c r="O9" t="s">
        <v>164</v>
      </c>
      <c r="W9" t="s">
        <v>293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294</v>
      </c>
      <c r="L10" t="s">
        <v>295</v>
      </c>
      <c r="M10" t="s">
        <v>296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294</v>
      </c>
      <c r="Y10" t="s">
        <v>295</v>
      </c>
      <c r="Z10" t="s">
        <v>296</v>
      </c>
    </row>
    <row r="11" spans="2:26">
      <c r="B11" t="s">
        <v>172</v>
      </c>
      <c r="C11" t="s">
        <v>768</v>
      </c>
      <c r="D11" t="s">
        <v>769</v>
      </c>
      <c r="E11" t="s">
        <v>10</v>
      </c>
      <c r="F11" t="s">
        <v>21</v>
      </c>
      <c r="G11" t="s">
        <v>175</v>
      </c>
      <c r="H11" t="s">
        <v>176</v>
      </c>
      <c r="J11" t="s">
        <v>768</v>
      </c>
      <c r="K11" t="s">
        <v>697</v>
      </c>
      <c r="L11">
        <v>40.876322228443982</v>
      </c>
      <c r="M11">
        <v>0.34161068510658321</v>
      </c>
      <c r="O11" t="s">
        <v>172</v>
      </c>
      <c r="P11" t="s">
        <v>882</v>
      </c>
      <c r="Q11" t="s">
        <v>883</v>
      </c>
      <c r="R11" t="s">
        <v>10</v>
      </c>
      <c r="S11" t="s">
        <v>21</v>
      </c>
      <c r="T11" t="s">
        <v>175</v>
      </c>
      <c r="U11" t="s">
        <v>176</v>
      </c>
      <c r="W11" t="s">
        <v>882</v>
      </c>
      <c r="X11" t="s">
        <v>761</v>
      </c>
      <c r="Y11">
        <v>28.390499999999999</v>
      </c>
      <c r="Z11">
        <v>0.2545854517713394</v>
      </c>
    </row>
    <row r="12" spans="2:26">
      <c r="B12" t="s">
        <v>172</v>
      </c>
      <c r="C12" t="s">
        <v>770</v>
      </c>
      <c r="D12" t="s">
        <v>771</v>
      </c>
      <c r="E12" t="s">
        <v>10</v>
      </c>
      <c r="F12" t="s">
        <v>21</v>
      </c>
      <c r="G12" t="s">
        <v>175</v>
      </c>
      <c r="H12" t="s">
        <v>176</v>
      </c>
      <c r="J12" t="s">
        <v>770</v>
      </c>
      <c r="K12" t="s">
        <v>678</v>
      </c>
      <c r="L12">
        <v>50.805488525795006</v>
      </c>
      <c r="M12">
        <v>0.2823466308041343</v>
      </c>
      <c r="O12" t="s">
        <v>172</v>
      </c>
      <c r="P12" t="s">
        <v>884</v>
      </c>
      <c r="Q12" t="s">
        <v>885</v>
      </c>
      <c r="R12" t="s">
        <v>10</v>
      </c>
      <c r="S12" t="s">
        <v>21</v>
      </c>
      <c r="T12" t="s">
        <v>175</v>
      </c>
      <c r="U12" t="s">
        <v>176</v>
      </c>
      <c r="W12" t="s">
        <v>884</v>
      </c>
      <c r="X12" t="s">
        <v>767</v>
      </c>
      <c r="Y12">
        <v>11.62425</v>
      </c>
      <c r="Z12">
        <v>0.2121948216443991</v>
      </c>
    </row>
    <row r="13" spans="2:26">
      <c r="B13" t="s">
        <v>172</v>
      </c>
      <c r="C13" t="s">
        <v>772</v>
      </c>
      <c r="D13" t="s">
        <v>773</v>
      </c>
      <c r="E13" t="s">
        <v>10</v>
      </c>
      <c r="F13" t="s">
        <v>21</v>
      </c>
      <c r="G13" t="s">
        <v>175</v>
      </c>
      <c r="H13" t="s">
        <v>176</v>
      </c>
      <c r="J13" t="s">
        <v>772</v>
      </c>
      <c r="K13" t="s">
        <v>690</v>
      </c>
      <c r="L13">
        <v>45.019365428022141</v>
      </c>
      <c r="M13">
        <v>0.32215694441337961</v>
      </c>
      <c r="O13" t="s">
        <v>172</v>
      </c>
      <c r="P13" t="s">
        <v>886</v>
      </c>
      <c r="Q13" t="s">
        <v>887</v>
      </c>
      <c r="R13" t="s">
        <v>10</v>
      </c>
      <c r="S13" t="s">
        <v>21</v>
      </c>
      <c r="T13" t="s">
        <v>175</v>
      </c>
      <c r="U13" t="s">
        <v>176</v>
      </c>
      <c r="W13" t="s">
        <v>886</v>
      </c>
      <c r="X13" t="s">
        <v>765</v>
      </c>
      <c r="Y13">
        <v>21.47775</v>
      </c>
      <c r="Z13">
        <v>0.2129816199489292</v>
      </c>
    </row>
    <row r="14" spans="2:26">
      <c r="B14" t="s">
        <v>172</v>
      </c>
      <c r="C14" t="s">
        <v>774</v>
      </c>
      <c r="D14" t="s">
        <v>775</v>
      </c>
      <c r="E14" t="s">
        <v>10</v>
      </c>
      <c r="F14" t="s">
        <v>21</v>
      </c>
      <c r="G14" t="s">
        <v>175</v>
      </c>
      <c r="H14" t="s">
        <v>176</v>
      </c>
      <c r="J14" t="s">
        <v>774</v>
      </c>
      <c r="K14" t="s">
        <v>689</v>
      </c>
      <c r="L14">
        <v>38.91400567873454</v>
      </c>
      <c r="M14">
        <v>0.2746398886081336</v>
      </c>
      <c r="O14" t="s">
        <v>172</v>
      </c>
      <c r="P14" t="s">
        <v>888</v>
      </c>
      <c r="Q14" t="s">
        <v>889</v>
      </c>
      <c r="R14" t="s">
        <v>10</v>
      </c>
      <c r="S14" t="s">
        <v>21</v>
      </c>
      <c r="T14" t="s">
        <v>175</v>
      </c>
      <c r="U14" t="s">
        <v>176</v>
      </c>
      <c r="W14" t="s">
        <v>888</v>
      </c>
      <c r="X14" t="s">
        <v>753</v>
      </c>
      <c r="Y14">
        <v>0.34050000000000002</v>
      </c>
      <c r="Z14">
        <v>0.22999992445358119</v>
      </c>
    </row>
    <row r="15" spans="2:26">
      <c r="B15" t="s">
        <v>172</v>
      </c>
      <c r="C15" t="s">
        <v>776</v>
      </c>
      <c r="D15" t="s">
        <v>777</v>
      </c>
      <c r="E15" t="s">
        <v>10</v>
      </c>
      <c r="F15" t="s">
        <v>21</v>
      </c>
      <c r="G15" t="s">
        <v>175</v>
      </c>
      <c r="H15" t="s">
        <v>176</v>
      </c>
      <c r="J15" t="s">
        <v>776</v>
      </c>
      <c r="K15" t="s">
        <v>662</v>
      </c>
      <c r="L15">
        <v>37.911583109814686</v>
      </c>
      <c r="M15">
        <v>0.37606798282866732</v>
      </c>
      <c r="O15" t="s">
        <v>172</v>
      </c>
      <c r="P15" t="s">
        <v>890</v>
      </c>
      <c r="Q15" t="s">
        <v>891</v>
      </c>
      <c r="R15" t="s">
        <v>10</v>
      </c>
      <c r="S15" t="s">
        <v>21</v>
      </c>
      <c r="T15" t="s">
        <v>175</v>
      </c>
      <c r="U15" t="s">
        <v>176</v>
      </c>
      <c r="W15" t="s">
        <v>890</v>
      </c>
      <c r="X15" t="s">
        <v>752</v>
      </c>
      <c r="Y15">
        <v>4.2637499999999999</v>
      </c>
      <c r="Z15">
        <v>0.33178579985559042</v>
      </c>
    </row>
    <row r="16" spans="2:26">
      <c r="B16" t="s">
        <v>172</v>
      </c>
      <c r="C16" t="s">
        <v>778</v>
      </c>
      <c r="D16" t="s">
        <v>779</v>
      </c>
      <c r="E16" t="s">
        <v>10</v>
      </c>
      <c r="F16" t="s">
        <v>21</v>
      </c>
      <c r="G16" t="s">
        <v>175</v>
      </c>
      <c r="H16" t="s">
        <v>176</v>
      </c>
      <c r="J16" t="s">
        <v>778</v>
      </c>
      <c r="K16" t="s">
        <v>639</v>
      </c>
      <c r="L16">
        <v>37.473370534574258</v>
      </c>
      <c r="M16">
        <v>0.33496679692974168</v>
      </c>
      <c r="O16" t="s">
        <v>172</v>
      </c>
      <c r="P16" t="s">
        <v>892</v>
      </c>
      <c r="Q16" t="s">
        <v>893</v>
      </c>
      <c r="R16" t="s">
        <v>10</v>
      </c>
      <c r="S16" t="s">
        <v>21</v>
      </c>
      <c r="T16" t="s">
        <v>175</v>
      </c>
      <c r="U16" t="s">
        <v>176</v>
      </c>
      <c r="W16" t="s">
        <v>892</v>
      </c>
      <c r="X16" t="s">
        <v>748</v>
      </c>
      <c r="Y16">
        <v>27.628499999999999</v>
      </c>
      <c r="Z16">
        <v>0.32570276026731299</v>
      </c>
    </row>
    <row r="17" spans="2:26">
      <c r="B17" t="s">
        <v>172</v>
      </c>
      <c r="C17" t="s">
        <v>780</v>
      </c>
      <c r="D17" t="s">
        <v>781</v>
      </c>
      <c r="E17" t="s">
        <v>10</v>
      </c>
      <c r="F17" t="s">
        <v>21</v>
      </c>
      <c r="G17" t="s">
        <v>175</v>
      </c>
      <c r="H17" t="s">
        <v>176</v>
      </c>
      <c r="J17" t="s">
        <v>780</v>
      </c>
      <c r="K17" t="s">
        <v>694</v>
      </c>
      <c r="L17">
        <v>41.688010174294369</v>
      </c>
      <c r="M17">
        <v>0.32971029464318219</v>
      </c>
      <c r="O17" t="s">
        <v>172</v>
      </c>
      <c r="P17" t="s">
        <v>894</v>
      </c>
      <c r="Q17" t="s">
        <v>895</v>
      </c>
      <c r="R17" t="s">
        <v>10</v>
      </c>
      <c r="S17" t="s">
        <v>21</v>
      </c>
      <c r="T17" t="s">
        <v>175</v>
      </c>
      <c r="U17" t="s">
        <v>176</v>
      </c>
      <c r="W17" t="s">
        <v>894</v>
      </c>
      <c r="X17" t="s">
        <v>749</v>
      </c>
      <c r="Y17">
        <v>27.764250000000001</v>
      </c>
      <c r="Z17">
        <v>0.2592988246099725</v>
      </c>
    </row>
    <row r="18" spans="2:26">
      <c r="B18" t="s">
        <v>172</v>
      </c>
      <c r="C18" t="s">
        <v>782</v>
      </c>
      <c r="D18" t="s">
        <v>783</v>
      </c>
      <c r="E18" t="s">
        <v>10</v>
      </c>
      <c r="F18" t="s">
        <v>21</v>
      </c>
      <c r="G18" t="s">
        <v>175</v>
      </c>
      <c r="H18" t="s">
        <v>176</v>
      </c>
      <c r="J18" t="s">
        <v>782</v>
      </c>
      <c r="K18" t="s">
        <v>661</v>
      </c>
      <c r="L18">
        <v>75.015285518414572</v>
      </c>
      <c r="M18">
        <v>0.25652641415578159</v>
      </c>
      <c r="O18" t="s">
        <v>172</v>
      </c>
      <c r="P18" t="s">
        <v>896</v>
      </c>
      <c r="Q18" t="s">
        <v>897</v>
      </c>
      <c r="R18" t="s">
        <v>10</v>
      </c>
      <c r="S18" t="s">
        <v>21</v>
      </c>
      <c r="T18" t="s">
        <v>175</v>
      </c>
      <c r="U18" t="s">
        <v>176</v>
      </c>
      <c r="W18" t="s">
        <v>896</v>
      </c>
      <c r="X18" t="s">
        <v>751</v>
      </c>
      <c r="Y18">
        <v>31.658999999999999</v>
      </c>
      <c r="Z18">
        <v>0.2534561110255405</v>
      </c>
    </row>
    <row r="19" spans="2:26">
      <c r="B19" t="s">
        <v>172</v>
      </c>
      <c r="C19" t="s">
        <v>784</v>
      </c>
      <c r="D19" t="s">
        <v>785</v>
      </c>
      <c r="E19" t="s">
        <v>10</v>
      </c>
      <c r="F19" t="s">
        <v>21</v>
      </c>
      <c r="G19" t="s">
        <v>175</v>
      </c>
      <c r="H19" t="s">
        <v>176</v>
      </c>
      <c r="J19" t="s">
        <v>784</v>
      </c>
      <c r="K19" t="s">
        <v>691</v>
      </c>
      <c r="L19">
        <v>45.444678890317704</v>
      </c>
      <c r="M19">
        <v>0.25091201088821941</v>
      </c>
      <c r="O19" t="s">
        <v>172</v>
      </c>
      <c r="P19" t="s">
        <v>898</v>
      </c>
      <c r="Q19" t="s">
        <v>899</v>
      </c>
      <c r="R19" t="s">
        <v>10</v>
      </c>
      <c r="S19" t="s">
        <v>21</v>
      </c>
      <c r="T19" t="s">
        <v>175</v>
      </c>
      <c r="U19" t="s">
        <v>176</v>
      </c>
      <c r="W19" t="s">
        <v>898</v>
      </c>
      <c r="X19" t="s">
        <v>756</v>
      </c>
      <c r="Y19">
        <v>16.41</v>
      </c>
      <c r="Z19">
        <v>0.25237235097119121</v>
      </c>
    </row>
    <row r="20" spans="2:26">
      <c r="B20" t="s">
        <v>172</v>
      </c>
      <c r="C20" t="s">
        <v>786</v>
      </c>
      <c r="D20" t="s">
        <v>787</v>
      </c>
      <c r="E20" t="s">
        <v>10</v>
      </c>
      <c r="F20" t="s">
        <v>21</v>
      </c>
      <c r="G20" t="s">
        <v>175</v>
      </c>
      <c r="H20" t="s">
        <v>176</v>
      </c>
      <c r="J20" t="s">
        <v>786</v>
      </c>
      <c r="K20" t="s">
        <v>703</v>
      </c>
      <c r="L20">
        <v>56.298031950426989</v>
      </c>
      <c r="M20">
        <v>0.23646887203854511</v>
      </c>
      <c r="O20" t="s">
        <v>172</v>
      </c>
      <c r="P20" t="s">
        <v>900</v>
      </c>
      <c r="Q20" t="s">
        <v>901</v>
      </c>
      <c r="R20" t="s">
        <v>10</v>
      </c>
      <c r="S20" t="s">
        <v>21</v>
      </c>
      <c r="T20" t="s">
        <v>175</v>
      </c>
      <c r="U20" t="s">
        <v>176</v>
      </c>
      <c r="W20" t="s">
        <v>900</v>
      </c>
      <c r="X20" t="s">
        <v>766</v>
      </c>
      <c r="Y20">
        <v>15.04425</v>
      </c>
      <c r="Z20">
        <v>0.35516317097112571</v>
      </c>
    </row>
    <row r="21" spans="2:26">
      <c r="B21" t="s">
        <v>172</v>
      </c>
      <c r="C21" t="s">
        <v>788</v>
      </c>
      <c r="D21" t="s">
        <v>789</v>
      </c>
      <c r="E21" t="s">
        <v>10</v>
      </c>
      <c r="F21" t="s">
        <v>21</v>
      </c>
      <c r="G21" t="s">
        <v>175</v>
      </c>
      <c r="H21" t="s">
        <v>176</v>
      </c>
      <c r="J21" t="s">
        <v>788</v>
      </c>
      <c r="K21" t="s">
        <v>716</v>
      </c>
      <c r="L21">
        <v>40.148082022530652</v>
      </c>
      <c r="M21">
        <v>0.25496480028810697</v>
      </c>
      <c r="O21" t="s">
        <v>172</v>
      </c>
      <c r="P21" t="s">
        <v>902</v>
      </c>
      <c r="Q21" t="s">
        <v>903</v>
      </c>
      <c r="R21" t="s">
        <v>10</v>
      </c>
      <c r="S21" t="s">
        <v>21</v>
      </c>
      <c r="T21" t="s">
        <v>175</v>
      </c>
      <c r="U21" t="s">
        <v>176</v>
      </c>
      <c r="W21" t="s">
        <v>902</v>
      </c>
      <c r="X21" t="s">
        <v>754</v>
      </c>
      <c r="Y21">
        <v>25.41075</v>
      </c>
      <c r="Z21">
        <v>0.3353902432592093</v>
      </c>
    </row>
    <row r="22" spans="2:26">
      <c r="B22" t="s">
        <v>172</v>
      </c>
      <c r="C22" t="s">
        <v>790</v>
      </c>
      <c r="D22" t="s">
        <v>791</v>
      </c>
      <c r="E22" t="s">
        <v>10</v>
      </c>
      <c r="F22" t="s">
        <v>21</v>
      </c>
      <c r="G22" t="s">
        <v>175</v>
      </c>
      <c r="H22" t="s">
        <v>176</v>
      </c>
      <c r="J22" t="s">
        <v>790</v>
      </c>
      <c r="K22" t="s">
        <v>717</v>
      </c>
      <c r="L22">
        <v>46.794583431146464</v>
      </c>
      <c r="M22">
        <v>0.25727928715633591</v>
      </c>
      <c r="O22" t="s">
        <v>172</v>
      </c>
      <c r="P22" t="s">
        <v>904</v>
      </c>
      <c r="Q22" t="s">
        <v>905</v>
      </c>
      <c r="R22" t="s">
        <v>10</v>
      </c>
      <c r="S22" t="s">
        <v>21</v>
      </c>
      <c r="T22" t="s">
        <v>175</v>
      </c>
      <c r="U22" t="s">
        <v>176</v>
      </c>
      <c r="W22" t="s">
        <v>904</v>
      </c>
      <c r="X22" t="s">
        <v>758</v>
      </c>
      <c r="Y22">
        <v>25.449000000000002</v>
      </c>
      <c r="Z22">
        <v>0.3740468349801182</v>
      </c>
    </row>
    <row r="23" spans="2:26">
      <c r="B23" t="s">
        <v>172</v>
      </c>
      <c r="C23" t="s">
        <v>792</v>
      </c>
      <c r="D23" t="s">
        <v>793</v>
      </c>
      <c r="E23" t="s">
        <v>10</v>
      </c>
      <c r="F23" t="s">
        <v>21</v>
      </c>
      <c r="G23" t="s">
        <v>175</v>
      </c>
      <c r="H23" t="s">
        <v>176</v>
      </c>
      <c r="J23" t="s">
        <v>792</v>
      </c>
      <c r="K23" t="s">
        <v>688</v>
      </c>
      <c r="L23">
        <v>43.287064660921345</v>
      </c>
      <c r="M23">
        <v>0.25365984208934311</v>
      </c>
      <c r="O23" t="s">
        <v>172</v>
      </c>
      <c r="P23" t="s">
        <v>906</v>
      </c>
      <c r="Q23" t="s">
        <v>907</v>
      </c>
      <c r="R23" t="s">
        <v>10</v>
      </c>
      <c r="S23" t="s">
        <v>21</v>
      </c>
      <c r="T23" t="s">
        <v>175</v>
      </c>
      <c r="U23" t="s">
        <v>176</v>
      </c>
      <c r="W23" t="s">
        <v>906</v>
      </c>
      <c r="X23" t="s">
        <v>763</v>
      </c>
      <c r="Y23">
        <v>25.623000000000001</v>
      </c>
      <c r="Z23">
        <v>0.35811478768244448</v>
      </c>
    </row>
    <row r="24" spans="2:26">
      <c r="B24" t="s">
        <v>172</v>
      </c>
      <c r="C24" t="s">
        <v>794</v>
      </c>
      <c r="D24" t="s">
        <v>795</v>
      </c>
      <c r="E24" t="s">
        <v>10</v>
      </c>
      <c r="F24" t="s">
        <v>21</v>
      </c>
      <c r="G24" t="s">
        <v>175</v>
      </c>
      <c r="H24" t="s">
        <v>176</v>
      </c>
      <c r="J24" t="s">
        <v>794</v>
      </c>
      <c r="K24" t="s">
        <v>645</v>
      </c>
      <c r="L24">
        <v>33.920069303175502</v>
      </c>
      <c r="M24">
        <v>0.23196001234151689</v>
      </c>
      <c r="O24" t="s">
        <v>172</v>
      </c>
      <c r="P24" t="s">
        <v>908</v>
      </c>
      <c r="Q24" t="s">
        <v>909</v>
      </c>
      <c r="R24" t="s">
        <v>10</v>
      </c>
      <c r="S24" t="s">
        <v>21</v>
      </c>
      <c r="T24" t="s">
        <v>175</v>
      </c>
      <c r="U24" t="s">
        <v>176</v>
      </c>
      <c r="W24" t="s">
        <v>908</v>
      </c>
      <c r="X24" t="s">
        <v>760</v>
      </c>
      <c r="Y24">
        <v>4.7872500000000002</v>
      </c>
      <c r="Z24">
        <v>0.23948837429701431</v>
      </c>
    </row>
    <row r="25" spans="2:26">
      <c r="B25" t="s">
        <v>172</v>
      </c>
      <c r="C25" t="s">
        <v>796</v>
      </c>
      <c r="D25" t="s">
        <v>797</v>
      </c>
      <c r="E25" t="s">
        <v>10</v>
      </c>
      <c r="F25" t="s">
        <v>21</v>
      </c>
      <c r="G25" t="s">
        <v>175</v>
      </c>
      <c r="H25" t="s">
        <v>176</v>
      </c>
      <c r="J25" t="s">
        <v>796</v>
      </c>
      <c r="K25" t="s">
        <v>669</v>
      </c>
      <c r="L25">
        <v>55.947913269125685</v>
      </c>
      <c r="M25">
        <v>0.2418895632505651</v>
      </c>
      <c r="O25" t="s">
        <v>172</v>
      </c>
      <c r="P25" t="s">
        <v>910</v>
      </c>
      <c r="Q25" t="s">
        <v>911</v>
      </c>
      <c r="R25" t="s">
        <v>10</v>
      </c>
      <c r="S25" t="s">
        <v>21</v>
      </c>
      <c r="T25" t="s">
        <v>175</v>
      </c>
      <c r="U25" t="s">
        <v>176</v>
      </c>
      <c r="W25" t="s">
        <v>910</v>
      </c>
      <c r="X25" t="s">
        <v>759</v>
      </c>
      <c r="Y25">
        <v>32.130749999999999</v>
      </c>
      <c r="Z25">
        <v>0.32470203473057258</v>
      </c>
    </row>
    <row r="26" spans="2:26">
      <c r="B26" t="s">
        <v>172</v>
      </c>
      <c r="C26" t="s">
        <v>798</v>
      </c>
      <c r="D26" t="s">
        <v>799</v>
      </c>
      <c r="E26" t="s">
        <v>10</v>
      </c>
      <c r="F26" t="s">
        <v>21</v>
      </c>
      <c r="G26" t="s">
        <v>175</v>
      </c>
      <c r="H26" t="s">
        <v>176</v>
      </c>
      <c r="J26" t="s">
        <v>798</v>
      </c>
      <c r="K26" t="s">
        <v>654</v>
      </c>
      <c r="L26">
        <v>43.00072765840126</v>
      </c>
      <c r="M26">
        <v>0.22258626319753011</v>
      </c>
    </row>
    <row r="27" spans="2:26">
      <c r="B27" t="s">
        <v>172</v>
      </c>
      <c r="C27" t="s">
        <v>800</v>
      </c>
      <c r="D27" t="s">
        <v>801</v>
      </c>
      <c r="E27" t="s">
        <v>10</v>
      </c>
      <c r="F27" t="s">
        <v>21</v>
      </c>
      <c r="G27" t="s">
        <v>175</v>
      </c>
      <c r="H27" t="s">
        <v>176</v>
      </c>
      <c r="J27" t="s">
        <v>800</v>
      </c>
      <c r="K27" t="s">
        <v>666</v>
      </c>
      <c r="L27">
        <v>39.635478438315815</v>
      </c>
      <c r="M27">
        <v>0.2385650681192617</v>
      </c>
    </row>
    <row r="28" spans="2:26">
      <c r="B28" t="s">
        <v>172</v>
      </c>
      <c r="C28" t="s">
        <v>802</v>
      </c>
      <c r="D28" t="s">
        <v>803</v>
      </c>
      <c r="E28" t="s">
        <v>10</v>
      </c>
      <c r="F28" t="s">
        <v>21</v>
      </c>
      <c r="G28" t="s">
        <v>175</v>
      </c>
      <c r="H28" t="s">
        <v>176</v>
      </c>
      <c r="J28" t="s">
        <v>802</v>
      </c>
      <c r="K28" t="s">
        <v>696</v>
      </c>
      <c r="L28">
        <v>49.855646687868791</v>
      </c>
      <c r="M28">
        <v>0.25397255539762009</v>
      </c>
    </row>
    <row r="29" spans="2:26">
      <c r="B29" t="s">
        <v>172</v>
      </c>
      <c r="C29" t="s">
        <v>804</v>
      </c>
      <c r="D29" t="s">
        <v>805</v>
      </c>
      <c r="E29" t="s">
        <v>10</v>
      </c>
      <c r="F29" t="s">
        <v>21</v>
      </c>
      <c r="G29" t="s">
        <v>175</v>
      </c>
      <c r="H29" t="s">
        <v>176</v>
      </c>
      <c r="J29" t="s">
        <v>804</v>
      </c>
      <c r="K29" t="s">
        <v>685</v>
      </c>
      <c r="L29">
        <v>18.30570704636682</v>
      </c>
      <c r="M29">
        <v>0.1332849430640598</v>
      </c>
    </row>
    <row r="30" spans="2:26">
      <c r="B30" t="s">
        <v>172</v>
      </c>
      <c r="C30" t="s">
        <v>806</v>
      </c>
      <c r="D30" t="s">
        <v>807</v>
      </c>
      <c r="E30" t="s">
        <v>10</v>
      </c>
      <c r="F30" t="s">
        <v>21</v>
      </c>
      <c r="G30" t="s">
        <v>175</v>
      </c>
      <c r="H30" t="s">
        <v>176</v>
      </c>
      <c r="J30" t="s">
        <v>806</v>
      </c>
      <c r="K30" t="s">
        <v>644</v>
      </c>
      <c r="L30">
        <v>12.148679200397462</v>
      </c>
      <c r="M30">
        <v>0.1509962258277113</v>
      </c>
    </row>
    <row r="31" spans="2:26">
      <c r="B31" t="s">
        <v>172</v>
      </c>
      <c r="C31" t="s">
        <v>808</v>
      </c>
      <c r="D31" t="s">
        <v>809</v>
      </c>
      <c r="E31" t="s">
        <v>10</v>
      </c>
      <c r="F31" t="s">
        <v>21</v>
      </c>
      <c r="G31" t="s">
        <v>175</v>
      </c>
      <c r="H31" t="s">
        <v>176</v>
      </c>
      <c r="J31" t="s">
        <v>808</v>
      </c>
      <c r="K31" t="s">
        <v>659</v>
      </c>
      <c r="L31">
        <v>26.575075296659808</v>
      </c>
      <c r="M31">
        <v>0.30330547943782787</v>
      </c>
    </row>
    <row r="32" spans="2:26">
      <c r="B32" t="s">
        <v>172</v>
      </c>
      <c r="C32" t="s">
        <v>810</v>
      </c>
      <c r="D32" t="s">
        <v>811</v>
      </c>
      <c r="E32" t="s">
        <v>10</v>
      </c>
      <c r="F32" t="s">
        <v>21</v>
      </c>
      <c r="G32" t="s">
        <v>175</v>
      </c>
      <c r="H32" t="s">
        <v>176</v>
      </c>
      <c r="J32" t="s">
        <v>810</v>
      </c>
      <c r="K32" t="s">
        <v>671</v>
      </c>
      <c r="L32">
        <v>38.722847502033055</v>
      </c>
      <c r="M32">
        <v>0.2720697561601445</v>
      </c>
    </row>
    <row r="33" spans="2:13">
      <c r="B33" t="s">
        <v>172</v>
      </c>
      <c r="C33" t="s">
        <v>812</v>
      </c>
      <c r="D33" t="s">
        <v>813</v>
      </c>
      <c r="E33" t="s">
        <v>10</v>
      </c>
      <c r="F33" t="s">
        <v>21</v>
      </c>
      <c r="G33" t="s">
        <v>175</v>
      </c>
      <c r="H33" t="s">
        <v>176</v>
      </c>
      <c r="J33" t="s">
        <v>812</v>
      </c>
      <c r="K33" t="s">
        <v>681</v>
      </c>
      <c r="L33">
        <v>11.567890620729482</v>
      </c>
      <c r="M33">
        <v>0.21579142466850579</v>
      </c>
    </row>
    <row r="34" spans="2:13">
      <c r="B34" t="s">
        <v>172</v>
      </c>
      <c r="C34" t="s">
        <v>814</v>
      </c>
      <c r="D34" t="s">
        <v>815</v>
      </c>
      <c r="E34" t="s">
        <v>10</v>
      </c>
      <c r="F34" t="s">
        <v>21</v>
      </c>
      <c r="G34" t="s">
        <v>175</v>
      </c>
      <c r="H34" t="s">
        <v>176</v>
      </c>
      <c r="J34" t="s">
        <v>814</v>
      </c>
      <c r="K34" t="s">
        <v>660</v>
      </c>
      <c r="L34">
        <v>39.131536885301792</v>
      </c>
      <c r="M34">
        <v>0.34756999508527731</v>
      </c>
    </row>
    <row r="35" spans="2:13">
      <c r="B35" t="s">
        <v>172</v>
      </c>
      <c r="C35" t="s">
        <v>816</v>
      </c>
      <c r="D35" t="s">
        <v>817</v>
      </c>
      <c r="E35" t="s">
        <v>10</v>
      </c>
      <c r="F35" t="s">
        <v>21</v>
      </c>
      <c r="G35" t="s">
        <v>175</v>
      </c>
      <c r="H35" t="s">
        <v>176</v>
      </c>
      <c r="J35" t="s">
        <v>816</v>
      </c>
      <c r="K35" t="s">
        <v>712</v>
      </c>
      <c r="L35">
        <v>20.394740302735183</v>
      </c>
      <c r="M35">
        <v>0.15087666278465009</v>
      </c>
    </row>
    <row r="36" spans="2:13">
      <c r="B36" t="s">
        <v>172</v>
      </c>
      <c r="C36" t="s">
        <v>818</v>
      </c>
      <c r="D36" t="s">
        <v>819</v>
      </c>
      <c r="E36" t="s">
        <v>10</v>
      </c>
      <c r="F36" t="s">
        <v>21</v>
      </c>
      <c r="G36" t="s">
        <v>175</v>
      </c>
      <c r="H36" t="s">
        <v>176</v>
      </c>
      <c r="J36" t="s">
        <v>818</v>
      </c>
      <c r="K36" t="s">
        <v>708</v>
      </c>
      <c r="L36">
        <v>9.0406747404738947</v>
      </c>
      <c r="M36">
        <v>0.1158553022552628</v>
      </c>
    </row>
    <row r="37" spans="2:13">
      <c r="B37" t="s">
        <v>172</v>
      </c>
      <c r="C37" t="s">
        <v>820</v>
      </c>
      <c r="D37" t="s">
        <v>821</v>
      </c>
      <c r="E37" t="s">
        <v>10</v>
      </c>
      <c r="F37" t="s">
        <v>21</v>
      </c>
      <c r="G37" t="s">
        <v>175</v>
      </c>
      <c r="H37" t="s">
        <v>176</v>
      </c>
      <c r="J37" t="s">
        <v>820</v>
      </c>
      <c r="K37" t="s">
        <v>679</v>
      </c>
      <c r="L37">
        <v>6.4322833829685422</v>
      </c>
      <c r="M37">
        <v>0.18338438482646</v>
      </c>
    </row>
    <row r="38" spans="2:13">
      <c r="B38" t="s">
        <v>172</v>
      </c>
      <c r="C38" t="s">
        <v>822</v>
      </c>
      <c r="D38" t="s">
        <v>823</v>
      </c>
      <c r="E38" t="s">
        <v>10</v>
      </c>
      <c r="F38" t="s">
        <v>21</v>
      </c>
      <c r="G38" t="s">
        <v>175</v>
      </c>
      <c r="H38" t="s">
        <v>176</v>
      </c>
      <c r="J38" t="s">
        <v>822</v>
      </c>
      <c r="K38" t="s">
        <v>640</v>
      </c>
      <c r="L38">
        <v>35.845061923353079</v>
      </c>
      <c r="M38">
        <v>0.1429374186628472</v>
      </c>
    </row>
    <row r="39" spans="2:13">
      <c r="B39" t="s">
        <v>172</v>
      </c>
      <c r="C39" t="s">
        <v>824</v>
      </c>
      <c r="D39" t="s">
        <v>825</v>
      </c>
      <c r="E39" t="s">
        <v>10</v>
      </c>
      <c r="F39" t="s">
        <v>21</v>
      </c>
      <c r="G39" t="s">
        <v>175</v>
      </c>
      <c r="H39" t="s">
        <v>176</v>
      </c>
      <c r="J39" t="s">
        <v>824</v>
      </c>
      <c r="K39" t="s">
        <v>698</v>
      </c>
      <c r="L39">
        <v>14.004652736039368</v>
      </c>
      <c r="M39">
        <v>0.1155310840485074</v>
      </c>
    </row>
    <row r="40" spans="2:13">
      <c r="B40" t="s">
        <v>172</v>
      </c>
      <c r="C40" t="s">
        <v>826</v>
      </c>
      <c r="D40" t="s">
        <v>827</v>
      </c>
      <c r="E40" t="s">
        <v>10</v>
      </c>
      <c r="F40" t="s">
        <v>21</v>
      </c>
      <c r="G40" t="s">
        <v>175</v>
      </c>
      <c r="H40" t="s">
        <v>176</v>
      </c>
      <c r="J40" t="s">
        <v>826</v>
      </c>
      <c r="K40" t="s">
        <v>706</v>
      </c>
      <c r="L40">
        <v>18.855237278322775</v>
      </c>
      <c r="M40">
        <v>0.18315479870651971</v>
      </c>
    </row>
    <row r="41" spans="2:13">
      <c r="B41" t="s">
        <v>172</v>
      </c>
      <c r="C41" t="s">
        <v>828</v>
      </c>
      <c r="D41" t="s">
        <v>829</v>
      </c>
      <c r="E41" t="s">
        <v>10</v>
      </c>
      <c r="F41" t="s">
        <v>21</v>
      </c>
      <c r="G41" t="s">
        <v>175</v>
      </c>
      <c r="H41" t="s">
        <v>176</v>
      </c>
      <c r="J41" t="s">
        <v>828</v>
      </c>
      <c r="K41" t="s">
        <v>714</v>
      </c>
      <c r="L41">
        <v>1.5223012124511435</v>
      </c>
      <c r="M41">
        <v>0.12617207787449389</v>
      </c>
    </row>
    <row r="42" spans="2:13">
      <c r="B42" t="s">
        <v>172</v>
      </c>
      <c r="C42" t="s">
        <v>830</v>
      </c>
      <c r="D42" t="s">
        <v>831</v>
      </c>
      <c r="E42" t="s">
        <v>10</v>
      </c>
      <c r="F42" t="s">
        <v>21</v>
      </c>
      <c r="G42" t="s">
        <v>175</v>
      </c>
      <c r="H42" t="s">
        <v>176</v>
      </c>
      <c r="J42" t="s">
        <v>830</v>
      </c>
      <c r="K42" t="s">
        <v>710</v>
      </c>
      <c r="L42">
        <v>8.769590617684651</v>
      </c>
      <c r="M42">
        <v>0.19439346959905979</v>
      </c>
    </row>
    <row r="43" spans="2:13">
      <c r="B43" t="s">
        <v>172</v>
      </c>
      <c r="C43" t="s">
        <v>832</v>
      </c>
      <c r="D43" t="s">
        <v>833</v>
      </c>
      <c r="E43" t="s">
        <v>10</v>
      </c>
      <c r="F43" t="s">
        <v>21</v>
      </c>
      <c r="G43" t="s">
        <v>175</v>
      </c>
      <c r="H43" t="s">
        <v>176</v>
      </c>
      <c r="J43" t="s">
        <v>832</v>
      </c>
      <c r="K43" t="s">
        <v>655</v>
      </c>
      <c r="L43">
        <v>12.224014376407929</v>
      </c>
      <c r="M43">
        <v>0.2409550025571966</v>
      </c>
    </row>
    <row r="44" spans="2:13">
      <c r="B44" t="s">
        <v>172</v>
      </c>
      <c r="C44" t="s">
        <v>834</v>
      </c>
      <c r="D44" t="s">
        <v>835</v>
      </c>
      <c r="E44" t="s">
        <v>10</v>
      </c>
      <c r="F44" t="s">
        <v>21</v>
      </c>
      <c r="G44" t="s">
        <v>175</v>
      </c>
      <c r="H44" t="s">
        <v>176</v>
      </c>
      <c r="J44" t="s">
        <v>834</v>
      </c>
      <c r="K44" t="s">
        <v>657</v>
      </c>
      <c r="L44">
        <v>7.8604281920366468</v>
      </c>
      <c r="M44">
        <v>0.28758995108663349</v>
      </c>
    </row>
    <row r="45" spans="2:13">
      <c r="B45" t="s">
        <v>172</v>
      </c>
      <c r="C45" t="s">
        <v>836</v>
      </c>
      <c r="D45" t="s">
        <v>837</v>
      </c>
      <c r="E45" t="s">
        <v>10</v>
      </c>
      <c r="F45" t="s">
        <v>21</v>
      </c>
      <c r="G45" t="s">
        <v>175</v>
      </c>
      <c r="H45" t="s">
        <v>176</v>
      </c>
      <c r="J45" t="s">
        <v>836</v>
      </c>
      <c r="K45" t="s">
        <v>643</v>
      </c>
      <c r="L45">
        <v>57.93121461085844</v>
      </c>
      <c r="M45">
        <v>0.31595431737204821</v>
      </c>
    </row>
    <row r="46" spans="2:13">
      <c r="B46" t="s">
        <v>172</v>
      </c>
      <c r="C46" t="s">
        <v>838</v>
      </c>
      <c r="D46" t="s">
        <v>839</v>
      </c>
      <c r="E46" t="s">
        <v>10</v>
      </c>
      <c r="F46" t="s">
        <v>21</v>
      </c>
      <c r="G46" t="s">
        <v>175</v>
      </c>
      <c r="H46" t="s">
        <v>176</v>
      </c>
      <c r="J46" t="s">
        <v>838</v>
      </c>
      <c r="K46" t="s">
        <v>649</v>
      </c>
      <c r="L46">
        <v>29.866420567467728</v>
      </c>
      <c r="M46">
        <v>0.25929423534439999</v>
      </c>
    </row>
    <row r="47" spans="2:13">
      <c r="B47" t="s">
        <v>172</v>
      </c>
      <c r="C47" t="s">
        <v>840</v>
      </c>
      <c r="D47" t="s">
        <v>841</v>
      </c>
      <c r="E47" t="s">
        <v>10</v>
      </c>
      <c r="F47" t="s">
        <v>21</v>
      </c>
      <c r="G47" t="s">
        <v>175</v>
      </c>
      <c r="H47" t="s">
        <v>176</v>
      </c>
      <c r="J47" t="s">
        <v>840</v>
      </c>
      <c r="K47" t="s">
        <v>650</v>
      </c>
      <c r="L47">
        <v>18.251138666339184</v>
      </c>
      <c r="M47">
        <v>0.1831950870291284</v>
      </c>
    </row>
    <row r="48" spans="2:13">
      <c r="B48" t="s">
        <v>172</v>
      </c>
      <c r="C48" t="s">
        <v>842</v>
      </c>
      <c r="D48" t="s">
        <v>843</v>
      </c>
      <c r="E48" t="s">
        <v>10</v>
      </c>
      <c r="F48" t="s">
        <v>21</v>
      </c>
      <c r="G48" t="s">
        <v>175</v>
      </c>
      <c r="H48" t="s">
        <v>176</v>
      </c>
      <c r="J48" t="s">
        <v>842</v>
      </c>
      <c r="K48" t="s">
        <v>686</v>
      </c>
      <c r="L48">
        <v>41.990618471497193</v>
      </c>
      <c r="M48">
        <v>0.29959088305490739</v>
      </c>
    </row>
    <row r="49" spans="2:13">
      <c r="B49" t="s">
        <v>172</v>
      </c>
      <c r="C49" t="s">
        <v>844</v>
      </c>
      <c r="D49" t="s">
        <v>845</v>
      </c>
      <c r="E49" t="s">
        <v>10</v>
      </c>
      <c r="F49" t="s">
        <v>21</v>
      </c>
      <c r="G49" t="s">
        <v>175</v>
      </c>
      <c r="H49" t="s">
        <v>176</v>
      </c>
      <c r="J49" t="s">
        <v>844</v>
      </c>
      <c r="K49" t="s">
        <v>693</v>
      </c>
      <c r="L49">
        <v>47.169721640545575</v>
      </c>
      <c r="M49">
        <v>0.2464121460408783</v>
      </c>
    </row>
    <row r="50" spans="2:13">
      <c r="B50" t="s">
        <v>172</v>
      </c>
      <c r="C50" t="s">
        <v>846</v>
      </c>
      <c r="D50" t="s">
        <v>847</v>
      </c>
      <c r="E50" t="s">
        <v>10</v>
      </c>
      <c r="F50" t="s">
        <v>21</v>
      </c>
      <c r="G50" t="s">
        <v>175</v>
      </c>
      <c r="H50" t="s">
        <v>176</v>
      </c>
      <c r="J50" t="s">
        <v>846</v>
      </c>
      <c r="K50" t="s">
        <v>715</v>
      </c>
      <c r="L50">
        <v>32.605660023080361</v>
      </c>
      <c r="M50">
        <v>0.23160371241482389</v>
      </c>
    </row>
    <row r="51" spans="2:13">
      <c r="B51" t="s">
        <v>172</v>
      </c>
      <c r="C51" t="s">
        <v>848</v>
      </c>
      <c r="D51" t="s">
        <v>849</v>
      </c>
      <c r="E51" t="s">
        <v>10</v>
      </c>
      <c r="F51" t="s">
        <v>21</v>
      </c>
      <c r="G51" t="s">
        <v>175</v>
      </c>
      <c r="H51" t="s">
        <v>176</v>
      </c>
      <c r="J51" t="s">
        <v>848</v>
      </c>
      <c r="K51" t="s">
        <v>667</v>
      </c>
      <c r="L51">
        <v>90.299482586246782</v>
      </c>
      <c r="M51">
        <v>0.37657795561659679</v>
      </c>
    </row>
    <row r="52" spans="2:13">
      <c r="B52" t="s">
        <v>172</v>
      </c>
      <c r="C52" t="s">
        <v>850</v>
      </c>
      <c r="D52" t="s">
        <v>851</v>
      </c>
      <c r="E52" t="s">
        <v>10</v>
      </c>
      <c r="F52" t="s">
        <v>21</v>
      </c>
      <c r="G52" t="s">
        <v>175</v>
      </c>
      <c r="H52" t="s">
        <v>176</v>
      </c>
      <c r="J52" t="s">
        <v>850</v>
      </c>
      <c r="K52" t="s">
        <v>642</v>
      </c>
      <c r="L52">
        <v>31.0700693659116</v>
      </c>
      <c r="M52">
        <v>0.32901505794903269</v>
      </c>
    </row>
    <row r="53" spans="2:13">
      <c r="B53" t="s">
        <v>172</v>
      </c>
      <c r="C53" t="s">
        <v>852</v>
      </c>
      <c r="D53" t="s">
        <v>853</v>
      </c>
      <c r="E53" t="s">
        <v>10</v>
      </c>
      <c r="F53" t="s">
        <v>21</v>
      </c>
      <c r="G53" t="s">
        <v>175</v>
      </c>
      <c r="H53" t="s">
        <v>176</v>
      </c>
      <c r="J53" t="s">
        <v>852</v>
      </c>
      <c r="K53" t="s">
        <v>648</v>
      </c>
      <c r="L53">
        <v>50.190949831504739</v>
      </c>
      <c r="M53">
        <v>0.27115614735065652</v>
      </c>
    </row>
    <row r="54" spans="2:13">
      <c r="B54" t="s">
        <v>172</v>
      </c>
      <c r="C54" t="s">
        <v>854</v>
      </c>
      <c r="D54" t="s">
        <v>855</v>
      </c>
      <c r="E54" t="s">
        <v>10</v>
      </c>
      <c r="F54" t="s">
        <v>21</v>
      </c>
      <c r="G54" t="s">
        <v>175</v>
      </c>
      <c r="H54" t="s">
        <v>176</v>
      </c>
      <c r="J54" t="s">
        <v>854</v>
      </c>
      <c r="K54" t="s">
        <v>704</v>
      </c>
      <c r="L54">
        <v>40.782965241127428</v>
      </c>
      <c r="M54">
        <v>0.2189296563149854</v>
      </c>
    </row>
    <row r="55" spans="2:13">
      <c r="B55" t="s">
        <v>172</v>
      </c>
      <c r="C55" t="s">
        <v>856</v>
      </c>
      <c r="D55" t="s">
        <v>857</v>
      </c>
      <c r="E55" t="s">
        <v>10</v>
      </c>
      <c r="F55" t="s">
        <v>21</v>
      </c>
      <c r="G55" t="s">
        <v>175</v>
      </c>
      <c r="H55" t="s">
        <v>176</v>
      </c>
      <c r="J55" t="s">
        <v>856</v>
      </c>
      <c r="K55" t="s">
        <v>663</v>
      </c>
      <c r="L55">
        <v>18.78620106480027</v>
      </c>
      <c r="M55">
        <v>0.13205279097007469</v>
      </c>
    </row>
    <row r="56" spans="2:13">
      <c r="B56" t="s">
        <v>172</v>
      </c>
      <c r="C56" t="s">
        <v>858</v>
      </c>
      <c r="D56" t="s">
        <v>859</v>
      </c>
      <c r="E56" t="s">
        <v>10</v>
      </c>
      <c r="F56" t="s">
        <v>21</v>
      </c>
      <c r="G56" t="s">
        <v>175</v>
      </c>
      <c r="H56" t="s">
        <v>176</v>
      </c>
      <c r="J56" t="s">
        <v>858</v>
      </c>
      <c r="K56" t="s">
        <v>673</v>
      </c>
      <c r="L56">
        <v>36.951713341225911</v>
      </c>
      <c r="M56">
        <v>0.24221323433498529</v>
      </c>
    </row>
    <row r="57" spans="2:13">
      <c r="B57" t="s">
        <v>172</v>
      </c>
      <c r="C57" t="s">
        <v>860</v>
      </c>
      <c r="D57" t="s">
        <v>861</v>
      </c>
      <c r="E57" t="s">
        <v>10</v>
      </c>
      <c r="F57" t="s">
        <v>21</v>
      </c>
      <c r="G57" t="s">
        <v>175</v>
      </c>
      <c r="H57" t="s">
        <v>176</v>
      </c>
      <c r="J57" t="s">
        <v>860</v>
      </c>
      <c r="K57" t="s">
        <v>692</v>
      </c>
      <c r="L57">
        <v>38.681111469396185</v>
      </c>
      <c r="M57">
        <v>0.33467634935346469</v>
      </c>
    </row>
    <row r="58" spans="2:13">
      <c r="B58" t="s">
        <v>172</v>
      </c>
      <c r="C58" t="s">
        <v>862</v>
      </c>
      <c r="D58" t="s">
        <v>863</v>
      </c>
      <c r="E58" t="s">
        <v>10</v>
      </c>
      <c r="F58" t="s">
        <v>21</v>
      </c>
      <c r="G58" t="s">
        <v>175</v>
      </c>
      <c r="H58" t="s">
        <v>176</v>
      </c>
      <c r="J58" t="s">
        <v>862</v>
      </c>
      <c r="K58" t="s">
        <v>658</v>
      </c>
      <c r="L58">
        <v>40.509643950316452</v>
      </c>
      <c r="M58">
        <v>0.33313937323906678</v>
      </c>
    </row>
    <row r="59" spans="2:13">
      <c r="B59" t="s">
        <v>172</v>
      </c>
      <c r="C59" t="s">
        <v>864</v>
      </c>
      <c r="D59" t="s">
        <v>865</v>
      </c>
      <c r="E59" t="s">
        <v>10</v>
      </c>
      <c r="F59" t="s">
        <v>21</v>
      </c>
      <c r="G59" t="s">
        <v>175</v>
      </c>
      <c r="H59" t="s">
        <v>176</v>
      </c>
      <c r="J59" t="s">
        <v>864</v>
      </c>
      <c r="K59" t="s">
        <v>683</v>
      </c>
      <c r="L59">
        <v>51.325262704004658</v>
      </c>
      <c r="M59">
        <v>0.28211619126627058</v>
      </c>
    </row>
    <row r="60" spans="2:13">
      <c r="B60" t="s">
        <v>172</v>
      </c>
      <c r="C60" t="s">
        <v>866</v>
      </c>
      <c r="D60" t="s">
        <v>867</v>
      </c>
      <c r="E60" t="s">
        <v>10</v>
      </c>
      <c r="F60" t="s">
        <v>21</v>
      </c>
      <c r="G60" t="s">
        <v>175</v>
      </c>
      <c r="H60" t="s">
        <v>176</v>
      </c>
      <c r="J60" t="s">
        <v>866</v>
      </c>
      <c r="K60" t="s">
        <v>700</v>
      </c>
      <c r="L60">
        <v>47.319604251931622</v>
      </c>
      <c r="M60">
        <v>0.29873127727474702</v>
      </c>
    </row>
    <row r="61" spans="2:13">
      <c r="B61" t="s">
        <v>172</v>
      </c>
      <c r="C61" t="s">
        <v>868</v>
      </c>
      <c r="D61" t="s">
        <v>869</v>
      </c>
      <c r="E61" t="s">
        <v>10</v>
      </c>
      <c r="F61" t="s">
        <v>21</v>
      </c>
      <c r="G61" t="s">
        <v>175</v>
      </c>
      <c r="H61" t="s">
        <v>176</v>
      </c>
      <c r="J61" t="s">
        <v>868</v>
      </c>
      <c r="K61" t="s">
        <v>674</v>
      </c>
      <c r="L61">
        <v>62.987880701562105</v>
      </c>
      <c r="M61">
        <v>0.28994306429971739</v>
      </c>
    </row>
    <row r="62" spans="2:13">
      <c r="B62" t="s">
        <v>172</v>
      </c>
      <c r="C62" t="s">
        <v>870</v>
      </c>
      <c r="D62" t="s">
        <v>871</v>
      </c>
      <c r="E62" t="s">
        <v>10</v>
      </c>
      <c r="F62" t="s">
        <v>21</v>
      </c>
      <c r="G62" t="s">
        <v>175</v>
      </c>
      <c r="H62" t="s">
        <v>176</v>
      </c>
      <c r="J62" t="s">
        <v>870</v>
      </c>
      <c r="K62" t="s">
        <v>652</v>
      </c>
      <c r="L62">
        <v>31.448844031219011</v>
      </c>
      <c r="M62">
        <v>0.29655367945514</v>
      </c>
    </row>
    <row r="63" spans="2:13">
      <c r="B63" t="s">
        <v>172</v>
      </c>
      <c r="C63" t="s">
        <v>872</v>
      </c>
      <c r="D63" t="s">
        <v>873</v>
      </c>
      <c r="E63" t="s">
        <v>10</v>
      </c>
      <c r="F63" t="s">
        <v>21</v>
      </c>
      <c r="G63" t="s">
        <v>175</v>
      </c>
      <c r="H63" t="s">
        <v>176</v>
      </c>
      <c r="J63" t="s">
        <v>872</v>
      </c>
      <c r="K63" t="s">
        <v>676</v>
      </c>
      <c r="L63">
        <v>42.295461693466549</v>
      </c>
      <c r="M63">
        <v>0.31078194531993908</v>
      </c>
    </row>
    <row r="64" spans="2:13">
      <c r="B64" t="s">
        <v>172</v>
      </c>
      <c r="C64" t="s">
        <v>874</v>
      </c>
      <c r="D64" t="s">
        <v>875</v>
      </c>
      <c r="E64" t="s">
        <v>10</v>
      </c>
      <c r="F64" t="s">
        <v>21</v>
      </c>
      <c r="G64" t="s">
        <v>175</v>
      </c>
      <c r="H64" t="s">
        <v>176</v>
      </c>
      <c r="J64" t="s">
        <v>874</v>
      </c>
      <c r="K64" t="s">
        <v>665</v>
      </c>
      <c r="L64">
        <v>36.453082158597873</v>
      </c>
      <c r="M64">
        <v>0.32937480904033778</v>
      </c>
    </row>
    <row r="65" spans="2:13">
      <c r="B65" t="s">
        <v>172</v>
      </c>
      <c r="C65" t="s">
        <v>876</v>
      </c>
      <c r="D65" t="s">
        <v>877</v>
      </c>
      <c r="E65" t="s">
        <v>10</v>
      </c>
      <c r="F65" t="s">
        <v>21</v>
      </c>
      <c r="G65" t="s">
        <v>175</v>
      </c>
      <c r="H65" t="s">
        <v>176</v>
      </c>
      <c r="J65" t="s">
        <v>876</v>
      </c>
      <c r="K65" t="s">
        <v>702</v>
      </c>
      <c r="L65">
        <v>35.791395793730615</v>
      </c>
      <c r="M65">
        <v>0.30231035055563471</v>
      </c>
    </row>
    <row r="66" spans="2:13">
      <c r="B66" t="s">
        <v>172</v>
      </c>
      <c r="C66" t="s">
        <v>878</v>
      </c>
      <c r="D66" t="s">
        <v>879</v>
      </c>
      <c r="E66" t="s">
        <v>10</v>
      </c>
      <c r="F66" t="s">
        <v>21</v>
      </c>
      <c r="G66" t="s">
        <v>175</v>
      </c>
      <c r="H66" t="s">
        <v>176</v>
      </c>
      <c r="J66" t="s">
        <v>878</v>
      </c>
      <c r="K66" t="s">
        <v>647</v>
      </c>
      <c r="L66">
        <v>50.483450907118872</v>
      </c>
      <c r="M66">
        <v>0.36230358744774521</v>
      </c>
    </row>
    <row r="67" spans="2:13">
      <c r="B67" t="s">
        <v>172</v>
      </c>
      <c r="C67" t="s">
        <v>880</v>
      </c>
      <c r="D67" t="s">
        <v>881</v>
      </c>
      <c r="E67" t="s">
        <v>10</v>
      </c>
      <c r="F67" t="s">
        <v>21</v>
      </c>
      <c r="G67" t="s">
        <v>175</v>
      </c>
      <c r="H67" t="s">
        <v>176</v>
      </c>
      <c r="J67" t="s">
        <v>880</v>
      </c>
      <c r="K67" t="s">
        <v>664</v>
      </c>
      <c r="L67">
        <v>34.486778648232125</v>
      </c>
      <c r="M67">
        <v>0.29575430547584941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B8509-8FFB-4485-9ABF-A77C84A3D92C}">
  <dimension ref="B9:S119"/>
  <sheetViews>
    <sheetView tabSelected="1" workbookViewId="0"/>
  </sheetViews>
  <sheetFormatPr defaultRowHeight="14.25"/>
  <sheetData>
    <row r="9" spans="2:19">
      <c r="B9" t="s">
        <v>293</v>
      </c>
      <c r="M9" t="s">
        <v>164</v>
      </c>
    </row>
    <row r="10" spans="2:19">
      <c r="B10" t="s">
        <v>166</v>
      </c>
      <c r="C10" t="s">
        <v>478</v>
      </c>
      <c r="D10" t="s">
        <v>294</v>
      </c>
      <c r="E10">
        <v>2024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912</v>
      </c>
      <c r="C11" t="s">
        <v>33</v>
      </c>
      <c r="D11" t="s">
        <v>19</v>
      </c>
      <c r="E11">
        <v>752.8</v>
      </c>
      <c r="G11">
        <v>752.8</v>
      </c>
      <c r="J11">
        <v>752.8</v>
      </c>
      <c r="K11" t="s">
        <v>913</v>
      </c>
      <c r="M11" t="s">
        <v>172</v>
      </c>
      <c r="N11" t="s">
        <v>912</v>
      </c>
      <c r="P11" t="s">
        <v>10</v>
      </c>
      <c r="Q11" t="s">
        <v>21</v>
      </c>
      <c r="R11" t="s">
        <v>361</v>
      </c>
      <c r="S11" t="s">
        <v>940</v>
      </c>
    </row>
    <row r="12" spans="2:19">
      <c r="B12" t="s">
        <v>912</v>
      </c>
      <c r="C12" t="s">
        <v>33</v>
      </c>
      <c r="D12" t="s">
        <v>19</v>
      </c>
      <c r="E12">
        <v>28.2</v>
      </c>
      <c r="G12">
        <v>28.2</v>
      </c>
      <c r="J12">
        <v>28.2</v>
      </c>
      <c r="K12" t="s">
        <v>914</v>
      </c>
      <c r="M12" t="s">
        <v>172</v>
      </c>
      <c r="N12" t="s">
        <v>918</v>
      </c>
      <c r="P12" t="s">
        <v>10</v>
      </c>
      <c r="Q12" t="s">
        <v>21</v>
      </c>
      <c r="R12" t="s">
        <v>361</v>
      </c>
      <c r="S12" t="s">
        <v>940</v>
      </c>
    </row>
    <row r="13" spans="2:19">
      <c r="B13" t="s">
        <v>912</v>
      </c>
      <c r="C13" t="s">
        <v>33</v>
      </c>
      <c r="D13" t="s">
        <v>19</v>
      </c>
      <c r="E13">
        <v>0.58899999999999997</v>
      </c>
      <c r="G13">
        <v>0.54400000000000004</v>
      </c>
      <c r="J13">
        <v>0.497</v>
      </c>
      <c r="K13" t="s">
        <v>915</v>
      </c>
      <c r="M13" t="s">
        <v>941</v>
      </c>
      <c r="N13" t="s">
        <v>919</v>
      </c>
      <c r="P13" t="s">
        <v>10</v>
      </c>
      <c r="Q13" t="s">
        <v>21</v>
      </c>
      <c r="R13" t="s">
        <v>361</v>
      </c>
      <c r="S13" t="s">
        <v>940</v>
      </c>
    </row>
    <row r="14" spans="2:19">
      <c r="B14" t="s">
        <v>912</v>
      </c>
      <c r="C14" t="s">
        <v>33</v>
      </c>
      <c r="D14" t="s">
        <v>19</v>
      </c>
      <c r="E14">
        <v>0.56999999999999995</v>
      </c>
      <c r="G14">
        <v>0.57999999999999996</v>
      </c>
      <c r="J14">
        <v>0.59</v>
      </c>
      <c r="K14" t="s">
        <v>145</v>
      </c>
      <c r="M14" t="s">
        <v>172</v>
      </c>
      <c r="N14" t="s">
        <v>922</v>
      </c>
      <c r="P14" t="s">
        <v>10</v>
      </c>
      <c r="Q14" t="s">
        <v>21</v>
      </c>
      <c r="R14" t="s">
        <v>361</v>
      </c>
      <c r="S14" t="s">
        <v>940</v>
      </c>
    </row>
    <row r="15" spans="2:19">
      <c r="B15" t="s">
        <v>912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916</v>
      </c>
      <c r="M15" t="s">
        <v>172</v>
      </c>
      <c r="N15" t="s">
        <v>923</v>
      </c>
      <c r="P15" t="s">
        <v>10</v>
      </c>
      <c r="Q15" t="s">
        <v>21</v>
      </c>
      <c r="R15" t="s">
        <v>361</v>
      </c>
      <c r="S15" t="s">
        <v>940</v>
      </c>
    </row>
    <row r="16" spans="2:19">
      <c r="B16" t="s">
        <v>912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917</v>
      </c>
      <c r="M16" t="s">
        <v>172</v>
      </c>
      <c r="N16" t="s">
        <v>925</v>
      </c>
      <c r="P16" t="s">
        <v>10</v>
      </c>
      <c r="Q16" t="s">
        <v>21</v>
      </c>
      <c r="R16" t="s">
        <v>361</v>
      </c>
      <c r="S16" t="s">
        <v>940</v>
      </c>
    </row>
    <row r="17" spans="2:19">
      <c r="B17" t="s">
        <v>918</v>
      </c>
      <c r="C17" t="s">
        <v>33</v>
      </c>
      <c r="D17" t="s">
        <v>19</v>
      </c>
      <c r="E17">
        <v>423.4</v>
      </c>
      <c r="G17">
        <v>423.4</v>
      </c>
      <c r="J17">
        <v>423.4</v>
      </c>
      <c r="K17" t="s">
        <v>913</v>
      </c>
      <c r="M17" t="s">
        <v>172</v>
      </c>
      <c r="N17" t="s">
        <v>926</v>
      </c>
      <c r="P17" t="s">
        <v>10</v>
      </c>
      <c r="Q17" t="s">
        <v>21</v>
      </c>
      <c r="R17" t="s">
        <v>361</v>
      </c>
      <c r="S17" t="s">
        <v>940</v>
      </c>
    </row>
    <row r="18" spans="2:19">
      <c r="B18" t="s">
        <v>918</v>
      </c>
      <c r="C18" t="s">
        <v>33</v>
      </c>
      <c r="D18" t="s">
        <v>19</v>
      </c>
      <c r="E18">
        <v>23.5</v>
      </c>
      <c r="G18">
        <v>23.5</v>
      </c>
      <c r="J18">
        <v>23.5</v>
      </c>
      <c r="K18" t="s">
        <v>914</v>
      </c>
      <c r="M18" t="s">
        <v>172</v>
      </c>
      <c r="N18" t="s">
        <v>927</v>
      </c>
      <c r="P18" t="s">
        <v>10</v>
      </c>
      <c r="Q18" t="s">
        <v>21</v>
      </c>
      <c r="R18" t="s">
        <v>361</v>
      </c>
      <c r="S18" t="s">
        <v>940</v>
      </c>
    </row>
    <row r="19" spans="2:19">
      <c r="B19" t="s">
        <v>918</v>
      </c>
      <c r="C19" t="s">
        <v>33</v>
      </c>
      <c r="D19" t="s">
        <v>19</v>
      </c>
      <c r="E19">
        <v>1.9279999999999999</v>
      </c>
      <c r="G19">
        <v>1.9279999999999999</v>
      </c>
      <c r="J19">
        <v>1.9279999999999999</v>
      </c>
      <c r="K19" t="s">
        <v>915</v>
      </c>
      <c r="M19" t="s">
        <v>172</v>
      </c>
      <c r="N19" t="s">
        <v>928</v>
      </c>
      <c r="P19" t="s">
        <v>10</v>
      </c>
      <c r="Q19" t="s">
        <v>21</v>
      </c>
      <c r="R19" t="s">
        <v>361</v>
      </c>
      <c r="S19" t="s">
        <v>940</v>
      </c>
    </row>
    <row r="20" spans="2:19">
      <c r="B20" t="s">
        <v>918</v>
      </c>
      <c r="C20" t="s">
        <v>33</v>
      </c>
      <c r="D20" t="s">
        <v>19</v>
      </c>
      <c r="E20">
        <v>0.39</v>
      </c>
      <c r="G20">
        <v>0.41</v>
      </c>
      <c r="J20">
        <v>0.41</v>
      </c>
      <c r="K20" t="s">
        <v>145</v>
      </c>
      <c r="M20" t="s">
        <v>172</v>
      </c>
      <c r="N20" t="s">
        <v>929</v>
      </c>
      <c r="P20" t="s">
        <v>10</v>
      </c>
      <c r="Q20" t="s">
        <v>21</v>
      </c>
      <c r="R20" t="s">
        <v>361</v>
      </c>
      <c r="S20" t="s">
        <v>940</v>
      </c>
    </row>
    <row r="21" spans="2:19">
      <c r="B21" t="s">
        <v>918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916</v>
      </c>
      <c r="M21" t="s">
        <v>172</v>
      </c>
      <c r="N21" t="s">
        <v>930</v>
      </c>
      <c r="P21" t="s">
        <v>10</v>
      </c>
      <c r="Q21" t="s">
        <v>21</v>
      </c>
      <c r="R21" t="s">
        <v>361</v>
      </c>
      <c r="S21" t="s">
        <v>940</v>
      </c>
    </row>
    <row r="22" spans="2:19">
      <c r="B22" t="s">
        <v>918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917</v>
      </c>
      <c r="M22" t="s">
        <v>172</v>
      </c>
      <c r="N22" t="s">
        <v>931</v>
      </c>
      <c r="P22" t="s">
        <v>10</v>
      </c>
      <c r="Q22" t="s">
        <v>21</v>
      </c>
      <c r="R22" t="s">
        <v>361</v>
      </c>
      <c r="S22" t="s">
        <v>940</v>
      </c>
    </row>
    <row r="23" spans="2:19">
      <c r="B23" t="s">
        <v>919</v>
      </c>
      <c r="C23" t="s">
        <v>33</v>
      </c>
      <c r="D23" t="s">
        <v>920</v>
      </c>
      <c r="E23">
        <v>978.6</v>
      </c>
      <c r="G23">
        <v>978.6</v>
      </c>
      <c r="J23">
        <v>978.6</v>
      </c>
      <c r="K23" t="s">
        <v>913</v>
      </c>
      <c r="M23" t="s">
        <v>172</v>
      </c>
      <c r="N23" t="s">
        <v>932</v>
      </c>
      <c r="P23" t="s">
        <v>10</v>
      </c>
      <c r="Q23" t="s">
        <v>21</v>
      </c>
      <c r="R23" t="s">
        <v>361</v>
      </c>
      <c r="S23" t="s">
        <v>940</v>
      </c>
    </row>
    <row r="24" spans="2:19">
      <c r="B24" t="s">
        <v>919</v>
      </c>
      <c r="C24" t="s">
        <v>33</v>
      </c>
      <c r="D24" t="s">
        <v>920</v>
      </c>
      <c r="E24">
        <v>37.6</v>
      </c>
      <c r="G24">
        <v>37.6</v>
      </c>
      <c r="J24">
        <v>37.6</v>
      </c>
      <c r="K24" t="s">
        <v>914</v>
      </c>
      <c r="M24" t="s">
        <v>172</v>
      </c>
      <c r="N24" t="s">
        <v>933</v>
      </c>
      <c r="P24" t="s">
        <v>10</v>
      </c>
      <c r="Q24" t="s">
        <v>21</v>
      </c>
      <c r="R24" t="s">
        <v>361</v>
      </c>
      <c r="S24" t="s">
        <v>940</v>
      </c>
    </row>
    <row r="25" spans="2:19">
      <c r="B25" t="s">
        <v>919</v>
      </c>
      <c r="C25" t="s">
        <v>33</v>
      </c>
      <c r="D25" t="s">
        <v>920</v>
      </c>
      <c r="E25">
        <v>0.69399999999999995</v>
      </c>
      <c r="G25">
        <v>0.69399999999999995</v>
      </c>
      <c r="J25">
        <v>0.69399999999999995</v>
      </c>
      <c r="K25" t="s">
        <v>915</v>
      </c>
      <c r="M25" t="s">
        <v>172</v>
      </c>
      <c r="N25" t="s">
        <v>934</v>
      </c>
      <c r="P25" t="s">
        <v>10</v>
      </c>
      <c r="Q25" t="s">
        <v>21</v>
      </c>
      <c r="R25" t="s">
        <v>361</v>
      </c>
      <c r="S25" t="s">
        <v>940</v>
      </c>
    </row>
    <row r="26" spans="2:19">
      <c r="B26" t="s">
        <v>919</v>
      </c>
      <c r="C26" t="s">
        <v>33</v>
      </c>
      <c r="D26" t="s">
        <v>920</v>
      </c>
      <c r="E26">
        <v>0.52</v>
      </c>
      <c r="G26">
        <v>0.53300000000000003</v>
      </c>
      <c r="J26">
        <v>0.53300000000000003</v>
      </c>
      <c r="K26" t="s">
        <v>145</v>
      </c>
      <c r="M26" t="s">
        <v>172</v>
      </c>
      <c r="N26" t="s">
        <v>936</v>
      </c>
      <c r="P26" t="s">
        <v>10</v>
      </c>
      <c r="Q26" t="s">
        <v>21</v>
      </c>
      <c r="R26" t="s">
        <v>361</v>
      </c>
      <c r="S26" t="s">
        <v>940</v>
      </c>
    </row>
    <row r="27" spans="2:19">
      <c r="B27" t="s">
        <v>919</v>
      </c>
      <c r="C27" t="s">
        <v>33</v>
      </c>
      <c r="D27" t="s">
        <v>920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916</v>
      </c>
      <c r="M27" t="s">
        <v>941</v>
      </c>
      <c r="N27" t="s">
        <v>937</v>
      </c>
      <c r="P27" t="s">
        <v>10</v>
      </c>
      <c r="Q27" t="s">
        <v>21</v>
      </c>
      <c r="R27" t="s">
        <v>361</v>
      </c>
      <c r="S27" t="s">
        <v>940</v>
      </c>
    </row>
    <row r="28" spans="2:19">
      <c r="B28" t="s">
        <v>919</v>
      </c>
      <c r="C28" t="s">
        <v>33</v>
      </c>
      <c r="D28" t="s">
        <v>920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917</v>
      </c>
      <c r="M28" t="s">
        <v>172</v>
      </c>
      <c r="N28" t="s">
        <v>938</v>
      </c>
      <c r="P28" t="s">
        <v>10</v>
      </c>
      <c r="Q28" t="s">
        <v>21</v>
      </c>
      <c r="R28" t="s">
        <v>361</v>
      </c>
      <c r="S28" t="s">
        <v>940</v>
      </c>
    </row>
    <row r="29" spans="2:19">
      <c r="B29" t="s">
        <v>919</v>
      </c>
      <c r="C29" t="s">
        <v>33</v>
      </c>
      <c r="D29" t="s">
        <v>920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921</v>
      </c>
      <c r="M29" t="s">
        <v>172</v>
      </c>
      <c r="N29" t="s">
        <v>939</v>
      </c>
      <c r="P29" t="s">
        <v>10</v>
      </c>
      <c r="Q29" t="s">
        <v>21</v>
      </c>
      <c r="R29" t="s">
        <v>361</v>
      </c>
      <c r="S29" t="s">
        <v>940</v>
      </c>
    </row>
    <row r="30" spans="2:19">
      <c r="B30" t="s">
        <v>922</v>
      </c>
      <c r="C30" t="s">
        <v>33</v>
      </c>
      <c r="D30" t="s">
        <v>19</v>
      </c>
      <c r="E30">
        <v>4704.8</v>
      </c>
      <c r="G30">
        <v>2352.4</v>
      </c>
      <c r="J30">
        <v>2352.4</v>
      </c>
      <c r="K30" t="s">
        <v>913</v>
      </c>
    </row>
    <row r="31" spans="2:19">
      <c r="B31" t="s">
        <v>922</v>
      </c>
      <c r="C31" t="s">
        <v>33</v>
      </c>
      <c r="D31" t="s">
        <v>19</v>
      </c>
      <c r="E31">
        <v>141.1</v>
      </c>
      <c r="G31">
        <v>70.599999999999994</v>
      </c>
      <c r="J31">
        <v>70.599999999999994</v>
      </c>
      <c r="K31" t="s">
        <v>914</v>
      </c>
    </row>
    <row r="32" spans="2:19">
      <c r="B32" t="s">
        <v>922</v>
      </c>
      <c r="C32" t="s">
        <v>33</v>
      </c>
      <c r="D32" t="s">
        <v>19</v>
      </c>
      <c r="E32">
        <v>0.83299999999999996</v>
      </c>
      <c r="G32">
        <v>0.83299999999999996</v>
      </c>
      <c r="J32">
        <v>0.83299999999999996</v>
      </c>
      <c r="K32" t="s">
        <v>915</v>
      </c>
    </row>
    <row r="33" spans="2:11">
      <c r="B33" t="s">
        <v>922</v>
      </c>
      <c r="C33" t="s">
        <v>33</v>
      </c>
      <c r="D33" t="s">
        <v>19</v>
      </c>
      <c r="E33">
        <v>0.52</v>
      </c>
      <c r="G33">
        <v>0.57999999999999996</v>
      </c>
      <c r="J33">
        <v>0.6</v>
      </c>
      <c r="K33" t="s">
        <v>145</v>
      </c>
    </row>
    <row r="34" spans="2:11">
      <c r="B34" t="s">
        <v>922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916</v>
      </c>
    </row>
    <row r="35" spans="2:11">
      <c r="B35" t="s">
        <v>922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917</v>
      </c>
    </row>
    <row r="36" spans="2:11">
      <c r="B36" t="s">
        <v>923</v>
      </c>
      <c r="C36" t="s">
        <v>33</v>
      </c>
      <c r="D36" t="s">
        <v>924</v>
      </c>
      <c r="E36">
        <v>2634.7</v>
      </c>
      <c r="G36">
        <v>2399.5</v>
      </c>
      <c r="J36">
        <v>2164.1999999999998</v>
      </c>
      <c r="K36" t="s">
        <v>913</v>
      </c>
    </row>
    <row r="37" spans="2:11">
      <c r="B37" t="s">
        <v>923</v>
      </c>
      <c r="C37" t="s">
        <v>33</v>
      </c>
      <c r="D37" t="s">
        <v>924</v>
      </c>
      <c r="E37">
        <v>94.1</v>
      </c>
      <c r="G37">
        <v>84.7</v>
      </c>
      <c r="J37">
        <v>75.3</v>
      </c>
      <c r="K37" t="s">
        <v>914</v>
      </c>
    </row>
    <row r="38" spans="2:11">
      <c r="B38" t="s">
        <v>923</v>
      </c>
      <c r="C38" t="s">
        <v>33</v>
      </c>
      <c r="D38" t="s">
        <v>924</v>
      </c>
      <c r="E38">
        <v>1.294</v>
      </c>
      <c r="G38">
        <v>1.1060000000000001</v>
      </c>
      <c r="J38">
        <v>0.98899999999999999</v>
      </c>
      <c r="K38" t="s">
        <v>915</v>
      </c>
    </row>
    <row r="39" spans="2:11">
      <c r="B39" t="s">
        <v>923</v>
      </c>
      <c r="C39" t="s">
        <v>33</v>
      </c>
      <c r="D39" t="s">
        <v>924</v>
      </c>
      <c r="E39">
        <v>0.5</v>
      </c>
      <c r="G39">
        <v>0.52</v>
      </c>
      <c r="J39">
        <v>0.52</v>
      </c>
      <c r="K39" t="s">
        <v>145</v>
      </c>
    </row>
    <row r="40" spans="2:11">
      <c r="B40" t="s">
        <v>923</v>
      </c>
      <c r="C40" t="s">
        <v>33</v>
      </c>
      <c r="D40" t="s">
        <v>924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916</v>
      </c>
    </row>
    <row r="41" spans="2:11">
      <c r="B41" t="s">
        <v>923</v>
      </c>
      <c r="C41" t="s">
        <v>33</v>
      </c>
      <c r="D41" t="s">
        <v>924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917</v>
      </c>
    </row>
    <row r="42" spans="2:11">
      <c r="B42" t="s">
        <v>925</v>
      </c>
      <c r="C42" t="s">
        <v>32</v>
      </c>
      <c r="D42" t="s">
        <v>19</v>
      </c>
      <c r="E42">
        <v>1223.3</v>
      </c>
      <c r="G42">
        <v>1223.3</v>
      </c>
      <c r="J42">
        <v>1223.3</v>
      </c>
      <c r="K42" t="s">
        <v>913</v>
      </c>
    </row>
    <row r="43" spans="2:11">
      <c r="B43" t="s">
        <v>925</v>
      </c>
      <c r="C43" t="s">
        <v>32</v>
      </c>
      <c r="D43" t="s">
        <v>19</v>
      </c>
      <c r="E43">
        <v>42.3</v>
      </c>
      <c r="G43">
        <v>42.3</v>
      </c>
      <c r="J43">
        <v>42.3</v>
      </c>
      <c r="K43" t="s">
        <v>914</v>
      </c>
    </row>
    <row r="44" spans="2:11">
      <c r="B44" t="s">
        <v>925</v>
      </c>
      <c r="C44" t="s">
        <v>32</v>
      </c>
      <c r="D44" t="s">
        <v>19</v>
      </c>
      <c r="E44">
        <v>2.3610000000000002</v>
      </c>
      <c r="G44">
        <v>2.3610000000000002</v>
      </c>
      <c r="J44">
        <v>2.3610000000000002</v>
      </c>
      <c r="K44" t="s">
        <v>915</v>
      </c>
    </row>
    <row r="45" spans="2:11">
      <c r="B45" t="s">
        <v>925</v>
      </c>
      <c r="C45" t="s">
        <v>32</v>
      </c>
      <c r="D45" t="s">
        <v>19</v>
      </c>
      <c r="E45">
        <v>0.37</v>
      </c>
      <c r="G45">
        <v>0.37</v>
      </c>
      <c r="J45">
        <v>0.37</v>
      </c>
      <c r="K45" t="s">
        <v>145</v>
      </c>
    </row>
    <row r="46" spans="2:11">
      <c r="B46" t="s">
        <v>925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916</v>
      </c>
    </row>
    <row r="47" spans="2:11">
      <c r="B47" t="s">
        <v>925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917</v>
      </c>
    </row>
    <row r="48" spans="2:11">
      <c r="B48" t="s">
        <v>926</v>
      </c>
      <c r="C48" t="s">
        <v>32</v>
      </c>
      <c r="D48" t="s">
        <v>19</v>
      </c>
      <c r="E48">
        <v>1505.5</v>
      </c>
      <c r="G48">
        <v>1505.5</v>
      </c>
      <c r="J48">
        <v>1505.5</v>
      </c>
      <c r="K48" t="s">
        <v>913</v>
      </c>
    </row>
    <row r="49" spans="2:11">
      <c r="B49" t="s">
        <v>926</v>
      </c>
      <c r="C49" t="s">
        <v>32</v>
      </c>
      <c r="D49" t="s">
        <v>19</v>
      </c>
      <c r="E49">
        <v>61.2</v>
      </c>
      <c r="G49">
        <v>61.2</v>
      </c>
      <c r="J49">
        <v>61.2</v>
      </c>
      <c r="K49" t="s">
        <v>914</v>
      </c>
    </row>
    <row r="50" spans="2:11">
      <c r="B50" t="s">
        <v>926</v>
      </c>
      <c r="C50" t="s">
        <v>32</v>
      </c>
      <c r="D50" t="s">
        <v>19</v>
      </c>
      <c r="E50">
        <v>2.5499999999999998</v>
      </c>
      <c r="G50">
        <v>2.4420000000000002</v>
      </c>
      <c r="J50">
        <v>2.3170000000000002</v>
      </c>
      <c r="K50" t="s">
        <v>915</v>
      </c>
    </row>
    <row r="51" spans="2:11">
      <c r="B51" t="s">
        <v>926</v>
      </c>
      <c r="C51" t="s">
        <v>32</v>
      </c>
      <c r="D51" t="s">
        <v>19</v>
      </c>
      <c r="E51">
        <v>0.41</v>
      </c>
      <c r="G51">
        <v>0.41</v>
      </c>
      <c r="J51">
        <v>0.41</v>
      </c>
      <c r="K51" t="s">
        <v>145</v>
      </c>
    </row>
    <row r="52" spans="2:11">
      <c r="B52" t="s">
        <v>926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916</v>
      </c>
    </row>
    <row r="53" spans="2:11">
      <c r="B53" t="s">
        <v>926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917</v>
      </c>
    </row>
    <row r="54" spans="2:11">
      <c r="B54" t="s">
        <v>927</v>
      </c>
      <c r="C54" t="s">
        <v>32</v>
      </c>
      <c r="D54" t="s">
        <v>19</v>
      </c>
      <c r="E54">
        <v>1505.5</v>
      </c>
      <c r="G54">
        <v>1505.5</v>
      </c>
      <c r="J54">
        <v>1505.5</v>
      </c>
      <c r="K54" t="s">
        <v>913</v>
      </c>
    </row>
    <row r="55" spans="2:11">
      <c r="B55" t="s">
        <v>927</v>
      </c>
      <c r="C55" t="s">
        <v>32</v>
      </c>
      <c r="D55" t="s">
        <v>19</v>
      </c>
      <c r="E55">
        <v>61.2</v>
      </c>
      <c r="G55">
        <v>61.2</v>
      </c>
      <c r="J55">
        <v>61.2</v>
      </c>
      <c r="K55" t="s">
        <v>914</v>
      </c>
    </row>
    <row r="56" spans="2:11">
      <c r="B56" t="s">
        <v>927</v>
      </c>
      <c r="C56" t="s">
        <v>32</v>
      </c>
      <c r="D56" t="s">
        <v>19</v>
      </c>
      <c r="E56">
        <v>2.6389999999999998</v>
      </c>
      <c r="G56">
        <v>2.6389999999999998</v>
      </c>
      <c r="J56">
        <v>2.6389999999999998</v>
      </c>
      <c r="K56" t="s">
        <v>915</v>
      </c>
    </row>
    <row r="57" spans="2:11">
      <c r="B57" t="s">
        <v>927</v>
      </c>
      <c r="C57" t="s">
        <v>32</v>
      </c>
      <c r="D57" t="s">
        <v>19</v>
      </c>
      <c r="E57">
        <v>0.44</v>
      </c>
      <c r="G57">
        <v>0.45</v>
      </c>
      <c r="J57">
        <v>0.46</v>
      </c>
      <c r="K57" t="s">
        <v>145</v>
      </c>
    </row>
    <row r="58" spans="2:11">
      <c r="B58" t="s">
        <v>927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916</v>
      </c>
    </row>
    <row r="59" spans="2:11">
      <c r="B59" t="s">
        <v>927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917</v>
      </c>
    </row>
    <row r="60" spans="2:11">
      <c r="B60" t="s">
        <v>928</v>
      </c>
      <c r="C60" t="s">
        <v>32</v>
      </c>
      <c r="D60" t="s">
        <v>19</v>
      </c>
      <c r="E60">
        <v>1881.9</v>
      </c>
      <c r="G60">
        <v>1787.8</v>
      </c>
      <c r="J60">
        <v>1787.8</v>
      </c>
      <c r="K60" t="s">
        <v>913</v>
      </c>
    </row>
    <row r="61" spans="2:11">
      <c r="B61" t="s">
        <v>928</v>
      </c>
      <c r="C61" t="s">
        <v>32</v>
      </c>
      <c r="D61" t="s">
        <v>19</v>
      </c>
      <c r="E61">
        <v>84.7</v>
      </c>
      <c r="G61">
        <v>80</v>
      </c>
      <c r="J61">
        <v>80</v>
      </c>
      <c r="K61" t="s">
        <v>914</v>
      </c>
    </row>
    <row r="62" spans="2:11">
      <c r="B62" t="s">
        <v>928</v>
      </c>
      <c r="C62" t="s">
        <v>32</v>
      </c>
      <c r="D62" t="s">
        <v>19</v>
      </c>
      <c r="E62">
        <v>0.44</v>
      </c>
      <c r="G62">
        <v>0.47</v>
      </c>
      <c r="J62">
        <v>0.48</v>
      </c>
      <c r="K62" t="s">
        <v>145</v>
      </c>
    </row>
    <row r="63" spans="2:11">
      <c r="B63" t="s">
        <v>928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916</v>
      </c>
    </row>
    <row r="64" spans="2:11">
      <c r="B64" t="s">
        <v>928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917</v>
      </c>
    </row>
    <row r="65" spans="2:11">
      <c r="B65" t="s">
        <v>929</v>
      </c>
      <c r="C65" t="s">
        <v>32</v>
      </c>
      <c r="D65" t="s">
        <v>924</v>
      </c>
      <c r="E65">
        <v>4.3559999999999999</v>
      </c>
      <c r="G65">
        <v>3.95</v>
      </c>
      <c r="J65">
        <v>3.7309999999999999</v>
      </c>
      <c r="K65" t="s">
        <v>915</v>
      </c>
    </row>
    <row r="66" spans="2:11">
      <c r="B66" t="s">
        <v>929</v>
      </c>
      <c r="C66" t="s">
        <v>32</v>
      </c>
      <c r="D66" t="s">
        <v>924</v>
      </c>
      <c r="E66">
        <v>40</v>
      </c>
      <c r="F66">
        <v>40</v>
      </c>
      <c r="G66">
        <v>40</v>
      </c>
      <c r="H66">
        <v>40</v>
      </c>
      <c r="I66">
        <v>40</v>
      </c>
      <c r="J66">
        <v>40</v>
      </c>
      <c r="K66" t="s">
        <v>916</v>
      </c>
    </row>
    <row r="67" spans="2:11">
      <c r="B67" t="s">
        <v>929</v>
      </c>
      <c r="C67" t="s">
        <v>32</v>
      </c>
      <c r="D67" t="s">
        <v>924</v>
      </c>
      <c r="E67">
        <v>5</v>
      </c>
      <c r="F67">
        <v>5</v>
      </c>
      <c r="G67">
        <v>5</v>
      </c>
      <c r="H67">
        <v>5</v>
      </c>
      <c r="I67">
        <v>5</v>
      </c>
      <c r="J67">
        <v>5</v>
      </c>
      <c r="K67" t="s">
        <v>917</v>
      </c>
    </row>
    <row r="68" spans="2:11">
      <c r="B68" t="s">
        <v>930</v>
      </c>
      <c r="C68" t="s">
        <v>32</v>
      </c>
      <c r="D68" t="s">
        <v>924</v>
      </c>
      <c r="E68">
        <v>4.5830000000000002</v>
      </c>
      <c r="G68">
        <v>4.5830000000000002</v>
      </c>
      <c r="J68">
        <v>4.5830000000000002</v>
      </c>
      <c r="K68" t="s">
        <v>915</v>
      </c>
    </row>
    <row r="69" spans="2:11">
      <c r="B69" t="s">
        <v>930</v>
      </c>
      <c r="C69" t="s">
        <v>32</v>
      </c>
      <c r="D69" t="s">
        <v>924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916</v>
      </c>
    </row>
    <row r="70" spans="2:11">
      <c r="B70" t="s">
        <v>930</v>
      </c>
      <c r="C70" t="s">
        <v>32</v>
      </c>
      <c r="D70" t="s">
        <v>924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917</v>
      </c>
    </row>
    <row r="71" spans="2:11">
      <c r="B71" t="s">
        <v>931</v>
      </c>
      <c r="C71" t="s">
        <v>32</v>
      </c>
      <c r="D71" t="s">
        <v>924</v>
      </c>
      <c r="E71">
        <v>4.306</v>
      </c>
      <c r="G71">
        <v>4.306</v>
      </c>
      <c r="J71">
        <v>4.306</v>
      </c>
      <c r="K71" t="s">
        <v>915</v>
      </c>
    </row>
    <row r="72" spans="2:11">
      <c r="B72" t="s">
        <v>931</v>
      </c>
      <c r="C72" t="s">
        <v>32</v>
      </c>
      <c r="D72" t="s">
        <v>924</v>
      </c>
      <c r="E72">
        <v>40</v>
      </c>
      <c r="F72">
        <v>40</v>
      </c>
      <c r="G72">
        <v>40</v>
      </c>
      <c r="H72">
        <v>40</v>
      </c>
      <c r="I72">
        <v>40</v>
      </c>
      <c r="J72">
        <v>40</v>
      </c>
      <c r="K72" t="s">
        <v>916</v>
      </c>
    </row>
    <row r="73" spans="2:11">
      <c r="B73" t="s">
        <v>931</v>
      </c>
      <c r="C73" t="s">
        <v>32</v>
      </c>
      <c r="D73" t="s">
        <v>924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 t="s">
        <v>917</v>
      </c>
    </row>
    <row r="74" spans="2:11">
      <c r="B74" t="s">
        <v>932</v>
      </c>
      <c r="C74" t="s">
        <v>36</v>
      </c>
      <c r="D74" t="s">
        <v>19</v>
      </c>
      <c r="E74">
        <v>3293.4</v>
      </c>
      <c r="G74">
        <v>3293.4</v>
      </c>
      <c r="J74">
        <v>3293.4</v>
      </c>
      <c r="K74" t="s">
        <v>913</v>
      </c>
    </row>
    <row r="75" spans="2:11">
      <c r="B75" t="s">
        <v>932</v>
      </c>
      <c r="C75" t="s">
        <v>36</v>
      </c>
      <c r="D75" t="s">
        <v>19</v>
      </c>
      <c r="E75">
        <v>150.6</v>
      </c>
      <c r="G75">
        <v>150.6</v>
      </c>
      <c r="J75">
        <v>150.6</v>
      </c>
      <c r="K75" t="s">
        <v>914</v>
      </c>
    </row>
    <row r="76" spans="2:11">
      <c r="B76" t="s">
        <v>932</v>
      </c>
      <c r="C76" t="s">
        <v>36</v>
      </c>
      <c r="D76" t="s">
        <v>19</v>
      </c>
      <c r="G76">
        <v>0.77800000000000002</v>
      </c>
      <c r="J76">
        <v>0.77800000000000002</v>
      </c>
      <c r="K76" t="s">
        <v>915</v>
      </c>
    </row>
    <row r="77" spans="2:11">
      <c r="B77" t="s">
        <v>932</v>
      </c>
      <c r="C77" t="s">
        <v>36</v>
      </c>
      <c r="D77" t="s">
        <v>19</v>
      </c>
      <c r="E77">
        <v>60</v>
      </c>
      <c r="F77">
        <v>60</v>
      </c>
      <c r="G77">
        <v>60</v>
      </c>
      <c r="H77">
        <v>60</v>
      </c>
      <c r="I77">
        <v>60</v>
      </c>
      <c r="J77">
        <v>60</v>
      </c>
      <c r="K77" t="s">
        <v>916</v>
      </c>
    </row>
    <row r="78" spans="2:11">
      <c r="B78" t="s">
        <v>932</v>
      </c>
      <c r="C78" t="s">
        <v>36</v>
      </c>
      <c r="D78" t="s">
        <v>19</v>
      </c>
      <c r="E78">
        <v>7</v>
      </c>
      <c r="F78">
        <v>7</v>
      </c>
      <c r="G78">
        <v>7</v>
      </c>
      <c r="H78">
        <v>7</v>
      </c>
      <c r="I78">
        <v>7</v>
      </c>
      <c r="J78">
        <v>7</v>
      </c>
      <c r="K78" t="s">
        <v>917</v>
      </c>
    </row>
    <row r="79" spans="2:11">
      <c r="B79" t="s">
        <v>933</v>
      </c>
      <c r="C79" t="s">
        <v>36</v>
      </c>
      <c r="D79" t="s">
        <v>19</v>
      </c>
      <c r="F79">
        <v>7186.2</v>
      </c>
      <c r="G79">
        <v>5855.4</v>
      </c>
      <c r="H79">
        <v>4957.3999999999996</v>
      </c>
      <c r="I79">
        <v>4262.3999999999996</v>
      </c>
      <c r="J79">
        <v>3799.1</v>
      </c>
      <c r="K79" t="s">
        <v>913</v>
      </c>
    </row>
    <row r="80" spans="2:11">
      <c r="B80" t="s">
        <v>933</v>
      </c>
      <c r="C80" t="s">
        <v>36</v>
      </c>
      <c r="D80" t="s">
        <v>19</v>
      </c>
      <c r="F80">
        <v>101.3</v>
      </c>
      <c r="G80">
        <v>101.3</v>
      </c>
      <c r="H80">
        <v>105.8</v>
      </c>
      <c r="I80">
        <v>105.8</v>
      </c>
      <c r="J80">
        <v>105.8</v>
      </c>
      <c r="K80" t="s">
        <v>914</v>
      </c>
    </row>
    <row r="81" spans="2:11">
      <c r="B81" t="s">
        <v>933</v>
      </c>
      <c r="C81" t="s">
        <v>36</v>
      </c>
      <c r="D81" t="s">
        <v>19</v>
      </c>
      <c r="F81">
        <v>0.72199999999999998</v>
      </c>
      <c r="G81">
        <v>0.72199999999999998</v>
      </c>
      <c r="H81">
        <v>0.72199999999999998</v>
      </c>
      <c r="I81">
        <v>0.72199999999999998</v>
      </c>
      <c r="J81">
        <v>0.72199999999999998</v>
      </c>
      <c r="K81" t="s">
        <v>915</v>
      </c>
    </row>
    <row r="82" spans="2:11">
      <c r="B82" t="s">
        <v>933</v>
      </c>
      <c r="C82" t="s">
        <v>36</v>
      </c>
      <c r="D82" t="s">
        <v>19</v>
      </c>
      <c r="E82">
        <v>40</v>
      </c>
      <c r="F82">
        <v>40</v>
      </c>
      <c r="G82">
        <v>40</v>
      </c>
      <c r="H82">
        <v>40</v>
      </c>
      <c r="I82">
        <v>40</v>
      </c>
      <c r="J82">
        <v>40</v>
      </c>
      <c r="K82" t="s">
        <v>916</v>
      </c>
    </row>
    <row r="83" spans="2:11">
      <c r="B83" t="s">
        <v>933</v>
      </c>
      <c r="C83" t="s">
        <v>36</v>
      </c>
      <c r="D83" t="s">
        <v>19</v>
      </c>
      <c r="E83">
        <v>3</v>
      </c>
      <c r="F83">
        <v>3</v>
      </c>
      <c r="G83">
        <v>3</v>
      </c>
      <c r="H83">
        <v>3</v>
      </c>
      <c r="I83">
        <v>3</v>
      </c>
      <c r="J83">
        <v>3</v>
      </c>
      <c r="K83" t="s">
        <v>917</v>
      </c>
    </row>
    <row r="84" spans="2:11">
      <c r="B84" t="s">
        <v>934</v>
      </c>
      <c r="C84" t="s">
        <v>31</v>
      </c>
      <c r="D84" t="s">
        <v>19</v>
      </c>
      <c r="E84">
        <v>2164.1999999999998</v>
      </c>
      <c r="G84">
        <v>2070.1</v>
      </c>
      <c r="J84">
        <v>2023.1</v>
      </c>
      <c r="K84" t="s">
        <v>913</v>
      </c>
    </row>
    <row r="85" spans="2:11">
      <c r="B85" t="s">
        <v>934</v>
      </c>
      <c r="C85" t="s">
        <v>31</v>
      </c>
      <c r="D85" t="s">
        <v>19</v>
      </c>
      <c r="E85">
        <v>75.3</v>
      </c>
      <c r="G85">
        <v>70.599999999999994</v>
      </c>
      <c r="J85">
        <v>70.599999999999994</v>
      </c>
      <c r="K85" t="s">
        <v>914</v>
      </c>
    </row>
    <row r="86" spans="2:11">
      <c r="B86" t="s">
        <v>934</v>
      </c>
      <c r="C86" t="s">
        <v>31</v>
      </c>
      <c r="D86" t="s">
        <v>19</v>
      </c>
      <c r="E86">
        <v>1.4570000000000001</v>
      </c>
      <c r="G86">
        <v>1.4570000000000001</v>
      </c>
      <c r="J86">
        <v>1.4570000000000001</v>
      </c>
      <c r="K86" t="s">
        <v>915</v>
      </c>
    </row>
    <row r="87" spans="2:11">
      <c r="B87" t="s">
        <v>934</v>
      </c>
      <c r="C87" t="s">
        <v>31</v>
      </c>
      <c r="D87" t="s">
        <v>19</v>
      </c>
      <c r="E87">
        <v>0.35</v>
      </c>
      <c r="G87">
        <v>0.35</v>
      </c>
      <c r="J87">
        <v>0.35</v>
      </c>
      <c r="K87" t="s">
        <v>145</v>
      </c>
    </row>
    <row r="88" spans="2:11">
      <c r="B88" t="s">
        <v>934</v>
      </c>
      <c r="C88" t="s">
        <v>31</v>
      </c>
      <c r="D88" t="s">
        <v>19</v>
      </c>
      <c r="E88">
        <v>0.8</v>
      </c>
      <c r="G88">
        <v>0.8</v>
      </c>
      <c r="J88">
        <v>0.8</v>
      </c>
      <c r="K88" t="s">
        <v>935</v>
      </c>
    </row>
    <row r="89" spans="2:11">
      <c r="B89" t="s">
        <v>934</v>
      </c>
      <c r="C89" t="s">
        <v>31</v>
      </c>
      <c r="D89" t="s">
        <v>19</v>
      </c>
      <c r="E89">
        <v>45</v>
      </c>
      <c r="F89">
        <v>45</v>
      </c>
      <c r="G89">
        <v>45</v>
      </c>
      <c r="H89">
        <v>45</v>
      </c>
      <c r="I89">
        <v>45</v>
      </c>
      <c r="J89">
        <v>45</v>
      </c>
      <c r="K89" t="s">
        <v>916</v>
      </c>
    </row>
    <row r="90" spans="2:11">
      <c r="B90" t="s">
        <v>934</v>
      </c>
      <c r="C90" t="s">
        <v>31</v>
      </c>
      <c r="D90" t="s">
        <v>19</v>
      </c>
      <c r="E90">
        <v>3</v>
      </c>
      <c r="F90">
        <v>3</v>
      </c>
      <c r="G90">
        <v>3</v>
      </c>
      <c r="H90">
        <v>3</v>
      </c>
      <c r="I90">
        <v>3</v>
      </c>
      <c r="J90">
        <v>3</v>
      </c>
      <c r="K90" t="s">
        <v>917</v>
      </c>
    </row>
    <row r="91" spans="2:11">
      <c r="B91" t="s">
        <v>936</v>
      </c>
      <c r="C91" t="s">
        <v>31</v>
      </c>
      <c r="D91" t="s">
        <v>19</v>
      </c>
      <c r="E91">
        <v>541.1</v>
      </c>
      <c r="G91">
        <v>517.5</v>
      </c>
      <c r="J91">
        <v>494</v>
      </c>
      <c r="K91" t="s">
        <v>913</v>
      </c>
    </row>
    <row r="92" spans="2:11">
      <c r="B92" t="s">
        <v>936</v>
      </c>
      <c r="C92" t="s">
        <v>31</v>
      </c>
      <c r="D92" t="s">
        <v>19</v>
      </c>
      <c r="E92">
        <v>18.8</v>
      </c>
      <c r="G92">
        <v>18.8</v>
      </c>
      <c r="J92">
        <v>18.8</v>
      </c>
      <c r="K92" t="s">
        <v>914</v>
      </c>
    </row>
    <row r="93" spans="2:11">
      <c r="B93" t="s">
        <v>936</v>
      </c>
      <c r="C93" t="s">
        <v>31</v>
      </c>
      <c r="D93" t="s">
        <v>19</v>
      </c>
      <c r="E93">
        <v>1.111</v>
      </c>
      <c r="G93">
        <v>1.111</v>
      </c>
      <c r="J93">
        <v>1.111</v>
      </c>
      <c r="K93" t="s">
        <v>915</v>
      </c>
    </row>
    <row r="94" spans="2:11">
      <c r="B94" t="s">
        <v>936</v>
      </c>
      <c r="C94" t="s">
        <v>31</v>
      </c>
      <c r="D94" t="s">
        <v>19</v>
      </c>
      <c r="E94">
        <v>0.37</v>
      </c>
      <c r="G94">
        <v>0.37</v>
      </c>
      <c r="J94">
        <v>0.37</v>
      </c>
      <c r="K94" t="s">
        <v>145</v>
      </c>
    </row>
    <row r="95" spans="2:11">
      <c r="B95" t="s">
        <v>936</v>
      </c>
      <c r="C95" t="s">
        <v>31</v>
      </c>
      <c r="D95" t="s">
        <v>19</v>
      </c>
      <c r="E95">
        <v>0.6</v>
      </c>
      <c r="G95">
        <v>0.6</v>
      </c>
      <c r="J95">
        <v>0.6</v>
      </c>
      <c r="K95" t="s">
        <v>935</v>
      </c>
    </row>
    <row r="96" spans="2:11">
      <c r="B96" t="s">
        <v>936</v>
      </c>
      <c r="C96" t="s">
        <v>31</v>
      </c>
      <c r="D96" t="s">
        <v>19</v>
      </c>
      <c r="E96">
        <v>40</v>
      </c>
      <c r="F96">
        <v>40</v>
      </c>
      <c r="G96">
        <v>40</v>
      </c>
      <c r="H96">
        <v>40</v>
      </c>
      <c r="I96">
        <v>40</v>
      </c>
      <c r="J96">
        <v>40</v>
      </c>
      <c r="K96" t="s">
        <v>916</v>
      </c>
    </row>
    <row r="97" spans="2:11">
      <c r="B97" t="s">
        <v>936</v>
      </c>
      <c r="C97" t="s">
        <v>31</v>
      </c>
      <c r="D97" t="s">
        <v>19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K97" t="s">
        <v>917</v>
      </c>
    </row>
    <row r="98" spans="2:11">
      <c r="B98" t="s">
        <v>937</v>
      </c>
      <c r="C98" t="s">
        <v>31</v>
      </c>
      <c r="D98" t="s">
        <v>920</v>
      </c>
      <c r="E98">
        <v>2775.8</v>
      </c>
      <c r="G98">
        <v>2681.7</v>
      </c>
      <c r="J98">
        <v>2587.6</v>
      </c>
      <c r="K98" t="s">
        <v>913</v>
      </c>
    </row>
    <row r="99" spans="2:11">
      <c r="B99" t="s">
        <v>937</v>
      </c>
      <c r="C99" t="s">
        <v>31</v>
      </c>
      <c r="D99" t="s">
        <v>920</v>
      </c>
      <c r="E99">
        <v>103.5</v>
      </c>
      <c r="G99">
        <v>98.8</v>
      </c>
      <c r="J99">
        <v>98.8</v>
      </c>
      <c r="K99" t="s">
        <v>914</v>
      </c>
    </row>
    <row r="100" spans="2:11">
      <c r="B100" t="s">
        <v>937</v>
      </c>
      <c r="C100" t="s">
        <v>31</v>
      </c>
      <c r="D100" t="s">
        <v>920</v>
      </c>
      <c r="E100">
        <v>1.667</v>
      </c>
      <c r="G100">
        <v>1.667</v>
      </c>
      <c r="J100">
        <v>1.667</v>
      </c>
      <c r="K100" t="s">
        <v>915</v>
      </c>
    </row>
    <row r="101" spans="2:11">
      <c r="B101" t="s">
        <v>937</v>
      </c>
      <c r="C101" t="s">
        <v>31</v>
      </c>
      <c r="D101" t="s">
        <v>920</v>
      </c>
      <c r="E101">
        <v>0.38500000000000001</v>
      </c>
      <c r="G101">
        <v>0.38500000000000001</v>
      </c>
      <c r="J101">
        <v>0.38500000000000001</v>
      </c>
      <c r="K101" t="s">
        <v>145</v>
      </c>
    </row>
    <row r="102" spans="2:11">
      <c r="B102" t="s">
        <v>937</v>
      </c>
      <c r="C102" t="s">
        <v>31</v>
      </c>
      <c r="D102" t="s">
        <v>920</v>
      </c>
      <c r="E102">
        <v>0.5</v>
      </c>
      <c r="G102">
        <v>0.5</v>
      </c>
      <c r="J102">
        <v>0.5</v>
      </c>
      <c r="K102" t="s">
        <v>935</v>
      </c>
    </row>
    <row r="103" spans="2:11">
      <c r="B103" t="s">
        <v>937</v>
      </c>
      <c r="C103" t="s">
        <v>31</v>
      </c>
      <c r="D103" t="s">
        <v>920</v>
      </c>
      <c r="E103">
        <v>25</v>
      </c>
      <c r="F103">
        <v>25</v>
      </c>
      <c r="G103">
        <v>25</v>
      </c>
      <c r="H103">
        <v>25</v>
      </c>
      <c r="I103">
        <v>25</v>
      </c>
      <c r="J103">
        <v>25</v>
      </c>
      <c r="K103" t="s">
        <v>916</v>
      </c>
    </row>
    <row r="104" spans="2:11">
      <c r="B104" t="s">
        <v>937</v>
      </c>
      <c r="C104" t="s">
        <v>31</v>
      </c>
      <c r="D104" t="s">
        <v>920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 t="s">
        <v>917</v>
      </c>
    </row>
    <row r="105" spans="2:11">
      <c r="B105" t="s">
        <v>937</v>
      </c>
      <c r="C105" t="s">
        <v>31</v>
      </c>
      <c r="D105" t="s">
        <v>920</v>
      </c>
      <c r="E105">
        <v>0.8</v>
      </c>
      <c r="F105">
        <v>0.8</v>
      </c>
      <c r="G105">
        <v>0.8</v>
      </c>
      <c r="H105">
        <v>0.8</v>
      </c>
      <c r="I105">
        <v>0.8</v>
      </c>
      <c r="J105">
        <v>0.8</v>
      </c>
      <c r="K105" t="s">
        <v>921</v>
      </c>
    </row>
    <row r="106" spans="2:11">
      <c r="B106" t="s">
        <v>938</v>
      </c>
      <c r="C106" t="s">
        <v>31</v>
      </c>
      <c r="D106" t="s">
        <v>924</v>
      </c>
      <c r="E106">
        <v>4846</v>
      </c>
      <c r="G106">
        <v>4563.7</v>
      </c>
      <c r="J106">
        <v>4375.5</v>
      </c>
      <c r="K106" t="s">
        <v>913</v>
      </c>
    </row>
    <row r="107" spans="2:11">
      <c r="B107" t="s">
        <v>938</v>
      </c>
      <c r="C107" t="s">
        <v>31</v>
      </c>
      <c r="D107" t="s">
        <v>924</v>
      </c>
      <c r="E107">
        <v>169.4</v>
      </c>
      <c r="G107">
        <v>160</v>
      </c>
      <c r="J107">
        <v>150.6</v>
      </c>
      <c r="K107" t="s">
        <v>914</v>
      </c>
    </row>
    <row r="108" spans="2:11">
      <c r="B108" t="s">
        <v>938</v>
      </c>
      <c r="C108" t="s">
        <v>31</v>
      </c>
      <c r="D108" t="s">
        <v>924</v>
      </c>
      <c r="E108">
        <v>2.3610000000000002</v>
      </c>
      <c r="G108">
        <v>2.3610000000000002</v>
      </c>
      <c r="J108">
        <v>2.3610000000000002</v>
      </c>
      <c r="K108" t="s">
        <v>915</v>
      </c>
    </row>
    <row r="109" spans="2:11">
      <c r="B109" t="s">
        <v>938</v>
      </c>
      <c r="C109" t="s">
        <v>31</v>
      </c>
      <c r="D109" t="s">
        <v>924</v>
      </c>
      <c r="E109">
        <v>0.3</v>
      </c>
      <c r="G109">
        <v>0.3</v>
      </c>
      <c r="J109">
        <v>0.3</v>
      </c>
      <c r="K109" t="s">
        <v>145</v>
      </c>
    </row>
    <row r="110" spans="2:11">
      <c r="B110" t="s">
        <v>938</v>
      </c>
      <c r="C110" t="s">
        <v>31</v>
      </c>
      <c r="D110" t="s">
        <v>924</v>
      </c>
      <c r="E110">
        <v>0.8</v>
      </c>
      <c r="G110">
        <v>0.8</v>
      </c>
      <c r="J110">
        <v>0.8</v>
      </c>
      <c r="K110" t="s">
        <v>935</v>
      </c>
    </row>
    <row r="111" spans="2:11">
      <c r="B111" t="s">
        <v>938</v>
      </c>
      <c r="C111" t="s">
        <v>31</v>
      </c>
      <c r="D111" t="s">
        <v>924</v>
      </c>
      <c r="E111">
        <v>30</v>
      </c>
      <c r="F111">
        <v>30</v>
      </c>
      <c r="G111">
        <v>30</v>
      </c>
      <c r="H111">
        <v>30</v>
      </c>
      <c r="I111">
        <v>30</v>
      </c>
      <c r="J111">
        <v>30</v>
      </c>
      <c r="K111" t="s">
        <v>916</v>
      </c>
    </row>
    <row r="112" spans="2:11">
      <c r="B112" t="s">
        <v>938</v>
      </c>
      <c r="C112" t="s">
        <v>31</v>
      </c>
      <c r="D112" t="s">
        <v>924</v>
      </c>
      <c r="E112">
        <v>3</v>
      </c>
      <c r="F112">
        <v>3</v>
      </c>
      <c r="G112">
        <v>3</v>
      </c>
      <c r="H112">
        <v>3</v>
      </c>
      <c r="I112">
        <v>3</v>
      </c>
      <c r="J112">
        <v>3</v>
      </c>
      <c r="K112" t="s">
        <v>917</v>
      </c>
    </row>
    <row r="113" spans="2:11">
      <c r="B113" t="s">
        <v>939</v>
      </c>
      <c r="C113" t="s">
        <v>34</v>
      </c>
      <c r="D113" t="s">
        <v>19</v>
      </c>
      <c r="E113">
        <v>2070.1</v>
      </c>
      <c r="G113">
        <v>1976</v>
      </c>
      <c r="J113">
        <v>1929</v>
      </c>
      <c r="K113" t="s">
        <v>913</v>
      </c>
    </row>
    <row r="114" spans="2:11">
      <c r="B114" t="s">
        <v>939</v>
      </c>
      <c r="C114" t="s">
        <v>34</v>
      </c>
      <c r="D114" t="s">
        <v>19</v>
      </c>
      <c r="E114">
        <v>42.3</v>
      </c>
      <c r="G114">
        <v>37.6</v>
      </c>
      <c r="J114">
        <v>37.6</v>
      </c>
      <c r="K114" t="s">
        <v>914</v>
      </c>
    </row>
    <row r="115" spans="2:11">
      <c r="B115" t="s">
        <v>939</v>
      </c>
      <c r="C115" t="s">
        <v>34</v>
      </c>
      <c r="D115" t="s">
        <v>19</v>
      </c>
      <c r="E115">
        <v>0</v>
      </c>
      <c r="G115">
        <v>0</v>
      </c>
      <c r="J115">
        <v>0</v>
      </c>
      <c r="K115" t="s">
        <v>915</v>
      </c>
    </row>
    <row r="116" spans="2:11">
      <c r="B116" t="s">
        <v>939</v>
      </c>
      <c r="C116" t="s">
        <v>34</v>
      </c>
      <c r="D116" t="s">
        <v>19</v>
      </c>
      <c r="E116">
        <v>0.1</v>
      </c>
      <c r="G116">
        <v>0.1</v>
      </c>
      <c r="J116">
        <v>0.1</v>
      </c>
      <c r="K116" t="s">
        <v>145</v>
      </c>
    </row>
    <row r="117" spans="2:11">
      <c r="B117" t="s">
        <v>939</v>
      </c>
      <c r="C117" t="s">
        <v>34</v>
      </c>
      <c r="D117" t="s">
        <v>19</v>
      </c>
      <c r="E117">
        <v>0.8</v>
      </c>
      <c r="G117">
        <v>0.8</v>
      </c>
      <c r="J117">
        <v>0.8</v>
      </c>
      <c r="K117" t="s">
        <v>935</v>
      </c>
    </row>
    <row r="118" spans="2:11">
      <c r="B118" t="s">
        <v>939</v>
      </c>
      <c r="C118" t="s">
        <v>34</v>
      </c>
      <c r="D118" t="s">
        <v>19</v>
      </c>
      <c r="E118">
        <v>30</v>
      </c>
      <c r="F118">
        <v>30</v>
      </c>
      <c r="G118">
        <v>30</v>
      </c>
      <c r="H118">
        <v>30</v>
      </c>
      <c r="I118">
        <v>30</v>
      </c>
      <c r="J118">
        <v>30</v>
      </c>
      <c r="K118" t="s">
        <v>916</v>
      </c>
    </row>
    <row r="119" spans="2:11">
      <c r="B119" t="s">
        <v>939</v>
      </c>
      <c r="C119" t="s">
        <v>34</v>
      </c>
      <c r="D119" t="s">
        <v>19</v>
      </c>
      <c r="E119">
        <v>4</v>
      </c>
      <c r="F119">
        <v>4</v>
      </c>
      <c r="G119">
        <v>4</v>
      </c>
      <c r="H119">
        <v>4</v>
      </c>
      <c r="I119">
        <v>4</v>
      </c>
      <c r="J119">
        <v>4</v>
      </c>
      <c r="K119" t="s">
        <v>917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2026-07-23T04:38:37Z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