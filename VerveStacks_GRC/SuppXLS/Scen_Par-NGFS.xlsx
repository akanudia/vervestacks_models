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BA272F9E-8809-4608-9468-513D7884E9A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<sst xmlns="http://schemas.openxmlformats.org/spreadsheetml/2006/main" count="58781" uniqueCount="95">
  <si>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</si>
  <si>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</si>
  <si>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</si>
  <si>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</si>
  <si>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</si>
  <si>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</si>
  <si>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</si>
  <si>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</si>
  <si>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</si>
  <si>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</si>
  <si>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</si>
  <si>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</si>
  <si>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</si>
  <si>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</si>
  <si>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</si>
  <si>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</si>
  <si>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</si>
  <si>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</si>
  <si>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</si>
  <si>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</si>
  <si>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</si>
  <si>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</si>
  <si>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</si>
  <si>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</si>
  <si>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</si>
  <si>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</si>
  <si>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</si>
  <si>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</si>
  <si>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</si>
  <si>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</si>
  <si>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</si>
  <si>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</si>
  <si>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</si>
  <si>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</si>
  <si>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</si>
  <si>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</si>
  <si>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</si>
  <si>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</si>
  <si>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</si>
  <si>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</si>
  <si>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</si>
  <si>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</si>
  <si>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</si>
  <si>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</si>
  <si>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</si>
  <si>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</si>
  <si>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</si>
  <si>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</si>
  <si>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</si>
  <si>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</si>
  <si>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</si>
  <si>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</si>
  <si>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</si>
  <si>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</si>
  <si>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</si>
  <si>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</si>
  <si>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</si>
  <si>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</si>
  <si>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</si>
  <si>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</si>
  <si>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</si>
  <si>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</si>
  <si>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</si>
  <si>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</si>
  <si>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</si>
  <si>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</si>
  <si>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</si>
  <si>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</si>
  <si>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</si>
  <si>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</si>
  <si>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</si>
  <si>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</si>
  <si>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</si>
  <si>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</si>
  <si>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</si>
  <si>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</si>
  <si>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</si>
  <si>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</si>
  <si>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</si>
  <si>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</si>
  <si>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</si>
  <si>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</si>
  <si>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</si>
  <si>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</si>
  <si>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GRC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</si>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</sst>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60.20999999999998</c:v>
                </c:pt>
                <c:pt idx="1">
                  <c:v>75.428874345549701</c:v>
                </c:pt>
                <c:pt idx="2">
                  <c:v>90.700287958115155</c:v>
                </c:pt>
                <c:pt idx="3">
                  <c:v>100.77031413612563</c:v>
                </c:pt>
                <c:pt idx="4">
                  <c:v>104.67573298429316</c:v>
                </c:pt>
                <c:pt idx="5">
                  <c:v>103.43230366492142</c:v>
                </c:pt>
                <c:pt idx="6">
                  <c:v>101.26068062827223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20.099999999999998</c:v>
                </c:pt>
                <c:pt idx="1">
                  <c:v>19.385129243692447</c:v>
                </c:pt>
                <c:pt idx="2">
                  <c:v>9.4725889641549532</c:v>
                </c:pt>
                <c:pt idx="3">
                  <c:v>12.197920927402055</c:v>
                </c:pt>
                <c:pt idx="4">
                  <c:v>13.542038369065315</c:v>
                </c:pt>
                <c:pt idx="5">
                  <c:v>16.193176172471244</c:v>
                </c:pt>
                <c:pt idx="6">
                  <c:v>14.427154643494916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60.209999999999987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60.20999999999998</v>
      </c>
      <c r="S12" s="8">
        <f t="shared" ref="S12:X12" si="0">SUM(S17:S20)</f>
        <v>75.428874345549701</v>
      </c>
      <c r="T12" s="8">
        <f t="shared" si="0"/>
        <v>90.700287958115155</v>
      </c>
      <c r="U12" s="8">
        <f t="shared" si="0"/>
        <v>100.77031413612563</v>
      </c>
      <c r="V12" s="8">
        <f t="shared" si="0"/>
        <v>104.67573298429316</v>
      </c>
      <c r="W12" s="8">
        <f t="shared" si="0"/>
        <v>103.43230366492142</v>
      </c>
      <c r="X12" s="8">
        <f t="shared" si="0"/>
        <v>101.26068062827223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1.2999999999999999E-3</v>
      </c>
      <c r="H16" s="10">
        <f>SUMIFS(ngfs_median!$J$2:$J$17119,ngfs_median!$B$2:$B$17119,Veda!$C$5,ngfs_median!$H$2:$H$17119,Veda!$Q16,ngfs_median!$I$2:$I$17119,Veda!H$15)</f>
        <v>5.45E-3</v>
      </c>
      <c r="I16" s="10">
        <f>SUMIFS(ngfs_median!$J$2:$J$17119,ngfs_median!$B$2:$B$17119,Veda!$C$5,ngfs_median!$H$2:$H$17119,Veda!$Q16,ngfs_median!$I$2:$I$17119,Veda!I$15)</f>
        <v>9.6499999999999989E-3</v>
      </c>
      <c r="J16" s="10">
        <f>SUMIFS(ngfs_median!$J$2:$J$17119,ngfs_median!$B$2:$B$17119,Veda!$C$5,ngfs_median!$H$2:$H$17119,Veda!$Q16,ngfs_median!$I$2:$I$17119,Veda!J$15)</f>
        <v>1.145E-2</v>
      </c>
      <c r="K16" s="10">
        <f>SUMIFS(ngfs_median!$J$2:$J$17119,ngfs_median!$B$2:$B$17119,Veda!$C$5,ngfs_median!$H$2:$H$17119,Veda!$Q16,ngfs_median!$I$2:$I$17119,Veda!K$15)</f>
        <v>1.1800000000000001E-2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1.1666666666666663</v>
      </c>
      <c r="U16" s="6">
        <f t="shared" si="2"/>
        <v>1.6666666666666667</v>
      </c>
      <c r="V16" s="6">
        <f t="shared" si="2"/>
        <v>1.7638888888888893</v>
      </c>
      <c r="W16" s="6">
        <f t="shared" si="2"/>
        <v>1.9861111111111112</v>
      </c>
      <c r="X16" s="6">
        <f t="shared" si="2"/>
        <v>2.7083333333333335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2.8E-3</v>
      </c>
      <c r="H17" s="10">
        <f>SUMIFS(ngfs_median!$J$2:$J$17119,ngfs_median!$B$2:$B$17119,Veda!$C$5,ngfs_median!$H$2:$H$17119,Veda!$Q17,ngfs_median!$I$2:$I$17119,Veda!H$15)</f>
        <v>8.8999999999999999E-3</v>
      </c>
      <c r="I17" s="10">
        <f>SUMIFS(ngfs_median!$J$2:$J$17119,ngfs_median!$B$2:$B$17119,Veda!$C$5,ngfs_median!$H$2:$H$17119,Veda!$Q17,ngfs_median!$I$2:$I$17119,Veda!I$15)</f>
        <v>1.78E-2</v>
      </c>
      <c r="J17" s="10">
        <f>SUMIFS(ngfs_median!$J$2:$J$17119,ngfs_median!$B$2:$B$17119,Veda!$C$5,ngfs_median!$H$2:$H$17119,Veda!$Q17,ngfs_median!$I$2:$I$17119,Veda!J$15)</f>
        <v>2.6599999999999999E-2</v>
      </c>
      <c r="K17" s="10">
        <f>SUMIFS(ngfs_median!$J$2:$J$17119,ngfs_median!$B$2:$B$17119,Veda!$C$5,ngfs_median!$H$2:$H$17119,Veda!$Q17,ngfs_median!$I$2:$I$17119,Veda!K$15)</f>
        <v>3.2099999999999997E-2</v>
      </c>
      <c r="L17" s="10">
        <f>SUMIFS(ngfs_median!$J$2:$J$17119,ngfs_median!$B$2:$B$17119,Veda!$C$5,ngfs_median!$H$2:$H$17119,Veda!$Q17,ngfs_median!$I$2:$I$17119,Veda!L$15)</f>
        <v>3.5949999999999996E-2</v>
      </c>
      <c r="M17" s="10">
        <f>SUMIFS(ngfs_median!$J$2:$J$17119,ngfs_median!$B$2:$B$17119,Veda!$C$5,ngfs_median!$H$2:$H$17119,Veda!$Q17,ngfs_median!$I$2:$I$17119,Veda!M$15)</f>
        <v>3.9099999999999996E-2</v>
      </c>
      <c r="Q17" s="12" t="s">
        <v>10</v>
      </c>
      <c r="R17" s="6">
        <f>$Q$10*G17/SUM($G$17:$G$19)</f>
        <v>0.98073298429319355</v>
      </c>
      <c r="S17" s="6">
        <f>R17</f>
        <v>0.98073298429319355</v>
      </c>
      <c r="T17" s="6">
        <f t="shared" ref="T17:X17" si="3">S17</f>
        <v>0.98073298429319355</v>
      </c>
      <c r="U17" s="6">
        <f t="shared" si="3"/>
        <v>0.98073298429319355</v>
      </c>
      <c r="V17" s="6">
        <f t="shared" si="3"/>
        <v>0.98073298429319355</v>
      </c>
      <c r="W17" s="6">
        <f t="shared" si="3"/>
        <v>0.98073298429319355</v>
      </c>
      <c r="X17" s="6">
        <f t="shared" si="3"/>
        <v>0.98073298429319355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0.11995</v>
      </c>
      <c r="H18" s="10">
        <f>SUMIFS(ngfs_median!$J$2:$J$17119,ngfs_median!$B$2:$B$17119,Veda!$C$5,ngfs_median!$H$2:$H$17119,Veda!$Q18,ngfs_median!$I$2:$I$17119,Veda!H$15)</f>
        <v>0.15134999999999998</v>
      </c>
      <c r="I18" s="10">
        <f>SUMIFS(ngfs_median!$J$2:$J$17119,ngfs_median!$B$2:$B$17119,Veda!$C$5,ngfs_median!$H$2:$H$17119,Veda!$Q18,ngfs_median!$I$2:$I$17119,Veda!I$15)</f>
        <v>0.18245</v>
      </c>
      <c r="J18" s="10">
        <f>SUMIFS(ngfs_median!$J$2:$J$17119,ngfs_median!$B$2:$B$17119,Veda!$C$5,ngfs_median!$H$2:$H$17119,Veda!$Q18,ngfs_median!$I$2:$I$17119,Veda!J$15)</f>
        <v>0.20165</v>
      </c>
      <c r="K18" s="10">
        <f>SUMIFS(ngfs_median!$J$2:$J$17119,ngfs_median!$B$2:$B$17119,Veda!$C$5,ngfs_median!$H$2:$H$17119,Veda!$Q18,ngfs_median!$I$2:$I$17119,Veda!K$15)</f>
        <v>0.20800000000000002</v>
      </c>
      <c r="L18" s="10">
        <f>SUMIFS(ngfs_median!$J$2:$J$17119,ngfs_median!$B$2:$B$17119,Veda!$C$5,ngfs_median!$H$2:$H$17119,Veda!$Q18,ngfs_median!$I$2:$I$17119,Veda!L$15)</f>
        <v>0.20014999999999999</v>
      </c>
      <c r="M18" s="10">
        <f>SUMIFS(ngfs_median!$J$2:$J$17119,ngfs_median!$B$2:$B$17119,Veda!$C$5,ngfs_median!$H$2:$H$17119,Veda!$Q18,ngfs_median!$I$2:$I$17119,Veda!M$15)</f>
        <v>0.18980000000000002</v>
      </c>
      <c r="Q18" s="12" t="s">
        <v>12</v>
      </c>
      <c r="R18" s="6">
        <f>$Q$10*G18/SUM($G$17:$G$19)</f>
        <v>42.013900523560196</v>
      </c>
      <c r="S18" s="6">
        <f t="shared" ref="S18:X19" si="4">R18*H18/G18</f>
        <v>53.012120418848141</v>
      </c>
      <c r="T18" s="6">
        <f t="shared" si="4"/>
        <v>63.905261780104688</v>
      </c>
      <c r="U18" s="6">
        <f t="shared" si="4"/>
        <v>70.630287958115161</v>
      </c>
      <c r="V18" s="6">
        <f t="shared" si="4"/>
        <v>72.854450261780087</v>
      </c>
      <c r="W18" s="6">
        <f t="shared" si="4"/>
        <v>70.104895287958087</v>
      </c>
      <c r="X18" s="6">
        <f t="shared" si="4"/>
        <v>66.479685863874323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4.9149999999999999E-2</v>
      </c>
      <c r="H19" s="10">
        <f>SUMIFS(ngfs_median!$J$2:$J$17119,ngfs_median!$B$2:$B$17119,Veda!$C$5,ngfs_median!$H$2:$H$17119,Veda!$Q19,ngfs_median!$I$2:$I$17119,Veda!H$15)</f>
        <v>5.5099999999999996E-2</v>
      </c>
      <c r="I19" s="10">
        <f>SUMIFS(ngfs_median!$J$2:$J$17119,ngfs_median!$B$2:$B$17119,Veda!$C$5,ngfs_median!$H$2:$H$17119,Veda!$Q19,ngfs_median!$I$2:$I$17119,Veda!I$15)</f>
        <v>5.8700000000000002E-2</v>
      </c>
      <c r="J19" s="10">
        <f>SUMIFS(ngfs_median!$J$2:$J$17119,ngfs_median!$B$2:$B$17119,Veda!$C$5,ngfs_median!$H$2:$H$17119,Veda!$Q19,ngfs_median!$I$2:$I$17119,Veda!J$15)</f>
        <v>5.9450000000000003E-2</v>
      </c>
      <c r="K19" s="10">
        <f>SUMIFS(ngfs_median!$J$2:$J$17119,ngfs_median!$B$2:$B$17119,Veda!$C$5,ngfs_median!$H$2:$H$17119,Veda!$Q19,ngfs_median!$I$2:$I$17119,Veda!K$15)</f>
        <v>5.8749999999999997E-2</v>
      </c>
      <c r="L19" s="10">
        <f>SUMIFS(ngfs_median!$J$2:$J$17119,ngfs_median!$B$2:$B$17119,Veda!$C$5,ngfs_median!$H$2:$H$17119,Veda!$Q19,ngfs_median!$I$2:$I$17119,Veda!L$15)</f>
        <v>5.9200000000000003E-2</v>
      </c>
      <c r="M19" s="10">
        <f>SUMIFS(ngfs_median!$J$2:$J$17119,ngfs_median!$B$2:$B$17119,Veda!$C$5,ngfs_median!$H$2:$H$17119,Veda!$Q19,ngfs_median!$I$2:$I$17119,Veda!M$15)</f>
        <v>6.0199999999999997E-2</v>
      </c>
      <c r="Q19" s="12" t="s">
        <v>13</v>
      </c>
      <c r="R19" s="6">
        <f>$Q$10*G19/SUM($G$17:$G$19)</f>
        <v>17.215366492146593</v>
      </c>
      <c r="S19" s="6">
        <f t="shared" si="4"/>
        <v>19.29942408376963</v>
      </c>
      <c r="T19" s="6">
        <f t="shared" si="4"/>
        <v>20.560366492146596</v>
      </c>
      <c r="U19" s="6">
        <f t="shared" si="4"/>
        <v>20.823062827225129</v>
      </c>
      <c r="V19" s="6">
        <f t="shared" si="4"/>
        <v>20.577879581151826</v>
      </c>
      <c r="W19" s="6">
        <f t="shared" si="4"/>
        <v>20.735497382198947</v>
      </c>
      <c r="X19" s="6">
        <f t="shared" si="4"/>
        <v>21.08575916230366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2.1365968586387432</v>
      </c>
      <c r="T20" s="6">
        <f t="shared" si="5"/>
        <v>5.2539267015706805</v>
      </c>
      <c r="U20" s="6">
        <f t="shared" si="5"/>
        <v>8.3362303664921438</v>
      </c>
      <c r="V20" s="6">
        <f t="shared" si="5"/>
        <v>10.262670157068058</v>
      </c>
      <c r="W20" s="6">
        <f t="shared" si="5"/>
        <v>11.6111780104712</v>
      </c>
      <c r="X20" s="6">
        <f t="shared" si="5"/>
        <v>12.714502617801044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20.099999999999998</v>
      </c>
      <c r="D22" s="12" t="s">
        <v>79</v>
      </c>
      <c r="G22" s="8">
        <f>G35/$G$35*$B22</f>
        <v>20.099999999999998</v>
      </c>
      <c r="H22" s="8">
        <f t="shared" ref="H22:M22" si="6">H35/$G$35*$B22</f>
        <v>19.385129243692447</v>
      </c>
      <c r="I22" s="8">
        <f t="shared" si="6"/>
        <v>9.4725889641549532</v>
      </c>
      <c r="J22" s="8">
        <f t="shared" si="6"/>
        <v>12.197920927402055</v>
      </c>
      <c r="K22" s="8">
        <f t="shared" si="6"/>
        <v>13.542038369065315</v>
      </c>
      <c r="L22" s="8">
        <f t="shared" si="6"/>
        <v>16.193176172471244</v>
      </c>
      <c r="M22" s="8">
        <f t="shared" si="6"/>
        <v>14.427154643494916</v>
      </c>
      <c r="Q22" t="s">
        <v>64</v>
      </c>
      <c r="T22" s="8">
        <f>I35*1000</f>
        <v>4723.9000000000005</v>
      </c>
      <c r="U22" s="8">
        <f>J35*1000</f>
        <v>6083</v>
      </c>
      <c r="V22" s="8">
        <f>K35*1000</f>
        <v>6753.3</v>
      </c>
      <c r="W22" s="8">
        <f>L35*1000</f>
        <v>8075.4000000000005</v>
      </c>
      <c r="X22" s="8">
        <f>M35*1000</f>
        <v>7194.7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8.85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4.3</v>
      </c>
      <c r="S27" s="3">
        <f>AVERAGEIFS(historical_data_long!$D$3:$D$9999,historical_data_long!$B$3:$B$9999,"&gt;2017",historical_data_long!$A$3:$A$9999,$O27)</f>
        <v>2.6333333333333333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10.0237</v>
      </c>
      <c r="H35" s="11">
        <f>SUMIFS(ngfs_median!$J$2:$J$17119,ngfs_median!$B$2:$B$17119,Veda!$C$5,ngfs_median!$D$2:$D$17119,Veda!$D22,ngfs_median!$I$2:$I$17119,Veda!H$15)</f>
        <v>9.6671999999999993</v>
      </c>
      <c r="I35" s="11">
        <f>SUMIFS(ngfs_median!$J$2:$J$17119,ngfs_median!$B$2:$B$17119,Veda!$C$5,ngfs_median!$D$2:$D$17119,Veda!$D22,ngfs_median!$I$2:$I$17119,Veda!I$15)</f>
        <v>4.7239000000000004</v>
      </c>
      <c r="J35" s="11">
        <f>SUMIFS(ngfs_median!$J$2:$J$17119,ngfs_median!$B$2:$B$17119,Veda!$C$5,ngfs_median!$D$2:$D$17119,Veda!$D22,ngfs_median!$I$2:$I$17119,Veda!J$15)</f>
        <v>6.0830000000000002</v>
      </c>
      <c r="K35" s="11">
        <f>SUMIFS(ngfs_median!$J$2:$J$17119,ngfs_median!$B$2:$B$17119,Veda!$C$5,ngfs_median!$D$2:$D$17119,Veda!$D22,ngfs_median!$I$2:$I$17119,Veda!K$15)</f>
        <v>6.7533000000000003</v>
      </c>
      <c r="L35" s="11">
        <f>SUMIFS(ngfs_median!$J$2:$J$17119,ngfs_median!$B$2:$B$17119,Veda!$C$5,ngfs_median!$D$2:$D$17119,Veda!$D22,ngfs_median!$I$2:$I$17119,Veda!L$15)</f>
        <v>8.0754000000000001</v>
      </c>
      <c r="M35" s="11">
        <f>SUMIFS(ngfs_median!$J$2:$J$17119,ngfs_median!$B$2:$B$17119,Veda!$C$5,ngfs_median!$D$2:$D$17119,Veda!$D22,ngfs_median!$I$2:$I$17119,Veda!M$15)</f>
        <v>7.1947000000000001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1.1000000000000001</v>
      </c>
      <c r="T37">
        <v>2.2599999999999998</v>
      </c>
      <c r="U37">
        <v>3.26</v>
      </c>
      <c r="V37" t="s">
        <v>94</v>
      </c>
    </row>
    <row r="38" spans="7:22" x14ac:dyDescent="0.45">
      <c r="Q38" t="s">
        <v>39</v>
      </c>
      <c r="R38" t="s">
        <v>93</v>
      </c>
      <c r="S38">
        <v>1.6</v>
      </c>
      <c r="T38">
        <v>6.3</v>
      </c>
      <c r="U38">
        <v>6.3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34.31</v>
      </c>
    </row>
    <row r="4" spans="1:4" x14ac:dyDescent="0.45">
      <c r="A4" t="s">
        <v>36</v>
      </c>
      <c r="B4">
        <v>2000</v>
      </c>
      <c r="C4" t="s">
        <v>74</v>
      </c>
      <c r="D4">
        <v>5.92</v>
      </c>
    </row>
    <row r="5" spans="1:4" x14ac:dyDescent="0.45">
      <c r="A5" t="s">
        <v>56</v>
      </c>
      <c r="B5">
        <v>2000</v>
      </c>
      <c r="C5" t="s">
        <v>74</v>
      </c>
      <c r="D5">
        <v>3.69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8.57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0.45</v>
      </c>
    </row>
    <row r="11" spans="1:4" x14ac:dyDescent="0.45">
      <c r="A11" t="s">
        <v>32</v>
      </c>
      <c r="B11">
        <v>2001</v>
      </c>
      <c r="C11" t="s">
        <v>74</v>
      </c>
      <c r="D11">
        <v>0.08</v>
      </c>
    </row>
    <row r="12" spans="1:4" x14ac:dyDescent="0.45">
      <c r="A12" t="s">
        <v>34</v>
      </c>
      <c r="B12">
        <v>2001</v>
      </c>
      <c r="C12" t="s">
        <v>74</v>
      </c>
      <c r="D12">
        <v>35.43</v>
      </c>
    </row>
    <row r="13" spans="1:4" x14ac:dyDescent="0.45">
      <c r="A13" t="s">
        <v>36</v>
      </c>
      <c r="B13">
        <v>2001</v>
      </c>
      <c r="C13" t="s">
        <v>74</v>
      </c>
      <c r="D13">
        <v>6.13</v>
      </c>
    </row>
    <row r="14" spans="1:4" x14ac:dyDescent="0.45">
      <c r="A14" t="s">
        <v>56</v>
      </c>
      <c r="B14">
        <v>2001</v>
      </c>
      <c r="C14" t="s">
        <v>74</v>
      </c>
      <c r="D14">
        <v>2.1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8.0399999999999991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0.76</v>
      </c>
    </row>
    <row r="20" spans="1:4" x14ac:dyDescent="0.45">
      <c r="A20" t="s">
        <v>32</v>
      </c>
      <c r="B20">
        <v>2002</v>
      </c>
      <c r="C20" t="s">
        <v>74</v>
      </c>
      <c r="D20">
        <v>0.13</v>
      </c>
    </row>
    <row r="21" spans="1:4" x14ac:dyDescent="0.45">
      <c r="A21" t="s">
        <v>34</v>
      </c>
      <c r="B21">
        <v>2002</v>
      </c>
      <c r="C21" t="s">
        <v>74</v>
      </c>
      <c r="D21">
        <v>34.57</v>
      </c>
    </row>
    <row r="22" spans="1:4" x14ac:dyDescent="0.45">
      <c r="A22" t="s">
        <v>36</v>
      </c>
      <c r="B22">
        <v>2002</v>
      </c>
      <c r="C22" t="s">
        <v>74</v>
      </c>
      <c r="D22">
        <v>7.06</v>
      </c>
    </row>
    <row r="23" spans="1:4" x14ac:dyDescent="0.45">
      <c r="A23" t="s">
        <v>56</v>
      </c>
      <c r="B23">
        <v>2002</v>
      </c>
      <c r="C23" t="s">
        <v>74</v>
      </c>
      <c r="D23">
        <v>2.8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8.15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0.65</v>
      </c>
    </row>
    <row r="29" spans="1:4" x14ac:dyDescent="0.45">
      <c r="A29" t="s">
        <v>32</v>
      </c>
      <c r="B29">
        <v>2003</v>
      </c>
      <c r="C29" t="s">
        <v>74</v>
      </c>
      <c r="D29">
        <v>0.1</v>
      </c>
    </row>
    <row r="30" spans="1:4" x14ac:dyDescent="0.45">
      <c r="A30" t="s">
        <v>34</v>
      </c>
      <c r="B30">
        <v>2003</v>
      </c>
      <c r="C30" t="s">
        <v>74</v>
      </c>
      <c r="D30">
        <v>35.17</v>
      </c>
    </row>
    <row r="31" spans="1:4" x14ac:dyDescent="0.45">
      <c r="A31" t="s">
        <v>36</v>
      </c>
      <c r="B31">
        <v>2003</v>
      </c>
      <c r="C31" t="s">
        <v>74</v>
      </c>
      <c r="D31">
        <v>8.02</v>
      </c>
    </row>
    <row r="32" spans="1:4" x14ac:dyDescent="0.45">
      <c r="A32" t="s">
        <v>56</v>
      </c>
      <c r="B32">
        <v>2003</v>
      </c>
      <c r="C32" t="s">
        <v>74</v>
      </c>
      <c r="D32">
        <v>4.7699999999999996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8.1999999999999993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1.02</v>
      </c>
    </row>
    <row r="38" spans="1:4" x14ac:dyDescent="0.45">
      <c r="A38" t="s">
        <v>32</v>
      </c>
      <c r="B38">
        <v>2004</v>
      </c>
      <c r="C38" t="s">
        <v>74</v>
      </c>
      <c r="D38">
        <v>0.12</v>
      </c>
    </row>
    <row r="39" spans="1:4" x14ac:dyDescent="0.45">
      <c r="A39" t="s">
        <v>34</v>
      </c>
      <c r="B39">
        <v>2004</v>
      </c>
      <c r="C39" t="s">
        <v>74</v>
      </c>
      <c r="D39">
        <v>35.380000000000003</v>
      </c>
    </row>
    <row r="40" spans="1:4" x14ac:dyDescent="0.45">
      <c r="A40" t="s">
        <v>36</v>
      </c>
      <c r="B40">
        <v>2004</v>
      </c>
      <c r="C40" t="s">
        <v>74</v>
      </c>
      <c r="D40">
        <v>8.99</v>
      </c>
    </row>
    <row r="41" spans="1:4" x14ac:dyDescent="0.45">
      <c r="A41" t="s">
        <v>56</v>
      </c>
      <c r="B41">
        <v>2004</v>
      </c>
      <c r="C41" t="s">
        <v>74</v>
      </c>
      <c r="D41">
        <v>4.67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7.94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1.1200000000000001</v>
      </c>
    </row>
    <row r="47" spans="1:4" x14ac:dyDescent="0.45">
      <c r="A47" t="s">
        <v>32</v>
      </c>
      <c r="B47">
        <v>2005</v>
      </c>
      <c r="C47" t="s">
        <v>74</v>
      </c>
      <c r="D47">
        <v>0.12</v>
      </c>
    </row>
    <row r="48" spans="1:4" x14ac:dyDescent="0.45">
      <c r="A48" t="s">
        <v>34</v>
      </c>
      <c r="B48">
        <v>2005</v>
      </c>
      <c r="C48" t="s">
        <v>74</v>
      </c>
      <c r="D48">
        <v>35.54</v>
      </c>
    </row>
    <row r="49" spans="1:4" x14ac:dyDescent="0.45">
      <c r="A49" t="s">
        <v>36</v>
      </c>
      <c r="B49">
        <v>2005</v>
      </c>
      <c r="C49" t="s">
        <v>74</v>
      </c>
      <c r="D49">
        <v>8.17</v>
      </c>
    </row>
    <row r="50" spans="1:4" x14ac:dyDescent="0.45">
      <c r="A50" t="s">
        <v>56</v>
      </c>
      <c r="B50">
        <v>2005</v>
      </c>
      <c r="C50" t="s">
        <v>74</v>
      </c>
      <c r="D50">
        <v>5.0199999999999996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8.61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1.27</v>
      </c>
    </row>
    <row r="56" spans="1:4" x14ac:dyDescent="0.45">
      <c r="A56" t="s">
        <v>32</v>
      </c>
      <c r="B56">
        <v>2006</v>
      </c>
      <c r="C56" t="s">
        <v>74</v>
      </c>
      <c r="D56">
        <v>0.11</v>
      </c>
    </row>
    <row r="57" spans="1:4" x14ac:dyDescent="0.45">
      <c r="A57" t="s">
        <v>34</v>
      </c>
      <c r="B57">
        <v>2006</v>
      </c>
      <c r="C57" t="s">
        <v>74</v>
      </c>
      <c r="D57">
        <v>32.26</v>
      </c>
    </row>
    <row r="58" spans="1:4" x14ac:dyDescent="0.45">
      <c r="A58" t="s">
        <v>36</v>
      </c>
      <c r="B58">
        <v>2006</v>
      </c>
      <c r="C58" t="s">
        <v>74</v>
      </c>
      <c r="D58">
        <v>10.61</v>
      </c>
    </row>
    <row r="59" spans="1:4" x14ac:dyDescent="0.45">
      <c r="A59" t="s">
        <v>56</v>
      </c>
      <c r="B59">
        <v>2006</v>
      </c>
      <c r="C59" t="s">
        <v>74</v>
      </c>
      <c r="D59">
        <v>5.86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8.8699999999999992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1.7</v>
      </c>
    </row>
    <row r="65" spans="1:4" x14ac:dyDescent="0.45">
      <c r="A65" t="s">
        <v>32</v>
      </c>
      <c r="B65">
        <v>2007</v>
      </c>
      <c r="C65" t="s">
        <v>74</v>
      </c>
      <c r="D65">
        <v>0.18</v>
      </c>
    </row>
    <row r="66" spans="1:4" x14ac:dyDescent="0.45">
      <c r="A66" t="s">
        <v>34</v>
      </c>
      <c r="B66">
        <v>2007</v>
      </c>
      <c r="C66" t="s">
        <v>74</v>
      </c>
      <c r="D66">
        <v>34.68</v>
      </c>
    </row>
    <row r="67" spans="1:4" x14ac:dyDescent="0.45">
      <c r="A67" t="s">
        <v>36</v>
      </c>
      <c r="B67">
        <v>2007</v>
      </c>
      <c r="C67" t="s">
        <v>74</v>
      </c>
      <c r="D67">
        <v>14.16</v>
      </c>
    </row>
    <row r="68" spans="1:4" x14ac:dyDescent="0.45">
      <c r="A68" t="s">
        <v>56</v>
      </c>
      <c r="B68">
        <v>2007</v>
      </c>
      <c r="C68" t="s">
        <v>74</v>
      </c>
      <c r="D68">
        <v>2.59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8.9700000000000006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1.82</v>
      </c>
    </row>
    <row r="74" spans="1:4" x14ac:dyDescent="0.45">
      <c r="A74" t="s">
        <v>32</v>
      </c>
      <c r="B74">
        <v>2008</v>
      </c>
      <c r="C74" t="s">
        <v>74</v>
      </c>
      <c r="D74">
        <v>0.19</v>
      </c>
    </row>
    <row r="75" spans="1:4" x14ac:dyDescent="0.45">
      <c r="A75" t="s">
        <v>34</v>
      </c>
      <c r="B75">
        <v>2008</v>
      </c>
      <c r="C75" t="s">
        <v>74</v>
      </c>
      <c r="D75">
        <v>33.36</v>
      </c>
    </row>
    <row r="76" spans="1:4" x14ac:dyDescent="0.45">
      <c r="A76" t="s">
        <v>36</v>
      </c>
      <c r="B76">
        <v>2008</v>
      </c>
      <c r="C76" t="s">
        <v>74</v>
      </c>
      <c r="D76">
        <v>13.8</v>
      </c>
    </row>
    <row r="77" spans="1:4" x14ac:dyDescent="0.45">
      <c r="A77" t="s">
        <v>56</v>
      </c>
      <c r="B77">
        <v>2008</v>
      </c>
      <c r="C77" t="s">
        <v>74</v>
      </c>
      <c r="D77">
        <v>3.31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9.27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0.01</v>
      </c>
    </row>
    <row r="82" spans="1:4" x14ac:dyDescent="0.45">
      <c r="A82" t="s">
        <v>91</v>
      </c>
      <c r="B82">
        <v>2008</v>
      </c>
      <c r="C82" t="s">
        <v>74</v>
      </c>
      <c r="D82">
        <v>2.2400000000000002</v>
      </c>
    </row>
    <row r="83" spans="1:4" x14ac:dyDescent="0.45">
      <c r="A83" t="s">
        <v>32</v>
      </c>
      <c r="B83">
        <v>2009</v>
      </c>
      <c r="C83" t="s">
        <v>74</v>
      </c>
      <c r="D83">
        <v>0.22</v>
      </c>
    </row>
    <row r="84" spans="1:4" x14ac:dyDescent="0.45">
      <c r="A84" t="s">
        <v>34</v>
      </c>
      <c r="B84">
        <v>2009</v>
      </c>
      <c r="C84" t="s">
        <v>74</v>
      </c>
      <c r="D84">
        <v>34.19</v>
      </c>
    </row>
    <row r="85" spans="1:4" x14ac:dyDescent="0.45">
      <c r="A85" t="s">
        <v>36</v>
      </c>
      <c r="B85">
        <v>2009</v>
      </c>
      <c r="C85" t="s">
        <v>74</v>
      </c>
      <c r="D85">
        <v>11.02</v>
      </c>
    </row>
    <row r="86" spans="1:4" x14ac:dyDescent="0.45">
      <c r="A86" t="s">
        <v>56</v>
      </c>
      <c r="B86">
        <v>2009</v>
      </c>
      <c r="C86" t="s">
        <v>74</v>
      </c>
      <c r="D86">
        <v>5.35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6.97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0.05</v>
      </c>
    </row>
    <row r="91" spans="1:4" x14ac:dyDescent="0.45">
      <c r="A91" t="s">
        <v>91</v>
      </c>
      <c r="B91">
        <v>2009</v>
      </c>
      <c r="C91" t="s">
        <v>74</v>
      </c>
      <c r="D91">
        <v>2.54</v>
      </c>
    </row>
    <row r="92" spans="1:4" x14ac:dyDescent="0.45">
      <c r="A92" t="s">
        <v>32</v>
      </c>
      <c r="B92">
        <v>2010</v>
      </c>
      <c r="C92" t="s">
        <v>74</v>
      </c>
      <c r="D92">
        <v>0.19</v>
      </c>
    </row>
    <row r="93" spans="1:4" x14ac:dyDescent="0.45">
      <c r="A93" t="s">
        <v>34</v>
      </c>
      <c r="B93">
        <v>2010</v>
      </c>
      <c r="C93" t="s">
        <v>74</v>
      </c>
      <c r="D93">
        <v>30.8</v>
      </c>
    </row>
    <row r="94" spans="1:4" x14ac:dyDescent="0.45">
      <c r="A94" t="s">
        <v>36</v>
      </c>
      <c r="B94">
        <v>2010</v>
      </c>
      <c r="C94" t="s">
        <v>74</v>
      </c>
      <c r="D94">
        <v>9.85</v>
      </c>
    </row>
    <row r="95" spans="1:4" x14ac:dyDescent="0.45">
      <c r="A95" t="s">
        <v>56</v>
      </c>
      <c r="B95">
        <v>2010</v>
      </c>
      <c r="C95" t="s">
        <v>74</v>
      </c>
      <c r="D95">
        <v>7.47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5.43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0.16</v>
      </c>
    </row>
    <row r="100" spans="1:4" x14ac:dyDescent="0.45">
      <c r="A100" t="s">
        <v>91</v>
      </c>
      <c r="B100">
        <v>2010</v>
      </c>
      <c r="C100" t="s">
        <v>74</v>
      </c>
      <c r="D100">
        <v>2.71</v>
      </c>
    </row>
    <row r="101" spans="1:4" x14ac:dyDescent="0.45">
      <c r="A101" t="s">
        <v>32</v>
      </c>
      <c r="B101">
        <v>2011</v>
      </c>
      <c r="C101" t="s">
        <v>74</v>
      </c>
      <c r="D101">
        <v>0.21</v>
      </c>
    </row>
    <row r="102" spans="1:4" x14ac:dyDescent="0.45">
      <c r="A102" t="s">
        <v>34</v>
      </c>
      <c r="B102">
        <v>2011</v>
      </c>
      <c r="C102" t="s">
        <v>74</v>
      </c>
      <c r="D102">
        <v>31.07</v>
      </c>
    </row>
    <row r="103" spans="1:4" x14ac:dyDescent="0.45">
      <c r="A103" t="s">
        <v>36</v>
      </c>
      <c r="B103">
        <v>2011</v>
      </c>
      <c r="C103" t="s">
        <v>74</v>
      </c>
      <c r="D103">
        <v>14.07</v>
      </c>
    </row>
    <row r="104" spans="1:4" x14ac:dyDescent="0.45">
      <c r="A104" t="s">
        <v>56</v>
      </c>
      <c r="B104">
        <v>2011</v>
      </c>
      <c r="C104" t="s">
        <v>74</v>
      </c>
      <c r="D104">
        <v>4.01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5.16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0.61</v>
      </c>
    </row>
    <row r="109" spans="1:4" x14ac:dyDescent="0.45">
      <c r="A109" t="s">
        <v>91</v>
      </c>
      <c r="B109">
        <v>2011</v>
      </c>
      <c r="C109" t="s">
        <v>74</v>
      </c>
      <c r="D109">
        <v>3.32</v>
      </c>
    </row>
    <row r="110" spans="1:4" x14ac:dyDescent="0.45">
      <c r="A110" t="s">
        <v>32</v>
      </c>
      <c r="B110">
        <v>2012</v>
      </c>
      <c r="C110" t="s">
        <v>74</v>
      </c>
      <c r="D110">
        <v>0.2</v>
      </c>
    </row>
    <row r="111" spans="1:4" x14ac:dyDescent="0.45">
      <c r="A111" t="s">
        <v>34</v>
      </c>
      <c r="B111">
        <v>2012</v>
      </c>
      <c r="C111" t="s">
        <v>74</v>
      </c>
      <c r="D111">
        <v>31.11</v>
      </c>
    </row>
    <row r="112" spans="1:4" x14ac:dyDescent="0.45">
      <c r="A112" t="s">
        <v>36</v>
      </c>
      <c r="B112">
        <v>2012</v>
      </c>
      <c r="C112" t="s">
        <v>74</v>
      </c>
      <c r="D112">
        <v>13.48</v>
      </c>
    </row>
    <row r="113" spans="1:4" x14ac:dyDescent="0.45">
      <c r="A113" t="s">
        <v>56</v>
      </c>
      <c r="B113">
        <v>2012</v>
      </c>
      <c r="C113" t="s">
        <v>74</v>
      </c>
      <c r="D113">
        <v>4.3899999999999997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5.19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1.69</v>
      </c>
    </row>
    <row r="118" spans="1:4" x14ac:dyDescent="0.45">
      <c r="A118" t="s">
        <v>91</v>
      </c>
      <c r="B118">
        <v>2012</v>
      </c>
      <c r="C118" t="s">
        <v>74</v>
      </c>
      <c r="D118">
        <v>3.85</v>
      </c>
    </row>
    <row r="119" spans="1:4" x14ac:dyDescent="0.45">
      <c r="A119" t="s">
        <v>32</v>
      </c>
      <c r="B119">
        <v>2013</v>
      </c>
      <c r="C119" t="s">
        <v>74</v>
      </c>
      <c r="D119">
        <v>0.22</v>
      </c>
    </row>
    <row r="120" spans="1:4" x14ac:dyDescent="0.45">
      <c r="A120" t="s">
        <v>34</v>
      </c>
      <c r="B120">
        <v>2013</v>
      </c>
      <c r="C120" t="s">
        <v>74</v>
      </c>
      <c r="D120">
        <v>26.4</v>
      </c>
    </row>
    <row r="121" spans="1:4" x14ac:dyDescent="0.45">
      <c r="A121" t="s">
        <v>36</v>
      </c>
      <c r="B121">
        <v>2013</v>
      </c>
      <c r="C121" t="s">
        <v>74</v>
      </c>
      <c r="D121">
        <v>10.88</v>
      </c>
    </row>
    <row r="122" spans="1:4" x14ac:dyDescent="0.45">
      <c r="A122" t="s">
        <v>56</v>
      </c>
      <c r="B122">
        <v>2013</v>
      </c>
      <c r="C122" t="s">
        <v>74</v>
      </c>
      <c r="D122">
        <v>6.35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4.7300000000000004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3.65</v>
      </c>
    </row>
    <row r="127" spans="1:4" x14ac:dyDescent="0.45">
      <c r="A127" t="s">
        <v>91</v>
      </c>
      <c r="B127">
        <v>2013</v>
      </c>
      <c r="C127" t="s">
        <v>74</v>
      </c>
      <c r="D127">
        <v>4.1399999999999997</v>
      </c>
    </row>
    <row r="128" spans="1:4" x14ac:dyDescent="0.45">
      <c r="A128" t="s">
        <v>32</v>
      </c>
      <c r="B128">
        <v>2014</v>
      </c>
      <c r="C128" t="s">
        <v>74</v>
      </c>
      <c r="D128">
        <v>0.22</v>
      </c>
    </row>
    <row r="129" spans="1:4" x14ac:dyDescent="0.45">
      <c r="A129" t="s">
        <v>34</v>
      </c>
      <c r="B129">
        <v>2014</v>
      </c>
      <c r="C129" t="s">
        <v>74</v>
      </c>
      <c r="D129">
        <v>25.75</v>
      </c>
    </row>
    <row r="130" spans="1:4" x14ac:dyDescent="0.45">
      <c r="A130" t="s">
        <v>36</v>
      </c>
      <c r="B130">
        <v>2014</v>
      </c>
      <c r="C130" t="s">
        <v>74</v>
      </c>
      <c r="D130">
        <v>6.79</v>
      </c>
    </row>
    <row r="131" spans="1:4" x14ac:dyDescent="0.45">
      <c r="A131" t="s">
        <v>56</v>
      </c>
      <c r="B131">
        <v>2014</v>
      </c>
      <c r="C131" t="s">
        <v>74</v>
      </c>
      <c r="D131">
        <v>4.4800000000000004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4.9000000000000004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3.79</v>
      </c>
    </row>
    <row r="136" spans="1:4" x14ac:dyDescent="0.45">
      <c r="A136" t="s">
        <v>91</v>
      </c>
      <c r="B136">
        <v>2014</v>
      </c>
      <c r="C136" t="s">
        <v>74</v>
      </c>
      <c r="D136">
        <v>3.69</v>
      </c>
    </row>
    <row r="137" spans="1:4" x14ac:dyDescent="0.45">
      <c r="A137" t="s">
        <v>32</v>
      </c>
      <c r="B137">
        <v>2015</v>
      </c>
      <c r="C137" t="s">
        <v>74</v>
      </c>
      <c r="D137">
        <v>0.23</v>
      </c>
    </row>
    <row r="138" spans="1:4" x14ac:dyDescent="0.45">
      <c r="A138" t="s">
        <v>34</v>
      </c>
      <c r="B138">
        <v>2015</v>
      </c>
      <c r="C138" t="s">
        <v>74</v>
      </c>
      <c r="D138">
        <v>22.11</v>
      </c>
    </row>
    <row r="139" spans="1:4" x14ac:dyDescent="0.45">
      <c r="A139" t="s">
        <v>36</v>
      </c>
      <c r="B139">
        <v>2015</v>
      </c>
      <c r="C139" t="s">
        <v>74</v>
      </c>
      <c r="D139">
        <v>9.09</v>
      </c>
    </row>
    <row r="140" spans="1:4" x14ac:dyDescent="0.45">
      <c r="A140" t="s">
        <v>56</v>
      </c>
      <c r="B140">
        <v>2015</v>
      </c>
      <c r="C140" t="s">
        <v>74</v>
      </c>
      <c r="D140">
        <v>6.1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3.9</v>
      </c>
    </row>
    <row r="145" spans="1:4" x14ac:dyDescent="0.45">
      <c r="A145" t="s">
        <v>91</v>
      </c>
      <c r="B145">
        <v>2015</v>
      </c>
      <c r="C145" t="s">
        <v>74</v>
      </c>
      <c r="D145">
        <v>4.62</v>
      </c>
    </row>
    <row r="146" spans="1:4" x14ac:dyDescent="0.45">
      <c r="A146" t="s">
        <v>32</v>
      </c>
      <c r="B146">
        <v>2016</v>
      </c>
      <c r="C146" t="s">
        <v>74</v>
      </c>
      <c r="D146">
        <v>0.27</v>
      </c>
    </row>
    <row r="147" spans="1:4" x14ac:dyDescent="0.45">
      <c r="A147" t="s">
        <v>34</v>
      </c>
      <c r="B147">
        <v>2016</v>
      </c>
      <c r="C147" t="s">
        <v>74</v>
      </c>
      <c r="D147">
        <v>18.88</v>
      </c>
    </row>
    <row r="148" spans="1:4" x14ac:dyDescent="0.45">
      <c r="A148" t="s">
        <v>36</v>
      </c>
      <c r="B148">
        <v>2016</v>
      </c>
      <c r="C148" t="s">
        <v>74</v>
      </c>
      <c r="D148">
        <v>14.97</v>
      </c>
    </row>
    <row r="149" spans="1:4" x14ac:dyDescent="0.45">
      <c r="A149" t="s">
        <v>56</v>
      </c>
      <c r="B149">
        <v>2016</v>
      </c>
      <c r="C149" t="s">
        <v>74</v>
      </c>
      <c r="D149">
        <v>5.54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5.0999999999999996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3.93</v>
      </c>
    </row>
    <row r="154" spans="1:4" x14ac:dyDescent="0.45">
      <c r="A154" t="s">
        <v>91</v>
      </c>
      <c r="B154">
        <v>2016</v>
      </c>
      <c r="C154" t="s">
        <v>74</v>
      </c>
      <c r="D154">
        <v>5.15</v>
      </c>
    </row>
    <row r="155" spans="1:4" x14ac:dyDescent="0.45">
      <c r="A155" t="s">
        <v>32</v>
      </c>
      <c r="B155">
        <v>2017</v>
      </c>
      <c r="C155" t="s">
        <v>74</v>
      </c>
      <c r="D155">
        <v>0.31</v>
      </c>
    </row>
    <row r="156" spans="1:4" x14ac:dyDescent="0.45">
      <c r="A156" t="s">
        <v>34</v>
      </c>
      <c r="B156">
        <v>2017</v>
      </c>
      <c r="C156" t="s">
        <v>74</v>
      </c>
      <c r="D156">
        <v>18.760000000000002</v>
      </c>
    </row>
    <row r="157" spans="1:4" x14ac:dyDescent="0.45">
      <c r="A157" t="s">
        <v>36</v>
      </c>
      <c r="B157">
        <v>2017</v>
      </c>
      <c r="C157" t="s">
        <v>74</v>
      </c>
      <c r="D157">
        <v>17.13</v>
      </c>
    </row>
    <row r="158" spans="1:4" x14ac:dyDescent="0.45">
      <c r="A158" t="s">
        <v>56</v>
      </c>
      <c r="B158">
        <v>2017</v>
      </c>
      <c r="C158" t="s">
        <v>74</v>
      </c>
      <c r="D158">
        <v>3.96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5.1100000000000003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3.99</v>
      </c>
    </row>
    <row r="163" spans="1:4" x14ac:dyDescent="0.45">
      <c r="A163" t="s">
        <v>91</v>
      </c>
      <c r="B163">
        <v>2017</v>
      </c>
      <c r="C163" t="s">
        <v>74</v>
      </c>
      <c r="D163">
        <v>5.54</v>
      </c>
    </row>
    <row r="164" spans="1:4" x14ac:dyDescent="0.45">
      <c r="A164" t="s">
        <v>32</v>
      </c>
      <c r="B164">
        <v>2018</v>
      </c>
      <c r="C164" t="s">
        <v>74</v>
      </c>
      <c r="D164">
        <v>0.31</v>
      </c>
    </row>
    <row r="165" spans="1:4" x14ac:dyDescent="0.45">
      <c r="A165" t="s">
        <v>34</v>
      </c>
      <c r="B165">
        <v>2018</v>
      </c>
      <c r="C165" t="s">
        <v>74</v>
      </c>
      <c r="D165">
        <v>17.190000000000001</v>
      </c>
    </row>
    <row r="166" spans="1:4" x14ac:dyDescent="0.45">
      <c r="A166" t="s">
        <v>36</v>
      </c>
      <c r="B166">
        <v>2018</v>
      </c>
      <c r="C166" t="s">
        <v>74</v>
      </c>
      <c r="D166">
        <v>14.09</v>
      </c>
    </row>
    <row r="167" spans="1:4" x14ac:dyDescent="0.45">
      <c r="A167" t="s">
        <v>56</v>
      </c>
      <c r="B167">
        <v>2018</v>
      </c>
      <c r="C167" t="s">
        <v>74</v>
      </c>
      <c r="D167">
        <v>5.74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5.19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3.79</v>
      </c>
    </row>
    <row r="172" spans="1:4" x14ac:dyDescent="0.45">
      <c r="A172" t="s">
        <v>91</v>
      </c>
      <c r="B172">
        <v>2018</v>
      </c>
      <c r="C172" t="s">
        <v>74</v>
      </c>
      <c r="D172">
        <v>6.3</v>
      </c>
    </row>
    <row r="173" spans="1:4" x14ac:dyDescent="0.45">
      <c r="A173" t="s">
        <v>32</v>
      </c>
      <c r="B173">
        <v>2019</v>
      </c>
      <c r="C173" t="s">
        <v>74</v>
      </c>
      <c r="D173">
        <v>0.4</v>
      </c>
    </row>
    <row r="174" spans="1:4" x14ac:dyDescent="0.45">
      <c r="A174" t="s">
        <v>34</v>
      </c>
      <c r="B174">
        <v>2019</v>
      </c>
      <c r="C174" t="s">
        <v>74</v>
      </c>
      <c r="D174">
        <v>12.12</v>
      </c>
    </row>
    <row r="175" spans="1:4" x14ac:dyDescent="0.45">
      <c r="A175" t="s">
        <v>36</v>
      </c>
      <c r="B175">
        <v>2019</v>
      </c>
      <c r="C175" t="s">
        <v>74</v>
      </c>
      <c r="D175">
        <v>14.5</v>
      </c>
    </row>
    <row r="176" spans="1:4" x14ac:dyDescent="0.45">
      <c r="A176" t="s">
        <v>56</v>
      </c>
      <c r="B176">
        <v>2019</v>
      </c>
      <c r="C176" t="s">
        <v>74</v>
      </c>
      <c r="D176">
        <v>4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5.23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4.43</v>
      </c>
    </row>
    <row r="181" spans="1:4" x14ac:dyDescent="0.45">
      <c r="A181" t="s">
        <v>91</v>
      </c>
      <c r="B181">
        <v>2019</v>
      </c>
      <c r="C181" t="s">
        <v>74</v>
      </c>
      <c r="D181">
        <v>7.27</v>
      </c>
    </row>
    <row r="182" spans="1:4" x14ac:dyDescent="0.45">
      <c r="A182" t="s">
        <v>32</v>
      </c>
      <c r="B182">
        <v>2020</v>
      </c>
      <c r="C182" t="s">
        <v>74</v>
      </c>
      <c r="D182">
        <v>0.45</v>
      </c>
    </row>
    <row r="183" spans="1:4" x14ac:dyDescent="0.45">
      <c r="A183" t="s">
        <v>34</v>
      </c>
      <c r="B183">
        <v>2020</v>
      </c>
      <c r="C183" t="s">
        <v>74</v>
      </c>
      <c r="D183">
        <v>6.61</v>
      </c>
    </row>
    <row r="184" spans="1:4" x14ac:dyDescent="0.45">
      <c r="A184" t="s">
        <v>36</v>
      </c>
      <c r="B184">
        <v>2020</v>
      </c>
      <c r="C184" t="s">
        <v>74</v>
      </c>
      <c r="D184">
        <v>19.23</v>
      </c>
    </row>
    <row r="185" spans="1:4" x14ac:dyDescent="0.45">
      <c r="A185" t="s">
        <v>56</v>
      </c>
      <c r="B185">
        <v>2020</v>
      </c>
      <c r="C185" t="s">
        <v>74</v>
      </c>
      <c r="D185">
        <v>3.34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4.12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4.45</v>
      </c>
    </row>
    <row r="190" spans="1:4" x14ac:dyDescent="0.45">
      <c r="A190" t="s">
        <v>91</v>
      </c>
      <c r="B190">
        <v>2020</v>
      </c>
      <c r="C190" t="s">
        <v>74</v>
      </c>
      <c r="D190">
        <v>9.31</v>
      </c>
    </row>
    <row r="191" spans="1:4" x14ac:dyDescent="0.45">
      <c r="A191" t="s">
        <v>32</v>
      </c>
      <c r="B191">
        <v>2021</v>
      </c>
      <c r="C191" t="s">
        <v>74</v>
      </c>
      <c r="D191">
        <v>0.5</v>
      </c>
    </row>
    <row r="192" spans="1:4" x14ac:dyDescent="0.45">
      <c r="A192" t="s">
        <v>34</v>
      </c>
      <c r="B192">
        <v>2021</v>
      </c>
      <c r="C192" t="s">
        <v>74</v>
      </c>
      <c r="D192">
        <v>5.32</v>
      </c>
    </row>
    <row r="193" spans="1:4" x14ac:dyDescent="0.45">
      <c r="A193" t="s">
        <v>36</v>
      </c>
      <c r="B193">
        <v>2021</v>
      </c>
      <c r="C193" t="s">
        <v>74</v>
      </c>
      <c r="D193">
        <v>22.49</v>
      </c>
    </row>
    <row r="194" spans="1:4" x14ac:dyDescent="0.45">
      <c r="A194" t="s">
        <v>56</v>
      </c>
      <c r="B194">
        <v>2021</v>
      </c>
      <c r="C194" t="s">
        <v>74</v>
      </c>
      <c r="D194">
        <v>5.9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4.3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5.25</v>
      </c>
    </row>
    <row r="199" spans="1:4" x14ac:dyDescent="0.45">
      <c r="A199" t="s">
        <v>91</v>
      </c>
      <c r="B199">
        <v>2021</v>
      </c>
      <c r="C199" t="s">
        <v>74</v>
      </c>
      <c r="D199">
        <v>10.48</v>
      </c>
    </row>
    <row r="200" spans="1:4" x14ac:dyDescent="0.45">
      <c r="A200" t="s">
        <v>32</v>
      </c>
      <c r="B200">
        <v>2022</v>
      </c>
      <c r="C200" t="s">
        <v>74</v>
      </c>
      <c r="D200">
        <v>0.56999999999999995</v>
      </c>
    </row>
    <row r="201" spans="1:4" x14ac:dyDescent="0.45">
      <c r="A201" t="s">
        <v>34</v>
      </c>
      <c r="B201">
        <v>2022</v>
      </c>
      <c r="C201" t="s">
        <v>74</v>
      </c>
      <c r="D201">
        <v>5.76</v>
      </c>
    </row>
    <row r="202" spans="1:4" x14ac:dyDescent="0.45">
      <c r="A202" t="s">
        <v>36</v>
      </c>
      <c r="B202">
        <v>2022</v>
      </c>
      <c r="C202" t="s">
        <v>74</v>
      </c>
      <c r="D202">
        <v>19.14</v>
      </c>
    </row>
    <row r="203" spans="1:4" x14ac:dyDescent="0.45">
      <c r="A203" t="s">
        <v>56</v>
      </c>
      <c r="B203">
        <v>2022</v>
      </c>
      <c r="C203" t="s">
        <v>74</v>
      </c>
      <c r="D203">
        <v>3.86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4.2699999999999996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7.14</v>
      </c>
    </row>
    <row r="208" spans="1:4" x14ac:dyDescent="0.45">
      <c r="A208" t="s">
        <v>91</v>
      </c>
      <c r="B208">
        <v>2022</v>
      </c>
      <c r="C208" t="s">
        <v>74</v>
      </c>
      <c r="D208">
        <v>10.87</v>
      </c>
    </row>
    <row r="209" spans="1:4" x14ac:dyDescent="0.45">
      <c r="A209" t="s">
        <v>32</v>
      </c>
      <c r="B209">
        <v>2023</v>
      </c>
      <c r="C209" t="s">
        <v>74</v>
      </c>
      <c r="D209">
        <v>0.56999999999999995</v>
      </c>
    </row>
    <row r="210" spans="1:4" x14ac:dyDescent="0.45">
      <c r="A210" t="s">
        <v>34</v>
      </c>
      <c r="B210">
        <v>2023</v>
      </c>
      <c r="C210" t="s">
        <v>74</v>
      </c>
      <c r="D210">
        <v>4.72</v>
      </c>
    </row>
    <row r="211" spans="1:4" x14ac:dyDescent="0.45">
      <c r="A211" t="s">
        <v>36</v>
      </c>
      <c r="B211">
        <v>2023</v>
      </c>
      <c r="C211" t="s">
        <v>74</v>
      </c>
      <c r="D211">
        <v>15.65</v>
      </c>
    </row>
    <row r="212" spans="1:4" x14ac:dyDescent="0.45">
      <c r="A212" t="s">
        <v>56</v>
      </c>
      <c r="B212">
        <v>2023</v>
      </c>
      <c r="C212" t="s">
        <v>74</v>
      </c>
      <c r="D212">
        <v>3.87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4.2699999999999996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9.39</v>
      </c>
    </row>
    <row r="217" spans="1:4" x14ac:dyDescent="0.45">
      <c r="A217" t="s">
        <v>91</v>
      </c>
      <c r="B217">
        <v>2023</v>
      </c>
      <c r="C217" t="s">
        <v>74</v>
      </c>
      <c r="D217">
        <v>10.91</v>
      </c>
    </row>
    <row r="218" spans="1:4" x14ac:dyDescent="0.45">
      <c r="A218" t="s">
        <v>32</v>
      </c>
      <c r="B218">
        <v>2000</v>
      </c>
      <c r="C218" t="s">
        <v>75</v>
      </c>
      <c r="D218">
        <v>0</v>
      </c>
    </row>
    <row r="219" spans="1:4" x14ac:dyDescent="0.45">
      <c r="A219" t="s">
        <v>34</v>
      </c>
      <c r="B219">
        <v>2000</v>
      </c>
      <c r="C219" t="s">
        <v>75</v>
      </c>
      <c r="D219">
        <v>4.95</v>
      </c>
    </row>
    <row r="220" spans="1:4" x14ac:dyDescent="0.45">
      <c r="A220" t="s">
        <v>36</v>
      </c>
      <c r="B220">
        <v>2000</v>
      </c>
      <c r="C220" t="s">
        <v>75</v>
      </c>
      <c r="D220">
        <v>0.9</v>
      </c>
    </row>
    <row r="221" spans="1:4" x14ac:dyDescent="0.45">
      <c r="A221" t="s">
        <v>56</v>
      </c>
      <c r="B221">
        <v>2000</v>
      </c>
      <c r="C221" t="s">
        <v>75</v>
      </c>
      <c r="D221">
        <v>3.07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  <c r="D223">
        <v>0.86</v>
      </c>
    </row>
    <row r="224" spans="1:4" x14ac:dyDescent="0.45">
      <c r="A224" t="s">
        <v>32</v>
      </c>
      <c r="B224">
        <v>2000</v>
      </c>
      <c r="C224" t="s">
        <v>75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0.23</v>
      </c>
    </row>
    <row r="227" spans="1:4" x14ac:dyDescent="0.45">
      <c r="A227" t="s">
        <v>32</v>
      </c>
      <c r="B227">
        <v>2001</v>
      </c>
      <c r="C227" t="s">
        <v>75</v>
      </c>
      <c r="D227">
        <v>0.02</v>
      </c>
    </row>
    <row r="228" spans="1:4" x14ac:dyDescent="0.45">
      <c r="A228" t="s">
        <v>34</v>
      </c>
      <c r="B228">
        <v>2001</v>
      </c>
      <c r="C228" t="s">
        <v>75</v>
      </c>
      <c r="D228">
        <v>4.95</v>
      </c>
    </row>
    <row r="229" spans="1:4" x14ac:dyDescent="0.45">
      <c r="A229" t="s">
        <v>36</v>
      </c>
      <c r="B229">
        <v>2001</v>
      </c>
      <c r="C229" t="s">
        <v>75</v>
      </c>
      <c r="D229">
        <v>0.9</v>
      </c>
    </row>
    <row r="230" spans="1:4" x14ac:dyDescent="0.45">
      <c r="A230" t="s">
        <v>56</v>
      </c>
      <c r="B230">
        <v>2001</v>
      </c>
      <c r="C230" t="s">
        <v>75</v>
      </c>
      <c r="D230">
        <v>3.08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  <c r="D232">
        <v>0.86</v>
      </c>
    </row>
    <row r="233" spans="1:4" x14ac:dyDescent="0.45">
      <c r="A233" t="s">
        <v>32</v>
      </c>
      <c r="B233">
        <v>2001</v>
      </c>
      <c r="C233" t="s">
        <v>75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0.27</v>
      </c>
    </row>
    <row r="236" spans="1:4" x14ac:dyDescent="0.45">
      <c r="A236" t="s">
        <v>32</v>
      </c>
      <c r="B236">
        <v>2002</v>
      </c>
      <c r="C236" t="s">
        <v>75</v>
      </c>
      <c r="D236">
        <v>0.02</v>
      </c>
    </row>
    <row r="237" spans="1:4" x14ac:dyDescent="0.45">
      <c r="A237" t="s">
        <v>34</v>
      </c>
      <c r="B237">
        <v>2002</v>
      </c>
      <c r="C237" t="s">
        <v>75</v>
      </c>
      <c r="D237">
        <v>4.95</v>
      </c>
    </row>
    <row r="238" spans="1:4" x14ac:dyDescent="0.45">
      <c r="A238" t="s">
        <v>36</v>
      </c>
      <c r="B238">
        <v>2002</v>
      </c>
      <c r="C238" t="s">
        <v>75</v>
      </c>
      <c r="D238">
        <v>1.38</v>
      </c>
    </row>
    <row r="239" spans="1:4" x14ac:dyDescent="0.45">
      <c r="A239" t="s">
        <v>56</v>
      </c>
      <c r="B239">
        <v>2002</v>
      </c>
      <c r="C239" t="s">
        <v>75</v>
      </c>
      <c r="D239">
        <v>3.08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  <c r="D241">
        <v>0.86</v>
      </c>
    </row>
    <row r="242" spans="1:4" x14ac:dyDescent="0.45">
      <c r="A242" t="s">
        <v>32</v>
      </c>
      <c r="B242">
        <v>2002</v>
      </c>
      <c r="C242" t="s">
        <v>75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0.28999999999999998</v>
      </c>
    </row>
    <row r="245" spans="1:4" x14ac:dyDescent="0.45">
      <c r="A245" t="s">
        <v>32</v>
      </c>
      <c r="B245">
        <v>2003</v>
      </c>
      <c r="C245" t="s">
        <v>75</v>
      </c>
      <c r="D245">
        <v>0.02</v>
      </c>
    </row>
    <row r="246" spans="1:4" x14ac:dyDescent="0.45">
      <c r="A246" t="s">
        <v>34</v>
      </c>
      <c r="B246">
        <v>2003</v>
      </c>
      <c r="C246" t="s">
        <v>75</v>
      </c>
      <c r="D246">
        <v>5.28</v>
      </c>
    </row>
    <row r="247" spans="1:4" x14ac:dyDescent="0.45">
      <c r="A247" t="s">
        <v>36</v>
      </c>
      <c r="B247">
        <v>2003</v>
      </c>
      <c r="C247" t="s">
        <v>75</v>
      </c>
      <c r="D247">
        <v>1.42</v>
      </c>
    </row>
    <row r="248" spans="1:4" x14ac:dyDescent="0.45">
      <c r="A248" t="s">
        <v>56</v>
      </c>
      <c r="B248">
        <v>2003</v>
      </c>
      <c r="C248" t="s">
        <v>75</v>
      </c>
      <c r="D248">
        <v>3.08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  <c r="D250">
        <v>0.95</v>
      </c>
    </row>
    <row r="251" spans="1:4" x14ac:dyDescent="0.45">
      <c r="A251" t="s">
        <v>32</v>
      </c>
      <c r="B251">
        <v>2003</v>
      </c>
      <c r="C251" t="s">
        <v>75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0.37</v>
      </c>
    </row>
    <row r="254" spans="1:4" x14ac:dyDescent="0.45">
      <c r="A254" t="s">
        <v>32</v>
      </c>
      <c r="B254">
        <v>2004</v>
      </c>
      <c r="C254" t="s">
        <v>75</v>
      </c>
      <c r="D254">
        <v>0.02</v>
      </c>
    </row>
    <row r="255" spans="1:4" x14ac:dyDescent="0.45">
      <c r="A255" t="s">
        <v>34</v>
      </c>
      <c r="B255">
        <v>2004</v>
      </c>
      <c r="C255" t="s">
        <v>75</v>
      </c>
      <c r="D255">
        <v>5.28</v>
      </c>
    </row>
    <row r="256" spans="1:4" x14ac:dyDescent="0.45">
      <c r="A256" t="s">
        <v>36</v>
      </c>
      <c r="B256">
        <v>2004</v>
      </c>
      <c r="C256" t="s">
        <v>75</v>
      </c>
      <c r="D256">
        <v>1.63</v>
      </c>
    </row>
    <row r="257" spans="1:4" x14ac:dyDescent="0.45">
      <c r="A257" t="s">
        <v>56</v>
      </c>
      <c r="B257">
        <v>2004</v>
      </c>
      <c r="C257" t="s">
        <v>75</v>
      </c>
      <c r="D257">
        <v>3.1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  <c r="D259">
        <v>1.1000000000000001</v>
      </c>
    </row>
    <row r="260" spans="1:4" x14ac:dyDescent="0.45">
      <c r="A260" t="s">
        <v>32</v>
      </c>
      <c r="B260">
        <v>2004</v>
      </c>
      <c r="C260" t="s">
        <v>75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0.47</v>
      </c>
    </row>
    <row r="263" spans="1:4" x14ac:dyDescent="0.45">
      <c r="A263" t="s">
        <v>32</v>
      </c>
      <c r="B263">
        <v>2005</v>
      </c>
      <c r="C263" t="s">
        <v>75</v>
      </c>
      <c r="D263">
        <v>0.02</v>
      </c>
    </row>
    <row r="264" spans="1:4" x14ac:dyDescent="0.45">
      <c r="A264" t="s">
        <v>34</v>
      </c>
      <c r="B264">
        <v>2005</v>
      </c>
      <c r="C264" t="s">
        <v>75</v>
      </c>
      <c r="D264">
        <v>5.28</v>
      </c>
    </row>
    <row r="265" spans="1:4" x14ac:dyDescent="0.45">
      <c r="A265" t="s">
        <v>36</v>
      </c>
      <c r="B265">
        <v>2005</v>
      </c>
      <c r="C265" t="s">
        <v>75</v>
      </c>
      <c r="D265">
        <v>1.63</v>
      </c>
    </row>
    <row r="266" spans="1:4" x14ac:dyDescent="0.45">
      <c r="A266" t="s">
        <v>56</v>
      </c>
      <c r="B266">
        <v>2005</v>
      </c>
      <c r="C266" t="s">
        <v>75</v>
      </c>
      <c r="D266">
        <v>3.11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  <c r="D268">
        <v>1.1000000000000001</v>
      </c>
    </row>
    <row r="269" spans="1:4" x14ac:dyDescent="0.45">
      <c r="A269" t="s">
        <v>32</v>
      </c>
      <c r="B269">
        <v>2005</v>
      </c>
      <c r="C269" t="s">
        <v>75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0.49</v>
      </c>
    </row>
    <row r="272" spans="1:4" x14ac:dyDescent="0.45">
      <c r="A272" t="s">
        <v>32</v>
      </c>
      <c r="B272">
        <v>2006</v>
      </c>
      <c r="C272" t="s">
        <v>75</v>
      </c>
      <c r="D272">
        <v>0.02</v>
      </c>
    </row>
    <row r="273" spans="1:4" x14ac:dyDescent="0.45">
      <c r="A273" t="s">
        <v>34</v>
      </c>
      <c r="B273">
        <v>2006</v>
      </c>
      <c r="C273" t="s">
        <v>75</v>
      </c>
      <c r="D273">
        <v>5.28</v>
      </c>
    </row>
    <row r="274" spans="1:4" x14ac:dyDescent="0.45">
      <c r="A274" t="s">
        <v>36</v>
      </c>
      <c r="B274">
        <v>2006</v>
      </c>
      <c r="C274" t="s">
        <v>75</v>
      </c>
      <c r="D274">
        <v>2.4300000000000002</v>
      </c>
    </row>
    <row r="275" spans="1:4" x14ac:dyDescent="0.45">
      <c r="A275" t="s">
        <v>56</v>
      </c>
      <c r="B275">
        <v>2006</v>
      </c>
      <c r="C275" t="s">
        <v>75</v>
      </c>
      <c r="D275">
        <v>3.13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  <c r="D277">
        <v>1.1000000000000001</v>
      </c>
    </row>
    <row r="278" spans="1:4" x14ac:dyDescent="0.45">
      <c r="A278" t="s">
        <v>32</v>
      </c>
      <c r="B278">
        <v>2006</v>
      </c>
      <c r="C278" t="s">
        <v>75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0.75</v>
      </c>
    </row>
    <row r="281" spans="1:4" x14ac:dyDescent="0.45">
      <c r="A281" t="s">
        <v>32</v>
      </c>
      <c r="B281">
        <v>2007</v>
      </c>
      <c r="C281" t="s">
        <v>75</v>
      </c>
      <c r="D281">
        <v>0.04</v>
      </c>
    </row>
    <row r="282" spans="1:4" x14ac:dyDescent="0.45">
      <c r="A282" t="s">
        <v>34</v>
      </c>
      <c r="B282">
        <v>2007</v>
      </c>
      <c r="C282" t="s">
        <v>75</v>
      </c>
      <c r="D282">
        <v>5.28</v>
      </c>
    </row>
    <row r="283" spans="1:4" x14ac:dyDescent="0.45">
      <c r="A283" t="s">
        <v>36</v>
      </c>
      <c r="B283">
        <v>2007</v>
      </c>
      <c r="C283" t="s">
        <v>75</v>
      </c>
      <c r="D283">
        <v>2.4300000000000002</v>
      </c>
    </row>
    <row r="284" spans="1:4" x14ac:dyDescent="0.45">
      <c r="A284" t="s">
        <v>56</v>
      </c>
      <c r="B284">
        <v>2007</v>
      </c>
      <c r="C284" t="s">
        <v>75</v>
      </c>
      <c r="D284">
        <v>3.15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  <c r="D286">
        <v>1.1000000000000001</v>
      </c>
    </row>
    <row r="287" spans="1:4" x14ac:dyDescent="0.45">
      <c r="A287" t="s">
        <v>32</v>
      </c>
      <c r="B287">
        <v>2007</v>
      </c>
      <c r="C287" t="s">
        <v>75</v>
      </c>
    </row>
    <row r="288" spans="1:4" x14ac:dyDescent="0.45">
      <c r="A288" t="s">
        <v>58</v>
      </c>
      <c r="B288">
        <v>2007</v>
      </c>
      <c r="C288" t="s">
        <v>75</v>
      </c>
      <c r="D288">
        <v>0.01</v>
      </c>
    </row>
    <row r="289" spans="1:4" x14ac:dyDescent="0.45">
      <c r="A289" t="s">
        <v>91</v>
      </c>
      <c r="B289">
        <v>2007</v>
      </c>
      <c r="C289" t="s">
        <v>75</v>
      </c>
      <c r="D289">
        <v>0.85</v>
      </c>
    </row>
    <row r="290" spans="1:4" x14ac:dyDescent="0.45">
      <c r="A290" t="s">
        <v>32</v>
      </c>
      <c r="B290">
        <v>2008</v>
      </c>
      <c r="C290" t="s">
        <v>75</v>
      </c>
      <c r="D290">
        <v>0.04</v>
      </c>
    </row>
    <row r="291" spans="1:4" x14ac:dyDescent="0.45">
      <c r="A291" t="s">
        <v>34</v>
      </c>
      <c r="B291">
        <v>2008</v>
      </c>
      <c r="C291" t="s">
        <v>75</v>
      </c>
      <c r="D291">
        <v>5.28</v>
      </c>
    </row>
    <row r="292" spans="1:4" x14ac:dyDescent="0.45">
      <c r="A292" t="s">
        <v>36</v>
      </c>
      <c r="B292">
        <v>2008</v>
      </c>
      <c r="C292" t="s">
        <v>75</v>
      </c>
      <c r="D292">
        <v>2.76</v>
      </c>
    </row>
    <row r="293" spans="1:4" x14ac:dyDescent="0.45">
      <c r="A293" t="s">
        <v>56</v>
      </c>
      <c r="B293">
        <v>2008</v>
      </c>
      <c r="C293" t="s">
        <v>75</v>
      </c>
      <c r="D293">
        <v>3.18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  <c r="D295">
        <v>1.24</v>
      </c>
    </row>
    <row r="296" spans="1:4" x14ac:dyDescent="0.45">
      <c r="A296" t="s">
        <v>32</v>
      </c>
      <c r="B296">
        <v>2008</v>
      </c>
      <c r="C296" t="s">
        <v>75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1.02</v>
      </c>
    </row>
    <row r="299" spans="1:4" x14ac:dyDescent="0.45">
      <c r="A299" t="s">
        <v>32</v>
      </c>
      <c r="B299">
        <v>2009</v>
      </c>
      <c r="C299" t="s">
        <v>75</v>
      </c>
      <c r="D299">
        <v>0.04</v>
      </c>
    </row>
    <row r="300" spans="1:4" x14ac:dyDescent="0.45">
      <c r="A300" t="s">
        <v>34</v>
      </c>
      <c r="B300">
        <v>2009</v>
      </c>
      <c r="C300" t="s">
        <v>75</v>
      </c>
      <c r="D300">
        <v>5.28</v>
      </c>
    </row>
    <row r="301" spans="1:4" x14ac:dyDescent="0.45">
      <c r="A301" t="s">
        <v>36</v>
      </c>
      <c r="B301">
        <v>2009</v>
      </c>
      <c r="C301" t="s">
        <v>75</v>
      </c>
      <c r="D301">
        <v>2.76</v>
      </c>
    </row>
    <row r="302" spans="1:4" x14ac:dyDescent="0.45">
      <c r="A302" t="s">
        <v>56</v>
      </c>
      <c r="B302">
        <v>2009</v>
      </c>
      <c r="C302" t="s">
        <v>75</v>
      </c>
      <c r="D302">
        <v>3.2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  <c r="D304">
        <v>1.24</v>
      </c>
    </row>
    <row r="305" spans="1:4" x14ac:dyDescent="0.45">
      <c r="A305" t="s">
        <v>32</v>
      </c>
      <c r="B305">
        <v>2009</v>
      </c>
      <c r="C305" t="s">
        <v>75</v>
      </c>
    </row>
    <row r="306" spans="1:4" x14ac:dyDescent="0.45">
      <c r="A306" t="s">
        <v>58</v>
      </c>
      <c r="B306">
        <v>2009</v>
      </c>
      <c r="C306" t="s">
        <v>75</v>
      </c>
      <c r="D306">
        <v>0.05</v>
      </c>
    </row>
    <row r="307" spans="1:4" x14ac:dyDescent="0.45">
      <c r="A307" t="s">
        <v>91</v>
      </c>
      <c r="B307">
        <v>2009</v>
      </c>
      <c r="C307" t="s">
        <v>75</v>
      </c>
      <c r="D307">
        <v>1.17</v>
      </c>
    </row>
    <row r="308" spans="1:4" x14ac:dyDescent="0.45">
      <c r="A308" t="s">
        <v>32</v>
      </c>
      <c r="B308">
        <v>2010</v>
      </c>
      <c r="C308" t="s">
        <v>75</v>
      </c>
      <c r="D308">
        <v>0.04</v>
      </c>
    </row>
    <row r="309" spans="1:4" x14ac:dyDescent="0.45">
      <c r="A309" t="s">
        <v>34</v>
      </c>
      <c r="B309">
        <v>2010</v>
      </c>
      <c r="C309" t="s">
        <v>75</v>
      </c>
      <c r="D309">
        <v>5.21</v>
      </c>
    </row>
    <row r="310" spans="1:4" x14ac:dyDescent="0.45">
      <c r="A310" t="s">
        <v>36</v>
      </c>
      <c r="B310">
        <v>2010</v>
      </c>
      <c r="C310" t="s">
        <v>75</v>
      </c>
      <c r="D310">
        <v>3.62</v>
      </c>
    </row>
    <row r="311" spans="1:4" x14ac:dyDescent="0.45">
      <c r="A311" t="s">
        <v>56</v>
      </c>
      <c r="B311">
        <v>2010</v>
      </c>
      <c r="C311" t="s">
        <v>75</v>
      </c>
      <c r="D311">
        <v>3.22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  <c r="D313">
        <v>1.24</v>
      </c>
    </row>
    <row r="314" spans="1:4" x14ac:dyDescent="0.45">
      <c r="A314" t="s">
        <v>32</v>
      </c>
      <c r="B314">
        <v>2010</v>
      </c>
      <c r="C314" t="s">
        <v>75</v>
      </c>
    </row>
    <row r="315" spans="1:4" x14ac:dyDescent="0.45">
      <c r="A315" t="s">
        <v>58</v>
      </c>
      <c r="B315">
        <v>2010</v>
      </c>
      <c r="C315" t="s">
        <v>75</v>
      </c>
      <c r="D315">
        <v>0.2</v>
      </c>
    </row>
    <row r="316" spans="1:4" x14ac:dyDescent="0.45">
      <c r="A316" t="s">
        <v>91</v>
      </c>
      <c r="B316">
        <v>2010</v>
      </c>
      <c r="C316" t="s">
        <v>75</v>
      </c>
      <c r="D316">
        <v>1.3</v>
      </c>
    </row>
    <row r="317" spans="1:4" x14ac:dyDescent="0.45">
      <c r="A317" t="s">
        <v>32</v>
      </c>
      <c r="B317">
        <v>2011</v>
      </c>
      <c r="C317" t="s">
        <v>75</v>
      </c>
      <c r="D317">
        <v>0.05</v>
      </c>
    </row>
    <row r="318" spans="1:4" x14ac:dyDescent="0.45">
      <c r="A318" t="s">
        <v>34</v>
      </c>
      <c r="B318">
        <v>2011</v>
      </c>
      <c r="C318" t="s">
        <v>75</v>
      </c>
      <c r="D318">
        <v>4.96</v>
      </c>
    </row>
    <row r="319" spans="1:4" x14ac:dyDescent="0.45">
      <c r="A319" t="s">
        <v>36</v>
      </c>
      <c r="B319">
        <v>2011</v>
      </c>
      <c r="C319" t="s">
        <v>75</v>
      </c>
      <c r="D319">
        <v>4.0599999999999996</v>
      </c>
    </row>
    <row r="320" spans="1:4" x14ac:dyDescent="0.45">
      <c r="A320" t="s">
        <v>56</v>
      </c>
      <c r="B320">
        <v>2011</v>
      </c>
      <c r="C320" t="s">
        <v>75</v>
      </c>
      <c r="D320">
        <v>3.22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  <c r="D322">
        <v>1.26</v>
      </c>
    </row>
    <row r="323" spans="1:4" x14ac:dyDescent="0.45">
      <c r="A323" t="s">
        <v>32</v>
      </c>
      <c r="B323">
        <v>2011</v>
      </c>
      <c r="C323" t="s">
        <v>75</v>
      </c>
    </row>
    <row r="324" spans="1:4" x14ac:dyDescent="0.45">
      <c r="A324" t="s">
        <v>58</v>
      </c>
      <c r="B324">
        <v>2011</v>
      </c>
      <c r="C324" t="s">
        <v>75</v>
      </c>
      <c r="D324">
        <v>0.61</v>
      </c>
    </row>
    <row r="325" spans="1:4" x14ac:dyDescent="0.45">
      <c r="A325" t="s">
        <v>91</v>
      </c>
      <c r="B325">
        <v>2011</v>
      </c>
      <c r="C325" t="s">
        <v>75</v>
      </c>
      <c r="D325">
        <v>1.64</v>
      </c>
    </row>
    <row r="326" spans="1:4" x14ac:dyDescent="0.45">
      <c r="A326" t="s">
        <v>32</v>
      </c>
      <c r="B326">
        <v>2012</v>
      </c>
      <c r="C326" t="s">
        <v>75</v>
      </c>
      <c r="D326">
        <v>0.05</v>
      </c>
    </row>
    <row r="327" spans="1:4" x14ac:dyDescent="0.45">
      <c r="A327" t="s">
        <v>34</v>
      </c>
      <c r="B327">
        <v>2012</v>
      </c>
      <c r="C327" t="s">
        <v>75</v>
      </c>
      <c r="D327">
        <v>4.96</v>
      </c>
    </row>
    <row r="328" spans="1:4" x14ac:dyDescent="0.45">
      <c r="A328" t="s">
        <v>36</v>
      </c>
      <c r="B328">
        <v>2012</v>
      </c>
      <c r="C328" t="s">
        <v>75</v>
      </c>
      <c r="D328">
        <v>4.5</v>
      </c>
    </row>
    <row r="329" spans="1:4" x14ac:dyDescent="0.45">
      <c r="A329" t="s">
        <v>56</v>
      </c>
      <c r="B329">
        <v>2012</v>
      </c>
      <c r="C329" t="s">
        <v>75</v>
      </c>
      <c r="D329">
        <v>3.24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  <c r="D331">
        <v>1.26</v>
      </c>
    </row>
    <row r="332" spans="1:4" x14ac:dyDescent="0.45">
      <c r="A332" t="s">
        <v>32</v>
      </c>
      <c r="B332">
        <v>2012</v>
      </c>
      <c r="C332" t="s">
        <v>75</v>
      </c>
    </row>
    <row r="333" spans="1:4" x14ac:dyDescent="0.45">
      <c r="A333" t="s">
        <v>58</v>
      </c>
      <c r="B333">
        <v>2012</v>
      </c>
      <c r="C333" t="s">
        <v>75</v>
      </c>
      <c r="D333">
        <v>1.54</v>
      </c>
    </row>
    <row r="334" spans="1:4" x14ac:dyDescent="0.45">
      <c r="A334" t="s">
        <v>91</v>
      </c>
      <c r="B334">
        <v>2012</v>
      </c>
      <c r="C334" t="s">
        <v>75</v>
      </c>
      <c r="D334">
        <v>1.75</v>
      </c>
    </row>
    <row r="335" spans="1:4" x14ac:dyDescent="0.45">
      <c r="A335" t="s">
        <v>32</v>
      </c>
      <c r="B335">
        <v>2013</v>
      </c>
      <c r="C335" t="s">
        <v>75</v>
      </c>
      <c r="D335">
        <v>0.05</v>
      </c>
    </row>
    <row r="336" spans="1:4" x14ac:dyDescent="0.45">
      <c r="A336" t="s">
        <v>34</v>
      </c>
      <c r="B336">
        <v>2013</v>
      </c>
      <c r="C336" t="s">
        <v>75</v>
      </c>
      <c r="D336">
        <v>4.92</v>
      </c>
    </row>
    <row r="337" spans="1:4" x14ac:dyDescent="0.45">
      <c r="A337" t="s">
        <v>36</v>
      </c>
      <c r="B337">
        <v>2013</v>
      </c>
      <c r="C337" t="s">
        <v>75</v>
      </c>
      <c r="D337">
        <v>4.91</v>
      </c>
    </row>
    <row r="338" spans="1:4" x14ac:dyDescent="0.45">
      <c r="A338" t="s">
        <v>56</v>
      </c>
      <c r="B338">
        <v>2013</v>
      </c>
      <c r="C338" t="s">
        <v>75</v>
      </c>
      <c r="D338">
        <v>3.24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  <c r="D340">
        <v>1.26</v>
      </c>
    </row>
    <row r="341" spans="1:4" x14ac:dyDescent="0.45">
      <c r="A341" t="s">
        <v>32</v>
      </c>
      <c r="B341">
        <v>2013</v>
      </c>
      <c r="C341" t="s">
        <v>75</v>
      </c>
    </row>
    <row r="342" spans="1:4" x14ac:dyDescent="0.45">
      <c r="A342" t="s">
        <v>58</v>
      </c>
      <c r="B342">
        <v>2013</v>
      </c>
      <c r="C342" t="s">
        <v>75</v>
      </c>
      <c r="D342">
        <v>2.58</v>
      </c>
    </row>
    <row r="343" spans="1:4" x14ac:dyDescent="0.45">
      <c r="A343" t="s">
        <v>91</v>
      </c>
      <c r="B343">
        <v>2013</v>
      </c>
      <c r="C343" t="s">
        <v>75</v>
      </c>
      <c r="D343">
        <v>1.81</v>
      </c>
    </row>
    <row r="344" spans="1:4" x14ac:dyDescent="0.45">
      <c r="A344" t="s">
        <v>32</v>
      </c>
      <c r="B344">
        <v>2014</v>
      </c>
      <c r="C344" t="s">
        <v>75</v>
      </c>
      <c r="D344">
        <v>0.05</v>
      </c>
    </row>
    <row r="345" spans="1:4" x14ac:dyDescent="0.45">
      <c r="A345" t="s">
        <v>34</v>
      </c>
      <c r="B345">
        <v>2014</v>
      </c>
      <c r="C345" t="s">
        <v>75</v>
      </c>
      <c r="D345">
        <v>4.92</v>
      </c>
    </row>
    <row r="346" spans="1:4" x14ac:dyDescent="0.45">
      <c r="A346" t="s">
        <v>36</v>
      </c>
      <c r="B346">
        <v>2014</v>
      </c>
      <c r="C346" t="s">
        <v>75</v>
      </c>
      <c r="D346">
        <v>5.03</v>
      </c>
    </row>
    <row r="347" spans="1:4" x14ac:dyDescent="0.45">
      <c r="A347" t="s">
        <v>56</v>
      </c>
      <c r="B347">
        <v>2014</v>
      </c>
      <c r="C347" t="s">
        <v>75</v>
      </c>
      <c r="D347">
        <v>3.39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  <c r="D349">
        <v>1.26</v>
      </c>
    </row>
    <row r="350" spans="1:4" x14ac:dyDescent="0.45">
      <c r="A350" t="s">
        <v>32</v>
      </c>
      <c r="B350">
        <v>2014</v>
      </c>
      <c r="C350" t="s">
        <v>75</v>
      </c>
    </row>
    <row r="351" spans="1:4" x14ac:dyDescent="0.45">
      <c r="A351" t="s">
        <v>58</v>
      </c>
      <c r="B351">
        <v>2014</v>
      </c>
      <c r="C351" t="s">
        <v>75</v>
      </c>
      <c r="D351">
        <v>2.6</v>
      </c>
    </row>
    <row r="352" spans="1:4" x14ac:dyDescent="0.45">
      <c r="A352" t="s">
        <v>91</v>
      </c>
      <c r="B352">
        <v>2014</v>
      </c>
      <c r="C352" t="s">
        <v>75</v>
      </c>
      <c r="D352">
        <v>1.98</v>
      </c>
    </row>
    <row r="353" spans="1:4" x14ac:dyDescent="0.45">
      <c r="A353" t="s">
        <v>32</v>
      </c>
      <c r="B353">
        <v>2015</v>
      </c>
      <c r="C353" t="s">
        <v>75</v>
      </c>
      <c r="D353">
        <v>0.05</v>
      </c>
    </row>
    <row r="354" spans="1:4" x14ac:dyDescent="0.45">
      <c r="A354" t="s">
        <v>34</v>
      </c>
      <c r="B354">
        <v>2015</v>
      </c>
      <c r="C354" t="s">
        <v>75</v>
      </c>
      <c r="D354">
        <v>4.92</v>
      </c>
    </row>
    <row r="355" spans="1:4" x14ac:dyDescent="0.45">
      <c r="A355" t="s">
        <v>36</v>
      </c>
      <c r="B355">
        <v>2015</v>
      </c>
      <c r="C355" t="s">
        <v>75</v>
      </c>
      <c r="D355">
        <v>5.84</v>
      </c>
    </row>
    <row r="356" spans="1:4" x14ac:dyDescent="0.45">
      <c r="A356" t="s">
        <v>56</v>
      </c>
      <c r="B356">
        <v>2015</v>
      </c>
      <c r="C356" t="s">
        <v>75</v>
      </c>
      <c r="D356">
        <v>3.39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  <c r="D358">
        <v>1.26</v>
      </c>
    </row>
    <row r="359" spans="1:4" x14ac:dyDescent="0.45">
      <c r="A359" t="s">
        <v>32</v>
      </c>
      <c r="B359">
        <v>2015</v>
      </c>
      <c r="C359" t="s">
        <v>75</v>
      </c>
    </row>
    <row r="360" spans="1:4" x14ac:dyDescent="0.45">
      <c r="A360" t="s">
        <v>58</v>
      </c>
      <c r="B360">
        <v>2015</v>
      </c>
      <c r="C360" t="s">
        <v>75</v>
      </c>
      <c r="D360">
        <v>2.6</v>
      </c>
    </row>
    <row r="361" spans="1:4" x14ac:dyDescent="0.45">
      <c r="A361" t="s">
        <v>91</v>
      </c>
      <c r="B361">
        <v>2015</v>
      </c>
      <c r="C361" t="s">
        <v>75</v>
      </c>
      <c r="D361">
        <v>2.09</v>
      </c>
    </row>
    <row r="362" spans="1:4" x14ac:dyDescent="0.45">
      <c r="A362" t="s">
        <v>32</v>
      </c>
      <c r="B362">
        <v>2016</v>
      </c>
      <c r="C362" t="s">
        <v>75</v>
      </c>
      <c r="D362">
        <v>0.06</v>
      </c>
    </row>
    <row r="363" spans="1:4" x14ac:dyDescent="0.45">
      <c r="A363" t="s">
        <v>34</v>
      </c>
      <c r="B363">
        <v>2016</v>
      </c>
      <c r="C363" t="s">
        <v>75</v>
      </c>
      <c r="D363">
        <v>4.38</v>
      </c>
    </row>
    <row r="364" spans="1:4" x14ac:dyDescent="0.45">
      <c r="A364" t="s">
        <v>36</v>
      </c>
      <c r="B364">
        <v>2016</v>
      </c>
      <c r="C364" t="s">
        <v>75</v>
      </c>
      <c r="D364">
        <v>5.48</v>
      </c>
    </row>
    <row r="365" spans="1:4" x14ac:dyDescent="0.45">
      <c r="A365" t="s">
        <v>56</v>
      </c>
      <c r="B365">
        <v>2016</v>
      </c>
      <c r="C365" t="s">
        <v>75</v>
      </c>
      <c r="D365">
        <v>3.39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  <c r="D367">
        <v>1.26</v>
      </c>
    </row>
    <row r="368" spans="1:4" x14ac:dyDescent="0.45">
      <c r="A368" t="s">
        <v>32</v>
      </c>
      <c r="B368">
        <v>2016</v>
      </c>
      <c r="C368" t="s">
        <v>75</v>
      </c>
    </row>
    <row r="369" spans="1:4" x14ac:dyDescent="0.45">
      <c r="A369" t="s">
        <v>58</v>
      </c>
      <c r="B369">
        <v>2016</v>
      </c>
      <c r="C369" t="s">
        <v>75</v>
      </c>
      <c r="D369">
        <v>2.6</v>
      </c>
    </row>
    <row r="370" spans="1:4" x14ac:dyDescent="0.45">
      <c r="A370" t="s">
        <v>91</v>
      </c>
      <c r="B370">
        <v>2016</v>
      </c>
      <c r="C370" t="s">
        <v>75</v>
      </c>
      <c r="D370">
        <v>2.37</v>
      </c>
    </row>
    <row r="371" spans="1:4" x14ac:dyDescent="0.45">
      <c r="A371" t="s">
        <v>32</v>
      </c>
      <c r="B371">
        <v>2017</v>
      </c>
      <c r="C371" t="s">
        <v>75</v>
      </c>
      <c r="D371">
        <v>0.06</v>
      </c>
    </row>
    <row r="372" spans="1:4" x14ac:dyDescent="0.45">
      <c r="A372" t="s">
        <v>34</v>
      </c>
      <c r="B372">
        <v>2017</v>
      </c>
      <c r="C372" t="s">
        <v>75</v>
      </c>
      <c r="D372">
        <v>4.38</v>
      </c>
    </row>
    <row r="373" spans="1:4" x14ac:dyDescent="0.45">
      <c r="A373" t="s">
        <v>36</v>
      </c>
      <c r="B373">
        <v>2017</v>
      </c>
      <c r="C373" t="s">
        <v>75</v>
      </c>
      <c r="D373">
        <v>5.48</v>
      </c>
    </row>
    <row r="374" spans="1:4" x14ac:dyDescent="0.45">
      <c r="A374" t="s">
        <v>56</v>
      </c>
      <c r="B374">
        <v>2017</v>
      </c>
      <c r="C374" t="s">
        <v>75</v>
      </c>
      <c r="D374">
        <v>3.39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  <c r="D376">
        <v>1.26</v>
      </c>
    </row>
    <row r="377" spans="1:4" x14ac:dyDescent="0.45">
      <c r="A377" t="s">
        <v>32</v>
      </c>
      <c r="B377">
        <v>2017</v>
      </c>
      <c r="C377" t="s">
        <v>75</v>
      </c>
    </row>
    <row r="378" spans="1:4" x14ac:dyDescent="0.45">
      <c r="A378" t="s">
        <v>58</v>
      </c>
      <c r="B378">
        <v>2017</v>
      </c>
      <c r="C378" t="s">
        <v>75</v>
      </c>
      <c r="D378">
        <v>2.61</v>
      </c>
    </row>
    <row r="379" spans="1:4" x14ac:dyDescent="0.45">
      <c r="A379" t="s">
        <v>91</v>
      </c>
      <c r="B379">
        <v>2017</v>
      </c>
      <c r="C379" t="s">
        <v>75</v>
      </c>
      <c r="D379">
        <v>2.62</v>
      </c>
    </row>
    <row r="380" spans="1:4" x14ac:dyDescent="0.45">
      <c r="A380" t="s">
        <v>32</v>
      </c>
      <c r="B380">
        <v>2018</v>
      </c>
      <c r="C380" t="s">
        <v>75</v>
      </c>
      <c r="D380">
        <v>0.08</v>
      </c>
    </row>
    <row r="381" spans="1:4" x14ac:dyDescent="0.45">
      <c r="A381" t="s">
        <v>34</v>
      </c>
      <c r="B381">
        <v>2018</v>
      </c>
      <c r="C381" t="s">
        <v>75</v>
      </c>
      <c r="D381">
        <v>4.38</v>
      </c>
    </row>
    <row r="382" spans="1:4" x14ac:dyDescent="0.45">
      <c r="A382" t="s">
        <v>36</v>
      </c>
      <c r="B382">
        <v>2018</v>
      </c>
      <c r="C382" t="s">
        <v>75</v>
      </c>
      <c r="D382">
        <v>5.48</v>
      </c>
    </row>
    <row r="383" spans="1:4" x14ac:dyDescent="0.45">
      <c r="A383" t="s">
        <v>56</v>
      </c>
      <c r="B383">
        <v>2018</v>
      </c>
      <c r="C383" t="s">
        <v>75</v>
      </c>
      <c r="D383">
        <v>3.41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  <c r="D385">
        <v>1.26</v>
      </c>
    </row>
    <row r="386" spans="1:4" x14ac:dyDescent="0.45">
      <c r="A386" t="s">
        <v>32</v>
      </c>
      <c r="B386">
        <v>2018</v>
      </c>
      <c r="C386" t="s">
        <v>75</v>
      </c>
    </row>
    <row r="387" spans="1:4" x14ac:dyDescent="0.45">
      <c r="A387" t="s">
        <v>58</v>
      </c>
      <c r="B387">
        <v>2018</v>
      </c>
      <c r="C387" t="s">
        <v>75</v>
      </c>
      <c r="D387">
        <v>2.65</v>
      </c>
    </row>
    <row r="388" spans="1:4" x14ac:dyDescent="0.45">
      <c r="A388" t="s">
        <v>91</v>
      </c>
      <c r="B388">
        <v>2018</v>
      </c>
      <c r="C388" t="s">
        <v>75</v>
      </c>
      <c r="D388">
        <v>2.88</v>
      </c>
    </row>
    <row r="389" spans="1:4" x14ac:dyDescent="0.45">
      <c r="A389" t="s">
        <v>32</v>
      </c>
      <c r="B389">
        <v>2019</v>
      </c>
      <c r="C389" t="s">
        <v>75</v>
      </c>
      <c r="D389">
        <v>0.09</v>
      </c>
    </row>
    <row r="390" spans="1:4" x14ac:dyDescent="0.45">
      <c r="A390" t="s">
        <v>34</v>
      </c>
      <c r="B390">
        <v>2019</v>
      </c>
      <c r="C390" t="s">
        <v>75</v>
      </c>
      <c r="D390">
        <v>3.77</v>
      </c>
    </row>
    <row r="391" spans="1:4" x14ac:dyDescent="0.45">
      <c r="A391" t="s">
        <v>36</v>
      </c>
      <c r="B391">
        <v>2019</v>
      </c>
      <c r="C391" t="s">
        <v>75</v>
      </c>
      <c r="D391">
        <v>5.48</v>
      </c>
    </row>
    <row r="392" spans="1:4" x14ac:dyDescent="0.45">
      <c r="A392" t="s">
        <v>56</v>
      </c>
      <c r="B392">
        <v>2019</v>
      </c>
      <c r="C392" t="s">
        <v>75</v>
      </c>
      <c r="D392">
        <v>3.41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  <c r="D394">
        <v>1.32</v>
      </c>
    </row>
    <row r="395" spans="1:4" x14ac:dyDescent="0.45">
      <c r="A395" t="s">
        <v>32</v>
      </c>
      <c r="B395">
        <v>2019</v>
      </c>
      <c r="C395" t="s">
        <v>75</v>
      </c>
    </row>
    <row r="396" spans="1:4" x14ac:dyDescent="0.45">
      <c r="A396" t="s">
        <v>58</v>
      </c>
      <c r="B396">
        <v>2019</v>
      </c>
      <c r="C396" t="s">
        <v>75</v>
      </c>
      <c r="D396">
        <v>2.83</v>
      </c>
    </row>
    <row r="397" spans="1:4" x14ac:dyDescent="0.45">
      <c r="A397" t="s">
        <v>91</v>
      </c>
      <c r="B397">
        <v>2019</v>
      </c>
      <c r="C397" t="s">
        <v>75</v>
      </c>
      <c r="D397">
        <v>3.59</v>
      </c>
    </row>
    <row r="398" spans="1:4" x14ac:dyDescent="0.45">
      <c r="A398" t="s">
        <v>32</v>
      </c>
      <c r="B398">
        <v>2020</v>
      </c>
      <c r="C398" t="s">
        <v>75</v>
      </c>
      <c r="D398">
        <v>0.1</v>
      </c>
    </row>
    <row r="399" spans="1:4" x14ac:dyDescent="0.45">
      <c r="A399" t="s">
        <v>34</v>
      </c>
      <c r="B399">
        <v>2020</v>
      </c>
      <c r="C399" t="s">
        <v>75</v>
      </c>
      <c r="D399">
        <v>3.18</v>
      </c>
    </row>
    <row r="400" spans="1:4" x14ac:dyDescent="0.45">
      <c r="A400" t="s">
        <v>36</v>
      </c>
      <c r="B400">
        <v>2020</v>
      </c>
      <c r="C400" t="s">
        <v>75</v>
      </c>
      <c r="D400">
        <v>5.48</v>
      </c>
    </row>
    <row r="401" spans="1:4" x14ac:dyDescent="0.45">
      <c r="A401" t="s">
        <v>56</v>
      </c>
      <c r="B401">
        <v>2020</v>
      </c>
      <c r="C401" t="s">
        <v>75</v>
      </c>
      <c r="D401">
        <v>3.42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  <c r="D403">
        <v>1.32</v>
      </c>
    </row>
    <row r="404" spans="1:4" x14ac:dyDescent="0.45">
      <c r="A404" t="s">
        <v>32</v>
      </c>
      <c r="B404">
        <v>2020</v>
      </c>
      <c r="C404" t="s">
        <v>75</v>
      </c>
    </row>
    <row r="405" spans="1:4" x14ac:dyDescent="0.45">
      <c r="A405" t="s">
        <v>58</v>
      </c>
      <c r="B405">
        <v>2020</v>
      </c>
      <c r="C405" t="s">
        <v>75</v>
      </c>
      <c r="D405">
        <v>3.29</v>
      </c>
    </row>
    <row r="406" spans="1:4" x14ac:dyDescent="0.45">
      <c r="A406" t="s">
        <v>91</v>
      </c>
      <c r="B406">
        <v>2020</v>
      </c>
      <c r="C406" t="s">
        <v>75</v>
      </c>
      <c r="D406">
        <v>4.12</v>
      </c>
    </row>
    <row r="407" spans="1:4" x14ac:dyDescent="0.45">
      <c r="A407" t="s">
        <v>32</v>
      </c>
      <c r="B407">
        <v>2021</v>
      </c>
      <c r="C407" t="s">
        <v>75</v>
      </c>
      <c r="D407">
        <v>0.11</v>
      </c>
    </row>
    <row r="408" spans="1:4" x14ac:dyDescent="0.45">
      <c r="A408" t="s">
        <v>34</v>
      </c>
      <c r="B408">
        <v>2021</v>
      </c>
      <c r="C408" t="s">
        <v>75</v>
      </c>
      <c r="D408">
        <v>2.5299999999999998</v>
      </c>
    </row>
    <row r="409" spans="1:4" x14ac:dyDescent="0.45">
      <c r="A409" t="s">
        <v>36</v>
      </c>
      <c r="B409">
        <v>2021</v>
      </c>
      <c r="C409" t="s">
        <v>75</v>
      </c>
      <c r="D409">
        <v>5.48</v>
      </c>
    </row>
    <row r="410" spans="1:4" x14ac:dyDescent="0.45">
      <c r="A410" t="s">
        <v>56</v>
      </c>
      <c r="B410">
        <v>2021</v>
      </c>
      <c r="C410" t="s">
        <v>75</v>
      </c>
      <c r="D410">
        <v>3.42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  <c r="D412">
        <v>1.32</v>
      </c>
    </row>
    <row r="413" spans="1:4" x14ac:dyDescent="0.45">
      <c r="A413" t="s">
        <v>32</v>
      </c>
      <c r="B413">
        <v>2021</v>
      </c>
      <c r="C413" t="s">
        <v>75</v>
      </c>
    </row>
    <row r="414" spans="1:4" x14ac:dyDescent="0.45">
      <c r="A414" t="s">
        <v>58</v>
      </c>
      <c r="B414">
        <v>2021</v>
      </c>
      <c r="C414" t="s">
        <v>75</v>
      </c>
      <c r="D414">
        <v>4.28</v>
      </c>
    </row>
    <row r="415" spans="1:4" x14ac:dyDescent="0.45">
      <c r="A415" t="s">
        <v>91</v>
      </c>
      <c r="B415">
        <v>2021</v>
      </c>
      <c r="C415" t="s">
        <v>75</v>
      </c>
      <c r="D415">
        <v>4.6500000000000004</v>
      </c>
    </row>
    <row r="416" spans="1:4" x14ac:dyDescent="0.45">
      <c r="A416" t="s">
        <v>32</v>
      </c>
      <c r="B416">
        <v>2022</v>
      </c>
      <c r="C416" t="s">
        <v>75</v>
      </c>
      <c r="D416">
        <v>0.13</v>
      </c>
    </row>
    <row r="417" spans="1:4" x14ac:dyDescent="0.45">
      <c r="A417" t="s">
        <v>34</v>
      </c>
      <c r="B417">
        <v>2022</v>
      </c>
      <c r="C417" t="s">
        <v>75</v>
      </c>
      <c r="D417">
        <v>2.2200000000000002</v>
      </c>
    </row>
    <row r="418" spans="1:4" x14ac:dyDescent="0.45">
      <c r="A418" t="s">
        <v>36</v>
      </c>
      <c r="B418">
        <v>2022</v>
      </c>
      <c r="C418" t="s">
        <v>75</v>
      </c>
      <c r="D418">
        <v>6.31</v>
      </c>
    </row>
    <row r="419" spans="1:4" x14ac:dyDescent="0.45">
      <c r="A419" t="s">
        <v>56</v>
      </c>
      <c r="B419">
        <v>2022</v>
      </c>
      <c r="C419" t="s">
        <v>75</v>
      </c>
      <c r="D419">
        <v>3.42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  <c r="D421">
        <v>1.32</v>
      </c>
    </row>
    <row r="422" spans="1:4" x14ac:dyDescent="0.45">
      <c r="A422" t="s">
        <v>32</v>
      </c>
      <c r="B422">
        <v>2022</v>
      </c>
      <c r="C422" t="s">
        <v>75</v>
      </c>
    </row>
    <row r="423" spans="1:4" x14ac:dyDescent="0.45">
      <c r="A423" t="s">
        <v>58</v>
      </c>
      <c r="B423">
        <v>2022</v>
      </c>
      <c r="C423" t="s">
        <v>75</v>
      </c>
      <c r="D423">
        <v>5.43</v>
      </c>
    </row>
    <row r="424" spans="1:4" x14ac:dyDescent="0.45">
      <c r="A424" t="s">
        <v>91</v>
      </c>
      <c r="B424">
        <v>2022</v>
      </c>
      <c r="C424" t="s">
        <v>75</v>
      </c>
      <c r="D424">
        <v>4.7</v>
      </c>
    </row>
    <row r="425" spans="1:4" x14ac:dyDescent="0.45">
      <c r="A425" t="s">
        <v>32</v>
      </c>
      <c r="B425">
        <v>2023</v>
      </c>
      <c r="C425" t="s">
        <v>75</v>
      </c>
      <c r="D425">
        <v>0.13</v>
      </c>
    </row>
    <row r="426" spans="1:4" x14ac:dyDescent="0.45">
      <c r="A426" t="s">
        <v>34</v>
      </c>
      <c r="B426">
        <v>2023</v>
      </c>
      <c r="C426" t="s">
        <v>75</v>
      </c>
      <c r="D426">
        <v>2.88</v>
      </c>
    </row>
    <row r="427" spans="1:4" x14ac:dyDescent="0.45">
      <c r="A427" t="s">
        <v>36</v>
      </c>
      <c r="B427">
        <v>2023</v>
      </c>
      <c r="C427" t="s">
        <v>75</v>
      </c>
      <c r="D427">
        <v>6.31</v>
      </c>
    </row>
    <row r="428" spans="1:4" x14ac:dyDescent="0.45">
      <c r="A428" t="s">
        <v>56</v>
      </c>
      <c r="B428">
        <v>2023</v>
      </c>
      <c r="C428" t="s">
        <v>75</v>
      </c>
      <c r="D428">
        <v>3.43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  <c r="D430">
        <v>1.32</v>
      </c>
    </row>
    <row r="431" spans="1:4" x14ac:dyDescent="0.45">
      <c r="A431" t="s">
        <v>32</v>
      </c>
      <c r="B431">
        <v>2023</v>
      </c>
      <c r="C431" t="s">
        <v>75</v>
      </c>
    </row>
    <row r="432" spans="1:4" x14ac:dyDescent="0.45">
      <c r="A432" t="s">
        <v>58</v>
      </c>
      <c r="B432">
        <v>2023</v>
      </c>
      <c r="C432" t="s">
        <v>75</v>
      </c>
      <c r="D432">
        <v>7.03</v>
      </c>
    </row>
    <row r="433" spans="1:4" x14ac:dyDescent="0.45">
      <c r="A433" t="s">
        <v>91</v>
      </c>
      <c r="B433">
        <v>2023</v>
      </c>
      <c r="C433" t="s">
        <v>75</v>
      </c>
      <c r="D433">
        <v>5.22</v>
      </c>
    </row>
    <row r="434" spans="1:4" x14ac:dyDescent="0.45">
      <c r="A434" t="s">
        <v>32</v>
      </c>
      <c r="B434">
        <v>2000</v>
      </c>
      <c r="C434" t="s">
        <v>76</v>
      </c>
      <c r="D434">
        <v>0</v>
      </c>
    </row>
    <row r="435" spans="1:4" x14ac:dyDescent="0.45">
      <c r="A435" t="s">
        <v>34</v>
      </c>
      <c r="B435">
        <v>2000</v>
      </c>
      <c r="C435" t="s">
        <v>76</v>
      </c>
      <c r="D435">
        <v>34.659999999999997</v>
      </c>
    </row>
    <row r="436" spans="1:4" x14ac:dyDescent="0.45">
      <c r="A436" t="s">
        <v>36</v>
      </c>
      <c r="B436">
        <v>2000</v>
      </c>
      <c r="C436" t="s">
        <v>76</v>
      </c>
      <c r="D436">
        <v>3.16</v>
      </c>
    </row>
    <row r="437" spans="1:4" x14ac:dyDescent="0.45">
      <c r="A437" t="s">
        <v>56</v>
      </c>
      <c r="B437">
        <v>2000</v>
      </c>
      <c r="C437" t="s">
        <v>76</v>
      </c>
      <c r="D437">
        <v>0.09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5.64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0.01</v>
      </c>
    </row>
    <row r="443" spans="1:4" x14ac:dyDescent="0.45">
      <c r="A443" t="s">
        <v>32</v>
      </c>
      <c r="B443">
        <v>2001</v>
      </c>
      <c r="C443" t="s">
        <v>76</v>
      </c>
      <c r="D443">
        <v>0.02</v>
      </c>
    </row>
    <row r="444" spans="1:4" x14ac:dyDescent="0.45">
      <c r="A444" t="s">
        <v>34</v>
      </c>
      <c r="B444">
        <v>2001</v>
      </c>
      <c r="C444" t="s">
        <v>76</v>
      </c>
      <c r="D444">
        <v>35.79</v>
      </c>
    </row>
    <row r="445" spans="1:4" x14ac:dyDescent="0.45">
      <c r="A445" t="s">
        <v>36</v>
      </c>
      <c r="B445">
        <v>2001</v>
      </c>
      <c r="C445" t="s">
        <v>76</v>
      </c>
      <c r="D445">
        <v>3.27</v>
      </c>
    </row>
    <row r="446" spans="1:4" x14ac:dyDescent="0.45">
      <c r="A446" t="s">
        <v>56</v>
      </c>
      <c r="B446">
        <v>2001</v>
      </c>
      <c r="C446" t="s">
        <v>76</v>
      </c>
      <c r="D446">
        <v>0.05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5.29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0.01</v>
      </c>
    </row>
    <row r="452" spans="1:4" x14ac:dyDescent="0.45">
      <c r="A452" t="s">
        <v>32</v>
      </c>
      <c r="B452">
        <v>2002</v>
      </c>
      <c r="C452" t="s">
        <v>76</v>
      </c>
      <c r="D452">
        <v>0.03</v>
      </c>
    </row>
    <row r="453" spans="1:4" x14ac:dyDescent="0.45">
      <c r="A453" t="s">
        <v>34</v>
      </c>
      <c r="B453">
        <v>2002</v>
      </c>
      <c r="C453" t="s">
        <v>76</v>
      </c>
      <c r="D453">
        <v>34.92</v>
      </c>
    </row>
    <row r="454" spans="1:4" x14ac:dyDescent="0.45">
      <c r="A454" t="s">
        <v>36</v>
      </c>
      <c r="B454">
        <v>2002</v>
      </c>
      <c r="C454" t="s">
        <v>76</v>
      </c>
      <c r="D454">
        <v>3.77</v>
      </c>
    </row>
    <row r="455" spans="1:4" x14ac:dyDescent="0.45">
      <c r="A455" t="s">
        <v>56</v>
      </c>
      <c r="B455">
        <v>2002</v>
      </c>
      <c r="C455" t="s">
        <v>76</v>
      </c>
      <c r="D455">
        <v>7.0000000000000007E-2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5.36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0.01</v>
      </c>
    </row>
    <row r="461" spans="1:4" x14ac:dyDescent="0.45">
      <c r="A461" t="s">
        <v>32</v>
      </c>
      <c r="B461">
        <v>2003</v>
      </c>
      <c r="C461" t="s">
        <v>76</v>
      </c>
      <c r="D461">
        <v>0.02</v>
      </c>
    </row>
    <row r="462" spans="1:4" x14ac:dyDescent="0.45">
      <c r="A462" t="s">
        <v>34</v>
      </c>
      <c r="B462">
        <v>2003</v>
      </c>
      <c r="C462" t="s">
        <v>76</v>
      </c>
      <c r="D462">
        <v>35.450000000000003</v>
      </c>
    </row>
    <row r="463" spans="1:4" x14ac:dyDescent="0.45">
      <c r="A463" t="s">
        <v>36</v>
      </c>
      <c r="B463">
        <v>2003</v>
      </c>
      <c r="C463" t="s">
        <v>76</v>
      </c>
      <c r="D463">
        <v>4.28</v>
      </c>
    </row>
    <row r="464" spans="1:4" x14ac:dyDescent="0.45">
      <c r="A464" t="s">
        <v>56</v>
      </c>
      <c r="B464">
        <v>2003</v>
      </c>
      <c r="C464" t="s">
        <v>76</v>
      </c>
      <c r="D464">
        <v>0.11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5.4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0.01</v>
      </c>
    </row>
    <row r="470" spans="1:4" x14ac:dyDescent="0.45">
      <c r="A470" t="s">
        <v>32</v>
      </c>
      <c r="B470">
        <v>2004</v>
      </c>
      <c r="C470" t="s">
        <v>76</v>
      </c>
      <c r="D470">
        <v>0.03</v>
      </c>
    </row>
    <row r="471" spans="1:4" x14ac:dyDescent="0.45">
      <c r="A471" t="s">
        <v>34</v>
      </c>
      <c r="B471">
        <v>2004</v>
      </c>
      <c r="C471" t="s">
        <v>76</v>
      </c>
      <c r="D471">
        <v>35.6</v>
      </c>
    </row>
    <row r="472" spans="1:4" x14ac:dyDescent="0.45">
      <c r="A472" t="s">
        <v>36</v>
      </c>
      <c r="B472">
        <v>2004</v>
      </c>
      <c r="C472" t="s">
        <v>76</v>
      </c>
      <c r="D472">
        <v>4.8</v>
      </c>
    </row>
    <row r="473" spans="1:4" x14ac:dyDescent="0.45">
      <c r="A473" t="s">
        <v>56</v>
      </c>
      <c r="B473">
        <v>2004</v>
      </c>
      <c r="C473" t="s">
        <v>76</v>
      </c>
      <c r="D473">
        <v>0.11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5.22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0.03</v>
      </c>
    </row>
    <row r="480" spans="1:4" x14ac:dyDescent="0.45">
      <c r="A480" t="s">
        <v>34</v>
      </c>
      <c r="B480">
        <v>2005</v>
      </c>
      <c r="C480" t="s">
        <v>76</v>
      </c>
      <c r="D480">
        <v>35.76</v>
      </c>
    </row>
    <row r="481" spans="1:4" x14ac:dyDescent="0.45">
      <c r="A481" t="s">
        <v>36</v>
      </c>
      <c r="B481">
        <v>2005</v>
      </c>
      <c r="C481" t="s">
        <v>76</v>
      </c>
      <c r="D481">
        <v>4.3600000000000003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0.12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5.67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0.02</v>
      </c>
    </row>
    <row r="488" spans="1:4" x14ac:dyDescent="0.45">
      <c r="A488" t="s">
        <v>32</v>
      </c>
      <c r="B488">
        <v>2006</v>
      </c>
      <c r="C488" t="s">
        <v>76</v>
      </c>
      <c r="D488">
        <v>0.02</v>
      </c>
    </row>
    <row r="489" spans="1:4" x14ac:dyDescent="0.45">
      <c r="A489" t="s">
        <v>34</v>
      </c>
      <c r="B489">
        <v>2006</v>
      </c>
      <c r="C489" t="s">
        <v>76</v>
      </c>
      <c r="D489">
        <v>32.46</v>
      </c>
    </row>
    <row r="490" spans="1:4" x14ac:dyDescent="0.45">
      <c r="A490" t="s">
        <v>36</v>
      </c>
      <c r="B490">
        <v>2006</v>
      </c>
      <c r="C490" t="s">
        <v>76</v>
      </c>
      <c r="D490">
        <v>5.67</v>
      </c>
    </row>
    <row r="491" spans="1:4" x14ac:dyDescent="0.45">
      <c r="A491" t="s">
        <v>56</v>
      </c>
      <c r="B491">
        <v>2006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5.84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0.02</v>
      </c>
    </row>
    <row r="497" spans="1:4" x14ac:dyDescent="0.45">
      <c r="A497" t="s">
        <v>32</v>
      </c>
      <c r="B497">
        <v>2007</v>
      </c>
      <c r="C497" t="s">
        <v>76</v>
      </c>
      <c r="D497">
        <v>0.04</v>
      </c>
    </row>
    <row r="498" spans="1:4" x14ac:dyDescent="0.45">
      <c r="A498" t="s">
        <v>34</v>
      </c>
      <c r="B498">
        <v>2007</v>
      </c>
      <c r="C498" t="s">
        <v>76</v>
      </c>
      <c r="D498">
        <v>34.9</v>
      </c>
    </row>
    <row r="499" spans="1:4" x14ac:dyDescent="0.45">
      <c r="A499" t="s">
        <v>36</v>
      </c>
      <c r="B499">
        <v>2007</v>
      </c>
      <c r="C499" t="s">
        <v>76</v>
      </c>
      <c r="D499">
        <v>7.56</v>
      </c>
    </row>
    <row r="500" spans="1:4" x14ac:dyDescent="0.45">
      <c r="A500" t="s">
        <v>56</v>
      </c>
      <c r="B500">
        <v>2007</v>
      </c>
      <c r="C500" t="s">
        <v>76</v>
      </c>
      <c r="D500">
        <v>0.06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5.9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0.02</v>
      </c>
    </row>
    <row r="506" spans="1:4" x14ac:dyDescent="0.45">
      <c r="A506" t="s">
        <v>32</v>
      </c>
      <c r="B506">
        <v>2008</v>
      </c>
      <c r="C506" t="s">
        <v>76</v>
      </c>
      <c r="D506">
        <v>0.04</v>
      </c>
    </row>
    <row r="507" spans="1:4" x14ac:dyDescent="0.45">
      <c r="A507" t="s">
        <v>34</v>
      </c>
      <c r="B507">
        <v>2008</v>
      </c>
      <c r="C507" t="s">
        <v>76</v>
      </c>
      <c r="D507">
        <v>33.57</v>
      </c>
    </row>
    <row r="508" spans="1:4" x14ac:dyDescent="0.45">
      <c r="A508" t="s">
        <v>36</v>
      </c>
      <c r="B508">
        <v>2008</v>
      </c>
      <c r="C508" t="s">
        <v>76</v>
      </c>
      <c r="D508">
        <v>7.37</v>
      </c>
    </row>
    <row r="509" spans="1:4" x14ac:dyDescent="0.45">
      <c r="A509" t="s">
        <v>56</v>
      </c>
      <c r="B509">
        <v>2008</v>
      </c>
      <c r="C509" t="s">
        <v>76</v>
      </c>
      <c r="D509">
        <v>0.08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6.1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0.03</v>
      </c>
    </row>
    <row r="515" spans="1:4" x14ac:dyDescent="0.45">
      <c r="A515" t="s">
        <v>32</v>
      </c>
      <c r="B515">
        <v>2009</v>
      </c>
      <c r="C515" t="s">
        <v>76</v>
      </c>
      <c r="D515">
        <v>0.05</v>
      </c>
    </row>
    <row r="516" spans="1:4" x14ac:dyDescent="0.45">
      <c r="A516" t="s">
        <v>34</v>
      </c>
      <c r="B516">
        <v>2009</v>
      </c>
      <c r="C516" t="s">
        <v>76</v>
      </c>
      <c r="D516">
        <v>34.4</v>
      </c>
    </row>
    <row r="517" spans="1:4" x14ac:dyDescent="0.45">
      <c r="A517" t="s">
        <v>36</v>
      </c>
      <c r="B517">
        <v>2009</v>
      </c>
      <c r="C517" t="s">
        <v>76</v>
      </c>
      <c r="D517">
        <v>5.88</v>
      </c>
    </row>
    <row r="518" spans="1:4" x14ac:dyDescent="0.45">
      <c r="A518" t="s">
        <v>56</v>
      </c>
      <c r="B518">
        <v>2009</v>
      </c>
      <c r="C518" t="s">
        <v>76</v>
      </c>
      <c r="D518">
        <v>0.13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4.59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0.03</v>
      </c>
    </row>
    <row r="524" spans="1:4" x14ac:dyDescent="0.45">
      <c r="A524" t="s">
        <v>32</v>
      </c>
      <c r="B524">
        <v>2010</v>
      </c>
      <c r="C524" t="s">
        <v>76</v>
      </c>
      <c r="D524">
        <v>0.04</v>
      </c>
    </row>
    <row r="525" spans="1:4" x14ac:dyDescent="0.45">
      <c r="A525" t="s">
        <v>34</v>
      </c>
      <c r="B525">
        <v>2010</v>
      </c>
      <c r="C525" t="s">
        <v>76</v>
      </c>
      <c r="D525">
        <v>30.95</v>
      </c>
    </row>
    <row r="526" spans="1:4" x14ac:dyDescent="0.45">
      <c r="A526" t="s">
        <v>36</v>
      </c>
      <c r="B526">
        <v>2010</v>
      </c>
      <c r="C526" t="s">
        <v>76</v>
      </c>
      <c r="D526">
        <v>5.26</v>
      </c>
    </row>
    <row r="527" spans="1:4" x14ac:dyDescent="0.45">
      <c r="A527" t="s">
        <v>56</v>
      </c>
      <c r="B527">
        <v>2010</v>
      </c>
      <c r="C527" t="s">
        <v>76</v>
      </c>
      <c r="D527">
        <v>0.18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3.57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0.01</v>
      </c>
    </row>
    <row r="532" spans="1:4" x14ac:dyDescent="0.45">
      <c r="A532" t="s">
        <v>91</v>
      </c>
      <c r="B532">
        <v>2010</v>
      </c>
      <c r="C532" t="s">
        <v>76</v>
      </c>
      <c r="D532">
        <v>0.03</v>
      </c>
    </row>
    <row r="533" spans="1:4" x14ac:dyDescent="0.45">
      <c r="A533" t="s">
        <v>32</v>
      </c>
      <c r="B533">
        <v>2011</v>
      </c>
      <c r="C533" t="s">
        <v>76</v>
      </c>
      <c r="D533">
        <v>0.05</v>
      </c>
    </row>
    <row r="534" spans="1:4" x14ac:dyDescent="0.45">
      <c r="A534" t="s">
        <v>34</v>
      </c>
      <c r="B534">
        <v>2011</v>
      </c>
      <c r="C534" t="s">
        <v>76</v>
      </c>
      <c r="D534">
        <v>31.25</v>
      </c>
    </row>
    <row r="535" spans="1:4" x14ac:dyDescent="0.45">
      <c r="A535" t="s">
        <v>36</v>
      </c>
      <c r="B535">
        <v>2011</v>
      </c>
      <c r="C535" t="s">
        <v>76</v>
      </c>
      <c r="D535">
        <v>7.51</v>
      </c>
    </row>
    <row r="536" spans="1:4" x14ac:dyDescent="0.45">
      <c r="A536" t="s">
        <v>56</v>
      </c>
      <c r="B536">
        <v>2011</v>
      </c>
      <c r="C536" t="s">
        <v>76</v>
      </c>
      <c r="D536">
        <v>0.1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3.4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0.03</v>
      </c>
    </row>
    <row r="541" spans="1:4" x14ac:dyDescent="0.45">
      <c r="A541" t="s">
        <v>91</v>
      </c>
      <c r="B541">
        <v>2011</v>
      </c>
      <c r="C541" t="s">
        <v>76</v>
      </c>
      <c r="D541">
        <v>0.04</v>
      </c>
    </row>
    <row r="542" spans="1:4" x14ac:dyDescent="0.45">
      <c r="A542" t="s">
        <v>32</v>
      </c>
      <c r="B542">
        <v>2012</v>
      </c>
      <c r="C542" t="s">
        <v>76</v>
      </c>
      <c r="D542">
        <v>0.04</v>
      </c>
    </row>
    <row r="543" spans="1:4" x14ac:dyDescent="0.45">
      <c r="A543" t="s">
        <v>34</v>
      </c>
      <c r="B543">
        <v>2012</v>
      </c>
      <c r="C543" t="s">
        <v>76</v>
      </c>
      <c r="D543">
        <v>31.29</v>
      </c>
    </row>
    <row r="544" spans="1:4" x14ac:dyDescent="0.45">
      <c r="A544" t="s">
        <v>36</v>
      </c>
      <c r="B544">
        <v>2012</v>
      </c>
      <c r="C544" t="s">
        <v>76</v>
      </c>
      <c r="D544">
        <v>7.2</v>
      </c>
    </row>
    <row r="545" spans="1:4" x14ac:dyDescent="0.45">
      <c r="A545" t="s">
        <v>56</v>
      </c>
      <c r="B545">
        <v>2012</v>
      </c>
      <c r="C545" t="s">
        <v>76</v>
      </c>
      <c r="D545">
        <v>0.1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3.42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0.08</v>
      </c>
    </row>
    <row r="550" spans="1:4" x14ac:dyDescent="0.45">
      <c r="A550" t="s">
        <v>91</v>
      </c>
      <c r="B550">
        <v>2012</v>
      </c>
      <c r="C550" t="s">
        <v>76</v>
      </c>
      <c r="D550">
        <v>0.05</v>
      </c>
    </row>
    <row r="551" spans="1:4" x14ac:dyDescent="0.45">
      <c r="A551" t="s">
        <v>32</v>
      </c>
      <c r="B551">
        <v>2013</v>
      </c>
      <c r="C551" t="s">
        <v>76</v>
      </c>
      <c r="D551">
        <v>0.05</v>
      </c>
    </row>
    <row r="552" spans="1:4" x14ac:dyDescent="0.45">
      <c r="A552" t="s">
        <v>34</v>
      </c>
      <c r="B552">
        <v>2013</v>
      </c>
      <c r="C552" t="s">
        <v>76</v>
      </c>
      <c r="D552">
        <v>26.55</v>
      </c>
    </row>
    <row r="553" spans="1:4" x14ac:dyDescent="0.45">
      <c r="A553" t="s">
        <v>36</v>
      </c>
      <c r="B553">
        <v>2013</v>
      </c>
      <c r="C553" t="s">
        <v>76</v>
      </c>
      <c r="D553">
        <v>5.81</v>
      </c>
    </row>
    <row r="554" spans="1:4" x14ac:dyDescent="0.45">
      <c r="A554" t="s">
        <v>56</v>
      </c>
      <c r="B554">
        <v>2013</v>
      </c>
      <c r="C554" t="s">
        <v>76</v>
      </c>
      <c r="D554">
        <v>0.15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3.11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0.17</v>
      </c>
    </row>
    <row r="559" spans="1:4" x14ac:dyDescent="0.45">
      <c r="A559" t="s">
        <v>91</v>
      </c>
      <c r="B559">
        <v>2013</v>
      </c>
      <c r="C559" t="s">
        <v>76</v>
      </c>
      <c r="D559">
        <v>0.05</v>
      </c>
    </row>
    <row r="560" spans="1:4" x14ac:dyDescent="0.45">
      <c r="A560" t="s">
        <v>32</v>
      </c>
      <c r="B560">
        <v>2014</v>
      </c>
      <c r="C560" t="s">
        <v>76</v>
      </c>
      <c r="D560">
        <v>0.05</v>
      </c>
    </row>
    <row r="561" spans="1:4" x14ac:dyDescent="0.45">
      <c r="A561" t="s">
        <v>34</v>
      </c>
      <c r="B561">
        <v>2014</v>
      </c>
      <c r="C561" t="s">
        <v>76</v>
      </c>
      <c r="D561">
        <v>25.9</v>
      </c>
    </row>
    <row r="562" spans="1:4" x14ac:dyDescent="0.45">
      <c r="A562" t="s">
        <v>36</v>
      </c>
      <c r="B562">
        <v>2014</v>
      </c>
      <c r="C562" t="s">
        <v>76</v>
      </c>
      <c r="D562">
        <v>3.63</v>
      </c>
    </row>
    <row r="563" spans="1:4" x14ac:dyDescent="0.45">
      <c r="A563" t="s">
        <v>56</v>
      </c>
      <c r="B563">
        <v>2014</v>
      </c>
      <c r="C563" t="s">
        <v>76</v>
      </c>
      <c r="D563">
        <v>0.11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3.22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0.18</v>
      </c>
    </row>
    <row r="568" spans="1:4" x14ac:dyDescent="0.45">
      <c r="A568" t="s">
        <v>91</v>
      </c>
      <c r="B568">
        <v>2014</v>
      </c>
      <c r="C568" t="s">
        <v>76</v>
      </c>
      <c r="D568">
        <v>0.05</v>
      </c>
    </row>
    <row r="569" spans="1:4" x14ac:dyDescent="0.45">
      <c r="A569" t="s">
        <v>32</v>
      </c>
      <c r="B569">
        <v>2015</v>
      </c>
      <c r="C569" t="s">
        <v>76</v>
      </c>
      <c r="D569">
        <v>0.05</v>
      </c>
    </row>
    <row r="570" spans="1:4" x14ac:dyDescent="0.45">
      <c r="A570" t="s">
        <v>34</v>
      </c>
      <c r="B570">
        <v>2015</v>
      </c>
      <c r="C570" t="s">
        <v>76</v>
      </c>
      <c r="D570">
        <v>22.23</v>
      </c>
    </row>
    <row r="571" spans="1:4" x14ac:dyDescent="0.45">
      <c r="A571" t="s">
        <v>36</v>
      </c>
      <c r="B571">
        <v>2015</v>
      </c>
      <c r="C571" t="s">
        <v>76</v>
      </c>
      <c r="D571">
        <v>4.8499999999999996</v>
      </c>
    </row>
    <row r="572" spans="1:4" x14ac:dyDescent="0.45">
      <c r="A572" t="s">
        <v>56</v>
      </c>
      <c r="B572">
        <v>2015</v>
      </c>
      <c r="C572" t="s">
        <v>76</v>
      </c>
      <c r="D572">
        <v>0.14000000000000001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3.29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0.19</v>
      </c>
    </row>
    <row r="577" spans="1:4" x14ac:dyDescent="0.45">
      <c r="A577" t="s">
        <v>91</v>
      </c>
      <c r="B577">
        <v>2015</v>
      </c>
      <c r="C577" t="s">
        <v>76</v>
      </c>
      <c r="D577">
        <v>0.06</v>
      </c>
    </row>
    <row r="578" spans="1:4" x14ac:dyDescent="0.45">
      <c r="A578" t="s">
        <v>32</v>
      </c>
      <c r="B578">
        <v>2016</v>
      </c>
      <c r="C578" t="s">
        <v>76</v>
      </c>
      <c r="D578">
        <v>0.06</v>
      </c>
    </row>
    <row r="579" spans="1:4" x14ac:dyDescent="0.45">
      <c r="A579" t="s">
        <v>34</v>
      </c>
      <c r="B579">
        <v>2016</v>
      </c>
      <c r="C579" t="s">
        <v>76</v>
      </c>
      <c r="D579">
        <v>18.98</v>
      </c>
    </row>
    <row r="580" spans="1:4" x14ac:dyDescent="0.45">
      <c r="A580" t="s">
        <v>36</v>
      </c>
      <c r="B580">
        <v>2016</v>
      </c>
      <c r="C580" t="s">
        <v>76</v>
      </c>
      <c r="D580">
        <v>7.99</v>
      </c>
    </row>
    <row r="581" spans="1:4" x14ac:dyDescent="0.45">
      <c r="A581" t="s">
        <v>56</v>
      </c>
      <c r="B581">
        <v>2016</v>
      </c>
      <c r="C581" t="s">
        <v>76</v>
      </c>
      <c r="D581">
        <v>0.13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3.36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0.19</v>
      </c>
    </row>
    <row r="586" spans="1:4" x14ac:dyDescent="0.45">
      <c r="A586" t="s">
        <v>91</v>
      </c>
      <c r="B586">
        <v>2016</v>
      </c>
      <c r="C586" t="s">
        <v>76</v>
      </c>
      <c r="D586">
        <v>0.06</v>
      </c>
    </row>
    <row r="587" spans="1:4" x14ac:dyDescent="0.45">
      <c r="A587" t="s">
        <v>32</v>
      </c>
      <c r="B587">
        <v>2017</v>
      </c>
      <c r="C587" t="s">
        <v>76</v>
      </c>
      <c r="D587">
        <v>7.0000000000000007E-2</v>
      </c>
    </row>
    <row r="588" spans="1:4" x14ac:dyDescent="0.45">
      <c r="A588" t="s">
        <v>34</v>
      </c>
      <c r="B588">
        <v>2017</v>
      </c>
      <c r="C588" t="s">
        <v>76</v>
      </c>
      <c r="D588">
        <v>18.84</v>
      </c>
    </row>
    <row r="589" spans="1:4" x14ac:dyDescent="0.45">
      <c r="A589" t="s">
        <v>36</v>
      </c>
      <c r="B589">
        <v>2017</v>
      </c>
      <c r="C589" t="s">
        <v>76</v>
      </c>
      <c r="D589">
        <v>9.15</v>
      </c>
    </row>
    <row r="590" spans="1:4" x14ac:dyDescent="0.45">
      <c r="A590" t="s">
        <v>56</v>
      </c>
      <c r="B590">
        <v>2017</v>
      </c>
      <c r="C590" t="s">
        <v>76</v>
      </c>
      <c r="D590">
        <v>0.09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3.36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0.19</v>
      </c>
    </row>
    <row r="595" spans="1:4" x14ac:dyDescent="0.45">
      <c r="A595" t="s">
        <v>91</v>
      </c>
      <c r="B595">
        <v>2017</v>
      </c>
      <c r="C595" t="s">
        <v>76</v>
      </c>
      <c r="D595">
        <v>7.0000000000000007E-2</v>
      </c>
    </row>
    <row r="596" spans="1:4" x14ac:dyDescent="0.45">
      <c r="A596" t="s">
        <v>32</v>
      </c>
      <c r="B596">
        <v>2018</v>
      </c>
      <c r="C596" t="s">
        <v>76</v>
      </c>
      <c r="D596">
        <v>7.0000000000000007E-2</v>
      </c>
    </row>
    <row r="597" spans="1:4" x14ac:dyDescent="0.45">
      <c r="A597" t="s">
        <v>34</v>
      </c>
      <c r="B597">
        <v>2018</v>
      </c>
      <c r="C597" t="s">
        <v>76</v>
      </c>
      <c r="D597">
        <v>17.27</v>
      </c>
    </row>
    <row r="598" spans="1:4" x14ac:dyDescent="0.45">
      <c r="A598" t="s">
        <v>36</v>
      </c>
      <c r="B598">
        <v>2018</v>
      </c>
      <c r="C598" t="s">
        <v>76</v>
      </c>
      <c r="D598">
        <v>7.52</v>
      </c>
    </row>
    <row r="599" spans="1:4" x14ac:dyDescent="0.45">
      <c r="A599" t="s">
        <v>56</v>
      </c>
      <c r="B599">
        <v>2018</v>
      </c>
      <c r="C599" t="s">
        <v>76</v>
      </c>
      <c r="D599">
        <v>0.14000000000000001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3.42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0.18</v>
      </c>
    </row>
    <row r="604" spans="1:4" x14ac:dyDescent="0.45">
      <c r="A604" t="s">
        <v>91</v>
      </c>
      <c r="B604">
        <v>2018</v>
      </c>
      <c r="C604" t="s">
        <v>76</v>
      </c>
      <c r="D604">
        <v>0.08</v>
      </c>
    </row>
    <row r="605" spans="1:4" x14ac:dyDescent="0.45">
      <c r="A605" t="s">
        <v>32</v>
      </c>
      <c r="B605">
        <v>2019</v>
      </c>
      <c r="C605" t="s">
        <v>76</v>
      </c>
      <c r="D605">
        <v>0.09</v>
      </c>
    </row>
    <row r="606" spans="1:4" x14ac:dyDescent="0.45">
      <c r="A606" t="s">
        <v>34</v>
      </c>
      <c r="B606">
        <v>2019</v>
      </c>
      <c r="C606" t="s">
        <v>76</v>
      </c>
      <c r="D606">
        <v>12.16</v>
      </c>
    </row>
    <row r="607" spans="1:4" x14ac:dyDescent="0.45">
      <c r="A607" t="s">
        <v>36</v>
      </c>
      <c r="B607">
        <v>2019</v>
      </c>
      <c r="C607" t="s">
        <v>76</v>
      </c>
      <c r="D607">
        <v>7.74</v>
      </c>
    </row>
    <row r="608" spans="1:4" x14ac:dyDescent="0.45">
      <c r="A608" t="s">
        <v>56</v>
      </c>
      <c r="B608">
        <v>2019</v>
      </c>
      <c r="C608" t="s">
        <v>76</v>
      </c>
      <c r="D608">
        <v>0.1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3.44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0.21</v>
      </c>
    </row>
    <row r="613" spans="1:4" x14ac:dyDescent="0.45">
      <c r="A613" t="s">
        <v>91</v>
      </c>
      <c r="B613">
        <v>2019</v>
      </c>
      <c r="C613" t="s">
        <v>76</v>
      </c>
      <c r="D613">
        <v>0.09</v>
      </c>
    </row>
    <row r="614" spans="1:4" x14ac:dyDescent="0.45">
      <c r="A614" t="s">
        <v>32</v>
      </c>
      <c r="B614">
        <v>2020</v>
      </c>
      <c r="C614" t="s">
        <v>76</v>
      </c>
      <c r="D614">
        <v>0.1</v>
      </c>
    </row>
    <row r="615" spans="1:4" x14ac:dyDescent="0.45">
      <c r="A615" t="s">
        <v>34</v>
      </c>
      <c r="B615">
        <v>2020</v>
      </c>
      <c r="C615" t="s">
        <v>76</v>
      </c>
      <c r="D615">
        <v>6.62</v>
      </c>
    </row>
    <row r="616" spans="1:4" x14ac:dyDescent="0.45">
      <c r="A616" t="s">
        <v>36</v>
      </c>
      <c r="B616">
        <v>2020</v>
      </c>
      <c r="C616" t="s">
        <v>76</v>
      </c>
      <c r="D616">
        <v>10.27</v>
      </c>
    </row>
    <row r="617" spans="1:4" x14ac:dyDescent="0.45">
      <c r="A617" t="s">
        <v>56</v>
      </c>
      <c r="B617">
        <v>2020</v>
      </c>
      <c r="C617" t="s">
        <v>76</v>
      </c>
      <c r="D617">
        <v>0.08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2.71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0.21</v>
      </c>
    </row>
    <row r="622" spans="1:4" x14ac:dyDescent="0.45">
      <c r="A622" t="s">
        <v>91</v>
      </c>
      <c r="B622">
        <v>2020</v>
      </c>
      <c r="C622" t="s">
        <v>76</v>
      </c>
      <c r="D622">
        <v>0.11</v>
      </c>
    </row>
    <row r="623" spans="1:4" x14ac:dyDescent="0.45">
      <c r="A623" t="s">
        <v>32</v>
      </c>
      <c r="B623">
        <v>2021</v>
      </c>
      <c r="C623" t="s">
        <v>76</v>
      </c>
      <c r="D623">
        <v>0.11</v>
      </c>
    </row>
    <row r="624" spans="1:4" x14ac:dyDescent="0.45">
      <c r="A624" t="s">
        <v>34</v>
      </c>
      <c r="B624">
        <v>2021</v>
      </c>
      <c r="C624" t="s">
        <v>76</v>
      </c>
      <c r="D624">
        <v>5.31</v>
      </c>
    </row>
    <row r="625" spans="1:4" x14ac:dyDescent="0.45">
      <c r="A625" t="s">
        <v>36</v>
      </c>
      <c r="B625">
        <v>2021</v>
      </c>
      <c r="C625" t="s">
        <v>76</v>
      </c>
      <c r="D625">
        <v>12.01</v>
      </c>
    </row>
    <row r="626" spans="1:4" x14ac:dyDescent="0.45">
      <c r="A626" t="s">
        <v>56</v>
      </c>
      <c r="B626">
        <v>2021</v>
      </c>
      <c r="C626" t="s">
        <v>76</v>
      </c>
      <c r="D626">
        <v>0.14000000000000001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2.83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0.25</v>
      </c>
    </row>
    <row r="631" spans="1:4" x14ac:dyDescent="0.45">
      <c r="A631" t="s">
        <v>91</v>
      </c>
      <c r="B631">
        <v>2021</v>
      </c>
      <c r="C631" t="s">
        <v>76</v>
      </c>
      <c r="D631">
        <v>0.13</v>
      </c>
    </row>
    <row r="632" spans="1:4" x14ac:dyDescent="0.45">
      <c r="A632" t="s">
        <v>32</v>
      </c>
      <c r="B632">
        <v>2022</v>
      </c>
      <c r="C632" t="s">
        <v>76</v>
      </c>
      <c r="D632">
        <v>0.12</v>
      </c>
    </row>
    <row r="633" spans="1:4" x14ac:dyDescent="0.45">
      <c r="A633" t="s">
        <v>34</v>
      </c>
      <c r="B633">
        <v>2022</v>
      </c>
      <c r="C633" t="s">
        <v>76</v>
      </c>
      <c r="D633">
        <v>5.73</v>
      </c>
    </row>
    <row r="634" spans="1:4" x14ac:dyDescent="0.45">
      <c r="A634" t="s">
        <v>36</v>
      </c>
      <c r="B634">
        <v>2022</v>
      </c>
      <c r="C634" t="s">
        <v>76</v>
      </c>
      <c r="D634">
        <v>10.220000000000001</v>
      </c>
    </row>
    <row r="635" spans="1:4" x14ac:dyDescent="0.45">
      <c r="A635" t="s">
        <v>56</v>
      </c>
      <c r="B635">
        <v>2022</v>
      </c>
      <c r="C635" t="s">
        <v>76</v>
      </c>
      <c r="D635">
        <v>0.09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2.81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0.34</v>
      </c>
    </row>
    <row r="640" spans="1:4" x14ac:dyDescent="0.45">
      <c r="A640" t="s">
        <v>91</v>
      </c>
      <c r="B640">
        <v>2022</v>
      </c>
      <c r="C640" t="s">
        <v>76</v>
      </c>
      <c r="D640">
        <v>0.13</v>
      </c>
    </row>
    <row r="641" spans="1:4" x14ac:dyDescent="0.45">
      <c r="A641" t="s">
        <v>32</v>
      </c>
      <c r="B641">
        <v>2023</v>
      </c>
      <c r="C641" t="s">
        <v>76</v>
      </c>
      <c r="D641">
        <v>0.12</v>
      </c>
    </row>
    <row r="642" spans="1:4" x14ac:dyDescent="0.45">
      <c r="A642" t="s">
        <v>34</v>
      </c>
      <c r="B642">
        <v>2023</v>
      </c>
      <c r="C642" t="s">
        <v>76</v>
      </c>
      <c r="D642">
        <v>4.66</v>
      </c>
    </row>
    <row r="643" spans="1:4" x14ac:dyDescent="0.45">
      <c r="A643" t="s">
        <v>36</v>
      </c>
      <c r="B643">
        <v>2023</v>
      </c>
      <c r="C643" t="s">
        <v>76</v>
      </c>
      <c r="D643">
        <v>8.36</v>
      </c>
    </row>
    <row r="644" spans="1:4" x14ac:dyDescent="0.45">
      <c r="A644" t="s">
        <v>56</v>
      </c>
      <c r="B644">
        <v>2023</v>
      </c>
      <c r="C644" t="s">
        <v>76</v>
      </c>
      <c r="D644">
        <v>0.09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2.81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0.45</v>
      </c>
    </row>
    <row r="649" spans="1:4" x14ac:dyDescent="0.45">
      <c r="A649" t="s">
        <v>91</v>
      </c>
      <c r="B649">
        <v>2023</v>
      </c>
      <c r="C649" t="s">
        <v>76</v>
      </c>
      <c r="D649">
        <v>0.13</v>
      </c>
    </row>
    <row r="650" spans="1:4" x14ac:dyDescent="0.45">
      <c r="A650" t="s">
        <v>59</v>
      </c>
      <c r="B650">
        <v>2000</v>
      </c>
      <c r="C650" t="s">
        <v>74</v>
      </c>
      <c r="D650">
        <v>1.7</v>
      </c>
    </row>
    <row r="651" spans="1:4" x14ac:dyDescent="0.45">
      <c r="A651" t="s">
        <v>60</v>
      </c>
      <c r="B651">
        <v>2000</v>
      </c>
      <c r="C651" t="s">
        <v>74</v>
      </c>
      <c r="D651">
        <v>1.7</v>
      </c>
    </row>
    <row r="652" spans="1:4" x14ac:dyDescent="0.45">
      <c r="A652" t="s">
        <v>59</v>
      </c>
      <c r="B652">
        <v>2001</v>
      </c>
      <c r="C652" t="s">
        <v>74</v>
      </c>
      <c r="D652">
        <v>1.1000000000000001</v>
      </c>
    </row>
    <row r="653" spans="1:4" x14ac:dyDescent="0.45">
      <c r="A653" t="s">
        <v>60</v>
      </c>
      <c r="B653">
        <v>2001</v>
      </c>
      <c r="C653" t="s">
        <v>74</v>
      </c>
      <c r="D653">
        <v>3.6</v>
      </c>
    </row>
    <row r="654" spans="1:4" x14ac:dyDescent="0.45">
      <c r="A654" t="s">
        <v>59</v>
      </c>
      <c r="B654">
        <v>2002</v>
      </c>
      <c r="C654" t="s">
        <v>74</v>
      </c>
      <c r="D654">
        <v>1.7</v>
      </c>
    </row>
    <row r="655" spans="1:4" x14ac:dyDescent="0.45">
      <c r="A655" t="s">
        <v>60</v>
      </c>
      <c r="B655">
        <v>2002</v>
      </c>
      <c r="C655" t="s">
        <v>74</v>
      </c>
      <c r="D655">
        <v>4.5999999999999996</v>
      </c>
    </row>
    <row r="656" spans="1:4" x14ac:dyDescent="0.45">
      <c r="A656" t="s">
        <v>59</v>
      </c>
      <c r="B656">
        <v>2003</v>
      </c>
      <c r="C656" t="s">
        <v>74</v>
      </c>
      <c r="D656">
        <v>2.1</v>
      </c>
    </row>
    <row r="657" spans="1:4" x14ac:dyDescent="0.45">
      <c r="A657" t="s">
        <v>60</v>
      </c>
      <c r="B657">
        <v>2003</v>
      </c>
      <c r="C657" t="s">
        <v>74</v>
      </c>
      <c r="D657">
        <v>4.2</v>
      </c>
    </row>
    <row r="658" spans="1:4" x14ac:dyDescent="0.45">
      <c r="A658" t="s">
        <v>59</v>
      </c>
      <c r="B658">
        <v>2004</v>
      </c>
      <c r="C658" t="s">
        <v>74</v>
      </c>
      <c r="D658">
        <v>2</v>
      </c>
    </row>
    <row r="659" spans="1:4" x14ac:dyDescent="0.45">
      <c r="A659" t="s">
        <v>60</v>
      </c>
      <c r="B659">
        <v>2004</v>
      </c>
      <c r="C659" t="s">
        <v>74</v>
      </c>
      <c r="D659">
        <v>4.9000000000000004</v>
      </c>
    </row>
    <row r="660" spans="1:4" x14ac:dyDescent="0.45">
      <c r="A660" t="s">
        <v>59</v>
      </c>
      <c r="B660">
        <v>2005</v>
      </c>
      <c r="C660" t="s">
        <v>74</v>
      </c>
      <c r="D660">
        <v>1.8</v>
      </c>
    </row>
    <row r="661" spans="1:4" x14ac:dyDescent="0.45">
      <c r="A661" t="s">
        <v>60</v>
      </c>
      <c r="B661">
        <v>2005</v>
      </c>
      <c r="C661" t="s">
        <v>74</v>
      </c>
      <c r="D661">
        <v>5.6</v>
      </c>
    </row>
    <row r="662" spans="1:4" x14ac:dyDescent="0.45">
      <c r="A662" t="s">
        <v>59</v>
      </c>
      <c r="B662">
        <v>2006</v>
      </c>
      <c r="C662" t="s">
        <v>74</v>
      </c>
      <c r="D662">
        <v>1.9</v>
      </c>
    </row>
    <row r="663" spans="1:4" x14ac:dyDescent="0.45">
      <c r="A663" t="s">
        <v>60</v>
      </c>
      <c r="B663">
        <v>2006</v>
      </c>
      <c r="C663" t="s">
        <v>74</v>
      </c>
      <c r="D663">
        <v>6.1</v>
      </c>
    </row>
    <row r="664" spans="1:4" x14ac:dyDescent="0.45">
      <c r="A664" t="s">
        <v>59</v>
      </c>
      <c r="B664">
        <v>2007</v>
      </c>
      <c r="C664" t="s">
        <v>74</v>
      </c>
      <c r="D664">
        <v>2.1</v>
      </c>
    </row>
    <row r="665" spans="1:4" x14ac:dyDescent="0.45">
      <c r="A665" t="s">
        <v>60</v>
      </c>
      <c r="B665">
        <v>2007</v>
      </c>
      <c r="C665" t="s">
        <v>74</v>
      </c>
      <c r="D665">
        <v>6.4</v>
      </c>
    </row>
    <row r="666" spans="1:4" x14ac:dyDescent="0.45">
      <c r="A666" t="s">
        <v>59</v>
      </c>
      <c r="B666">
        <v>2008</v>
      </c>
      <c r="C666" t="s">
        <v>74</v>
      </c>
      <c r="D666">
        <v>2</v>
      </c>
    </row>
    <row r="667" spans="1:4" x14ac:dyDescent="0.45">
      <c r="A667" t="s">
        <v>60</v>
      </c>
      <c r="B667">
        <v>2008</v>
      </c>
      <c r="C667" t="s">
        <v>74</v>
      </c>
      <c r="D667">
        <v>7.6</v>
      </c>
    </row>
    <row r="668" spans="1:4" x14ac:dyDescent="0.45">
      <c r="A668" t="s">
        <v>59</v>
      </c>
      <c r="B668">
        <v>2009</v>
      </c>
      <c r="C668" t="s">
        <v>74</v>
      </c>
      <c r="D668">
        <v>3.2</v>
      </c>
    </row>
    <row r="669" spans="1:4" x14ac:dyDescent="0.45">
      <c r="A669" t="s">
        <v>60</v>
      </c>
      <c r="B669">
        <v>2009</v>
      </c>
      <c r="C669" t="s">
        <v>74</v>
      </c>
      <c r="D669">
        <v>7.6</v>
      </c>
    </row>
    <row r="670" spans="1:4" x14ac:dyDescent="0.45">
      <c r="A670" t="s">
        <v>59</v>
      </c>
      <c r="B670">
        <v>2010</v>
      </c>
      <c r="C670" t="s">
        <v>74</v>
      </c>
      <c r="D670">
        <v>2.8</v>
      </c>
    </row>
    <row r="671" spans="1:4" x14ac:dyDescent="0.45">
      <c r="A671" t="s">
        <v>60</v>
      </c>
      <c r="B671">
        <v>2010</v>
      </c>
      <c r="C671" t="s">
        <v>74</v>
      </c>
      <c r="D671">
        <v>8.5</v>
      </c>
    </row>
    <row r="672" spans="1:4" x14ac:dyDescent="0.45">
      <c r="A672" t="s">
        <v>59</v>
      </c>
      <c r="B672">
        <v>2011</v>
      </c>
      <c r="C672" t="s">
        <v>74</v>
      </c>
      <c r="D672">
        <v>3.9</v>
      </c>
    </row>
    <row r="673" spans="1:4" x14ac:dyDescent="0.45">
      <c r="A673" t="s">
        <v>60</v>
      </c>
      <c r="B673">
        <v>2011</v>
      </c>
      <c r="C673" t="s">
        <v>74</v>
      </c>
      <c r="D673">
        <v>7.2</v>
      </c>
    </row>
    <row r="674" spans="1:4" x14ac:dyDescent="0.45">
      <c r="A674" t="s">
        <v>59</v>
      </c>
      <c r="B674">
        <v>2012</v>
      </c>
      <c r="C674" t="s">
        <v>74</v>
      </c>
      <c r="D674">
        <v>4.2</v>
      </c>
    </row>
    <row r="675" spans="1:4" x14ac:dyDescent="0.45">
      <c r="A675" t="s">
        <v>60</v>
      </c>
      <c r="B675">
        <v>2012</v>
      </c>
      <c r="C675" t="s">
        <v>74</v>
      </c>
      <c r="D675">
        <v>6</v>
      </c>
    </row>
    <row r="676" spans="1:4" x14ac:dyDescent="0.45">
      <c r="A676" t="s">
        <v>59</v>
      </c>
      <c r="B676">
        <v>2013</v>
      </c>
      <c r="C676" t="s">
        <v>74</v>
      </c>
      <c r="D676">
        <v>3.9</v>
      </c>
    </row>
    <row r="677" spans="1:4" x14ac:dyDescent="0.45">
      <c r="A677" t="s">
        <v>60</v>
      </c>
      <c r="B677">
        <v>2013</v>
      </c>
      <c r="C677" t="s">
        <v>74</v>
      </c>
      <c r="D677">
        <v>5.8</v>
      </c>
    </row>
    <row r="678" spans="1:4" x14ac:dyDescent="0.45">
      <c r="A678" t="s">
        <v>59</v>
      </c>
      <c r="B678">
        <v>2014</v>
      </c>
      <c r="C678" t="s">
        <v>74</v>
      </c>
      <c r="D678">
        <v>0.6</v>
      </c>
    </row>
    <row r="679" spans="1:4" x14ac:dyDescent="0.45">
      <c r="A679" t="s">
        <v>60</v>
      </c>
      <c r="B679">
        <v>2014</v>
      </c>
      <c r="C679" t="s">
        <v>74</v>
      </c>
      <c r="D679">
        <v>9.5</v>
      </c>
    </row>
    <row r="680" spans="1:4" x14ac:dyDescent="0.45">
      <c r="A680" t="s">
        <v>59</v>
      </c>
      <c r="B680">
        <v>2015</v>
      </c>
      <c r="C680" t="s">
        <v>74</v>
      </c>
      <c r="D680">
        <v>1.5</v>
      </c>
    </row>
    <row r="681" spans="1:4" x14ac:dyDescent="0.45">
      <c r="A681" t="s">
        <v>60</v>
      </c>
      <c r="B681">
        <v>2015</v>
      </c>
      <c r="C681" t="s">
        <v>74</v>
      </c>
      <c r="D681">
        <v>11.1</v>
      </c>
    </row>
    <row r="682" spans="1:4" x14ac:dyDescent="0.45">
      <c r="A682" t="s">
        <v>59</v>
      </c>
      <c r="B682">
        <v>2016</v>
      </c>
      <c r="C682" t="s">
        <v>74</v>
      </c>
      <c r="D682">
        <v>1</v>
      </c>
    </row>
    <row r="683" spans="1:4" x14ac:dyDescent="0.45">
      <c r="A683" t="s">
        <v>60</v>
      </c>
      <c r="B683">
        <v>2016</v>
      </c>
      <c r="C683" t="s">
        <v>74</v>
      </c>
      <c r="D683">
        <v>9.8000000000000007</v>
      </c>
    </row>
    <row r="684" spans="1:4" x14ac:dyDescent="0.45">
      <c r="A684" t="s">
        <v>59</v>
      </c>
      <c r="B684">
        <v>2017</v>
      </c>
      <c r="C684" t="s">
        <v>74</v>
      </c>
      <c r="D684">
        <v>2.5</v>
      </c>
    </row>
    <row r="685" spans="1:4" x14ac:dyDescent="0.45">
      <c r="A685" t="s">
        <v>60</v>
      </c>
      <c r="B685">
        <v>2017</v>
      </c>
      <c r="C685" t="s">
        <v>74</v>
      </c>
      <c r="D685">
        <v>8.6999999999999993</v>
      </c>
    </row>
    <row r="686" spans="1:4" x14ac:dyDescent="0.45">
      <c r="A686" t="s">
        <v>59</v>
      </c>
      <c r="B686">
        <v>2018</v>
      </c>
      <c r="C686" t="s">
        <v>74</v>
      </c>
      <c r="D686">
        <v>2.2999999999999998</v>
      </c>
    </row>
    <row r="687" spans="1:4" x14ac:dyDescent="0.45">
      <c r="A687" t="s">
        <v>60</v>
      </c>
      <c r="B687">
        <v>2018</v>
      </c>
      <c r="C687" t="s">
        <v>74</v>
      </c>
      <c r="D687">
        <v>8.6</v>
      </c>
    </row>
    <row r="688" spans="1:4" x14ac:dyDescent="0.45">
      <c r="A688" t="s">
        <v>59</v>
      </c>
      <c r="B688">
        <v>2019</v>
      </c>
      <c r="C688" t="s">
        <v>74</v>
      </c>
      <c r="D688">
        <v>1.1000000000000001</v>
      </c>
    </row>
    <row r="689" spans="1:4" x14ac:dyDescent="0.45">
      <c r="A689" t="s">
        <v>60</v>
      </c>
      <c r="B689">
        <v>2019</v>
      </c>
      <c r="C689" t="s">
        <v>74</v>
      </c>
      <c r="D689">
        <v>11.1</v>
      </c>
    </row>
    <row r="690" spans="1:4" x14ac:dyDescent="0.45">
      <c r="A690" t="s">
        <v>59</v>
      </c>
      <c r="B690">
        <v>2020</v>
      </c>
      <c r="C690" t="s">
        <v>74</v>
      </c>
      <c r="D690">
        <v>1</v>
      </c>
    </row>
    <row r="691" spans="1:4" x14ac:dyDescent="0.45">
      <c r="A691" t="s">
        <v>60</v>
      </c>
      <c r="B691">
        <v>2020</v>
      </c>
      <c r="C691" t="s">
        <v>74</v>
      </c>
      <c r="D691">
        <v>9.8000000000000007</v>
      </c>
    </row>
    <row r="692" spans="1:4" x14ac:dyDescent="0.45">
      <c r="A692" t="s">
        <v>59</v>
      </c>
      <c r="B692">
        <v>2021</v>
      </c>
      <c r="C692" t="s">
        <v>74</v>
      </c>
      <c r="D692">
        <v>3.9</v>
      </c>
    </row>
    <row r="693" spans="1:4" x14ac:dyDescent="0.45">
      <c r="A693" t="s">
        <v>60</v>
      </c>
      <c r="B693">
        <v>2021</v>
      </c>
      <c r="C693" t="s">
        <v>74</v>
      </c>
      <c r="D693">
        <v>7.6</v>
      </c>
    </row>
    <row r="694" spans="1:4" x14ac:dyDescent="0.45">
      <c r="A694" t="s">
        <v>59</v>
      </c>
      <c r="B694">
        <v>2022</v>
      </c>
      <c r="C694" t="s">
        <v>74</v>
      </c>
      <c r="D694">
        <v>4.3</v>
      </c>
    </row>
    <row r="695" spans="1:4" x14ac:dyDescent="0.45">
      <c r="A695" t="s">
        <v>60</v>
      </c>
      <c r="B695">
        <v>2022</v>
      </c>
      <c r="C695" t="s">
        <v>74</v>
      </c>
      <c r="D695">
        <v>7.8</v>
      </c>
    </row>
    <row r="696" spans="1:4" x14ac:dyDescent="0.45">
      <c r="A696" t="s">
        <v>59</v>
      </c>
      <c r="B696">
        <v>2023</v>
      </c>
      <c r="C696" t="s">
        <v>74</v>
      </c>
      <c r="D696">
        <v>3.2</v>
      </c>
    </row>
    <row r="697" spans="1:4" x14ac:dyDescent="0.45">
      <c r="A697" t="s">
        <v>60</v>
      </c>
      <c r="B697">
        <v>2023</v>
      </c>
      <c r="C697" t="s">
        <v>74</v>
      </c>
      <c r="D697">
        <v>8.1999999999999993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4.0043999999999995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3.6850000000000001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2.2189999999999999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4.0701999999999998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3.7345000000000002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2.2189999999999999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4.0889999999999995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3.74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2.2189999999999999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4.0232000000000001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3.7070000000000003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2.2329999999999997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4.0608000000000004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3.6739999999999999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2.177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4.0137999999999998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3.6795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2.2120000000000002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3.9950000000000001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3.6905000000000006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2.2120000000000002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2.6696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5.6429999999999998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1.4E-2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2.4722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6.1379999999999999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1.0569999999999999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2.4815999999999998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6.1709999999999994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1.0640000000000001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2.4534000000000002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6.1159999999999997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1.071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2.6696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5.6595000000000004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1.4E-2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5.6099999999999994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1.4E-2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2.6696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5.6265000000000001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1.4E-2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0.79900000000000004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5.5275000000000007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0.71440000000000003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4.0095000000000001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0.70499999999999996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4.0315000000000003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0.70499999999999996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3.9874999999999998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0.60160000000000002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4.202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0.99639999999999995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5.9180000000000001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6.5799999999999997E-2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2.387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9.4E-2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5.7474999999999996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1.034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5.0490000000000004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4.7E-2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3.8170000000000002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3.7600000000000001E-2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4.125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5.6399999999999992E-2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0.8085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8.4599999999999995E-2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5.0985000000000005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2.8199999999999996E-2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0.11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6.5799999999999997E-2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5.6814999999999998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0.48879999999999996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6.2645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3.4375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9.4000000000000004E-3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3.6409999999999996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1.8800000000000001E-2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0.65450000000000008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4.7E-2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5.1369999999999996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0.20899999999999999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6.1105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5.6399999999999992E-2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8.0190000000000001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3.762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2.8820000000000001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1.4355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5.17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9.4000000000000004E-3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0.187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5.6704999999999997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2.8199999999999996E-2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7.1665000000000001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2.4255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2.0459999999999998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2.1890000000000001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6.7924999999999995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2.75E-2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38.058949999999996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37.923250000000003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38.476700000000001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38.031300000000002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38.710050000000003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37.970050000000001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38.338200000000001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37.022599999999997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39.363900000000001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40.894500000000001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40.003700000000002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34.877600000000001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36.145350000000001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35.753450000000001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26.825699999999998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32.9328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34.777250000000002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33.878050000000002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13.070650000000001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24.5091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17.280250000000002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14.7737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25.972650000000002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16.10295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18.418849999999999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-2.7398499999999997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13.522349999999999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-3.1876499999999997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4.1343999999999994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20.534550000000003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-8.9937000000000005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0.74360000000000004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-13.9335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4.3680500000000002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-16.701050000000002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-2.6387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15.687850000000001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-21.203749999999999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-8.6720000000000006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-21.159750000000003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-1.6200999999999999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-20.071849999999998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-7.1367000000000003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11.7494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-25.903849999999998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-13.654299999999999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-24.36825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-5.8104500000000003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-21.89385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-9.0027500000000007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8.7901500000000006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-26.093499999999999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-13.80405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-25.863900000000001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-6.9209999999999994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-20.478850000000001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-10.359549999999999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6.8164999999999996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-25.128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-13.793900000000001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-25.352650000000001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-7.6688999999999989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-19.684950000000001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-10.802299999999999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5.6913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-24.843299999999999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-13.800850000000001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-23.041249999999998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-7.7793000000000001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-17.188299999999998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-11.260000000000002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4.766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-24.6556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-13.795249999999999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-20.816749999999999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-7.9059499999999998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-14.858650000000001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-11.23385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3.1078000000000001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-23.110599999999998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-14.674949999999999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-22.401649999999997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-8.3127999999999993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-16.306800000000003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-11.18745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1.5363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-21.572249999999997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-15.572749999999999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-23.976399999999998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-8.6644499999999987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-17.831700000000001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-11.401150000000001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0.85624999999999996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-20.486599999999999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-15.921199999999999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-22.92445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-8.4486500000000007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-16.798099999999998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-11.615449999999999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0.20434999999999998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-19.414000000000001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-16.223749999999999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-21.879750000000001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-8.2217000000000002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-15.8002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-10.410299999999999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1.3828499999999999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-17.684649999999998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-14.291550000000001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-23.213949999999997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-6.3458500000000004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-16.886800000000001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-9.2089999999999996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2.5788000000000002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-15.955250000000001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-12.349499999999999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-24.5381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-4.4676499999999999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-17.985500000000002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57.879649999999998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57.75535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58.286500000000004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57.847999999999999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58.495899999999999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57.795249999999996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58.158549999999998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45.462649999999996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46.070250000000001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46.77075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46.285849999999996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44.326050000000002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44.89425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44.849000000000004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37.102000000000004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41.462600000000002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41.801299999999998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41.575499999999998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25.745650000000001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34.912149999999997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29.959449999999997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26.3371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35.020600000000002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32.825000000000003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33.263849999999998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14.494250000000001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24.726900000000001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13.295949999999999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16.902999999999999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30.333500000000001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10.6883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18.415050000000001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5.8026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16.498650000000001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1.2968500000000001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10.124300000000002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26.4146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1.3025500000000001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10.5687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1.2964500000000001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11.090249999999999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-2.3429000000000002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5.7605500000000003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23.565399999999997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-1.9426000000000001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6.4278499999999994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7.3950000000000002E-2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7.5755499999999998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-4.3813999999999993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3.4077999999999999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20.356950000000001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-3.1924000000000001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4.5576000000000008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-0.78744999999999998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5.3780000000000001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-4.8878500000000003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0.69910000000000005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18.025550000000003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-5.0948500000000001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2.8819499999999998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-1.35965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3.1738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-5.6168500000000003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-0.12225000000000001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16.465949999999999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-6.0689500000000001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1.9481999999999999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-1.85745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2.1050499999999999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-5.5481499999999997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-0.95925000000000005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15.103300000000001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-7.1409000000000002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1.0258499999999999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-2.4417999999999997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1.0192000000000001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-5.6463000000000001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-1.3490500000000001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13.75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-6.5353000000000003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0.6341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-2.8283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0.91710000000000003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-5.3552499999999998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-1.7197499999999999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12.4817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-5.9369999999999994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0.22294999999999998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-3.2044999999999999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0.86640000000000006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-5.1411499999999997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-1.87015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11.000999999999999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-5.0749499999999994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-0.21194999999999997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-3.327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0.79435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-5.3028500000000003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-2.0223499999999999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9.5463500000000003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-4.2271999999999998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-0.60229999999999995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-3.4574499999999997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0.73140000000000005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-5.5007999999999999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-2.10175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8.4725999999999999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-4.0901500000000004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-0.82799999999999996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-3.6391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0.44929999999999998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-5.6165000000000003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-2.1868499999999997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7.4177999999999997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-3.9530499999999997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-1.04375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-3.8106999999999998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0.17050000000000001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-5.7437500000000004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0.11885000000000001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0.11995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0.12079999999999999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0.11890000000000001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0.12139999999999999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0.1176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0.11890000000000001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0.15089999999999998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0.15134999999999998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0.1522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0.15015000000000001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0.15145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0.15055000000000002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0.15100000000000002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0.1822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0.18245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0.18379999999999999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0.18190000000000001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0.17115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0.18025000000000002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0.1802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0.21134999999999998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0.20165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0.20924999999999999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0.20824999999999999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0.19795000000000001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0.2104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0.22885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0.21934999999999999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0.20800000000000002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0.22705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0.21815000000000001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0.20524999999999999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0.22209999999999999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0.24929999999999999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0.21865000000000001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0.20014999999999999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0.2394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0.2198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0.21534999999999999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0.23615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0.20569999999999999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0.18980000000000002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0.21825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0.20235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0.18509999999999999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0.19964999999999999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0.2127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0.18004999999999999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0.16889999999999999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0.18784999999999999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0.17725000000000002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0.16060000000000002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0.17504999999999998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0.18654999999999999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0.17454999999999998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0.16389999999999999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0.17674999999999999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0.17070000000000002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0.15175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0.1701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0.18215000000000001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0.1696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0.16125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0.17099999999999999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0.1661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0.14849999999999999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0.16605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0.17530000000000001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0.16570000000000001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0.15905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0.16625000000000001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0.16244999999999998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0.14584999999999998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0.16284999999999999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0.16944999999999999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0.16885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0.16194999999999998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0.16849999999999998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0.16489999999999999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0.15034999999999998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0.16520000000000001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0.17125000000000001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0.17175000000000001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0.16439999999999999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0.17055000000000001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0.16714999999999999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0.1545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0.16685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0.17280000000000001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0.17354999999999998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0.16575000000000001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0.17115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0.16894999999999999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0.157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0.16815000000000002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0.17449999999999999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0.17575000000000002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0.16739999999999999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0.1721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0.17094999999999999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0.15970000000000001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0.1696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0.17649999999999999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0.17745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0.16965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0.17435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0.17280000000000001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0.16145000000000001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0.17144999999999999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0.1787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0.17909999999999998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0.1721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0.17680000000000001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0.17470000000000002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0.1633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0.17355000000000001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0.18104999999999999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4.9549999999999997E-2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4.9149999999999999E-2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5.0350000000000006E-2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4.9149999999999999E-2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5.015E-2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4.9599999999999998E-2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5.0599999999999999E-2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5.6399999999999999E-2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5.5099999999999996E-2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5.5849999999999997E-2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5.45E-2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4.8500000000000001E-2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5.6550000000000003E-2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5.815E-2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5.7599999999999998E-2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5.8700000000000002E-2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5.8450000000000002E-2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5.7349999999999998E-2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4.1400000000000006E-2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5.8200000000000002E-2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5.9550000000000006E-2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6.1100000000000002E-2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5.9450000000000003E-2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6.0350000000000001E-2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5.7450000000000001E-2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4.0550000000000003E-2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6.2050000000000001E-2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7.0250000000000007E-2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6.225E-2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5.8749999999999997E-2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6.93E-2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5.5849999999999997E-2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3.9699999999999999E-2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6.4750000000000002E-2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8.0699999999999994E-2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6.6349999999999992E-2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5.9200000000000003E-2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7.5249999999999997E-2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5.9749999999999998E-2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3.7650000000000003E-2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6.6299999999999998E-2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7.9649999999999999E-2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6.6299999999999998E-2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6.0199999999999997E-2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6.9550000000000001E-2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6.1950000000000005E-2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3.61E-2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6.4149999999999999E-2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7.5450000000000003E-2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6.3200000000000006E-2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5.7950000000000002E-2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6.6349999999999992E-2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6.1249999999999999E-2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3.0249999999999999E-2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6.0850000000000001E-2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7.2050000000000003E-2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5.7099999999999998E-2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5.4300000000000001E-2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5.8999999999999997E-2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5.6050000000000003E-2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2.6950000000000002E-2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5.5449999999999999E-2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6.7400000000000002E-2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5.5349999999999996E-2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5.3099999999999994E-2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5.6750000000000002E-2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5.4849999999999996E-2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2.6249999999999999E-2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5.4150000000000004E-2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6.5849999999999992E-2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5.3599999999999995E-2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5.1999999999999998E-2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5.45E-2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5.3600000000000002E-2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2.5500000000000002E-2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5.2900000000000003E-2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6.4149999999999999E-2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5.2150000000000002E-2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5.015E-2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5.3150000000000003E-2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5.2049999999999999E-2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2.52E-2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5.1049999999999998E-2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6.225E-2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5.0799999999999998E-2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4.82E-2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5.1999999999999998E-2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5.0600000000000006E-2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2.4850000000000001E-2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4.9000000000000002E-2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6.0450000000000004E-2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4.9049999999999996E-2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4.6100000000000002E-2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4.9950000000000001E-2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4.8299999999999996E-2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2.4599999999999997E-2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4.6600000000000003E-2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5.8499999999999996E-2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4.7299999999999995E-2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4.41E-2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4.7750000000000001E-2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4.58E-2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2.4500000000000001E-2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4.4399999999999995E-2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5.6649999999999999E-2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4.4549999999999999E-2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4.2049999999999997E-2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4.4999999999999998E-2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4.3450000000000003E-2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2.3899999999999998E-2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4.2349999999999999E-2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5.33E-2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4.1849999999999998E-2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3.9849999999999997E-2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4.2249999999999996E-2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4.1150000000000006E-2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2.3350000000000003E-2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4.0250000000000001E-2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4.99E-2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2.8E-3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2.8E-3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2.8500000000000001E-3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2.9499999999999999E-3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3.3499999999999997E-3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3.0000000000000001E-3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3.0000000000000001E-3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8.9999999999999993E-3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8.8999999999999999E-3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8.9999999999999993E-3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9.049999999999999E-3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0.01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9.3500000000000007E-3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9.7000000000000003E-3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1.9300000000000001E-2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1.78E-2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1.8000000000000002E-2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1.805E-2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2.0199999999999999E-2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1.8549999999999997E-2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2.0900000000000002E-2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3.2300000000000002E-2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2.6599999999999999E-2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2.8299999999999999E-2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2.6950000000000002E-2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3.2350000000000004E-2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2.8249999999999997E-2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3.8500000000000006E-2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4.1599999999999998E-2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3.2099999999999997E-2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3.6850000000000001E-2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3.3050000000000003E-2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3.9650000000000005E-2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3.4049999999999997E-2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5.1900000000000002E-2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4.8750000000000002E-2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3.5949999999999996E-2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4.4399999999999995E-2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3.8099999999999995E-2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4.165E-2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3.8300000000000001E-2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5.7050000000000003E-2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5.2650000000000002E-2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3.9099999999999996E-2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4.5850000000000002E-2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4.2499999999999996E-2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4.07E-2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4.1149999999999999E-2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5.8999999999999997E-2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5.3999999999999999E-2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4.2099999999999999E-2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4.6950000000000006E-2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4.3499999999999997E-2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4.2899999999999994E-2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4.3049999999999998E-2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5.8900000000000001E-2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5.5400000000000005E-2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4.4850000000000001E-2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4.7950000000000007E-2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4.5100000000000001E-2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4.4150000000000002E-2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4.53E-2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6.0649999999999996E-2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5.6500000000000002E-2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4.6850000000000003E-2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4.8899999999999999E-2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4.6600000000000003E-2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4.4999999999999998E-2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4.7E-2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6.1699999999999998E-2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5.7099999999999998E-2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4.8350000000000004E-2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4.9450000000000001E-2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4.7649999999999998E-2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4.5249999999999999E-2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4.8399999999999999E-2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6.2299999999999994E-2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5.8349999999999999E-2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4.9399999999999999E-2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5.0549999999999998E-2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4.9049999999999996E-2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4.6050000000000001E-2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4.965E-2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6.3250000000000001E-2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5.985E-2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5.04E-2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5.1799999999999999E-2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5.0549999999999998E-2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4.7E-2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5.0699999999999995E-2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6.4350000000000004E-2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6.1100000000000002E-2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5.1150000000000001E-2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5.2850000000000001E-2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5.16E-2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4.7750000000000001E-2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5.1500000000000004E-2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6.5349999999999991E-2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6.2449999999999999E-2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5.2000000000000005E-2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5.3800000000000001E-2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5.2600000000000001E-2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4.8550000000000003E-2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5.2299999999999999E-2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6.6349999999999992E-2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6.2950000000000006E-2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5.2650000000000002E-2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5.4300000000000001E-2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5.3150000000000003E-2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4.8649999999999999E-2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5.2849999999999994E-2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6.6599999999999993E-2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6.3099999999999989E-2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5.3199999999999997E-2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5.4699999999999999E-2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5.355E-2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4.87E-2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5.33E-2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6.6649999999999987E-2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1.2999999999999999E-3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1.2999999999999999E-3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1.2999999999999999E-3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1.2999999999999999E-3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1.4E-3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1.2999999999999999E-3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1.2999999999999999E-3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5.45E-3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5.45E-3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5.5999999999999999E-3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5.4999999999999997E-3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4.3499999999999997E-3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5.3E-3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5.45E-3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9.6499999999999989E-3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9.6499999999999989E-3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9.75E-3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9.75E-3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7.3000000000000001E-3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9.2999999999999992E-3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1.26E-2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1.3350000000000001E-2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1.145E-2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1.14E-2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1.09E-2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8.9499999999999996E-3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1.2750000000000001E-2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2.1900000000000003E-2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1.7049999999999999E-2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1.1800000000000001E-2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1.495E-2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1.325E-2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1.06E-2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1.865E-2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2.8999999999999998E-2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2.3449999999999999E-2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1.26E-2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2.5250000000000002E-2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1.9700000000000002E-2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1.03E-2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2.7900000000000001E-2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3.5700000000000003E-2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2.92E-2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1.52E-2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3.6249999999999998E-2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2.8199999999999999E-2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1.06E-2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3.5250000000000004E-2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3.8800000000000001E-2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3.3949999999999994E-2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1.355E-2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4.2950000000000002E-2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3.32E-2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1.09E-2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3.9599999999999996E-2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4.0050000000000002E-2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3.9E-2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2.0400000000000001E-2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5.2150000000000002E-2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3.9150000000000004E-2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1.44E-2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4.4650000000000002E-2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4.24E-2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3.8000000000000006E-2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2.4199999999999999E-2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5.3999999999999999E-2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3.8349999999999995E-2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1.5299999999999999E-2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4.3550000000000005E-2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4.1249999999999995E-2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3.7949999999999998E-2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2.7349999999999999E-2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5.8049999999999997E-2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3.7599999999999995E-2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1.6449999999999999E-2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4.36E-2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4.2050000000000004E-2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3.6999999999999998E-2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3.2049999999999995E-2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5.5199999999999999E-2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3.7250000000000005E-2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1.5949999999999999E-2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4.36E-2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4.2800000000000005E-2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3.6499999999999998E-2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3.585E-2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5.2400000000000002E-2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3.7499999999999999E-2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1.5599999999999999E-2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4.4200000000000003E-2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4.4900000000000002E-2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3.5650000000000001E-2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3.9800000000000002E-2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5.0449999999999995E-2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3.8600000000000002E-2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1.55E-2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4.4299999999999999E-2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4.5700000000000005E-2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3.49E-2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4.335E-2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4.8750000000000002E-2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4.0250000000000001E-2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1.545E-2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4.4600000000000001E-2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4.6850000000000003E-2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3.4349999999999999E-2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4.4600000000000001E-2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4.795E-2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3.9400000000000004E-2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1.6E-2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4.36E-2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4.65E-2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3.3950000000000001E-2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4.6350000000000002E-2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4.7100000000000003E-2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3.8600000000000002E-2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1.66E-2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4.265E-2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4.6199999999999998E-2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2.2949999999999998E-2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1.5200000000000002E-2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1.5300000000000001E-2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1.54E-2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2.9850000000000002E-2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2.8250000000000001E-2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2.9249999999999998E-2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0.18814999999999998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1.6899999999999998E-2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1.7100000000000001E-2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1.7050000000000003E-2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0.68940000000000001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0.2306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1.19065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0.62959999999999994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1.7599999999999998E-2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9.4500000000000001E-2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5.8249999999999996E-2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1.5407500000000001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0.73849999999999993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3.4430499999999999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1.22885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1.805E-2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1.67655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0.35499999999999998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2.4770000000000003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1.3009499999999998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5.3563000000000001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1.6888000000000001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1.8149999999999999E-2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3.8295500000000002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0.79974999999999996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3.105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1.4769000000000001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6.0088999999999997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1.9538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1.84E-2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4.8977500000000003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1.1255999999999999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3.3889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1.6263000000000001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6.2570499999999996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1.98675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1.515E-2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5.3978999999999999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1.2464500000000001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3.3676500000000003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1.5945499999999999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6.1442499999999995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2.0873499999999998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1.3600000000000001E-2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6.2485499999999998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1.3272499999999998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3.5263499999999999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1.67025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6.0837000000000003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2.0689500000000001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9.7999999999999997E-3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6.5998000000000001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1.3410500000000001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3.7020999999999997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1.63205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5.7442499999999992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2.1121500000000002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5.5999999999999999E-3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7.1936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1.3872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3.9706999999999999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1.6423000000000001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5.6348000000000003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2.1442500000000004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2.8999999999999998E-3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6.5563500000000001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1.2503500000000001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4.0989500000000003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1.3285499999999999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5.2899499999999993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2.1920999999999999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5.9249000000000001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1.12965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4.23665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1.00305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5.0353999999999992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2.2998000000000003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5.0450499999999998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1.2077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4.2757000000000005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0.98414999999999997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5.1845999999999997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2.4108499999999999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4.1792499999999997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1.2979000000000001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4.3291000000000004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0.96819999999999995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5.3667499999999997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2.3936999999999999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4.0204000000000004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1.3548499999999999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4.3493499999999994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1.1291500000000001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5.4668999999999999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2.3858999999999999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3.8638500000000002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1.41055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4.3732500000000005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1.2884500000000001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5.5707000000000004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3.3599999999999998E-2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3.4099999999999998E-2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3.3799999999999997E-2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3.3700000000000001E-2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3.3300000000000003E-2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3.3700000000000001E-2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3.3399999999999999E-2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5.9999999999999995E-4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6.9999999999999999E-4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6.9999999999999999E-4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6.9999999999999999E-4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5.9999999999999995E-4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5.0000000000000001E-4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6.9999999999999999E-4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4.0000000000000002E-4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4.0000000000000002E-4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4.0000000000000002E-4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2.9999999999999997E-4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2.0000000000000001E-4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7.9999999999999993E-4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1.5999999999999999E-3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2.4499999999999999E-3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3.3500000000000001E-3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4.2500000000000003E-3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4.1000000000000003E-3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4.0499999999999998E-3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8.0699999999999994E-2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8.1299999999999997E-2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8.1299999999999997E-2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8.0799999999999997E-2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8.1199999999999994E-2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8.0799999999999997E-2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8.09E-2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7.3800000000000004E-2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8.1600000000000006E-2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8.14E-2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8.09E-2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7.2300000000000003E-2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7.3700000000000002E-2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6.7599999999999993E-2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2.3800000000000002E-2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5.21E-2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5.1400000000000001E-2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5.1400000000000001E-2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7.3000000000000001E-3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1.6299999999999999E-2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8.5000000000000006E-3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7.3000000000000001E-3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2.2499999999999999E-2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1.8100000000000002E-2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2.0199999999999999E-2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2.0000000000000001E-4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3.8999999999999998E-3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2.9999999999999997E-4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8.6999999999999994E-3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2.0000000000000001E-4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4.0000000000000002E-4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2.9999999999999997E-4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5.0000000000000001E-4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1E-4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5.0000000000000001E-4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2.9999999999999997E-4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2.9999999999999997E-4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5.9999999999999995E-4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5.0000000000000001E-4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2.9999999999999997E-4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2.5000000000000001E-4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5.9999999999999995E-4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0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1.5000000000000001E-4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6.4999999999999997E-4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2.9999999999999997E-4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2.0000000000000001E-4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7.5000000000000002E-4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2.0000000000000001E-4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1E-4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8.5000000000000006E-4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8.9999999999999998E-4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9.5E-4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0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8.0000000000000004E-4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8.0000000000000004E-4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6.4999999999999997E-4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5.0000000000000001E-4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1.7999999999999999E-2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1.8100000000000002E-2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1.7999999999999999E-2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1.7999999999999999E-2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1.7999999999999999E-2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1.78E-2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0.01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1.0500000000000001E-2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1.0500000000000001E-2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1.04E-2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1.0500000000000001E-2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3.0999999999999999E-3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3.5999999999999999E-3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3.3999999999999998E-3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3.0999999999999999E-3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2.8999999999999998E-3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0.95289999999999997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1.9053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3.3776000000000002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5.1566999999999998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8.5813000000000006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3.9800000000000002E-2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3.6900000000000002E-2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3.5200000000000002E-2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3.6799999999999999E-2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4.1799999999999997E-2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4.7399999999999998E-2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4.9599999999999998E-2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0.1242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0.14899999999999999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0.18240000000000001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0.19309999999999999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0.2054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0.22869999999999999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3.0000000000000001E-3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3.2000000000000002E-3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7.1999999999999998E-3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1.7299999999999999E-2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4.02E-2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6.9800000000000001E-2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8.0399999999999999E-2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2.9999999999999997E-4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1.8E-3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5.1000000000000004E-3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9.9000000000000008E-3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4.0043999999999995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0.79900000000000004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3.6850000000000001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5.6429999999999998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5.5275000000000007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5.7474999999999996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5.6814999999999998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6.1105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5.6704999999999997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2.2189999999999999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1.4E-2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34.189300000000003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41.742699999999999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23.224799999999998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15.767200000000001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8.6117000000000008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2.5964999999999998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-4.577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54.354799999999997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53.046599999999998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42.360700000000001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39.101599999999998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35.457000000000001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31.277899999999999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26.140499999999999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4.2599999999999999E-2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4.0899999999999999E-2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3.7999999999999999E-2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3.5400000000000001E-2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3.3099999999999997E-2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3.2599999999999997E-2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3.3099999999999997E-2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0.12640000000000001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0.15290000000000001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0.18790000000000001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0.19320000000000001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0.19719999999999999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0.2084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0.22189999999999999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2.8E-3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5.8999999999999999E-3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5.7000000000000002E-3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4.5999999999999999E-3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5.8999999999999999E-3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1.14E-2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4.0701999999999998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2.4722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0.71440000000000003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1.034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0.48879999999999996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3.7345000000000002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6.1379999999999999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4.0095000000000001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5.0490000000000004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6.2645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8.0190000000000001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7.1665000000000001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2.2189999999999999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1.0569999999999999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33.515099999999997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42.824800000000003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27.264099999999999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31.575800000000001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33.578800000000001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38.019500000000001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37.491399999999999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53.660699999999999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53.634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44.162399999999998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51.670999999999999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56.418399999999998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63.634399999999999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65.891900000000007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1.0486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2.3799000000000001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3.7282000000000002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5.2748999999999997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4.2200000000000001E-2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4.02E-2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3.6999999999999998E-2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3.9199999999999999E-2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4.7300000000000002E-2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5.0999999999999997E-2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4.8500000000000001E-2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0.12640000000000001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0.15310000000000001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0.18859999999999999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0.1996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0.2482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0.28289999999999998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2.7000000000000001E-3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2.8E-3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5.8999999999999999E-3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3.8100000000000002E-2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7.0099999999999996E-2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8.43E-2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1.5E-3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3.7000000000000002E-3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8.0999999999999996E-3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1.43E-2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4.0889999999999995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2.4815999999999998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0.70499999999999996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4.7E-2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3.74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6.1709999999999994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4.0315000000000003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3.8170000000000002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3.4375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3.762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2.4255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2.2189999999999999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1.0640000000000001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33.587699999999998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43.697800000000001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28.825900000000001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20.860099999999999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10.155900000000001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-0.192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-10.8195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53.736199999999997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53.725099999999998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44.155999999999999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40.708799999999997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33.697499999999998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26.084199999999999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17.888300000000001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1.4084000000000001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2.5182000000000002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3.8757999999999999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6.0865999999999998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3.9600000000000003E-2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3.8100000000000002E-2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3.5000000000000003E-2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3.61E-2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4.3099999999999999E-2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4.6699999999999998E-2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4.7699999999999999E-2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0.1249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0.15140000000000001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0.1875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0.19769999999999999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0.2039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0.22450000000000001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0.2419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3.0000000000000001E-3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3.0000000000000001E-3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5.7999999999999996E-3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1.44E-2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6.4299999999999996E-2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8.5500000000000007E-2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1.5E-3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4.0000000000000001E-3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7.4000000000000003E-3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1.24E-2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4.0232000000000001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2.4534000000000002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0.70499999999999996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3.7070000000000003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6.1159999999999997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3.9874999999999998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4.125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3.6409999999999996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2.8820000000000001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2.0459999999999998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2.2329999999999997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1.071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33.209299999999999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43.713200000000001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28.6572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19.961200000000002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9.5200999999999993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-2.0358999999999998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-13.687200000000001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53.359499999999997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54.134500000000003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44.7697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40.798499999999997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34.581600000000002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26.254300000000001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17.9709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2.0609000000000002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3.0716999999999999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4.9782000000000002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6.8223000000000003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8.7323000000000004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4.2700000000000002E-2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4.0500000000000001E-2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4.0899999999999999E-2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4.1000000000000002E-2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4.4299999999999999E-2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4.2000000000000003E-2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3.85E-2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0.1234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0.15049999999999999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0.16339999999999999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0.15709999999999999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0.1356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0.1401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0.14630000000000001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3.5000000000000001E-3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3.3999999999999998E-3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7.7000000000000002E-3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1.8800000000000001E-2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4.2599999999999999E-2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7.2099999999999997E-2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8.8599999999999998E-2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4.4999999999999997E-3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1.0800000000000001E-2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1.83E-2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2.7400000000000001E-2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3.0700000000000002E-2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4.0608000000000004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2.6696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0.60160000000000002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5.6399999999999992E-2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3.6739999999999999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5.6595000000000004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4.202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0.8085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0.65450000000000008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1.4355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2.1890000000000001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2.177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1.4E-2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33.687600000000003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40.091200000000001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15.7765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3.8016000000000001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-6.7793999999999999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-17.6419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-24.299099999999999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53.8127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51.328099999999999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35.247599999999998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26.4604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18.494599999999998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10.548299999999999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5.9874999999999998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0.85470000000000002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1.4237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2.1915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3.4198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4.0899999999999999E-2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3.7499999999999999E-2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3.4000000000000002E-2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3.4299999999999997E-2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3.78E-2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4.0500000000000001E-2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4.4400000000000002E-2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0.12520000000000001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0.15090000000000001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0.17530000000000001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0.18809999999999999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0.2011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0.22040000000000001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0.2324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3.0000000000000001E-3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3.5999999999999999E-3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8.8000000000000005E-3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0.02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4.4499999999999998E-2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7.4800000000000005E-2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4.0000000000000002E-4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8.9999999999999998E-4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1.1999999999999999E-3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1.1999999999999999E-3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4.0137999999999998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2.6696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0.99639999999999995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8.4599999999999995E-2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4.7E-2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3.6795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5.6099999999999994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5.9180000000000001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5.0985000000000005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5.1369999999999996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5.17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6.7924999999999995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2.2120000000000002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1.4E-2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33.1892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39.428100000000001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29.4755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20.572500000000002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15.521100000000001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10.005100000000001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4.7317999999999998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53.344900000000003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51.119599999999998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47.793500000000002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43.369399999999999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42.518700000000003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40.043500000000002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37.466299999999997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2.4167999999999998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3.8860000000000001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4.9904999999999999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6.7135999999999996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6.3391999999999999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4.0500000000000001E-2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3.7999999999999999E-2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4.3999999999999997E-2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5.5399999999999998E-2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6.4399999999999999E-2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6.6600000000000006E-2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6.88E-2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0.12180000000000001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0.14649999999999999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0.1792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0.2117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0.23150000000000001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0.26750000000000002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0.29820000000000002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3.0999999999999999E-3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7.1000000000000004E-3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2.1100000000000001E-2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4.6300000000000001E-2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5.7000000000000002E-2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5.9700000000000003E-2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4.0000000000000001E-3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9.1000000000000004E-3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1.72E-2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2.76E-2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3.3399999999999999E-2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3.9950000000000001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2.6696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2.8199999999999996E-2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3.6905000000000006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5.6265000000000001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2.387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0.11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0.20899999999999999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0.187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2.75E-2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2.2120000000000002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1.4E-2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34.093899999999998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41.602699999999999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11.968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-1.0053000000000001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-8.9365000000000006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-16.591999999999999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-22.544699999999999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54.250999999999998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52.911999999999999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31.612500000000001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22.004999999999999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16.648099999999999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11.631500000000001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8.0187000000000008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1.6799999999999999E-2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0.18920000000000001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0.60050000000000003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1.1552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1.6248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1.8778999999999999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1.9891000000000001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2.0792999999999999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2.0552999999999999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2.0912000000000002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2.1312000000000002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2.1867999999999999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2.3140000000000001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2.4449000000000001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2.4207000000000001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2.4051999999999998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4.9799999999999997E-2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5.6399999999999999E-2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6.2100000000000002E-2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6.2600000000000003E-2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6.6299999999999998E-2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6.6100000000000006E-2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6.2899999999999998E-2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5.6800000000000003E-2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5.4899999999999997E-2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5.2999999999999999E-2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5.1499999999999997E-2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5.0200000000000002E-2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4.8500000000000001E-2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4.6699999999999998E-2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4.3900000000000002E-2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4.1300000000000003E-2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0.1188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0.15079999999999999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0.18129999999999999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0.21149999999999999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0.21959999999999999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0.21679999999999999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0.20280000000000001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0.17899999999999999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0.17349999999999999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0.16819999999999999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0.16400000000000001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0.16700000000000001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0.16980000000000001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0.1716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0.17380000000000001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0.17519999999999999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0.1764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9.1000000000000004E-3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1.9300000000000001E-2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3.2399999999999998E-2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4.1599999999999998E-2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4.8300000000000003E-2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5.1700000000000003E-2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5.3699999999999998E-2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5.5E-2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5.6000000000000001E-2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5.6399999999999999E-2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5.7599999999999998E-2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5.91E-2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6.0299999999999999E-2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6.1600000000000002E-2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6.2E-2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6.2E-2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5.4000000000000003E-3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1.7500000000000002E-2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2.92E-2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3.3799999999999997E-2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3.8800000000000001E-2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3.7900000000000003E-2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3.7999999999999999E-2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3.6999999999999998E-2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3.6499999999999998E-2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3.56E-2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3.4799999999999998E-2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3.4299999999999997E-2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3.4000000000000002E-2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3.3500000000000002E-2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5.0000000000000001E-4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8.0699999999999994E-2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6.9500000000000006E-2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1.9099999999999999E-2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7.0000000000000001E-3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2.9999999999999997E-4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1.7999999999999999E-2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9.9000000000000008E-3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3.0999999999999999E-3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38.052599999999998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37.145899999999997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26.892099999999999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14.744899999999999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3.7427000000000001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-2.8315000000000001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-7.5369000000000002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-8.5409000000000006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-9.9940999999999995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-10.3855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-10.797700000000001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-10.910399999999999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-10.9971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-11.3186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-11.6427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-10.42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-9.1997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57.875500000000002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45.105699999999999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36.128500000000003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25.804099999999998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16.556100000000001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10.122400000000001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5.5505000000000004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3.6065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0.85680000000000001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6.0199999999999997E-2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-0.75819999999999999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-1.2139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-1.6448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-1.8363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-2.0314999999999999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-2.1036999999999999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-2.1812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1.4500000000000001E-2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1.5599999999999999E-2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1.6199999999999999E-2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1.6799999999999999E-2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1.6899999999999998E-2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1.72E-2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1.41E-2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1.2500000000000001E-2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8.9999999999999993E-3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5.0000000000000001E-3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2.5999999999999999E-3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4.9200000000000001E-2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5.5399999999999998E-2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5.8799999999999998E-2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5.9499999999999997E-2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5.8799999999999998E-2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5.9299999999999999E-2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6.0199999999999997E-2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5.7500000000000002E-2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5.3800000000000001E-2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5.2499999999999998E-2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5.1299999999999998E-2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4.9299999999999997E-2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4.7199999999999999E-2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4.5199999999999997E-2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4.3099999999999999E-2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4.1099999999999998E-2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3.8800000000000001E-2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0.11799999999999999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0.14979999999999999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0.18090000000000001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0.2016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0.20760000000000001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0.1993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0.18779999999999999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0.16819999999999999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0.1633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0.1603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0.15770000000000001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0.15989999999999999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0.16159999999999999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0.1628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0.1643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0.1663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0.1686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2.8999999999999998E-3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9.1000000000000004E-3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2.6599999999999999E-2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3.2099999999999997E-2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3.5900000000000001E-2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3.8899999999999997E-2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4.19E-2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4.4699999999999997E-2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4.6699999999999998E-2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4.82E-2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4.8899999999999999E-2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4.9599999999999998E-2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5.0200000000000002E-2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5.0900000000000001E-2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5.1499999999999997E-2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5.1999999999999998E-2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5.4000000000000003E-3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9.5999999999999992E-3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1.17E-2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1.5100000000000001E-2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1.9699999999999999E-2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2.3099999999999999E-2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2.5899999999999999E-2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3.0300000000000001E-2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3.39E-2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3.78E-2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4.1200000000000001E-2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4.2500000000000003E-2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4.4200000000000003E-2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3.4099999999999998E-2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6.9999999999999999E-4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4.0000000000000002E-4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4.0000000000000002E-4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8.9999999999999998E-4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1.4E-3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2.5999999999999999E-3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2.5000000000000001E-3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2.5000000000000001E-3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8.1299999999999997E-2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8.1100000000000005E-2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0.05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2.0299999999999999E-2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7.4999999999999997E-3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5.9999999999999995E-4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5.9999999999999995E-4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6.9999999999999999E-4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8.9999999999999998E-4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8.0000000000000004E-4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8.0000000000000004E-4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6.9999999999999999E-4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5.0000000000000001E-4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1.8100000000000002E-2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1.0500000000000001E-2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37.978700000000003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39.1233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32.877499999999998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25.8719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20.340399999999999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15.710800000000001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11.547499999999999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8.4278999999999993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6.3739999999999997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5.3404999999999996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4.4611999999999998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2.9266999999999999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1.49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0.85129999999999995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0.26269999999999999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1.3602000000000001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2.4597000000000002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57.809399999999997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45.839700000000001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41.280299999999997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34.918700000000001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30.146100000000001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26.4527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23.386399999999998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20.022300000000001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17.601600000000001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16.134799999999998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14.819100000000001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13.5817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12.440200000000001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10.988099999999999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9.5844000000000005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8.4298999999999999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7.2793000000000001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1.46E-2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1.5800000000000002E-2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9.2799999999999994E-2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1.7287999999999999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3.9735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4.9428000000000001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5.4585999999999997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6.3277999999999999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6.7420999999999998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7.4249000000000001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6.7872000000000003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6.1642000000000001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5.2079000000000004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4.2712000000000003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4.101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3.9331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5.0500000000000003E-2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5.6000000000000001E-2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5.8599999999999999E-2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6.1800000000000001E-2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7.0099999999999996E-2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7.6100000000000001E-2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7.0999999999999994E-2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6.5699999999999995E-2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5.8400000000000001E-2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5.6000000000000001E-2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5.3699999999999998E-2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5.2400000000000002E-2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5.1299999999999998E-2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4.9200000000000001E-2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4.6899999999999997E-2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4.4299999999999999E-2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4.1700000000000001E-2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0.1197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0.15129999999999999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0.20899999999999999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0.22689999999999999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0.2359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0.2145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0.18659999999999999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0.17549999999999999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0.16950000000000001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0.1646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0.1668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0.16880000000000001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0.16919999999999999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0.16980000000000001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0.17219999999999999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0.17469999999999999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3.0000000000000001E-3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9.2999999999999992E-3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1.8499999999999999E-2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2.86E-2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3.6799999999999999E-2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4.3999999999999997E-2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4.53E-2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4.6600000000000003E-2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4.7600000000000003E-2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4.8500000000000001E-2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4.9000000000000002E-2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5.0099999999999999E-2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5.1299999999999998E-2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5.2200000000000003E-2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5.2999999999999999E-2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5.3499999999999999E-2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5.3800000000000001E-2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5.4999999999999997E-3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9.7999999999999997E-3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1.1299999999999999E-2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1.49E-2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3.6499999999999998E-2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4.2799999999999998E-2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5.2200000000000003E-2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5.4399999999999997E-2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5.8999999999999997E-2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5.5899999999999998E-2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5.2900000000000003E-2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5.0799999999999998E-2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4.9000000000000002E-2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4.82E-2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4.7399999999999998E-2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3.3799999999999997E-2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6.9999999999999999E-4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4.0000000000000002E-4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8.1299999999999997E-2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8.0399999999999999E-2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4.9399999999999999E-2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1.61E-2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1.7999999999999999E-2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1.0500000000000001E-2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3.5000000000000001E-3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38.479500000000002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40.7881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34.925800000000002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15.7857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-10.0922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-22.243500000000001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-26.810700000000001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-26.953600000000002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-26.1752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-25.8674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-25.669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-23.9983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-22.345199999999998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-21.140499999999999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-19.954000000000001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-18.1614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-16.381900000000002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58.288499999999999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46.676299999999998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41.7316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32.4711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9.9040999999999997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1.1067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-1.4456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-2.9963000000000002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-5.1776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-6.2255000000000003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-7.3837000000000002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-6.7651000000000003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-6.1646999999999998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-5.2385999999999999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-4.3319999999999999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-4.1809000000000003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-4.0431999999999997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1.47E-2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1.5800000000000002E-2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4.4600000000000001E-2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0.25779999999999997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0.83550000000000002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1.177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1.3304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1.4158999999999999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1.4383999999999999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1.4937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1.4056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1.3499000000000001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1.3936999999999999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1.4451000000000001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1.4763999999999999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1.5069999999999999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0.05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5.57E-2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5.8700000000000002E-2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5.8700000000000002E-2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5.7599999999999998E-2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0.06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6.2300000000000001E-2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6.0499999999999998E-2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5.5E-2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5.3800000000000001E-2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5.2600000000000001E-2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5.1299999999999998E-2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4.8000000000000001E-2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4.5900000000000003E-2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4.3299999999999998E-2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4.0800000000000003E-2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0.11899999999999999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0.1812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0.20949999999999999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0.21909999999999999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0.21329999999999999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0.1986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0.17630000000000001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0.16950000000000001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0.1648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0.16109999999999999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0.16350000000000001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0.1656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0.16750000000000001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0.16969999999999999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0.17119999999999999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0.17280000000000001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2.8999999999999998E-3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9.1000000000000004E-3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1.8100000000000002E-2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2.6800000000000001E-2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3.2199999999999999E-2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3.49E-2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3.9899999999999998E-2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4.2700000000000002E-2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4.4299999999999999E-2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4.5699999999999998E-2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4.6699999999999998E-2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4.8099999999999997E-2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4.9399999999999999E-2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5.0500000000000003E-2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5.16E-2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5.21E-2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5.2499999999999998E-2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5.4000000000000003E-3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9.7000000000000003E-3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1.0800000000000001E-2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2.18E-2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3.3700000000000001E-2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3.9300000000000002E-2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3.8300000000000001E-2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3.7199999999999997E-2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3.6600000000000001E-2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3.6799999999999999E-2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3.7600000000000001E-2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3.8800000000000001E-2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3.8100000000000002E-2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3.7400000000000003E-2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3.3700000000000001E-2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6.9999999999999999E-4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4.0000000000000002E-4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8.09E-2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7.9899999999999999E-2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4.9399999999999999E-2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1.78E-2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4.0000000000000002E-4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1.7999999999999999E-2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1.04E-2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38.086500000000001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39.945300000000003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33.859499999999997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16.259799999999998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-1.7333000000000001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-9.0035000000000007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-12.9329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-13.456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-13.537100000000001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-13.7014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-13.841100000000001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-15.0985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-16.4208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-16.966699999999999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-17.486499999999999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-15.5883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-13.6852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57.9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46.238799999999998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41.463000000000001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32.652299999999997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16.1371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9.6827000000000005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6.1829999999999998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4.2583000000000002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2.5750999999999999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1.6083000000000001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0.66479999999999995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0.1101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-0.51100000000000001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-0.82699999999999996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-1.1173999999999999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-1.2844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-1.4471000000000001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2.9899999999999999E-2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0.66930000000000001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1.4982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2.3954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3.0392999999999999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3.3077999999999999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3.4830000000000001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3.7524000000000002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3.8984000000000001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4.0918000000000001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4.2107000000000001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4.3436000000000003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4.3669000000000002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4.4063999999999997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4.3419999999999996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4.2857000000000003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5.0099999999999999E-2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4.8500000000000001E-2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4.1500000000000002E-2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4.0099999999999997E-2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3.6999999999999998E-2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3.4299999999999997E-2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3.2500000000000001E-2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2.98E-2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2.6800000000000001E-2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2.5999999999999999E-2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2.52E-2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2.4899999999999999E-2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2.4500000000000001E-2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2.4299999999999999E-2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2.4199999999999999E-2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2.35E-2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2.2800000000000001E-2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0.12089999999999999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0.1515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0.1716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0.1988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0.2051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0.1973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0.18229999999999999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0.159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0.1507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0.14699999999999999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0.1439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0.1484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0.1525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0.15509999999999999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0.15790000000000001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0.15920000000000001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0.16059999999999999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2.0299999999999999E-2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3.2399999999999998E-2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3.7900000000000003E-2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3.9899999999999998E-2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4.2799999999999998E-2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4.4200000000000003E-2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4.4999999999999998E-2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4.5199999999999997E-2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4.5999999999999999E-2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4.6899999999999997E-2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4.7600000000000003E-2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4.8300000000000003E-2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4.8300000000000003E-2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4.8300000000000003E-2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4.3E-3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7.1999999999999998E-3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8.8000000000000005E-3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1.0200000000000001E-2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9.2999999999999992E-3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9.7000000000000003E-3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1.32E-2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1.37E-2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1.3599999999999999E-2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1.3899999999999999E-2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1.6799999999999999E-2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3.3300000000000003E-2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5.9999999999999995E-4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8.1199999999999994E-2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7.0900000000000005E-2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6.4999999999999997E-3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1.0500000000000001E-2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3.3999999999999998E-3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38.722900000000003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34.985100000000003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13.2011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-2.5962999999999998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-14.230600000000001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-21.7681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-24.519100000000002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-25.470700000000001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-25.1158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-22.9465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-20.827100000000002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-22.791899999999998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-24.746700000000001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-24.0489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-23.3582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-24.566099999999999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-25.758500000000002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58.508600000000001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44.282600000000002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25.633700000000001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14.4862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5.8255999999999997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1.3512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7.9899999999999999E-2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-0.51290000000000002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-1.1926000000000001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-1.6195999999999999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-2.0960999999999999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-2.5916000000000001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-3.077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-3.1968000000000001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-3.3241999999999998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-3.5133999999999999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-3.6869000000000001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2.86E-2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0.22939999999999999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0.66859999999999997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1.1978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1.3692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1.5278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1.5887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1.6635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1.6266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1.6400999999999999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1.3565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1.0640000000000001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1.0650999999999999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1.0691999999999999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1.2414000000000001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1.4121999999999999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4.9599999999999998E-2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5.6599999999999998E-2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5.8200000000000002E-2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6.4500000000000002E-2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6.6000000000000003E-2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6.3799999999999996E-2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6.0400000000000002E-2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5.5E-2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5.3499999999999999E-2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5.2299999999999999E-2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5.04E-2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4.82E-2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4.5900000000000003E-2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4.3799999999999999E-2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4.1700000000000001E-2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3.95E-2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0.1176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0.15049999999999999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0.2102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0.22189999999999999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0.21340000000000001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0.19739999999999999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0.1741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0.1691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0.1648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0.16139999999999999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0.16350000000000001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0.1648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0.1658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0.16700000000000001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0.16850000000000001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0.17030000000000001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3.0000000000000001E-3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9.2999999999999992E-3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1.8499999999999999E-2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2.8199999999999999E-2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3.4000000000000002E-2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3.7900000000000003E-2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4.0599999999999997E-2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4.2799999999999998E-2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4.4999999999999998E-2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4.6600000000000003E-2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4.8000000000000001E-2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4.9200000000000001E-2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5.0099999999999999E-2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5.0799999999999998E-2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5.1499999999999997E-2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5.1999999999999998E-2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5.2400000000000002E-2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5.3E-3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9.2999999999999992E-3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1.2800000000000001E-2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2.7900000000000001E-2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3.5099999999999999E-2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3.9399999999999998E-2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4.4400000000000002E-2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4.3200000000000002E-2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4.3299999999999998E-2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4.3200000000000002E-2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4.3700000000000003E-2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4.3799999999999999E-2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4.3999999999999997E-2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4.2999999999999997E-2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4.2000000000000003E-2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3.3700000000000001E-2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8.0799999999999997E-2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7.2099999999999997E-2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1.7100000000000001E-2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2.9999999999999997E-4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2.9999999999999997E-4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2.9999999999999997E-4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2.9999999999999997E-4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2.0000000000000001E-4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1.7999999999999999E-2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0.01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3.0999999999999999E-3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37.972200000000001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35.751399999999997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24.239799999999999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13.267099999999999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4.1382000000000003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-1.95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-6.0627000000000004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-7.5381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-8.2678999999999991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-8.3116000000000003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-8.3767999999999994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-8.7545000000000002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-9.0764999999999993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-8.8614999999999995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-8.6453000000000007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-6.7838000000000003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-4.9279000000000002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57.797499999999999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44.813099999999999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34.890799999999999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24.793500000000002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16.557500000000001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11.049899999999999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7.6269999999999998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5.0864000000000003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2.9222999999999999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1.9120999999999999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0.87880000000000003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0.78439999999999999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0.74260000000000004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0.65690000000000004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0.57050000000000001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0.28520000000000001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-4.7000000000000002E-3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2.9000000000000001E-2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1.1376999999999999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3.2303000000000002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5.2864000000000004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5.8701999999999996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6.1749000000000001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6.1996000000000002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6.1878000000000002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5.8846999999999996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5.8643000000000001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5.3983999999999996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5.0039999999999996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5.1668000000000003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5.3712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5.4650999999999996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5.5648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4.9700000000000001E-2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5.67E-2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5.7500000000000002E-2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6.7000000000000004E-2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7.6300000000000007E-2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7.4899999999999994E-2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7.0300000000000001E-2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6.6199999999999995E-2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6.1600000000000002E-2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0.06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5.8299999999999998E-2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5.6500000000000002E-2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5.4800000000000001E-2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5.2999999999999999E-2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5.1299999999999998E-2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4.8099999999999997E-2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4.4900000000000002E-2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0.1187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0.1517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0.183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0.23169999999999999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0.25390000000000001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0.2384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0.21379999999999999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0.1867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0.1822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0.1754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0.1696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0.1714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0.1729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0.1744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0.17610000000000001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0.17799999999999999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2.8999999999999998E-3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9.5999999999999992E-3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2.06E-2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3.7900000000000003E-2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5.0999999999999997E-2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5.5199999999999999E-2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5.6300000000000003E-2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5.74E-2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5.91E-2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6.0400000000000002E-2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6.1199999999999997E-2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6.2199999999999998E-2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6.3100000000000003E-2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6.4000000000000001E-2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6.4199999999999993E-2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6.4199999999999993E-2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5.4000000000000003E-3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1.2500000000000001E-2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2.1600000000000001E-2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2.8500000000000001E-2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3.5000000000000003E-2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3.8300000000000001E-2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3.9899999999999998E-2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4.2500000000000003E-2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4.1599999999999998E-2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4.3099999999999999E-2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4.3200000000000002E-2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4.4400000000000002E-2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4.53E-2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4.6699999999999998E-2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4.6399999999999997E-2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4.6199999999999998E-2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3.3300000000000003E-2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5.0000000000000001E-4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8.1000000000000003E-2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6.6699999999999995E-2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8.8000000000000005E-3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1.7899999999999999E-2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9.7999999999999997E-3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3.0000000000000001E-3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38.312399999999997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36.075600000000001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18.793099999999999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-3.2940999999999998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-16.4817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-19.9696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-20.7547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-20.1831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-19.869599999999998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-17.425599999999999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-15.1852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-16.473700000000001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-17.827200000000001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-16.7879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-15.7979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-16.854700000000001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-17.943000000000001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58.140099999999997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44.690300000000001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30.221699999999998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13.510899999999999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1.4225000000000001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-2.3565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-4.1338999999999997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-4.5955000000000004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-5.7571000000000003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-5.7432999999999996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-5.9329000000000001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-5.5079000000000002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-5.1485000000000003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-5.32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-5.5415999999999999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-5.6425999999999998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-5.7747999999999999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2.9100000000000001E-2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0.17199999999999999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0.59119999999999995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1.1653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1.5935999999999999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1.8653999999999999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1.9843999999999999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2.0954000000000002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2.0825999999999998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2.1331000000000002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2.1573000000000002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2.1974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2.2856000000000001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2.3767999999999998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2.3666999999999998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2.3666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4.9599999999999998E-2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5.6399999999999999E-2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5.7799999999999997E-2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6.1199999999999997E-2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6.6400000000000001E-2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6.6500000000000004E-2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6.3500000000000001E-2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5.74E-2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5.5800000000000002E-2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5.4199999999999998E-2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5.28E-2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5.1400000000000001E-2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4.9599999999999998E-2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4.7899999999999998E-2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4.5199999999999997E-2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4.24E-2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0.11890000000000001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0.2112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0.21909999999999999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0.21740000000000001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0.20449999999999999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0.18110000000000001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0.17560000000000001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0.17100000000000001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0.16739999999999999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0.17069999999999999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0.17369999999999999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0.17549999999999999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0.1777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0.1797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0.18179999999999999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2.8E-3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8.9999999999999993E-3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1.9300000000000001E-2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3.2300000000000002E-2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4.1599999999999998E-2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4.8500000000000001E-2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5.2299999999999999E-2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5.4300000000000001E-2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5.5800000000000002E-2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5.7000000000000002E-2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5.7799999999999997E-2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5.91E-2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6.0600000000000001E-2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6.1899999999999997E-2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6.3299999999999995E-2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6.3899999999999998E-2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6.4199999999999993E-2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5.4999999999999997E-3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9.5999999999999992E-3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1.32E-2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1.67E-2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2.3300000000000001E-2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2.92E-2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3.4099999999999998E-2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3.9199999999999999E-2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3.8100000000000002E-2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3.7900000000000003E-2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3.6999999999999998E-2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3.6499999999999998E-2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3.5700000000000003E-2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3.5000000000000003E-2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3.44E-2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3.39E-2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3.3599999999999998E-2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5.9999999999999995E-4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8.0699999999999994E-2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7.3800000000000004E-2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2.3800000000000002E-2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7.3000000000000001E-3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2.9999999999999997E-4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2.9999999999999997E-4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1.7999999999999999E-2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0.01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3.0999999999999999E-3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38.065300000000001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36.516100000000002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26.7593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13.4886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3.1677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-3.7204999999999999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-7.8985000000000003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-9.4646000000000008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-10.725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-11.219099999999999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-11.722300000000001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-11.5573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-11.377800000000001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-11.483700000000001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-11.588200000000001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-10.400600000000001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-9.2182999999999993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57.883800000000001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45.296900000000001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36.816699999999997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26.186199999999999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16.854099999999999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10.126200000000001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5.9177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3.2090999999999998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0.54139999999999999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-0.30470000000000003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-1.1603000000000001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-1.4842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-1.7947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-1.9039999999999999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-2.0131999999999999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-2.0998000000000001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-2.1924999999999999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1.5900000000000001E-2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1.8200000000000001E-2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1.9E-2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1.9300000000000001E-2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1.9400000000000001E-2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1.9599999999999999E-2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1.6199999999999999E-2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1.47E-2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1.06E-2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6.1999999999999998E-3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3.2000000000000002E-3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4.9099999999999998E-2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5.4800000000000001E-2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5.8599999999999999E-2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5.9400000000000001E-2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5.8799999999999998E-2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5.96E-2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6.08E-2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5.8400000000000001E-2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5.4800000000000001E-2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5.3699999999999998E-2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5.0999999999999997E-2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4.9200000000000001E-2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4.7E-2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4.5100000000000001E-2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4.2999999999999997E-2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4.0899999999999999E-2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0.1176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0.1487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0.20169999999999999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0.2084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0.19989999999999999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0.18890000000000001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0.1696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0.16450000000000001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0.16220000000000001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0.16039999999999999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0.16400000000000001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0.16719999999999999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0.16869999999999999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0.17050000000000001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0.17299999999999999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0.17560000000000001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8.9999999999999993E-3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1.7899999999999999E-2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2.6599999999999999E-2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3.2199999999999999E-2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3.61E-2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3.9300000000000002E-2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4.2299999999999997E-2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4.4999999999999998E-2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4.7E-2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4.8500000000000001E-2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5.1200000000000002E-2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5.21E-2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5.3100000000000001E-2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5.3800000000000001E-2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5.4399999999999997E-2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5.4999999999999997E-3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9.7000000000000003E-3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1.1599999999999999E-2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1.5299999999999999E-2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2.1100000000000001E-2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2.53E-2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2.8799999999999999E-2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3.3799999999999997E-2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3.78E-2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4.1799999999999997E-2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4.5499999999999999E-2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4.6699999999999998E-2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4.8500000000000001E-2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3.4000000000000002E-2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6.9999999999999999E-4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4.0000000000000002E-4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1.1999999999999999E-3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2.3E-3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3.5000000000000001E-3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4.7000000000000002E-3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5.8999999999999999E-3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5.7000000000000002E-3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5.5999999999999999E-3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8.1100000000000005E-2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8.1600000000000006E-2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5.21E-2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2.2499999999999999E-2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8.6999999999999994E-3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5.9999999999999995E-4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5.9999999999999995E-4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8.9999999999999998E-4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8.9999999999999998E-4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8.0000000000000004E-4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5.9999999999999995E-4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5.0000000000000001E-4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1.8100000000000002E-2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1.0500000000000001E-2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3.5999999999999999E-3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37.867800000000003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39.208799999999997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32.988100000000003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26.073399999999999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20.693000000000001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15.664899999999999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11.9513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9.1524000000000001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7.2590000000000003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6.0420999999999996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5.0708000000000002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3.2888999999999999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1.5826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0.86119999999999997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0.14599999999999999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1.4055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2.6979000000000002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57.701300000000003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45.9054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41.3825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35.122500000000002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30.482700000000001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26.3765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23.744399999999999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20.691600000000001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18.4495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16.7971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15.387499999999999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13.9183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12.523199999999999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11.0139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9.5083000000000002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8.5152999999999999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7.5563000000000002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1.6E-2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1.84E-2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9.6000000000000002E-2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1.6243000000000001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3.9308999999999998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4.8526999999999996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5.3372000000000002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6.1692999999999998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6.4574999999999996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6.9622999999999999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6.3254999999999999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5.6856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4.8822000000000001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4.0872999999999999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3.9398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3.7946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5.0500000000000003E-2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5.5800000000000002E-2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5.8500000000000003E-2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6.1899999999999997E-2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7.0300000000000001E-2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7.6999999999999999E-2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7.2099999999999997E-2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6.7000000000000004E-2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5.96E-2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5.7500000000000002E-2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5.5300000000000002E-2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5.3900000000000003E-2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5.2699999999999997E-2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5.0700000000000002E-2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4.8599999999999997E-2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4.5699999999999998E-2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4.2799999999999998E-2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0.1196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0.18190000000000001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0.20949999999999999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0.22720000000000001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0.2374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0.2167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0.18909999999999999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0.17799999999999999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0.17249999999999999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0.16789999999999999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0.17019999999999999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0.17230000000000001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0.1731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0.1744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0.17649999999999999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0.1789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9.2999999999999992E-3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1.8499999999999999E-2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2.87E-2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3.6900000000000002E-2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4.4499999999999998E-2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4.6100000000000002E-2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4.7300000000000002E-2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4.8300000000000003E-2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4.9299999999999997E-2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5.0999999999999997E-2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5.2299999999999999E-2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5.3499999999999999E-2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5.4600000000000003E-2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5.5100000000000003E-2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5.5599999999999997E-2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5.7000000000000002E-3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9.9000000000000008E-3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1.15E-2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1.4999999999999999E-2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2.5499999999999998E-2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3.6799999999999999E-2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4.3099999999999999E-2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5.3600000000000002E-2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5.7099999999999998E-2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5.45E-2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5.1900000000000002E-2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5.0099999999999999E-2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4.8500000000000001E-2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4.7699999999999999E-2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4.6800000000000001E-2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3.3799999999999997E-2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6.9999999999999999E-4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4.0000000000000002E-4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8.1299999999999997E-2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8.14E-2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5.1400000000000001E-2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1.8100000000000002E-2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1.7999999999999999E-2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1.04E-2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3.5999999999999999E-3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38.4739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41.000900000000001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35.074800000000003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15.803900000000001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-9.3853000000000009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-21.3506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-26.008199999999999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-25.2334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-24.0808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-23.819199999999999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-23.642199999999999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-22.222899999999999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-20.799299999999999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-19.832699999999999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-18.873999999999999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-17.207899999999999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-15.528600000000001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58.284500000000001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46.865200000000002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41.871000000000002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32.768599999999999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10.4991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1.3162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-2.4396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-3.3885000000000001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-5.0121000000000002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-5.9123999999999999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-6.8981000000000003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-6.3055000000000003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-5.7092999999999998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-4.9112999999999998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-4.1223999999999998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-3.9994000000000001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-3.8628999999999998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1.61E-2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1.83E-2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5.3999999999999999E-2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0.2797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0.76400000000000001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1.0742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1.1625000000000001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1.2385999999999999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1.2437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1.2806999999999999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1.0951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0.90939999999999999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1.0217000000000001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1.1507000000000001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1.2333000000000001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1.3141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4.9399999999999999E-2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5.8299999999999998E-2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5.8599999999999999E-2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5.7799999999999997E-2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6.1899999999999997E-2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6.4600000000000005E-2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6.2E-2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5.7099999999999998E-2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5.5899999999999998E-2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5.4600000000000003E-2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5.28E-2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5.1200000000000002E-2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4.8599999999999997E-2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4.5699999999999998E-2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4.36E-2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4.1500000000000002E-2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0.1173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0.1482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0.1794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0.20699999999999999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0.2172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0.2167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0.20080000000000001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0.1782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0.1719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0.16739999999999999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0.1638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0.1663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0.16869999999999999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0.1704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0.17219999999999999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0.1744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0.17660000000000001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3.0000000000000001E-3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1.83E-2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2.7400000000000001E-2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3.3300000000000003E-2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3.7999999999999999E-2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4.2299999999999997E-2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4.4299999999999999E-2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4.5900000000000003E-2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4.7500000000000001E-2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4.8599999999999997E-2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0.05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5.1700000000000003E-2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5.2699999999999997E-2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5.3600000000000002E-2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5.4199999999999998E-2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5.4600000000000003E-2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5.5999999999999999E-3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9.7999999999999997E-3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1.0999999999999999E-2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1.83E-2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2.7E-2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3.27E-2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3.8399999999999997E-2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3.7999999999999999E-2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3.7900000000000003E-2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3.8199999999999998E-2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3.9600000000000003E-2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4.1700000000000001E-2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4.07E-2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3.9800000000000002E-2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3.3799999999999997E-2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6.9999999999999999E-4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4.0000000000000002E-4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8.0699999999999994E-2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8.09E-2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5.1400000000000001E-2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2.0199999999999999E-2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5.0000000000000001E-4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5.0000000000000001E-4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5.0000000000000001E-4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1.7899999999999999E-2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1.04E-2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37.989600000000003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40.062100000000001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34.0154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18.677700000000002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0.99680000000000002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-8.3405000000000005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-13.6214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-14.152100000000001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-14.050700000000001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-13.9003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-13.7494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-14.2514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-14.7247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-14.8757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-14.961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-12.9948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-11.0138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57.804099999999998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46.332900000000002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41.611899999999999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33.221699999999998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17.978400000000001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10.8117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6.6726999999999999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4.8569000000000004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3.1888000000000001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2.2881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1.3869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1.1580999999999999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0.95689999999999997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0.40310000000000001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-8.72E-2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-0.37159999999999999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-0.64039999999999997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2.98E-2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0.67959999999999998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1.5149999999999999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2.4096000000000002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3.0013000000000001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3.2040999999999999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3.2523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3.3003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3.5057999999999998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3.8496000000000001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3.9872000000000001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4.1296999999999997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4.1844999999999999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4.2518000000000002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4.3567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4.4607999999999999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5.0200000000000002E-2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4.8500000000000001E-2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4.1300000000000003E-2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4.0099999999999997E-2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3.7499999999999999E-2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3.5299999999999998E-2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3.3700000000000001E-2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3.0700000000000002E-2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2.7099999999999999E-2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2.6499999999999999E-2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2.5499999999999998E-2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2.52E-2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2.4899999999999999E-2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2.4799999999999999E-2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2.4299999999999999E-2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2.3900000000000001E-2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0.1207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0.15140000000000001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0.17119999999999999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0.1986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0.2069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0.20200000000000001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0.18790000000000001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0.16220000000000001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0.15279999999999999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0.14779999999999999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0.15229999999999999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0.1565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0.15890000000000001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0.1615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0.16370000000000001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0.16600000000000001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3.3E-3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2.01E-2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3.2300000000000002E-2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3.8300000000000001E-2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0.04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3.7999999999999999E-2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4.2999999999999997E-2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4.41E-2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4.4999999999999998E-2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4.53E-2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4.6100000000000002E-2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4.7100000000000003E-2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4.8800000000000003E-2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4.9000000000000002E-2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4.9099999999999998E-2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4.4999999999999997E-3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7.4000000000000003E-3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8.8999999999999999E-3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1.0500000000000001E-2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1.0200000000000001E-2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1.66E-2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1.7399999999999999E-2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1.8800000000000001E-2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1.8200000000000001E-2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1.78E-2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1.7399999999999999E-2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1.7000000000000001E-2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1.67E-2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1.6400000000000001E-2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3.3300000000000003E-2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5.9999999999999995E-4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8.1199999999999994E-2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7.2300000000000003E-2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7.3000000000000001E-3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1.7999999999999999E-2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1.06E-2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3.3999999999999998E-3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38.697200000000002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34.130000000000003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12.2949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-3.0644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-13.684100000000001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-20.8444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-24.4374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-26.257100000000001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-25.589500000000001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-23.135999999999999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-20.8064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-22.011399999999998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-23.206099999999999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-21.8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-20.401299999999999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-21.861799999999999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-23.317699999999999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58.483199999999997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44.369500000000002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25.857600000000001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14.5023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5.7796000000000003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1.2417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6.8000000000000005E-2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-1.0620000000000001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-1.5266999999999999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-2.0952999999999999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-2.7875000000000001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-3.0649999999999999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-3.3319999999999999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-3.4571999999999998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-3.5907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-3.7648000000000001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-3.9344999999999999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2.81E-2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0.23180000000000001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0.67610000000000003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1.2060999999999999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1.3819999999999999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1.5212000000000001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1.6004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1.677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1.6375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1.6445000000000001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1.3006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0.94210000000000005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0.9032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0.86719999999999997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1.0168999999999999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1.1647000000000001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4.9599999999999998E-2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5.8200000000000002E-2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6.2300000000000001E-2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6.5000000000000002E-2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6.6600000000000006E-2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6.4500000000000002E-2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6.13E-2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5.5899999999999998E-2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5.4800000000000001E-2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5.3499999999999999E-2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5.1700000000000003E-2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4.9799999999999997E-2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4.7300000000000002E-2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4.4999999999999998E-2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4.2999999999999997E-2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4.1000000000000002E-2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0.1176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0.15040000000000001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0.18010000000000001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0.21060000000000001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0.2223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0.2142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0.1988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0.17599999999999999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0.1711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0.1673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0.1643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0.16689999999999999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0.16889999999999999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0.17050000000000001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0.17219999999999999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0.1744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0.17680000000000001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3.0000000000000001E-3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9.4000000000000004E-3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1.8599999999999998E-2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2.8299999999999999E-2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3.4099999999999998E-2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3.8100000000000002E-2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4.0899999999999999E-2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4.3299999999999998E-2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4.5600000000000002E-2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4.7399999999999998E-2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4.8800000000000003E-2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5.0099999999999999E-2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5.1299999999999998E-2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5.2200000000000003E-2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5.3100000000000001E-2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5.3699999999999998E-2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5.4199999999999998E-2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9.2999999999999992E-3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1.2699999999999999E-2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1.83E-2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2.7900000000000001E-2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3.5400000000000001E-2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3.9800000000000002E-2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4.4900000000000002E-2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4.3900000000000002E-2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4.3900000000000002E-2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4.3999999999999997E-2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4.4699999999999997E-2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4.48E-2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4.5199999999999997E-2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4.4200000000000003E-2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4.3299999999999998E-2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3.3799999999999997E-2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8.0799999999999997E-2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7.3700000000000002E-2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1.6299999999999999E-2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3.8999999999999998E-3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2.9999999999999997E-4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2.9999999999999997E-4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2.9999999999999997E-4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2.0000000000000001E-4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1.7999999999999999E-2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3.0999999999999999E-3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37.9758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36.290399999999998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24.6755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13.7776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4.5979000000000001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-1.2902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-5.5582000000000003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-6.3038999999999996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-7.0698999999999996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-7.2469999999999999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-7.4351000000000003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-7.8711000000000002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-8.2523999999999997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-8.0358000000000001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-7.7980999999999998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-5.9078999999999997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-4.0073999999999996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57.801400000000001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44.718600000000002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34.679600000000001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24.660299999999999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16.439800000000002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11.130599999999999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7.5240999999999998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5.6696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3.4253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2.298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1.1596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1.0498000000000001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0.99019999999999997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0.93179999999999996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0.89229999999999998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0.61339999999999995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0.34570000000000001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2.9600000000000001E-2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1.1835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3.3973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5.4261999999999997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5.8426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6.0853000000000002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6.0888999999999998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5.9795999999999996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5.6037999999999997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5.4053000000000004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5.1814999999999998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5.0667999999999997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5.2023999999999999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5.3623000000000003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5.4687000000000001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5.5766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5.1499999999999997E-2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5.96E-2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6.1600000000000002E-2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7.3499999999999996E-2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8.5199999999999998E-2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8.4400000000000003E-2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8.0600000000000005E-2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7.7899999999999997E-2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7.3200000000000001E-2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7.17E-2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7.0000000000000007E-2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6.8000000000000005E-2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6.6100000000000006E-2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6.4000000000000001E-2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6.2E-2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5.8500000000000003E-2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5.4899999999999997E-2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0.11890000000000001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0.15090000000000001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0.22850000000000001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0.24909999999999999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0.23219999999999999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0.2109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0.18640000000000001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0.18210000000000001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0.17519999999999999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0.16930000000000001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0.17269999999999999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0.17460000000000001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0.1769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0.1794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0.18210000000000001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9.7999999999999997E-3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2.12E-2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3.9100000000000003E-2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5.28E-2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5.7099999999999998E-2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5.8799999999999998E-2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6.0400000000000002E-2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6.2199999999999998E-2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6.3399999999999998E-2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6.4199999999999993E-2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6.5299999999999997E-2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6.6500000000000004E-2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6.7599999999999993E-2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6.8699999999999997E-2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6.9000000000000006E-2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6.9099999999999995E-2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5.4999999999999997E-3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1.2699999999999999E-2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2.2200000000000001E-2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2.9499999999999998E-2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3.6400000000000002E-2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3.9300000000000002E-2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4.02E-2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4.2299999999999997E-2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4.0899999999999999E-2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4.1000000000000002E-2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4.24E-2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4.5400000000000003E-2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4.6100000000000002E-2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4.7E-2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4.6600000000000003E-2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4.6199999999999998E-2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6.9999999999999999E-4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8.09E-2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6.7599999999999993E-2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8.5000000000000006E-3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1.78E-2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38.363999999999997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35.397399999999998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17.465800000000002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-3.0811999999999999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-16.920400000000001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-20.174099999999999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-21.694500000000001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-20.7746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-19.500299999999999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-16.951000000000001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-14.5321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-16.139900000000001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-17.836200000000002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-16.808299999999999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-15.8025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-16.918900000000001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-18.027999999999999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58.177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44.805799999999998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29.697199999999999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13.081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1.1712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-2.3292999999999999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-4.8776999999999999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-5.1802000000000001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-5.4766000000000004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-5.3529999999999998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-5.3597000000000001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-5.2026000000000003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-5.1337999999999999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-5.2857000000000003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-5.5903999999999998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-5.7126999999999999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2.9100000000000001E-2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0.18709999999999999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0.65869999999999995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1.2924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1.7527999999999999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2.0297000000000001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4.9500000000000002E-2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5.6500000000000002E-2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5.74E-2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6.0999999999999999E-2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6.6699999999999995E-2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6.7100000000000007E-2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0.1188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0.15140000000000001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0.18240000000000001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0.21160000000000001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0.2203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0.21990000000000001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0.2069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2.8E-3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8.9999999999999993E-3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1.9300000000000001E-2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3.2300000000000002E-2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4.1799999999999997E-2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4.9000000000000002E-2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5.2999999999999999E-2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5.4999999999999997E-3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1.3599999999999999E-2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1.7399999999999999E-2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2.3800000000000002E-2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2.9600000000000001E-2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3.3599999999999998E-2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5.9999999999999995E-4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8.0799999999999997E-2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7.5399999999999995E-2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2.4899999999999999E-2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7.4999999999999997E-3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2.9999999999999997E-4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2.9999999999999997E-4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1.7999999999999999E-2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0.01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3.0999999999999999E-3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38.077300000000001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36.899299999999997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27.494800000000001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14.8025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4.5260999999999996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-2.4459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-6.7365000000000004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57.899799999999999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45.628399999999999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37.387300000000003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26.488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16.951899999999998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9.9573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5.6033999999999997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1.9099999999999999E-2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2.0899999999999998E-2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2.1600000000000001E-2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2.18E-2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2.2499999999999999E-2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2.3E-2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5.0999999999999997E-2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5.7099999999999998E-2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0.06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6.0299999999999999E-2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5.8700000000000002E-2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5.91E-2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6.0199999999999997E-2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0.12189999999999999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0.15440000000000001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0.184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0.20319999999999999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0.20860000000000001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0.20039999999999999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0.19070000000000001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2.7000000000000001E-3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8.8000000000000005E-3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1.77E-2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2.6700000000000002E-2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3.2099999999999997E-2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3.5999999999999997E-2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3.9300000000000002E-2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5.7000000000000002E-3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9.7999999999999997E-3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1.1900000000000001E-2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1.5299999999999999E-2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3.44E-2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6.9999999999999999E-4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4.0000000000000002E-4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8.2299999999999998E-2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8.3599999999999994E-2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5.2400000000000002E-2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2.2800000000000001E-2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5.9999999999999995E-4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1.83E-2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1.06E-2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3.5999999999999999E-3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38.559800000000003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39.518999999999998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33.120100000000001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25.717600000000001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20.376100000000001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15.443199999999999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11.395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58.378700000000002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46.235100000000003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41.542700000000004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34.7836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30.1843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26.159700000000001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23.159400000000002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1.89E-2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2.0500000000000001E-2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9.2999999999999999E-2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1.4343999999999999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3.5764999999999998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4.3620000000000001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5.0200000000000002E-2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5.5899999999999998E-2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5.8400000000000001E-2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5.8900000000000001E-2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6.8500000000000005E-2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7.4399999999999994E-2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6.8099999999999994E-2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0.12189999999999999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0.18559999999999999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0.2132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0.2306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0.2414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0.2198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2.5999999999999999E-3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8.6999999999999994E-3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1.7500000000000002E-2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2.8000000000000001E-2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3.6499999999999998E-2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4.4299999999999999E-2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4.5600000000000002E-2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5.7000000000000002E-3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9.7000000000000003E-3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1.4999999999999999E-2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2.52E-2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3.5999999999999997E-2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3.44E-2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5.9999999999999995E-4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2.9999999999999997E-4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8.2400000000000001E-2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8.3699999999999997E-2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5.2400000000000002E-2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1.8200000000000001E-2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1.84E-2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1.0699999999999999E-2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38.5428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40.247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34.628700000000002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16.402000000000001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-8.6021000000000001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-21.056899999999999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-25.799499999999998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58.3673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46.184899999999999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41.489800000000002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32.881399999999999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10.8775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1.2888999999999999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-2.4491999999999998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1.8499999999999999E-2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2.07E-2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6.25E-2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0.43030000000000002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0.69099999999999995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0.98440000000000005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4.8899999999999999E-2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5.3999999999999999E-2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5.6399999999999999E-2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5.6300000000000003E-2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5.4100000000000002E-2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5.9499999999999997E-2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6.1600000000000002E-2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0.1188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0.15029999999999999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0.18260000000000001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0.21179999999999999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0.22239999999999999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0.22289999999999999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0.2039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2.8999999999999998E-3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8.9999999999999993E-3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1.7999999999999999E-2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2.7099999999999999E-2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3.2800000000000003E-2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3.8199999999999998E-2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4.2700000000000002E-2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5.5999999999999999E-3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9.7999999999999997E-3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1.35E-2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2.1100000000000001E-2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3.0599999999999999E-2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3.3700000000000001E-2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5.9999999999999995E-4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2.9999999999999997E-4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8.0799999999999997E-2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8.1199999999999994E-2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5.1400000000000001E-2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2.0400000000000001E-2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2.9999999999999997E-4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2.9999999999999997E-4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1.7999999999999999E-2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1.0500000000000001E-2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38.073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39.733800000000002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33.896599999999999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18.16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0.4904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-10.0825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-16.452100000000002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57.8919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46.055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41.539099999999998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33.305999999999997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18.851700000000001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10.325699999999999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5.0721999999999996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3.0499999999999999E-2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0.69920000000000004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1.5665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2.5444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3.1707000000000001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3.47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5.2600000000000001E-2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5.1499999999999997E-2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4.4499999999999998E-2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4.3900000000000002E-2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4.19E-2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0.04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3.85E-2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0.12189999999999999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0.1525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0.1711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0.1973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0.2054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0.20130000000000001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0.18809999999999999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3.3999999999999998E-3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1.04E-2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2.0899999999999998E-2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3.3799999999999997E-2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4.1000000000000002E-2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4.3299999999999998E-2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4.24E-2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4.4000000000000003E-3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7.4000000000000003E-3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8.9999999999999993E-3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1.0699999999999999E-2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1.04E-2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1.0699999999999999E-2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3.3399999999999999E-2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8.0000000000000004E-4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8.1100000000000005E-2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7.3200000000000001E-2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8.0999999999999996E-3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1.78E-2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1.04E-2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38.802999999999997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34.770099999999999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12.940200000000001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-2.8834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-14.1829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-21.475100000000001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-23.990300000000001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58.5715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44.195799999999998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25.5153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14.2599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5.5267999999999997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0.96350000000000002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-0.51070000000000004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2.8400000000000002E-2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0.28220000000000001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0.80089999999999995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1.3957999999999999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1.5718000000000001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1.7248000000000001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4.9599999999999998E-2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5.8200000000000002E-2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6.2100000000000002E-2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6.5600000000000006E-2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6.7400000000000002E-2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6.5199999999999994E-2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0.11749999999999999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0.15060000000000001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0.1804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0.2107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0.22470000000000001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0.2165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0.20050000000000001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3.0000000000000001E-3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9.4000000000000004E-3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1.8599999999999998E-2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2.8500000000000001E-2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3.4500000000000003E-2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3.85E-2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4.1399999999999999E-2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9.4000000000000004E-3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1.3100000000000001E-2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2.86E-2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3.3700000000000001E-2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8.0799999999999997E-2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7.46E-2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1.6199999999999999E-2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2.9999999999999997E-4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2.9999999999999997E-4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2.9999999999999997E-4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1.7999999999999999E-2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3.0999999999999999E-3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37.9679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36.000300000000003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24.342700000000001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12.9781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3.7065999999999999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-2.0547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-6.0728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57.792999999999999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44.9754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34.933500000000002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24.4815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16.0733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10.8627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7.4763000000000002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2.9499999999999998E-2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1.1978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3.4887999999999999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5.5899000000000001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6.1475999999999997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6.4725999999999999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5.1499999999999997E-2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5.9900000000000002E-2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6.1600000000000002E-2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7.3700000000000002E-2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8.5099999999999995E-2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8.4900000000000003E-2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8.14E-2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0.11890000000000001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0.15110000000000001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0.22919999999999999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0.2495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0.2339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0.21160000000000001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3.0000000000000001E-3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9.7999999999999997E-3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2.12E-2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3.9300000000000002E-2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5.2999999999999999E-2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5.7500000000000002E-2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5.9200000000000003E-2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5.4999999999999997E-3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2.24E-2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0.03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3.6700000000000003E-2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3.9600000000000003E-2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6.9999999999999999E-4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8.0799999999999997E-2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6.8400000000000002E-2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8.2000000000000007E-3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1.78E-2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38.369199999999999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35.4313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17.0947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-3.9828999999999999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-17.503399999999999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-21.157800000000002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-22.0932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58.182299999999998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44.892200000000003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29.648700000000002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12.798500000000001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1.0492999999999999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-2.7240000000000002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-4.6288999999999998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2025-09-12T20:30:04Z</dcterms:modified>
</cp:coreProperties>
</file>