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ppXLS\"/>
    </mc:Choice>
  </mc:AlternateContent>
  <xr:revisionPtr revIDLastSave="0" documentId="8_{A0BDF6C4-222A-4F5F-83FD-45D9712E054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<sst xmlns="http://schemas.openxmlformats.org/spreadsheetml/2006/main" count="58781" uniqueCount="95">
  <si>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</si>
  <si>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</si>
  <si>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</si>
  <si>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</si>
  <si>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</si>
  <si>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</si>
  <si>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</si>
  <si>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</si>
  <si>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</si>
  <si>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</si>
  <si>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</si>
  <si>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</si>
  <si>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</si>
  <si>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</si>
  <si>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</si>
  <si>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</si>
  <si>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</si>
  <si>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</si>
  <si>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</si>
  <si>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</si>
  <si>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</si>
  <si>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</si>
  <si>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</si>
  <si>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</si>
  <si>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</si>
  <si>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</si>
  <si>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</si>
  <si>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</si>
  <si>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</si>
  <si>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</si>
  <si>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</si>
  <si>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</si>
  <si>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</si>
  <si>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</si>
  <si>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</si>
  <si>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</si>
  <si>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</si>
  <si>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</si>
  <si>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</si>
  <si>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</si>
  <si>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</si>
  <si>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</si>
  <si>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</si>
  <si>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</si>
  <si>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</si>
  <si>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</si>
  <si>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</si>
  <si>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</si>
  <si>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</si>
  <si>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</si>
  <si>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</si>
  <si>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</si>
  <si>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</si>
  <si>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</si>
  <si>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</si>
  <si>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</si>
  <si>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</si>
  <si>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</si>
  <si>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</si>
  <si>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</si>
  <si>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</si>
  <si>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</si>
  <si>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</si>
  <si>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</si>
  <si>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</si>
  <si>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</si>
  <si>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</si>
  <si>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</si>
  <si>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</si>
  <si>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</si>
  <si>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</si>
  <si>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</si>
  <si>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</si>
  <si>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</si>
  <si>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</si>
  <si>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</si>
  <si>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</si>
  <si>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</si>
  <si>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</si>
  <si>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</si>
  <si>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</si>
  <si>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</si>
  <si>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</si>
  <si>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</si>
  <si>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GRC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</si>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</sst>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60.20999999999998</c:v>
                </c:pt>
                <c:pt idx="1">
                  <c:v>75.428874345549701</c:v>
                </c:pt>
                <c:pt idx="2">
                  <c:v>90.700287958115155</c:v>
                </c:pt>
                <c:pt idx="3">
                  <c:v>100.77031413612563</c:v>
                </c:pt>
                <c:pt idx="4">
                  <c:v>104.67573298429316</c:v>
                </c:pt>
                <c:pt idx="5">
                  <c:v>103.43230366492142</c:v>
                </c:pt>
                <c:pt idx="6">
                  <c:v>101.26068062827223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20.099999999999998</c:v>
                </c:pt>
                <c:pt idx="1">
                  <c:v>19.385129243692447</c:v>
                </c:pt>
                <c:pt idx="2">
                  <c:v>9.4725889641549532</c:v>
                </c:pt>
                <c:pt idx="3">
                  <c:v>12.197920927402055</c:v>
                </c:pt>
                <c:pt idx="4">
                  <c:v>13.542038369065315</c:v>
                </c:pt>
                <c:pt idx="5">
                  <c:v>16.193176172471244</c:v>
                </c:pt>
                <c:pt idx="6">
                  <c:v>14.427154643494916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60.209999999999987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60.20999999999998</v>
      </c>
      <c r="S12" s="8">
        <f t="shared" ref="S12:X12" si="0">SUM(S17:S20)</f>
        <v>75.428874345549701</v>
      </c>
      <c r="T12" s="8">
        <f t="shared" si="0"/>
        <v>90.700287958115155</v>
      </c>
      <c r="U12" s="8">
        <f t="shared" si="0"/>
        <v>100.77031413612563</v>
      </c>
      <c r="V12" s="8">
        <f t="shared" si="0"/>
        <v>104.67573298429316</v>
      </c>
      <c r="W12" s="8">
        <f t="shared" si="0"/>
        <v>103.43230366492142</v>
      </c>
      <c r="X12" s="8">
        <f t="shared" si="0"/>
        <v>101.26068062827223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1.2999999999999999E-3</v>
      </c>
      <c r="H16" s="10">
        <f>SUMIFS(ngfs_median!$J$2:$J$17119,ngfs_median!$B$2:$B$17119,Veda!$C$5,ngfs_median!$H$2:$H$17119,Veda!$Q16,ngfs_median!$I$2:$I$17119,Veda!H$15)</f>
        <v>5.45E-3</v>
      </c>
      <c r="I16" s="10">
        <f>SUMIFS(ngfs_median!$J$2:$J$17119,ngfs_median!$B$2:$B$17119,Veda!$C$5,ngfs_median!$H$2:$H$17119,Veda!$Q16,ngfs_median!$I$2:$I$17119,Veda!I$15)</f>
        <v>9.6499999999999989E-3</v>
      </c>
      <c r="J16" s="10">
        <f>SUMIFS(ngfs_median!$J$2:$J$17119,ngfs_median!$B$2:$B$17119,Veda!$C$5,ngfs_median!$H$2:$H$17119,Veda!$Q16,ngfs_median!$I$2:$I$17119,Veda!J$15)</f>
        <v>1.145E-2</v>
      </c>
      <c r="K16" s="10">
        <f>SUMIFS(ngfs_median!$J$2:$J$17119,ngfs_median!$B$2:$B$17119,Veda!$C$5,ngfs_median!$H$2:$H$17119,Veda!$Q16,ngfs_median!$I$2:$I$17119,Veda!K$15)</f>
        <v>1.1800000000000001E-2</v>
      </c>
      <c r="L16" s="10">
        <f>SUMIFS(ngfs_median!$J$2:$J$17119,ngfs_median!$B$2:$B$17119,Veda!$C$5,ngfs_median!$H$2:$H$17119,Veda!$Q16,ngfs_median!$I$2:$I$17119,Veda!L$15)</f>
        <v>1.26E-2</v>
      </c>
      <c r="M16" s="10">
        <f>SUMIFS(ngfs_median!$J$2:$J$17119,ngfs_median!$B$2:$B$17119,Veda!$C$5,ngfs_median!$H$2:$H$17119,Veda!$Q16,ngfs_median!$I$2:$I$17119,Veda!M$15)</f>
        <v>1.52E-2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1.1666666666666663</v>
      </c>
      <c r="U16" s="6">
        <f t="shared" si="2"/>
        <v>1.6666666666666667</v>
      </c>
      <c r="V16" s="6">
        <f t="shared" si="2"/>
        <v>1.7638888888888893</v>
      </c>
      <c r="W16" s="6">
        <f t="shared" si="2"/>
        <v>1.9861111111111112</v>
      </c>
      <c r="X16" s="6">
        <f t="shared" si="2"/>
        <v>2.7083333333333335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2.8E-3</v>
      </c>
      <c r="H17" s="10">
        <f>SUMIFS(ngfs_median!$J$2:$J$17119,ngfs_median!$B$2:$B$17119,Veda!$C$5,ngfs_median!$H$2:$H$17119,Veda!$Q17,ngfs_median!$I$2:$I$17119,Veda!H$15)</f>
        <v>8.8999999999999999E-3</v>
      </c>
      <c r="I17" s="10">
        <f>SUMIFS(ngfs_median!$J$2:$J$17119,ngfs_median!$B$2:$B$17119,Veda!$C$5,ngfs_median!$H$2:$H$17119,Veda!$Q17,ngfs_median!$I$2:$I$17119,Veda!I$15)</f>
        <v>1.78E-2</v>
      </c>
      <c r="J17" s="10">
        <f>SUMIFS(ngfs_median!$J$2:$J$17119,ngfs_median!$B$2:$B$17119,Veda!$C$5,ngfs_median!$H$2:$H$17119,Veda!$Q17,ngfs_median!$I$2:$I$17119,Veda!J$15)</f>
        <v>2.6599999999999999E-2</v>
      </c>
      <c r="K17" s="10">
        <f>SUMIFS(ngfs_median!$J$2:$J$17119,ngfs_median!$B$2:$B$17119,Veda!$C$5,ngfs_median!$H$2:$H$17119,Veda!$Q17,ngfs_median!$I$2:$I$17119,Veda!K$15)</f>
        <v>3.2099999999999997E-2</v>
      </c>
      <c r="L17" s="10">
        <f>SUMIFS(ngfs_median!$J$2:$J$17119,ngfs_median!$B$2:$B$17119,Veda!$C$5,ngfs_median!$H$2:$H$17119,Veda!$Q17,ngfs_median!$I$2:$I$17119,Veda!L$15)</f>
        <v>3.5949999999999996E-2</v>
      </c>
      <c r="M17" s="10">
        <f>SUMIFS(ngfs_median!$J$2:$J$17119,ngfs_median!$B$2:$B$17119,Veda!$C$5,ngfs_median!$H$2:$H$17119,Veda!$Q17,ngfs_median!$I$2:$I$17119,Veda!M$15)</f>
        <v>3.9099999999999996E-2</v>
      </c>
      <c r="Q17" s="12" t="s">
        <v>10</v>
      </c>
      <c r="R17" s="6">
        <f>$Q$10*G17/SUM($G$17:$G$19)</f>
        <v>0.98073298429319355</v>
      </c>
      <c r="S17" s="6">
        <f>R17</f>
        <v>0.98073298429319355</v>
      </c>
      <c r="T17" s="6">
        <f t="shared" ref="T17:X17" si="3">S17</f>
        <v>0.98073298429319355</v>
      </c>
      <c r="U17" s="6">
        <f t="shared" si="3"/>
        <v>0.98073298429319355</v>
      </c>
      <c r="V17" s="6">
        <f t="shared" si="3"/>
        <v>0.98073298429319355</v>
      </c>
      <c r="W17" s="6">
        <f t="shared" si="3"/>
        <v>0.98073298429319355</v>
      </c>
      <c r="X17" s="6">
        <f t="shared" si="3"/>
        <v>0.98073298429319355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0.11995</v>
      </c>
      <c r="H18" s="10">
        <f>SUMIFS(ngfs_median!$J$2:$J$17119,ngfs_median!$B$2:$B$17119,Veda!$C$5,ngfs_median!$H$2:$H$17119,Veda!$Q18,ngfs_median!$I$2:$I$17119,Veda!H$15)</f>
        <v>0.15134999999999998</v>
      </c>
      <c r="I18" s="10">
        <f>SUMIFS(ngfs_median!$J$2:$J$17119,ngfs_median!$B$2:$B$17119,Veda!$C$5,ngfs_median!$H$2:$H$17119,Veda!$Q18,ngfs_median!$I$2:$I$17119,Veda!I$15)</f>
        <v>0.18245</v>
      </c>
      <c r="J18" s="10">
        <f>SUMIFS(ngfs_median!$J$2:$J$17119,ngfs_median!$B$2:$B$17119,Veda!$C$5,ngfs_median!$H$2:$H$17119,Veda!$Q18,ngfs_median!$I$2:$I$17119,Veda!J$15)</f>
        <v>0.20165</v>
      </c>
      <c r="K18" s="10">
        <f>SUMIFS(ngfs_median!$J$2:$J$17119,ngfs_median!$B$2:$B$17119,Veda!$C$5,ngfs_median!$H$2:$H$17119,Veda!$Q18,ngfs_median!$I$2:$I$17119,Veda!K$15)</f>
        <v>0.20800000000000002</v>
      </c>
      <c r="L18" s="10">
        <f>SUMIFS(ngfs_median!$J$2:$J$17119,ngfs_median!$B$2:$B$17119,Veda!$C$5,ngfs_median!$H$2:$H$17119,Veda!$Q18,ngfs_median!$I$2:$I$17119,Veda!L$15)</f>
        <v>0.20014999999999999</v>
      </c>
      <c r="M18" s="10">
        <f>SUMIFS(ngfs_median!$J$2:$J$17119,ngfs_median!$B$2:$B$17119,Veda!$C$5,ngfs_median!$H$2:$H$17119,Veda!$Q18,ngfs_median!$I$2:$I$17119,Veda!M$15)</f>
        <v>0.18980000000000002</v>
      </c>
      <c r="Q18" s="12" t="s">
        <v>12</v>
      </c>
      <c r="R18" s="6">
        <f>$Q$10*G18/SUM($G$17:$G$19)</f>
        <v>42.013900523560196</v>
      </c>
      <c r="S18" s="6">
        <f t="shared" ref="S18:X19" si="4">R18*H18/G18</f>
        <v>53.012120418848141</v>
      </c>
      <c r="T18" s="6">
        <f t="shared" si="4"/>
        <v>63.905261780104688</v>
      </c>
      <c r="U18" s="6">
        <f t="shared" si="4"/>
        <v>70.630287958115161</v>
      </c>
      <c r="V18" s="6">
        <f t="shared" si="4"/>
        <v>72.854450261780087</v>
      </c>
      <c r="W18" s="6">
        <f t="shared" si="4"/>
        <v>70.104895287958087</v>
      </c>
      <c r="X18" s="6">
        <f t="shared" si="4"/>
        <v>66.479685863874323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4.9149999999999999E-2</v>
      </c>
      <c r="H19" s="10">
        <f>SUMIFS(ngfs_median!$J$2:$J$17119,ngfs_median!$B$2:$B$17119,Veda!$C$5,ngfs_median!$H$2:$H$17119,Veda!$Q19,ngfs_median!$I$2:$I$17119,Veda!H$15)</f>
        <v>5.5099999999999996E-2</v>
      </c>
      <c r="I19" s="10">
        <f>SUMIFS(ngfs_median!$J$2:$J$17119,ngfs_median!$B$2:$B$17119,Veda!$C$5,ngfs_median!$H$2:$H$17119,Veda!$Q19,ngfs_median!$I$2:$I$17119,Veda!I$15)</f>
        <v>5.8700000000000002E-2</v>
      </c>
      <c r="J19" s="10">
        <f>SUMIFS(ngfs_median!$J$2:$J$17119,ngfs_median!$B$2:$B$17119,Veda!$C$5,ngfs_median!$H$2:$H$17119,Veda!$Q19,ngfs_median!$I$2:$I$17119,Veda!J$15)</f>
        <v>5.9450000000000003E-2</v>
      </c>
      <c r="K19" s="10">
        <f>SUMIFS(ngfs_median!$J$2:$J$17119,ngfs_median!$B$2:$B$17119,Veda!$C$5,ngfs_median!$H$2:$H$17119,Veda!$Q19,ngfs_median!$I$2:$I$17119,Veda!K$15)</f>
        <v>5.8749999999999997E-2</v>
      </c>
      <c r="L19" s="10">
        <f>SUMIFS(ngfs_median!$J$2:$J$17119,ngfs_median!$B$2:$B$17119,Veda!$C$5,ngfs_median!$H$2:$H$17119,Veda!$Q19,ngfs_median!$I$2:$I$17119,Veda!L$15)</f>
        <v>5.9200000000000003E-2</v>
      </c>
      <c r="M19" s="10">
        <f>SUMIFS(ngfs_median!$J$2:$J$17119,ngfs_median!$B$2:$B$17119,Veda!$C$5,ngfs_median!$H$2:$H$17119,Veda!$Q19,ngfs_median!$I$2:$I$17119,Veda!M$15)</f>
        <v>6.0199999999999997E-2</v>
      </c>
      <c r="Q19" s="12" t="s">
        <v>13</v>
      </c>
      <c r="R19" s="6">
        <f>$Q$10*G19/SUM($G$17:$G$19)</f>
        <v>17.215366492146593</v>
      </c>
      <c r="S19" s="6">
        <f t="shared" si="4"/>
        <v>19.29942408376963</v>
      </c>
      <c r="T19" s="6">
        <f t="shared" si="4"/>
        <v>20.560366492146596</v>
      </c>
      <c r="U19" s="6">
        <f t="shared" si="4"/>
        <v>20.823062827225129</v>
      </c>
      <c r="V19" s="6">
        <f t="shared" si="4"/>
        <v>20.577879581151826</v>
      </c>
      <c r="W19" s="6">
        <f t="shared" si="4"/>
        <v>20.735497382198947</v>
      </c>
      <c r="X19" s="6">
        <f t="shared" si="4"/>
        <v>21.08575916230366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2.1365968586387432</v>
      </c>
      <c r="T20" s="6">
        <f t="shared" si="5"/>
        <v>5.2539267015706805</v>
      </c>
      <c r="U20" s="6">
        <f t="shared" si="5"/>
        <v>8.3362303664921438</v>
      </c>
      <c r="V20" s="6">
        <f t="shared" si="5"/>
        <v>10.262670157068058</v>
      </c>
      <c r="W20" s="6">
        <f t="shared" si="5"/>
        <v>11.6111780104712</v>
      </c>
      <c r="X20" s="6">
        <f t="shared" si="5"/>
        <v>12.714502617801044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20.099999999999998</v>
      </c>
      <c r="D22" s="12" t="s">
        <v>79</v>
      </c>
      <c r="G22" s="8">
        <f>G35/$G$35*$B22</f>
        <v>20.099999999999998</v>
      </c>
      <c r="H22" s="8">
        <f t="shared" ref="H22:M22" si="6">H35/$G$35*$B22</f>
        <v>19.385129243692447</v>
      </c>
      <c r="I22" s="8">
        <f t="shared" si="6"/>
        <v>9.4725889641549532</v>
      </c>
      <c r="J22" s="8">
        <f t="shared" si="6"/>
        <v>12.197920927402055</v>
      </c>
      <c r="K22" s="8">
        <f t="shared" si="6"/>
        <v>13.542038369065315</v>
      </c>
      <c r="L22" s="8">
        <f t="shared" si="6"/>
        <v>16.193176172471244</v>
      </c>
      <c r="M22" s="8">
        <f t="shared" si="6"/>
        <v>14.427154643494916</v>
      </c>
      <c r="Q22" t="s">
        <v>64</v>
      </c>
      <c r="T22" s="8">
        <f>I35*1000</f>
        <v>4723.9000000000005</v>
      </c>
      <c r="U22" s="8">
        <f>J35*1000</f>
        <v>6083</v>
      </c>
      <c r="V22" s="8">
        <f>K35*1000</f>
        <v>6753.3</v>
      </c>
      <c r="W22" s="8">
        <f>L35*1000</f>
        <v>8075.4000000000005</v>
      </c>
      <c r="X22" s="8">
        <f>M35*1000</f>
        <v>7194.7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8.85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4.3</v>
      </c>
      <c r="S27" s="3">
        <f>AVERAGEIFS(historical_data_long!$D$3:$D$9999,historical_data_long!$B$3:$B$9999,"&gt;2017",historical_data_long!$A$3:$A$9999,$O27)</f>
        <v>2.6333333333333333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10.0237</v>
      </c>
      <c r="H35" s="11">
        <f>SUMIFS(ngfs_median!$J$2:$J$17119,ngfs_median!$B$2:$B$17119,Veda!$C$5,ngfs_median!$D$2:$D$17119,Veda!$D22,ngfs_median!$I$2:$I$17119,Veda!H$15)</f>
        <v>9.6671999999999993</v>
      </c>
      <c r="I35" s="11">
        <f>SUMIFS(ngfs_median!$J$2:$J$17119,ngfs_median!$B$2:$B$17119,Veda!$C$5,ngfs_median!$D$2:$D$17119,Veda!$D22,ngfs_median!$I$2:$I$17119,Veda!I$15)</f>
        <v>4.7239000000000004</v>
      </c>
      <c r="J35" s="11">
        <f>SUMIFS(ngfs_median!$J$2:$J$17119,ngfs_median!$B$2:$B$17119,Veda!$C$5,ngfs_median!$D$2:$D$17119,Veda!$D22,ngfs_median!$I$2:$I$17119,Veda!J$15)</f>
        <v>6.0830000000000002</v>
      </c>
      <c r="K35" s="11">
        <f>SUMIFS(ngfs_median!$J$2:$J$17119,ngfs_median!$B$2:$B$17119,Veda!$C$5,ngfs_median!$D$2:$D$17119,Veda!$D22,ngfs_median!$I$2:$I$17119,Veda!K$15)</f>
        <v>6.7533000000000003</v>
      </c>
      <c r="L35" s="11">
        <f>SUMIFS(ngfs_median!$J$2:$J$17119,ngfs_median!$B$2:$B$17119,Veda!$C$5,ngfs_median!$D$2:$D$17119,Veda!$D22,ngfs_median!$I$2:$I$17119,Veda!L$15)</f>
        <v>8.0754000000000001</v>
      </c>
      <c r="M35" s="11">
        <f>SUMIFS(ngfs_median!$J$2:$J$17119,ngfs_median!$B$2:$B$17119,Veda!$C$5,ngfs_median!$D$2:$D$17119,Veda!$D22,ngfs_median!$I$2:$I$17119,Veda!M$15)</f>
        <v>7.1947000000000001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1.1000000000000001</v>
      </c>
      <c r="T37">
        <v>2.2599999999999998</v>
      </c>
      <c r="U37">
        <v>3.26</v>
      </c>
      <c r="V37" t="s">
        <v>94</v>
      </c>
    </row>
    <row r="38" spans="7:22" x14ac:dyDescent="0.45">
      <c r="Q38" t="s">
        <v>39</v>
      </c>
      <c r="R38" t="s">
        <v>93</v>
      </c>
      <c r="S38">
        <v>1.6</v>
      </c>
      <c r="T38">
        <v>6.3</v>
      </c>
      <c r="U38">
        <v>6.3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34.31</v>
      </c>
    </row>
    <row r="4" spans="1:4" x14ac:dyDescent="0.45">
      <c r="A4" t="s">
        <v>36</v>
      </c>
      <c r="B4">
        <v>2000</v>
      </c>
      <c r="C4" t="s">
        <v>74</v>
      </c>
      <c r="D4">
        <v>5.92</v>
      </c>
    </row>
    <row r="5" spans="1:4" x14ac:dyDescent="0.45">
      <c r="A5" t="s">
        <v>56</v>
      </c>
      <c r="B5">
        <v>2000</v>
      </c>
      <c r="C5" t="s">
        <v>74</v>
      </c>
      <c r="D5">
        <v>3.69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8.57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0.45</v>
      </c>
    </row>
    <row r="11" spans="1:4" x14ac:dyDescent="0.45">
      <c r="A11" t="s">
        <v>32</v>
      </c>
      <c r="B11">
        <v>2001</v>
      </c>
      <c r="C11" t="s">
        <v>74</v>
      </c>
      <c r="D11">
        <v>0.08</v>
      </c>
    </row>
    <row r="12" spans="1:4" x14ac:dyDescent="0.45">
      <c r="A12" t="s">
        <v>34</v>
      </c>
      <c r="B12">
        <v>2001</v>
      </c>
      <c r="C12" t="s">
        <v>74</v>
      </c>
      <c r="D12">
        <v>35.43</v>
      </c>
    </row>
    <row r="13" spans="1:4" x14ac:dyDescent="0.45">
      <c r="A13" t="s">
        <v>36</v>
      </c>
      <c r="B13">
        <v>2001</v>
      </c>
      <c r="C13" t="s">
        <v>74</v>
      </c>
      <c r="D13">
        <v>6.13</v>
      </c>
    </row>
    <row r="14" spans="1:4" x14ac:dyDescent="0.45">
      <c r="A14" t="s">
        <v>56</v>
      </c>
      <c r="B14">
        <v>2001</v>
      </c>
      <c r="C14" t="s">
        <v>74</v>
      </c>
      <c r="D14">
        <v>2.1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8.0399999999999991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0.76</v>
      </c>
    </row>
    <row r="20" spans="1:4" x14ac:dyDescent="0.45">
      <c r="A20" t="s">
        <v>32</v>
      </c>
      <c r="B20">
        <v>2002</v>
      </c>
      <c r="C20" t="s">
        <v>74</v>
      </c>
      <c r="D20">
        <v>0.13</v>
      </c>
    </row>
    <row r="21" spans="1:4" x14ac:dyDescent="0.45">
      <c r="A21" t="s">
        <v>34</v>
      </c>
      <c r="B21">
        <v>2002</v>
      </c>
      <c r="C21" t="s">
        <v>74</v>
      </c>
      <c r="D21">
        <v>34.57</v>
      </c>
    </row>
    <row r="22" spans="1:4" x14ac:dyDescent="0.45">
      <c r="A22" t="s">
        <v>36</v>
      </c>
      <c r="B22">
        <v>2002</v>
      </c>
      <c r="C22" t="s">
        <v>74</v>
      </c>
      <c r="D22">
        <v>7.06</v>
      </c>
    </row>
    <row r="23" spans="1:4" x14ac:dyDescent="0.45">
      <c r="A23" t="s">
        <v>56</v>
      </c>
      <c r="B23">
        <v>2002</v>
      </c>
      <c r="C23" t="s">
        <v>74</v>
      </c>
      <c r="D23">
        <v>2.8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8.15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0.65</v>
      </c>
    </row>
    <row r="29" spans="1:4" x14ac:dyDescent="0.45">
      <c r="A29" t="s">
        <v>32</v>
      </c>
      <c r="B29">
        <v>2003</v>
      </c>
      <c r="C29" t="s">
        <v>74</v>
      </c>
      <c r="D29">
        <v>0.1</v>
      </c>
    </row>
    <row r="30" spans="1:4" x14ac:dyDescent="0.45">
      <c r="A30" t="s">
        <v>34</v>
      </c>
      <c r="B30">
        <v>2003</v>
      </c>
      <c r="C30" t="s">
        <v>74</v>
      </c>
      <c r="D30">
        <v>35.17</v>
      </c>
    </row>
    <row r="31" spans="1:4" x14ac:dyDescent="0.45">
      <c r="A31" t="s">
        <v>36</v>
      </c>
      <c r="B31">
        <v>2003</v>
      </c>
      <c r="C31" t="s">
        <v>74</v>
      </c>
      <c r="D31">
        <v>8.02</v>
      </c>
    </row>
    <row r="32" spans="1:4" x14ac:dyDescent="0.45">
      <c r="A32" t="s">
        <v>56</v>
      </c>
      <c r="B32">
        <v>2003</v>
      </c>
      <c r="C32" t="s">
        <v>74</v>
      </c>
      <c r="D32">
        <v>4.7699999999999996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8.1999999999999993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1.02</v>
      </c>
    </row>
    <row r="38" spans="1:4" x14ac:dyDescent="0.45">
      <c r="A38" t="s">
        <v>32</v>
      </c>
      <c r="B38">
        <v>2004</v>
      </c>
      <c r="C38" t="s">
        <v>74</v>
      </c>
      <c r="D38">
        <v>0.12</v>
      </c>
    </row>
    <row r="39" spans="1:4" x14ac:dyDescent="0.45">
      <c r="A39" t="s">
        <v>34</v>
      </c>
      <c r="B39">
        <v>2004</v>
      </c>
      <c r="C39" t="s">
        <v>74</v>
      </c>
      <c r="D39">
        <v>35.380000000000003</v>
      </c>
    </row>
    <row r="40" spans="1:4" x14ac:dyDescent="0.45">
      <c r="A40" t="s">
        <v>36</v>
      </c>
      <c r="B40">
        <v>2004</v>
      </c>
      <c r="C40" t="s">
        <v>74</v>
      </c>
      <c r="D40">
        <v>8.99</v>
      </c>
    </row>
    <row r="41" spans="1:4" x14ac:dyDescent="0.45">
      <c r="A41" t="s">
        <v>56</v>
      </c>
      <c r="B41">
        <v>2004</v>
      </c>
      <c r="C41" t="s">
        <v>74</v>
      </c>
      <c r="D41">
        <v>4.67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7.94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1.1200000000000001</v>
      </c>
    </row>
    <row r="47" spans="1:4" x14ac:dyDescent="0.45">
      <c r="A47" t="s">
        <v>32</v>
      </c>
      <c r="B47">
        <v>2005</v>
      </c>
      <c r="C47" t="s">
        <v>74</v>
      </c>
      <c r="D47">
        <v>0.12</v>
      </c>
    </row>
    <row r="48" spans="1:4" x14ac:dyDescent="0.45">
      <c r="A48" t="s">
        <v>34</v>
      </c>
      <c r="B48">
        <v>2005</v>
      </c>
      <c r="C48" t="s">
        <v>74</v>
      </c>
      <c r="D48">
        <v>35.54</v>
      </c>
    </row>
    <row r="49" spans="1:4" x14ac:dyDescent="0.45">
      <c r="A49" t="s">
        <v>36</v>
      </c>
      <c r="B49">
        <v>2005</v>
      </c>
      <c r="C49" t="s">
        <v>74</v>
      </c>
      <c r="D49">
        <v>8.17</v>
      </c>
    </row>
    <row r="50" spans="1:4" x14ac:dyDescent="0.45">
      <c r="A50" t="s">
        <v>56</v>
      </c>
      <c r="B50">
        <v>2005</v>
      </c>
      <c r="C50" t="s">
        <v>74</v>
      </c>
      <c r="D50">
        <v>5.0199999999999996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8.61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1.27</v>
      </c>
    </row>
    <row r="56" spans="1:4" x14ac:dyDescent="0.45">
      <c r="A56" t="s">
        <v>32</v>
      </c>
      <c r="B56">
        <v>2006</v>
      </c>
      <c r="C56" t="s">
        <v>74</v>
      </c>
      <c r="D56">
        <v>0.11</v>
      </c>
    </row>
    <row r="57" spans="1:4" x14ac:dyDescent="0.45">
      <c r="A57" t="s">
        <v>34</v>
      </c>
      <c r="B57">
        <v>2006</v>
      </c>
      <c r="C57" t="s">
        <v>74</v>
      </c>
      <c r="D57">
        <v>32.26</v>
      </c>
    </row>
    <row r="58" spans="1:4" x14ac:dyDescent="0.45">
      <c r="A58" t="s">
        <v>36</v>
      </c>
      <c r="B58">
        <v>2006</v>
      </c>
      <c r="C58" t="s">
        <v>74</v>
      </c>
      <c r="D58">
        <v>10.61</v>
      </c>
    </row>
    <row r="59" spans="1:4" x14ac:dyDescent="0.45">
      <c r="A59" t="s">
        <v>56</v>
      </c>
      <c r="B59">
        <v>2006</v>
      </c>
      <c r="C59" t="s">
        <v>74</v>
      </c>
      <c r="D59">
        <v>5.86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8.8699999999999992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1.7</v>
      </c>
    </row>
    <row r="65" spans="1:4" x14ac:dyDescent="0.45">
      <c r="A65" t="s">
        <v>32</v>
      </c>
      <c r="B65">
        <v>2007</v>
      </c>
      <c r="C65" t="s">
        <v>74</v>
      </c>
      <c r="D65">
        <v>0.18</v>
      </c>
    </row>
    <row r="66" spans="1:4" x14ac:dyDescent="0.45">
      <c r="A66" t="s">
        <v>34</v>
      </c>
      <c r="B66">
        <v>2007</v>
      </c>
      <c r="C66" t="s">
        <v>74</v>
      </c>
      <c r="D66">
        <v>34.68</v>
      </c>
    </row>
    <row r="67" spans="1:4" x14ac:dyDescent="0.45">
      <c r="A67" t="s">
        <v>36</v>
      </c>
      <c r="B67">
        <v>2007</v>
      </c>
      <c r="C67" t="s">
        <v>74</v>
      </c>
      <c r="D67">
        <v>14.16</v>
      </c>
    </row>
    <row r="68" spans="1:4" x14ac:dyDescent="0.45">
      <c r="A68" t="s">
        <v>56</v>
      </c>
      <c r="B68">
        <v>2007</v>
      </c>
      <c r="C68" t="s">
        <v>74</v>
      </c>
      <c r="D68">
        <v>2.59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8.9700000000000006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1.82</v>
      </c>
    </row>
    <row r="74" spans="1:4" x14ac:dyDescent="0.45">
      <c r="A74" t="s">
        <v>32</v>
      </c>
      <c r="B74">
        <v>2008</v>
      </c>
      <c r="C74" t="s">
        <v>74</v>
      </c>
      <c r="D74">
        <v>0.19</v>
      </c>
    </row>
    <row r="75" spans="1:4" x14ac:dyDescent="0.45">
      <c r="A75" t="s">
        <v>34</v>
      </c>
      <c r="B75">
        <v>2008</v>
      </c>
      <c r="C75" t="s">
        <v>74</v>
      </c>
      <c r="D75">
        <v>33.36</v>
      </c>
    </row>
    <row r="76" spans="1:4" x14ac:dyDescent="0.45">
      <c r="A76" t="s">
        <v>36</v>
      </c>
      <c r="B76">
        <v>2008</v>
      </c>
      <c r="C76" t="s">
        <v>74</v>
      </c>
      <c r="D76">
        <v>13.8</v>
      </c>
    </row>
    <row r="77" spans="1:4" x14ac:dyDescent="0.45">
      <c r="A77" t="s">
        <v>56</v>
      </c>
      <c r="B77">
        <v>2008</v>
      </c>
      <c r="C77" t="s">
        <v>74</v>
      </c>
      <c r="D77">
        <v>3.31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9.27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0.01</v>
      </c>
    </row>
    <row r="82" spans="1:4" x14ac:dyDescent="0.45">
      <c r="A82" t="s">
        <v>91</v>
      </c>
      <c r="B82">
        <v>2008</v>
      </c>
      <c r="C82" t="s">
        <v>74</v>
      </c>
      <c r="D82">
        <v>2.2400000000000002</v>
      </c>
    </row>
    <row r="83" spans="1:4" x14ac:dyDescent="0.45">
      <c r="A83" t="s">
        <v>32</v>
      </c>
      <c r="B83">
        <v>2009</v>
      </c>
      <c r="C83" t="s">
        <v>74</v>
      </c>
      <c r="D83">
        <v>0.22</v>
      </c>
    </row>
    <row r="84" spans="1:4" x14ac:dyDescent="0.45">
      <c r="A84" t="s">
        <v>34</v>
      </c>
      <c r="B84">
        <v>2009</v>
      </c>
      <c r="C84" t="s">
        <v>74</v>
      </c>
      <c r="D84">
        <v>34.19</v>
      </c>
    </row>
    <row r="85" spans="1:4" x14ac:dyDescent="0.45">
      <c r="A85" t="s">
        <v>36</v>
      </c>
      <c r="B85">
        <v>2009</v>
      </c>
      <c r="C85" t="s">
        <v>74</v>
      </c>
      <c r="D85">
        <v>11.02</v>
      </c>
    </row>
    <row r="86" spans="1:4" x14ac:dyDescent="0.45">
      <c r="A86" t="s">
        <v>56</v>
      </c>
      <c r="B86">
        <v>2009</v>
      </c>
      <c r="C86" t="s">
        <v>74</v>
      </c>
      <c r="D86">
        <v>5.35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6.97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0.05</v>
      </c>
    </row>
    <row r="91" spans="1:4" x14ac:dyDescent="0.45">
      <c r="A91" t="s">
        <v>91</v>
      </c>
      <c r="B91">
        <v>2009</v>
      </c>
      <c r="C91" t="s">
        <v>74</v>
      </c>
      <c r="D91">
        <v>2.54</v>
      </c>
    </row>
    <row r="92" spans="1:4" x14ac:dyDescent="0.45">
      <c r="A92" t="s">
        <v>32</v>
      </c>
      <c r="B92">
        <v>2010</v>
      </c>
      <c r="C92" t="s">
        <v>74</v>
      </c>
      <c r="D92">
        <v>0.19</v>
      </c>
    </row>
    <row r="93" spans="1:4" x14ac:dyDescent="0.45">
      <c r="A93" t="s">
        <v>34</v>
      </c>
      <c r="B93">
        <v>2010</v>
      </c>
      <c r="C93" t="s">
        <v>74</v>
      </c>
      <c r="D93">
        <v>30.8</v>
      </c>
    </row>
    <row r="94" spans="1:4" x14ac:dyDescent="0.45">
      <c r="A94" t="s">
        <v>36</v>
      </c>
      <c r="B94">
        <v>2010</v>
      </c>
      <c r="C94" t="s">
        <v>74</v>
      </c>
      <c r="D94">
        <v>9.85</v>
      </c>
    </row>
    <row r="95" spans="1:4" x14ac:dyDescent="0.45">
      <c r="A95" t="s">
        <v>56</v>
      </c>
      <c r="B95">
        <v>2010</v>
      </c>
      <c r="C95" t="s">
        <v>74</v>
      </c>
      <c r="D95">
        <v>7.47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5.43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0.16</v>
      </c>
    </row>
    <row r="100" spans="1:4" x14ac:dyDescent="0.45">
      <c r="A100" t="s">
        <v>91</v>
      </c>
      <c r="B100">
        <v>2010</v>
      </c>
      <c r="C100" t="s">
        <v>74</v>
      </c>
      <c r="D100">
        <v>2.71</v>
      </c>
    </row>
    <row r="101" spans="1:4" x14ac:dyDescent="0.45">
      <c r="A101" t="s">
        <v>32</v>
      </c>
      <c r="B101">
        <v>2011</v>
      </c>
      <c r="C101" t="s">
        <v>74</v>
      </c>
      <c r="D101">
        <v>0.21</v>
      </c>
    </row>
    <row r="102" spans="1:4" x14ac:dyDescent="0.45">
      <c r="A102" t="s">
        <v>34</v>
      </c>
      <c r="B102">
        <v>2011</v>
      </c>
      <c r="C102" t="s">
        <v>74</v>
      </c>
      <c r="D102">
        <v>31.07</v>
      </c>
    </row>
    <row r="103" spans="1:4" x14ac:dyDescent="0.45">
      <c r="A103" t="s">
        <v>36</v>
      </c>
      <c r="B103">
        <v>2011</v>
      </c>
      <c r="C103" t="s">
        <v>74</v>
      </c>
      <c r="D103">
        <v>14.07</v>
      </c>
    </row>
    <row r="104" spans="1:4" x14ac:dyDescent="0.45">
      <c r="A104" t="s">
        <v>56</v>
      </c>
      <c r="B104">
        <v>2011</v>
      </c>
      <c r="C104" t="s">
        <v>74</v>
      </c>
      <c r="D104">
        <v>4.01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5.16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0.61</v>
      </c>
    </row>
    <row r="109" spans="1:4" x14ac:dyDescent="0.45">
      <c r="A109" t="s">
        <v>91</v>
      </c>
      <c r="B109">
        <v>2011</v>
      </c>
      <c r="C109" t="s">
        <v>74</v>
      </c>
      <c r="D109">
        <v>3.32</v>
      </c>
    </row>
    <row r="110" spans="1:4" x14ac:dyDescent="0.45">
      <c r="A110" t="s">
        <v>32</v>
      </c>
      <c r="B110">
        <v>2012</v>
      </c>
      <c r="C110" t="s">
        <v>74</v>
      </c>
      <c r="D110">
        <v>0.2</v>
      </c>
    </row>
    <row r="111" spans="1:4" x14ac:dyDescent="0.45">
      <c r="A111" t="s">
        <v>34</v>
      </c>
      <c r="B111">
        <v>2012</v>
      </c>
      <c r="C111" t="s">
        <v>74</v>
      </c>
      <c r="D111">
        <v>31.11</v>
      </c>
    </row>
    <row r="112" spans="1:4" x14ac:dyDescent="0.45">
      <c r="A112" t="s">
        <v>36</v>
      </c>
      <c r="B112">
        <v>2012</v>
      </c>
      <c r="C112" t="s">
        <v>74</v>
      </c>
      <c r="D112">
        <v>13.48</v>
      </c>
    </row>
    <row r="113" spans="1:4" x14ac:dyDescent="0.45">
      <c r="A113" t="s">
        <v>56</v>
      </c>
      <c r="B113">
        <v>2012</v>
      </c>
      <c r="C113" t="s">
        <v>74</v>
      </c>
      <c r="D113">
        <v>4.3899999999999997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5.19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1.69</v>
      </c>
    </row>
    <row r="118" spans="1:4" x14ac:dyDescent="0.45">
      <c r="A118" t="s">
        <v>91</v>
      </c>
      <c r="B118">
        <v>2012</v>
      </c>
      <c r="C118" t="s">
        <v>74</v>
      </c>
      <c r="D118">
        <v>3.85</v>
      </c>
    </row>
    <row r="119" spans="1:4" x14ac:dyDescent="0.45">
      <c r="A119" t="s">
        <v>32</v>
      </c>
      <c r="B119">
        <v>2013</v>
      </c>
      <c r="C119" t="s">
        <v>74</v>
      </c>
      <c r="D119">
        <v>0.22</v>
      </c>
    </row>
    <row r="120" spans="1:4" x14ac:dyDescent="0.45">
      <c r="A120" t="s">
        <v>34</v>
      </c>
      <c r="B120">
        <v>2013</v>
      </c>
      <c r="C120" t="s">
        <v>74</v>
      </c>
      <c r="D120">
        <v>26.4</v>
      </c>
    </row>
    <row r="121" spans="1:4" x14ac:dyDescent="0.45">
      <c r="A121" t="s">
        <v>36</v>
      </c>
      <c r="B121">
        <v>2013</v>
      </c>
      <c r="C121" t="s">
        <v>74</v>
      </c>
      <c r="D121">
        <v>10.88</v>
      </c>
    </row>
    <row r="122" spans="1:4" x14ac:dyDescent="0.45">
      <c r="A122" t="s">
        <v>56</v>
      </c>
      <c r="B122">
        <v>2013</v>
      </c>
      <c r="C122" t="s">
        <v>74</v>
      </c>
      <c r="D122">
        <v>6.35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4.7300000000000004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3.65</v>
      </c>
    </row>
    <row r="127" spans="1:4" x14ac:dyDescent="0.45">
      <c r="A127" t="s">
        <v>91</v>
      </c>
      <c r="B127">
        <v>2013</v>
      </c>
      <c r="C127" t="s">
        <v>74</v>
      </c>
      <c r="D127">
        <v>4.1399999999999997</v>
      </c>
    </row>
    <row r="128" spans="1:4" x14ac:dyDescent="0.45">
      <c r="A128" t="s">
        <v>32</v>
      </c>
      <c r="B128">
        <v>2014</v>
      </c>
      <c r="C128" t="s">
        <v>74</v>
      </c>
      <c r="D128">
        <v>0.22</v>
      </c>
    </row>
    <row r="129" spans="1:4" x14ac:dyDescent="0.45">
      <c r="A129" t="s">
        <v>34</v>
      </c>
      <c r="B129">
        <v>2014</v>
      </c>
      <c r="C129" t="s">
        <v>74</v>
      </c>
      <c r="D129">
        <v>25.75</v>
      </c>
    </row>
    <row r="130" spans="1:4" x14ac:dyDescent="0.45">
      <c r="A130" t="s">
        <v>36</v>
      </c>
      <c r="B130">
        <v>2014</v>
      </c>
      <c r="C130" t="s">
        <v>74</v>
      </c>
      <c r="D130">
        <v>6.79</v>
      </c>
    </row>
    <row r="131" spans="1:4" x14ac:dyDescent="0.45">
      <c r="A131" t="s">
        <v>56</v>
      </c>
      <c r="B131">
        <v>2014</v>
      </c>
      <c r="C131" t="s">
        <v>74</v>
      </c>
      <c r="D131">
        <v>4.4800000000000004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4.9000000000000004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3.79</v>
      </c>
    </row>
    <row r="136" spans="1:4" x14ac:dyDescent="0.45">
      <c r="A136" t="s">
        <v>91</v>
      </c>
      <c r="B136">
        <v>2014</v>
      </c>
      <c r="C136" t="s">
        <v>74</v>
      </c>
      <c r="D136">
        <v>3.69</v>
      </c>
    </row>
    <row r="137" spans="1:4" x14ac:dyDescent="0.45">
      <c r="A137" t="s">
        <v>32</v>
      </c>
      <c r="B137">
        <v>2015</v>
      </c>
      <c r="C137" t="s">
        <v>74</v>
      </c>
      <c r="D137">
        <v>0.23</v>
      </c>
    </row>
    <row r="138" spans="1:4" x14ac:dyDescent="0.45">
      <c r="A138" t="s">
        <v>34</v>
      </c>
      <c r="B138">
        <v>2015</v>
      </c>
      <c r="C138" t="s">
        <v>74</v>
      </c>
      <c r="D138">
        <v>22.11</v>
      </c>
    </row>
    <row r="139" spans="1:4" x14ac:dyDescent="0.45">
      <c r="A139" t="s">
        <v>36</v>
      </c>
      <c r="B139">
        <v>2015</v>
      </c>
      <c r="C139" t="s">
        <v>74</v>
      </c>
      <c r="D139">
        <v>9.09</v>
      </c>
    </row>
    <row r="140" spans="1:4" x14ac:dyDescent="0.45">
      <c r="A140" t="s">
        <v>56</v>
      </c>
      <c r="B140">
        <v>2015</v>
      </c>
      <c r="C140" t="s">
        <v>74</v>
      </c>
      <c r="D140">
        <v>6.1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3.9</v>
      </c>
    </row>
    <row r="145" spans="1:4" x14ac:dyDescent="0.45">
      <c r="A145" t="s">
        <v>91</v>
      </c>
      <c r="B145">
        <v>2015</v>
      </c>
      <c r="C145" t="s">
        <v>74</v>
      </c>
      <c r="D145">
        <v>4.62</v>
      </c>
    </row>
    <row r="146" spans="1:4" x14ac:dyDescent="0.45">
      <c r="A146" t="s">
        <v>32</v>
      </c>
      <c r="B146">
        <v>2016</v>
      </c>
      <c r="C146" t="s">
        <v>74</v>
      </c>
      <c r="D146">
        <v>0.27</v>
      </c>
    </row>
    <row r="147" spans="1:4" x14ac:dyDescent="0.45">
      <c r="A147" t="s">
        <v>34</v>
      </c>
      <c r="B147">
        <v>2016</v>
      </c>
      <c r="C147" t="s">
        <v>74</v>
      </c>
      <c r="D147">
        <v>18.88</v>
      </c>
    </row>
    <row r="148" spans="1:4" x14ac:dyDescent="0.45">
      <c r="A148" t="s">
        <v>36</v>
      </c>
      <c r="B148">
        <v>2016</v>
      </c>
      <c r="C148" t="s">
        <v>74</v>
      </c>
      <c r="D148">
        <v>14.97</v>
      </c>
    </row>
    <row r="149" spans="1:4" x14ac:dyDescent="0.45">
      <c r="A149" t="s">
        <v>56</v>
      </c>
      <c r="B149">
        <v>2016</v>
      </c>
      <c r="C149" t="s">
        <v>74</v>
      </c>
      <c r="D149">
        <v>5.54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5.0999999999999996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3.93</v>
      </c>
    </row>
    <row r="154" spans="1:4" x14ac:dyDescent="0.45">
      <c r="A154" t="s">
        <v>91</v>
      </c>
      <c r="B154">
        <v>2016</v>
      </c>
      <c r="C154" t="s">
        <v>74</v>
      </c>
      <c r="D154">
        <v>5.15</v>
      </c>
    </row>
    <row r="155" spans="1:4" x14ac:dyDescent="0.45">
      <c r="A155" t="s">
        <v>32</v>
      </c>
      <c r="B155">
        <v>2017</v>
      </c>
      <c r="C155" t="s">
        <v>74</v>
      </c>
      <c r="D155">
        <v>0.31</v>
      </c>
    </row>
    <row r="156" spans="1:4" x14ac:dyDescent="0.45">
      <c r="A156" t="s">
        <v>34</v>
      </c>
      <c r="B156">
        <v>2017</v>
      </c>
      <c r="C156" t="s">
        <v>74</v>
      </c>
      <c r="D156">
        <v>18.760000000000002</v>
      </c>
    </row>
    <row r="157" spans="1:4" x14ac:dyDescent="0.45">
      <c r="A157" t="s">
        <v>36</v>
      </c>
      <c r="B157">
        <v>2017</v>
      </c>
      <c r="C157" t="s">
        <v>74</v>
      </c>
      <c r="D157">
        <v>17.13</v>
      </c>
    </row>
    <row r="158" spans="1:4" x14ac:dyDescent="0.45">
      <c r="A158" t="s">
        <v>56</v>
      </c>
      <c r="B158">
        <v>2017</v>
      </c>
      <c r="C158" t="s">
        <v>74</v>
      </c>
      <c r="D158">
        <v>3.96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5.1100000000000003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3.99</v>
      </c>
    </row>
    <row r="163" spans="1:4" x14ac:dyDescent="0.45">
      <c r="A163" t="s">
        <v>91</v>
      </c>
      <c r="B163">
        <v>2017</v>
      </c>
      <c r="C163" t="s">
        <v>74</v>
      </c>
      <c r="D163">
        <v>5.54</v>
      </c>
    </row>
    <row r="164" spans="1:4" x14ac:dyDescent="0.45">
      <c r="A164" t="s">
        <v>32</v>
      </c>
      <c r="B164">
        <v>2018</v>
      </c>
      <c r="C164" t="s">
        <v>74</v>
      </c>
      <c r="D164">
        <v>0.31</v>
      </c>
    </row>
    <row r="165" spans="1:4" x14ac:dyDescent="0.45">
      <c r="A165" t="s">
        <v>34</v>
      </c>
      <c r="B165">
        <v>2018</v>
      </c>
      <c r="C165" t="s">
        <v>74</v>
      </c>
      <c r="D165">
        <v>17.190000000000001</v>
      </c>
    </row>
    <row r="166" spans="1:4" x14ac:dyDescent="0.45">
      <c r="A166" t="s">
        <v>36</v>
      </c>
      <c r="B166">
        <v>2018</v>
      </c>
      <c r="C166" t="s">
        <v>74</v>
      </c>
      <c r="D166">
        <v>14.09</v>
      </c>
    </row>
    <row r="167" spans="1:4" x14ac:dyDescent="0.45">
      <c r="A167" t="s">
        <v>56</v>
      </c>
      <c r="B167">
        <v>2018</v>
      </c>
      <c r="C167" t="s">
        <v>74</v>
      </c>
      <c r="D167">
        <v>5.74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5.19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3.79</v>
      </c>
    </row>
    <row r="172" spans="1:4" x14ac:dyDescent="0.45">
      <c r="A172" t="s">
        <v>91</v>
      </c>
      <c r="B172">
        <v>2018</v>
      </c>
      <c r="C172" t="s">
        <v>74</v>
      </c>
      <c r="D172">
        <v>6.3</v>
      </c>
    </row>
    <row r="173" spans="1:4" x14ac:dyDescent="0.45">
      <c r="A173" t="s">
        <v>32</v>
      </c>
      <c r="B173">
        <v>2019</v>
      </c>
      <c r="C173" t="s">
        <v>74</v>
      </c>
      <c r="D173">
        <v>0.4</v>
      </c>
    </row>
    <row r="174" spans="1:4" x14ac:dyDescent="0.45">
      <c r="A174" t="s">
        <v>34</v>
      </c>
      <c r="B174">
        <v>2019</v>
      </c>
      <c r="C174" t="s">
        <v>74</v>
      </c>
      <c r="D174">
        <v>12.12</v>
      </c>
    </row>
    <row r="175" spans="1:4" x14ac:dyDescent="0.45">
      <c r="A175" t="s">
        <v>36</v>
      </c>
      <c r="B175">
        <v>2019</v>
      </c>
      <c r="C175" t="s">
        <v>74</v>
      </c>
      <c r="D175">
        <v>14.5</v>
      </c>
    </row>
    <row r="176" spans="1:4" x14ac:dyDescent="0.45">
      <c r="A176" t="s">
        <v>56</v>
      </c>
      <c r="B176">
        <v>2019</v>
      </c>
      <c r="C176" t="s">
        <v>74</v>
      </c>
      <c r="D176">
        <v>4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5.23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4.43</v>
      </c>
    </row>
    <row r="181" spans="1:4" x14ac:dyDescent="0.45">
      <c r="A181" t="s">
        <v>91</v>
      </c>
      <c r="B181">
        <v>2019</v>
      </c>
      <c r="C181" t="s">
        <v>74</v>
      </c>
      <c r="D181">
        <v>7.27</v>
      </c>
    </row>
    <row r="182" spans="1:4" x14ac:dyDescent="0.45">
      <c r="A182" t="s">
        <v>32</v>
      </c>
      <c r="B182">
        <v>2020</v>
      </c>
      <c r="C182" t="s">
        <v>74</v>
      </c>
      <c r="D182">
        <v>0.45</v>
      </c>
    </row>
    <row r="183" spans="1:4" x14ac:dyDescent="0.45">
      <c r="A183" t="s">
        <v>34</v>
      </c>
      <c r="B183">
        <v>2020</v>
      </c>
      <c r="C183" t="s">
        <v>74</v>
      </c>
      <c r="D183">
        <v>6.61</v>
      </c>
    </row>
    <row r="184" spans="1:4" x14ac:dyDescent="0.45">
      <c r="A184" t="s">
        <v>36</v>
      </c>
      <c r="B184">
        <v>2020</v>
      </c>
      <c r="C184" t="s">
        <v>74</v>
      </c>
      <c r="D184">
        <v>19.23</v>
      </c>
    </row>
    <row r="185" spans="1:4" x14ac:dyDescent="0.45">
      <c r="A185" t="s">
        <v>56</v>
      </c>
      <c r="B185">
        <v>2020</v>
      </c>
      <c r="C185" t="s">
        <v>74</v>
      </c>
      <c r="D185">
        <v>3.34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4.12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4.45</v>
      </c>
    </row>
    <row r="190" spans="1:4" x14ac:dyDescent="0.45">
      <c r="A190" t="s">
        <v>91</v>
      </c>
      <c r="B190">
        <v>2020</v>
      </c>
      <c r="C190" t="s">
        <v>74</v>
      </c>
      <c r="D190">
        <v>9.31</v>
      </c>
    </row>
    <row r="191" spans="1:4" x14ac:dyDescent="0.45">
      <c r="A191" t="s">
        <v>32</v>
      </c>
      <c r="B191">
        <v>2021</v>
      </c>
      <c r="C191" t="s">
        <v>74</v>
      </c>
      <c r="D191">
        <v>0.5</v>
      </c>
    </row>
    <row r="192" spans="1:4" x14ac:dyDescent="0.45">
      <c r="A192" t="s">
        <v>34</v>
      </c>
      <c r="B192">
        <v>2021</v>
      </c>
      <c r="C192" t="s">
        <v>74</v>
      </c>
      <c r="D192">
        <v>5.32</v>
      </c>
    </row>
    <row r="193" spans="1:4" x14ac:dyDescent="0.45">
      <c r="A193" t="s">
        <v>36</v>
      </c>
      <c r="B193">
        <v>2021</v>
      </c>
      <c r="C193" t="s">
        <v>74</v>
      </c>
      <c r="D193">
        <v>22.49</v>
      </c>
    </row>
    <row r="194" spans="1:4" x14ac:dyDescent="0.45">
      <c r="A194" t="s">
        <v>56</v>
      </c>
      <c r="B194">
        <v>2021</v>
      </c>
      <c r="C194" t="s">
        <v>74</v>
      </c>
      <c r="D194">
        <v>5.9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4.3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5.25</v>
      </c>
    </row>
    <row r="199" spans="1:4" x14ac:dyDescent="0.45">
      <c r="A199" t="s">
        <v>91</v>
      </c>
      <c r="B199">
        <v>2021</v>
      </c>
      <c r="C199" t="s">
        <v>74</v>
      </c>
      <c r="D199">
        <v>10.48</v>
      </c>
    </row>
    <row r="200" spans="1:4" x14ac:dyDescent="0.45">
      <c r="A200" t="s">
        <v>32</v>
      </c>
      <c r="B200">
        <v>2022</v>
      </c>
      <c r="C200" t="s">
        <v>74</v>
      </c>
      <c r="D200">
        <v>0.56999999999999995</v>
      </c>
    </row>
    <row r="201" spans="1:4" x14ac:dyDescent="0.45">
      <c r="A201" t="s">
        <v>34</v>
      </c>
      <c r="B201">
        <v>2022</v>
      </c>
      <c r="C201" t="s">
        <v>74</v>
      </c>
      <c r="D201">
        <v>5.76</v>
      </c>
    </row>
    <row r="202" spans="1:4" x14ac:dyDescent="0.45">
      <c r="A202" t="s">
        <v>36</v>
      </c>
      <c r="B202">
        <v>2022</v>
      </c>
      <c r="C202" t="s">
        <v>74</v>
      </c>
      <c r="D202">
        <v>19.14</v>
      </c>
    </row>
    <row r="203" spans="1:4" x14ac:dyDescent="0.45">
      <c r="A203" t="s">
        <v>56</v>
      </c>
      <c r="B203">
        <v>2022</v>
      </c>
      <c r="C203" t="s">
        <v>74</v>
      </c>
      <c r="D203">
        <v>3.86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4.2699999999999996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7.14</v>
      </c>
    </row>
    <row r="208" spans="1:4" x14ac:dyDescent="0.45">
      <c r="A208" t="s">
        <v>91</v>
      </c>
      <c r="B208">
        <v>2022</v>
      </c>
      <c r="C208" t="s">
        <v>74</v>
      </c>
      <c r="D208">
        <v>10.87</v>
      </c>
    </row>
    <row r="209" spans="1:4" x14ac:dyDescent="0.45">
      <c r="A209" t="s">
        <v>32</v>
      </c>
      <c r="B209">
        <v>2023</v>
      </c>
      <c r="C209" t="s">
        <v>74</v>
      </c>
      <c r="D209">
        <v>0.56999999999999995</v>
      </c>
    </row>
    <row r="210" spans="1:4" x14ac:dyDescent="0.45">
      <c r="A210" t="s">
        <v>34</v>
      </c>
      <c r="B210">
        <v>2023</v>
      </c>
      <c r="C210" t="s">
        <v>74</v>
      </c>
      <c r="D210">
        <v>4.72</v>
      </c>
    </row>
    <row r="211" spans="1:4" x14ac:dyDescent="0.45">
      <c r="A211" t="s">
        <v>36</v>
      </c>
      <c r="B211">
        <v>2023</v>
      </c>
      <c r="C211" t="s">
        <v>74</v>
      </c>
      <c r="D211">
        <v>15.65</v>
      </c>
    </row>
    <row r="212" spans="1:4" x14ac:dyDescent="0.45">
      <c r="A212" t="s">
        <v>56</v>
      </c>
      <c r="B212">
        <v>2023</v>
      </c>
      <c r="C212" t="s">
        <v>74</v>
      </c>
      <c r="D212">
        <v>3.87</v>
      </c>
    </row>
    <row r="213" spans="1:4" x14ac:dyDescent="0.45">
      <c r="A213" t="s">
        <v>57</v>
      </c>
      <c r="B213">
        <v>2023</v>
      </c>
      <c r="C213" t="s">
        <v>74</v>
      </c>
      <c r="D213">
        <v>0</v>
      </c>
    </row>
    <row r="214" spans="1:4" x14ac:dyDescent="0.45">
      <c r="A214" t="s">
        <v>38</v>
      </c>
      <c r="B214">
        <v>2023</v>
      </c>
      <c r="C214" t="s">
        <v>74</v>
      </c>
      <c r="D214">
        <v>4.2699999999999996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9.39</v>
      </c>
    </row>
    <row r="217" spans="1:4" x14ac:dyDescent="0.45">
      <c r="A217" t="s">
        <v>91</v>
      </c>
      <c r="B217">
        <v>2023</v>
      </c>
      <c r="C217" t="s">
        <v>74</v>
      </c>
      <c r="D217">
        <v>10.91</v>
      </c>
    </row>
    <row r="218" spans="1:4" x14ac:dyDescent="0.45">
      <c r="A218" t="s">
        <v>32</v>
      </c>
      <c r="B218">
        <v>2000</v>
      </c>
      <c r="C218" t="s">
        <v>75</v>
      </c>
      <c r="D218">
        <v>0</v>
      </c>
    </row>
    <row r="219" spans="1:4" x14ac:dyDescent="0.45">
      <c r="A219" t="s">
        <v>34</v>
      </c>
      <c r="B219">
        <v>2000</v>
      </c>
      <c r="C219" t="s">
        <v>75</v>
      </c>
      <c r="D219">
        <v>4.95</v>
      </c>
    </row>
    <row r="220" spans="1:4" x14ac:dyDescent="0.45">
      <c r="A220" t="s">
        <v>36</v>
      </c>
      <c r="B220">
        <v>2000</v>
      </c>
      <c r="C220" t="s">
        <v>75</v>
      </c>
      <c r="D220">
        <v>0.9</v>
      </c>
    </row>
    <row r="221" spans="1:4" x14ac:dyDescent="0.45">
      <c r="A221" t="s">
        <v>56</v>
      </c>
      <c r="B221">
        <v>2000</v>
      </c>
      <c r="C221" t="s">
        <v>75</v>
      </c>
      <c r="D221">
        <v>3.07</v>
      </c>
    </row>
    <row r="222" spans="1:4" x14ac:dyDescent="0.45">
      <c r="A222" t="s">
        <v>57</v>
      </c>
      <c r="B222">
        <v>2000</v>
      </c>
      <c r="C222" t="s">
        <v>75</v>
      </c>
    </row>
    <row r="223" spans="1:4" x14ac:dyDescent="0.45">
      <c r="A223" t="s">
        <v>38</v>
      </c>
      <c r="B223">
        <v>2000</v>
      </c>
      <c r="C223" t="s">
        <v>75</v>
      </c>
      <c r="D223">
        <v>0.86</v>
      </c>
    </row>
    <row r="224" spans="1:4" x14ac:dyDescent="0.45">
      <c r="A224" t="s">
        <v>32</v>
      </c>
      <c r="B224">
        <v>2000</v>
      </c>
      <c r="C224" t="s">
        <v>75</v>
      </c>
    </row>
    <row r="225" spans="1:4" x14ac:dyDescent="0.45">
      <c r="A225" t="s">
        <v>58</v>
      </c>
      <c r="B225">
        <v>2000</v>
      </c>
      <c r="C225" t="s">
        <v>75</v>
      </c>
      <c r="D225">
        <v>0</v>
      </c>
    </row>
    <row r="226" spans="1:4" x14ac:dyDescent="0.45">
      <c r="A226" t="s">
        <v>91</v>
      </c>
      <c r="B226">
        <v>2000</v>
      </c>
      <c r="C226" t="s">
        <v>75</v>
      </c>
      <c r="D226">
        <v>0.23</v>
      </c>
    </row>
    <row r="227" spans="1:4" x14ac:dyDescent="0.45">
      <c r="A227" t="s">
        <v>32</v>
      </c>
      <c r="B227">
        <v>2001</v>
      </c>
      <c r="C227" t="s">
        <v>75</v>
      </c>
      <c r="D227">
        <v>0.02</v>
      </c>
    </row>
    <row r="228" spans="1:4" x14ac:dyDescent="0.45">
      <c r="A228" t="s">
        <v>34</v>
      </c>
      <c r="B228">
        <v>2001</v>
      </c>
      <c r="C228" t="s">
        <v>75</v>
      </c>
      <c r="D228">
        <v>4.95</v>
      </c>
    </row>
    <row r="229" spans="1:4" x14ac:dyDescent="0.45">
      <c r="A229" t="s">
        <v>36</v>
      </c>
      <c r="B229">
        <v>2001</v>
      </c>
      <c r="C229" t="s">
        <v>75</v>
      </c>
      <c r="D229">
        <v>0.9</v>
      </c>
    </row>
    <row r="230" spans="1:4" x14ac:dyDescent="0.45">
      <c r="A230" t="s">
        <v>56</v>
      </c>
      <c r="B230">
        <v>2001</v>
      </c>
      <c r="C230" t="s">
        <v>75</v>
      </c>
      <c r="D230">
        <v>3.08</v>
      </c>
    </row>
    <row r="231" spans="1:4" x14ac:dyDescent="0.45">
      <c r="A231" t="s">
        <v>57</v>
      </c>
      <c r="B231">
        <v>2001</v>
      </c>
      <c r="C231" t="s">
        <v>75</v>
      </c>
    </row>
    <row r="232" spans="1:4" x14ac:dyDescent="0.45">
      <c r="A232" t="s">
        <v>38</v>
      </c>
      <c r="B232">
        <v>2001</v>
      </c>
      <c r="C232" t="s">
        <v>75</v>
      </c>
      <c r="D232">
        <v>0.86</v>
      </c>
    </row>
    <row r="233" spans="1:4" x14ac:dyDescent="0.45">
      <c r="A233" t="s">
        <v>32</v>
      </c>
      <c r="B233">
        <v>2001</v>
      </c>
      <c r="C233" t="s">
        <v>75</v>
      </c>
    </row>
    <row r="234" spans="1:4" x14ac:dyDescent="0.45">
      <c r="A234" t="s">
        <v>58</v>
      </c>
      <c r="B234">
        <v>2001</v>
      </c>
      <c r="C234" t="s">
        <v>75</v>
      </c>
      <c r="D234">
        <v>0</v>
      </c>
    </row>
    <row r="235" spans="1:4" x14ac:dyDescent="0.45">
      <c r="A235" t="s">
        <v>91</v>
      </c>
      <c r="B235">
        <v>2001</v>
      </c>
      <c r="C235" t="s">
        <v>75</v>
      </c>
      <c r="D235">
        <v>0.27</v>
      </c>
    </row>
    <row r="236" spans="1:4" x14ac:dyDescent="0.45">
      <c r="A236" t="s">
        <v>32</v>
      </c>
      <c r="B236">
        <v>2002</v>
      </c>
      <c r="C236" t="s">
        <v>75</v>
      </c>
      <c r="D236">
        <v>0.02</v>
      </c>
    </row>
    <row r="237" spans="1:4" x14ac:dyDescent="0.45">
      <c r="A237" t="s">
        <v>34</v>
      </c>
      <c r="B237">
        <v>2002</v>
      </c>
      <c r="C237" t="s">
        <v>75</v>
      </c>
      <c r="D237">
        <v>4.95</v>
      </c>
    </row>
    <row r="238" spans="1:4" x14ac:dyDescent="0.45">
      <c r="A238" t="s">
        <v>36</v>
      </c>
      <c r="B238">
        <v>2002</v>
      </c>
      <c r="C238" t="s">
        <v>75</v>
      </c>
      <c r="D238">
        <v>1.38</v>
      </c>
    </row>
    <row r="239" spans="1:4" x14ac:dyDescent="0.45">
      <c r="A239" t="s">
        <v>56</v>
      </c>
      <c r="B239">
        <v>2002</v>
      </c>
      <c r="C239" t="s">
        <v>75</v>
      </c>
      <c r="D239">
        <v>3.08</v>
      </c>
    </row>
    <row r="240" spans="1:4" x14ac:dyDescent="0.45">
      <c r="A240" t="s">
        <v>57</v>
      </c>
      <c r="B240">
        <v>2002</v>
      </c>
      <c r="C240" t="s">
        <v>75</v>
      </c>
    </row>
    <row r="241" spans="1:4" x14ac:dyDescent="0.45">
      <c r="A241" t="s">
        <v>38</v>
      </c>
      <c r="B241">
        <v>2002</v>
      </c>
      <c r="C241" t="s">
        <v>75</v>
      </c>
      <c r="D241">
        <v>0.86</v>
      </c>
    </row>
    <row r="242" spans="1:4" x14ac:dyDescent="0.45">
      <c r="A242" t="s">
        <v>32</v>
      </c>
      <c r="B242">
        <v>2002</v>
      </c>
      <c r="C242" t="s">
        <v>75</v>
      </c>
    </row>
    <row r="243" spans="1:4" x14ac:dyDescent="0.45">
      <c r="A243" t="s">
        <v>58</v>
      </c>
      <c r="B243">
        <v>2002</v>
      </c>
      <c r="C243" t="s">
        <v>75</v>
      </c>
      <c r="D243">
        <v>0</v>
      </c>
    </row>
    <row r="244" spans="1:4" x14ac:dyDescent="0.45">
      <c r="A244" t="s">
        <v>91</v>
      </c>
      <c r="B244">
        <v>2002</v>
      </c>
      <c r="C244" t="s">
        <v>75</v>
      </c>
      <c r="D244">
        <v>0.28999999999999998</v>
      </c>
    </row>
    <row r="245" spans="1:4" x14ac:dyDescent="0.45">
      <c r="A245" t="s">
        <v>32</v>
      </c>
      <c r="B245">
        <v>2003</v>
      </c>
      <c r="C245" t="s">
        <v>75</v>
      </c>
      <c r="D245">
        <v>0.02</v>
      </c>
    </row>
    <row r="246" spans="1:4" x14ac:dyDescent="0.45">
      <c r="A246" t="s">
        <v>34</v>
      </c>
      <c r="B246">
        <v>2003</v>
      </c>
      <c r="C246" t="s">
        <v>75</v>
      </c>
      <c r="D246">
        <v>5.28</v>
      </c>
    </row>
    <row r="247" spans="1:4" x14ac:dyDescent="0.45">
      <c r="A247" t="s">
        <v>36</v>
      </c>
      <c r="B247">
        <v>2003</v>
      </c>
      <c r="C247" t="s">
        <v>75</v>
      </c>
      <c r="D247">
        <v>1.42</v>
      </c>
    </row>
    <row r="248" spans="1:4" x14ac:dyDescent="0.45">
      <c r="A248" t="s">
        <v>56</v>
      </c>
      <c r="B248">
        <v>2003</v>
      </c>
      <c r="C248" t="s">
        <v>75</v>
      </c>
      <c r="D248">
        <v>3.08</v>
      </c>
    </row>
    <row r="249" spans="1:4" x14ac:dyDescent="0.45">
      <c r="A249" t="s">
        <v>57</v>
      </c>
      <c r="B249">
        <v>2003</v>
      </c>
      <c r="C249" t="s">
        <v>75</v>
      </c>
    </row>
    <row r="250" spans="1:4" x14ac:dyDescent="0.45">
      <c r="A250" t="s">
        <v>38</v>
      </c>
      <c r="B250">
        <v>2003</v>
      </c>
      <c r="C250" t="s">
        <v>75</v>
      </c>
      <c r="D250">
        <v>0.95</v>
      </c>
    </row>
    <row r="251" spans="1:4" x14ac:dyDescent="0.45">
      <c r="A251" t="s">
        <v>32</v>
      </c>
      <c r="B251">
        <v>2003</v>
      </c>
      <c r="C251" t="s">
        <v>75</v>
      </c>
    </row>
    <row r="252" spans="1:4" x14ac:dyDescent="0.45">
      <c r="A252" t="s">
        <v>58</v>
      </c>
      <c r="B252">
        <v>2003</v>
      </c>
      <c r="C252" t="s">
        <v>75</v>
      </c>
      <c r="D252">
        <v>0</v>
      </c>
    </row>
    <row r="253" spans="1:4" x14ac:dyDescent="0.45">
      <c r="A253" t="s">
        <v>91</v>
      </c>
      <c r="B253">
        <v>2003</v>
      </c>
      <c r="C253" t="s">
        <v>75</v>
      </c>
      <c r="D253">
        <v>0.37</v>
      </c>
    </row>
    <row r="254" spans="1:4" x14ac:dyDescent="0.45">
      <c r="A254" t="s">
        <v>32</v>
      </c>
      <c r="B254">
        <v>2004</v>
      </c>
      <c r="C254" t="s">
        <v>75</v>
      </c>
      <c r="D254">
        <v>0.02</v>
      </c>
    </row>
    <row r="255" spans="1:4" x14ac:dyDescent="0.45">
      <c r="A255" t="s">
        <v>34</v>
      </c>
      <c r="B255">
        <v>2004</v>
      </c>
      <c r="C255" t="s">
        <v>75</v>
      </c>
      <c r="D255">
        <v>5.28</v>
      </c>
    </row>
    <row r="256" spans="1:4" x14ac:dyDescent="0.45">
      <c r="A256" t="s">
        <v>36</v>
      </c>
      <c r="B256">
        <v>2004</v>
      </c>
      <c r="C256" t="s">
        <v>75</v>
      </c>
      <c r="D256">
        <v>1.63</v>
      </c>
    </row>
    <row r="257" spans="1:4" x14ac:dyDescent="0.45">
      <c r="A257" t="s">
        <v>56</v>
      </c>
      <c r="B257">
        <v>2004</v>
      </c>
      <c r="C257" t="s">
        <v>75</v>
      </c>
      <c r="D257">
        <v>3.1</v>
      </c>
    </row>
    <row r="258" spans="1:4" x14ac:dyDescent="0.45">
      <c r="A258" t="s">
        <v>57</v>
      </c>
      <c r="B258">
        <v>2004</v>
      </c>
      <c r="C258" t="s">
        <v>75</v>
      </c>
    </row>
    <row r="259" spans="1:4" x14ac:dyDescent="0.45">
      <c r="A259" t="s">
        <v>38</v>
      </c>
      <c r="B259">
        <v>2004</v>
      </c>
      <c r="C259" t="s">
        <v>75</v>
      </c>
      <c r="D259">
        <v>1.1000000000000001</v>
      </c>
    </row>
    <row r="260" spans="1:4" x14ac:dyDescent="0.45">
      <c r="A260" t="s">
        <v>32</v>
      </c>
      <c r="B260">
        <v>2004</v>
      </c>
      <c r="C260" t="s">
        <v>75</v>
      </c>
    </row>
    <row r="261" spans="1:4" x14ac:dyDescent="0.45">
      <c r="A261" t="s">
        <v>58</v>
      </c>
      <c r="B261">
        <v>2004</v>
      </c>
      <c r="C261" t="s">
        <v>75</v>
      </c>
      <c r="D261">
        <v>0</v>
      </c>
    </row>
    <row r="262" spans="1:4" x14ac:dyDescent="0.45">
      <c r="A262" t="s">
        <v>91</v>
      </c>
      <c r="B262">
        <v>2004</v>
      </c>
      <c r="C262" t="s">
        <v>75</v>
      </c>
      <c r="D262">
        <v>0.47</v>
      </c>
    </row>
    <row r="263" spans="1:4" x14ac:dyDescent="0.45">
      <c r="A263" t="s">
        <v>32</v>
      </c>
      <c r="B263">
        <v>2005</v>
      </c>
      <c r="C263" t="s">
        <v>75</v>
      </c>
      <c r="D263">
        <v>0.02</v>
      </c>
    </row>
    <row r="264" spans="1:4" x14ac:dyDescent="0.45">
      <c r="A264" t="s">
        <v>34</v>
      </c>
      <c r="B264">
        <v>2005</v>
      </c>
      <c r="C264" t="s">
        <v>75</v>
      </c>
      <c r="D264">
        <v>5.28</v>
      </c>
    </row>
    <row r="265" spans="1:4" x14ac:dyDescent="0.45">
      <c r="A265" t="s">
        <v>36</v>
      </c>
      <c r="B265">
        <v>2005</v>
      </c>
      <c r="C265" t="s">
        <v>75</v>
      </c>
      <c r="D265">
        <v>1.63</v>
      </c>
    </row>
    <row r="266" spans="1:4" x14ac:dyDescent="0.45">
      <c r="A266" t="s">
        <v>56</v>
      </c>
      <c r="B266">
        <v>2005</v>
      </c>
      <c r="C266" t="s">
        <v>75</v>
      </c>
      <c r="D266">
        <v>3.11</v>
      </c>
    </row>
    <row r="267" spans="1:4" x14ac:dyDescent="0.45">
      <c r="A267" t="s">
        <v>57</v>
      </c>
      <c r="B267">
        <v>2005</v>
      </c>
      <c r="C267" t="s">
        <v>75</v>
      </c>
    </row>
    <row r="268" spans="1:4" x14ac:dyDescent="0.45">
      <c r="A268" t="s">
        <v>38</v>
      </c>
      <c r="B268">
        <v>2005</v>
      </c>
      <c r="C268" t="s">
        <v>75</v>
      </c>
      <c r="D268">
        <v>1.1000000000000001</v>
      </c>
    </row>
    <row r="269" spans="1:4" x14ac:dyDescent="0.45">
      <c r="A269" t="s">
        <v>32</v>
      </c>
      <c r="B269">
        <v>2005</v>
      </c>
      <c r="C269" t="s">
        <v>75</v>
      </c>
    </row>
    <row r="270" spans="1:4" x14ac:dyDescent="0.45">
      <c r="A270" t="s">
        <v>58</v>
      </c>
      <c r="B270">
        <v>2005</v>
      </c>
      <c r="C270" t="s">
        <v>75</v>
      </c>
      <c r="D270">
        <v>0</v>
      </c>
    </row>
    <row r="271" spans="1:4" x14ac:dyDescent="0.45">
      <c r="A271" t="s">
        <v>91</v>
      </c>
      <c r="B271">
        <v>2005</v>
      </c>
      <c r="C271" t="s">
        <v>75</v>
      </c>
      <c r="D271">
        <v>0.49</v>
      </c>
    </row>
    <row r="272" spans="1:4" x14ac:dyDescent="0.45">
      <c r="A272" t="s">
        <v>32</v>
      </c>
      <c r="B272">
        <v>2006</v>
      </c>
      <c r="C272" t="s">
        <v>75</v>
      </c>
      <c r="D272">
        <v>0.02</v>
      </c>
    </row>
    <row r="273" spans="1:4" x14ac:dyDescent="0.45">
      <c r="A273" t="s">
        <v>34</v>
      </c>
      <c r="B273">
        <v>2006</v>
      </c>
      <c r="C273" t="s">
        <v>75</v>
      </c>
      <c r="D273">
        <v>5.28</v>
      </c>
    </row>
    <row r="274" spans="1:4" x14ac:dyDescent="0.45">
      <c r="A274" t="s">
        <v>36</v>
      </c>
      <c r="B274">
        <v>2006</v>
      </c>
      <c r="C274" t="s">
        <v>75</v>
      </c>
      <c r="D274">
        <v>2.4300000000000002</v>
      </c>
    </row>
    <row r="275" spans="1:4" x14ac:dyDescent="0.45">
      <c r="A275" t="s">
        <v>56</v>
      </c>
      <c r="B275">
        <v>2006</v>
      </c>
      <c r="C275" t="s">
        <v>75</v>
      </c>
      <c r="D275">
        <v>3.13</v>
      </c>
    </row>
    <row r="276" spans="1:4" x14ac:dyDescent="0.45">
      <c r="A276" t="s">
        <v>57</v>
      </c>
      <c r="B276">
        <v>2006</v>
      </c>
      <c r="C276" t="s">
        <v>75</v>
      </c>
    </row>
    <row r="277" spans="1:4" x14ac:dyDescent="0.45">
      <c r="A277" t="s">
        <v>38</v>
      </c>
      <c r="B277">
        <v>2006</v>
      </c>
      <c r="C277" t="s">
        <v>75</v>
      </c>
      <c r="D277">
        <v>1.1000000000000001</v>
      </c>
    </row>
    <row r="278" spans="1:4" x14ac:dyDescent="0.45">
      <c r="A278" t="s">
        <v>32</v>
      </c>
      <c r="B278">
        <v>2006</v>
      </c>
      <c r="C278" t="s">
        <v>75</v>
      </c>
    </row>
    <row r="279" spans="1:4" x14ac:dyDescent="0.45">
      <c r="A279" t="s">
        <v>58</v>
      </c>
      <c r="B279">
        <v>2006</v>
      </c>
      <c r="C279" t="s">
        <v>75</v>
      </c>
      <c r="D279">
        <v>0</v>
      </c>
    </row>
    <row r="280" spans="1:4" x14ac:dyDescent="0.45">
      <c r="A280" t="s">
        <v>91</v>
      </c>
      <c r="B280">
        <v>2006</v>
      </c>
      <c r="C280" t="s">
        <v>75</v>
      </c>
      <c r="D280">
        <v>0.75</v>
      </c>
    </row>
    <row r="281" spans="1:4" x14ac:dyDescent="0.45">
      <c r="A281" t="s">
        <v>32</v>
      </c>
      <c r="B281">
        <v>2007</v>
      </c>
      <c r="C281" t="s">
        <v>75</v>
      </c>
      <c r="D281">
        <v>0.04</v>
      </c>
    </row>
    <row r="282" spans="1:4" x14ac:dyDescent="0.45">
      <c r="A282" t="s">
        <v>34</v>
      </c>
      <c r="B282">
        <v>2007</v>
      </c>
      <c r="C282" t="s">
        <v>75</v>
      </c>
      <c r="D282">
        <v>5.28</v>
      </c>
    </row>
    <row r="283" spans="1:4" x14ac:dyDescent="0.45">
      <c r="A283" t="s">
        <v>36</v>
      </c>
      <c r="B283">
        <v>2007</v>
      </c>
      <c r="C283" t="s">
        <v>75</v>
      </c>
      <c r="D283">
        <v>2.4300000000000002</v>
      </c>
    </row>
    <row r="284" spans="1:4" x14ac:dyDescent="0.45">
      <c r="A284" t="s">
        <v>56</v>
      </c>
      <c r="B284">
        <v>2007</v>
      </c>
      <c r="C284" t="s">
        <v>75</v>
      </c>
      <c r="D284">
        <v>3.15</v>
      </c>
    </row>
    <row r="285" spans="1:4" x14ac:dyDescent="0.45">
      <c r="A285" t="s">
        <v>57</v>
      </c>
      <c r="B285">
        <v>2007</v>
      </c>
      <c r="C285" t="s">
        <v>75</v>
      </c>
    </row>
    <row r="286" spans="1:4" x14ac:dyDescent="0.45">
      <c r="A286" t="s">
        <v>38</v>
      </c>
      <c r="B286">
        <v>2007</v>
      </c>
      <c r="C286" t="s">
        <v>75</v>
      </c>
      <c r="D286">
        <v>1.1000000000000001</v>
      </c>
    </row>
    <row r="287" spans="1:4" x14ac:dyDescent="0.45">
      <c r="A287" t="s">
        <v>32</v>
      </c>
      <c r="B287">
        <v>2007</v>
      </c>
      <c r="C287" t="s">
        <v>75</v>
      </c>
    </row>
    <row r="288" spans="1:4" x14ac:dyDescent="0.45">
      <c r="A288" t="s">
        <v>58</v>
      </c>
      <c r="B288">
        <v>2007</v>
      </c>
      <c r="C288" t="s">
        <v>75</v>
      </c>
      <c r="D288">
        <v>0.01</v>
      </c>
    </row>
    <row r="289" spans="1:4" x14ac:dyDescent="0.45">
      <c r="A289" t="s">
        <v>91</v>
      </c>
      <c r="B289">
        <v>2007</v>
      </c>
      <c r="C289" t="s">
        <v>75</v>
      </c>
      <c r="D289">
        <v>0.85</v>
      </c>
    </row>
    <row r="290" spans="1:4" x14ac:dyDescent="0.45">
      <c r="A290" t="s">
        <v>32</v>
      </c>
      <c r="B290">
        <v>2008</v>
      </c>
      <c r="C290" t="s">
        <v>75</v>
      </c>
      <c r="D290">
        <v>0.04</v>
      </c>
    </row>
    <row r="291" spans="1:4" x14ac:dyDescent="0.45">
      <c r="A291" t="s">
        <v>34</v>
      </c>
      <c r="B291">
        <v>2008</v>
      </c>
      <c r="C291" t="s">
        <v>75</v>
      </c>
      <c r="D291">
        <v>5.28</v>
      </c>
    </row>
    <row r="292" spans="1:4" x14ac:dyDescent="0.45">
      <c r="A292" t="s">
        <v>36</v>
      </c>
      <c r="B292">
        <v>2008</v>
      </c>
      <c r="C292" t="s">
        <v>75</v>
      </c>
      <c r="D292">
        <v>2.76</v>
      </c>
    </row>
    <row r="293" spans="1:4" x14ac:dyDescent="0.45">
      <c r="A293" t="s">
        <v>56</v>
      </c>
      <c r="B293">
        <v>2008</v>
      </c>
      <c r="C293" t="s">
        <v>75</v>
      </c>
      <c r="D293">
        <v>3.18</v>
      </c>
    </row>
    <row r="294" spans="1:4" x14ac:dyDescent="0.45">
      <c r="A294" t="s">
        <v>57</v>
      </c>
      <c r="B294">
        <v>2008</v>
      </c>
      <c r="C294" t="s">
        <v>75</v>
      </c>
    </row>
    <row r="295" spans="1:4" x14ac:dyDescent="0.45">
      <c r="A295" t="s">
        <v>38</v>
      </c>
      <c r="B295">
        <v>2008</v>
      </c>
      <c r="C295" t="s">
        <v>75</v>
      </c>
      <c r="D295">
        <v>1.24</v>
      </c>
    </row>
    <row r="296" spans="1:4" x14ac:dyDescent="0.45">
      <c r="A296" t="s">
        <v>32</v>
      </c>
      <c r="B296">
        <v>2008</v>
      </c>
      <c r="C296" t="s">
        <v>75</v>
      </c>
    </row>
    <row r="297" spans="1:4" x14ac:dyDescent="0.45">
      <c r="A297" t="s">
        <v>58</v>
      </c>
      <c r="B297">
        <v>2008</v>
      </c>
      <c r="C297" t="s">
        <v>75</v>
      </c>
      <c r="D297">
        <v>0.01</v>
      </c>
    </row>
    <row r="298" spans="1:4" x14ac:dyDescent="0.45">
      <c r="A298" t="s">
        <v>91</v>
      </c>
      <c r="B298">
        <v>2008</v>
      </c>
      <c r="C298" t="s">
        <v>75</v>
      </c>
      <c r="D298">
        <v>1.02</v>
      </c>
    </row>
    <row r="299" spans="1:4" x14ac:dyDescent="0.45">
      <c r="A299" t="s">
        <v>32</v>
      </c>
      <c r="B299">
        <v>2009</v>
      </c>
      <c r="C299" t="s">
        <v>75</v>
      </c>
      <c r="D299">
        <v>0.04</v>
      </c>
    </row>
    <row r="300" spans="1:4" x14ac:dyDescent="0.45">
      <c r="A300" t="s">
        <v>34</v>
      </c>
      <c r="B300">
        <v>2009</v>
      </c>
      <c r="C300" t="s">
        <v>75</v>
      </c>
      <c r="D300">
        <v>5.28</v>
      </c>
    </row>
    <row r="301" spans="1:4" x14ac:dyDescent="0.45">
      <c r="A301" t="s">
        <v>36</v>
      </c>
      <c r="B301">
        <v>2009</v>
      </c>
      <c r="C301" t="s">
        <v>75</v>
      </c>
      <c r="D301">
        <v>2.76</v>
      </c>
    </row>
    <row r="302" spans="1:4" x14ac:dyDescent="0.45">
      <c r="A302" t="s">
        <v>56</v>
      </c>
      <c r="B302">
        <v>2009</v>
      </c>
      <c r="C302" t="s">
        <v>75</v>
      </c>
      <c r="D302">
        <v>3.2</v>
      </c>
    </row>
    <row r="303" spans="1:4" x14ac:dyDescent="0.45">
      <c r="A303" t="s">
        <v>57</v>
      </c>
      <c r="B303">
        <v>2009</v>
      </c>
      <c r="C303" t="s">
        <v>75</v>
      </c>
    </row>
    <row r="304" spans="1:4" x14ac:dyDescent="0.45">
      <c r="A304" t="s">
        <v>38</v>
      </c>
      <c r="B304">
        <v>2009</v>
      </c>
      <c r="C304" t="s">
        <v>75</v>
      </c>
      <c r="D304">
        <v>1.24</v>
      </c>
    </row>
    <row r="305" spans="1:4" x14ac:dyDescent="0.45">
      <c r="A305" t="s">
        <v>32</v>
      </c>
      <c r="B305">
        <v>2009</v>
      </c>
      <c r="C305" t="s">
        <v>75</v>
      </c>
    </row>
    <row r="306" spans="1:4" x14ac:dyDescent="0.45">
      <c r="A306" t="s">
        <v>58</v>
      </c>
      <c r="B306">
        <v>2009</v>
      </c>
      <c r="C306" t="s">
        <v>75</v>
      </c>
      <c r="D306">
        <v>0.05</v>
      </c>
    </row>
    <row r="307" spans="1:4" x14ac:dyDescent="0.45">
      <c r="A307" t="s">
        <v>91</v>
      </c>
      <c r="B307">
        <v>2009</v>
      </c>
      <c r="C307" t="s">
        <v>75</v>
      </c>
      <c r="D307">
        <v>1.17</v>
      </c>
    </row>
    <row r="308" spans="1:4" x14ac:dyDescent="0.45">
      <c r="A308" t="s">
        <v>32</v>
      </c>
      <c r="B308">
        <v>2010</v>
      </c>
      <c r="C308" t="s">
        <v>75</v>
      </c>
      <c r="D308">
        <v>0.04</v>
      </c>
    </row>
    <row r="309" spans="1:4" x14ac:dyDescent="0.45">
      <c r="A309" t="s">
        <v>34</v>
      </c>
      <c r="B309">
        <v>2010</v>
      </c>
      <c r="C309" t="s">
        <v>75</v>
      </c>
      <c r="D309">
        <v>5.21</v>
      </c>
    </row>
    <row r="310" spans="1:4" x14ac:dyDescent="0.45">
      <c r="A310" t="s">
        <v>36</v>
      </c>
      <c r="B310">
        <v>2010</v>
      </c>
      <c r="C310" t="s">
        <v>75</v>
      </c>
      <c r="D310">
        <v>3.62</v>
      </c>
    </row>
    <row r="311" spans="1:4" x14ac:dyDescent="0.45">
      <c r="A311" t="s">
        <v>56</v>
      </c>
      <c r="B311">
        <v>2010</v>
      </c>
      <c r="C311" t="s">
        <v>75</v>
      </c>
      <c r="D311">
        <v>3.22</v>
      </c>
    </row>
    <row r="312" spans="1:4" x14ac:dyDescent="0.45">
      <c r="A312" t="s">
        <v>57</v>
      </c>
      <c r="B312">
        <v>2010</v>
      </c>
      <c r="C312" t="s">
        <v>75</v>
      </c>
    </row>
    <row r="313" spans="1:4" x14ac:dyDescent="0.45">
      <c r="A313" t="s">
        <v>38</v>
      </c>
      <c r="B313">
        <v>2010</v>
      </c>
      <c r="C313" t="s">
        <v>75</v>
      </c>
      <c r="D313">
        <v>1.24</v>
      </c>
    </row>
    <row r="314" spans="1:4" x14ac:dyDescent="0.45">
      <c r="A314" t="s">
        <v>32</v>
      </c>
      <c r="B314">
        <v>2010</v>
      </c>
      <c r="C314" t="s">
        <v>75</v>
      </c>
    </row>
    <row r="315" spans="1:4" x14ac:dyDescent="0.45">
      <c r="A315" t="s">
        <v>58</v>
      </c>
      <c r="B315">
        <v>2010</v>
      </c>
      <c r="C315" t="s">
        <v>75</v>
      </c>
      <c r="D315">
        <v>0.2</v>
      </c>
    </row>
    <row r="316" spans="1:4" x14ac:dyDescent="0.45">
      <c r="A316" t="s">
        <v>91</v>
      </c>
      <c r="B316">
        <v>2010</v>
      </c>
      <c r="C316" t="s">
        <v>75</v>
      </c>
      <c r="D316">
        <v>1.3</v>
      </c>
    </row>
    <row r="317" spans="1:4" x14ac:dyDescent="0.45">
      <c r="A317" t="s">
        <v>32</v>
      </c>
      <c r="B317">
        <v>2011</v>
      </c>
      <c r="C317" t="s">
        <v>75</v>
      </c>
      <c r="D317">
        <v>0.05</v>
      </c>
    </row>
    <row r="318" spans="1:4" x14ac:dyDescent="0.45">
      <c r="A318" t="s">
        <v>34</v>
      </c>
      <c r="B318">
        <v>2011</v>
      </c>
      <c r="C318" t="s">
        <v>75</v>
      </c>
      <c r="D318">
        <v>4.96</v>
      </c>
    </row>
    <row r="319" spans="1:4" x14ac:dyDescent="0.45">
      <c r="A319" t="s">
        <v>36</v>
      </c>
      <c r="B319">
        <v>2011</v>
      </c>
      <c r="C319" t="s">
        <v>75</v>
      </c>
      <c r="D319">
        <v>4.0599999999999996</v>
      </c>
    </row>
    <row r="320" spans="1:4" x14ac:dyDescent="0.45">
      <c r="A320" t="s">
        <v>56</v>
      </c>
      <c r="B320">
        <v>2011</v>
      </c>
      <c r="C320" t="s">
        <v>75</v>
      </c>
      <c r="D320">
        <v>3.22</v>
      </c>
    </row>
    <row r="321" spans="1:4" x14ac:dyDescent="0.45">
      <c r="A321" t="s">
        <v>57</v>
      </c>
      <c r="B321">
        <v>2011</v>
      </c>
      <c r="C321" t="s">
        <v>75</v>
      </c>
    </row>
    <row r="322" spans="1:4" x14ac:dyDescent="0.45">
      <c r="A322" t="s">
        <v>38</v>
      </c>
      <c r="B322">
        <v>2011</v>
      </c>
      <c r="C322" t="s">
        <v>75</v>
      </c>
      <c r="D322">
        <v>1.26</v>
      </c>
    </row>
    <row r="323" spans="1:4" x14ac:dyDescent="0.45">
      <c r="A323" t="s">
        <v>32</v>
      </c>
      <c r="B323">
        <v>2011</v>
      </c>
      <c r="C323" t="s">
        <v>75</v>
      </c>
    </row>
    <row r="324" spans="1:4" x14ac:dyDescent="0.45">
      <c r="A324" t="s">
        <v>58</v>
      </c>
      <c r="B324">
        <v>2011</v>
      </c>
      <c r="C324" t="s">
        <v>75</v>
      </c>
      <c r="D324">
        <v>0.61</v>
      </c>
    </row>
    <row r="325" spans="1:4" x14ac:dyDescent="0.45">
      <c r="A325" t="s">
        <v>91</v>
      </c>
      <c r="B325">
        <v>2011</v>
      </c>
      <c r="C325" t="s">
        <v>75</v>
      </c>
      <c r="D325">
        <v>1.64</v>
      </c>
    </row>
    <row r="326" spans="1:4" x14ac:dyDescent="0.45">
      <c r="A326" t="s">
        <v>32</v>
      </c>
      <c r="B326">
        <v>2012</v>
      </c>
      <c r="C326" t="s">
        <v>75</v>
      </c>
      <c r="D326">
        <v>0.05</v>
      </c>
    </row>
    <row r="327" spans="1:4" x14ac:dyDescent="0.45">
      <c r="A327" t="s">
        <v>34</v>
      </c>
      <c r="B327">
        <v>2012</v>
      </c>
      <c r="C327" t="s">
        <v>75</v>
      </c>
      <c r="D327">
        <v>4.96</v>
      </c>
    </row>
    <row r="328" spans="1:4" x14ac:dyDescent="0.45">
      <c r="A328" t="s">
        <v>36</v>
      </c>
      <c r="B328">
        <v>2012</v>
      </c>
      <c r="C328" t="s">
        <v>75</v>
      </c>
      <c r="D328">
        <v>4.5</v>
      </c>
    </row>
    <row r="329" spans="1:4" x14ac:dyDescent="0.45">
      <c r="A329" t="s">
        <v>56</v>
      </c>
      <c r="B329">
        <v>2012</v>
      </c>
      <c r="C329" t="s">
        <v>75</v>
      </c>
      <c r="D329">
        <v>3.24</v>
      </c>
    </row>
    <row r="330" spans="1:4" x14ac:dyDescent="0.45">
      <c r="A330" t="s">
        <v>57</v>
      </c>
      <c r="B330">
        <v>2012</v>
      </c>
      <c r="C330" t="s">
        <v>75</v>
      </c>
    </row>
    <row r="331" spans="1:4" x14ac:dyDescent="0.45">
      <c r="A331" t="s">
        <v>38</v>
      </c>
      <c r="B331">
        <v>2012</v>
      </c>
      <c r="C331" t="s">
        <v>75</v>
      </c>
      <c r="D331">
        <v>1.26</v>
      </c>
    </row>
    <row r="332" spans="1:4" x14ac:dyDescent="0.45">
      <c r="A332" t="s">
        <v>32</v>
      </c>
      <c r="B332">
        <v>2012</v>
      </c>
      <c r="C332" t="s">
        <v>75</v>
      </c>
    </row>
    <row r="333" spans="1:4" x14ac:dyDescent="0.45">
      <c r="A333" t="s">
        <v>58</v>
      </c>
      <c r="B333">
        <v>2012</v>
      </c>
      <c r="C333" t="s">
        <v>75</v>
      </c>
      <c r="D333">
        <v>1.54</v>
      </c>
    </row>
    <row r="334" spans="1:4" x14ac:dyDescent="0.45">
      <c r="A334" t="s">
        <v>91</v>
      </c>
      <c r="B334">
        <v>2012</v>
      </c>
      <c r="C334" t="s">
        <v>75</v>
      </c>
      <c r="D334">
        <v>1.75</v>
      </c>
    </row>
    <row r="335" spans="1:4" x14ac:dyDescent="0.45">
      <c r="A335" t="s">
        <v>32</v>
      </c>
      <c r="B335">
        <v>2013</v>
      </c>
      <c r="C335" t="s">
        <v>75</v>
      </c>
      <c r="D335">
        <v>0.05</v>
      </c>
    </row>
    <row r="336" spans="1:4" x14ac:dyDescent="0.45">
      <c r="A336" t="s">
        <v>34</v>
      </c>
      <c r="B336">
        <v>2013</v>
      </c>
      <c r="C336" t="s">
        <v>75</v>
      </c>
      <c r="D336">
        <v>4.92</v>
      </c>
    </row>
    <row r="337" spans="1:4" x14ac:dyDescent="0.45">
      <c r="A337" t="s">
        <v>36</v>
      </c>
      <c r="B337">
        <v>2013</v>
      </c>
      <c r="C337" t="s">
        <v>75</v>
      </c>
      <c r="D337">
        <v>4.91</v>
      </c>
    </row>
    <row r="338" spans="1:4" x14ac:dyDescent="0.45">
      <c r="A338" t="s">
        <v>56</v>
      </c>
      <c r="B338">
        <v>2013</v>
      </c>
      <c r="C338" t="s">
        <v>75</v>
      </c>
      <c r="D338">
        <v>3.24</v>
      </c>
    </row>
    <row r="339" spans="1:4" x14ac:dyDescent="0.45">
      <c r="A339" t="s">
        <v>57</v>
      </c>
      <c r="B339">
        <v>2013</v>
      </c>
      <c r="C339" t="s">
        <v>75</v>
      </c>
    </row>
    <row r="340" spans="1:4" x14ac:dyDescent="0.45">
      <c r="A340" t="s">
        <v>38</v>
      </c>
      <c r="B340">
        <v>2013</v>
      </c>
      <c r="C340" t="s">
        <v>75</v>
      </c>
      <c r="D340">
        <v>1.26</v>
      </c>
    </row>
    <row r="341" spans="1:4" x14ac:dyDescent="0.45">
      <c r="A341" t="s">
        <v>32</v>
      </c>
      <c r="B341">
        <v>2013</v>
      </c>
      <c r="C341" t="s">
        <v>75</v>
      </c>
    </row>
    <row r="342" spans="1:4" x14ac:dyDescent="0.45">
      <c r="A342" t="s">
        <v>58</v>
      </c>
      <c r="B342">
        <v>2013</v>
      </c>
      <c r="C342" t="s">
        <v>75</v>
      </c>
      <c r="D342">
        <v>2.58</v>
      </c>
    </row>
    <row r="343" spans="1:4" x14ac:dyDescent="0.45">
      <c r="A343" t="s">
        <v>91</v>
      </c>
      <c r="B343">
        <v>2013</v>
      </c>
      <c r="C343" t="s">
        <v>75</v>
      </c>
      <c r="D343">
        <v>1.81</v>
      </c>
    </row>
    <row r="344" spans="1:4" x14ac:dyDescent="0.45">
      <c r="A344" t="s">
        <v>32</v>
      </c>
      <c r="B344">
        <v>2014</v>
      </c>
      <c r="C344" t="s">
        <v>75</v>
      </c>
      <c r="D344">
        <v>0.05</v>
      </c>
    </row>
    <row r="345" spans="1:4" x14ac:dyDescent="0.45">
      <c r="A345" t="s">
        <v>34</v>
      </c>
      <c r="B345">
        <v>2014</v>
      </c>
      <c r="C345" t="s">
        <v>75</v>
      </c>
      <c r="D345">
        <v>4.92</v>
      </c>
    </row>
    <row r="346" spans="1:4" x14ac:dyDescent="0.45">
      <c r="A346" t="s">
        <v>36</v>
      </c>
      <c r="B346">
        <v>2014</v>
      </c>
      <c r="C346" t="s">
        <v>75</v>
      </c>
      <c r="D346">
        <v>5.03</v>
      </c>
    </row>
    <row r="347" spans="1:4" x14ac:dyDescent="0.45">
      <c r="A347" t="s">
        <v>56</v>
      </c>
      <c r="B347">
        <v>2014</v>
      </c>
      <c r="C347" t="s">
        <v>75</v>
      </c>
      <c r="D347">
        <v>3.39</v>
      </c>
    </row>
    <row r="348" spans="1:4" x14ac:dyDescent="0.45">
      <c r="A348" t="s">
        <v>57</v>
      </c>
      <c r="B348">
        <v>2014</v>
      </c>
      <c r="C348" t="s">
        <v>75</v>
      </c>
    </row>
    <row r="349" spans="1:4" x14ac:dyDescent="0.45">
      <c r="A349" t="s">
        <v>38</v>
      </c>
      <c r="B349">
        <v>2014</v>
      </c>
      <c r="C349" t="s">
        <v>75</v>
      </c>
      <c r="D349">
        <v>1.26</v>
      </c>
    </row>
    <row r="350" spans="1:4" x14ac:dyDescent="0.45">
      <c r="A350" t="s">
        <v>32</v>
      </c>
      <c r="B350">
        <v>2014</v>
      </c>
      <c r="C350" t="s">
        <v>75</v>
      </c>
    </row>
    <row r="351" spans="1:4" x14ac:dyDescent="0.45">
      <c r="A351" t="s">
        <v>58</v>
      </c>
      <c r="B351">
        <v>2014</v>
      </c>
      <c r="C351" t="s">
        <v>75</v>
      </c>
      <c r="D351">
        <v>2.6</v>
      </c>
    </row>
    <row r="352" spans="1:4" x14ac:dyDescent="0.45">
      <c r="A352" t="s">
        <v>91</v>
      </c>
      <c r="B352">
        <v>2014</v>
      </c>
      <c r="C352" t="s">
        <v>75</v>
      </c>
      <c r="D352">
        <v>1.98</v>
      </c>
    </row>
    <row r="353" spans="1:4" x14ac:dyDescent="0.45">
      <c r="A353" t="s">
        <v>32</v>
      </c>
      <c r="B353">
        <v>2015</v>
      </c>
      <c r="C353" t="s">
        <v>75</v>
      </c>
      <c r="D353">
        <v>0.05</v>
      </c>
    </row>
    <row r="354" spans="1:4" x14ac:dyDescent="0.45">
      <c r="A354" t="s">
        <v>34</v>
      </c>
      <c r="B354">
        <v>2015</v>
      </c>
      <c r="C354" t="s">
        <v>75</v>
      </c>
      <c r="D354">
        <v>4.92</v>
      </c>
    </row>
    <row r="355" spans="1:4" x14ac:dyDescent="0.45">
      <c r="A355" t="s">
        <v>36</v>
      </c>
      <c r="B355">
        <v>2015</v>
      </c>
      <c r="C355" t="s">
        <v>75</v>
      </c>
      <c r="D355">
        <v>5.84</v>
      </c>
    </row>
    <row r="356" spans="1:4" x14ac:dyDescent="0.45">
      <c r="A356" t="s">
        <v>56</v>
      </c>
      <c r="B356">
        <v>2015</v>
      </c>
      <c r="C356" t="s">
        <v>75</v>
      </c>
      <c r="D356">
        <v>3.39</v>
      </c>
    </row>
    <row r="357" spans="1:4" x14ac:dyDescent="0.45">
      <c r="A357" t="s">
        <v>57</v>
      </c>
      <c r="B357">
        <v>2015</v>
      </c>
      <c r="C357" t="s">
        <v>75</v>
      </c>
    </row>
    <row r="358" spans="1:4" x14ac:dyDescent="0.45">
      <c r="A358" t="s">
        <v>38</v>
      </c>
      <c r="B358">
        <v>2015</v>
      </c>
      <c r="C358" t="s">
        <v>75</v>
      </c>
      <c r="D358">
        <v>1.26</v>
      </c>
    </row>
    <row r="359" spans="1:4" x14ac:dyDescent="0.45">
      <c r="A359" t="s">
        <v>32</v>
      </c>
      <c r="B359">
        <v>2015</v>
      </c>
      <c r="C359" t="s">
        <v>75</v>
      </c>
    </row>
    <row r="360" spans="1:4" x14ac:dyDescent="0.45">
      <c r="A360" t="s">
        <v>58</v>
      </c>
      <c r="B360">
        <v>2015</v>
      </c>
      <c r="C360" t="s">
        <v>75</v>
      </c>
      <c r="D360">
        <v>2.6</v>
      </c>
    </row>
    <row r="361" spans="1:4" x14ac:dyDescent="0.45">
      <c r="A361" t="s">
        <v>91</v>
      </c>
      <c r="B361">
        <v>2015</v>
      </c>
      <c r="C361" t="s">
        <v>75</v>
      </c>
      <c r="D361">
        <v>2.09</v>
      </c>
    </row>
    <row r="362" spans="1:4" x14ac:dyDescent="0.45">
      <c r="A362" t="s">
        <v>32</v>
      </c>
      <c r="B362">
        <v>2016</v>
      </c>
      <c r="C362" t="s">
        <v>75</v>
      </c>
      <c r="D362">
        <v>0.06</v>
      </c>
    </row>
    <row r="363" spans="1:4" x14ac:dyDescent="0.45">
      <c r="A363" t="s">
        <v>34</v>
      </c>
      <c r="B363">
        <v>2016</v>
      </c>
      <c r="C363" t="s">
        <v>75</v>
      </c>
      <c r="D363">
        <v>4.38</v>
      </c>
    </row>
    <row r="364" spans="1:4" x14ac:dyDescent="0.45">
      <c r="A364" t="s">
        <v>36</v>
      </c>
      <c r="B364">
        <v>2016</v>
      </c>
      <c r="C364" t="s">
        <v>75</v>
      </c>
      <c r="D364">
        <v>5.48</v>
      </c>
    </row>
    <row r="365" spans="1:4" x14ac:dyDescent="0.45">
      <c r="A365" t="s">
        <v>56</v>
      </c>
      <c r="B365">
        <v>2016</v>
      </c>
      <c r="C365" t="s">
        <v>75</v>
      </c>
      <c r="D365">
        <v>3.39</v>
      </c>
    </row>
    <row r="366" spans="1:4" x14ac:dyDescent="0.45">
      <c r="A366" t="s">
        <v>57</v>
      </c>
      <c r="B366">
        <v>2016</v>
      </c>
      <c r="C366" t="s">
        <v>75</v>
      </c>
    </row>
    <row r="367" spans="1:4" x14ac:dyDescent="0.45">
      <c r="A367" t="s">
        <v>38</v>
      </c>
      <c r="B367">
        <v>2016</v>
      </c>
      <c r="C367" t="s">
        <v>75</v>
      </c>
      <c r="D367">
        <v>1.26</v>
      </c>
    </row>
    <row r="368" spans="1:4" x14ac:dyDescent="0.45">
      <c r="A368" t="s">
        <v>32</v>
      </c>
      <c r="B368">
        <v>2016</v>
      </c>
      <c r="C368" t="s">
        <v>75</v>
      </c>
    </row>
    <row r="369" spans="1:4" x14ac:dyDescent="0.45">
      <c r="A369" t="s">
        <v>58</v>
      </c>
      <c r="B369">
        <v>2016</v>
      </c>
      <c r="C369" t="s">
        <v>75</v>
      </c>
      <c r="D369">
        <v>2.6</v>
      </c>
    </row>
    <row r="370" spans="1:4" x14ac:dyDescent="0.45">
      <c r="A370" t="s">
        <v>91</v>
      </c>
      <c r="B370">
        <v>2016</v>
      </c>
      <c r="C370" t="s">
        <v>75</v>
      </c>
      <c r="D370">
        <v>2.37</v>
      </c>
    </row>
    <row r="371" spans="1:4" x14ac:dyDescent="0.45">
      <c r="A371" t="s">
        <v>32</v>
      </c>
      <c r="B371">
        <v>2017</v>
      </c>
      <c r="C371" t="s">
        <v>75</v>
      </c>
      <c r="D371">
        <v>0.06</v>
      </c>
    </row>
    <row r="372" spans="1:4" x14ac:dyDescent="0.45">
      <c r="A372" t="s">
        <v>34</v>
      </c>
      <c r="B372">
        <v>2017</v>
      </c>
      <c r="C372" t="s">
        <v>75</v>
      </c>
      <c r="D372">
        <v>4.38</v>
      </c>
    </row>
    <row r="373" spans="1:4" x14ac:dyDescent="0.45">
      <c r="A373" t="s">
        <v>36</v>
      </c>
      <c r="B373">
        <v>2017</v>
      </c>
      <c r="C373" t="s">
        <v>75</v>
      </c>
      <c r="D373">
        <v>5.48</v>
      </c>
    </row>
    <row r="374" spans="1:4" x14ac:dyDescent="0.45">
      <c r="A374" t="s">
        <v>56</v>
      </c>
      <c r="B374">
        <v>2017</v>
      </c>
      <c r="C374" t="s">
        <v>75</v>
      </c>
      <c r="D374">
        <v>3.39</v>
      </c>
    </row>
    <row r="375" spans="1:4" x14ac:dyDescent="0.45">
      <c r="A375" t="s">
        <v>57</v>
      </c>
      <c r="B375">
        <v>2017</v>
      </c>
      <c r="C375" t="s">
        <v>75</v>
      </c>
    </row>
    <row r="376" spans="1:4" x14ac:dyDescent="0.45">
      <c r="A376" t="s">
        <v>38</v>
      </c>
      <c r="B376">
        <v>2017</v>
      </c>
      <c r="C376" t="s">
        <v>75</v>
      </c>
      <c r="D376">
        <v>1.26</v>
      </c>
    </row>
    <row r="377" spans="1:4" x14ac:dyDescent="0.45">
      <c r="A377" t="s">
        <v>32</v>
      </c>
      <c r="B377">
        <v>2017</v>
      </c>
      <c r="C377" t="s">
        <v>75</v>
      </c>
    </row>
    <row r="378" spans="1:4" x14ac:dyDescent="0.45">
      <c r="A378" t="s">
        <v>58</v>
      </c>
      <c r="B378">
        <v>2017</v>
      </c>
      <c r="C378" t="s">
        <v>75</v>
      </c>
      <c r="D378">
        <v>2.61</v>
      </c>
    </row>
    <row r="379" spans="1:4" x14ac:dyDescent="0.45">
      <c r="A379" t="s">
        <v>91</v>
      </c>
      <c r="B379">
        <v>2017</v>
      </c>
      <c r="C379" t="s">
        <v>75</v>
      </c>
      <c r="D379">
        <v>2.62</v>
      </c>
    </row>
    <row r="380" spans="1:4" x14ac:dyDescent="0.45">
      <c r="A380" t="s">
        <v>32</v>
      </c>
      <c r="B380">
        <v>2018</v>
      </c>
      <c r="C380" t="s">
        <v>75</v>
      </c>
      <c r="D380">
        <v>0.08</v>
      </c>
    </row>
    <row r="381" spans="1:4" x14ac:dyDescent="0.45">
      <c r="A381" t="s">
        <v>34</v>
      </c>
      <c r="B381">
        <v>2018</v>
      </c>
      <c r="C381" t="s">
        <v>75</v>
      </c>
      <c r="D381">
        <v>4.38</v>
      </c>
    </row>
    <row r="382" spans="1:4" x14ac:dyDescent="0.45">
      <c r="A382" t="s">
        <v>36</v>
      </c>
      <c r="B382">
        <v>2018</v>
      </c>
      <c r="C382" t="s">
        <v>75</v>
      </c>
      <c r="D382">
        <v>5.48</v>
      </c>
    </row>
    <row r="383" spans="1:4" x14ac:dyDescent="0.45">
      <c r="A383" t="s">
        <v>56</v>
      </c>
      <c r="B383">
        <v>2018</v>
      </c>
      <c r="C383" t="s">
        <v>75</v>
      </c>
      <c r="D383">
        <v>3.41</v>
      </c>
    </row>
    <row r="384" spans="1:4" x14ac:dyDescent="0.45">
      <c r="A384" t="s">
        <v>57</v>
      </c>
      <c r="B384">
        <v>2018</v>
      </c>
      <c r="C384" t="s">
        <v>75</v>
      </c>
    </row>
    <row r="385" spans="1:4" x14ac:dyDescent="0.45">
      <c r="A385" t="s">
        <v>38</v>
      </c>
      <c r="B385">
        <v>2018</v>
      </c>
      <c r="C385" t="s">
        <v>75</v>
      </c>
      <c r="D385">
        <v>1.26</v>
      </c>
    </row>
    <row r="386" spans="1:4" x14ac:dyDescent="0.45">
      <c r="A386" t="s">
        <v>32</v>
      </c>
      <c r="B386">
        <v>2018</v>
      </c>
      <c r="C386" t="s">
        <v>75</v>
      </c>
    </row>
    <row r="387" spans="1:4" x14ac:dyDescent="0.45">
      <c r="A387" t="s">
        <v>58</v>
      </c>
      <c r="B387">
        <v>2018</v>
      </c>
      <c r="C387" t="s">
        <v>75</v>
      </c>
      <c r="D387">
        <v>2.65</v>
      </c>
    </row>
    <row r="388" spans="1:4" x14ac:dyDescent="0.45">
      <c r="A388" t="s">
        <v>91</v>
      </c>
      <c r="B388">
        <v>2018</v>
      </c>
      <c r="C388" t="s">
        <v>75</v>
      </c>
      <c r="D388">
        <v>2.88</v>
      </c>
    </row>
    <row r="389" spans="1:4" x14ac:dyDescent="0.45">
      <c r="A389" t="s">
        <v>32</v>
      </c>
      <c r="B389">
        <v>2019</v>
      </c>
      <c r="C389" t="s">
        <v>75</v>
      </c>
      <c r="D389">
        <v>0.09</v>
      </c>
    </row>
    <row r="390" spans="1:4" x14ac:dyDescent="0.45">
      <c r="A390" t="s">
        <v>34</v>
      </c>
      <c r="B390">
        <v>2019</v>
      </c>
      <c r="C390" t="s">
        <v>75</v>
      </c>
      <c r="D390">
        <v>3.77</v>
      </c>
    </row>
    <row r="391" spans="1:4" x14ac:dyDescent="0.45">
      <c r="A391" t="s">
        <v>36</v>
      </c>
      <c r="B391">
        <v>2019</v>
      </c>
      <c r="C391" t="s">
        <v>75</v>
      </c>
      <c r="D391">
        <v>5.48</v>
      </c>
    </row>
    <row r="392" spans="1:4" x14ac:dyDescent="0.45">
      <c r="A392" t="s">
        <v>56</v>
      </c>
      <c r="B392">
        <v>2019</v>
      </c>
      <c r="C392" t="s">
        <v>75</v>
      </c>
      <c r="D392">
        <v>3.41</v>
      </c>
    </row>
    <row r="393" spans="1:4" x14ac:dyDescent="0.45">
      <c r="A393" t="s">
        <v>57</v>
      </c>
      <c r="B393">
        <v>2019</v>
      </c>
      <c r="C393" t="s">
        <v>75</v>
      </c>
    </row>
    <row r="394" spans="1:4" x14ac:dyDescent="0.45">
      <c r="A394" t="s">
        <v>38</v>
      </c>
      <c r="B394">
        <v>2019</v>
      </c>
      <c r="C394" t="s">
        <v>75</v>
      </c>
      <c r="D394">
        <v>1.32</v>
      </c>
    </row>
    <row r="395" spans="1:4" x14ac:dyDescent="0.45">
      <c r="A395" t="s">
        <v>32</v>
      </c>
      <c r="B395">
        <v>2019</v>
      </c>
      <c r="C395" t="s">
        <v>75</v>
      </c>
    </row>
    <row r="396" spans="1:4" x14ac:dyDescent="0.45">
      <c r="A396" t="s">
        <v>58</v>
      </c>
      <c r="B396">
        <v>2019</v>
      </c>
      <c r="C396" t="s">
        <v>75</v>
      </c>
      <c r="D396">
        <v>2.83</v>
      </c>
    </row>
    <row r="397" spans="1:4" x14ac:dyDescent="0.45">
      <c r="A397" t="s">
        <v>91</v>
      </c>
      <c r="B397">
        <v>2019</v>
      </c>
      <c r="C397" t="s">
        <v>75</v>
      </c>
      <c r="D397">
        <v>3.59</v>
      </c>
    </row>
    <row r="398" spans="1:4" x14ac:dyDescent="0.45">
      <c r="A398" t="s">
        <v>32</v>
      </c>
      <c r="B398">
        <v>2020</v>
      </c>
      <c r="C398" t="s">
        <v>75</v>
      </c>
      <c r="D398">
        <v>0.1</v>
      </c>
    </row>
    <row r="399" spans="1:4" x14ac:dyDescent="0.45">
      <c r="A399" t="s">
        <v>34</v>
      </c>
      <c r="B399">
        <v>2020</v>
      </c>
      <c r="C399" t="s">
        <v>75</v>
      </c>
      <c r="D399">
        <v>3.18</v>
      </c>
    </row>
    <row r="400" spans="1:4" x14ac:dyDescent="0.45">
      <c r="A400" t="s">
        <v>36</v>
      </c>
      <c r="B400">
        <v>2020</v>
      </c>
      <c r="C400" t="s">
        <v>75</v>
      </c>
      <c r="D400">
        <v>5.48</v>
      </c>
    </row>
    <row r="401" spans="1:4" x14ac:dyDescent="0.45">
      <c r="A401" t="s">
        <v>56</v>
      </c>
      <c r="B401">
        <v>2020</v>
      </c>
      <c r="C401" t="s">
        <v>75</v>
      </c>
      <c r="D401">
        <v>3.42</v>
      </c>
    </row>
    <row r="402" spans="1:4" x14ac:dyDescent="0.45">
      <c r="A402" t="s">
        <v>57</v>
      </c>
      <c r="B402">
        <v>2020</v>
      </c>
      <c r="C402" t="s">
        <v>75</v>
      </c>
    </row>
    <row r="403" spans="1:4" x14ac:dyDescent="0.45">
      <c r="A403" t="s">
        <v>38</v>
      </c>
      <c r="B403">
        <v>2020</v>
      </c>
      <c r="C403" t="s">
        <v>75</v>
      </c>
      <c r="D403">
        <v>1.32</v>
      </c>
    </row>
    <row r="404" spans="1:4" x14ac:dyDescent="0.45">
      <c r="A404" t="s">
        <v>32</v>
      </c>
      <c r="B404">
        <v>2020</v>
      </c>
      <c r="C404" t="s">
        <v>75</v>
      </c>
    </row>
    <row r="405" spans="1:4" x14ac:dyDescent="0.45">
      <c r="A405" t="s">
        <v>58</v>
      </c>
      <c r="B405">
        <v>2020</v>
      </c>
      <c r="C405" t="s">
        <v>75</v>
      </c>
      <c r="D405">
        <v>3.29</v>
      </c>
    </row>
    <row r="406" spans="1:4" x14ac:dyDescent="0.45">
      <c r="A406" t="s">
        <v>91</v>
      </c>
      <c r="B406">
        <v>2020</v>
      </c>
      <c r="C406" t="s">
        <v>75</v>
      </c>
      <c r="D406">
        <v>4.12</v>
      </c>
    </row>
    <row r="407" spans="1:4" x14ac:dyDescent="0.45">
      <c r="A407" t="s">
        <v>32</v>
      </c>
      <c r="B407">
        <v>2021</v>
      </c>
      <c r="C407" t="s">
        <v>75</v>
      </c>
      <c r="D407">
        <v>0.11</v>
      </c>
    </row>
    <row r="408" spans="1:4" x14ac:dyDescent="0.45">
      <c r="A408" t="s">
        <v>34</v>
      </c>
      <c r="B408">
        <v>2021</v>
      </c>
      <c r="C408" t="s">
        <v>75</v>
      </c>
      <c r="D408">
        <v>2.5299999999999998</v>
      </c>
    </row>
    <row r="409" spans="1:4" x14ac:dyDescent="0.45">
      <c r="A409" t="s">
        <v>36</v>
      </c>
      <c r="B409">
        <v>2021</v>
      </c>
      <c r="C409" t="s">
        <v>75</v>
      </c>
      <c r="D409">
        <v>5.48</v>
      </c>
    </row>
    <row r="410" spans="1:4" x14ac:dyDescent="0.45">
      <c r="A410" t="s">
        <v>56</v>
      </c>
      <c r="B410">
        <v>2021</v>
      </c>
      <c r="C410" t="s">
        <v>75</v>
      </c>
      <c r="D410">
        <v>3.42</v>
      </c>
    </row>
    <row r="411" spans="1:4" x14ac:dyDescent="0.45">
      <c r="A411" t="s">
        <v>57</v>
      </c>
      <c r="B411">
        <v>2021</v>
      </c>
      <c r="C411" t="s">
        <v>75</v>
      </c>
    </row>
    <row r="412" spans="1:4" x14ac:dyDescent="0.45">
      <c r="A412" t="s">
        <v>38</v>
      </c>
      <c r="B412">
        <v>2021</v>
      </c>
      <c r="C412" t="s">
        <v>75</v>
      </c>
      <c r="D412">
        <v>1.32</v>
      </c>
    </row>
    <row r="413" spans="1:4" x14ac:dyDescent="0.45">
      <c r="A413" t="s">
        <v>32</v>
      </c>
      <c r="B413">
        <v>2021</v>
      </c>
      <c r="C413" t="s">
        <v>75</v>
      </c>
    </row>
    <row r="414" spans="1:4" x14ac:dyDescent="0.45">
      <c r="A414" t="s">
        <v>58</v>
      </c>
      <c r="B414">
        <v>2021</v>
      </c>
      <c r="C414" t="s">
        <v>75</v>
      </c>
      <c r="D414">
        <v>4.28</v>
      </c>
    </row>
    <row r="415" spans="1:4" x14ac:dyDescent="0.45">
      <c r="A415" t="s">
        <v>91</v>
      </c>
      <c r="B415">
        <v>2021</v>
      </c>
      <c r="C415" t="s">
        <v>75</v>
      </c>
      <c r="D415">
        <v>4.6500000000000004</v>
      </c>
    </row>
    <row r="416" spans="1:4" x14ac:dyDescent="0.45">
      <c r="A416" t="s">
        <v>32</v>
      </c>
      <c r="B416">
        <v>2022</v>
      </c>
      <c r="C416" t="s">
        <v>75</v>
      </c>
      <c r="D416">
        <v>0.13</v>
      </c>
    </row>
    <row r="417" spans="1:4" x14ac:dyDescent="0.45">
      <c r="A417" t="s">
        <v>34</v>
      </c>
      <c r="B417">
        <v>2022</v>
      </c>
      <c r="C417" t="s">
        <v>75</v>
      </c>
      <c r="D417">
        <v>2.2200000000000002</v>
      </c>
    </row>
    <row r="418" spans="1:4" x14ac:dyDescent="0.45">
      <c r="A418" t="s">
        <v>36</v>
      </c>
      <c r="B418">
        <v>2022</v>
      </c>
      <c r="C418" t="s">
        <v>75</v>
      </c>
      <c r="D418">
        <v>6.31</v>
      </c>
    </row>
    <row r="419" spans="1:4" x14ac:dyDescent="0.45">
      <c r="A419" t="s">
        <v>56</v>
      </c>
      <c r="B419">
        <v>2022</v>
      </c>
      <c r="C419" t="s">
        <v>75</v>
      </c>
      <c r="D419">
        <v>3.42</v>
      </c>
    </row>
    <row r="420" spans="1:4" x14ac:dyDescent="0.45">
      <c r="A420" t="s">
        <v>57</v>
      </c>
      <c r="B420">
        <v>2022</v>
      </c>
      <c r="C420" t="s">
        <v>75</v>
      </c>
    </row>
    <row r="421" spans="1:4" x14ac:dyDescent="0.45">
      <c r="A421" t="s">
        <v>38</v>
      </c>
      <c r="B421">
        <v>2022</v>
      </c>
      <c r="C421" t="s">
        <v>75</v>
      </c>
      <c r="D421">
        <v>1.32</v>
      </c>
    </row>
    <row r="422" spans="1:4" x14ac:dyDescent="0.45">
      <c r="A422" t="s">
        <v>32</v>
      </c>
      <c r="B422">
        <v>2022</v>
      </c>
      <c r="C422" t="s">
        <v>75</v>
      </c>
    </row>
    <row r="423" spans="1:4" x14ac:dyDescent="0.45">
      <c r="A423" t="s">
        <v>58</v>
      </c>
      <c r="B423">
        <v>2022</v>
      </c>
      <c r="C423" t="s">
        <v>75</v>
      </c>
      <c r="D423">
        <v>5.43</v>
      </c>
    </row>
    <row r="424" spans="1:4" x14ac:dyDescent="0.45">
      <c r="A424" t="s">
        <v>91</v>
      </c>
      <c r="B424">
        <v>2022</v>
      </c>
      <c r="C424" t="s">
        <v>75</v>
      </c>
      <c r="D424">
        <v>4.7</v>
      </c>
    </row>
    <row r="425" spans="1:4" x14ac:dyDescent="0.45">
      <c r="A425" t="s">
        <v>32</v>
      </c>
      <c r="B425">
        <v>2023</v>
      </c>
      <c r="C425" t="s">
        <v>75</v>
      </c>
      <c r="D425">
        <v>0.13</v>
      </c>
    </row>
    <row r="426" spans="1:4" x14ac:dyDescent="0.45">
      <c r="A426" t="s">
        <v>34</v>
      </c>
      <c r="B426">
        <v>2023</v>
      </c>
      <c r="C426" t="s">
        <v>75</v>
      </c>
      <c r="D426">
        <v>2.88</v>
      </c>
    </row>
    <row r="427" spans="1:4" x14ac:dyDescent="0.45">
      <c r="A427" t="s">
        <v>36</v>
      </c>
      <c r="B427">
        <v>2023</v>
      </c>
      <c r="C427" t="s">
        <v>75</v>
      </c>
      <c r="D427">
        <v>6.31</v>
      </c>
    </row>
    <row r="428" spans="1:4" x14ac:dyDescent="0.45">
      <c r="A428" t="s">
        <v>56</v>
      </c>
      <c r="B428">
        <v>2023</v>
      </c>
      <c r="C428" t="s">
        <v>75</v>
      </c>
      <c r="D428">
        <v>3.43</v>
      </c>
    </row>
    <row r="429" spans="1:4" x14ac:dyDescent="0.45">
      <c r="A429" t="s">
        <v>57</v>
      </c>
      <c r="B429">
        <v>2023</v>
      </c>
      <c r="C429" t="s">
        <v>75</v>
      </c>
    </row>
    <row r="430" spans="1:4" x14ac:dyDescent="0.45">
      <c r="A430" t="s">
        <v>38</v>
      </c>
      <c r="B430">
        <v>2023</v>
      </c>
      <c r="C430" t="s">
        <v>75</v>
      </c>
      <c r="D430">
        <v>1.32</v>
      </c>
    </row>
    <row r="431" spans="1:4" x14ac:dyDescent="0.45">
      <c r="A431" t="s">
        <v>32</v>
      </c>
      <c r="B431">
        <v>2023</v>
      </c>
      <c r="C431" t="s">
        <v>75</v>
      </c>
    </row>
    <row r="432" spans="1:4" x14ac:dyDescent="0.45">
      <c r="A432" t="s">
        <v>58</v>
      </c>
      <c r="B432">
        <v>2023</v>
      </c>
      <c r="C432" t="s">
        <v>75</v>
      </c>
      <c r="D432">
        <v>7.03</v>
      </c>
    </row>
    <row r="433" spans="1:4" x14ac:dyDescent="0.45">
      <c r="A433" t="s">
        <v>91</v>
      </c>
      <c r="B433">
        <v>2023</v>
      </c>
      <c r="C433" t="s">
        <v>75</v>
      </c>
      <c r="D433">
        <v>5.22</v>
      </c>
    </row>
    <row r="434" spans="1:4" x14ac:dyDescent="0.45">
      <c r="A434" t="s">
        <v>32</v>
      </c>
      <c r="B434">
        <v>2000</v>
      </c>
      <c r="C434" t="s">
        <v>76</v>
      </c>
      <c r="D434">
        <v>0</v>
      </c>
    </row>
    <row r="435" spans="1:4" x14ac:dyDescent="0.45">
      <c r="A435" t="s">
        <v>34</v>
      </c>
      <c r="B435">
        <v>2000</v>
      </c>
      <c r="C435" t="s">
        <v>76</v>
      </c>
      <c r="D435">
        <v>34.659999999999997</v>
      </c>
    </row>
    <row r="436" spans="1:4" x14ac:dyDescent="0.45">
      <c r="A436" t="s">
        <v>36</v>
      </c>
      <c r="B436">
        <v>2000</v>
      </c>
      <c r="C436" t="s">
        <v>76</v>
      </c>
      <c r="D436">
        <v>3.16</v>
      </c>
    </row>
    <row r="437" spans="1:4" x14ac:dyDescent="0.45">
      <c r="A437" t="s">
        <v>56</v>
      </c>
      <c r="B437">
        <v>2000</v>
      </c>
      <c r="C437" t="s">
        <v>76</v>
      </c>
      <c r="D437">
        <v>0.09</v>
      </c>
    </row>
    <row r="438" spans="1:4" x14ac:dyDescent="0.45">
      <c r="A438" t="s">
        <v>57</v>
      </c>
      <c r="B438">
        <v>2000</v>
      </c>
      <c r="C438" t="s">
        <v>76</v>
      </c>
      <c r="D438">
        <v>0</v>
      </c>
    </row>
    <row r="439" spans="1:4" x14ac:dyDescent="0.45">
      <c r="A439" t="s">
        <v>38</v>
      </c>
      <c r="B439">
        <v>2000</v>
      </c>
      <c r="C439" t="s">
        <v>76</v>
      </c>
      <c r="D439">
        <v>5.64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0.01</v>
      </c>
    </row>
    <row r="443" spans="1:4" x14ac:dyDescent="0.45">
      <c r="A443" t="s">
        <v>32</v>
      </c>
      <c r="B443">
        <v>2001</v>
      </c>
      <c r="C443" t="s">
        <v>76</v>
      </c>
      <c r="D443">
        <v>0.02</v>
      </c>
    </row>
    <row r="444" spans="1:4" x14ac:dyDescent="0.45">
      <c r="A444" t="s">
        <v>34</v>
      </c>
      <c r="B444">
        <v>2001</v>
      </c>
      <c r="C444" t="s">
        <v>76</v>
      </c>
      <c r="D444">
        <v>35.79</v>
      </c>
    </row>
    <row r="445" spans="1:4" x14ac:dyDescent="0.45">
      <c r="A445" t="s">
        <v>36</v>
      </c>
      <c r="B445">
        <v>2001</v>
      </c>
      <c r="C445" t="s">
        <v>76</v>
      </c>
      <c r="D445">
        <v>3.27</v>
      </c>
    </row>
    <row r="446" spans="1:4" x14ac:dyDescent="0.45">
      <c r="A446" t="s">
        <v>56</v>
      </c>
      <c r="B446">
        <v>2001</v>
      </c>
      <c r="C446" t="s">
        <v>76</v>
      </c>
      <c r="D446">
        <v>0.05</v>
      </c>
    </row>
    <row r="447" spans="1:4" x14ac:dyDescent="0.45">
      <c r="A447" t="s">
        <v>57</v>
      </c>
      <c r="B447">
        <v>2001</v>
      </c>
      <c r="C447" t="s">
        <v>76</v>
      </c>
      <c r="D447">
        <v>0</v>
      </c>
    </row>
    <row r="448" spans="1:4" x14ac:dyDescent="0.45">
      <c r="A448" t="s">
        <v>38</v>
      </c>
      <c r="B448">
        <v>2001</v>
      </c>
      <c r="C448" t="s">
        <v>76</v>
      </c>
      <c r="D448">
        <v>5.29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0.01</v>
      </c>
    </row>
    <row r="452" spans="1:4" x14ac:dyDescent="0.45">
      <c r="A452" t="s">
        <v>32</v>
      </c>
      <c r="B452">
        <v>2002</v>
      </c>
      <c r="C452" t="s">
        <v>76</v>
      </c>
      <c r="D452">
        <v>0.03</v>
      </c>
    </row>
    <row r="453" spans="1:4" x14ac:dyDescent="0.45">
      <c r="A453" t="s">
        <v>34</v>
      </c>
      <c r="B453">
        <v>2002</v>
      </c>
      <c r="C453" t="s">
        <v>76</v>
      </c>
      <c r="D453">
        <v>34.92</v>
      </c>
    </row>
    <row r="454" spans="1:4" x14ac:dyDescent="0.45">
      <c r="A454" t="s">
        <v>36</v>
      </c>
      <c r="B454">
        <v>2002</v>
      </c>
      <c r="C454" t="s">
        <v>76</v>
      </c>
      <c r="D454">
        <v>3.77</v>
      </c>
    </row>
    <row r="455" spans="1:4" x14ac:dyDescent="0.45">
      <c r="A455" t="s">
        <v>56</v>
      </c>
      <c r="B455">
        <v>2002</v>
      </c>
      <c r="C455" t="s">
        <v>76</v>
      </c>
      <c r="D455">
        <v>7.0000000000000007E-2</v>
      </c>
    </row>
    <row r="456" spans="1:4" x14ac:dyDescent="0.45">
      <c r="A456" t="s">
        <v>57</v>
      </c>
      <c r="B456">
        <v>2002</v>
      </c>
      <c r="C456" t="s">
        <v>76</v>
      </c>
      <c r="D456">
        <v>0</v>
      </c>
    </row>
    <row r="457" spans="1:4" x14ac:dyDescent="0.45">
      <c r="A457" t="s">
        <v>38</v>
      </c>
      <c r="B457">
        <v>2002</v>
      </c>
      <c r="C457" t="s">
        <v>76</v>
      </c>
      <c r="D457">
        <v>5.36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0.01</v>
      </c>
    </row>
    <row r="461" spans="1:4" x14ac:dyDescent="0.45">
      <c r="A461" t="s">
        <v>32</v>
      </c>
      <c r="B461">
        <v>2003</v>
      </c>
      <c r="C461" t="s">
        <v>76</v>
      </c>
      <c r="D461">
        <v>0.02</v>
      </c>
    </row>
    <row r="462" spans="1:4" x14ac:dyDescent="0.45">
      <c r="A462" t="s">
        <v>34</v>
      </c>
      <c r="B462">
        <v>2003</v>
      </c>
      <c r="C462" t="s">
        <v>76</v>
      </c>
      <c r="D462">
        <v>35.450000000000003</v>
      </c>
    </row>
    <row r="463" spans="1:4" x14ac:dyDescent="0.45">
      <c r="A463" t="s">
        <v>36</v>
      </c>
      <c r="B463">
        <v>2003</v>
      </c>
      <c r="C463" t="s">
        <v>76</v>
      </c>
      <c r="D463">
        <v>4.28</v>
      </c>
    </row>
    <row r="464" spans="1:4" x14ac:dyDescent="0.45">
      <c r="A464" t="s">
        <v>56</v>
      </c>
      <c r="B464">
        <v>2003</v>
      </c>
      <c r="C464" t="s">
        <v>76</v>
      </c>
      <c r="D464">
        <v>0.11</v>
      </c>
    </row>
    <row r="465" spans="1:4" x14ac:dyDescent="0.45">
      <c r="A465" t="s">
        <v>57</v>
      </c>
      <c r="B465">
        <v>2003</v>
      </c>
      <c r="C465" t="s">
        <v>76</v>
      </c>
      <c r="D465">
        <v>0</v>
      </c>
    </row>
    <row r="466" spans="1:4" x14ac:dyDescent="0.45">
      <c r="A466" t="s">
        <v>38</v>
      </c>
      <c r="B466">
        <v>2003</v>
      </c>
      <c r="C466" t="s">
        <v>76</v>
      </c>
      <c r="D466">
        <v>5.4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0.01</v>
      </c>
    </row>
    <row r="470" spans="1:4" x14ac:dyDescent="0.45">
      <c r="A470" t="s">
        <v>32</v>
      </c>
      <c r="B470">
        <v>2004</v>
      </c>
      <c r="C470" t="s">
        <v>76</v>
      </c>
      <c r="D470">
        <v>0.03</v>
      </c>
    </row>
    <row r="471" spans="1:4" x14ac:dyDescent="0.45">
      <c r="A471" t="s">
        <v>34</v>
      </c>
      <c r="B471">
        <v>2004</v>
      </c>
      <c r="C471" t="s">
        <v>76</v>
      </c>
      <c r="D471">
        <v>35.6</v>
      </c>
    </row>
    <row r="472" spans="1:4" x14ac:dyDescent="0.45">
      <c r="A472" t="s">
        <v>36</v>
      </c>
      <c r="B472">
        <v>2004</v>
      </c>
      <c r="C472" t="s">
        <v>76</v>
      </c>
      <c r="D472">
        <v>4.8</v>
      </c>
    </row>
    <row r="473" spans="1:4" x14ac:dyDescent="0.45">
      <c r="A473" t="s">
        <v>56</v>
      </c>
      <c r="B473">
        <v>2004</v>
      </c>
      <c r="C473" t="s">
        <v>76</v>
      </c>
      <c r="D473">
        <v>0.11</v>
      </c>
    </row>
    <row r="474" spans="1:4" x14ac:dyDescent="0.45">
      <c r="A474" t="s">
        <v>57</v>
      </c>
      <c r="B474">
        <v>2004</v>
      </c>
      <c r="C474" t="s">
        <v>76</v>
      </c>
      <c r="D474">
        <v>0</v>
      </c>
    </row>
    <row r="475" spans="1:4" x14ac:dyDescent="0.45">
      <c r="A475" t="s">
        <v>38</v>
      </c>
      <c r="B475">
        <v>2004</v>
      </c>
      <c r="C475" t="s">
        <v>76</v>
      </c>
      <c r="D475">
        <v>5.22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0.01</v>
      </c>
    </row>
    <row r="479" spans="1:4" x14ac:dyDescent="0.45">
      <c r="A479" t="s">
        <v>32</v>
      </c>
      <c r="B479">
        <v>2005</v>
      </c>
      <c r="C479" t="s">
        <v>76</v>
      </c>
      <c r="D479">
        <v>0.03</v>
      </c>
    </row>
    <row r="480" spans="1:4" x14ac:dyDescent="0.45">
      <c r="A480" t="s">
        <v>34</v>
      </c>
      <c r="B480">
        <v>2005</v>
      </c>
      <c r="C480" t="s">
        <v>76</v>
      </c>
      <c r="D480">
        <v>35.76</v>
      </c>
    </row>
    <row r="481" spans="1:4" x14ac:dyDescent="0.45">
      <c r="A481" t="s">
        <v>36</v>
      </c>
      <c r="B481">
        <v>2005</v>
      </c>
      <c r="C481" t="s">
        <v>76</v>
      </c>
      <c r="D481">
        <v>4.3600000000000003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0.12</v>
      </c>
    </row>
    <row r="483" spans="1:4" x14ac:dyDescent="0.45">
      <c r="A483" t="s">
        <v>57</v>
      </c>
      <c r="B483">
        <v>2005</v>
      </c>
      <c r="C483" t="s">
        <v>76</v>
      </c>
      <c r="D483">
        <v>0</v>
      </c>
    </row>
    <row r="484" spans="1:4" x14ac:dyDescent="0.45">
      <c r="A484" t="s">
        <v>38</v>
      </c>
      <c r="B484">
        <v>2005</v>
      </c>
      <c r="C484" t="s">
        <v>76</v>
      </c>
      <c r="D484">
        <v>5.67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0.02</v>
      </c>
    </row>
    <row r="488" spans="1:4" x14ac:dyDescent="0.45">
      <c r="A488" t="s">
        <v>32</v>
      </c>
      <c r="B488">
        <v>2006</v>
      </c>
      <c r="C488" t="s">
        <v>76</v>
      </c>
      <c r="D488">
        <v>0.02</v>
      </c>
    </row>
    <row r="489" spans="1:4" x14ac:dyDescent="0.45">
      <c r="A489" t="s">
        <v>34</v>
      </c>
      <c r="B489">
        <v>2006</v>
      </c>
      <c r="C489" t="s">
        <v>76</v>
      </c>
      <c r="D489">
        <v>32.46</v>
      </c>
    </row>
    <row r="490" spans="1:4" x14ac:dyDescent="0.45">
      <c r="A490" t="s">
        <v>36</v>
      </c>
      <c r="B490">
        <v>2006</v>
      </c>
      <c r="C490" t="s">
        <v>76</v>
      </c>
      <c r="D490">
        <v>5.67</v>
      </c>
    </row>
    <row r="491" spans="1:4" x14ac:dyDescent="0.45">
      <c r="A491" t="s">
        <v>56</v>
      </c>
      <c r="B491">
        <v>2006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2006</v>
      </c>
      <c r="C492" t="s">
        <v>76</v>
      </c>
      <c r="D492">
        <v>0</v>
      </c>
    </row>
    <row r="493" spans="1:4" x14ac:dyDescent="0.45">
      <c r="A493" t="s">
        <v>38</v>
      </c>
      <c r="B493">
        <v>2006</v>
      </c>
      <c r="C493" t="s">
        <v>76</v>
      </c>
      <c r="D493">
        <v>5.84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</v>
      </c>
    </row>
    <row r="496" spans="1:4" x14ac:dyDescent="0.45">
      <c r="A496" t="s">
        <v>91</v>
      </c>
      <c r="B496">
        <v>2006</v>
      </c>
      <c r="C496" t="s">
        <v>76</v>
      </c>
      <c r="D496">
        <v>0.02</v>
      </c>
    </row>
    <row r="497" spans="1:4" x14ac:dyDescent="0.45">
      <c r="A497" t="s">
        <v>32</v>
      </c>
      <c r="B497">
        <v>2007</v>
      </c>
      <c r="C497" t="s">
        <v>76</v>
      </c>
      <c r="D497">
        <v>0.04</v>
      </c>
    </row>
    <row r="498" spans="1:4" x14ac:dyDescent="0.45">
      <c r="A498" t="s">
        <v>34</v>
      </c>
      <c r="B498">
        <v>2007</v>
      </c>
      <c r="C498" t="s">
        <v>76</v>
      </c>
      <c r="D498">
        <v>34.9</v>
      </c>
    </row>
    <row r="499" spans="1:4" x14ac:dyDescent="0.45">
      <c r="A499" t="s">
        <v>36</v>
      </c>
      <c r="B499">
        <v>2007</v>
      </c>
      <c r="C499" t="s">
        <v>76</v>
      </c>
      <c r="D499">
        <v>7.56</v>
      </c>
    </row>
    <row r="500" spans="1:4" x14ac:dyDescent="0.45">
      <c r="A500" t="s">
        <v>56</v>
      </c>
      <c r="B500">
        <v>2007</v>
      </c>
      <c r="C500" t="s">
        <v>76</v>
      </c>
      <c r="D500">
        <v>0.06</v>
      </c>
    </row>
    <row r="501" spans="1:4" x14ac:dyDescent="0.45">
      <c r="A501" t="s">
        <v>57</v>
      </c>
      <c r="B501">
        <v>2007</v>
      </c>
      <c r="C501" t="s">
        <v>76</v>
      </c>
      <c r="D501">
        <v>0</v>
      </c>
    </row>
    <row r="502" spans="1:4" x14ac:dyDescent="0.45">
      <c r="A502" t="s">
        <v>38</v>
      </c>
      <c r="B502">
        <v>2007</v>
      </c>
      <c r="C502" t="s">
        <v>76</v>
      </c>
      <c r="D502">
        <v>5.9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</v>
      </c>
    </row>
    <row r="505" spans="1:4" x14ac:dyDescent="0.45">
      <c r="A505" t="s">
        <v>91</v>
      </c>
      <c r="B505">
        <v>2007</v>
      </c>
      <c r="C505" t="s">
        <v>76</v>
      </c>
      <c r="D505">
        <v>0.02</v>
      </c>
    </row>
    <row r="506" spans="1:4" x14ac:dyDescent="0.45">
      <c r="A506" t="s">
        <v>32</v>
      </c>
      <c r="B506">
        <v>2008</v>
      </c>
      <c r="C506" t="s">
        <v>76</v>
      </c>
      <c r="D506">
        <v>0.04</v>
      </c>
    </row>
    <row r="507" spans="1:4" x14ac:dyDescent="0.45">
      <c r="A507" t="s">
        <v>34</v>
      </c>
      <c r="B507">
        <v>2008</v>
      </c>
      <c r="C507" t="s">
        <v>76</v>
      </c>
      <c r="D507">
        <v>33.57</v>
      </c>
    </row>
    <row r="508" spans="1:4" x14ac:dyDescent="0.45">
      <c r="A508" t="s">
        <v>36</v>
      </c>
      <c r="B508">
        <v>2008</v>
      </c>
      <c r="C508" t="s">
        <v>76</v>
      </c>
      <c r="D508">
        <v>7.37</v>
      </c>
    </row>
    <row r="509" spans="1:4" x14ac:dyDescent="0.45">
      <c r="A509" t="s">
        <v>56</v>
      </c>
      <c r="B509">
        <v>2008</v>
      </c>
      <c r="C509" t="s">
        <v>76</v>
      </c>
      <c r="D509">
        <v>0.08</v>
      </c>
    </row>
    <row r="510" spans="1:4" x14ac:dyDescent="0.45">
      <c r="A510" t="s">
        <v>57</v>
      </c>
      <c r="B510">
        <v>2008</v>
      </c>
      <c r="C510" t="s">
        <v>76</v>
      </c>
      <c r="D510">
        <v>0</v>
      </c>
    </row>
    <row r="511" spans="1:4" x14ac:dyDescent="0.45">
      <c r="A511" t="s">
        <v>38</v>
      </c>
      <c r="B511">
        <v>2008</v>
      </c>
      <c r="C511" t="s">
        <v>76</v>
      </c>
      <c r="D511">
        <v>6.1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</v>
      </c>
    </row>
    <row r="514" spans="1:4" x14ac:dyDescent="0.45">
      <c r="A514" t="s">
        <v>91</v>
      </c>
      <c r="B514">
        <v>2008</v>
      </c>
      <c r="C514" t="s">
        <v>76</v>
      </c>
      <c r="D514">
        <v>0.03</v>
      </c>
    </row>
    <row r="515" spans="1:4" x14ac:dyDescent="0.45">
      <c r="A515" t="s">
        <v>32</v>
      </c>
      <c r="B515">
        <v>2009</v>
      </c>
      <c r="C515" t="s">
        <v>76</v>
      </c>
      <c r="D515">
        <v>0.05</v>
      </c>
    </row>
    <row r="516" spans="1:4" x14ac:dyDescent="0.45">
      <c r="A516" t="s">
        <v>34</v>
      </c>
      <c r="B516">
        <v>2009</v>
      </c>
      <c r="C516" t="s">
        <v>76</v>
      </c>
      <c r="D516">
        <v>34.4</v>
      </c>
    </row>
    <row r="517" spans="1:4" x14ac:dyDescent="0.45">
      <c r="A517" t="s">
        <v>36</v>
      </c>
      <c r="B517">
        <v>2009</v>
      </c>
      <c r="C517" t="s">
        <v>76</v>
      </c>
      <c r="D517">
        <v>5.88</v>
      </c>
    </row>
    <row r="518" spans="1:4" x14ac:dyDescent="0.45">
      <c r="A518" t="s">
        <v>56</v>
      </c>
      <c r="B518">
        <v>2009</v>
      </c>
      <c r="C518" t="s">
        <v>76</v>
      </c>
      <c r="D518">
        <v>0.13</v>
      </c>
    </row>
    <row r="519" spans="1:4" x14ac:dyDescent="0.45">
      <c r="A519" t="s">
        <v>57</v>
      </c>
      <c r="B519">
        <v>2009</v>
      </c>
      <c r="C519" t="s">
        <v>76</v>
      </c>
      <c r="D519">
        <v>0</v>
      </c>
    </row>
    <row r="520" spans="1:4" x14ac:dyDescent="0.45">
      <c r="A520" t="s">
        <v>38</v>
      </c>
      <c r="B520">
        <v>2009</v>
      </c>
      <c r="C520" t="s">
        <v>76</v>
      </c>
      <c r="D520">
        <v>4.59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</v>
      </c>
    </row>
    <row r="523" spans="1:4" x14ac:dyDescent="0.45">
      <c r="A523" t="s">
        <v>91</v>
      </c>
      <c r="B523">
        <v>2009</v>
      </c>
      <c r="C523" t="s">
        <v>76</v>
      </c>
      <c r="D523">
        <v>0.03</v>
      </c>
    </row>
    <row r="524" spans="1:4" x14ac:dyDescent="0.45">
      <c r="A524" t="s">
        <v>32</v>
      </c>
      <c r="B524">
        <v>2010</v>
      </c>
      <c r="C524" t="s">
        <v>76</v>
      </c>
      <c r="D524">
        <v>0.04</v>
      </c>
    </row>
    <row r="525" spans="1:4" x14ac:dyDescent="0.45">
      <c r="A525" t="s">
        <v>34</v>
      </c>
      <c r="B525">
        <v>2010</v>
      </c>
      <c r="C525" t="s">
        <v>76</v>
      </c>
      <c r="D525">
        <v>30.95</v>
      </c>
    </row>
    <row r="526" spans="1:4" x14ac:dyDescent="0.45">
      <c r="A526" t="s">
        <v>36</v>
      </c>
      <c r="B526">
        <v>2010</v>
      </c>
      <c r="C526" t="s">
        <v>76</v>
      </c>
      <c r="D526">
        <v>5.26</v>
      </c>
    </row>
    <row r="527" spans="1:4" x14ac:dyDescent="0.45">
      <c r="A527" t="s">
        <v>56</v>
      </c>
      <c r="B527">
        <v>2010</v>
      </c>
      <c r="C527" t="s">
        <v>76</v>
      </c>
      <c r="D527">
        <v>0.18</v>
      </c>
    </row>
    <row r="528" spans="1:4" x14ac:dyDescent="0.45">
      <c r="A528" t="s">
        <v>57</v>
      </c>
      <c r="B528">
        <v>2010</v>
      </c>
      <c r="C528" t="s">
        <v>76</v>
      </c>
      <c r="D528">
        <v>0</v>
      </c>
    </row>
    <row r="529" spans="1:4" x14ac:dyDescent="0.45">
      <c r="A529" t="s">
        <v>38</v>
      </c>
      <c r="B529">
        <v>2010</v>
      </c>
      <c r="C529" t="s">
        <v>76</v>
      </c>
      <c r="D529">
        <v>3.57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0.01</v>
      </c>
    </row>
    <row r="532" spans="1:4" x14ac:dyDescent="0.45">
      <c r="A532" t="s">
        <v>91</v>
      </c>
      <c r="B532">
        <v>2010</v>
      </c>
      <c r="C532" t="s">
        <v>76</v>
      </c>
      <c r="D532">
        <v>0.03</v>
      </c>
    </row>
    <row r="533" spans="1:4" x14ac:dyDescent="0.45">
      <c r="A533" t="s">
        <v>32</v>
      </c>
      <c r="B533">
        <v>2011</v>
      </c>
      <c r="C533" t="s">
        <v>76</v>
      </c>
      <c r="D533">
        <v>0.05</v>
      </c>
    </row>
    <row r="534" spans="1:4" x14ac:dyDescent="0.45">
      <c r="A534" t="s">
        <v>34</v>
      </c>
      <c r="B534">
        <v>2011</v>
      </c>
      <c r="C534" t="s">
        <v>76</v>
      </c>
      <c r="D534">
        <v>31.25</v>
      </c>
    </row>
    <row r="535" spans="1:4" x14ac:dyDescent="0.45">
      <c r="A535" t="s">
        <v>36</v>
      </c>
      <c r="B535">
        <v>2011</v>
      </c>
      <c r="C535" t="s">
        <v>76</v>
      </c>
      <c r="D535">
        <v>7.51</v>
      </c>
    </row>
    <row r="536" spans="1:4" x14ac:dyDescent="0.45">
      <c r="A536" t="s">
        <v>56</v>
      </c>
      <c r="B536">
        <v>2011</v>
      </c>
      <c r="C536" t="s">
        <v>76</v>
      </c>
      <c r="D536">
        <v>0.1</v>
      </c>
    </row>
    <row r="537" spans="1:4" x14ac:dyDescent="0.45">
      <c r="A537" t="s">
        <v>57</v>
      </c>
      <c r="B537">
        <v>2011</v>
      </c>
      <c r="C537" t="s">
        <v>76</v>
      </c>
      <c r="D537">
        <v>0</v>
      </c>
    </row>
    <row r="538" spans="1:4" x14ac:dyDescent="0.45">
      <c r="A538" t="s">
        <v>38</v>
      </c>
      <c r="B538">
        <v>2011</v>
      </c>
      <c r="C538" t="s">
        <v>76</v>
      </c>
      <c r="D538">
        <v>3.4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0.03</v>
      </c>
    </row>
    <row r="541" spans="1:4" x14ac:dyDescent="0.45">
      <c r="A541" t="s">
        <v>91</v>
      </c>
      <c r="B541">
        <v>2011</v>
      </c>
      <c r="C541" t="s">
        <v>76</v>
      </c>
      <c r="D541">
        <v>0.04</v>
      </c>
    </row>
    <row r="542" spans="1:4" x14ac:dyDescent="0.45">
      <c r="A542" t="s">
        <v>32</v>
      </c>
      <c r="B542">
        <v>2012</v>
      </c>
      <c r="C542" t="s">
        <v>76</v>
      </c>
      <c r="D542">
        <v>0.04</v>
      </c>
    </row>
    <row r="543" spans="1:4" x14ac:dyDescent="0.45">
      <c r="A543" t="s">
        <v>34</v>
      </c>
      <c r="B543">
        <v>2012</v>
      </c>
      <c r="C543" t="s">
        <v>76</v>
      </c>
      <c r="D543">
        <v>31.29</v>
      </c>
    </row>
    <row r="544" spans="1:4" x14ac:dyDescent="0.45">
      <c r="A544" t="s">
        <v>36</v>
      </c>
      <c r="B544">
        <v>2012</v>
      </c>
      <c r="C544" t="s">
        <v>76</v>
      </c>
      <c r="D544">
        <v>7.2</v>
      </c>
    </row>
    <row r="545" spans="1:4" x14ac:dyDescent="0.45">
      <c r="A545" t="s">
        <v>56</v>
      </c>
      <c r="B545">
        <v>2012</v>
      </c>
      <c r="C545" t="s">
        <v>76</v>
      </c>
      <c r="D545">
        <v>0.1</v>
      </c>
    </row>
    <row r="546" spans="1:4" x14ac:dyDescent="0.45">
      <c r="A546" t="s">
        <v>57</v>
      </c>
      <c r="B546">
        <v>2012</v>
      </c>
      <c r="C546" t="s">
        <v>76</v>
      </c>
      <c r="D546">
        <v>0</v>
      </c>
    </row>
    <row r="547" spans="1:4" x14ac:dyDescent="0.45">
      <c r="A547" t="s">
        <v>38</v>
      </c>
      <c r="B547">
        <v>2012</v>
      </c>
      <c r="C547" t="s">
        <v>76</v>
      </c>
      <c r="D547">
        <v>3.42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0.08</v>
      </c>
    </row>
    <row r="550" spans="1:4" x14ac:dyDescent="0.45">
      <c r="A550" t="s">
        <v>91</v>
      </c>
      <c r="B550">
        <v>2012</v>
      </c>
      <c r="C550" t="s">
        <v>76</v>
      </c>
      <c r="D550">
        <v>0.05</v>
      </c>
    </row>
    <row r="551" spans="1:4" x14ac:dyDescent="0.45">
      <c r="A551" t="s">
        <v>32</v>
      </c>
      <c r="B551">
        <v>2013</v>
      </c>
      <c r="C551" t="s">
        <v>76</v>
      </c>
      <c r="D551">
        <v>0.05</v>
      </c>
    </row>
    <row r="552" spans="1:4" x14ac:dyDescent="0.45">
      <c r="A552" t="s">
        <v>34</v>
      </c>
      <c r="B552">
        <v>2013</v>
      </c>
      <c r="C552" t="s">
        <v>76</v>
      </c>
      <c r="D552">
        <v>26.55</v>
      </c>
    </row>
    <row r="553" spans="1:4" x14ac:dyDescent="0.45">
      <c r="A553" t="s">
        <v>36</v>
      </c>
      <c r="B553">
        <v>2013</v>
      </c>
      <c r="C553" t="s">
        <v>76</v>
      </c>
      <c r="D553">
        <v>5.81</v>
      </c>
    </row>
    <row r="554" spans="1:4" x14ac:dyDescent="0.45">
      <c r="A554" t="s">
        <v>56</v>
      </c>
      <c r="B554">
        <v>2013</v>
      </c>
      <c r="C554" t="s">
        <v>76</v>
      </c>
      <c r="D554">
        <v>0.15</v>
      </c>
    </row>
    <row r="555" spans="1:4" x14ac:dyDescent="0.45">
      <c r="A555" t="s">
        <v>57</v>
      </c>
      <c r="B555">
        <v>2013</v>
      </c>
      <c r="C555" t="s">
        <v>76</v>
      </c>
      <c r="D555">
        <v>0</v>
      </c>
    </row>
    <row r="556" spans="1:4" x14ac:dyDescent="0.45">
      <c r="A556" t="s">
        <v>38</v>
      </c>
      <c r="B556">
        <v>2013</v>
      </c>
      <c r="C556" t="s">
        <v>76</v>
      </c>
      <c r="D556">
        <v>3.11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0.17</v>
      </c>
    </row>
    <row r="559" spans="1:4" x14ac:dyDescent="0.45">
      <c r="A559" t="s">
        <v>91</v>
      </c>
      <c r="B559">
        <v>2013</v>
      </c>
      <c r="C559" t="s">
        <v>76</v>
      </c>
      <c r="D559">
        <v>0.05</v>
      </c>
    </row>
    <row r="560" spans="1:4" x14ac:dyDescent="0.45">
      <c r="A560" t="s">
        <v>32</v>
      </c>
      <c r="B560">
        <v>2014</v>
      </c>
      <c r="C560" t="s">
        <v>76</v>
      </c>
      <c r="D560">
        <v>0.05</v>
      </c>
    </row>
    <row r="561" spans="1:4" x14ac:dyDescent="0.45">
      <c r="A561" t="s">
        <v>34</v>
      </c>
      <c r="B561">
        <v>2014</v>
      </c>
      <c r="C561" t="s">
        <v>76</v>
      </c>
      <c r="D561">
        <v>25.9</v>
      </c>
    </row>
    <row r="562" spans="1:4" x14ac:dyDescent="0.45">
      <c r="A562" t="s">
        <v>36</v>
      </c>
      <c r="B562">
        <v>2014</v>
      </c>
      <c r="C562" t="s">
        <v>76</v>
      </c>
      <c r="D562">
        <v>3.63</v>
      </c>
    </row>
    <row r="563" spans="1:4" x14ac:dyDescent="0.45">
      <c r="A563" t="s">
        <v>56</v>
      </c>
      <c r="B563">
        <v>2014</v>
      </c>
      <c r="C563" t="s">
        <v>76</v>
      </c>
      <c r="D563">
        <v>0.11</v>
      </c>
    </row>
    <row r="564" spans="1:4" x14ac:dyDescent="0.45">
      <c r="A564" t="s">
        <v>57</v>
      </c>
      <c r="B564">
        <v>2014</v>
      </c>
      <c r="C564" t="s">
        <v>76</v>
      </c>
      <c r="D564">
        <v>0</v>
      </c>
    </row>
    <row r="565" spans="1:4" x14ac:dyDescent="0.45">
      <c r="A565" t="s">
        <v>38</v>
      </c>
      <c r="B565">
        <v>2014</v>
      </c>
      <c r="C565" t="s">
        <v>76</v>
      </c>
      <c r="D565">
        <v>3.22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0.18</v>
      </c>
    </row>
    <row r="568" spans="1:4" x14ac:dyDescent="0.45">
      <c r="A568" t="s">
        <v>91</v>
      </c>
      <c r="B568">
        <v>2014</v>
      </c>
      <c r="C568" t="s">
        <v>76</v>
      </c>
      <c r="D568">
        <v>0.05</v>
      </c>
    </row>
    <row r="569" spans="1:4" x14ac:dyDescent="0.45">
      <c r="A569" t="s">
        <v>32</v>
      </c>
      <c r="B569">
        <v>2015</v>
      </c>
      <c r="C569" t="s">
        <v>76</v>
      </c>
      <c r="D569">
        <v>0.05</v>
      </c>
    </row>
    <row r="570" spans="1:4" x14ac:dyDescent="0.45">
      <c r="A570" t="s">
        <v>34</v>
      </c>
      <c r="B570">
        <v>2015</v>
      </c>
      <c r="C570" t="s">
        <v>76</v>
      </c>
      <c r="D570">
        <v>22.23</v>
      </c>
    </row>
    <row r="571" spans="1:4" x14ac:dyDescent="0.45">
      <c r="A571" t="s">
        <v>36</v>
      </c>
      <c r="B571">
        <v>2015</v>
      </c>
      <c r="C571" t="s">
        <v>76</v>
      </c>
      <c r="D571">
        <v>4.8499999999999996</v>
      </c>
    </row>
    <row r="572" spans="1:4" x14ac:dyDescent="0.45">
      <c r="A572" t="s">
        <v>56</v>
      </c>
      <c r="B572">
        <v>2015</v>
      </c>
      <c r="C572" t="s">
        <v>76</v>
      </c>
      <c r="D572">
        <v>0.14000000000000001</v>
      </c>
    </row>
    <row r="573" spans="1:4" x14ac:dyDescent="0.45">
      <c r="A573" t="s">
        <v>57</v>
      </c>
      <c r="B573">
        <v>2015</v>
      </c>
      <c r="C573" t="s">
        <v>76</v>
      </c>
      <c r="D573">
        <v>0</v>
      </c>
    </row>
    <row r="574" spans="1:4" x14ac:dyDescent="0.45">
      <c r="A574" t="s">
        <v>38</v>
      </c>
      <c r="B574">
        <v>2015</v>
      </c>
      <c r="C574" t="s">
        <v>76</v>
      </c>
      <c r="D574">
        <v>3.29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0.19</v>
      </c>
    </row>
    <row r="577" spans="1:4" x14ac:dyDescent="0.45">
      <c r="A577" t="s">
        <v>91</v>
      </c>
      <c r="B577">
        <v>2015</v>
      </c>
      <c r="C577" t="s">
        <v>76</v>
      </c>
      <c r="D577">
        <v>0.06</v>
      </c>
    </row>
    <row r="578" spans="1:4" x14ac:dyDescent="0.45">
      <c r="A578" t="s">
        <v>32</v>
      </c>
      <c r="B578">
        <v>2016</v>
      </c>
      <c r="C578" t="s">
        <v>76</v>
      </c>
      <c r="D578">
        <v>0.06</v>
      </c>
    </row>
    <row r="579" spans="1:4" x14ac:dyDescent="0.45">
      <c r="A579" t="s">
        <v>34</v>
      </c>
      <c r="B579">
        <v>2016</v>
      </c>
      <c r="C579" t="s">
        <v>76</v>
      </c>
      <c r="D579">
        <v>18.98</v>
      </c>
    </row>
    <row r="580" spans="1:4" x14ac:dyDescent="0.45">
      <c r="A580" t="s">
        <v>36</v>
      </c>
      <c r="B580">
        <v>2016</v>
      </c>
      <c r="C580" t="s">
        <v>76</v>
      </c>
      <c r="D580">
        <v>7.99</v>
      </c>
    </row>
    <row r="581" spans="1:4" x14ac:dyDescent="0.45">
      <c r="A581" t="s">
        <v>56</v>
      </c>
      <c r="B581">
        <v>2016</v>
      </c>
      <c r="C581" t="s">
        <v>76</v>
      </c>
      <c r="D581">
        <v>0.13</v>
      </c>
    </row>
    <row r="582" spans="1:4" x14ac:dyDescent="0.45">
      <c r="A582" t="s">
        <v>57</v>
      </c>
      <c r="B582">
        <v>2016</v>
      </c>
      <c r="C582" t="s">
        <v>76</v>
      </c>
      <c r="D582">
        <v>0</v>
      </c>
    </row>
    <row r="583" spans="1:4" x14ac:dyDescent="0.45">
      <c r="A583" t="s">
        <v>38</v>
      </c>
      <c r="B583">
        <v>2016</v>
      </c>
      <c r="C583" t="s">
        <v>76</v>
      </c>
      <c r="D583">
        <v>3.36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0.19</v>
      </c>
    </row>
    <row r="586" spans="1:4" x14ac:dyDescent="0.45">
      <c r="A586" t="s">
        <v>91</v>
      </c>
      <c r="B586">
        <v>2016</v>
      </c>
      <c r="C586" t="s">
        <v>76</v>
      </c>
      <c r="D586">
        <v>0.06</v>
      </c>
    </row>
    <row r="587" spans="1:4" x14ac:dyDescent="0.45">
      <c r="A587" t="s">
        <v>32</v>
      </c>
      <c r="B587">
        <v>2017</v>
      </c>
      <c r="C587" t="s">
        <v>76</v>
      </c>
      <c r="D587">
        <v>7.0000000000000007E-2</v>
      </c>
    </row>
    <row r="588" spans="1:4" x14ac:dyDescent="0.45">
      <c r="A588" t="s">
        <v>34</v>
      </c>
      <c r="B588">
        <v>2017</v>
      </c>
      <c r="C588" t="s">
        <v>76</v>
      </c>
      <c r="D588">
        <v>18.84</v>
      </c>
    </row>
    <row r="589" spans="1:4" x14ac:dyDescent="0.45">
      <c r="A589" t="s">
        <v>36</v>
      </c>
      <c r="B589">
        <v>2017</v>
      </c>
      <c r="C589" t="s">
        <v>76</v>
      </c>
      <c r="D589">
        <v>9.15</v>
      </c>
    </row>
    <row r="590" spans="1:4" x14ac:dyDescent="0.45">
      <c r="A590" t="s">
        <v>56</v>
      </c>
      <c r="B590">
        <v>2017</v>
      </c>
      <c r="C590" t="s">
        <v>76</v>
      </c>
      <c r="D590">
        <v>0.09</v>
      </c>
    </row>
    <row r="591" spans="1:4" x14ac:dyDescent="0.45">
      <c r="A591" t="s">
        <v>57</v>
      </c>
      <c r="B591">
        <v>2017</v>
      </c>
      <c r="C591" t="s">
        <v>76</v>
      </c>
      <c r="D591">
        <v>0</v>
      </c>
    </row>
    <row r="592" spans="1:4" x14ac:dyDescent="0.45">
      <c r="A592" t="s">
        <v>38</v>
      </c>
      <c r="B592">
        <v>2017</v>
      </c>
      <c r="C592" t="s">
        <v>76</v>
      </c>
      <c r="D592">
        <v>3.36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0.19</v>
      </c>
    </row>
    <row r="595" spans="1:4" x14ac:dyDescent="0.45">
      <c r="A595" t="s">
        <v>91</v>
      </c>
      <c r="B595">
        <v>2017</v>
      </c>
      <c r="C595" t="s">
        <v>76</v>
      </c>
      <c r="D595">
        <v>7.0000000000000007E-2</v>
      </c>
    </row>
    <row r="596" spans="1:4" x14ac:dyDescent="0.45">
      <c r="A596" t="s">
        <v>32</v>
      </c>
      <c r="B596">
        <v>2018</v>
      </c>
      <c r="C596" t="s">
        <v>76</v>
      </c>
      <c r="D596">
        <v>7.0000000000000007E-2</v>
      </c>
    </row>
    <row r="597" spans="1:4" x14ac:dyDescent="0.45">
      <c r="A597" t="s">
        <v>34</v>
      </c>
      <c r="B597">
        <v>2018</v>
      </c>
      <c r="C597" t="s">
        <v>76</v>
      </c>
      <c r="D597">
        <v>17.27</v>
      </c>
    </row>
    <row r="598" spans="1:4" x14ac:dyDescent="0.45">
      <c r="A598" t="s">
        <v>36</v>
      </c>
      <c r="B598">
        <v>2018</v>
      </c>
      <c r="C598" t="s">
        <v>76</v>
      </c>
      <c r="D598">
        <v>7.52</v>
      </c>
    </row>
    <row r="599" spans="1:4" x14ac:dyDescent="0.45">
      <c r="A599" t="s">
        <v>56</v>
      </c>
      <c r="B599">
        <v>2018</v>
      </c>
      <c r="C599" t="s">
        <v>76</v>
      </c>
      <c r="D599">
        <v>0.14000000000000001</v>
      </c>
    </row>
    <row r="600" spans="1:4" x14ac:dyDescent="0.45">
      <c r="A600" t="s">
        <v>57</v>
      </c>
      <c r="B600">
        <v>2018</v>
      </c>
      <c r="C600" t="s">
        <v>76</v>
      </c>
      <c r="D600">
        <v>0</v>
      </c>
    </row>
    <row r="601" spans="1:4" x14ac:dyDescent="0.45">
      <c r="A601" t="s">
        <v>38</v>
      </c>
      <c r="B601">
        <v>2018</v>
      </c>
      <c r="C601" t="s">
        <v>76</v>
      </c>
      <c r="D601">
        <v>3.42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0.18</v>
      </c>
    </row>
    <row r="604" spans="1:4" x14ac:dyDescent="0.45">
      <c r="A604" t="s">
        <v>91</v>
      </c>
      <c r="B604">
        <v>2018</v>
      </c>
      <c r="C604" t="s">
        <v>76</v>
      </c>
      <c r="D604">
        <v>0.08</v>
      </c>
    </row>
    <row r="605" spans="1:4" x14ac:dyDescent="0.45">
      <c r="A605" t="s">
        <v>32</v>
      </c>
      <c r="B605">
        <v>2019</v>
      </c>
      <c r="C605" t="s">
        <v>76</v>
      </c>
      <c r="D605">
        <v>0.09</v>
      </c>
    </row>
    <row r="606" spans="1:4" x14ac:dyDescent="0.45">
      <c r="A606" t="s">
        <v>34</v>
      </c>
      <c r="B606">
        <v>2019</v>
      </c>
      <c r="C606" t="s">
        <v>76</v>
      </c>
      <c r="D606">
        <v>12.16</v>
      </c>
    </row>
    <row r="607" spans="1:4" x14ac:dyDescent="0.45">
      <c r="A607" t="s">
        <v>36</v>
      </c>
      <c r="B607">
        <v>2019</v>
      </c>
      <c r="C607" t="s">
        <v>76</v>
      </c>
      <c r="D607">
        <v>7.74</v>
      </c>
    </row>
    <row r="608" spans="1:4" x14ac:dyDescent="0.45">
      <c r="A608" t="s">
        <v>56</v>
      </c>
      <c r="B608">
        <v>2019</v>
      </c>
      <c r="C608" t="s">
        <v>76</v>
      </c>
      <c r="D608">
        <v>0.1</v>
      </c>
    </row>
    <row r="609" spans="1:4" x14ac:dyDescent="0.45">
      <c r="A609" t="s">
        <v>57</v>
      </c>
      <c r="B609">
        <v>2019</v>
      </c>
      <c r="C609" t="s">
        <v>76</v>
      </c>
      <c r="D609">
        <v>0</v>
      </c>
    </row>
    <row r="610" spans="1:4" x14ac:dyDescent="0.45">
      <c r="A610" t="s">
        <v>38</v>
      </c>
      <c r="B610">
        <v>2019</v>
      </c>
      <c r="C610" t="s">
        <v>76</v>
      </c>
      <c r="D610">
        <v>3.44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0.21</v>
      </c>
    </row>
    <row r="613" spans="1:4" x14ac:dyDescent="0.45">
      <c r="A613" t="s">
        <v>91</v>
      </c>
      <c r="B613">
        <v>2019</v>
      </c>
      <c r="C613" t="s">
        <v>76</v>
      </c>
      <c r="D613">
        <v>0.09</v>
      </c>
    </row>
    <row r="614" spans="1:4" x14ac:dyDescent="0.45">
      <c r="A614" t="s">
        <v>32</v>
      </c>
      <c r="B614">
        <v>2020</v>
      </c>
      <c r="C614" t="s">
        <v>76</v>
      </c>
      <c r="D614">
        <v>0.1</v>
      </c>
    </row>
    <row r="615" spans="1:4" x14ac:dyDescent="0.45">
      <c r="A615" t="s">
        <v>34</v>
      </c>
      <c r="B615">
        <v>2020</v>
      </c>
      <c r="C615" t="s">
        <v>76</v>
      </c>
      <c r="D615">
        <v>6.62</v>
      </c>
    </row>
    <row r="616" spans="1:4" x14ac:dyDescent="0.45">
      <c r="A616" t="s">
        <v>36</v>
      </c>
      <c r="B616">
        <v>2020</v>
      </c>
      <c r="C616" t="s">
        <v>76</v>
      </c>
      <c r="D616">
        <v>10.27</v>
      </c>
    </row>
    <row r="617" spans="1:4" x14ac:dyDescent="0.45">
      <c r="A617" t="s">
        <v>56</v>
      </c>
      <c r="B617">
        <v>2020</v>
      </c>
      <c r="C617" t="s">
        <v>76</v>
      </c>
      <c r="D617">
        <v>0.08</v>
      </c>
    </row>
    <row r="618" spans="1:4" x14ac:dyDescent="0.45">
      <c r="A618" t="s">
        <v>57</v>
      </c>
      <c r="B618">
        <v>2020</v>
      </c>
      <c r="C618" t="s">
        <v>76</v>
      </c>
      <c r="D618">
        <v>0</v>
      </c>
    </row>
    <row r="619" spans="1:4" x14ac:dyDescent="0.45">
      <c r="A619" t="s">
        <v>38</v>
      </c>
      <c r="B619">
        <v>2020</v>
      </c>
      <c r="C619" t="s">
        <v>76</v>
      </c>
      <c r="D619">
        <v>2.71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0.21</v>
      </c>
    </row>
    <row r="622" spans="1:4" x14ac:dyDescent="0.45">
      <c r="A622" t="s">
        <v>91</v>
      </c>
      <c r="B622">
        <v>2020</v>
      </c>
      <c r="C622" t="s">
        <v>76</v>
      </c>
      <c r="D622">
        <v>0.11</v>
      </c>
    </row>
    <row r="623" spans="1:4" x14ac:dyDescent="0.45">
      <c r="A623" t="s">
        <v>32</v>
      </c>
      <c r="B623">
        <v>2021</v>
      </c>
      <c r="C623" t="s">
        <v>76</v>
      </c>
      <c r="D623">
        <v>0.11</v>
      </c>
    </row>
    <row r="624" spans="1:4" x14ac:dyDescent="0.45">
      <c r="A624" t="s">
        <v>34</v>
      </c>
      <c r="B624">
        <v>2021</v>
      </c>
      <c r="C624" t="s">
        <v>76</v>
      </c>
      <c r="D624">
        <v>5.31</v>
      </c>
    </row>
    <row r="625" spans="1:4" x14ac:dyDescent="0.45">
      <c r="A625" t="s">
        <v>36</v>
      </c>
      <c r="B625">
        <v>2021</v>
      </c>
      <c r="C625" t="s">
        <v>76</v>
      </c>
      <c r="D625">
        <v>12.01</v>
      </c>
    </row>
    <row r="626" spans="1:4" x14ac:dyDescent="0.45">
      <c r="A626" t="s">
        <v>56</v>
      </c>
      <c r="B626">
        <v>2021</v>
      </c>
      <c r="C626" t="s">
        <v>76</v>
      </c>
      <c r="D626">
        <v>0.14000000000000001</v>
      </c>
    </row>
    <row r="627" spans="1:4" x14ac:dyDescent="0.45">
      <c r="A627" t="s">
        <v>57</v>
      </c>
      <c r="B627">
        <v>2021</v>
      </c>
      <c r="C627" t="s">
        <v>76</v>
      </c>
      <c r="D627">
        <v>0</v>
      </c>
    </row>
    <row r="628" spans="1:4" x14ac:dyDescent="0.45">
      <c r="A628" t="s">
        <v>38</v>
      </c>
      <c r="B628">
        <v>2021</v>
      </c>
      <c r="C628" t="s">
        <v>76</v>
      </c>
      <c r="D628">
        <v>2.83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0.25</v>
      </c>
    </row>
    <row r="631" spans="1:4" x14ac:dyDescent="0.45">
      <c r="A631" t="s">
        <v>91</v>
      </c>
      <c r="B631">
        <v>2021</v>
      </c>
      <c r="C631" t="s">
        <v>76</v>
      </c>
      <c r="D631">
        <v>0.13</v>
      </c>
    </row>
    <row r="632" spans="1:4" x14ac:dyDescent="0.45">
      <c r="A632" t="s">
        <v>32</v>
      </c>
      <c r="B632">
        <v>2022</v>
      </c>
      <c r="C632" t="s">
        <v>76</v>
      </c>
      <c r="D632">
        <v>0.12</v>
      </c>
    </row>
    <row r="633" spans="1:4" x14ac:dyDescent="0.45">
      <c r="A633" t="s">
        <v>34</v>
      </c>
      <c r="B633">
        <v>2022</v>
      </c>
      <c r="C633" t="s">
        <v>76</v>
      </c>
      <c r="D633">
        <v>5.73</v>
      </c>
    </row>
    <row r="634" spans="1:4" x14ac:dyDescent="0.45">
      <c r="A634" t="s">
        <v>36</v>
      </c>
      <c r="B634">
        <v>2022</v>
      </c>
      <c r="C634" t="s">
        <v>76</v>
      </c>
      <c r="D634">
        <v>10.220000000000001</v>
      </c>
    </row>
    <row r="635" spans="1:4" x14ac:dyDescent="0.45">
      <c r="A635" t="s">
        <v>56</v>
      </c>
      <c r="B635">
        <v>2022</v>
      </c>
      <c r="C635" t="s">
        <v>76</v>
      </c>
      <c r="D635">
        <v>0.09</v>
      </c>
    </row>
    <row r="636" spans="1:4" x14ac:dyDescent="0.45">
      <c r="A636" t="s">
        <v>57</v>
      </c>
      <c r="B636">
        <v>2022</v>
      </c>
      <c r="C636" t="s">
        <v>76</v>
      </c>
      <c r="D636">
        <v>0</v>
      </c>
    </row>
    <row r="637" spans="1:4" x14ac:dyDescent="0.45">
      <c r="A637" t="s">
        <v>38</v>
      </c>
      <c r="B637">
        <v>2022</v>
      </c>
      <c r="C637" t="s">
        <v>76</v>
      </c>
      <c r="D637">
        <v>2.81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0.34</v>
      </c>
    </row>
    <row r="640" spans="1:4" x14ac:dyDescent="0.45">
      <c r="A640" t="s">
        <v>91</v>
      </c>
      <c r="B640">
        <v>2022</v>
      </c>
      <c r="C640" t="s">
        <v>76</v>
      </c>
      <c r="D640">
        <v>0.13</v>
      </c>
    </row>
    <row r="641" spans="1:4" x14ac:dyDescent="0.45">
      <c r="A641" t="s">
        <v>32</v>
      </c>
      <c r="B641">
        <v>2023</v>
      </c>
      <c r="C641" t="s">
        <v>76</v>
      </c>
      <c r="D641">
        <v>0.12</v>
      </c>
    </row>
    <row r="642" spans="1:4" x14ac:dyDescent="0.45">
      <c r="A642" t="s">
        <v>34</v>
      </c>
      <c r="B642">
        <v>2023</v>
      </c>
      <c r="C642" t="s">
        <v>76</v>
      </c>
      <c r="D642">
        <v>4.66</v>
      </c>
    </row>
    <row r="643" spans="1:4" x14ac:dyDescent="0.45">
      <c r="A643" t="s">
        <v>36</v>
      </c>
      <c r="B643">
        <v>2023</v>
      </c>
      <c r="C643" t="s">
        <v>76</v>
      </c>
      <c r="D643">
        <v>8.36</v>
      </c>
    </row>
    <row r="644" spans="1:4" x14ac:dyDescent="0.45">
      <c r="A644" t="s">
        <v>56</v>
      </c>
      <c r="B644">
        <v>2023</v>
      </c>
      <c r="C644" t="s">
        <v>76</v>
      </c>
      <c r="D644">
        <v>0.09</v>
      </c>
    </row>
    <row r="645" spans="1:4" x14ac:dyDescent="0.45">
      <c r="A645" t="s">
        <v>57</v>
      </c>
      <c r="B645">
        <v>2023</v>
      </c>
      <c r="C645" t="s">
        <v>76</v>
      </c>
      <c r="D645">
        <v>0</v>
      </c>
    </row>
    <row r="646" spans="1:4" x14ac:dyDescent="0.45">
      <c r="A646" t="s">
        <v>38</v>
      </c>
      <c r="B646">
        <v>2023</v>
      </c>
      <c r="C646" t="s">
        <v>76</v>
      </c>
      <c r="D646">
        <v>2.81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0.45</v>
      </c>
    </row>
    <row r="649" spans="1:4" x14ac:dyDescent="0.45">
      <c r="A649" t="s">
        <v>91</v>
      </c>
      <c r="B649">
        <v>2023</v>
      </c>
      <c r="C649" t="s">
        <v>76</v>
      </c>
      <c r="D649">
        <v>0.13</v>
      </c>
    </row>
    <row r="650" spans="1:4" x14ac:dyDescent="0.45">
      <c r="A650" t="s">
        <v>59</v>
      </c>
      <c r="B650">
        <v>2000</v>
      </c>
      <c r="C650" t="s">
        <v>74</v>
      </c>
      <c r="D650">
        <v>1.7</v>
      </c>
    </row>
    <row r="651" spans="1:4" x14ac:dyDescent="0.45">
      <c r="A651" t="s">
        <v>60</v>
      </c>
      <c r="B651">
        <v>2000</v>
      </c>
      <c r="C651" t="s">
        <v>74</v>
      </c>
      <c r="D651">
        <v>1.7</v>
      </c>
    </row>
    <row r="652" spans="1:4" x14ac:dyDescent="0.45">
      <c r="A652" t="s">
        <v>59</v>
      </c>
      <c r="B652">
        <v>2001</v>
      </c>
      <c r="C652" t="s">
        <v>74</v>
      </c>
      <c r="D652">
        <v>1.1000000000000001</v>
      </c>
    </row>
    <row r="653" spans="1:4" x14ac:dyDescent="0.45">
      <c r="A653" t="s">
        <v>60</v>
      </c>
      <c r="B653">
        <v>2001</v>
      </c>
      <c r="C653" t="s">
        <v>74</v>
      </c>
      <c r="D653">
        <v>3.6</v>
      </c>
    </row>
    <row r="654" spans="1:4" x14ac:dyDescent="0.45">
      <c r="A654" t="s">
        <v>59</v>
      </c>
      <c r="B654">
        <v>2002</v>
      </c>
      <c r="C654" t="s">
        <v>74</v>
      </c>
      <c r="D654">
        <v>1.7</v>
      </c>
    </row>
    <row r="655" spans="1:4" x14ac:dyDescent="0.45">
      <c r="A655" t="s">
        <v>60</v>
      </c>
      <c r="B655">
        <v>2002</v>
      </c>
      <c r="C655" t="s">
        <v>74</v>
      </c>
      <c r="D655">
        <v>4.5999999999999996</v>
      </c>
    </row>
    <row r="656" spans="1:4" x14ac:dyDescent="0.45">
      <c r="A656" t="s">
        <v>59</v>
      </c>
      <c r="B656">
        <v>2003</v>
      </c>
      <c r="C656" t="s">
        <v>74</v>
      </c>
      <c r="D656">
        <v>2.1</v>
      </c>
    </row>
    <row r="657" spans="1:4" x14ac:dyDescent="0.45">
      <c r="A657" t="s">
        <v>60</v>
      </c>
      <c r="B657">
        <v>2003</v>
      </c>
      <c r="C657" t="s">
        <v>74</v>
      </c>
      <c r="D657">
        <v>4.2</v>
      </c>
    </row>
    <row r="658" spans="1:4" x14ac:dyDescent="0.45">
      <c r="A658" t="s">
        <v>59</v>
      </c>
      <c r="B658">
        <v>2004</v>
      </c>
      <c r="C658" t="s">
        <v>74</v>
      </c>
      <c r="D658">
        <v>2</v>
      </c>
    </row>
    <row r="659" spans="1:4" x14ac:dyDescent="0.45">
      <c r="A659" t="s">
        <v>60</v>
      </c>
      <c r="B659">
        <v>2004</v>
      </c>
      <c r="C659" t="s">
        <v>74</v>
      </c>
      <c r="D659">
        <v>4.9000000000000004</v>
      </c>
    </row>
    <row r="660" spans="1:4" x14ac:dyDescent="0.45">
      <c r="A660" t="s">
        <v>59</v>
      </c>
      <c r="B660">
        <v>2005</v>
      </c>
      <c r="C660" t="s">
        <v>74</v>
      </c>
      <c r="D660">
        <v>1.8</v>
      </c>
    </row>
    <row r="661" spans="1:4" x14ac:dyDescent="0.45">
      <c r="A661" t="s">
        <v>60</v>
      </c>
      <c r="B661">
        <v>2005</v>
      </c>
      <c r="C661" t="s">
        <v>74</v>
      </c>
      <c r="D661">
        <v>5.6</v>
      </c>
    </row>
    <row r="662" spans="1:4" x14ac:dyDescent="0.45">
      <c r="A662" t="s">
        <v>59</v>
      </c>
      <c r="B662">
        <v>2006</v>
      </c>
      <c r="C662" t="s">
        <v>74</v>
      </c>
      <c r="D662">
        <v>1.9</v>
      </c>
    </row>
    <row r="663" spans="1:4" x14ac:dyDescent="0.45">
      <c r="A663" t="s">
        <v>60</v>
      </c>
      <c r="B663">
        <v>2006</v>
      </c>
      <c r="C663" t="s">
        <v>74</v>
      </c>
      <c r="D663">
        <v>6.1</v>
      </c>
    </row>
    <row r="664" spans="1:4" x14ac:dyDescent="0.45">
      <c r="A664" t="s">
        <v>59</v>
      </c>
      <c r="B664">
        <v>2007</v>
      </c>
      <c r="C664" t="s">
        <v>74</v>
      </c>
      <c r="D664">
        <v>2.1</v>
      </c>
    </row>
    <row r="665" spans="1:4" x14ac:dyDescent="0.45">
      <c r="A665" t="s">
        <v>60</v>
      </c>
      <c r="B665">
        <v>2007</v>
      </c>
      <c r="C665" t="s">
        <v>74</v>
      </c>
      <c r="D665">
        <v>6.4</v>
      </c>
    </row>
    <row r="666" spans="1:4" x14ac:dyDescent="0.45">
      <c r="A666" t="s">
        <v>59</v>
      </c>
      <c r="B666">
        <v>2008</v>
      </c>
      <c r="C666" t="s">
        <v>74</v>
      </c>
      <c r="D666">
        <v>2</v>
      </c>
    </row>
    <row r="667" spans="1:4" x14ac:dyDescent="0.45">
      <c r="A667" t="s">
        <v>60</v>
      </c>
      <c r="B667">
        <v>2008</v>
      </c>
      <c r="C667" t="s">
        <v>74</v>
      </c>
      <c r="D667">
        <v>7.6</v>
      </c>
    </row>
    <row r="668" spans="1:4" x14ac:dyDescent="0.45">
      <c r="A668" t="s">
        <v>59</v>
      </c>
      <c r="B668">
        <v>2009</v>
      </c>
      <c r="C668" t="s">
        <v>74</v>
      </c>
      <c r="D668">
        <v>3.2</v>
      </c>
    </row>
    <row r="669" spans="1:4" x14ac:dyDescent="0.45">
      <c r="A669" t="s">
        <v>60</v>
      </c>
      <c r="B669">
        <v>2009</v>
      </c>
      <c r="C669" t="s">
        <v>74</v>
      </c>
      <c r="D669">
        <v>7.6</v>
      </c>
    </row>
    <row r="670" spans="1:4" x14ac:dyDescent="0.45">
      <c r="A670" t="s">
        <v>59</v>
      </c>
      <c r="B670">
        <v>2010</v>
      </c>
      <c r="C670" t="s">
        <v>74</v>
      </c>
      <c r="D670">
        <v>2.8</v>
      </c>
    </row>
    <row r="671" spans="1:4" x14ac:dyDescent="0.45">
      <c r="A671" t="s">
        <v>60</v>
      </c>
      <c r="B671">
        <v>2010</v>
      </c>
      <c r="C671" t="s">
        <v>74</v>
      </c>
      <c r="D671">
        <v>8.5</v>
      </c>
    </row>
    <row r="672" spans="1:4" x14ac:dyDescent="0.45">
      <c r="A672" t="s">
        <v>59</v>
      </c>
      <c r="B672">
        <v>2011</v>
      </c>
      <c r="C672" t="s">
        <v>74</v>
      </c>
      <c r="D672">
        <v>3.9</v>
      </c>
    </row>
    <row r="673" spans="1:4" x14ac:dyDescent="0.45">
      <c r="A673" t="s">
        <v>60</v>
      </c>
      <c r="B673">
        <v>2011</v>
      </c>
      <c r="C673" t="s">
        <v>74</v>
      </c>
      <c r="D673">
        <v>7.2</v>
      </c>
    </row>
    <row r="674" spans="1:4" x14ac:dyDescent="0.45">
      <c r="A674" t="s">
        <v>59</v>
      </c>
      <c r="B674">
        <v>2012</v>
      </c>
      <c r="C674" t="s">
        <v>74</v>
      </c>
      <c r="D674">
        <v>4.2</v>
      </c>
    </row>
    <row r="675" spans="1:4" x14ac:dyDescent="0.45">
      <c r="A675" t="s">
        <v>60</v>
      </c>
      <c r="B675">
        <v>2012</v>
      </c>
      <c r="C675" t="s">
        <v>74</v>
      </c>
      <c r="D675">
        <v>6</v>
      </c>
    </row>
    <row r="676" spans="1:4" x14ac:dyDescent="0.45">
      <c r="A676" t="s">
        <v>59</v>
      </c>
      <c r="B676">
        <v>2013</v>
      </c>
      <c r="C676" t="s">
        <v>74</v>
      </c>
      <c r="D676">
        <v>3.9</v>
      </c>
    </row>
    <row r="677" spans="1:4" x14ac:dyDescent="0.45">
      <c r="A677" t="s">
        <v>60</v>
      </c>
      <c r="B677">
        <v>2013</v>
      </c>
      <c r="C677" t="s">
        <v>74</v>
      </c>
      <c r="D677">
        <v>5.8</v>
      </c>
    </row>
    <row r="678" spans="1:4" x14ac:dyDescent="0.45">
      <c r="A678" t="s">
        <v>59</v>
      </c>
      <c r="B678">
        <v>2014</v>
      </c>
      <c r="C678" t="s">
        <v>74</v>
      </c>
      <c r="D678">
        <v>0.6</v>
      </c>
    </row>
    <row r="679" spans="1:4" x14ac:dyDescent="0.45">
      <c r="A679" t="s">
        <v>60</v>
      </c>
      <c r="B679">
        <v>2014</v>
      </c>
      <c r="C679" t="s">
        <v>74</v>
      </c>
      <c r="D679">
        <v>9.5</v>
      </c>
    </row>
    <row r="680" spans="1:4" x14ac:dyDescent="0.45">
      <c r="A680" t="s">
        <v>59</v>
      </c>
      <c r="B680">
        <v>2015</v>
      </c>
      <c r="C680" t="s">
        <v>74</v>
      </c>
      <c r="D680">
        <v>1.5</v>
      </c>
    </row>
    <row r="681" spans="1:4" x14ac:dyDescent="0.45">
      <c r="A681" t="s">
        <v>60</v>
      </c>
      <c r="B681">
        <v>2015</v>
      </c>
      <c r="C681" t="s">
        <v>74</v>
      </c>
      <c r="D681">
        <v>11.1</v>
      </c>
    </row>
    <row r="682" spans="1:4" x14ac:dyDescent="0.45">
      <c r="A682" t="s">
        <v>59</v>
      </c>
      <c r="B682">
        <v>2016</v>
      </c>
      <c r="C682" t="s">
        <v>74</v>
      </c>
      <c r="D682">
        <v>1</v>
      </c>
    </row>
    <row r="683" spans="1:4" x14ac:dyDescent="0.45">
      <c r="A683" t="s">
        <v>60</v>
      </c>
      <c r="B683">
        <v>2016</v>
      </c>
      <c r="C683" t="s">
        <v>74</v>
      </c>
      <c r="D683">
        <v>9.8000000000000007</v>
      </c>
    </row>
    <row r="684" spans="1:4" x14ac:dyDescent="0.45">
      <c r="A684" t="s">
        <v>59</v>
      </c>
      <c r="B684">
        <v>2017</v>
      </c>
      <c r="C684" t="s">
        <v>74</v>
      </c>
      <c r="D684">
        <v>2.5</v>
      </c>
    </row>
    <row r="685" spans="1:4" x14ac:dyDescent="0.45">
      <c r="A685" t="s">
        <v>60</v>
      </c>
      <c r="B685">
        <v>2017</v>
      </c>
      <c r="C685" t="s">
        <v>74</v>
      </c>
      <c r="D685">
        <v>8.6999999999999993</v>
      </c>
    </row>
    <row r="686" spans="1:4" x14ac:dyDescent="0.45">
      <c r="A686" t="s">
        <v>59</v>
      </c>
      <c r="B686">
        <v>2018</v>
      </c>
      <c r="C686" t="s">
        <v>74</v>
      </c>
      <c r="D686">
        <v>2.2999999999999998</v>
      </c>
    </row>
    <row r="687" spans="1:4" x14ac:dyDescent="0.45">
      <c r="A687" t="s">
        <v>60</v>
      </c>
      <c r="B687">
        <v>2018</v>
      </c>
      <c r="C687" t="s">
        <v>74</v>
      </c>
      <c r="D687">
        <v>8.6</v>
      </c>
    </row>
    <row r="688" spans="1:4" x14ac:dyDescent="0.45">
      <c r="A688" t="s">
        <v>59</v>
      </c>
      <c r="B688">
        <v>2019</v>
      </c>
      <c r="C688" t="s">
        <v>74</v>
      </c>
      <c r="D688">
        <v>1.1000000000000001</v>
      </c>
    </row>
    <row r="689" spans="1:4" x14ac:dyDescent="0.45">
      <c r="A689" t="s">
        <v>60</v>
      </c>
      <c r="B689">
        <v>2019</v>
      </c>
      <c r="C689" t="s">
        <v>74</v>
      </c>
      <c r="D689">
        <v>11.1</v>
      </c>
    </row>
    <row r="690" spans="1:4" x14ac:dyDescent="0.45">
      <c r="A690" t="s">
        <v>59</v>
      </c>
      <c r="B690">
        <v>2020</v>
      </c>
      <c r="C690" t="s">
        <v>74</v>
      </c>
      <c r="D690">
        <v>1</v>
      </c>
    </row>
    <row r="691" spans="1:4" x14ac:dyDescent="0.45">
      <c r="A691" t="s">
        <v>60</v>
      </c>
      <c r="B691">
        <v>2020</v>
      </c>
      <c r="C691" t="s">
        <v>74</v>
      </c>
      <c r="D691">
        <v>9.8000000000000007</v>
      </c>
    </row>
    <row r="692" spans="1:4" x14ac:dyDescent="0.45">
      <c r="A692" t="s">
        <v>59</v>
      </c>
      <c r="B692">
        <v>2021</v>
      </c>
      <c r="C692" t="s">
        <v>74</v>
      </c>
      <c r="D692">
        <v>3.9</v>
      </c>
    </row>
    <row r="693" spans="1:4" x14ac:dyDescent="0.45">
      <c r="A693" t="s">
        <v>60</v>
      </c>
      <c r="B693">
        <v>2021</v>
      </c>
      <c r="C693" t="s">
        <v>74</v>
      </c>
      <c r="D693">
        <v>7.6</v>
      </c>
    </row>
    <row r="694" spans="1:4" x14ac:dyDescent="0.45">
      <c r="A694" t="s">
        <v>59</v>
      </c>
      <c r="B694">
        <v>2022</v>
      </c>
      <c r="C694" t="s">
        <v>74</v>
      </c>
      <c r="D694">
        <v>4.3</v>
      </c>
    </row>
    <row r="695" spans="1:4" x14ac:dyDescent="0.45">
      <c r="A695" t="s">
        <v>60</v>
      </c>
      <c r="B695">
        <v>2022</v>
      </c>
      <c r="C695" t="s">
        <v>74</v>
      </c>
      <c r="D695">
        <v>7.8</v>
      </c>
    </row>
    <row r="696" spans="1:4" x14ac:dyDescent="0.45">
      <c r="A696" t="s">
        <v>59</v>
      </c>
      <c r="B696">
        <v>2023</v>
      </c>
      <c r="C696" t="s">
        <v>74</v>
      </c>
      <c r="D696">
        <v>3.2</v>
      </c>
    </row>
    <row r="697" spans="1:4" x14ac:dyDescent="0.45">
      <c r="A697" t="s">
        <v>60</v>
      </c>
      <c r="B697">
        <v>2023</v>
      </c>
      <c r="C697" t="s">
        <v>74</v>
      </c>
      <c r="D697">
        <v>8.1999999999999993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4.0043999999999995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4.0701999999999998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4.0889999999999995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4.0232000000000001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4.0608000000000004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4.0137999999999998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3.9950000000000001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2.6696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2.4722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2.4815999999999998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2.4534000000000002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2.6696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2.6696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2.6696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0.79900000000000004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0.71440000000000003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0.70499999999999996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0.70499999999999996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0.60160000000000002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0.99639999999999995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6.5799999999999997E-2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9.4E-2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1.034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4.7E-2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3.7600000000000001E-2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8.4599999999999995E-2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2.8199999999999996E-2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6.5799999999999997E-2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0.48879999999999996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9.4000000000000004E-3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9.4000000000000004E-3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1.8800000000000001E-2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5.6399999999999992E-2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2.8199999999999996E-2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3.6850000000000001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3.7345000000000002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3.74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3.7070000000000003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3.6739999999999999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3.6795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3.6905000000000006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5.6429999999999998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6.1379999999999999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6.1709999999999994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6.1159999999999997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5.6595000000000004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5.6099999999999994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5.6265000000000001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5.5275000000000007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4.0095000000000001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4.0315000000000003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3.9874999999999998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4.202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5.9180000000000001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2.387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5.7474999999999996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5.0490000000000004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3.8170000000000002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4.125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0.8085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5.0985000000000005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0.11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5.6814999999999998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6.2645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3.4375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3.6409999999999996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0.65450000000000008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5.1369999999999996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0.20899999999999999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6.1105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8.0190000000000001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3.762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2.8820000000000001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1.4355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5.17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0.187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5.6704999999999997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7.1665000000000001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2.4255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2.0459999999999998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2.1890000000000001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6.7924999999999995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2.75E-2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2.2189999999999999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2.2189999999999999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2.2189999999999999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2.2329999999999997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2.177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2.2120000000000002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2.2120000000000002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1.4E-2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1.0569999999999999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1.0640000000000001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1.071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1.4E-2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1.4E-2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1.4E-2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2.2949999999999998E-2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1.5200000000000002E-2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1.5300000000000001E-2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1.54E-2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2.9850000000000002E-2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2.8250000000000001E-2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2.9249999999999998E-2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0.18814999999999998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1.6899999999999998E-2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1.7100000000000001E-2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1.7050000000000003E-2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0.68940000000000001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0.2306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1.19065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0.62959999999999994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1.7599999999999998E-2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9.4500000000000001E-2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5.8249999999999996E-2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1.5407500000000001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0.73849999999999993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3.4430499999999999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1.22885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1.805E-2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1.67655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0.35499999999999998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2.4770000000000003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1.3009499999999998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5.3563000000000001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1.6888000000000001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1.8149999999999999E-2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3.8295500000000002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0.79974999999999996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3.105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1.4769000000000001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6.0088999999999997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1.9538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1.84E-2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4.8977500000000003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1.1255999999999999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3.3889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1.6263000000000001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6.2570499999999996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1.98675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1.515E-2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5.3978999999999999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1.2464500000000001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3.3676500000000003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1.5945499999999999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6.1442499999999995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2.0873499999999998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1.3600000000000001E-2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6.2485499999999998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1.3272499999999998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3.5263499999999999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1.67025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6.0837000000000003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2.0689500000000001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9.7999999999999997E-3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6.5998000000000001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1.3410500000000001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3.7020999999999997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1.63205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5.7442499999999992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2.1121500000000002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5.5999999999999999E-3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7.1936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1.3872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3.9706999999999999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1.6423000000000001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5.6348000000000003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2.1442500000000004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2.8999999999999998E-3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6.5563500000000001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1.2503500000000001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4.0989500000000003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1.3285499999999999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5.2899499999999993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2.1920999999999999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5.9249000000000001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1.12965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4.23665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1.00305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5.0353999999999992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2.2998000000000003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5.0450499999999998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1.2077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4.2757000000000005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0.98414999999999997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5.1845999999999997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2.4108499999999999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4.1792499999999997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1.2979000000000001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4.3291000000000004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0.96819999999999995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5.3667499999999997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2.3936999999999999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4.0204000000000004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1.3548499999999999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4.3493499999999994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1.1291500000000001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5.4668999999999999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2.3858999999999999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3.8638500000000002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1.41055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4.3732500000000005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1.2884500000000001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5.5707000000000004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4.9549999999999997E-2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2020</v>
      </c>
      <c r="J269">
        <v>4.9149999999999999E-2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2020</v>
      </c>
      <c r="J270">
        <v>5.0350000000000006E-2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2020</v>
      </c>
      <c r="J271">
        <v>4.9149999999999999E-2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2020</v>
      </c>
      <c r="J272">
        <v>5.015E-2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2020</v>
      </c>
      <c r="J273">
        <v>4.9599999999999998E-2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2020</v>
      </c>
      <c r="J274">
        <v>5.0599999999999999E-2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2025</v>
      </c>
      <c r="J275">
        <v>5.6399999999999999E-2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2025</v>
      </c>
      <c r="J276">
        <v>5.5099999999999996E-2</v>
      </c>
      <c r="K276" t="s">
        <v>24</v>
      </c>
    </row>
    <row r="277" spans="1:11" x14ac:dyDescent="0.45">
      <c r="A277" t="s">
        <v>90</v>
      </c>
      <c r="B277" t="s">
        <v>0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2025</v>
      </c>
      <c r="J277">
        <v>5.5849999999999997E-2</v>
      </c>
      <c r="K277" t="s">
        <v>24</v>
      </c>
    </row>
    <row r="278" spans="1:11" x14ac:dyDescent="0.45">
      <c r="A278" t="s">
        <v>90</v>
      </c>
      <c r="B278" t="s">
        <v>6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5.45E-2</v>
      </c>
      <c r="K278" t="s">
        <v>24</v>
      </c>
    </row>
    <row r="279" spans="1:11" x14ac:dyDescent="0.45">
      <c r="A279" t="s">
        <v>90</v>
      </c>
      <c r="B279" t="s">
        <v>5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2025</v>
      </c>
      <c r="J279">
        <v>4.8500000000000001E-2</v>
      </c>
      <c r="K279" t="s">
        <v>24</v>
      </c>
    </row>
    <row r="280" spans="1:11" x14ac:dyDescent="0.45">
      <c r="A280" t="s">
        <v>90</v>
      </c>
      <c r="B280" t="s">
        <v>2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2025</v>
      </c>
      <c r="J280">
        <v>5.6550000000000003E-2</v>
      </c>
      <c r="K280" t="s">
        <v>24</v>
      </c>
    </row>
    <row r="281" spans="1:11" x14ac:dyDescent="0.45">
      <c r="A281" t="s">
        <v>90</v>
      </c>
      <c r="B281" t="s">
        <v>1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2025</v>
      </c>
      <c r="J281">
        <v>5.815E-2</v>
      </c>
      <c r="K281" t="s">
        <v>24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2030</v>
      </c>
      <c r="J282">
        <v>5.7599999999999998E-2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2030</v>
      </c>
      <c r="J283">
        <v>5.8700000000000002E-2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5.8450000000000002E-2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2030</v>
      </c>
      <c r="J285">
        <v>5.7349999999999998E-2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2030</v>
      </c>
      <c r="J286">
        <v>4.1400000000000006E-2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5.8200000000000002E-2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2030</v>
      </c>
      <c r="J288">
        <v>5.9550000000000006E-2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2035</v>
      </c>
      <c r="J289">
        <v>6.1100000000000002E-2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2035</v>
      </c>
      <c r="J290">
        <v>5.9450000000000003E-2</v>
      </c>
      <c r="K290" t="s">
        <v>24</v>
      </c>
    </row>
    <row r="291" spans="1:11" x14ac:dyDescent="0.45">
      <c r="A291" t="s">
        <v>90</v>
      </c>
      <c r="B291" t="s">
        <v>0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2035</v>
      </c>
      <c r="J291">
        <v>6.0350000000000001E-2</v>
      </c>
      <c r="K291" t="s">
        <v>24</v>
      </c>
    </row>
    <row r="292" spans="1:11" x14ac:dyDescent="0.45">
      <c r="A292" t="s">
        <v>90</v>
      </c>
      <c r="B292" t="s">
        <v>6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2035</v>
      </c>
      <c r="J292">
        <v>5.7450000000000001E-2</v>
      </c>
      <c r="K292" t="s">
        <v>24</v>
      </c>
    </row>
    <row r="293" spans="1:11" x14ac:dyDescent="0.45">
      <c r="A293" t="s">
        <v>90</v>
      </c>
      <c r="B293" t="s">
        <v>5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2035</v>
      </c>
      <c r="J293">
        <v>4.0550000000000003E-2</v>
      </c>
      <c r="K293" t="s">
        <v>24</v>
      </c>
    </row>
    <row r="294" spans="1:11" x14ac:dyDescent="0.45">
      <c r="A294" t="s">
        <v>90</v>
      </c>
      <c r="B294" t="s">
        <v>2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2035</v>
      </c>
      <c r="J294">
        <v>6.2050000000000001E-2</v>
      </c>
      <c r="K294" t="s">
        <v>24</v>
      </c>
    </row>
    <row r="295" spans="1:11" x14ac:dyDescent="0.45">
      <c r="A295" t="s">
        <v>90</v>
      </c>
      <c r="B295" t="s">
        <v>1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2035</v>
      </c>
      <c r="J295">
        <v>7.0250000000000007E-2</v>
      </c>
      <c r="K295" t="s">
        <v>24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2040</v>
      </c>
      <c r="J296">
        <v>6.225E-2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2040</v>
      </c>
      <c r="J297">
        <v>5.8749999999999997E-2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2040</v>
      </c>
      <c r="J298">
        <v>6.93E-2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2040</v>
      </c>
      <c r="J299">
        <v>5.5849999999999997E-2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2040</v>
      </c>
      <c r="J300">
        <v>3.9699999999999999E-2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2040</v>
      </c>
      <c r="J301">
        <v>6.4750000000000002E-2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2040</v>
      </c>
      <c r="J302">
        <v>8.0699999999999994E-2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2045</v>
      </c>
      <c r="J303">
        <v>6.6349999999999992E-2</v>
      </c>
      <c r="K303" t="s">
        <v>24</v>
      </c>
    </row>
    <row r="304" spans="1:11" x14ac:dyDescent="0.45">
      <c r="A304" t="s">
        <v>90</v>
      </c>
      <c r="B304" t="s">
        <v>4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2045</v>
      </c>
      <c r="J304">
        <v>5.9200000000000003E-2</v>
      </c>
      <c r="K304" t="s">
        <v>24</v>
      </c>
    </row>
    <row r="305" spans="1:11" x14ac:dyDescent="0.45">
      <c r="A305" t="s">
        <v>90</v>
      </c>
      <c r="B305" t="s">
        <v>0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2045</v>
      </c>
      <c r="J305">
        <v>7.5249999999999997E-2</v>
      </c>
      <c r="K305" t="s">
        <v>24</v>
      </c>
    </row>
    <row r="306" spans="1:11" x14ac:dyDescent="0.45">
      <c r="A306" t="s">
        <v>90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2045</v>
      </c>
      <c r="J306">
        <v>5.9749999999999998E-2</v>
      </c>
      <c r="K306" t="s">
        <v>24</v>
      </c>
    </row>
    <row r="307" spans="1:11" x14ac:dyDescent="0.45">
      <c r="A307" t="s">
        <v>90</v>
      </c>
      <c r="B307" t="s">
        <v>5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3.7650000000000003E-2</v>
      </c>
      <c r="K307" t="s">
        <v>24</v>
      </c>
    </row>
    <row r="308" spans="1:11" x14ac:dyDescent="0.45">
      <c r="A308" t="s">
        <v>90</v>
      </c>
      <c r="B308" t="s">
        <v>2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6.6299999999999998E-2</v>
      </c>
      <c r="K308" t="s">
        <v>24</v>
      </c>
    </row>
    <row r="309" spans="1:11" x14ac:dyDescent="0.45">
      <c r="A309" t="s">
        <v>90</v>
      </c>
      <c r="B309" t="s">
        <v>1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2045</v>
      </c>
      <c r="J309">
        <v>7.9649999999999999E-2</v>
      </c>
      <c r="K309" t="s">
        <v>24</v>
      </c>
    </row>
    <row r="310" spans="1:11" x14ac:dyDescent="0.45">
      <c r="A310" t="s">
        <v>90</v>
      </c>
      <c r="B310" t="s">
        <v>3</v>
      </c>
      <c r="C310" t="s">
        <v>84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2050</v>
      </c>
      <c r="J310">
        <v>6.6299999999999998E-2</v>
      </c>
      <c r="K310" t="s">
        <v>24</v>
      </c>
    </row>
    <row r="311" spans="1:11" x14ac:dyDescent="0.45">
      <c r="A311" t="s">
        <v>90</v>
      </c>
      <c r="B311" t="s">
        <v>4</v>
      </c>
      <c r="C311" t="s">
        <v>84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2050</v>
      </c>
      <c r="J311">
        <v>6.0199999999999997E-2</v>
      </c>
      <c r="K311" t="s">
        <v>24</v>
      </c>
    </row>
    <row r="312" spans="1:11" x14ac:dyDescent="0.45">
      <c r="A312" t="s">
        <v>90</v>
      </c>
      <c r="B312" t="s">
        <v>0</v>
      </c>
      <c r="C312" t="s">
        <v>84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2050</v>
      </c>
      <c r="J312">
        <v>6.9550000000000001E-2</v>
      </c>
      <c r="K312" t="s">
        <v>24</v>
      </c>
    </row>
    <row r="313" spans="1:11" x14ac:dyDescent="0.45">
      <c r="A313" t="s">
        <v>90</v>
      </c>
      <c r="B313" t="s">
        <v>6</v>
      </c>
      <c r="C313" t="s">
        <v>84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2050</v>
      </c>
      <c r="J313">
        <v>6.1950000000000005E-2</v>
      </c>
      <c r="K313" t="s">
        <v>24</v>
      </c>
    </row>
    <row r="314" spans="1:11" x14ac:dyDescent="0.45">
      <c r="A314" t="s">
        <v>90</v>
      </c>
      <c r="B314" t="s">
        <v>5</v>
      </c>
      <c r="C314" t="s">
        <v>84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2050</v>
      </c>
      <c r="J314">
        <v>3.61E-2</v>
      </c>
      <c r="K314" t="s">
        <v>24</v>
      </c>
    </row>
    <row r="315" spans="1:11" x14ac:dyDescent="0.45">
      <c r="A315" t="s">
        <v>90</v>
      </c>
      <c r="B315" t="s">
        <v>2</v>
      </c>
      <c r="C315" t="s">
        <v>84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2050</v>
      </c>
      <c r="J315">
        <v>6.4149999999999999E-2</v>
      </c>
      <c r="K315" t="s">
        <v>24</v>
      </c>
    </row>
    <row r="316" spans="1:11" x14ac:dyDescent="0.45">
      <c r="A316" t="s">
        <v>90</v>
      </c>
      <c r="B316" t="s">
        <v>1</v>
      </c>
      <c r="C316" t="s">
        <v>84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2050</v>
      </c>
      <c r="J316">
        <v>7.5450000000000003E-2</v>
      </c>
      <c r="K316" t="s">
        <v>24</v>
      </c>
    </row>
    <row r="317" spans="1:11" x14ac:dyDescent="0.45">
      <c r="A317" t="s">
        <v>90</v>
      </c>
      <c r="B317" t="s">
        <v>3</v>
      </c>
      <c r="C317" t="s">
        <v>84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2055</v>
      </c>
      <c r="J317">
        <v>6.3200000000000006E-2</v>
      </c>
      <c r="K317" t="s">
        <v>24</v>
      </c>
    </row>
    <row r="318" spans="1:11" x14ac:dyDescent="0.45">
      <c r="A318" t="s">
        <v>90</v>
      </c>
      <c r="B318" t="s">
        <v>4</v>
      </c>
      <c r="C318" t="s">
        <v>84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2055</v>
      </c>
      <c r="J318">
        <v>5.7950000000000002E-2</v>
      </c>
      <c r="K318" t="s">
        <v>24</v>
      </c>
    </row>
    <row r="319" spans="1:11" x14ac:dyDescent="0.45">
      <c r="A319" t="s">
        <v>90</v>
      </c>
      <c r="B319" t="s">
        <v>0</v>
      </c>
      <c r="C319" t="s">
        <v>84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2055</v>
      </c>
      <c r="J319">
        <v>6.6349999999999992E-2</v>
      </c>
      <c r="K319" t="s">
        <v>24</v>
      </c>
    </row>
    <row r="320" spans="1:11" x14ac:dyDescent="0.45">
      <c r="A320" t="s">
        <v>90</v>
      </c>
      <c r="B320" t="s">
        <v>6</v>
      </c>
      <c r="C320" t="s">
        <v>84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2055</v>
      </c>
      <c r="J320">
        <v>6.1249999999999999E-2</v>
      </c>
      <c r="K320" t="s">
        <v>24</v>
      </c>
    </row>
    <row r="321" spans="1:11" x14ac:dyDescent="0.45">
      <c r="A321" t="s">
        <v>90</v>
      </c>
      <c r="B321" t="s">
        <v>5</v>
      </c>
      <c r="C321" t="s">
        <v>84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2055</v>
      </c>
      <c r="J321">
        <v>3.0249999999999999E-2</v>
      </c>
      <c r="K321" t="s">
        <v>24</v>
      </c>
    </row>
    <row r="322" spans="1:11" x14ac:dyDescent="0.45">
      <c r="A322" t="s">
        <v>90</v>
      </c>
      <c r="B322" t="s">
        <v>2</v>
      </c>
      <c r="C322" t="s">
        <v>84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2055</v>
      </c>
      <c r="J322">
        <v>6.0850000000000001E-2</v>
      </c>
      <c r="K322" t="s">
        <v>24</v>
      </c>
    </row>
    <row r="323" spans="1:11" x14ac:dyDescent="0.45">
      <c r="A323" t="s">
        <v>90</v>
      </c>
      <c r="B323" t="s">
        <v>1</v>
      </c>
      <c r="C323" t="s">
        <v>84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2055</v>
      </c>
      <c r="J323">
        <v>7.2050000000000003E-2</v>
      </c>
      <c r="K323" t="s">
        <v>24</v>
      </c>
    </row>
    <row r="324" spans="1:11" x14ac:dyDescent="0.45">
      <c r="A324" t="s">
        <v>90</v>
      </c>
      <c r="B324" t="s">
        <v>3</v>
      </c>
      <c r="C324" t="s">
        <v>84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2060</v>
      </c>
      <c r="J324">
        <v>5.7099999999999998E-2</v>
      </c>
      <c r="K324" t="s">
        <v>24</v>
      </c>
    </row>
    <row r="325" spans="1:11" x14ac:dyDescent="0.45">
      <c r="A325" t="s">
        <v>90</v>
      </c>
      <c r="B325" t="s">
        <v>4</v>
      </c>
      <c r="C325" t="s">
        <v>84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2060</v>
      </c>
      <c r="J325">
        <v>5.4300000000000001E-2</v>
      </c>
      <c r="K325" t="s">
        <v>24</v>
      </c>
    </row>
    <row r="326" spans="1:11" x14ac:dyDescent="0.45">
      <c r="A326" t="s">
        <v>90</v>
      </c>
      <c r="B326" t="s">
        <v>0</v>
      </c>
      <c r="C326" t="s">
        <v>84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2060</v>
      </c>
      <c r="J326">
        <v>5.8999999999999997E-2</v>
      </c>
      <c r="K326" t="s">
        <v>24</v>
      </c>
    </row>
    <row r="327" spans="1:11" x14ac:dyDescent="0.45">
      <c r="A327" t="s">
        <v>90</v>
      </c>
      <c r="B327" t="s">
        <v>6</v>
      </c>
      <c r="C327" t="s">
        <v>84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5.6050000000000003E-2</v>
      </c>
      <c r="K327" t="s">
        <v>24</v>
      </c>
    </row>
    <row r="328" spans="1:11" x14ac:dyDescent="0.45">
      <c r="A328" t="s">
        <v>90</v>
      </c>
      <c r="B328" t="s">
        <v>5</v>
      </c>
      <c r="C328" t="s">
        <v>84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2060</v>
      </c>
      <c r="J328">
        <v>2.6950000000000002E-2</v>
      </c>
      <c r="K328" t="s">
        <v>24</v>
      </c>
    </row>
    <row r="329" spans="1:11" x14ac:dyDescent="0.45">
      <c r="A329" t="s">
        <v>90</v>
      </c>
      <c r="B329" t="s">
        <v>2</v>
      </c>
      <c r="C329" t="s">
        <v>84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2060</v>
      </c>
      <c r="J329">
        <v>5.5449999999999999E-2</v>
      </c>
      <c r="K329" t="s">
        <v>24</v>
      </c>
    </row>
    <row r="330" spans="1:11" x14ac:dyDescent="0.45">
      <c r="A330" t="s">
        <v>90</v>
      </c>
      <c r="B330" t="s">
        <v>1</v>
      </c>
      <c r="C330" t="s">
        <v>84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2060</v>
      </c>
      <c r="J330">
        <v>6.7400000000000002E-2</v>
      </c>
      <c r="K330" t="s">
        <v>24</v>
      </c>
    </row>
    <row r="331" spans="1:11" x14ac:dyDescent="0.45">
      <c r="A331" t="s">
        <v>90</v>
      </c>
      <c r="B331" t="s">
        <v>3</v>
      </c>
      <c r="C331" t="s">
        <v>84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2065</v>
      </c>
      <c r="J331">
        <v>5.5349999999999996E-2</v>
      </c>
      <c r="K331" t="s">
        <v>24</v>
      </c>
    </row>
    <row r="332" spans="1:11" x14ac:dyDescent="0.45">
      <c r="A332" t="s">
        <v>90</v>
      </c>
      <c r="B332" t="s">
        <v>4</v>
      </c>
      <c r="C332" t="s">
        <v>84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2065</v>
      </c>
      <c r="J332">
        <v>5.3099999999999994E-2</v>
      </c>
      <c r="K332" t="s">
        <v>24</v>
      </c>
    </row>
    <row r="333" spans="1:11" x14ac:dyDescent="0.45">
      <c r="A333" t="s">
        <v>90</v>
      </c>
      <c r="B333" t="s">
        <v>0</v>
      </c>
      <c r="C333" t="s">
        <v>84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2065</v>
      </c>
      <c r="J333">
        <v>5.6750000000000002E-2</v>
      </c>
      <c r="K333" t="s">
        <v>24</v>
      </c>
    </row>
    <row r="334" spans="1:11" x14ac:dyDescent="0.45">
      <c r="A334" t="s">
        <v>90</v>
      </c>
      <c r="B334" t="s">
        <v>6</v>
      </c>
      <c r="C334" t="s">
        <v>84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2065</v>
      </c>
      <c r="J334">
        <v>5.4849999999999996E-2</v>
      </c>
      <c r="K334" t="s">
        <v>24</v>
      </c>
    </row>
    <row r="335" spans="1:11" x14ac:dyDescent="0.45">
      <c r="A335" t="s">
        <v>90</v>
      </c>
      <c r="B335" t="s">
        <v>5</v>
      </c>
      <c r="C335" t="s">
        <v>84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2065</v>
      </c>
      <c r="J335">
        <v>2.6249999999999999E-2</v>
      </c>
      <c r="K335" t="s">
        <v>24</v>
      </c>
    </row>
    <row r="336" spans="1:11" x14ac:dyDescent="0.45">
      <c r="A336" t="s">
        <v>90</v>
      </c>
      <c r="B336" t="s">
        <v>2</v>
      </c>
      <c r="C336" t="s">
        <v>84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2065</v>
      </c>
      <c r="J336">
        <v>5.4150000000000004E-2</v>
      </c>
      <c r="K336" t="s">
        <v>24</v>
      </c>
    </row>
    <row r="337" spans="1:11" x14ac:dyDescent="0.45">
      <c r="A337" t="s">
        <v>90</v>
      </c>
      <c r="B337" t="s">
        <v>1</v>
      </c>
      <c r="C337" t="s">
        <v>84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2065</v>
      </c>
      <c r="J337">
        <v>6.5849999999999992E-2</v>
      </c>
      <c r="K337" t="s">
        <v>24</v>
      </c>
    </row>
    <row r="338" spans="1:11" x14ac:dyDescent="0.45">
      <c r="A338" t="s">
        <v>90</v>
      </c>
      <c r="B338" t="s">
        <v>3</v>
      </c>
      <c r="C338" t="s">
        <v>84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2070</v>
      </c>
      <c r="J338">
        <v>5.3599999999999995E-2</v>
      </c>
      <c r="K338" t="s">
        <v>24</v>
      </c>
    </row>
    <row r="339" spans="1:11" x14ac:dyDescent="0.45">
      <c r="A339" t="s">
        <v>90</v>
      </c>
      <c r="B339" t="s">
        <v>4</v>
      </c>
      <c r="C339" t="s">
        <v>84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2070</v>
      </c>
      <c r="J339">
        <v>5.1999999999999998E-2</v>
      </c>
      <c r="K339" t="s">
        <v>24</v>
      </c>
    </row>
    <row r="340" spans="1:11" x14ac:dyDescent="0.45">
      <c r="A340" t="s">
        <v>90</v>
      </c>
      <c r="B340" t="s">
        <v>0</v>
      </c>
      <c r="C340" t="s">
        <v>84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2070</v>
      </c>
      <c r="J340">
        <v>5.45E-2</v>
      </c>
      <c r="K340" t="s">
        <v>24</v>
      </c>
    </row>
    <row r="341" spans="1:11" x14ac:dyDescent="0.45">
      <c r="A341" t="s">
        <v>90</v>
      </c>
      <c r="B341" t="s">
        <v>6</v>
      </c>
      <c r="C341" t="s">
        <v>84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2070</v>
      </c>
      <c r="J341">
        <v>5.3600000000000002E-2</v>
      </c>
      <c r="K341" t="s">
        <v>24</v>
      </c>
    </row>
    <row r="342" spans="1:11" x14ac:dyDescent="0.45">
      <c r="A342" t="s">
        <v>90</v>
      </c>
      <c r="B342" t="s">
        <v>5</v>
      </c>
      <c r="C342" t="s">
        <v>84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2070</v>
      </c>
      <c r="J342">
        <v>2.5500000000000002E-2</v>
      </c>
      <c r="K342" t="s">
        <v>24</v>
      </c>
    </row>
    <row r="343" spans="1:11" x14ac:dyDescent="0.45">
      <c r="A343" t="s">
        <v>90</v>
      </c>
      <c r="B343" t="s">
        <v>2</v>
      </c>
      <c r="C343" t="s">
        <v>84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2070</v>
      </c>
      <c r="J343">
        <v>5.2900000000000003E-2</v>
      </c>
      <c r="K343" t="s">
        <v>24</v>
      </c>
    </row>
    <row r="344" spans="1:11" x14ac:dyDescent="0.45">
      <c r="A344" t="s">
        <v>90</v>
      </c>
      <c r="B344" t="s">
        <v>1</v>
      </c>
      <c r="C344" t="s">
        <v>84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2070</v>
      </c>
      <c r="J344">
        <v>6.4149999999999999E-2</v>
      </c>
      <c r="K344" t="s">
        <v>24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2075</v>
      </c>
      <c r="J345">
        <v>5.2150000000000002E-2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2075</v>
      </c>
      <c r="J346">
        <v>5.015E-2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5.3150000000000003E-2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2075</v>
      </c>
      <c r="J348">
        <v>5.2049999999999999E-2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2075</v>
      </c>
      <c r="J349">
        <v>2.52E-2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2075</v>
      </c>
      <c r="J350">
        <v>5.1049999999999998E-2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2075</v>
      </c>
      <c r="J351">
        <v>6.225E-2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2080</v>
      </c>
      <c r="J352">
        <v>5.0799999999999998E-2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2080</v>
      </c>
      <c r="J353">
        <v>4.82E-2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2080</v>
      </c>
      <c r="J354">
        <v>5.1999999999999998E-2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2080</v>
      </c>
      <c r="J355">
        <v>5.0600000000000006E-2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2080</v>
      </c>
      <c r="J356">
        <v>2.4850000000000001E-2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2080</v>
      </c>
      <c r="J357">
        <v>4.9000000000000002E-2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2080</v>
      </c>
      <c r="J358">
        <v>6.0450000000000004E-2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2085</v>
      </c>
      <c r="J359">
        <v>4.9049999999999996E-2</v>
      </c>
      <c r="K359" t="s">
        <v>24</v>
      </c>
    </row>
    <row r="360" spans="1:11" x14ac:dyDescent="0.45">
      <c r="A360" t="s">
        <v>90</v>
      </c>
      <c r="B360" t="s">
        <v>4</v>
      </c>
      <c r="C360" t="s">
        <v>84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2085</v>
      </c>
      <c r="J360">
        <v>4.6100000000000002E-2</v>
      </c>
      <c r="K360" t="s">
        <v>24</v>
      </c>
    </row>
    <row r="361" spans="1:11" x14ac:dyDescent="0.45">
      <c r="A361" t="s">
        <v>90</v>
      </c>
      <c r="B361" t="s">
        <v>0</v>
      </c>
      <c r="C361" t="s">
        <v>84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2085</v>
      </c>
      <c r="J361">
        <v>4.9950000000000001E-2</v>
      </c>
      <c r="K361" t="s">
        <v>24</v>
      </c>
    </row>
    <row r="362" spans="1:11" x14ac:dyDescent="0.45">
      <c r="A362" t="s">
        <v>90</v>
      </c>
      <c r="B362" t="s">
        <v>6</v>
      </c>
      <c r="C362" t="s">
        <v>84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2085</v>
      </c>
      <c r="J362">
        <v>4.8299999999999996E-2</v>
      </c>
      <c r="K362" t="s">
        <v>24</v>
      </c>
    </row>
    <row r="363" spans="1:11" x14ac:dyDescent="0.45">
      <c r="A363" t="s">
        <v>90</v>
      </c>
      <c r="B363" t="s">
        <v>5</v>
      </c>
      <c r="C363" t="s">
        <v>84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2085</v>
      </c>
      <c r="J363">
        <v>2.4599999999999997E-2</v>
      </c>
      <c r="K363" t="s">
        <v>24</v>
      </c>
    </row>
    <row r="364" spans="1:11" x14ac:dyDescent="0.45">
      <c r="A364" t="s">
        <v>90</v>
      </c>
      <c r="B364" t="s">
        <v>2</v>
      </c>
      <c r="C364" t="s">
        <v>84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2085</v>
      </c>
      <c r="J364">
        <v>4.6600000000000003E-2</v>
      </c>
      <c r="K364" t="s">
        <v>24</v>
      </c>
    </row>
    <row r="365" spans="1:11" x14ac:dyDescent="0.45">
      <c r="A365" t="s">
        <v>90</v>
      </c>
      <c r="B365" t="s">
        <v>1</v>
      </c>
      <c r="C365" t="s">
        <v>84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2085</v>
      </c>
      <c r="J365">
        <v>5.8499999999999996E-2</v>
      </c>
      <c r="K365" t="s">
        <v>24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2090</v>
      </c>
      <c r="J366">
        <v>4.7299999999999995E-2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4.41E-2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2090</v>
      </c>
      <c r="J368">
        <v>4.7750000000000001E-2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2090</v>
      </c>
      <c r="J369">
        <v>4.58E-2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2090</v>
      </c>
      <c r="J370">
        <v>2.4500000000000001E-2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2090</v>
      </c>
      <c r="J371">
        <v>4.4399999999999995E-2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2090</v>
      </c>
      <c r="J372">
        <v>5.6649999999999999E-2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2095</v>
      </c>
      <c r="J373">
        <v>4.4549999999999999E-2</v>
      </c>
      <c r="K373" t="s">
        <v>24</v>
      </c>
    </row>
    <row r="374" spans="1:11" x14ac:dyDescent="0.45">
      <c r="A374" t="s">
        <v>90</v>
      </c>
      <c r="B374" t="s">
        <v>4</v>
      </c>
      <c r="C374" t="s">
        <v>84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2095</v>
      </c>
      <c r="J374">
        <v>4.2049999999999997E-2</v>
      </c>
      <c r="K374" t="s">
        <v>24</v>
      </c>
    </row>
    <row r="375" spans="1:11" x14ac:dyDescent="0.45">
      <c r="A375" t="s">
        <v>90</v>
      </c>
      <c r="B375" t="s">
        <v>0</v>
      </c>
      <c r="C375" t="s">
        <v>84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2095</v>
      </c>
      <c r="J375">
        <v>4.4999999999999998E-2</v>
      </c>
      <c r="K375" t="s">
        <v>24</v>
      </c>
    </row>
    <row r="376" spans="1:11" x14ac:dyDescent="0.45">
      <c r="A376" t="s">
        <v>90</v>
      </c>
      <c r="B376" t="s">
        <v>6</v>
      </c>
      <c r="C376" t="s">
        <v>84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2095</v>
      </c>
      <c r="J376">
        <v>4.3450000000000003E-2</v>
      </c>
      <c r="K376" t="s">
        <v>24</v>
      </c>
    </row>
    <row r="377" spans="1:11" x14ac:dyDescent="0.45">
      <c r="A377" t="s">
        <v>90</v>
      </c>
      <c r="B377" t="s">
        <v>5</v>
      </c>
      <c r="C377" t="s">
        <v>84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2095</v>
      </c>
      <c r="J377">
        <v>2.3899999999999998E-2</v>
      </c>
      <c r="K377" t="s">
        <v>24</v>
      </c>
    </row>
    <row r="378" spans="1:11" x14ac:dyDescent="0.45">
      <c r="A378" t="s">
        <v>90</v>
      </c>
      <c r="B378" t="s">
        <v>2</v>
      </c>
      <c r="C378" t="s">
        <v>84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2095</v>
      </c>
      <c r="J378">
        <v>4.2349999999999999E-2</v>
      </c>
      <c r="K378" t="s">
        <v>24</v>
      </c>
    </row>
    <row r="379" spans="1:11" x14ac:dyDescent="0.45">
      <c r="A379" t="s">
        <v>90</v>
      </c>
      <c r="B379" t="s">
        <v>1</v>
      </c>
      <c r="C379" t="s">
        <v>84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2095</v>
      </c>
      <c r="J379">
        <v>5.33E-2</v>
      </c>
      <c r="K379" t="s">
        <v>24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2100</v>
      </c>
      <c r="J380">
        <v>4.1849999999999998E-2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2100</v>
      </c>
      <c r="J381">
        <v>3.9849999999999997E-2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2100</v>
      </c>
      <c r="J382">
        <v>4.2249999999999996E-2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2100</v>
      </c>
      <c r="J383">
        <v>4.1150000000000006E-2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2100</v>
      </c>
      <c r="J384">
        <v>2.3350000000000003E-2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2100</v>
      </c>
      <c r="J385">
        <v>4.0250000000000001E-2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4.99E-2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0.11885000000000001</v>
      </c>
      <c r="K387" t="s">
        <v>28</v>
      </c>
    </row>
    <row r="388" spans="1:11" x14ac:dyDescent="0.45">
      <c r="A388" t="s">
        <v>90</v>
      </c>
      <c r="B388" t="s">
        <v>4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2020</v>
      </c>
      <c r="J388">
        <v>0.11995</v>
      </c>
      <c r="K388" t="s">
        <v>28</v>
      </c>
    </row>
    <row r="389" spans="1:11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2020</v>
      </c>
      <c r="J389">
        <v>0.12079999999999999</v>
      </c>
      <c r="K389" t="s">
        <v>28</v>
      </c>
    </row>
    <row r="390" spans="1:11" x14ac:dyDescent="0.45">
      <c r="A390" t="s">
        <v>90</v>
      </c>
      <c r="B390" t="s">
        <v>6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2020</v>
      </c>
      <c r="J390">
        <v>0.11890000000000001</v>
      </c>
      <c r="K390" t="s">
        <v>28</v>
      </c>
    </row>
    <row r="391" spans="1:11" x14ac:dyDescent="0.45">
      <c r="A391" t="s">
        <v>90</v>
      </c>
      <c r="B391" t="s">
        <v>5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2020</v>
      </c>
      <c r="J391">
        <v>0.12139999999999999</v>
      </c>
      <c r="K391" t="s">
        <v>28</v>
      </c>
    </row>
    <row r="392" spans="1:11" x14ac:dyDescent="0.45">
      <c r="A392" t="s">
        <v>90</v>
      </c>
      <c r="B392" t="s">
        <v>2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2020</v>
      </c>
      <c r="J392">
        <v>0.1176</v>
      </c>
      <c r="K392" t="s">
        <v>28</v>
      </c>
    </row>
    <row r="393" spans="1:11" x14ac:dyDescent="0.45">
      <c r="A393" t="s">
        <v>90</v>
      </c>
      <c r="B393" t="s">
        <v>1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2020</v>
      </c>
      <c r="J393">
        <v>0.11890000000000001</v>
      </c>
      <c r="K393" t="s">
        <v>28</v>
      </c>
    </row>
    <row r="394" spans="1:11" x14ac:dyDescent="0.45">
      <c r="A394" t="s">
        <v>90</v>
      </c>
      <c r="B394" t="s">
        <v>3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2025</v>
      </c>
      <c r="J394">
        <v>0.15089999999999998</v>
      </c>
      <c r="K394" t="s">
        <v>28</v>
      </c>
    </row>
    <row r="395" spans="1:11" x14ac:dyDescent="0.45">
      <c r="A395" t="s">
        <v>90</v>
      </c>
      <c r="B395" t="s">
        <v>4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2025</v>
      </c>
      <c r="J395">
        <v>0.15134999999999998</v>
      </c>
      <c r="K395" t="s">
        <v>28</v>
      </c>
    </row>
    <row r="396" spans="1:11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2025</v>
      </c>
      <c r="J396">
        <v>0.1522</v>
      </c>
      <c r="K396" t="s">
        <v>28</v>
      </c>
    </row>
    <row r="397" spans="1:11" x14ac:dyDescent="0.45">
      <c r="A397" t="s">
        <v>90</v>
      </c>
      <c r="B397" t="s">
        <v>6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2025</v>
      </c>
      <c r="J397">
        <v>0.15015000000000001</v>
      </c>
      <c r="K397" t="s">
        <v>28</v>
      </c>
    </row>
    <row r="398" spans="1:11" x14ac:dyDescent="0.45">
      <c r="A398" t="s">
        <v>90</v>
      </c>
      <c r="B398" t="s">
        <v>5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2025</v>
      </c>
      <c r="J398">
        <v>0.15145</v>
      </c>
      <c r="K398" t="s">
        <v>28</v>
      </c>
    </row>
    <row r="399" spans="1:11" x14ac:dyDescent="0.45">
      <c r="A399" t="s">
        <v>90</v>
      </c>
      <c r="B399" t="s">
        <v>2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2025</v>
      </c>
      <c r="J399">
        <v>0.15055000000000002</v>
      </c>
      <c r="K399" t="s">
        <v>28</v>
      </c>
    </row>
    <row r="400" spans="1:11" x14ac:dyDescent="0.45">
      <c r="A400" t="s">
        <v>90</v>
      </c>
      <c r="B400" t="s">
        <v>1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2025</v>
      </c>
      <c r="J400">
        <v>0.15100000000000002</v>
      </c>
      <c r="K400" t="s">
        <v>28</v>
      </c>
    </row>
    <row r="401" spans="1:11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2030</v>
      </c>
      <c r="J401">
        <v>0.1822</v>
      </c>
      <c r="K401" t="s">
        <v>28</v>
      </c>
    </row>
    <row r="402" spans="1:11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2030</v>
      </c>
      <c r="J402">
        <v>0.18245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2030</v>
      </c>
      <c r="J403">
        <v>0.18379999999999999</v>
      </c>
      <c r="K403" t="s">
        <v>28</v>
      </c>
    </row>
    <row r="404" spans="1:11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2030</v>
      </c>
      <c r="J404">
        <v>0.18190000000000001</v>
      </c>
      <c r="K404" t="s">
        <v>28</v>
      </c>
    </row>
    <row r="405" spans="1:11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0.17115</v>
      </c>
      <c r="K405" t="s">
        <v>28</v>
      </c>
    </row>
    <row r="406" spans="1:11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0.18025000000000002</v>
      </c>
      <c r="K406" t="s">
        <v>28</v>
      </c>
    </row>
    <row r="407" spans="1:11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2030</v>
      </c>
      <c r="J407">
        <v>0.1802</v>
      </c>
      <c r="K407" t="s">
        <v>28</v>
      </c>
    </row>
    <row r="408" spans="1:11" x14ac:dyDescent="0.45">
      <c r="A408" t="s">
        <v>90</v>
      </c>
      <c r="B408" t="s">
        <v>3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2035</v>
      </c>
      <c r="J408">
        <v>0.21134999999999998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2035</v>
      </c>
      <c r="J409">
        <v>0.20165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2035</v>
      </c>
      <c r="J410">
        <v>0.20924999999999999</v>
      </c>
      <c r="K410" t="s">
        <v>28</v>
      </c>
    </row>
    <row r="411" spans="1:11" x14ac:dyDescent="0.45">
      <c r="A411" t="s">
        <v>90</v>
      </c>
      <c r="B411" t="s">
        <v>6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0.20824999999999999</v>
      </c>
      <c r="K411" t="s">
        <v>28</v>
      </c>
    </row>
    <row r="412" spans="1:11" x14ac:dyDescent="0.45">
      <c r="A412" t="s">
        <v>90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2035</v>
      </c>
      <c r="J412">
        <v>0.19795000000000001</v>
      </c>
      <c r="K412" t="s">
        <v>28</v>
      </c>
    </row>
    <row r="413" spans="1:11" x14ac:dyDescent="0.45">
      <c r="A413" t="s">
        <v>90</v>
      </c>
      <c r="B413" t="s">
        <v>2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2035</v>
      </c>
      <c r="J413">
        <v>0.2104</v>
      </c>
      <c r="K413" t="s">
        <v>28</v>
      </c>
    </row>
    <row r="414" spans="1:11" x14ac:dyDescent="0.45">
      <c r="A414" t="s">
        <v>90</v>
      </c>
      <c r="B414" t="s">
        <v>1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2035</v>
      </c>
      <c r="J414">
        <v>0.22885</v>
      </c>
      <c r="K414" t="s">
        <v>28</v>
      </c>
    </row>
    <row r="415" spans="1:11" x14ac:dyDescent="0.45">
      <c r="A415" t="s">
        <v>90</v>
      </c>
      <c r="B415" t="s">
        <v>3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2040</v>
      </c>
      <c r="J415">
        <v>0.21934999999999999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2040</v>
      </c>
      <c r="J416">
        <v>0.20800000000000002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2040</v>
      </c>
      <c r="J417">
        <v>0.22705</v>
      </c>
      <c r="K417" t="s">
        <v>28</v>
      </c>
    </row>
    <row r="418" spans="1:11" x14ac:dyDescent="0.45">
      <c r="A418" t="s">
        <v>90</v>
      </c>
      <c r="B418" t="s">
        <v>6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2040</v>
      </c>
      <c r="J418">
        <v>0.21815000000000001</v>
      </c>
      <c r="K418" t="s">
        <v>28</v>
      </c>
    </row>
    <row r="419" spans="1:11" x14ac:dyDescent="0.45">
      <c r="A419" t="s">
        <v>90</v>
      </c>
      <c r="B419" t="s">
        <v>5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2040</v>
      </c>
      <c r="J419">
        <v>0.20524999999999999</v>
      </c>
      <c r="K419" t="s">
        <v>28</v>
      </c>
    </row>
    <row r="420" spans="1:11" x14ac:dyDescent="0.45">
      <c r="A420" t="s">
        <v>90</v>
      </c>
      <c r="B420" t="s">
        <v>2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2040</v>
      </c>
      <c r="J420">
        <v>0.22209999999999999</v>
      </c>
      <c r="K420" t="s">
        <v>28</v>
      </c>
    </row>
    <row r="421" spans="1:11" x14ac:dyDescent="0.45">
      <c r="A421" t="s">
        <v>90</v>
      </c>
      <c r="B421" t="s">
        <v>1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2040</v>
      </c>
      <c r="J421">
        <v>0.24929999999999999</v>
      </c>
      <c r="K421" t="s">
        <v>28</v>
      </c>
    </row>
    <row r="422" spans="1:11" x14ac:dyDescent="0.45">
      <c r="A422" t="s">
        <v>90</v>
      </c>
      <c r="B422" t="s">
        <v>3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2045</v>
      </c>
      <c r="J422">
        <v>0.21865000000000001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2045</v>
      </c>
      <c r="J423">
        <v>0.20014999999999999</v>
      </c>
      <c r="K423" t="s">
        <v>28</v>
      </c>
    </row>
    <row r="424" spans="1:11" x14ac:dyDescent="0.45">
      <c r="A424" t="s">
        <v>90</v>
      </c>
      <c r="B424" t="s">
        <v>0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2045</v>
      </c>
      <c r="J424">
        <v>0.2394</v>
      </c>
      <c r="K424" t="s">
        <v>28</v>
      </c>
    </row>
    <row r="425" spans="1:11" x14ac:dyDescent="0.45">
      <c r="A425" t="s">
        <v>90</v>
      </c>
      <c r="B425" t="s">
        <v>6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2045</v>
      </c>
      <c r="J425">
        <v>0.2198</v>
      </c>
      <c r="K425" t="s">
        <v>28</v>
      </c>
    </row>
    <row r="426" spans="1:11" x14ac:dyDescent="0.45">
      <c r="A426" t="s">
        <v>90</v>
      </c>
      <c r="B426" t="s">
        <v>5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0.1993</v>
      </c>
      <c r="K426" t="s">
        <v>28</v>
      </c>
    </row>
    <row r="427" spans="1:11" x14ac:dyDescent="0.45">
      <c r="A427" t="s">
        <v>90</v>
      </c>
      <c r="B427" t="s">
        <v>2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2045</v>
      </c>
      <c r="J427">
        <v>0.21534999999999999</v>
      </c>
      <c r="K427" t="s">
        <v>28</v>
      </c>
    </row>
    <row r="428" spans="1:11" x14ac:dyDescent="0.45">
      <c r="A428" t="s">
        <v>90</v>
      </c>
      <c r="B428" t="s">
        <v>1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2045</v>
      </c>
      <c r="J428">
        <v>0.23615</v>
      </c>
      <c r="K428" t="s">
        <v>28</v>
      </c>
    </row>
    <row r="429" spans="1:11" x14ac:dyDescent="0.45">
      <c r="A429" t="s">
        <v>90</v>
      </c>
      <c r="B429" t="s">
        <v>3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2050</v>
      </c>
      <c r="J429">
        <v>0.20569999999999999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2050</v>
      </c>
      <c r="J430">
        <v>0.18980000000000002</v>
      </c>
      <c r="K430" t="s">
        <v>28</v>
      </c>
    </row>
    <row r="431" spans="1:11" x14ac:dyDescent="0.45">
      <c r="A431" t="s">
        <v>90</v>
      </c>
      <c r="B431" t="s">
        <v>0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2050</v>
      </c>
      <c r="J431">
        <v>0.21825</v>
      </c>
      <c r="K431" t="s">
        <v>28</v>
      </c>
    </row>
    <row r="432" spans="1:11" x14ac:dyDescent="0.45">
      <c r="A432" t="s">
        <v>90</v>
      </c>
      <c r="B432" t="s">
        <v>6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2050</v>
      </c>
      <c r="J432">
        <v>0.20235</v>
      </c>
      <c r="K432" t="s">
        <v>28</v>
      </c>
    </row>
    <row r="433" spans="1:11" x14ac:dyDescent="0.45">
      <c r="A433" t="s">
        <v>90</v>
      </c>
      <c r="B433" t="s">
        <v>5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2050</v>
      </c>
      <c r="J433">
        <v>0.18509999999999999</v>
      </c>
      <c r="K433" t="s">
        <v>28</v>
      </c>
    </row>
    <row r="434" spans="1:11" x14ac:dyDescent="0.45">
      <c r="A434" t="s">
        <v>90</v>
      </c>
      <c r="B434" t="s">
        <v>2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2050</v>
      </c>
      <c r="J434">
        <v>0.19964999999999999</v>
      </c>
      <c r="K434" t="s">
        <v>28</v>
      </c>
    </row>
    <row r="435" spans="1:11" x14ac:dyDescent="0.45">
      <c r="A435" t="s">
        <v>90</v>
      </c>
      <c r="B435" t="s">
        <v>1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2050</v>
      </c>
      <c r="J435">
        <v>0.2127</v>
      </c>
      <c r="K435" t="s">
        <v>28</v>
      </c>
    </row>
    <row r="436" spans="1:11" x14ac:dyDescent="0.45">
      <c r="A436" t="s">
        <v>90</v>
      </c>
      <c r="B436" t="s">
        <v>3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2055</v>
      </c>
      <c r="J436">
        <v>0.18004999999999999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2055</v>
      </c>
      <c r="J437">
        <v>0.16889999999999999</v>
      </c>
      <c r="K437" t="s">
        <v>28</v>
      </c>
    </row>
    <row r="438" spans="1:11" x14ac:dyDescent="0.45">
      <c r="A438" t="s">
        <v>90</v>
      </c>
      <c r="B438" t="s">
        <v>0</v>
      </c>
      <c r="C438" t="s">
        <v>84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2055</v>
      </c>
      <c r="J438">
        <v>0.18784999999999999</v>
      </c>
      <c r="K438" t="s">
        <v>28</v>
      </c>
    </row>
    <row r="439" spans="1:11" x14ac:dyDescent="0.45">
      <c r="A439" t="s">
        <v>90</v>
      </c>
      <c r="B439" t="s">
        <v>6</v>
      </c>
      <c r="C439" t="s">
        <v>84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2055</v>
      </c>
      <c r="J439">
        <v>0.17725000000000002</v>
      </c>
      <c r="K439" t="s">
        <v>28</v>
      </c>
    </row>
    <row r="440" spans="1:11" x14ac:dyDescent="0.45">
      <c r="A440" t="s">
        <v>90</v>
      </c>
      <c r="B440" t="s">
        <v>5</v>
      </c>
      <c r="C440" t="s">
        <v>84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2055</v>
      </c>
      <c r="J440">
        <v>0.16060000000000002</v>
      </c>
      <c r="K440" t="s">
        <v>28</v>
      </c>
    </row>
    <row r="441" spans="1:11" x14ac:dyDescent="0.45">
      <c r="A441" t="s">
        <v>90</v>
      </c>
      <c r="B441" t="s">
        <v>2</v>
      </c>
      <c r="C441" t="s">
        <v>84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2055</v>
      </c>
      <c r="J441">
        <v>0.17504999999999998</v>
      </c>
      <c r="K441" t="s">
        <v>28</v>
      </c>
    </row>
    <row r="442" spans="1:11" x14ac:dyDescent="0.45">
      <c r="A442" t="s">
        <v>90</v>
      </c>
      <c r="B442" t="s">
        <v>1</v>
      </c>
      <c r="C442" t="s">
        <v>84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2055</v>
      </c>
      <c r="J442">
        <v>0.18654999999999999</v>
      </c>
      <c r="K442" t="s">
        <v>28</v>
      </c>
    </row>
    <row r="443" spans="1:11" x14ac:dyDescent="0.45">
      <c r="A443" t="s">
        <v>90</v>
      </c>
      <c r="B443" t="s">
        <v>3</v>
      </c>
      <c r="C443" t="s">
        <v>84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2060</v>
      </c>
      <c r="J443">
        <v>0.17454999999999998</v>
      </c>
      <c r="K443" t="s">
        <v>28</v>
      </c>
    </row>
    <row r="444" spans="1:11" x14ac:dyDescent="0.45">
      <c r="A444" t="s">
        <v>90</v>
      </c>
      <c r="B444" t="s">
        <v>4</v>
      </c>
      <c r="C444" t="s">
        <v>84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2060</v>
      </c>
      <c r="J444">
        <v>0.16389999999999999</v>
      </c>
      <c r="K444" t="s">
        <v>28</v>
      </c>
    </row>
    <row r="445" spans="1:11" x14ac:dyDescent="0.45">
      <c r="A445" t="s">
        <v>90</v>
      </c>
      <c r="B445" t="s">
        <v>0</v>
      </c>
      <c r="C445" t="s">
        <v>84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2060</v>
      </c>
      <c r="J445">
        <v>0.17674999999999999</v>
      </c>
      <c r="K445" t="s">
        <v>28</v>
      </c>
    </row>
    <row r="446" spans="1:11" x14ac:dyDescent="0.45">
      <c r="A446" t="s">
        <v>90</v>
      </c>
      <c r="B446" t="s">
        <v>6</v>
      </c>
      <c r="C446" t="s">
        <v>84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0.17070000000000002</v>
      </c>
      <c r="K446" t="s">
        <v>28</v>
      </c>
    </row>
    <row r="447" spans="1:11" x14ac:dyDescent="0.45">
      <c r="A447" t="s">
        <v>90</v>
      </c>
      <c r="B447" t="s">
        <v>5</v>
      </c>
      <c r="C447" t="s">
        <v>84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2060</v>
      </c>
      <c r="J447">
        <v>0.15175</v>
      </c>
      <c r="K447" t="s">
        <v>28</v>
      </c>
    </row>
    <row r="448" spans="1:11" x14ac:dyDescent="0.45">
      <c r="A448" t="s">
        <v>90</v>
      </c>
      <c r="B448" t="s">
        <v>2</v>
      </c>
      <c r="C448" t="s">
        <v>84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2060</v>
      </c>
      <c r="J448">
        <v>0.1701</v>
      </c>
      <c r="K448" t="s">
        <v>28</v>
      </c>
    </row>
    <row r="449" spans="1:11" x14ac:dyDescent="0.45">
      <c r="A449" t="s">
        <v>90</v>
      </c>
      <c r="B449" t="s">
        <v>1</v>
      </c>
      <c r="C449" t="s">
        <v>84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2060</v>
      </c>
      <c r="J449">
        <v>0.18215000000000001</v>
      </c>
      <c r="K449" t="s">
        <v>28</v>
      </c>
    </row>
    <row r="450" spans="1:11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2065</v>
      </c>
      <c r="J450">
        <v>0.1696</v>
      </c>
      <c r="K450" t="s">
        <v>28</v>
      </c>
    </row>
    <row r="451" spans="1:11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2065</v>
      </c>
      <c r="J451">
        <v>0.16125</v>
      </c>
      <c r="K451" t="s">
        <v>28</v>
      </c>
    </row>
    <row r="452" spans="1:11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2065</v>
      </c>
      <c r="J452">
        <v>0.17099999999999999</v>
      </c>
      <c r="K452" t="s">
        <v>28</v>
      </c>
    </row>
    <row r="453" spans="1:11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2065</v>
      </c>
      <c r="J453">
        <v>0.1661</v>
      </c>
      <c r="K453" t="s">
        <v>28</v>
      </c>
    </row>
    <row r="454" spans="1:11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2065</v>
      </c>
      <c r="J454">
        <v>0.14849999999999999</v>
      </c>
      <c r="K454" t="s">
        <v>28</v>
      </c>
    </row>
    <row r="455" spans="1:11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2065</v>
      </c>
      <c r="J455">
        <v>0.16605</v>
      </c>
      <c r="K455" t="s">
        <v>28</v>
      </c>
    </row>
    <row r="456" spans="1:11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2065</v>
      </c>
      <c r="J456">
        <v>0.17530000000000001</v>
      </c>
      <c r="K456" t="s">
        <v>28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2070</v>
      </c>
      <c r="J457">
        <v>0.16570000000000001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2070</v>
      </c>
      <c r="J458">
        <v>0.15905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2070</v>
      </c>
      <c r="J459">
        <v>0.16625000000000001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2070</v>
      </c>
      <c r="J460">
        <v>0.16244999999999998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2070</v>
      </c>
      <c r="J461">
        <v>0.14584999999999998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2070</v>
      </c>
      <c r="J462">
        <v>0.16284999999999999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2070</v>
      </c>
      <c r="J463">
        <v>0.16944999999999999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2075</v>
      </c>
      <c r="J464">
        <v>0.16885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2075</v>
      </c>
      <c r="J465">
        <v>0.16194999999999998</v>
      </c>
      <c r="K465" t="s">
        <v>28</v>
      </c>
    </row>
    <row r="466" spans="1:11" x14ac:dyDescent="0.45">
      <c r="A466" t="s">
        <v>90</v>
      </c>
      <c r="B466" t="s">
        <v>0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0.16849999999999998</v>
      </c>
      <c r="K466" t="s">
        <v>28</v>
      </c>
    </row>
    <row r="467" spans="1:11" x14ac:dyDescent="0.45">
      <c r="A467" t="s">
        <v>90</v>
      </c>
      <c r="B467" t="s">
        <v>6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2075</v>
      </c>
      <c r="J467">
        <v>0.16489999999999999</v>
      </c>
      <c r="K467" t="s">
        <v>28</v>
      </c>
    </row>
    <row r="468" spans="1:11" x14ac:dyDescent="0.45">
      <c r="A468" t="s">
        <v>90</v>
      </c>
      <c r="B468" t="s">
        <v>5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2075</v>
      </c>
      <c r="J468">
        <v>0.15034999999999998</v>
      </c>
      <c r="K468" t="s">
        <v>28</v>
      </c>
    </row>
    <row r="469" spans="1:11" x14ac:dyDescent="0.45">
      <c r="A469" t="s">
        <v>90</v>
      </c>
      <c r="B469" t="s">
        <v>2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2075</v>
      </c>
      <c r="J469">
        <v>0.16520000000000001</v>
      </c>
      <c r="K469" t="s">
        <v>28</v>
      </c>
    </row>
    <row r="470" spans="1:11" x14ac:dyDescent="0.45">
      <c r="A470" t="s">
        <v>90</v>
      </c>
      <c r="B470" t="s">
        <v>1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2075</v>
      </c>
      <c r="J470">
        <v>0.17125000000000001</v>
      </c>
      <c r="K470" t="s">
        <v>28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2080</v>
      </c>
      <c r="J471">
        <v>0.17175000000000001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2080</v>
      </c>
      <c r="J472">
        <v>0.16439999999999999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2080</v>
      </c>
      <c r="J473">
        <v>0.17055000000000001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2080</v>
      </c>
      <c r="J474">
        <v>0.16714999999999999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2080</v>
      </c>
      <c r="J475">
        <v>0.1545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2080</v>
      </c>
      <c r="J476">
        <v>0.16685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2080</v>
      </c>
      <c r="J477">
        <v>0.17280000000000001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2085</v>
      </c>
      <c r="J478">
        <v>0.17354999999999998</v>
      </c>
      <c r="K478" t="s">
        <v>28</v>
      </c>
    </row>
    <row r="479" spans="1:11" x14ac:dyDescent="0.45">
      <c r="A479" t="s">
        <v>90</v>
      </c>
      <c r="B479" t="s">
        <v>4</v>
      </c>
      <c r="C479" t="s">
        <v>84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2085</v>
      </c>
      <c r="J479">
        <v>0.16575000000000001</v>
      </c>
      <c r="K479" t="s">
        <v>28</v>
      </c>
    </row>
    <row r="480" spans="1:11" x14ac:dyDescent="0.45">
      <c r="A480" t="s">
        <v>90</v>
      </c>
      <c r="B480" t="s">
        <v>0</v>
      </c>
      <c r="C480" t="s">
        <v>84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2085</v>
      </c>
      <c r="J480">
        <v>0.17115</v>
      </c>
      <c r="K480" t="s">
        <v>28</v>
      </c>
    </row>
    <row r="481" spans="1:11" x14ac:dyDescent="0.45">
      <c r="A481" t="s">
        <v>90</v>
      </c>
      <c r="B481" t="s">
        <v>6</v>
      </c>
      <c r="C481" t="s">
        <v>84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2085</v>
      </c>
      <c r="J481">
        <v>0.16894999999999999</v>
      </c>
      <c r="K481" t="s">
        <v>28</v>
      </c>
    </row>
    <row r="482" spans="1:11" x14ac:dyDescent="0.45">
      <c r="A482" t="s">
        <v>90</v>
      </c>
      <c r="B482" t="s">
        <v>5</v>
      </c>
      <c r="C482" t="s">
        <v>84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2085</v>
      </c>
      <c r="J482">
        <v>0.157</v>
      </c>
      <c r="K482" t="s">
        <v>28</v>
      </c>
    </row>
    <row r="483" spans="1:11" x14ac:dyDescent="0.45">
      <c r="A483" t="s">
        <v>90</v>
      </c>
      <c r="B483" t="s">
        <v>2</v>
      </c>
      <c r="C483" t="s">
        <v>84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2085</v>
      </c>
      <c r="J483">
        <v>0.16815000000000002</v>
      </c>
      <c r="K483" t="s">
        <v>28</v>
      </c>
    </row>
    <row r="484" spans="1:11" x14ac:dyDescent="0.45">
      <c r="A484" t="s">
        <v>90</v>
      </c>
      <c r="B484" t="s">
        <v>1</v>
      </c>
      <c r="C484" t="s">
        <v>84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2085</v>
      </c>
      <c r="J484">
        <v>0.17449999999999999</v>
      </c>
      <c r="K484" t="s">
        <v>28</v>
      </c>
    </row>
    <row r="485" spans="1:11" x14ac:dyDescent="0.45">
      <c r="A485" t="s">
        <v>90</v>
      </c>
      <c r="B485" t="s">
        <v>3</v>
      </c>
      <c r="C485" t="s">
        <v>84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2090</v>
      </c>
      <c r="J485">
        <v>0.17575000000000002</v>
      </c>
      <c r="K485" t="s">
        <v>28</v>
      </c>
    </row>
    <row r="486" spans="1:11" x14ac:dyDescent="0.45">
      <c r="A486" t="s">
        <v>90</v>
      </c>
      <c r="B486" t="s">
        <v>4</v>
      </c>
      <c r="C486" t="s">
        <v>84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0.16739999999999999</v>
      </c>
      <c r="K486" t="s">
        <v>28</v>
      </c>
    </row>
    <row r="487" spans="1:11" x14ac:dyDescent="0.45">
      <c r="A487" t="s">
        <v>90</v>
      </c>
      <c r="B487" t="s">
        <v>0</v>
      </c>
      <c r="C487" t="s">
        <v>84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2090</v>
      </c>
      <c r="J487">
        <v>0.1721</v>
      </c>
      <c r="K487" t="s">
        <v>28</v>
      </c>
    </row>
    <row r="488" spans="1:11" x14ac:dyDescent="0.45">
      <c r="A488" t="s">
        <v>90</v>
      </c>
      <c r="B488" t="s">
        <v>6</v>
      </c>
      <c r="C488" t="s">
        <v>84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2090</v>
      </c>
      <c r="J488">
        <v>0.17094999999999999</v>
      </c>
      <c r="K488" t="s">
        <v>28</v>
      </c>
    </row>
    <row r="489" spans="1:11" x14ac:dyDescent="0.45">
      <c r="A489" t="s">
        <v>90</v>
      </c>
      <c r="B489" t="s">
        <v>5</v>
      </c>
      <c r="C489" t="s">
        <v>84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2090</v>
      </c>
      <c r="J489">
        <v>0.15970000000000001</v>
      </c>
      <c r="K489" t="s">
        <v>28</v>
      </c>
    </row>
    <row r="490" spans="1:11" x14ac:dyDescent="0.45">
      <c r="A490" t="s">
        <v>90</v>
      </c>
      <c r="B490" t="s">
        <v>2</v>
      </c>
      <c r="C490" t="s">
        <v>84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2090</v>
      </c>
      <c r="J490">
        <v>0.1696</v>
      </c>
      <c r="K490" t="s">
        <v>28</v>
      </c>
    </row>
    <row r="491" spans="1:11" x14ac:dyDescent="0.45">
      <c r="A491" t="s">
        <v>90</v>
      </c>
      <c r="B491" t="s">
        <v>1</v>
      </c>
      <c r="C491" t="s">
        <v>84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2090</v>
      </c>
      <c r="J491">
        <v>0.17649999999999999</v>
      </c>
      <c r="K491" t="s">
        <v>28</v>
      </c>
    </row>
    <row r="492" spans="1:11" x14ac:dyDescent="0.45">
      <c r="A492" t="s">
        <v>90</v>
      </c>
      <c r="B492" t="s">
        <v>3</v>
      </c>
      <c r="C492" t="s">
        <v>84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2095</v>
      </c>
      <c r="J492">
        <v>0.17745</v>
      </c>
      <c r="K492" t="s">
        <v>28</v>
      </c>
    </row>
    <row r="493" spans="1:11" x14ac:dyDescent="0.45">
      <c r="A493" t="s">
        <v>90</v>
      </c>
      <c r="B493" t="s">
        <v>4</v>
      </c>
      <c r="C493" t="s">
        <v>84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2095</v>
      </c>
      <c r="J493">
        <v>0.16965</v>
      </c>
      <c r="K493" t="s">
        <v>28</v>
      </c>
    </row>
    <row r="494" spans="1:11" x14ac:dyDescent="0.45">
      <c r="A494" t="s">
        <v>90</v>
      </c>
      <c r="B494" t="s">
        <v>0</v>
      </c>
      <c r="C494" t="s">
        <v>84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2095</v>
      </c>
      <c r="J494">
        <v>0.17435</v>
      </c>
      <c r="K494" t="s">
        <v>28</v>
      </c>
    </row>
    <row r="495" spans="1:11" x14ac:dyDescent="0.45">
      <c r="A495" t="s">
        <v>90</v>
      </c>
      <c r="B495" t="s">
        <v>6</v>
      </c>
      <c r="C495" t="s">
        <v>84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2095</v>
      </c>
      <c r="J495">
        <v>0.17280000000000001</v>
      </c>
      <c r="K495" t="s">
        <v>28</v>
      </c>
    </row>
    <row r="496" spans="1:11" x14ac:dyDescent="0.45">
      <c r="A496" t="s">
        <v>90</v>
      </c>
      <c r="B496" t="s">
        <v>5</v>
      </c>
      <c r="C496" t="s">
        <v>84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2095</v>
      </c>
      <c r="J496">
        <v>0.16145000000000001</v>
      </c>
      <c r="K496" t="s">
        <v>28</v>
      </c>
    </row>
    <row r="497" spans="1:11" x14ac:dyDescent="0.45">
      <c r="A497" t="s">
        <v>90</v>
      </c>
      <c r="B497" t="s">
        <v>2</v>
      </c>
      <c r="C497" t="s">
        <v>84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2095</v>
      </c>
      <c r="J497">
        <v>0.17144999999999999</v>
      </c>
      <c r="K497" t="s">
        <v>28</v>
      </c>
    </row>
    <row r="498" spans="1:11" x14ac:dyDescent="0.45">
      <c r="A498" t="s">
        <v>90</v>
      </c>
      <c r="B498" t="s">
        <v>1</v>
      </c>
      <c r="C498" t="s">
        <v>84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2095</v>
      </c>
      <c r="J498">
        <v>0.1787</v>
      </c>
      <c r="K498" t="s">
        <v>28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2100</v>
      </c>
      <c r="J499">
        <v>0.17909999999999998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2100</v>
      </c>
      <c r="J500">
        <v>0.1721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2100</v>
      </c>
      <c r="J501">
        <v>0.17680000000000001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2100</v>
      </c>
      <c r="J502">
        <v>0.17470000000000002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2100</v>
      </c>
      <c r="J503">
        <v>0.1633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2100</v>
      </c>
      <c r="J504">
        <v>0.17355000000000001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0.18104999999999999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2.8E-3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2020</v>
      </c>
      <c r="J507">
        <v>2.8E-3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2020</v>
      </c>
      <c r="J508">
        <v>2.8500000000000001E-3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2020</v>
      </c>
      <c r="J509">
        <v>2.9499999999999999E-3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2020</v>
      </c>
      <c r="J510">
        <v>3.3499999999999997E-3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2020</v>
      </c>
      <c r="J511">
        <v>3.0000000000000001E-3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2020</v>
      </c>
      <c r="J512">
        <v>3.0000000000000001E-3</v>
      </c>
      <c r="K512" t="s">
        <v>27</v>
      </c>
    </row>
    <row r="513" spans="1:11" x14ac:dyDescent="0.45">
      <c r="A513" t="s">
        <v>90</v>
      </c>
      <c r="B513" t="s">
        <v>3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2025</v>
      </c>
      <c r="J513">
        <v>8.9999999999999993E-3</v>
      </c>
      <c r="K513" t="s">
        <v>27</v>
      </c>
    </row>
    <row r="514" spans="1:11" x14ac:dyDescent="0.45">
      <c r="A514" t="s">
        <v>90</v>
      </c>
      <c r="B514" t="s">
        <v>4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8.8999999999999999E-3</v>
      </c>
      <c r="K514" t="s">
        <v>27</v>
      </c>
    </row>
    <row r="515" spans="1:11" x14ac:dyDescent="0.45">
      <c r="A515" t="s">
        <v>90</v>
      </c>
      <c r="B515" t="s">
        <v>0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2025</v>
      </c>
      <c r="J515">
        <v>8.9999999999999993E-3</v>
      </c>
      <c r="K515" t="s">
        <v>27</v>
      </c>
    </row>
    <row r="516" spans="1:11" x14ac:dyDescent="0.45">
      <c r="A516" t="s">
        <v>90</v>
      </c>
      <c r="B516" t="s">
        <v>6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2025</v>
      </c>
      <c r="J516">
        <v>9.049999999999999E-3</v>
      </c>
      <c r="K516" t="s">
        <v>27</v>
      </c>
    </row>
    <row r="517" spans="1:11" x14ac:dyDescent="0.45">
      <c r="A517" t="s">
        <v>90</v>
      </c>
      <c r="B517" t="s">
        <v>5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2025</v>
      </c>
      <c r="J517">
        <v>0.01</v>
      </c>
      <c r="K517" t="s">
        <v>27</v>
      </c>
    </row>
    <row r="518" spans="1:11" x14ac:dyDescent="0.45">
      <c r="A518" t="s">
        <v>90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2025</v>
      </c>
      <c r="J518">
        <v>9.3500000000000007E-3</v>
      </c>
      <c r="K518" t="s">
        <v>27</v>
      </c>
    </row>
    <row r="519" spans="1:11" x14ac:dyDescent="0.45">
      <c r="A519" t="s">
        <v>90</v>
      </c>
      <c r="B519" t="s">
        <v>1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2025</v>
      </c>
      <c r="J519">
        <v>9.7000000000000003E-3</v>
      </c>
      <c r="K519" t="s">
        <v>27</v>
      </c>
    </row>
    <row r="520" spans="1:11" x14ac:dyDescent="0.45">
      <c r="A520" t="s">
        <v>90</v>
      </c>
      <c r="B520" t="s">
        <v>3</v>
      </c>
      <c r="C520" t="s">
        <v>84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2030</v>
      </c>
      <c r="J520">
        <v>1.9300000000000001E-2</v>
      </c>
      <c r="K520" t="s">
        <v>27</v>
      </c>
    </row>
    <row r="521" spans="1:11" x14ac:dyDescent="0.45">
      <c r="A521" t="s">
        <v>90</v>
      </c>
      <c r="B521" t="s">
        <v>4</v>
      </c>
      <c r="C521" t="s">
        <v>84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2030</v>
      </c>
      <c r="J521">
        <v>1.78E-2</v>
      </c>
      <c r="K521" t="s">
        <v>27</v>
      </c>
    </row>
    <row r="522" spans="1:11" x14ac:dyDescent="0.45">
      <c r="A522" t="s">
        <v>90</v>
      </c>
      <c r="B522" t="s">
        <v>0</v>
      </c>
      <c r="C522" t="s">
        <v>84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2030</v>
      </c>
      <c r="J522">
        <v>1.8000000000000002E-2</v>
      </c>
      <c r="K522" t="s">
        <v>27</v>
      </c>
    </row>
    <row r="523" spans="1:11" x14ac:dyDescent="0.45">
      <c r="A523" t="s">
        <v>90</v>
      </c>
      <c r="B523" t="s">
        <v>6</v>
      </c>
      <c r="C523" t="s">
        <v>84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2030</v>
      </c>
      <c r="J523">
        <v>1.805E-2</v>
      </c>
      <c r="K523" t="s">
        <v>27</v>
      </c>
    </row>
    <row r="524" spans="1:11" x14ac:dyDescent="0.45">
      <c r="A524" t="s">
        <v>90</v>
      </c>
      <c r="B524" t="s">
        <v>5</v>
      </c>
      <c r="C524" t="s">
        <v>84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2030</v>
      </c>
      <c r="J524">
        <v>2.0199999999999999E-2</v>
      </c>
      <c r="K524" t="s">
        <v>27</v>
      </c>
    </row>
    <row r="525" spans="1:11" x14ac:dyDescent="0.45">
      <c r="A525" t="s">
        <v>90</v>
      </c>
      <c r="B525" t="s">
        <v>2</v>
      </c>
      <c r="C525" t="s">
        <v>84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1.8549999999999997E-2</v>
      </c>
      <c r="K525" t="s">
        <v>27</v>
      </c>
    </row>
    <row r="526" spans="1:11" x14ac:dyDescent="0.45">
      <c r="A526" t="s">
        <v>90</v>
      </c>
      <c r="B526" t="s">
        <v>1</v>
      </c>
      <c r="C526" t="s">
        <v>84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2030</v>
      </c>
      <c r="J526">
        <v>2.0900000000000002E-2</v>
      </c>
      <c r="K526" t="s">
        <v>27</v>
      </c>
    </row>
    <row r="527" spans="1:11" x14ac:dyDescent="0.45">
      <c r="A527" t="s">
        <v>90</v>
      </c>
      <c r="B527" t="s">
        <v>3</v>
      </c>
      <c r="C527" t="s">
        <v>84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2035</v>
      </c>
      <c r="J527">
        <v>3.2300000000000002E-2</v>
      </c>
      <c r="K527" t="s">
        <v>27</v>
      </c>
    </row>
    <row r="528" spans="1:11" x14ac:dyDescent="0.45">
      <c r="A528" t="s">
        <v>90</v>
      </c>
      <c r="B528" t="s">
        <v>4</v>
      </c>
      <c r="C528" t="s">
        <v>84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2035</v>
      </c>
      <c r="J528">
        <v>2.6599999999999999E-2</v>
      </c>
      <c r="K528" t="s">
        <v>27</v>
      </c>
    </row>
    <row r="529" spans="1:11" x14ac:dyDescent="0.45">
      <c r="A529" t="s">
        <v>90</v>
      </c>
      <c r="B529" t="s">
        <v>0</v>
      </c>
      <c r="C529" t="s">
        <v>84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2035</v>
      </c>
      <c r="J529">
        <v>2.8299999999999999E-2</v>
      </c>
      <c r="K529" t="s">
        <v>27</v>
      </c>
    </row>
    <row r="530" spans="1:11" x14ac:dyDescent="0.45">
      <c r="A530" t="s">
        <v>90</v>
      </c>
      <c r="B530" t="s">
        <v>6</v>
      </c>
      <c r="C530" t="s">
        <v>84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2035</v>
      </c>
      <c r="J530">
        <v>2.6950000000000002E-2</v>
      </c>
      <c r="K530" t="s">
        <v>27</v>
      </c>
    </row>
    <row r="531" spans="1:11" x14ac:dyDescent="0.45">
      <c r="A531" t="s">
        <v>90</v>
      </c>
      <c r="B531" t="s">
        <v>5</v>
      </c>
      <c r="C531" t="s">
        <v>84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2035</v>
      </c>
      <c r="J531">
        <v>3.2350000000000004E-2</v>
      </c>
      <c r="K531" t="s">
        <v>27</v>
      </c>
    </row>
    <row r="532" spans="1:11" x14ac:dyDescent="0.45">
      <c r="A532" t="s">
        <v>90</v>
      </c>
      <c r="B532" t="s">
        <v>2</v>
      </c>
      <c r="C532" t="s">
        <v>84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2.8249999999999997E-2</v>
      </c>
      <c r="K532" t="s">
        <v>27</v>
      </c>
    </row>
    <row r="533" spans="1:11" x14ac:dyDescent="0.45">
      <c r="A533" t="s">
        <v>90</v>
      </c>
      <c r="B533" t="s">
        <v>1</v>
      </c>
      <c r="C533" t="s">
        <v>84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2035</v>
      </c>
      <c r="J533">
        <v>3.8500000000000006E-2</v>
      </c>
      <c r="K533" t="s">
        <v>27</v>
      </c>
    </row>
    <row r="534" spans="1:11" x14ac:dyDescent="0.45">
      <c r="A534" t="s">
        <v>90</v>
      </c>
      <c r="B534" t="s">
        <v>3</v>
      </c>
      <c r="C534" t="s">
        <v>84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2040</v>
      </c>
      <c r="J534">
        <v>4.1599999999999998E-2</v>
      </c>
      <c r="K534" t="s">
        <v>27</v>
      </c>
    </row>
    <row r="535" spans="1:11" x14ac:dyDescent="0.45">
      <c r="A535" t="s">
        <v>90</v>
      </c>
      <c r="B535" t="s">
        <v>4</v>
      </c>
      <c r="C535" t="s">
        <v>84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2040</v>
      </c>
      <c r="J535">
        <v>3.2099999999999997E-2</v>
      </c>
      <c r="K535" t="s">
        <v>27</v>
      </c>
    </row>
    <row r="536" spans="1:11" x14ac:dyDescent="0.45">
      <c r="A536" t="s">
        <v>90</v>
      </c>
      <c r="B536" t="s">
        <v>0</v>
      </c>
      <c r="C536" t="s">
        <v>84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2040</v>
      </c>
      <c r="J536">
        <v>3.6850000000000001E-2</v>
      </c>
      <c r="K536" t="s">
        <v>27</v>
      </c>
    </row>
    <row r="537" spans="1:11" x14ac:dyDescent="0.45">
      <c r="A537" t="s">
        <v>90</v>
      </c>
      <c r="B537" t="s">
        <v>6</v>
      </c>
      <c r="C537" t="s">
        <v>84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2040</v>
      </c>
      <c r="J537">
        <v>3.3050000000000003E-2</v>
      </c>
      <c r="K537" t="s">
        <v>27</v>
      </c>
    </row>
    <row r="538" spans="1:11" x14ac:dyDescent="0.45">
      <c r="A538" t="s">
        <v>90</v>
      </c>
      <c r="B538" t="s">
        <v>5</v>
      </c>
      <c r="C538" t="s">
        <v>84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2040</v>
      </c>
      <c r="J538">
        <v>3.9650000000000005E-2</v>
      </c>
      <c r="K538" t="s">
        <v>27</v>
      </c>
    </row>
    <row r="539" spans="1:11" x14ac:dyDescent="0.45">
      <c r="A539" t="s">
        <v>90</v>
      </c>
      <c r="B539" t="s">
        <v>2</v>
      </c>
      <c r="C539" t="s">
        <v>84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2040</v>
      </c>
      <c r="J539">
        <v>3.4049999999999997E-2</v>
      </c>
      <c r="K539" t="s">
        <v>27</v>
      </c>
    </row>
    <row r="540" spans="1:11" x14ac:dyDescent="0.45">
      <c r="A540" t="s">
        <v>90</v>
      </c>
      <c r="B540" t="s">
        <v>1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2040</v>
      </c>
      <c r="J540">
        <v>5.1900000000000002E-2</v>
      </c>
      <c r="K540" t="s">
        <v>27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2045</v>
      </c>
      <c r="J541">
        <v>4.8750000000000002E-2</v>
      </c>
      <c r="K541" t="s">
        <v>27</v>
      </c>
    </row>
    <row r="542" spans="1:11" x14ac:dyDescent="0.45">
      <c r="A542" t="s">
        <v>90</v>
      </c>
      <c r="B542" t="s">
        <v>4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2045</v>
      </c>
      <c r="J542">
        <v>3.5949999999999996E-2</v>
      </c>
      <c r="K542" t="s">
        <v>27</v>
      </c>
    </row>
    <row r="543" spans="1:11" x14ac:dyDescent="0.45">
      <c r="A543" t="s">
        <v>90</v>
      </c>
      <c r="B543" t="s">
        <v>0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2045</v>
      </c>
      <c r="J543">
        <v>4.4399999999999995E-2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2045</v>
      </c>
      <c r="J544">
        <v>3.8099999999999995E-2</v>
      </c>
      <c r="K544" t="s">
        <v>27</v>
      </c>
    </row>
    <row r="545" spans="1:11" x14ac:dyDescent="0.45">
      <c r="A545" t="s">
        <v>90</v>
      </c>
      <c r="B545" t="s">
        <v>5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4.165E-2</v>
      </c>
      <c r="K545" t="s">
        <v>27</v>
      </c>
    </row>
    <row r="546" spans="1:11" x14ac:dyDescent="0.45">
      <c r="A546" t="s">
        <v>90</v>
      </c>
      <c r="B546" t="s">
        <v>2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2045</v>
      </c>
      <c r="J546">
        <v>3.8300000000000001E-2</v>
      </c>
      <c r="K546" t="s">
        <v>27</v>
      </c>
    </row>
    <row r="547" spans="1:11" x14ac:dyDescent="0.45">
      <c r="A547" t="s">
        <v>90</v>
      </c>
      <c r="B547" t="s">
        <v>1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2045</v>
      </c>
      <c r="J547">
        <v>5.7050000000000003E-2</v>
      </c>
      <c r="K547" t="s">
        <v>27</v>
      </c>
    </row>
    <row r="548" spans="1:11" x14ac:dyDescent="0.45">
      <c r="A548" t="s">
        <v>90</v>
      </c>
      <c r="B548" t="s">
        <v>3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2050</v>
      </c>
      <c r="J548">
        <v>5.2650000000000002E-2</v>
      </c>
      <c r="K548" t="s">
        <v>27</v>
      </c>
    </row>
    <row r="549" spans="1:11" x14ac:dyDescent="0.45">
      <c r="A549" t="s">
        <v>90</v>
      </c>
      <c r="B549" t="s">
        <v>4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2050</v>
      </c>
      <c r="J549">
        <v>3.9099999999999996E-2</v>
      </c>
      <c r="K549" t="s">
        <v>27</v>
      </c>
    </row>
    <row r="550" spans="1:11" x14ac:dyDescent="0.45">
      <c r="A550" t="s">
        <v>90</v>
      </c>
      <c r="B550" t="s">
        <v>0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2050</v>
      </c>
      <c r="J550">
        <v>4.5850000000000002E-2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2050</v>
      </c>
      <c r="J551">
        <v>4.2499999999999996E-2</v>
      </c>
      <c r="K551" t="s">
        <v>27</v>
      </c>
    </row>
    <row r="552" spans="1:11" x14ac:dyDescent="0.45">
      <c r="A552" t="s">
        <v>90</v>
      </c>
      <c r="B552" t="s">
        <v>5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2050</v>
      </c>
      <c r="J552">
        <v>4.07E-2</v>
      </c>
      <c r="K552" t="s">
        <v>27</v>
      </c>
    </row>
    <row r="553" spans="1:11" x14ac:dyDescent="0.45">
      <c r="A553" t="s">
        <v>90</v>
      </c>
      <c r="B553" t="s">
        <v>2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2050</v>
      </c>
      <c r="J553">
        <v>4.1149999999999999E-2</v>
      </c>
      <c r="K553" t="s">
        <v>27</v>
      </c>
    </row>
    <row r="554" spans="1:11" x14ac:dyDescent="0.45">
      <c r="A554" t="s">
        <v>90</v>
      </c>
      <c r="B554" t="s">
        <v>1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2050</v>
      </c>
      <c r="J554">
        <v>5.8999999999999997E-2</v>
      </c>
      <c r="K554" t="s">
        <v>27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2055</v>
      </c>
      <c r="J555">
        <v>5.3999999999999999E-2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2055</v>
      </c>
      <c r="J556">
        <v>4.2099999999999999E-2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2055</v>
      </c>
      <c r="J557">
        <v>4.6950000000000006E-2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2055</v>
      </c>
      <c r="J558">
        <v>4.3499999999999997E-2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2055</v>
      </c>
      <c r="J559">
        <v>4.2899999999999994E-2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2055</v>
      </c>
      <c r="J560">
        <v>4.3049999999999998E-2</v>
      </c>
      <c r="K560" t="s">
        <v>27</v>
      </c>
    </row>
    <row r="561" spans="1:11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2055</v>
      </c>
      <c r="J561">
        <v>5.8900000000000001E-2</v>
      </c>
      <c r="K561" t="s">
        <v>27</v>
      </c>
    </row>
    <row r="562" spans="1:11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2060</v>
      </c>
      <c r="J562">
        <v>5.5400000000000005E-2</v>
      </c>
      <c r="K562" t="s">
        <v>27</v>
      </c>
    </row>
    <row r="563" spans="1:11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2060</v>
      </c>
      <c r="J563">
        <v>4.4850000000000001E-2</v>
      </c>
      <c r="K563" t="s">
        <v>27</v>
      </c>
    </row>
    <row r="564" spans="1:11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2060</v>
      </c>
      <c r="J564">
        <v>4.7950000000000007E-2</v>
      </c>
      <c r="K564" t="s">
        <v>27</v>
      </c>
    </row>
    <row r="565" spans="1:11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4.5100000000000001E-2</v>
      </c>
      <c r="K565" t="s">
        <v>27</v>
      </c>
    </row>
    <row r="566" spans="1:11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2060</v>
      </c>
      <c r="J566">
        <v>4.4150000000000002E-2</v>
      </c>
      <c r="K566" t="s">
        <v>27</v>
      </c>
    </row>
    <row r="567" spans="1:11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2060</v>
      </c>
      <c r="J567">
        <v>4.53E-2</v>
      </c>
      <c r="K567" t="s">
        <v>27</v>
      </c>
    </row>
    <row r="568" spans="1:11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2060</v>
      </c>
      <c r="J568">
        <v>6.0649999999999996E-2</v>
      </c>
      <c r="K568" t="s">
        <v>27</v>
      </c>
    </row>
    <row r="569" spans="1:11" x14ac:dyDescent="0.45">
      <c r="A569" t="s">
        <v>90</v>
      </c>
      <c r="B569" t="s">
        <v>3</v>
      </c>
      <c r="C569" t="s">
        <v>84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2065</v>
      </c>
      <c r="J569">
        <v>5.6500000000000002E-2</v>
      </c>
      <c r="K569" t="s">
        <v>27</v>
      </c>
    </row>
    <row r="570" spans="1:11" x14ac:dyDescent="0.45">
      <c r="A570" t="s">
        <v>90</v>
      </c>
      <c r="B570" t="s">
        <v>4</v>
      </c>
      <c r="C570" t="s">
        <v>84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2065</v>
      </c>
      <c r="J570">
        <v>4.6850000000000003E-2</v>
      </c>
      <c r="K570" t="s">
        <v>27</v>
      </c>
    </row>
    <row r="571" spans="1:11" x14ac:dyDescent="0.45">
      <c r="A571" t="s">
        <v>90</v>
      </c>
      <c r="B571" t="s">
        <v>0</v>
      </c>
      <c r="C571" t="s">
        <v>84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2065</v>
      </c>
      <c r="J571">
        <v>4.8899999999999999E-2</v>
      </c>
      <c r="K571" t="s">
        <v>27</v>
      </c>
    </row>
    <row r="572" spans="1:11" x14ac:dyDescent="0.45">
      <c r="A572" t="s">
        <v>90</v>
      </c>
      <c r="B572" t="s">
        <v>6</v>
      </c>
      <c r="C572" t="s">
        <v>84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2065</v>
      </c>
      <c r="J572">
        <v>4.6600000000000003E-2</v>
      </c>
      <c r="K572" t="s">
        <v>27</v>
      </c>
    </row>
    <row r="573" spans="1:11" x14ac:dyDescent="0.45">
      <c r="A573" t="s">
        <v>90</v>
      </c>
      <c r="B573" t="s">
        <v>5</v>
      </c>
      <c r="C573" t="s">
        <v>84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2065</v>
      </c>
      <c r="J573">
        <v>4.4999999999999998E-2</v>
      </c>
      <c r="K573" t="s">
        <v>27</v>
      </c>
    </row>
    <row r="574" spans="1:11" x14ac:dyDescent="0.45">
      <c r="A574" t="s">
        <v>90</v>
      </c>
      <c r="B574" t="s">
        <v>2</v>
      </c>
      <c r="C574" t="s">
        <v>84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2065</v>
      </c>
      <c r="J574">
        <v>4.7E-2</v>
      </c>
      <c r="K574" t="s">
        <v>27</v>
      </c>
    </row>
    <row r="575" spans="1:11" x14ac:dyDescent="0.45">
      <c r="A575" t="s">
        <v>90</v>
      </c>
      <c r="B575" t="s">
        <v>1</v>
      </c>
      <c r="C575" t="s">
        <v>84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2065</v>
      </c>
      <c r="J575">
        <v>6.1699999999999998E-2</v>
      </c>
      <c r="K575" t="s">
        <v>27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2070</v>
      </c>
      <c r="J576">
        <v>5.7099999999999998E-2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2070</v>
      </c>
      <c r="J577">
        <v>4.8350000000000004E-2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2070</v>
      </c>
      <c r="J578">
        <v>4.9450000000000001E-2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2070</v>
      </c>
      <c r="J579">
        <v>4.7649999999999998E-2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2070</v>
      </c>
      <c r="J580">
        <v>4.5249999999999999E-2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2070</v>
      </c>
      <c r="J581">
        <v>4.8399999999999999E-2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2070</v>
      </c>
      <c r="J582">
        <v>6.2299999999999994E-2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2075</v>
      </c>
      <c r="J583">
        <v>5.8349999999999999E-2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2075</v>
      </c>
      <c r="J584">
        <v>4.9399999999999999E-2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5.0549999999999998E-2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2075</v>
      </c>
      <c r="J586">
        <v>4.9049999999999996E-2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2075</v>
      </c>
      <c r="J587">
        <v>4.6050000000000001E-2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2075</v>
      </c>
      <c r="J588">
        <v>4.965E-2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2075</v>
      </c>
      <c r="J589">
        <v>6.3250000000000001E-2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2080</v>
      </c>
      <c r="J590">
        <v>5.985E-2</v>
      </c>
      <c r="K590" t="s">
        <v>27</v>
      </c>
    </row>
    <row r="591" spans="1:11" x14ac:dyDescent="0.45">
      <c r="A591" t="s">
        <v>90</v>
      </c>
      <c r="B591" t="s">
        <v>4</v>
      </c>
      <c r="C591" t="s">
        <v>84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2080</v>
      </c>
      <c r="J591">
        <v>5.04E-2</v>
      </c>
      <c r="K591" t="s">
        <v>27</v>
      </c>
    </row>
    <row r="592" spans="1:11" x14ac:dyDescent="0.45">
      <c r="A592" t="s">
        <v>90</v>
      </c>
      <c r="B592" t="s">
        <v>0</v>
      </c>
      <c r="C592" t="s">
        <v>84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2080</v>
      </c>
      <c r="J592">
        <v>5.1799999999999999E-2</v>
      </c>
      <c r="K592" t="s">
        <v>27</v>
      </c>
    </row>
    <row r="593" spans="1:11" x14ac:dyDescent="0.45">
      <c r="A593" t="s">
        <v>90</v>
      </c>
      <c r="B593" t="s">
        <v>6</v>
      </c>
      <c r="C593" t="s">
        <v>84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2080</v>
      </c>
      <c r="J593">
        <v>5.0549999999999998E-2</v>
      </c>
      <c r="K593" t="s">
        <v>27</v>
      </c>
    </row>
    <row r="594" spans="1:11" x14ac:dyDescent="0.45">
      <c r="A594" t="s">
        <v>90</v>
      </c>
      <c r="B594" t="s">
        <v>5</v>
      </c>
      <c r="C594" t="s">
        <v>84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2080</v>
      </c>
      <c r="J594">
        <v>4.7E-2</v>
      </c>
      <c r="K594" t="s">
        <v>27</v>
      </c>
    </row>
    <row r="595" spans="1:11" x14ac:dyDescent="0.45">
      <c r="A595" t="s">
        <v>90</v>
      </c>
      <c r="B595" t="s">
        <v>2</v>
      </c>
      <c r="C595" t="s">
        <v>84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2080</v>
      </c>
      <c r="J595">
        <v>5.0699999999999995E-2</v>
      </c>
      <c r="K595" t="s">
        <v>27</v>
      </c>
    </row>
    <row r="596" spans="1:11" x14ac:dyDescent="0.45">
      <c r="A596" t="s">
        <v>90</v>
      </c>
      <c r="B596" t="s">
        <v>1</v>
      </c>
      <c r="C596" t="s">
        <v>84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2080</v>
      </c>
      <c r="J596">
        <v>6.4350000000000004E-2</v>
      </c>
      <c r="K596" t="s">
        <v>27</v>
      </c>
    </row>
    <row r="597" spans="1:11" x14ac:dyDescent="0.45">
      <c r="A597" t="s">
        <v>90</v>
      </c>
      <c r="B597" t="s">
        <v>3</v>
      </c>
      <c r="C597" t="s">
        <v>84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2085</v>
      </c>
      <c r="J597">
        <v>6.1100000000000002E-2</v>
      </c>
      <c r="K597" t="s">
        <v>27</v>
      </c>
    </row>
    <row r="598" spans="1:11" x14ac:dyDescent="0.45">
      <c r="A598" t="s">
        <v>90</v>
      </c>
      <c r="B598" t="s">
        <v>4</v>
      </c>
      <c r="C598" t="s">
        <v>84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2085</v>
      </c>
      <c r="J598">
        <v>5.1150000000000001E-2</v>
      </c>
      <c r="K598" t="s">
        <v>27</v>
      </c>
    </row>
    <row r="599" spans="1:11" x14ac:dyDescent="0.45">
      <c r="A599" t="s">
        <v>90</v>
      </c>
      <c r="B599" t="s">
        <v>0</v>
      </c>
      <c r="C599" t="s">
        <v>84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2085</v>
      </c>
      <c r="J599">
        <v>5.2850000000000001E-2</v>
      </c>
      <c r="K599" t="s">
        <v>27</v>
      </c>
    </row>
    <row r="600" spans="1:11" x14ac:dyDescent="0.45">
      <c r="A600" t="s">
        <v>90</v>
      </c>
      <c r="B600" t="s">
        <v>6</v>
      </c>
      <c r="C600" t="s">
        <v>84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2085</v>
      </c>
      <c r="J600">
        <v>5.16E-2</v>
      </c>
      <c r="K600" t="s">
        <v>27</v>
      </c>
    </row>
    <row r="601" spans="1:11" x14ac:dyDescent="0.45">
      <c r="A601" t="s">
        <v>90</v>
      </c>
      <c r="B601" t="s">
        <v>5</v>
      </c>
      <c r="C601" t="s">
        <v>84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2085</v>
      </c>
      <c r="J601">
        <v>4.7750000000000001E-2</v>
      </c>
      <c r="K601" t="s">
        <v>27</v>
      </c>
    </row>
    <row r="602" spans="1:11" x14ac:dyDescent="0.45">
      <c r="A602" t="s">
        <v>90</v>
      </c>
      <c r="B602" t="s">
        <v>2</v>
      </c>
      <c r="C602" t="s">
        <v>84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2085</v>
      </c>
      <c r="J602">
        <v>5.1500000000000004E-2</v>
      </c>
      <c r="K602" t="s">
        <v>27</v>
      </c>
    </row>
    <row r="603" spans="1:11" x14ac:dyDescent="0.45">
      <c r="A603" t="s">
        <v>90</v>
      </c>
      <c r="B603" t="s">
        <v>1</v>
      </c>
      <c r="C603" t="s">
        <v>84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2085</v>
      </c>
      <c r="J603">
        <v>6.5349999999999991E-2</v>
      </c>
      <c r="K603" t="s">
        <v>27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2090</v>
      </c>
      <c r="J604">
        <v>6.2449999999999999E-2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5.2000000000000005E-2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2090</v>
      </c>
      <c r="J606">
        <v>5.3800000000000001E-2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2090</v>
      </c>
      <c r="J607">
        <v>5.2600000000000001E-2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2090</v>
      </c>
      <c r="J608">
        <v>4.8550000000000003E-2</v>
      </c>
      <c r="K608" t="s">
        <v>27</v>
      </c>
    </row>
    <row r="609" spans="1:11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2090</v>
      </c>
      <c r="J609">
        <v>5.2299999999999999E-2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2090</v>
      </c>
      <c r="J610">
        <v>6.6349999999999992E-2</v>
      </c>
      <c r="K610" t="s">
        <v>27</v>
      </c>
    </row>
    <row r="611" spans="1:11" x14ac:dyDescent="0.45">
      <c r="A611" t="s">
        <v>90</v>
      </c>
      <c r="B611" t="s">
        <v>3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2095</v>
      </c>
      <c r="J611">
        <v>6.2950000000000006E-2</v>
      </c>
      <c r="K611" t="s">
        <v>27</v>
      </c>
    </row>
    <row r="612" spans="1:11" x14ac:dyDescent="0.45">
      <c r="A612" t="s">
        <v>90</v>
      </c>
      <c r="B612" t="s">
        <v>4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2095</v>
      </c>
      <c r="J612">
        <v>5.2650000000000002E-2</v>
      </c>
      <c r="K612" t="s">
        <v>27</v>
      </c>
    </row>
    <row r="613" spans="1:11" x14ac:dyDescent="0.45">
      <c r="A613" t="s">
        <v>90</v>
      </c>
      <c r="B613" t="s">
        <v>0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2095</v>
      </c>
      <c r="J613">
        <v>5.4300000000000001E-2</v>
      </c>
      <c r="K613" t="s">
        <v>27</v>
      </c>
    </row>
    <row r="614" spans="1:11" x14ac:dyDescent="0.45">
      <c r="A614" t="s">
        <v>90</v>
      </c>
      <c r="B614" t="s">
        <v>6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2095</v>
      </c>
      <c r="J614">
        <v>5.3150000000000003E-2</v>
      </c>
      <c r="K614" t="s">
        <v>27</v>
      </c>
    </row>
    <row r="615" spans="1:11" x14ac:dyDescent="0.45">
      <c r="A615" t="s">
        <v>90</v>
      </c>
      <c r="B615" t="s">
        <v>5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2095</v>
      </c>
      <c r="J615">
        <v>4.8649999999999999E-2</v>
      </c>
      <c r="K615" t="s">
        <v>27</v>
      </c>
    </row>
    <row r="616" spans="1:11" x14ac:dyDescent="0.45">
      <c r="A616" t="s">
        <v>90</v>
      </c>
      <c r="B616" t="s">
        <v>2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2095</v>
      </c>
      <c r="J616">
        <v>5.2849999999999994E-2</v>
      </c>
      <c r="K616" t="s">
        <v>27</v>
      </c>
    </row>
    <row r="617" spans="1:11" x14ac:dyDescent="0.45">
      <c r="A617" t="s">
        <v>90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2095</v>
      </c>
      <c r="J617">
        <v>6.6599999999999993E-2</v>
      </c>
      <c r="K617" t="s">
        <v>27</v>
      </c>
    </row>
    <row r="618" spans="1:11" x14ac:dyDescent="0.45">
      <c r="A618" t="s">
        <v>90</v>
      </c>
      <c r="B618" t="s">
        <v>3</v>
      </c>
      <c r="C618" t="s">
        <v>84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2100</v>
      </c>
      <c r="J618">
        <v>6.3099999999999989E-2</v>
      </c>
      <c r="K618" t="s">
        <v>27</v>
      </c>
    </row>
    <row r="619" spans="1:11" x14ac:dyDescent="0.45">
      <c r="A619" t="s">
        <v>90</v>
      </c>
      <c r="B619" t="s">
        <v>4</v>
      </c>
      <c r="C619" t="s">
        <v>84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2100</v>
      </c>
      <c r="J619">
        <v>5.3199999999999997E-2</v>
      </c>
      <c r="K619" t="s">
        <v>27</v>
      </c>
    </row>
    <row r="620" spans="1:11" x14ac:dyDescent="0.45">
      <c r="A620" t="s">
        <v>90</v>
      </c>
      <c r="B620" t="s">
        <v>0</v>
      </c>
      <c r="C620" t="s">
        <v>84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2100</v>
      </c>
      <c r="J620">
        <v>5.4699999999999999E-2</v>
      </c>
      <c r="K620" t="s">
        <v>27</v>
      </c>
    </row>
    <row r="621" spans="1:11" x14ac:dyDescent="0.45">
      <c r="A621" t="s">
        <v>90</v>
      </c>
      <c r="B621" t="s">
        <v>6</v>
      </c>
      <c r="C621" t="s">
        <v>84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2100</v>
      </c>
      <c r="J621">
        <v>5.355E-2</v>
      </c>
      <c r="K621" t="s">
        <v>27</v>
      </c>
    </row>
    <row r="622" spans="1:11" x14ac:dyDescent="0.45">
      <c r="A622" t="s">
        <v>90</v>
      </c>
      <c r="B622" t="s">
        <v>5</v>
      </c>
      <c r="C622" t="s">
        <v>84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2100</v>
      </c>
      <c r="J622">
        <v>4.87E-2</v>
      </c>
      <c r="K622" t="s">
        <v>27</v>
      </c>
    </row>
    <row r="623" spans="1:11" x14ac:dyDescent="0.45">
      <c r="A623" t="s">
        <v>90</v>
      </c>
      <c r="B623" t="s">
        <v>2</v>
      </c>
      <c r="C623" t="s">
        <v>84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2100</v>
      </c>
      <c r="J623">
        <v>5.33E-2</v>
      </c>
      <c r="K623" t="s">
        <v>27</v>
      </c>
    </row>
    <row r="624" spans="1:11" x14ac:dyDescent="0.45">
      <c r="A624" t="s">
        <v>90</v>
      </c>
      <c r="B624" t="s">
        <v>1</v>
      </c>
      <c r="C624" t="s">
        <v>84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6.6649999999999987E-2</v>
      </c>
      <c r="K624" t="s">
        <v>27</v>
      </c>
    </row>
    <row r="625" spans="1:11" x14ac:dyDescent="0.45">
      <c r="A625" t="s">
        <v>90</v>
      </c>
      <c r="B625" t="s">
        <v>3</v>
      </c>
      <c r="C625" t="s">
        <v>84</v>
      </c>
      <c r="D625" t="s">
        <v>85</v>
      </c>
      <c r="E625" t="s">
        <v>25</v>
      </c>
      <c r="F625" t="s">
        <v>85</v>
      </c>
      <c r="G625" t="s">
        <v>26</v>
      </c>
      <c r="H625" t="s">
        <v>82</v>
      </c>
      <c r="I625">
        <v>2020</v>
      </c>
      <c r="J625">
        <v>1.2999999999999999E-3</v>
      </c>
      <c r="K625" t="s">
        <v>85</v>
      </c>
    </row>
    <row r="626" spans="1:11" x14ac:dyDescent="0.45">
      <c r="A626" t="s">
        <v>90</v>
      </c>
      <c r="B626" t="s">
        <v>4</v>
      </c>
      <c r="C626" t="s">
        <v>84</v>
      </c>
      <c r="D626" t="s">
        <v>85</v>
      </c>
      <c r="E626" t="s">
        <v>25</v>
      </c>
      <c r="F626" t="s">
        <v>85</v>
      </c>
      <c r="G626" t="s">
        <v>26</v>
      </c>
      <c r="H626" t="s">
        <v>82</v>
      </c>
      <c r="I626">
        <v>2020</v>
      </c>
      <c r="J626">
        <v>1.2999999999999999E-3</v>
      </c>
      <c r="K626" t="s">
        <v>85</v>
      </c>
    </row>
    <row r="627" spans="1:11" x14ac:dyDescent="0.45">
      <c r="A627" t="s">
        <v>90</v>
      </c>
      <c r="B627" t="s">
        <v>0</v>
      </c>
      <c r="C627" t="s">
        <v>84</v>
      </c>
      <c r="D627" t="s">
        <v>85</v>
      </c>
      <c r="E627" t="s">
        <v>25</v>
      </c>
      <c r="F627" t="s">
        <v>85</v>
      </c>
      <c r="G627" t="s">
        <v>26</v>
      </c>
      <c r="H627" t="s">
        <v>82</v>
      </c>
      <c r="I627">
        <v>2020</v>
      </c>
      <c r="J627">
        <v>1.2999999999999999E-3</v>
      </c>
      <c r="K627" t="s">
        <v>85</v>
      </c>
    </row>
    <row r="628" spans="1:11" x14ac:dyDescent="0.45">
      <c r="A628" t="s">
        <v>90</v>
      </c>
      <c r="B628" t="s">
        <v>6</v>
      </c>
      <c r="C628" t="s">
        <v>84</v>
      </c>
      <c r="D628" t="s">
        <v>85</v>
      </c>
      <c r="E628" t="s">
        <v>25</v>
      </c>
      <c r="F628" t="s">
        <v>85</v>
      </c>
      <c r="G628" t="s">
        <v>26</v>
      </c>
      <c r="H628" t="s">
        <v>82</v>
      </c>
      <c r="I628">
        <v>2020</v>
      </c>
      <c r="J628">
        <v>1.2999999999999999E-3</v>
      </c>
      <c r="K628" t="s">
        <v>85</v>
      </c>
    </row>
    <row r="629" spans="1:11" x14ac:dyDescent="0.45">
      <c r="A629" t="s">
        <v>90</v>
      </c>
      <c r="B629" t="s">
        <v>5</v>
      </c>
      <c r="C629" t="s">
        <v>84</v>
      </c>
      <c r="D629" t="s">
        <v>85</v>
      </c>
      <c r="E629" t="s">
        <v>25</v>
      </c>
      <c r="F629" t="s">
        <v>85</v>
      </c>
      <c r="G629" t="s">
        <v>26</v>
      </c>
      <c r="H629" t="s">
        <v>82</v>
      </c>
      <c r="I629">
        <v>2020</v>
      </c>
      <c r="J629">
        <v>1.4E-3</v>
      </c>
      <c r="K629" t="s">
        <v>85</v>
      </c>
    </row>
    <row r="630" spans="1:11" x14ac:dyDescent="0.45">
      <c r="A630" t="s">
        <v>90</v>
      </c>
      <c r="B630" t="s">
        <v>2</v>
      </c>
      <c r="C630" t="s">
        <v>84</v>
      </c>
      <c r="D630" t="s">
        <v>85</v>
      </c>
      <c r="E630" t="s">
        <v>25</v>
      </c>
      <c r="F630" t="s">
        <v>85</v>
      </c>
      <c r="G630" t="s">
        <v>26</v>
      </c>
      <c r="H630" t="s">
        <v>82</v>
      </c>
      <c r="I630">
        <v>2020</v>
      </c>
      <c r="J630">
        <v>1.2999999999999999E-3</v>
      </c>
      <c r="K630" t="s">
        <v>85</v>
      </c>
    </row>
    <row r="631" spans="1:11" x14ac:dyDescent="0.45">
      <c r="A631" t="s">
        <v>90</v>
      </c>
      <c r="B631" t="s">
        <v>1</v>
      </c>
      <c r="C631" t="s">
        <v>84</v>
      </c>
      <c r="D631" t="s">
        <v>85</v>
      </c>
      <c r="E631" t="s">
        <v>25</v>
      </c>
      <c r="F631" t="s">
        <v>85</v>
      </c>
      <c r="G631" t="s">
        <v>26</v>
      </c>
      <c r="H631" t="s">
        <v>82</v>
      </c>
      <c r="I631">
        <v>2020</v>
      </c>
      <c r="J631">
        <v>1.2999999999999999E-3</v>
      </c>
      <c r="K631" t="s">
        <v>85</v>
      </c>
    </row>
    <row r="632" spans="1:11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2025</v>
      </c>
      <c r="J632">
        <v>5.45E-3</v>
      </c>
      <c r="K632" t="s">
        <v>85</v>
      </c>
    </row>
    <row r="633" spans="1:11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2025</v>
      </c>
      <c r="J633">
        <v>5.45E-3</v>
      </c>
      <c r="K633" t="s">
        <v>85</v>
      </c>
    </row>
    <row r="634" spans="1:11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2025</v>
      </c>
      <c r="J634">
        <v>5.5999999999999999E-3</v>
      </c>
      <c r="K634" t="s">
        <v>85</v>
      </c>
    </row>
    <row r="635" spans="1:11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2025</v>
      </c>
      <c r="J635">
        <v>5.4999999999999997E-3</v>
      </c>
      <c r="K635" t="s">
        <v>85</v>
      </c>
    </row>
    <row r="636" spans="1:11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2025</v>
      </c>
      <c r="J636">
        <v>4.3499999999999997E-3</v>
      </c>
      <c r="K636" t="s">
        <v>85</v>
      </c>
    </row>
    <row r="637" spans="1:11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2025</v>
      </c>
      <c r="J637">
        <v>5.3E-3</v>
      </c>
      <c r="K637" t="s">
        <v>85</v>
      </c>
    </row>
    <row r="638" spans="1:11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2025</v>
      </c>
      <c r="J638">
        <v>5.45E-3</v>
      </c>
      <c r="K638" t="s">
        <v>85</v>
      </c>
    </row>
    <row r="639" spans="1:11" x14ac:dyDescent="0.45">
      <c r="A639" t="s">
        <v>90</v>
      </c>
      <c r="B639" t="s">
        <v>3</v>
      </c>
      <c r="C639" t="s">
        <v>84</v>
      </c>
      <c r="D639" t="s">
        <v>85</v>
      </c>
      <c r="E639" t="s">
        <v>25</v>
      </c>
      <c r="F639" t="s">
        <v>85</v>
      </c>
      <c r="G639" t="s">
        <v>26</v>
      </c>
      <c r="H639" t="s">
        <v>82</v>
      </c>
      <c r="I639">
        <v>2030</v>
      </c>
      <c r="J639">
        <v>9.6499999999999989E-3</v>
      </c>
      <c r="K639" t="s">
        <v>85</v>
      </c>
    </row>
    <row r="640" spans="1:11" x14ac:dyDescent="0.45">
      <c r="A640" t="s">
        <v>90</v>
      </c>
      <c r="B640" t="s">
        <v>4</v>
      </c>
      <c r="C640" t="s">
        <v>84</v>
      </c>
      <c r="D640" t="s">
        <v>85</v>
      </c>
      <c r="E640" t="s">
        <v>25</v>
      </c>
      <c r="F640" t="s">
        <v>85</v>
      </c>
      <c r="G640" t="s">
        <v>26</v>
      </c>
      <c r="H640" t="s">
        <v>82</v>
      </c>
      <c r="I640">
        <v>2030</v>
      </c>
      <c r="J640">
        <v>9.6499999999999989E-3</v>
      </c>
      <c r="K640" t="s">
        <v>85</v>
      </c>
    </row>
    <row r="641" spans="1:11" x14ac:dyDescent="0.45">
      <c r="A641" t="s">
        <v>90</v>
      </c>
      <c r="B641" t="s">
        <v>0</v>
      </c>
      <c r="C641" t="s">
        <v>84</v>
      </c>
      <c r="D641" t="s">
        <v>85</v>
      </c>
      <c r="E641" t="s">
        <v>25</v>
      </c>
      <c r="F641" t="s">
        <v>85</v>
      </c>
      <c r="G641" t="s">
        <v>26</v>
      </c>
      <c r="H641" t="s">
        <v>82</v>
      </c>
      <c r="I641">
        <v>2030</v>
      </c>
      <c r="J641">
        <v>9.75E-3</v>
      </c>
      <c r="K641" t="s">
        <v>85</v>
      </c>
    </row>
    <row r="642" spans="1:11" x14ac:dyDescent="0.45">
      <c r="A642" t="s">
        <v>90</v>
      </c>
      <c r="B642" t="s">
        <v>6</v>
      </c>
      <c r="C642" t="s">
        <v>84</v>
      </c>
      <c r="D642" t="s">
        <v>85</v>
      </c>
      <c r="E642" t="s">
        <v>25</v>
      </c>
      <c r="F642" t="s">
        <v>85</v>
      </c>
      <c r="G642" t="s">
        <v>26</v>
      </c>
      <c r="H642" t="s">
        <v>82</v>
      </c>
      <c r="I642">
        <v>2030</v>
      </c>
      <c r="J642">
        <v>9.75E-3</v>
      </c>
      <c r="K642" t="s">
        <v>85</v>
      </c>
    </row>
    <row r="643" spans="1:11" x14ac:dyDescent="0.45">
      <c r="A643" t="s">
        <v>90</v>
      </c>
      <c r="B643" t="s">
        <v>5</v>
      </c>
      <c r="C643" t="s">
        <v>84</v>
      </c>
      <c r="D643" t="s">
        <v>85</v>
      </c>
      <c r="E643" t="s">
        <v>25</v>
      </c>
      <c r="F643" t="s">
        <v>85</v>
      </c>
      <c r="G643" t="s">
        <v>26</v>
      </c>
      <c r="H643" t="s">
        <v>82</v>
      </c>
      <c r="I643">
        <v>2030</v>
      </c>
      <c r="J643">
        <v>7.3000000000000001E-3</v>
      </c>
      <c r="K643" t="s">
        <v>85</v>
      </c>
    </row>
    <row r="644" spans="1:11" x14ac:dyDescent="0.45">
      <c r="A644" t="s">
        <v>90</v>
      </c>
      <c r="B644" t="s">
        <v>2</v>
      </c>
      <c r="C644" t="s">
        <v>84</v>
      </c>
      <c r="D644" t="s">
        <v>85</v>
      </c>
      <c r="E644" t="s">
        <v>25</v>
      </c>
      <c r="F644" t="s">
        <v>85</v>
      </c>
      <c r="G644" t="s">
        <v>26</v>
      </c>
      <c r="H644" t="s">
        <v>82</v>
      </c>
      <c r="I644">
        <v>2030</v>
      </c>
      <c r="J644">
        <v>9.2999999999999992E-3</v>
      </c>
      <c r="K644" t="s">
        <v>85</v>
      </c>
    </row>
    <row r="645" spans="1:11" x14ac:dyDescent="0.45">
      <c r="A645" t="s">
        <v>90</v>
      </c>
      <c r="B645" t="s">
        <v>1</v>
      </c>
      <c r="C645" t="s">
        <v>84</v>
      </c>
      <c r="D645" t="s">
        <v>85</v>
      </c>
      <c r="E645" t="s">
        <v>25</v>
      </c>
      <c r="F645" t="s">
        <v>85</v>
      </c>
      <c r="G645" t="s">
        <v>26</v>
      </c>
      <c r="H645" t="s">
        <v>82</v>
      </c>
      <c r="I645">
        <v>2030</v>
      </c>
      <c r="J645">
        <v>1.26E-2</v>
      </c>
      <c r="K645" t="s">
        <v>85</v>
      </c>
    </row>
    <row r="646" spans="1:11" x14ac:dyDescent="0.45">
      <c r="A646" t="s">
        <v>90</v>
      </c>
      <c r="B646" t="s">
        <v>3</v>
      </c>
      <c r="C646" t="s">
        <v>84</v>
      </c>
      <c r="D646" t="s">
        <v>85</v>
      </c>
      <c r="E646" t="s">
        <v>25</v>
      </c>
      <c r="F646" t="s">
        <v>85</v>
      </c>
      <c r="G646" t="s">
        <v>26</v>
      </c>
      <c r="H646" t="s">
        <v>82</v>
      </c>
      <c r="I646">
        <v>2035</v>
      </c>
      <c r="J646">
        <v>1.3350000000000001E-2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84</v>
      </c>
      <c r="D647" t="s">
        <v>85</v>
      </c>
      <c r="E647" t="s">
        <v>25</v>
      </c>
      <c r="F647" t="s">
        <v>85</v>
      </c>
      <c r="G647" t="s">
        <v>26</v>
      </c>
      <c r="H647" t="s">
        <v>82</v>
      </c>
      <c r="I647">
        <v>2035</v>
      </c>
      <c r="J647">
        <v>1.145E-2</v>
      </c>
      <c r="K647" t="s">
        <v>85</v>
      </c>
    </row>
    <row r="648" spans="1:11" x14ac:dyDescent="0.45">
      <c r="A648" t="s">
        <v>90</v>
      </c>
      <c r="B648" t="s">
        <v>0</v>
      </c>
      <c r="C648" t="s">
        <v>84</v>
      </c>
      <c r="D648" t="s">
        <v>85</v>
      </c>
      <c r="E648" t="s">
        <v>25</v>
      </c>
      <c r="F648" t="s">
        <v>85</v>
      </c>
      <c r="G648" t="s">
        <v>26</v>
      </c>
      <c r="H648" t="s">
        <v>82</v>
      </c>
      <c r="I648">
        <v>2035</v>
      </c>
      <c r="J648">
        <v>1.14E-2</v>
      </c>
      <c r="K648" t="s">
        <v>85</v>
      </c>
    </row>
    <row r="649" spans="1:11" x14ac:dyDescent="0.45">
      <c r="A649" t="s">
        <v>90</v>
      </c>
      <c r="B649" t="s">
        <v>6</v>
      </c>
      <c r="C649" t="s">
        <v>84</v>
      </c>
      <c r="D649" t="s">
        <v>85</v>
      </c>
      <c r="E649" t="s">
        <v>25</v>
      </c>
      <c r="F649" t="s">
        <v>85</v>
      </c>
      <c r="G649" t="s">
        <v>26</v>
      </c>
      <c r="H649" t="s">
        <v>82</v>
      </c>
      <c r="I649">
        <v>2035</v>
      </c>
      <c r="J649">
        <v>1.09E-2</v>
      </c>
      <c r="K649" t="s">
        <v>85</v>
      </c>
    </row>
    <row r="650" spans="1:11" x14ac:dyDescent="0.45">
      <c r="A650" t="s">
        <v>90</v>
      </c>
      <c r="B650" t="s">
        <v>5</v>
      </c>
      <c r="C650" t="s">
        <v>84</v>
      </c>
      <c r="D650" t="s">
        <v>85</v>
      </c>
      <c r="E650" t="s">
        <v>25</v>
      </c>
      <c r="F650" t="s">
        <v>85</v>
      </c>
      <c r="G650" t="s">
        <v>26</v>
      </c>
      <c r="H650" t="s">
        <v>82</v>
      </c>
      <c r="I650">
        <v>2035</v>
      </c>
      <c r="J650">
        <v>8.9499999999999996E-3</v>
      </c>
      <c r="K650" t="s">
        <v>85</v>
      </c>
    </row>
    <row r="651" spans="1:11" x14ac:dyDescent="0.45">
      <c r="A651" t="s">
        <v>90</v>
      </c>
      <c r="B651" t="s">
        <v>2</v>
      </c>
      <c r="C651" t="s">
        <v>84</v>
      </c>
      <c r="D651" t="s">
        <v>85</v>
      </c>
      <c r="E651" t="s">
        <v>25</v>
      </c>
      <c r="F651" t="s">
        <v>85</v>
      </c>
      <c r="G651" t="s">
        <v>26</v>
      </c>
      <c r="H651" t="s">
        <v>82</v>
      </c>
      <c r="I651">
        <v>2035</v>
      </c>
      <c r="J651">
        <v>1.2750000000000001E-2</v>
      </c>
      <c r="K651" t="s">
        <v>85</v>
      </c>
    </row>
    <row r="652" spans="1:11" x14ac:dyDescent="0.45">
      <c r="A652" t="s">
        <v>90</v>
      </c>
      <c r="B652" t="s">
        <v>1</v>
      </c>
      <c r="C652" t="s">
        <v>84</v>
      </c>
      <c r="D652" t="s">
        <v>85</v>
      </c>
      <c r="E652" t="s">
        <v>25</v>
      </c>
      <c r="F652" t="s">
        <v>85</v>
      </c>
      <c r="G652" t="s">
        <v>26</v>
      </c>
      <c r="H652" t="s">
        <v>82</v>
      </c>
      <c r="I652">
        <v>2035</v>
      </c>
      <c r="J652">
        <v>2.1900000000000003E-2</v>
      </c>
      <c r="K652" t="s">
        <v>85</v>
      </c>
    </row>
    <row r="653" spans="1:11" x14ac:dyDescent="0.45">
      <c r="A653" t="s">
        <v>90</v>
      </c>
      <c r="B653" t="s">
        <v>3</v>
      </c>
      <c r="C653" t="s">
        <v>84</v>
      </c>
      <c r="D653" t="s">
        <v>85</v>
      </c>
      <c r="E653" t="s">
        <v>25</v>
      </c>
      <c r="F653" t="s">
        <v>85</v>
      </c>
      <c r="G653" t="s">
        <v>26</v>
      </c>
      <c r="H653" t="s">
        <v>82</v>
      </c>
      <c r="I653">
        <v>2040</v>
      </c>
      <c r="J653">
        <v>1.7049999999999999E-2</v>
      </c>
      <c r="K653" t="s">
        <v>85</v>
      </c>
    </row>
    <row r="654" spans="1:11" x14ac:dyDescent="0.45">
      <c r="A654" t="s">
        <v>90</v>
      </c>
      <c r="B654" t="s">
        <v>4</v>
      </c>
      <c r="C654" t="s">
        <v>84</v>
      </c>
      <c r="D654" t="s">
        <v>85</v>
      </c>
      <c r="E654" t="s">
        <v>25</v>
      </c>
      <c r="F654" t="s">
        <v>85</v>
      </c>
      <c r="G654" t="s">
        <v>26</v>
      </c>
      <c r="H654" t="s">
        <v>82</v>
      </c>
      <c r="I654">
        <v>2040</v>
      </c>
      <c r="J654">
        <v>1.1800000000000001E-2</v>
      </c>
      <c r="K654" t="s">
        <v>85</v>
      </c>
    </row>
    <row r="655" spans="1:11" x14ac:dyDescent="0.45">
      <c r="A655" t="s">
        <v>90</v>
      </c>
      <c r="B655" t="s">
        <v>0</v>
      </c>
      <c r="C655" t="s">
        <v>84</v>
      </c>
      <c r="D655" t="s">
        <v>85</v>
      </c>
      <c r="E655" t="s">
        <v>25</v>
      </c>
      <c r="F655" t="s">
        <v>85</v>
      </c>
      <c r="G655" t="s">
        <v>26</v>
      </c>
      <c r="H655" t="s">
        <v>82</v>
      </c>
      <c r="I655">
        <v>2040</v>
      </c>
      <c r="J655">
        <v>1.495E-2</v>
      </c>
      <c r="K655" t="s">
        <v>85</v>
      </c>
    </row>
    <row r="656" spans="1:11" x14ac:dyDescent="0.45">
      <c r="A656" t="s">
        <v>90</v>
      </c>
      <c r="B656" t="s">
        <v>6</v>
      </c>
      <c r="C656" t="s">
        <v>84</v>
      </c>
      <c r="D656" t="s">
        <v>85</v>
      </c>
      <c r="E656" t="s">
        <v>25</v>
      </c>
      <c r="F656" t="s">
        <v>85</v>
      </c>
      <c r="G656" t="s">
        <v>26</v>
      </c>
      <c r="H656" t="s">
        <v>82</v>
      </c>
      <c r="I656">
        <v>2040</v>
      </c>
      <c r="J656">
        <v>1.325E-2</v>
      </c>
      <c r="K656" t="s">
        <v>85</v>
      </c>
    </row>
    <row r="657" spans="1:11" x14ac:dyDescent="0.45">
      <c r="A657" t="s">
        <v>90</v>
      </c>
      <c r="B657" t="s">
        <v>5</v>
      </c>
      <c r="C657" t="s">
        <v>84</v>
      </c>
      <c r="D657" t="s">
        <v>85</v>
      </c>
      <c r="E657" t="s">
        <v>25</v>
      </c>
      <c r="F657" t="s">
        <v>85</v>
      </c>
      <c r="G657" t="s">
        <v>26</v>
      </c>
      <c r="H657" t="s">
        <v>82</v>
      </c>
      <c r="I657">
        <v>2040</v>
      </c>
      <c r="J657">
        <v>1.06E-2</v>
      </c>
      <c r="K657" t="s">
        <v>85</v>
      </c>
    </row>
    <row r="658" spans="1:11" x14ac:dyDescent="0.45">
      <c r="A658" t="s">
        <v>90</v>
      </c>
      <c r="B658" t="s">
        <v>2</v>
      </c>
      <c r="C658" t="s">
        <v>84</v>
      </c>
      <c r="D658" t="s">
        <v>85</v>
      </c>
      <c r="E658" t="s">
        <v>25</v>
      </c>
      <c r="F658" t="s">
        <v>85</v>
      </c>
      <c r="G658" t="s">
        <v>26</v>
      </c>
      <c r="H658" t="s">
        <v>82</v>
      </c>
      <c r="I658">
        <v>2040</v>
      </c>
      <c r="J658">
        <v>1.865E-2</v>
      </c>
      <c r="K658" t="s">
        <v>85</v>
      </c>
    </row>
    <row r="659" spans="1:11" x14ac:dyDescent="0.45">
      <c r="A659" t="s">
        <v>90</v>
      </c>
      <c r="B659" t="s">
        <v>1</v>
      </c>
      <c r="C659" t="s">
        <v>84</v>
      </c>
      <c r="D659" t="s">
        <v>85</v>
      </c>
      <c r="E659" t="s">
        <v>25</v>
      </c>
      <c r="F659" t="s">
        <v>85</v>
      </c>
      <c r="G659" t="s">
        <v>26</v>
      </c>
      <c r="H659" t="s">
        <v>82</v>
      </c>
      <c r="I659">
        <v>2040</v>
      </c>
      <c r="J659">
        <v>2.8999999999999998E-2</v>
      </c>
      <c r="K659" t="s">
        <v>85</v>
      </c>
    </row>
    <row r="660" spans="1:11" x14ac:dyDescent="0.45">
      <c r="A660" t="s">
        <v>90</v>
      </c>
      <c r="B660" t="s">
        <v>3</v>
      </c>
      <c r="C660" t="s">
        <v>84</v>
      </c>
      <c r="D660" t="s">
        <v>85</v>
      </c>
      <c r="E660" t="s">
        <v>25</v>
      </c>
      <c r="F660" t="s">
        <v>85</v>
      </c>
      <c r="G660" t="s">
        <v>26</v>
      </c>
      <c r="H660" t="s">
        <v>82</v>
      </c>
      <c r="I660">
        <v>2045</v>
      </c>
      <c r="J660">
        <v>2.3449999999999999E-2</v>
      </c>
      <c r="K660" t="s">
        <v>85</v>
      </c>
    </row>
    <row r="661" spans="1:11" x14ac:dyDescent="0.45">
      <c r="A661" t="s">
        <v>90</v>
      </c>
      <c r="B661" t="s">
        <v>4</v>
      </c>
      <c r="C661" t="s">
        <v>84</v>
      </c>
      <c r="D661" t="s">
        <v>85</v>
      </c>
      <c r="E661" t="s">
        <v>25</v>
      </c>
      <c r="F661" t="s">
        <v>85</v>
      </c>
      <c r="G661" t="s">
        <v>26</v>
      </c>
      <c r="H661" t="s">
        <v>82</v>
      </c>
      <c r="I661">
        <v>2045</v>
      </c>
      <c r="J661">
        <v>1.26E-2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84</v>
      </c>
      <c r="D662" t="s">
        <v>85</v>
      </c>
      <c r="E662" t="s">
        <v>25</v>
      </c>
      <c r="F662" t="s">
        <v>85</v>
      </c>
      <c r="G662" t="s">
        <v>26</v>
      </c>
      <c r="H662" t="s">
        <v>82</v>
      </c>
      <c r="I662">
        <v>2045</v>
      </c>
      <c r="J662">
        <v>2.5250000000000002E-2</v>
      </c>
      <c r="K662" t="s">
        <v>85</v>
      </c>
    </row>
    <row r="663" spans="1:11" x14ac:dyDescent="0.45">
      <c r="A663" t="s">
        <v>90</v>
      </c>
      <c r="B663" t="s">
        <v>6</v>
      </c>
      <c r="C663" t="s">
        <v>84</v>
      </c>
      <c r="D663" t="s">
        <v>85</v>
      </c>
      <c r="E663" t="s">
        <v>25</v>
      </c>
      <c r="F663" t="s">
        <v>85</v>
      </c>
      <c r="G663" t="s">
        <v>26</v>
      </c>
      <c r="H663" t="s">
        <v>82</v>
      </c>
      <c r="I663">
        <v>2045</v>
      </c>
      <c r="J663">
        <v>1.9700000000000002E-2</v>
      </c>
      <c r="K663" t="s">
        <v>85</v>
      </c>
    </row>
    <row r="664" spans="1:11" x14ac:dyDescent="0.45">
      <c r="A664" t="s">
        <v>90</v>
      </c>
      <c r="B664" t="s">
        <v>5</v>
      </c>
      <c r="C664" t="s">
        <v>84</v>
      </c>
      <c r="D664" t="s">
        <v>85</v>
      </c>
      <c r="E664" t="s">
        <v>25</v>
      </c>
      <c r="F664" t="s">
        <v>85</v>
      </c>
      <c r="G664" t="s">
        <v>26</v>
      </c>
      <c r="H664" t="s">
        <v>82</v>
      </c>
      <c r="I664">
        <v>2045</v>
      </c>
      <c r="J664">
        <v>1.03E-2</v>
      </c>
      <c r="K664" t="s">
        <v>85</v>
      </c>
    </row>
    <row r="665" spans="1:11" x14ac:dyDescent="0.45">
      <c r="A665" t="s">
        <v>90</v>
      </c>
      <c r="B665" t="s">
        <v>2</v>
      </c>
      <c r="C665" t="s">
        <v>84</v>
      </c>
      <c r="D665" t="s">
        <v>85</v>
      </c>
      <c r="E665" t="s">
        <v>25</v>
      </c>
      <c r="F665" t="s">
        <v>85</v>
      </c>
      <c r="G665" t="s">
        <v>26</v>
      </c>
      <c r="H665" t="s">
        <v>82</v>
      </c>
      <c r="I665">
        <v>2045</v>
      </c>
      <c r="J665">
        <v>2.7900000000000001E-2</v>
      </c>
      <c r="K665" t="s">
        <v>85</v>
      </c>
    </row>
    <row r="666" spans="1:11" x14ac:dyDescent="0.45">
      <c r="A666" t="s">
        <v>90</v>
      </c>
      <c r="B666" t="s">
        <v>1</v>
      </c>
      <c r="C666" t="s">
        <v>84</v>
      </c>
      <c r="D666" t="s">
        <v>85</v>
      </c>
      <c r="E666" t="s">
        <v>25</v>
      </c>
      <c r="F666" t="s">
        <v>85</v>
      </c>
      <c r="G666" t="s">
        <v>26</v>
      </c>
      <c r="H666" t="s">
        <v>82</v>
      </c>
      <c r="I666">
        <v>2045</v>
      </c>
      <c r="J666">
        <v>3.5700000000000003E-2</v>
      </c>
      <c r="K666" t="s">
        <v>85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2050</v>
      </c>
      <c r="J667">
        <v>2.92E-2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2050</v>
      </c>
      <c r="J668">
        <v>1.52E-2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2050</v>
      </c>
      <c r="J669">
        <v>3.6249999999999998E-2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2050</v>
      </c>
      <c r="J670">
        <v>2.8199999999999999E-2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2050</v>
      </c>
      <c r="J671">
        <v>1.06E-2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2050</v>
      </c>
      <c r="J672">
        <v>3.5250000000000004E-2</v>
      </c>
      <c r="K672" t="s">
        <v>85</v>
      </c>
    </row>
    <row r="673" spans="1:11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2050</v>
      </c>
      <c r="J673">
        <v>3.8800000000000001E-2</v>
      </c>
      <c r="K673" t="s">
        <v>85</v>
      </c>
    </row>
    <row r="674" spans="1:11" x14ac:dyDescent="0.45">
      <c r="A674" t="s">
        <v>90</v>
      </c>
      <c r="B674" t="s">
        <v>3</v>
      </c>
      <c r="C674" t="s">
        <v>84</v>
      </c>
      <c r="D674" t="s">
        <v>85</v>
      </c>
      <c r="E674" t="s">
        <v>25</v>
      </c>
      <c r="F674" t="s">
        <v>85</v>
      </c>
      <c r="G674" t="s">
        <v>26</v>
      </c>
      <c r="H674" t="s">
        <v>82</v>
      </c>
      <c r="I674">
        <v>2055</v>
      </c>
      <c r="J674">
        <v>3.3949999999999994E-2</v>
      </c>
      <c r="K674" t="s">
        <v>85</v>
      </c>
    </row>
    <row r="675" spans="1:11" x14ac:dyDescent="0.45">
      <c r="A675" t="s">
        <v>90</v>
      </c>
      <c r="B675" t="s">
        <v>4</v>
      </c>
      <c r="C675" t="s">
        <v>84</v>
      </c>
      <c r="D675" t="s">
        <v>85</v>
      </c>
      <c r="E675" t="s">
        <v>25</v>
      </c>
      <c r="F675" t="s">
        <v>85</v>
      </c>
      <c r="G675" t="s">
        <v>26</v>
      </c>
      <c r="H675" t="s">
        <v>82</v>
      </c>
      <c r="I675">
        <v>2055</v>
      </c>
      <c r="J675">
        <v>1.355E-2</v>
      </c>
      <c r="K675" t="s">
        <v>85</v>
      </c>
    </row>
    <row r="676" spans="1:11" x14ac:dyDescent="0.45">
      <c r="A676" t="s">
        <v>90</v>
      </c>
      <c r="B676" t="s">
        <v>0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2055</v>
      </c>
      <c r="J676">
        <v>4.2950000000000002E-2</v>
      </c>
      <c r="K676" t="s">
        <v>85</v>
      </c>
    </row>
    <row r="677" spans="1:11" x14ac:dyDescent="0.45">
      <c r="A677" t="s">
        <v>90</v>
      </c>
      <c r="B677" t="s">
        <v>6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2055</v>
      </c>
      <c r="J677">
        <v>3.32E-2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2055</v>
      </c>
      <c r="J678">
        <v>1.09E-2</v>
      </c>
      <c r="K678" t="s">
        <v>85</v>
      </c>
    </row>
    <row r="679" spans="1:11" x14ac:dyDescent="0.45">
      <c r="A679" t="s">
        <v>90</v>
      </c>
      <c r="B679" t="s">
        <v>2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2055</v>
      </c>
      <c r="J679">
        <v>3.9599999999999996E-2</v>
      </c>
      <c r="K679" t="s">
        <v>85</v>
      </c>
    </row>
    <row r="680" spans="1:11" x14ac:dyDescent="0.45">
      <c r="A680" t="s">
        <v>90</v>
      </c>
      <c r="B680" t="s">
        <v>1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2055</v>
      </c>
      <c r="J680">
        <v>4.0050000000000002E-2</v>
      </c>
      <c r="K680" t="s">
        <v>85</v>
      </c>
    </row>
    <row r="681" spans="1:11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2060</v>
      </c>
      <c r="J681">
        <v>3.9E-2</v>
      </c>
      <c r="K681" t="s">
        <v>85</v>
      </c>
    </row>
    <row r="682" spans="1:11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2060</v>
      </c>
      <c r="J682">
        <v>2.0400000000000001E-2</v>
      </c>
      <c r="K682" t="s">
        <v>85</v>
      </c>
    </row>
    <row r="683" spans="1:11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2060</v>
      </c>
      <c r="J683">
        <v>5.2150000000000002E-2</v>
      </c>
      <c r="K683" t="s">
        <v>85</v>
      </c>
    </row>
    <row r="684" spans="1:11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3.9150000000000004E-2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2060</v>
      </c>
      <c r="J685">
        <v>1.44E-2</v>
      </c>
      <c r="K685" t="s">
        <v>85</v>
      </c>
    </row>
    <row r="686" spans="1:11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2060</v>
      </c>
      <c r="J686">
        <v>4.4650000000000002E-2</v>
      </c>
      <c r="K686" t="s">
        <v>85</v>
      </c>
    </row>
    <row r="687" spans="1:11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2060</v>
      </c>
      <c r="J687">
        <v>4.24E-2</v>
      </c>
      <c r="K687" t="s">
        <v>85</v>
      </c>
    </row>
    <row r="688" spans="1:11" x14ac:dyDescent="0.45">
      <c r="A688" t="s">
        <v>90</v>
      </c>
      <c r="B688" t="s">
        <v>3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2065</v>
      </c>
      <c r="J688">
        <v>3.8000000000000006E-2</v>
      </c>
      <c r="K688" t="s">
        <v>85</v>
      </c>
    </row>
    <row r="689" spans="1:11" x14ac:dyDescent="0.45">
      <c r="A689" t="s">
        <v>90</v>
      </c>
      <c r="B689" t="s">
        <v>4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2065</v>
      </c>
      <c r="J689">
        <v>2.4199999999999999E-2</v>
      </c>
      <c r="K689" t="s">
        <v>85</v>
      </c>
    </row>
    <row r="690" spans="1:11" x14ac:dyDescent="0.45">
      <c r="A690" t="s">
        <v>90</v>
      </c>
      <c r="B690" t="s">
        <v>0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2065</v>
      </c>
      <c r="J690">
        <v>5.3999999999999999E-2</v>
      </c>
      <c r="K690" t="s">
        <v>85</v>
      </c>
    </row>
    <row r="691" spans="1:11" x14ac:dyDescent="0.45">
      <c r="A691" t="s">
        <v>90</v>
      </c>
      <c r="B691" t="s">
        <v>6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2065</v>
      </c>
      <c r="J691">
        <v>3.8349999999999995E-2</v>
      </c>
      <c r="K691" t="s">
        <v>85</v>
      </c>
    </row>
    <row r="692" spans="1:11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2065</v>
      </c>
      <c r="J692">
        <v>1.5299999999999999E-2</v>
      </c>
      <c r="K692" t="s">
        <v>85</v>
      </c>
    </row>
    <row r="693" spans="1:11" x14ac:dyDescent="0.45">
      <c r="A693" t="s">
        <v>90</v>
      </c>
      <c r="B693" t="s">
        <v>2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2065</v>
      </c>
      <c r="J693">
        <v>4.3550000000000005E-2</v>
      </c>
      <c r="K693" t="s">
        <v>85</v>
      </c>
    </row>
    <row r="694" spans="1:11" x14ac:dyDescent="0.45">
      <c r="A694" t="s">
        <v>90</v>
      </c>
      <c r="B694" t="s">
        <v>1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2065</v>
      </c>
      <c r="J694">
        <v>4.1249999999999995E-2</v>
      </c>
      <c r="K694" t="s">
        <v>85</v>
      </c>
    </row>
    <row r="695" spans="1:11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2070</v>
      </c>
      <c r="J695">
        <v>3.7949999999999998E-2</v>
      </c>
      <c r="K695" t="s">
        <v>85</v>
      </c>
    </row>
    <row r="696" spans="1:11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2070</v>
      </c>
      <c r="J696">
        <v>2.7349999999999999E-2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2070</v>
      </c>
      <c r="J697">
        <v>5.8049999999999997E-2</v>
      </c>
      <c r="K697" t="s">
        <v>85</v>
      </c>
    </row>
    <row r="698" spans="1:11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2070</v>
      </c>
      <c r="J698">
        <v>3.7599999999999995E-2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2070</v>
      </c>
      <c r="J699">
        <v>1.6449999999999999E-2</v>
      </c>
      <c r="K699" t="s">
        <v>85</v>
      </c>
    </row>
    <row r="700" spans="1:11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2070</v>
      </c>
      <c r="J700">
        <v>4.36E-2</v>
      </c>
      <c r="K700" t="s">
        <v>85</v>
      </c>
    </row>
    <row r="701" spans="1:11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2070</v>
      </c>
      <c r="J701">
        <v>4.2050000000000004E-2</v>
      </c>
      <c r="K701" t="s">
        <v>85</v>
      </c>
    </row>
    <row r="702" spans="1:11" x14ac:dyDescent="0.45">
      <c r="A702" t="s">
        <v>90</v>
      </c>
      <c r="B702" t="s">
        <v>3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2075</v>
      </c>
      <c r="J702">
        <v>3.6999999999999998E-2</v>
      </c>
      <c r="K702" t="s">
        <v>85</v>
      </c>
    </row>
    <row r="703" spans="1:11" x14ac:dyDescent="0.45">
      <c r="A703" t="s">
        <v>90</v>
      </c>
      <c r="B703" t="s">
        <v>4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2075</v>
      </c>
      <c r="J703">
        <v>3.2049999999999995E-2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5.5199999999999999E-2</v>
      </c>
      <c r="K704" t="s">
        <v>85</v>
      </c>
    </row>
    <row r="705" spans="1:11" x14ac:dyDescent="0.45">
      <c r="A705" t="s">
        <v>90</v>
      </c>
      <c r="B705" t="s">
        <v>6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2075</v>
      </c>
      <c r="J705">
        <v>3.7250000000000005E-2</v>
      </c>
      <c r="K705" t="s">
        <v>85</v>
      </c>
    </row>
    <row r="706" spans="1:11" x14ac:dyDescent="0.45">
      <c r="A706" t="s">
        <v>90</v>
      </c>
      <c r="B706" t="s">
        <v>5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2075</v>
      </c>
      <c r="J706">
        <v>1.5949999999999999E-2</v>
      </c>
      <c r="K706" t="s">
        <v>85</v>
      </c>
    </row>
    <row r="707" spans="1:11" x14ac:dyDescent="0.45">
      <c r="A707" t="s">
        <v>90</v>
      </c>
      <c r="B707" t="s">
        <v>2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2075</v>
      </c>
      <c r="J707">
        <v>4.36E-2</v>
      </c>
      <c r="K707" t="s">
        <v>85</v>
      </c>
    </row>
    <row r="708" spans="1:11" x14ac:dyDescent="0.45">
      <c r="A708" t="s">
        <v>90</v>
      </c>
      <c r="B708" t="s">
        <v>1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2075</v>
      </c>
      <c r="J708">
        <v>4.2800000000000005E-2</v>
      </c>
      <c r="K708" t="s">
        <v>85</v>
      </c>
    </row>
    <row r="709" spans="1:11" x14ac:dyDescent="0.45">
      <c r="A709" t="s">
        <v>90</v>
      </c>
      <c r="B709" t="s">
        <v>3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2080</v>
      </c>
      <c r="J709">
        <v>3.6499999999999998E-2</v>
      </c>
      <c r="K709" t="s">
        <v>85</v>
      </c>
    </row>
    <row r="710" spans="1:11" x14ac:dyDescent="0.45">
      <c r="A710" t="s">
        <v>90</v>
      </c>
      <c r="B710" t="s">
        <v>4</v>
      </c>
      <c r="C710" t="s">
        <v>84</v>
      </c>
      <c r="D710" t="s">
        <v>85</v>
      </c>
      <c r="E710" t="s">
        <v>25</v>
      </c>
      <c r="F710" t="s">
        <v>85</v>
      </c>
      <c r="G710" t="s">
        <v>26</v>
      </c>
      <c r="H710" t="s">
        <v>82</v>
      </c>
      <c r="I710">
        <v>2080</v>
      </c>
      <c r="J710">
        <v>3.585E-2</v>
      </c>
      <c r="K710" t="s">
        <v>85</v>
      </c>
    </row>
    <row r="711" spans="1:11" x14ac:dyDescent="0.45">
      <c r="A711" t="s">
        <v>90</v>
      </c>
      <c r="B711" t="s">
        <v>0</v>
      </c>
      <c r="C711" t="s">
        <v>84</v>
      </c>
      <c r="D711" t="s">
        <v>85</v>
      </c>
      <c r="E711" t="s">
        <v>25</v>
      </c>
      <c r="F711" t="s">
        <v>85</v>
      </c>
      <c r="G711" t="s">
        <v>26</v>
      </c>
      <c r="H711" t="s">
        <v>82</v>
      </c>
      <c r="I711">
        <v>2080</v>
      </c>
      <c r="J711">
        <v>5.2400000000000002E-2</v>
      </c>
      <c r="K711" t="s">
        <v>85</v>
      </c>
    </row>
    <row r="712" spans="1:11" x14ac:dyDescent="0.45">
      <c r="A712" t="s">
        <v>90</v>
      </c>
      <c r="B712" t="s">
        <v>6</v>
      </c>
      <c r="C712" t="s">
        <v>84</v>
      </c>
      <c r="D712" t="s">
        <v>85</v>
      </c>
      <c r="E712" t="s">
        <v>25</v>
      </c>
      <c r="F712" t="s">
        <v>85</v>
      </c>
      <c r="G712" t="s">
        <v>26</v>
      </c>
      <c r="H712" t="s">
        <v>82</v>
      </c>
      <c r="I712">
        <v>2080</v>
      </c>
      <c r="J712">
        <v>3.7499999999999999E-2</v>
      </c>
      <c r="K712" t="s">
        <v>85</v>
      </c>
    </row>
    <row r="713" spans="1:11" x14ac:dyDescent="0.45">
      <c r="A713" t="s">
        <v>90</v>
      </c>
      <c r="B713" t="s">
        <v>5</v>
      </c>
      <c r="C713" t="s">
        <v>84</v>
      </c>
      <c r="D713" t="s">
        <v>85</v>
      </c>
      <c r="E713" t="s">
        <v>25</v>
      </c>
      <c r="F713" t="s">
        <v>85</v>
      </c>
      <c r="G713" t="s">
        <v>26</v>
      </c>
      <c r="H713" t="s">
        <v>82</v>
      </c>
      <c r="I713">
        <v>2080</v>
      </c>
      <c r="J713">
        <v>1.5599999999999999E-2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84</v>
      </c>
      <c r="D714" t="s">
        <v>85</v>
      </c>
      <c r="E714" t="s">
        <v>25</v>
      </c>
      <c r="F714" t="s">
        <v>85</v>
      </c>
      <c r="G714" t="s">
        <v>26</v>
      </c>
      <c r="H714" t="s">
        <v>82</v>
      </c>
      <c r="I714">
        <v>2080</v>
      </c>
      <c r="J714">
        <v>4.4200000000000003E-2</v>
      </c>
      <c r="K714" t="s">
        <v>85</v>
      </c>
    </row>
    <row r="715" spans="1:11" x14ac:dyDescent="0.45">
      <c r="A715" t="s">
        <v>90</v>
      </c>
      <c r="B715" t="s">
        <v>1</v>
      </c>
      <c r="C715" t="s">
        <v>84</v>
      </c>
      <c r="D715" t="s">
        <v>85</v>
      </c>
      <c r="E715" t="s">
        <v>25</v>
      </c>
      <c r="F715" t="s">
        <v>85</v>
      </c>
      <c r="G715" t="s">
        <v>26</v>
      </c>
      <c r="H715" t="s">
        <v>82</v>
      </c>
      <c r="I715">
        <v>2080</v>
      </c>
      <c r="J715">
        <v>4.4900000000000002E-2</v>
      </c>
      <c r="K715" t="s">
        <v>85</v>
      </c>
    </row>
    <row r="716" spans="1:11" x14ac:dyDescent="0.45">
      <c r="A716" t="s">
        <v>90</v>
      </c>
      <c r="B716" t="s">
        <v>3</v>
      </c>
      <c r="C716" t="s">
        <v>84</v>
      </c>
      <c r="D716" t="s">
        <v>85</v>
      </c>
      <c r="E716" t="s">
        <v>25</v>
      </c>
      <c r="F716" t="s">
        <v>85</v>
      </c>
      <c r="G716" t="s">
        <v>26</v>
      </c>
      <c r="H716" t="s">
        <v>82</v>
      </c>
      <c r="I716">
        <v>2085</v>
      </c>
      <c r="J716">
        <v>3.5650000000000001E-2</v>
      </c>
      <c r="K716" t="s">
        <v>85</v>
      </c>
    </row>
    <row r="717" spans="1:11" x14ac:dyDescent="0.45">
      <c r="A717" t="s">
        <v>90</v>
      </c>
      <c r="B717" t="s">
        <v>4</v>
      </c>
      <c r="C717" t="s">
        <v>84</v>
      </c>
      <c r="D717" t="s">
        <v>85</v>
      </c>
      <c r="E717" t="s">
        <v>25</v>
      </c>
      <c r="F717" t="s">
        <v>85</v>
      </c>
      <c r="G717" t="s">
        <v>26</v>
      </c>
      <c r="H717" t="s">
        <v>82</v>
      </c>
      <c r="I717">
        <v>2085</v>
      </c>
      <c r="J717">
        <v>3.9800000000000002E-2</v>
      </c>
      <c r="K717" t="s">
        <v>85</v>
      </c>
    </row>
    <row r="718" spans="1:11" x14ac:dyDescent="0.45">
      <c r="A718" t="s">
        <v>90</v>
      </c>
      <c r="B718" t="s">
        <v>0</v>
      </c>
      <c r="C718" t="s">
        <v>84</v>
      </c>
      <c r="D718" t="s">
        <v>85</v>
      </c>
      <c r="E718" t="s">
        <v>25</v>
      </c>
      <c r="F718" t="s">
        <v>85</v>
      </c>
      <c r="G718" t="s">
        <v>26</v>
      </c>
      <c r="H718" t="s">
        <v>82</v>
      </c>
      <c r="I718">
        <v>2085</v>
      </c>
      <c r="J718">
        <v>5.0449999999999995E-2</v>
      </c>
      <c r="K718" t="s">
        <v>85</v>
      </c>
    </row>
    <row r="719" spans="1:11" x14ac:dyDescent="0.45">
      <c r="A719" t="s">
        <v>90</v>
      </c>
      <c r="B719" t="s">
        <v>6</v>
      </c>
      <c r="C719" t="s">
        <v>84</v>
      </c>
      <c r="D719" t="s">
        <v>85</v>
      </c>
      <c r="E719" t="s">
        <v>25</v>
      </c>
      <c r="F719" t="s">
        <v>85</v>
      </c>
      <c r="G719" t="s">
        <v>26</v>
      </c>
      <c r="H719" t="s">
        <v>82</v>
      </c>
      <c r="I719">
        <v>2085</v>
      </c>
      <c r="J719">
        <v>3.8600000000000002E-2</v>
      </c>
      <c r="K719" t="s">
        <v>85</v>
      </c>
    </row>
    <row r="720" spans="1:11" x14ac:dyDescent="0.45">
      <c r="A720" t="s">
        <v>90</v>
      </c>
      <c r="B720" t="s">
        <v>5</v>
      </c>
      <c r="C720" t="s">
        <v>84</v>
      </c>
      <c r="D720" t="s">
        <v>85</v>
      </c>
      <c r="E720" t="s">
        <v>25</v>
      </c>
      <c r="F720" t="s">
        <v>85</v>
      </c>
      <c r="G720" t="s">
        <v>26</v>
      </c>
      <c r="H720" t="s">
        <v>82</v>
      </c>
      <c r="I720">
        <v>2085</v>
      </c>
      <c r="J720">
        <v>1.55E-2</v>
      </c>
      <c r="K720" t="s">
        <v>85</v>
      </c>
    </row>
    <row r="721" spans="1:11" x14ac:dyDescent="0.45">
      <c r="A721" t="s">
        <v>90</v>
      </c>
      <c r="B721" t="s">
        <v>2</v>
      </c>
      <c r="C721" t="s">
        <v>84</v>
      </c>
      <c r="D721" t="s">
        <v>85</v>
      </c>
      <c r="E721" t="s">
        <v>25</v>
      </c>
      <c r="F721" t="s">
        <v>85</v>
      </c>
      <c r="G721" t="s">
        <v>26</v>
      </c>
      <c r="H721" t="s">
        <v>82</v>
      </c>
      <c r="I721">
        <v>2085</v>
      </c>
      <c r="J721">
        <v>4.4299999999999999E-2</v>
      </c>
      <c r="K721" t="s">
        <v>85</v>
      </c>
    </row>
    <row r="722" spans="1:11" x14ac:dyDescent="0.45">
      <c r="A722" t="s">
        <v>90</v>
      </c>
      <c r="B722" t="s">
        <v>1</v>
      </c>
      <c r="C722" t="s">
        <v>84</v>
      </c>
      <c r="D722" t="s">
        <v>85</v>
      </c>
      <c r="E722" t="s">
        <v>25</v>
      </c>
      <c r="F722" t="s">
        <v>85</v>
      </c>
      <c r="G722" t="s">
        <v>26</v>
      </c>
      <c r="H722" t="s">
        <v>82</v>
      </c>
      <c r="I722">
        <v>2085</v>
      </c>
      <c r="J722">
        <v>4.5700000000000005E-2</v>
      </c>
      <c r="K722" t="s">
        <v>85</v>
      </c>
    </row>
    <row r="723" spans="1:11" x14ac:dyDescent="0.45">
      <c r="A723" t="s">
        <v>90</v>
      </c>
      <c r="B723" t="s">
        <v>3</v>
      </c>
      <c r="C723" t="s">
        <v>84</v>
      </c>
      <c r="D723" t="s">
        <v>85</v>
      </c>
      <c r="E723" t="s">
        <v>25</v>
      </c>
      <c r="F723" t="s">
        <v>85</v>
      </c>
      <c r="G723" t="s">
        <v>26</v>
      </c>
      <c r="H723" t="s">
        <v>82</v>
      </c>
      <c r="I723">
        <v>2090</v>
      </c>
      <c r="J723">
        <v>3.49E-2</v>
      </c>
      <c r="K723" t="s">
        <v>85</v>
      </c>
    </row>
    <row r="724" spans="1:11" x14ac:dyDescent="0.45">
      <c r="A724" t="s">
        <v>90</v>
      </c>
      <c r="B724" t="s">
        <v>4</v>
      </c>
      <c r="C724" t="s">
        <v>84</v>
      </c>
      <c r="D724" t="s">
        <v>85</v>
      </c>
      <c r="E724" t="s">
        <v>25</v>
      </c>
      <c r="F724" t="s">
        <v>85</v>
      </c>
      <c r="G724" t="s">
        <v>26</v>
      </c>
      <c r="H724" t="s">
        <v>82</v>
      </c>
      <c r="I724">
        <v>2090</v>
      </c>
      <c r="J724">
        <v>4.335E-2</v>
      </c>
      <c r="K724" t="s">
        <v>85</v>
      </c>
    </row>
    <row r="725" spans="1:11" x14ac:dyDescent="0.45">
      <c r="A725" t="s">
        <v>90</v>
      </c>
      <c r="B725" t="s">
        <v>0</v>
      </c>
      <c r="C725" t="s">
        <v>84</v>
      </c>
      <c r="D725" t="s">
        <v>85</v>
      </c>
      <c r="E725" t="s">
        <v>25</v>
      </c>
      <c r="F725" t="s">
        <v>85</v>
      </c>
      <c r="G725" t="s">
        <v>26</v>
      </c>
      <c r="H725" t="s">
        <v>82</v>
      </c>
      <c r="I725">
        <v>2090</v>
      </c>
      <c r="J725">
        <v>4.8750000000000002E-2</v>
      </c>
      <c r="K725" t="s">
        <v>85</v>
      </c>
    </row>
    <row r="726" spans="1:11" x14ac:dyDescent="0.45">
      <c r="A726" t="s">
        <v>90</v>
      </c>
      <c r="B726" t="s">
        <v>6</v>
      </c>
      <c r="C726" t="s">
        <v>84</v>
      </c>
      <c r="D726" t="s">
        <v>85</v>
      </c>
      <c r="E726" t="s">
        <v>25</v>
      </c>
      <c r="F726" t="s">
        <v>85</v>
      </c>
      <c r="G726" t="s">
        <v>26</v>
      </c>
      <c r="H726" t="s">
        <v>82</v>
      </c>
      <c r="I726">
        <v>2090</v>
      </c>
      <c r="J726">
        <v>4.0250000000000001E-2</v>
      </c>
      <c r="K726" t="s">
        <v>85</v>
      </c>
    </row>
    <row r="727" spans="1:11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2090</v>
      </c>
      <c r="J727">
        <v>1.545E-2</v>
      </c>
      <c r="K727" t="s">
        <v>85</v>
      </c>
    </row>
    <row r="728" spans="1:11" x14ac:dyDescent="0.45">
      <c r="A728" t="s">
        <v>90</v>
      </c>
      <c r="B728" t="s">
        <v>2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2090</v>
      </c>
      <c r="J728">
        <v>4.4600000000000001E-2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2090</v>
      </c>
      <c r="J729">
        <v>4.6850000000000003E-2</v>
      </c>
      <c r="K729" t="s">
        <v>85</v>
      </c>
    </row>
    <row r="730" spans="1:11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2095</v>
      </c>
      <c r="J730">
        <v>3.4349999999999999E-2</v>
      </c>
      <c r="K730" t="s">
        <v>85</v>
      </c>
    </row>
    <row r="731" spans="1:11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2095</v>
      </c>
      <c r="J731">
        <v>4.4600000000000001E-2</v>
      </c>
      <c r="K731" t="s">
        <v>85</v>
      </c>
    </row>
    <row r="732" spans="1:11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2095</v>
      </c>
      <c r="J732">
        <v>4.795E-2</v>
      </c>
      <c r="K732" t="s">
        <v>85</v>
      </c>
    </row>
    <row r="733" spans="1:11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2095</v>
      </c>
      <c r="J733">
        <v>3.9400000000000004E-2</v>
      </c>
      <c r="K733" t="s">
        <v>85</v>
      </c>
    </row>
    <row r="734" spans="1:11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2095</v>
      </c>
      <c r="J734">
        <v>1.6E-2</v>
      </c>
      <c r="K734" t="s">
        <v>85</v>
      </c>
    </row>
    <row r="735" spans="1:11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2095</v>
      </c>
      <c r="J735">
        <v>4.36E-2</v>
      </c>
      <c r="K735" t="s">
        <v>85</v>
      </c>
    </row>
    <row r="736" spans="1:11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2095</v>
      </c>
      <c r="J736">
        <v>4.65E-2</v>
      </c>
      <c r="K736" t="s">
        <v>85</v>
      </c>
    </row>
    <row r="737" spans="1:12" x14ac:dyDescent="0.45">
      <c r="A737" t="s">
        <v>90</v>
      </c>
      <c r="B737" t="s">
        <v>3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2100</v>
      </c>
      <c r="J737">
        <v>3.3950000000000001E-2</v>
      </c>
      <c r="K737" t="s">
        <v>85</v>
      </c>
    </row>
    <row r="738" spans="1:12" x14ac:dyDescent="0.45">
      <c r="A738" t="s">
        <v>90</v>
      </c>
      <c r="B738" t="s">
        <v>4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2100</v>
      </c>
      <c r="J738">
        <v>4.6350000000000002E-2</v>
      </c>
      <c r="K738" t="s">
        <v>85</v>
      </c>
    </row>
    <row r="739" spans="1:12" x14ac:dyDescent="0.45">
      <c r="A739" t="s">
        <v>90</v>
      </c>
      <c r="B739" t="s">
        <v>0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2100</v>
      </c>
      <c r="J739">
        <v>4.7100000000000003E-2</v>
      </c>
      <c r="K739" t="s">
        <v>85</v>
      </c>
    </row>
    <row r="740" spans="1:12" x14ac:dyDescent="0.45">
      <c r="A740" t="s">
        <v>90</v>
      </c>
      <c r="B740" t="s">
        <v>6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2100</v>
      </c>
      <c r="J740">
        <v>3.8600000000000002E-2</v>
      </c>
      <c r="K740" t="s">
        <v>85</v>
      </c>
    </row>
    <row r="741" spans="1:12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2100</v>
      </c>
      <c r="J741">
        <v>1.66E-2</v>
      </c>
      <c r="K741" t="s">
        <v>85</v>
      </c>
    </row>
    <row r="742" spans="1:12" x14ac:dyDescent="0.45">
      <c r="A742" t="s">
        <v>90</v>
      </c>
      <c r="B742" t="s">
        <v>2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2100</v>
      </c>
      <c r="J742">
        <v>4.265E-2</v>
      </c>
      <c r="K742" t="s">
        <v>85</v>
      </c>
    </row>
    <row r="743" spans="1:12" x14ac:dyDescent="0.45">
      <c r="A743" t="s">
        <v>90</v>
      </c>
      <c r="B743" t="s">
        <v>1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4.6199999999999998E-2</v>
      </c>
      <c r="K743" t="s">
        <v>85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52</v>
      </c>
      <c r="E744" t="s">
        <v>25</v>
      </c>
      <c r="F744" t="s">
        <v>52</v>
      </c>
      <c r="G744" t="s">
        <v>71</v>
      </c>
      <c r="H744" t="s">
        <v>89</v>
      </c>
      <c r="I744">
        <v>2020</v>
      </c>
      <c r="J744">
        <v>3.3599999999999998E-2</v>
      </c>
      <c r="K744" t="s">
        <v>52</v>
      </c>
      <c r="L744">
        <v>94</v>
      </c>
    </row>
    <row r="745" spans="1:12" x14ac:dyDescent="0.45">
      <c r="A745" t="s">
        <v>90</v>
      </c>
      <c r="B745" t="s">
        <v>4</v>
      </c>
      <c r="C745" t="s">
        <v>84</v>
      </c>
      <c r="D745" t="s">
        <v>52</v>
      </c>
      <c r="E745" t="s">
        <v>25</v>
      </c>
      <c r="F745" t="s">
        <v>52</v>
      </c>
      <c r="G745" t="s">
        <v>71</v>
      </c>
      <c r="H745" t="s">
        <v>89</v>
      </c>
      <c r="I745">
        <v>2020</v>
      </c>
      <c r="J745">
        <v>3.4099999999999998E-2</v>
      </c>
      <c r="K745" t="s">
        <v>52</v>
      </c>
      <c r="L745">
        <v>94</v>
      </c>
    </row>
    <row r="746" spans="1:12" x14ac:dyDescent="0.45">
      <c r="A746" t="s">
        <v>90</v>
      </c>
      <c r="B746" t="s">
        <v>0</v>
      </c>
      <c r="C746" t="s">
        <v>84</v>
      </c>
      <c r="D746" t="s">
        <v>52</v>
      </c>
      <c r="E746" t="s">
        <v>25</v>
      </c>
      <c r="F746" t="s">
        <v>52</v>
      </c>
      <c r="G746" t="s">
        <v>71</v>
      </c>
      <c r="H746" t="s">
        <v>89</v>
      </c>
      <c r="I746">
        <v>2020</v>
      </c>
      <c r="J746">
        <v>3.3799999999999997E-2</v>
      </c>
      <c r="K746" t="s">
        <v>52</v>
      </c>
      <c r="L746">
        <v>94</v>
      </c>
    </row>
    <row r="747" spans="1:12" x14ac:dyDescent="0.45">
      <c r="A747" t="s">
        <v>90</v>
      </c>
      <c r="B747" t="s">
        <v>6</v>
      </c>
      <c r="C747" t="s">
        <v>84</v>
      </c>
      <c r="D747" t="s">
        <v>52</v>
      </c>
      <c r="E747" t="s">
        <v>25</v>
      </c>
      <c r="F747" t="s">
        <v>52</v>
      </c>
      <c r="G747" t="s">
        <v>71</v>
      </c>
      <c r="H747" t="s">
        <v>89</v>
      </c>
      <c r="I747">
        <v>2020</v>
      </c>
      <c r="J747">
        <v>3.3700000000000001E-2</v>
      </c>
      <c r="K747" t="s">
        <v>52</v>
      </c>
      <c r="L747">
        <v>94</v>
      </c>
    </row>
    <row r="748" spans="1:12" x14ac:dyDescent="0.45">
      <c r="A748" t="s">
        <v>90</v>
      </c>
      <c r="B748" t="s">
        <v>5</v>
      </c>
      <c r="C748" t="s">
        <v>84</v>
      </c>
      <c r="D748" t="s">
        <v>52</v>
      </c>
      <c r="E748" t="s">
        <v>25</v>
      </c>
      <c r="F748" t="s">
        <v>52</v>
      </c>
      <c r="G748" t="s">
        <v>71</v>
      </c>
      <c r="H748" t="s">
        <v>89</v>
      </c>
      <c r="I748">
        <v>2020</v>
      </c>
      <c r="J748">
        <v>3.3300000000000003E-2</v>
      </c>
      <c r="K748" t="s">
        <v>52</v>
      </c>
      <c r="L748">
        <v>94</v>
      </c>
    </row>
    <row r="749" spans="1:12" x14ac:dyDescent="0.45">
      <c r="A749" t="s">
        <v>90</v>
      </c>
      <c r="B749" t="s">
        <v>2</v>
      </c>
      <c r="C749" t="s">
        <v>84</v>
      </c>
      <c r="D749" t="s">
        <v>52</v>
      </c>
      <c r="E749" t="s">
        <v>25</v>
      </c>
      <c r="F749" t="s">
        <v>52</v>
      </c>
      <c r="G749" t="s">
        <v>71</v>
      </c>
      <c r="H749" t="s">
        <v>89</v>
      </c>
      <c r="I749">
        <v>2020</v>
      </c>
      <c r="J749">
        <v>3.3700000000000001E-2</v>
      </c>
      <c r="K749" t="s">
        <v>52</v>
      </c>
      <c r="L749">
        <v>94</v>
      </c>
    </row>
    <row r="750" spans="1:12" x14ac:dyDescent="0.45">
      <c r="A750" t="s">
        <v>90</v>
      </c>
      <c r="B750" t="s">
        <v>1</v>
      </c>
      <c r="C750" t="s">
        <v>84</v>
      </c>
      <c r="D750" t="s">
        <v>52</v>
      </c>
      <c r="E750" t="s">
        <v>25</v>
      </c>
      <c r="F750" t="s">
        <v>52</v>
      </c>
      <c r="G750" t="s">
        <v>71</v>
      </c>
      <c r="H750" t="s">
        <v>89</v>
      </c>
      <c r="I750">
        <v>2020</v>
      </c>
      <c r="J750">
        <v>3.3399999999999999E-2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84</v>
      </c>
      <c r="D751" t="s">
        <v>52</v>
      </c>
      <c r="E751" t="s">
        <v>25</v>
      </c>
      <c r="F751" t="s">
        <v>52</v>
      </c>
      <c r="G751" t="s">
        <v>71</v>
      </c>
      <c r="H751" t="s">
        <v>89</v>
      </c>
      <c r="I751">
        <v>2025</v>
      </c>
      <c r="J751">
        <v>5.9999999999999995E-4</v>
      </c>
      <c r="K751" t="s">
        <v>52</v>
      </c>
      <c r="L751">
        <v>94</v>
      </c>
    </row>
    <row r="752" spans="1:12" x14ac:dyDescent="0.45">
      <c r="A752" t="s">
        <v>90</v>
      </c>
      <c r="B752" t="s">
        <v>4</v>
      </c>
      <c r="C752" t="s">
        <v>84</v>
      </c>
      <c r="D752" t="s">
        <v>52</v>
      </c>
      <c r="E752" t="s">
        <v>25</v>
      </c>
      <c r="F752" t="s">
        <v>52</v>
      </c>
      <c r="G752" t="s">
        <v>71</v>
      </c>
      <c r="H752" t="s">
        <v>89</v>
      </c>
      <c r="I752">
        <v>2025</v>
      </c>
      <c r="J752">
        <v>6.9999999999999999E-4</v>
      </c>
      <c r="K752" t="s">
        <v>52</v>
      </c>
      <c r="L752">
        <v>94</v>
      </c>
    </row>
    <row r="753" spans="1:12" x14ac:dyDescent="0.45">
      <c r="A753" t="s">
        <v>90</v>
      </c>
      <c r="B753" t="s">
        <v>0</v>
      </c>
      <c r="C753" t="s">
        <v>84</v>
      </c>
      <c r="D753" t="s">
        <v>52</v>
      </c>
      <c r="E753" t="s">
        <v>25</v>
      </c>
      <c r="F753" t="s">
        <v>52</v>
      </c>
      <c r="G753" t="s">
        <v>71</v>
      </c>
      <c r="H753" t="s">
        <v>89</v>
      </c>
      <c r="I753">
        <v>2025</v>
      </c>
      <c r="J753">
        <v>6.9999999999999999E-4</v>
      </c>
      <c r="K753" t="s">
        <v>52</v>
      </c>
      <c r="L753">
        <v>94</v>
      </c>
    </row>
    <row r="754" spans="1:12" x14ac:dyDescent="0.45">
      <c r="A754" t="s">
        <v>90</v>
      </c>
      <c r="B754" t="s">
        <v>6</v>
      </c>
      <c r="C754" t="s">
        <v>84</v>
      </c>
      <c r="D754" t="s">
        <v>52</v>
      </c>
      <c r="E754" t="s">
        <v>25</v>
      </c>
      <c r="F754" t="s">
        <v>52</v>
      </c>
      <c r="G754" t="s">
        <v>71</v>
      </c>
      <c r="H754" t="s">
        <v>89</v>
      </c>
      <c r="I754">
        <v>2025</v>
      </c>
      <c r="J754">
        <v>6.9999999999999999E-4</v>
      </c>
      <c r="K754" t="s">
        <v>52</v>
      </c>
      <c r="L754">
        <v>94</v>
      </c>
    </row>
    <row r="755" spans="1:12" x14ac:dyDescent="0.45">
      <c r="A755" t="s">
        <v>90</v>
      </c>
      <c r="B755" t="s">
        <v>5</v>
      </c>
      <c r="C755" t="s">
        <v>84</v>
      </c>
      <c r="D755" t="s">
        <v>52</v>
      </c>
      <c r="E755" t="s">
        <v>25</v>
      </c>
      <c r="F755" t="s">
        <v>52</v>
      </c>
      <c r="G755" t="s">
        <v>71</v>
      </c>
      <c r="H755" t="s">
        <v>89</v>
      </c>
      <c r="I755">
        <v>2025</v>
      </c>
      <c r="J755">
        <v>5.9999999999999995E-4</v>
      </c>
      <c r="K755" t="s">
        <v>52</v>
      </c>
      <c r="L755">
        <v>94</v>
      </c>
    </row>
    <row r="756" spans="1:12" x14ac:dyDescent="0.45">
      <c r="A756" t="s">
        <v>90</v>
      </c>
      <c r="B756" t="s">
        <v>2</v>
      </c>
      <c r="C756" t="s">
        <v>84</v>
      </c>
      <c r="D756" t="s">
        <v>52</v>
      </c>
      <c r="E756" t="s">
        <v>25</v>
      </c>
      <c r="F756" t="s">
        <v>52</v>
      </c>
      <c r="G756" t="s">
        <v>71</v>
      </c>
      <c r="H756" t="s">
        <v>89</v>
      </c>
      <c r="I756">
        <v>2025</v>
      </c>
      <c r="J756">
        <v>5.0000000000000001E-4</v>
      </c>
      <c r="K756" t="s">
        <v>52</v>
      </c>
      <c r="L756">
        <v>94</v>
      </c>
    </row>
    <row r="757" spans="1:12" x14ac:dyDescent="0.45">
      <c r="A757" t="s">
        <v>90</v>
      </c>
      <c r="B757" t="s">
        <v>1</v>
      </c>
      <c r="C757" t="s">
        <v>84</v>
      </c>
      <c r="D757" t="s">
        <v>52</v>
      </c>
      <c r="E757" t="s">
        <v>25</v>
      </c>
      <c r="F757" t="s">
        <v>52</v>
      </c>
      <c r="G757" t="s">
        <v>71</v>
      </c>
      <c r="H757" t="s">
        <v>89</v>
      </c>
      <c r="I757">
        <v>2025</v>
      </c>
      <c r="J757">
        <v>6.9999999999999999E-4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2030</v>
      </c>
      <c r="J758">
        <v>1E-4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2030</v>
      </c>
      <c r="J759">
        <v>4.0000000000000002E-4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2030</v>
      </c>
      <c r="J760">
        <v>4.0000000000000002E-4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2030</v>
      </c>
      <c r="J761">
        <v>4.0000000000000002E-4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2030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2030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2030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52</v>
      </c>
      <c r="E765" t="s">
        <v>25</v>
      </c>
      <c r="F765" t="s">
        <v>52</v>
      </c>
      <c r="G765" t="s">
        <v>71</v>
      </c>
      <c r="H765" t="s">
        <v>89</v>
      </c>
      <c r="I765">
        <v>2035</v>
      </c>
      <c r="J765">
        <v>0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84</v>
      </c>
      <c r="D766" t="s">
        <v>52</v>
      </c>
      <c r="E766" t="s">
        <v>25</v>
      </c>
      <c r="F766" t="s">
        <v>52</v>
      </c>
      <c r="G766" t="s">
        <v>71</v>
      </c>
      <c r="H766" t="s">
        <v>89</v>
      </c>
      <c r="I766">
        <v>2035</v>
      </c>
      <c r="J766">
        <v>2.9999999999999997E-4</v>
      </c>
      <c r="K766" t="s">
        <v>52</v>
      </c>
      <c r="L766">
        <v>94</v>
      </c>
    </row>
    <row r="767" spans="1:12" x14ac:dyDescent="0.45">
      <c r="A767" t="s">
        <v>90</v>
      </c>
      <c r="B767" t="s">
        <v>0</v>
      </c>
      <c r="C767" t="s">
        <v>84</v>
      </c>
      <c r="D767" t="s">
        <v>52</v>
      </c>
      <c r="E767" t="s">
        <v>25</v>
      </c>
      <c r="F767" t="s">
        <v>52</v>
      </c>
      <c r="G767" t="s">
        <v>71</v>
      </c>
      <c r="H767" t="s">
        <v>89</v>
      </c>
      <c r="I767">
        <v>2035</v>
      </c>
      <c r="J767">
        <v>1E-4</v>
      </c>
      <c r="K767" t="s">
        <v>52</v>
      </c>
      <c r="L767">
        <v>94</v>
      </c>
    </row>
    <row r="768" spans="1:12" x14ac:dyDescent="0.45">
      <c r="A768" t="s">
        <v>90</v>
      </c>
      <c r="B768" t="s">
        <v>6</v>
      </c>
      <c r="C768" t="s">
        <v>84</v>
      </c>
      <c r="D768" t="s">
        <v>52</v>
      </c>
      <c r="E768" t="s">
        <v>25</v>
      </c>
      <c r="F768" t="s">
        <v>52</v>
      </c>
      <c r="G768" t="s">
        <v>71</v>
      </c>
      <c r="H768" t="s">
        <v>89</v>
      </c>
      <c r="I768">
        <v>2035</v>
      </c>
      <c r="J768">
        <v>2.0000000000000001E-4</v>
      </c>
      <c r="K768" t="s">
        <v>52</v>
      </c>
      <c r="L768">
        <v>94</v>
      </c>
    </row>
    <row r="769" spans="1:12" x14ac:dyDescent="0.45">
      <c r="A769" t="s">
        <v>90</v>
      </c>
      <c r="B769" t="s">
        <v>5</v>
      </c>
      <c r="C769" t="s">
        <v>84</v>
      </c>
      <c r="D769" t="s">
        <v>52</v>
      </c>
      <c r="E769" t="s">
        <v>25</v>
      </c>
      <c r="F769" t="s">
        <v>52</v>
      </c>
      <c r="G769" t="s">
        <v>71</v>
      </c>
      <c r="H769" t="s">
        <v>89</v>
      </c>
      <c r="I769">
        <v>2035</v>
      </c>
      <c r="J769">
        <v>0</v>
      </c>
      <c r="K769" t="s">
        <v>52</v>
      </c>
      <c r="L769">
        <v>94</v>
      </c>
    </row>
    <row r="770" spans="1:12" x14ac:dyDescent="0.45">
      <c r="A770" t="s">
        <v>90</v>
      </c>
      <c r="B770" t="s">
        <v>2</v>
      </c>
      <c r="C770" t="s">
        <v>84</v>
      </c>
      <c r="D770" t="s">
        <v>52</v>
      </c>
      <c r="E770" t="s">
        <v>25</v>
      </c>
      <c r="F770" t="s">
        <v>52</v>
      </c>
      <c r="G770" t="s">
        <v>71</v>
      </c>
      <c r="H770" t="s">
        <v>89</v>
      </c>
      <c r="I770">
        <v>2035</v>
      </c>
      <c r="J770">
        <v>0</v>
      </c>
      <c r="K770" t="s">
        <v>52</v>
      </c>
      <c r="L770">
        <v>94</v>
      </c>
    </row>
    <row r="771" spans="1:12" x14ac:dyDescent="0.45">
      <c r="A771" t="s">
        <v>90</v>
      </c>
      <c r="B771" t="s">
        <v>1</v>
      </c>
      <c r="C771" t="s">
        <v>84</v>
      </c>
      <c r="D771" t="s">
        <v>52</v>
      </c>
      <c r="E771" t="s">
        <v>25</v>
      </c>
      <c r="F771" t="s">
        <v>52</v>
      </c>
      <c r="G771" t="s">
        <v>71</v>
      </c>
      <c r="H771" t="s">
        <v>89</v>
      </c>
      <c r="I771">
        <v>2035</v>
      </c>
      <c r="J771">
        <v>0</v>
      </c>
      <c r="K771" t="s">
        <v>52</v>
      </c>
      <c r="L771">
        <v>94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2040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2040</v>
      </c>
      <c r="J773">
        <v>2.0000000000000001E-4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2040</v>
      </c>
      <c r="J774">
        <v>0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2040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2040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2040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H779" t="s">
        <v>89</v>
      </c>
      <c r="I779">
        <v>2045</v>
      </c>
      <c r="J779">
        <v>0</v>
      </c>
      <c r="K779" t="s">
        <v>52</v>
      </c>
      <c r="L779">
        <v>94</v>
      </c>
    </row>
    <row r="780" spans="1:12" x14ac:dyDescent="0.45">
      <c r="A780" t="s">
        <v>90</v>
      </c>
      <c r="B780" t="s">
        <v>4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H780" t="s">
        <v>89</v>
      </c>
      <c r="I780">
        <v>2045</v>
      </c>
      <c r="J780">
        <v>0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H781" t="s">
        <v>89</v>
      </c>
      <c r="I781">
        <v>2045</v>
      </c>
      <c r="J781">
        <v>0</v>
      </c>
      <c r="K781" t="s">
        <v>52</v>
      </c>
      <c r="L781">
        <v>94</v>
      </c>
    </row>
    <row r="782" spans="1:12" x14ac:dyDescent="0.45">
      <c r="A782" t="s">
        <v>90</v>
      </c>
      <c r="B782" t="s">
        <v>6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H782" t="s">
        <v>89</v>
      </c>
      <c r="I782">
        <v>2045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5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2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H784" t="s">
        <v>89</v>
      </c>
      <c r="I784">
        <v>2045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1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H785" t="s">
        <v>89</v>
      </c>
      <c r="I785">
        <v>2045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H786" t="s">
        <v>89</v>
      </c>
      <c r="I786">
        <v>2050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4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H787" t="s">
        <v>89</v>
      </c>
      <c r="I787">
        <v>2050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H788" t="s">
        <v>89</v>
      </c>
      <c r="I788">
        <v>2050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6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5</v>
      </c>
      <c r="C790" t="s">
        <v>84</v>
      </c>
      <c r="D790" t="s">
        <v>52</v>
      </c>
      <c r="E790" t="s">
        <v>25</v>
      </c>
      <c r="F790" t="s">
        <v>52</v>
      </c>
      <c r="G790" t="s">
        <v>71</v>
      </c>
      <c r="H790" t="s">
        <v>89</v>
      </c>
      <c r="I790">
        <v>2050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2</v>
      </c>
      <c r="C791" t="s">
        <v>84</v>
      </c>
      <c r="D791" t="s">
        <v>52</v>
      </c>
      <c r="E791" t="s">
        <v>25</v>
      </c>
      <c r="F791" t="s">
        <v>52</v>
      </c>
      <c r="G791" t="s">
        <v>71</v>
      </c>
      <c r="H791" t="s">
        <v>89</v>
      </c>
      <c r="I791">
        <v>2050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1</v>
      </c>
      <c r="C792" t="s">
        <v>84</v>
      </c>
      <c r="D792" t="s">
        <v>52</v>
      </c>
      <c r="E792" t="s">
        <v>25</v>
      </c>
      <c r="F792" t="s">
        <v>52</v>
      </c>
      <c r="G792" t="s">
        <v>71</v>
      </c>
      <c r="H792" t="s">
        <v>89</v>
      </c>
      <c r="I792">
        <v>2050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3</v>
      </c>
      <c r="C793" t="s">
        <v>84</v>
      </c>
      <c r="D793" t="s">
        <v>52</v>
      </c>
      <c r="E793" t="s">
        <v>25</v>
      </c>
      <c r="F793" t="s">
        <v>52</v>
      </c>
      <c r="G793" t="s">
        <v>71</v>
      </c>
      <c r="H793" t="s">
        <v>89</v>
      </c>
      <c r="I793">
        <v>2055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4</v>
      </c>
      <c r="C794" t="s">
        <v>84</v>
      </c>
      <c r="D794" t="s">
        <v>52</v>
      </c>
      <c r="E794" t="s">
        <v>25</v>
      </c>
      <c r="F794" t="s">
        <v>52</v>
      </c>
      <c r="G794" t="s">
        <v>71</v>
      </c>
      <c r="H794" t="s">
        <v>89</v>
      </c>
      <c r="I794">
        <v>2055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2055</v>
      </c>
      <c r="J795">
        <v>0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2055</v>
      </c>
      <c r="J796">
        <v>0</v>
      </c>
      <c r="K796" t="s">
        <v>52</v>
      </c>
      <c r="L796">
        <v>94</v>
      </c>
    </row>
    <row r="797" spans="1:12" x14ac:dyDescent="0.45">
      <c r="A797" t="s">
        <v>90</v>
      </c>
      <c r="B797" t="s">
        <v>5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2055</v>
      </c>
      <c r="J797">
        <v>0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2055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1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2055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2060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4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2060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2060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2060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2060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1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2060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2065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2065</v>
      </c>
      <c r="J808">
        <v>1.9999999999999998E-4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2065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2065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2065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2065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2065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52</v>
      </c>
      <c r="E814" t="s">
        <v>25</v>
      </c>
      <c r="F814" t="s">
        <v>52</v>
      </c>
      <c r="G814" t="s">
        <v>71</v>
      </c>
      <c r="H814" t="s">
        <v>89</v>
      </c>
      <c r="I814">
        <v>2070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4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2070</v>
      </c>
      <c r="J815">
        <v>7.9999999999999993E-4</v>
      </c>
      <c r="K815" t="s">
        <v>52</v>
      </c>
      <c r="L815">
        <v>94</v>
      </c>
    </row>
    <row r="816" spans="1:12" x14ac:dyDescent="0.45">
      <c r="A816" t="s">
        <v>90</v>
      </c>
      <c r="B816" t="s">
        <v>0</v>
      </c>
      <c r="C816" t="s">
        <v>84</v>
      </c>
      <c r="D816" t="s">
        <v>52</v>
      </c>
      <c r="E816" t="s">
        <v>25</v>
      </c>
      <c r="F816" t="s">
        <v>52</v>
      </c>
      <c r="G816" t="s">
        <v>71</v>
      </c>
      <c r="H816" t="s">
        <v>89</v>
      </c>
      <c r="I816">
        <v>2070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6</v>
      </c>
      <c r="C817" t="s">
        <v>84</v>
      </c>
      <c r="D817" t="s">
        <v>52</v>
      </c>
      <c r="E817" t="s">
        <v>25</v>
      </c>
      <c r="F817" t="s">
        <v>52</v>
      </c>
      <c r="G817" t="s">
        <v>71</v>
      </c>
      <c r="H817" t="s">
        <v>89</v>
      </c>
      <c r="I817">
        <v>2070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2070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52</v>
      </c>
      <c r="E819" t="s">
        <v>25</v>
      </c>
      <c r="F819" t="s">
        <v>52</v>
      </c>
      <c r="G819" t="s">
        <v>71</v>
      </c>
      <c r="H819" t="s">
        <v>89</v>
      </c>
      <c r="I819">
        <v>2070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1</v>
      </c>
      <c r="C820" t="s">
        <v>84</v>
      </c>
      <c r="D820" t="s">
        <v>52</v>
      </c>
      <c r="E820" t="s">
        <v>25</v>
      </c>
      <c r="F820" t="s">
        <v>52</v>
      </c>
      <c r="G820" t="s">
        <v>71</v>
      </c>
      <c r="H820" t="s">
        <v>89</v>
      </c>
      <c r="I820">
        <v>2070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3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2075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4</v>
      </c>
      <c r="C822" t="s">
        <v>84</v>
      </c>
      <c r="D822" t="s">
        <v>52</v>
      </c>
      <c r="E822" t="s">
        <v>25</v>
      </c>
      <c r="F822" t="s">
        <v>52</v>
      </c>
      <c r="G822" t="s">
        <v>71</v>
      </c>
      <c r="H822" t="s">
        <v>89</v>
      </c>
      <c r="I822">
        <v>2075</v>
      </c>
      <c r="J822">
        <v>1.5999999999999999E-3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84</v>
      </c>
      <c r="D823" t="s">
        <v>52</v>
      </c>
      <c r="E823" t="s">
        <v>25</v>
      </c>
      <c r="F823" t="s">
        <v>52</v>
      </c>
      <c r="G823" t="s">
        <v>71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6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2075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84</v>
      </c>
      <c r="D825" t="s">
        <v>52</v>
      </c>
      <c r="E825" t="s">
        <v>25</v>
      </c>
      <c r="F825" t="s">
        <v>52</v>
      </c>
      <c r="G825" t="s">
        <v>71</v>
      </c>
      <c r="H825" t="s">
        <v>89</v>
      </c>
      <c r="I825">
        <v>2075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84</v>
      </c>
      <c r="D826" t="s">
        <v>52</v>
      </c>
      <c r="E826" t="s">
        <v>25</v>
      </c>
      <c r="F826" t="s">
        <v>52</v>
      </c>
      <c r="G826" t="s">
        <v>71</v>
      </c>
      <c r="H826" t="s">
        <v>89</v>
      </c>
      <c r="I826">
        <v>2075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1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2075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3</v>
      </c>
      <c r="C828" t="s">
        <v>84</v>
      </c>
      <c r="D828" t="s">
        <v>52</v>
      </c>
      <c r="E828" t="s">
        <v>25</v>
      </c>
      <c r="F828" t="s">
        <v>52</v>
      </c>
      <c r="G828" t="s">
        <v>71</v>
      </c>
      <c r="H828" t="s">
        <v>89</v>
      </c>
      <c r="I828">
        <v>2080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4</v>
      </c>
      <c r="C829" t="s">
        <v>84</v>
      </c>
      <c r="D829" t="s">
        <v>52</v>
      </c>
      <c r="E829" t="s">
        <v>25</v>
      </c>
      <c r="F829" t="s">
        <v>52</v>
      </c>
      <c r="G829" t="s">
        <v>71</v>
      </c>
      <c r="H829" t="s">
        <v>89</v>
      </c>
      <c r="I829">
        <v>2080</v>
      </c>
      <c r="J829">
        <v>2.4499999999999999E-3</v>
      </c>
      <c r="K829" t="s">
        <v>52</v>
      </c>
      <c r="L829">
        <v>94</v>
      </c>
    </row>
    <row r="830" spans="1:12" x14ac:dyDescent="0.45">
      <c r="A830" t="s">
        <v>90</v>
      </c>
      <c r="B830" t="s">
        <v>0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2080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6</v>
      </c>
      <c r="C831" t="s">
        <v>84</v>
      </c>
      <c r="D831" t="s">
        <v>52</v>
      </c>
      <c r="E831" t="s">
        <v>25</v>
      </c>
      <c r="F831" t="s">
        <v>52</v>
      </c>
      <c r="G831" t="s">
        <v>71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5</v>
      </c>
      <c r="C832" t="s">
        <v>84</v>
      </c>
      <c r="D832" t="s">
        <v>52</v>
      </c>
      <c r="E832" t="s">
        <v>25</v>
      </c>
      <c r="F832" t="s">
        <v>52</v>
      </c>
      <c r="G832" t="s">
        <v>71</v>
      </c>
      <c r="H832" t="s">
        <v>89</v>
      </c>
      <c r="I832">
        <v>2080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2080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1</v>
      </c>
      <c r="C834" t="s">
        <v>84</v>
      </c>
      <c r="D834" t="s">
        <v>52</v>
      </c>
      <c r="E834" t="s">
        <v>25</v>
      </c>
      <c r="F834" t="s">
        <v>52</v>
      </c>
      <c r="G834" t="s">
        <v>71</v>
      </c>
      <c r="H834" t="s">
        <v>89</v>
      </c>
      <c r="I834">
        <v>2080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3</v>
      </c>
      <c r="C835" t="s">
        <v>84</v>
      </c>
      <c r="D835" t="s">
        <v>52</v>
      </c>
      <c r="E835" t="s">
        <v>25</v>
      </c>
      <c r="F835" t="s">
        <v>52</v>
      </c>
      <c r="G835" t="s">
        <v>71</v>
      </c>
      <c r="H835" t="s">
        <v>89</v>
      </c>
      <c r="I835">
        <v>2085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4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2085</v>
      </c>
      <c r="J836">
        <v>3.3500000000000001E-3</v>
      </c>
      <c r="K836" t="s">
        <v>52</v>
      </c>
      <c r="L836">
        <v>94</v>
      </c>
    </row>
    <row r="837" spans="1:12" x14ac:dyDescent="0.45">
      <c r="A837" t="s">
        <v>90</v>
      </c>
      <c r="B837" t="s">
        <v>0</v>
      </c>
      <c r="C837" t="s">
        <v>84</v>
      </c>
      <c r="D837" t="s">
        <v>52</v>
      </c>
      <c r="E837" t="s">
        <v>25</v>
      </c>
      <c r="F837" t="s">
        <v>52</v>
      </c>
      <c r="G837" t="s">
        <v>71</v>
      </c>
      <c r="H837" t="s">
        <v>89</v>
      </c>
      <c r="I837">
        <v>2085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6</v>
      </c>
      <c r="C838" t="s">
        <v>84</v>
      </c>
      <c r="D838" t="s">
        <v>52</v>
      </c>
      <c r="E838" t="s">
        <v>25</v>
      </c>
      <c r="F838" t="s">
        <v>52</v>
      </c>
      <c r="G838" t="s">
        <v>71</v>
      </c>
      <c r="H838" t="s">
        <v>89</v>
      </c>
      <c r="I838">
        <v>2085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5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2085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52</v>
      </c>
      <c r="E840" t="s">
        <v>25</v>
      </c>
      <c r="F840" t="s">
        <v>52</v>
      </c>
      <c r="G840" t="s">
        <v>71</v>
      </c>
      <c r="H840" t="s">
        <v>89</v>
      </c>
      <c r="I840">
        <v>2085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1</v>
      </c>
      <c r="C841" t="s">
        <v>84</v>
      </c>
      <c r="D841" t="s">
        <v>52</v>
      </c>
      <c r="E841" t="s">
        <v>25</v>
      </c>
      <c r="F841" t="s">
        <v>52</v>
      </c>
      <c r="G841" t="s">
        <v>71</v>
      </c>
      <c r="H841" t="s">
        <v>89</v>
      </c>
      <c r="I841">
        <v>2085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3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2090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4</v>
      </c>
      <c r="C843" t="s">
        <v>84</v>
      </c>
      <c r="D843" t="s">
        <v>52</v>
      </c>
      <c r="E843" t="s">
        <v>25</v>
      </c>
      <c r="F843" t="s">
        <v>52</v>
      </c>
      <c r="G843" t="s">
        <v>71</v>
      </c>
      <c r="H843" t="s">
        <v>89</v>
      </c>
      <c r="I843">
        <v>2090</v>
      </c>
      <c r="J843">
        <v>4.2500000000000003E-3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84</v>
      </c>
      <c r="D844" t="s">
        <v>52</v>
      </c>
      <c r="E844" t="s">
        <v>25</v>
      </c>
      <c r="F844" t="s">
        <v>52</v>
      </c>
      <c r="G844" t="s">
        <v>71</v>
      </c>
      <c r="H844" t="s">
        <v>89</v>
      </c>
      <c r="I844">
        <v>2090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6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2090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5</v>
      </c>
      <c r="C846" t="s">
        <v>84</v>
      </c>
      <c r="D846" t="s">
        <v>52</v>
      </c>
      <c r="E846" t="s">
        <v>25</v>
      </c>
      <c r="F846" t="s">
        <v>52</v>
      </c>
      <c r="G846" t="s">
        <v>71</v>
      </c>
      <c r="H846" t="s">
        <v>89</v>
      </c>
      <c r="I846">
        <v>2090</v>
      </c>
      <c r="J846">
        <v>0</v>
      </c>
      <c r="K846" t="s">
        <v>52</v>
      </c>
      <c r="L846">
        <v>94</v>
      </c>
    </row>
    <row r="847" spans="1:12" x14ac:dyDescent="0.45">
      <c r="A847" t="s">
        <v>90</v>
      </c>
      <c r="B847" t="s">
        <v>2</v>
      </c>
      <c r="C847" t="s">
        <v>84</v>
      </c>
      <c r="D847" t="s">
        <v>52</v>
      </c>
      <c r="E847" t="s">
        <v>25</v>
      </c>
      <c r="F847" t="s">
        <v>52</v>
      </c>
      <c r="G847" t="s">
        <v>71</v>
      </c>
      <c r="H847" t="s">
        <v>89</v>
      </c>
      <c r="I847">
        <v>2090</v>
      </c>
      <c r="J847">
        <v>0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2090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3</v>
      </c>
      <c r="C849" t="s">
        <v>84</v>
      </c>
      <c r="D849" t="s">
        <v>52</v>
      </c>
      <c r="E849" t="s">
        <v>25</v>
      </c>
      <c r="F849" t="s">
        <v>52</v>
      </c>
      <c r="G849" t="s">
        <v>71</v>
      </c>
      <c r="H849" t="s">
        <v>89</v>
      </c>
      <c r="I849">
        <v>2095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4</v>
      </c>
      <c r="C850" t="s">
        <v>84</v>
      </c>
      <c r="D850" t="s">
        <v>52</v>
      </c>
      <c r="E850" t="s">
        <v>25</v>
      </c>
      <c r="F850" t="s">
        <v>52</v>
      </c>
      <c r="G850" t="s">
        <v>71</v>
      </c>
      <c r="H850" t="s">
        <v>89</v>
      </c>
      <c r="I850">
        <v>2095</v>
      </c>
      <c r="J850">
        <v>4.1000000000000003E-3</v>
      </c>
      <c r="K850" t="s">
        <v>52</v>
      </c>
      <c r="L850">
        <v>94</v>
      </c>
    </row>
    <row r="851" spans="1:12" x14ac:dyDescent="0.45">
      <c r="A851" t="s">
        <v>90</v>
      </c>
      <c r="B851" t="s">
        <v>0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2095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6</v>
      </c>
      <c r="C852" t="s">
        <v>84</v>
      </c>
      <c r="D852" t="s">
        <v>52</v>
      </c>
      <c r="E852" t="s">
        <v>25</v>
      </c>
      <c r="F852" t="s">
        <v>52</v>
      </c>
      <c r="G852" t="s">
        <v>71</v>
      </c>
      <c r="H852" t="s">
        <v>89</v>
      </c>
      <c r="I852">
        <v>2095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5</v>
      </c>
      <c r="C853" t="s">
        <v>84</v>
      </c>
      <c r="D853" t="s">
        <v>52</v>
      </c>
      <c r="E853" t="s">
        <v>25</v>
      </c>
      <c r="F853" t="s">
        <v>52</v>
      </c>
      <c r="G853" t="s">
        <v>71</v>
      </c>
      <c r="H853" t="s">
        <v>89</v>
      </c>
      <c r="I853">
        <v>2095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2095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84</v>
      </c>
      <c r="D855" t="s">
        <v>52</v>
      </c>
      <c r="E855" t="s">
        <v>25</v>
      </c>
      <c r="F855" t="s">
        <v>52</v>
      </c>
      <c r="G855" t="s">
        <v>71</v>
      </c>
      <c r="H855" t="s">
        <v>89</v>
      </c>
      <c r="I855">
        <v>2095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2100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2100</v>
      </c>
      <c r="J857">
        <v>4.0499999999999998E-3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2100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2100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2100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2020</v>
      </c>
      <c r="J863">
        <v>8.0699999999999994E-2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2020</v>
      </c>
      <c r="J864">
        <v>8.1299999999999997E-2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2020</v>
      </c>
      <c r="J865">
        <v>8.1299999999999997E-2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2020</v>
      </c>
      <c r="J866">
        <v>8.0799999999999997E-2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2020</v>
      </c>
      <c r="J867">
        <v>8.1199999999999994E-2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2020</v>
      </c>
      <c r="J868">
        <v>8.0799999999999997E-2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2020</v>
      </c>
      <c r="J869">
        <v>8.09E-2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53</v>
      </c>
      <c r="E870" t="s">
        <v>25</v>
      </c>
      <c r="F870" t="s">
        <v>53</v>
      </c>
      <c r="G870" t="s">
        <v>71</v>
      </c>
      <c r="H870" t="s">
        <v>89</v>
      </c>
      <c r="I870">
        <v>2025</v>
      </c>
      <c r="J870">
        <v>7.3800000000000004E-2</v>
      </c>
      <c r="K870" t="s">
        <v>53</v>
      </c>
      <c r="L870">
        <v>55</v>
      </c>
    </row>
    <row r="871" spans="1:12" x14ac:dyDescent="0.45">
      <c r="A871" t="s">
        <v>90</v>
      </c>
      <c r="B871" t="s">
        <v>4</v>
      </c>
      <c r="C871" t="s">
        <v>84</v>
      </c>
      <c r="D871" t="s">
        <v>53</v>
      </c>
      <c r="E871" t="s">
        <v>25</v>
      </c>
      <c r="F871" t="s">
        <v>53</v>
      </c>
      <c r="G871" t="s">
        <v>71</v>
      </c>
      <c r="H871" t="s">
        <v>89</v>
      </c>
      <c r="I871">
        <v>2025</v>
      </c>
      <c r="J871">
        <v>8.1600000000000006E-2</v>
      </c>
      <c r="K871" t="s">
        <v>53</v>
      </c>
      <c r="L871">
        <v>55</v>
      </c>
    </row>
    <row r="872" spans="1:12" x14ac:dyDescent="0.45">
      <c r="A872" t="s">
        <v>90</v>
      </c>
      <c r="B872" t="s">
        <v>0</v>
      </c>
      <c r="C872" t="s">
        <v>84</v>
      </c>
      <c r="D872" t="s">
        <v>53</v>
      </c>
      <c r="E872" t="s">
        <v>25</v>
      </c>
      <c r="F872" t="s">
        <v>53</v>
      </c>
      <c r="G872" t="s">
        <v>71</v>
      </c>
      <c r="H872" t="s">
        <v>89</v>
      </c>
      <c r="I872">
        <v>2025</v>
      </c>
      <c r="J872">
        <v>8.14E-2</v>
      </c>
      <c r="K872" t="s">
        <v>53</v>
      </c>
      <c r="L872">
        <v>55</v>
      </c>
    </row>
    <row r="873" spans="1:12" x14ac:dyDescent="0.45">
      <c r="A873" t="s">
        <v>90</v>
      </c>
      <c r="B873" t="s">
        <v>6</v>
      </c>
      <c r="C873" t="s">
        <v>84</v>
      </c>
      <c r="D873" t="s">
        <v>53</v>
      </c>
      <c r="E873" t="s">
        <v>25</v>
      </c>
      <c r="F873" t="s">
        <v>53</v>
      </c>
      <c r="G873" t="s">
        <v>71</v>
      </c>
      <c r="H873" t="s">
        <v>89</v>
      </c>
      <c r="I873">
        <v>2025</v>
      </c>
      <c r="J873">
        <v>8.09E-2</v>
      </c>
      <c r="K873" t="s">
        <v>53</v>
      </c>
      <c r="L873">
        <v>55</v>
      </c>
    </row>
    <row r="874" spans="1:12" x14ac:dyDescent="0.45">
      <c r="A874" t="s">
        <v>90</v>
      </c>
      <c r="B874" t="s">
        <v>5</v>
      </c>
      <c r="C874" t="s">
        <v>84</v>
      </c>
      <c r="D874" t="s">
        <v>53</v>
      </c>
      <c r="E874" t="s">
        <v>25</v>
      </c>
      <c r="F874" t="s">
        <v>53</v>
      </c>
      <c r="G874" t="s">
        <v>71</v>
      </c>
      <c r="H874" t="s">
        <v>89</v>
      </c>
      <c r="I874">
        <v>2025</v>
      </c>
      <c r="J874">
        <v>7.2300000000000003E-2</v>
      </c>
      <c r="K874" t="s">
        <v>53</v>
      </c>
      <c r="L874">
        <v>55</v>
      </c>
    </row>
    <row r="875" spans="1:12" x14ac:dyDescent="0.45">
      <c r="A875" t="s">
        <v>90</v>
      </c>
      <c r="B875" t="s">
        <v>2</v>
      </c>
      <c r="C875" t="s">
        <v>84</v>
      </c>
      <c r="D875" t="s">
        <v>53</v>
      </c>
      <c r="E875" t="s">
        <v>25</v>
      </c>
      <c r="F875" t="s">
        <v>53</v>
      </c>
      <c r="G875" t="s">
        <v>71</v>
      </c>
      <c r="H875" t="s">
        <v>89</v>
      </c>
      <c r="I875">
        <v>2025</v>
      </c>
      <c r="J875">
        <v>7.3700000000000002E-2</v>
      </c>
      <c r="K875" t="s">
        <v>53</v>
      </c>
      <c r="L875">
        <v>55</v>
      </c>
    </row>
    <row r="876" spans="1:12" x14ac:dyDescent="0.45">
      <c r="A876" t="s">
        <v>90</v>
      </c>
      <c r="B876" t="s">
        <v>1</v>
      </c>
      <c r="C876" t="s">
        <v>84</v>
      </c>
      <c r="D876" t="s">
        <v>53</v>
      </c>
      <c r="E876" t="s">
        <v>25</v>
      </c>
      <c r="F876" t="s">
        <v>53</v>
      </c>
      <c r="G876" t="s">
        <v>71</v>
      </c>
      <c r="H876" t="s">
        <v>89</v>
      </c>
      <c r="I876">
        <v>2025</v>
      </c>
      <c r="J876">
        <v>6.7599999999999993E-2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2030</v>
      </c>
      <c r="J877">
        <v>2.3800000000000002E-2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2030</v>
      </c>
      <c r="J878">
        <v>5.21E-2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2030</v>
      </c>
      <c r="J879">
        <v>5.1400000000000001E-2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2030</v>
      </c>
      <c r="J880">
        <v>5.1400000000000001E-2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2030</v>
      </c>
      <c r="J881">
        <v>7.3000000000000001E-3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2030</v>
      </c>
      <c r="J882">
        <v>1.6299999999999999E-2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2030</v>
      </c>
      <c r="J883">
        <v>8.5000000000000006E-3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53</v>
      </c>
      <c r="E884" t="s">
        <v>25</v>
      </c>
      <c r="F884" t="s">
        <v>53</v>
      </c>
      <c r="G884" t="s">
        <v>71</v>
      </c>
      <c r="H884" t="s">
        <v>89</v>
      </c>
      <c r="I884">
        <v>2035</v>
      </c>
      <c r="J884">
        <v>7.3000000000000001E-3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84</v>
      </c>
      <c r="D885" t="s">
        <v>53</v>
      </c>
      <c r="E885" t="s">
        <v>25</v>
      </c>
      <c r="F885" t="s">
        <v>53</v>
      </c>
      <c r="G885" t="s">
        <v>71</v>
      </c>
      <c r="H885" t="s">
        <v>89</v>
      </c>
      <c r="I885">
        <v>2035</v>
      </c>
      <c r="J885">
        <v>2.2499999999999999E-2</v>
      </c>
      <c r="K885" t="s">
        <v>53</v>
      </c>
      <c r="L885">
        <v>55</v>
      </c>
    </row>
    <row r="886" spans="1:12" x14ac:dyDescent="0.45">
      <c r="A886" t="s">
        <v>90</v>
      </c>
      <c r="B886" t="s">
        <v>0</v>
      </c>
      <c r="C886" t="s">
        <v>84</v>
      </c>
      <c r="D886" t="s">
        <v>53</v>
      </c>
      <c r="E886" t="s">
        <v>25</v>
      </c>
      <c r="F886" t="s">
        <v>53</v>
      </c>
      <c r="G886" t="s">
        <v>71</v>
      </c>
      <c r="H886" t="s">
        <v>89</v>
      </c>
      <c r="I886">
        <v>2035</v>
      </c>
      <c r="J886">
        <v>1.8100000000000002E-2</v>
      </c>
      <c r="K886" t="s">
        <v>53</v>
      </c>
      <c r="L886">
        <v>55</v>
      </c>
    </row>
    <row r="887" spans="1:12" x14ac:dyDescent="0.45">
      <c r="A887" t="s">
        <v>90</v>
      </c>
      <c r="B887" t="s">
        <v>6</v>
      </c>
      <c r="C887" t="s">
        <v>84</v>
      </c>
      <c r="D887" t="s">
        <v>53</v>
      </c>
      <c r="E887" t="s">
        <v>25</v>
      </c>
      <c r="F887" t="s">
        <v>53</v>
      </c>
      <c r="G887" t="s">
        <v>71</v>
      </c>
      <c r="H887" t="s">
        <v>89</v>
      </c>
      <c r="I887">
        <v>2035</v>
      </c>
      <c r="J887">
        <v>2.0199999999999999E-2</v>
      </c>
      <c r="K887" t="s">
        <v>53</v>
      </c>
      <c r="L887">
        <v>55</v>
      </c>
    </row>
    <row r="888" spans="1:12" x14ac:dyDescent="0.45">
      <c r="A888" t="s">
        <v>90</v>
      </c>
      <c r="B888" t="s">
        <v>5</v>
      </c>
      <c r="C888" t="s">
        <v>84</v>
      </c>
      <c r="D888" t="s">
        <v>53</v>
      </c>
      <c r="E888" t="s">
        <v>25</v>
      </c>
      <c r="F888" t="s">
        <v>53</v>
      </c>
      <c r="G888" t="s">
        <v>71</v>
      </c>
      <c r="H888" t="s">
        <v>89</v>
      </c>
      <c r="I888">
        <v>2035</v>
      </c>
      <c r="J888">
        <v>2.0000000000000001E-4</v>
      </c>
      <c r="K888" t="s">
        <v>53</v>
      </c>
      <c r="L888">
        <v>55</v>
      </c>
    </row>
    <row r="889" spans="1:12" x14ac:dyDescent="0.45">
      <c r="A889" t="s">
        <v>90</v>
      </c>
      <c r="B889" t="s">
        <v>2</v>
      </c>
      <c r="C889" t="s">
        <v>84</v>
      </c>
      <c r="D889" t="s">
        <v>53</v>
      </c>
      <c r="E889" t="s">
        <v>25</v>
      </c>
      <c r="F889" t="s">
        <v>53</v>
      </c>
      <c r="G889" t="s">
        <v>71</v>
      </c>
      <c r="H889" t="s">
        <v>89</v>
      </c>
      <c r="I889">
        <v>2035</v>
      </c>
      <c r="J889">
        <v>3.8999999999999998E-3</v>
      </c>
      <c r="K889" t="s">
        <v>53</v>
      </c>
      <c r="L889">
        <v>55</v>
      </c>
    </row>
    <row r="890" spans="1:12" x14ac:dyDescent="0.45">
      <c r="A890" t="s">
        <v>90</v>
      </c>
      <c r="B890" t="s">
        <v>1</v>
      </c>
      <c r="C890" t="s">
        <v>84</v>
      </c>
      <c r="D890" t="s">
        <v>53</v>
      </c>
      <c r="E890" t="s">
        <v>25</v>
      </c>
      <c r="F890" t="s">
        <v>53</v>
      </c>
      <c r="G890" t="s">
        <v>71</v>
      </c>
      <c r="H890" t="s">
        <v>89</v>
      </c>
      <c r="I890">
        <v>2035</v>
      </c>
      <c r="J890">
        <v>1E-4</v>
      </c>
      <c r="K890" t="s">
        <v>53</v>
      </c>
      <c r="L890">
        <v>55</v>
      </c>
    </row>
    <row r="891" spans="1:12" x14ac:dyDescent="0.45">
      <c r="A891" t="s">
        <v>90</v>
      </c>
      <c r="B891" t="s">
        <v>3</v>
      </c>
      <c r="C891" t="s">
        <v>84</v>
      </c>
      <c r="D891" t="s">
        <v>53</v>
      </c>
      <c r="E891" t="s">
        <v>25</v>
      </c>
      <c r="F891" t="s">
        <v>53</v>
      </c>
      <c r="G891" t="s">
        <v>71</v>
      </c>
      <c r="H891" t="s">
        <v>89</v>
      </c>
      <c r="I891">
        <v>2040</v>
      </c>
      <c r="J891">
        <v>2.9999999999999997E-4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84</v>
      </c>
      <c r="D892" t="s">
        <v>53</v>
      </c>
      <c r="E892" t="s">
        <v>25</v>
      </c>
      <c r="F892" t="s">
        <v>53</v>
      </c>
      <c r="G892" t="s">
        <v>71</v>
      </c>
      <c r="H892" t="s">
        <v>89</v>
      </c>
      <c r="I892">
        <v>2040</v>
      </c>
      <c r="J892">
        <v>8.6999999999999994E-3</v>
      </c>
      <c r="K892" t="s">
        <v>53</v>
      </c>
      <c r="L892">
        <v>55</v>
      </c>
    </row>
    <row r="893" spans="1:12" x14ac:dyDescent="0.45">
      <c r="A893" t="s">
        <v>90</v>
      </c>
      <c r="B893" t="s">
        <v>0</v>
      </c>
      <c r="C893" t="s">
        <v>84</v>
      </c>
      <c r="D893" t="s">
        <v>53</v>
      </c>
      <c r="E893" t="s">
        <v>25</v>
      </c>
      <c r="F893" t="s">
        <v>53</v>
      </c>
      <c r="G893" t="s">
        <v>71</v>
      </c>
      <c r="H893" t="s">
        <v>89</v>
      </c>
      <c r="I893">
        <v>2040</v>
      </c>
      <c r="J893">
        <v>2.0000000000000001E-4</v>
      </c>
      <c r="K893" t="s">
        <v>53</v>
      </c>
      <c r="L893">
        <v>55</v>
      </c>
    </row>
    <row r="894" spans="1:12" x14ac:dyDescent="0.45">
      <c r="A894" t="s">
        <v>90</v>
      </c>
      <c r="B894" t="s">
        <v>6</v>
      </c>
      <c r="C894" t="s">
        <v>84</v>
      </c>
      <c r="D894" t="s">
        <v>53</v>
      </c>
      <c r="E894" t="s">
        <v>25</v>
      </c>
      <c r="F894" t="s">
        <v>53</v>
      </c>
      <c r="G894" t="s">
        <v>71</v>
      </c>
      <c r="H894" t="s">
        <v>89</v>
      </c>
      <c r="I894">
        <v>2040</v>
      </c>
      <c r="J894">
        <v>4.0000000000000002E-4</v>
      </c>
      <c r="K894" t="s">
        <v>53</v>
      </c>
      <c r="L894">
        <v>55</v>
      </c>
    </row>
    <row r="895" spans="1:12" x14ac:dyDescent="0.45">
      <c r="A895" t="s">
        <v>90</v>
      </c>
      <c r="B895" t="s">
        <v>5</v>
      </c>
      <c r="C895" t="s">
        <v>84</v>
      </c>
      <c r="D895" t="s">
        <v>53</v>
      </c>
      <c r="E895" t="s">
        <v>25</v>
      </c>
      <c r="F895" t="s">
        <v>53</v>
      </c>
      <c r="G895" t="s">
        <v>71</v>
      </c>
      <c r="H895" t="s">
        <v>89</v>
      </c>
      <c r="I895">
        <v>2040</v>
      </c>
      <c r="J895">
        <v>1E-4</v>
      </c>
      <c r="K895" t="s">
        <v>53</v>
      </c>
      <c r="L895">
        <v>55</v>
      </c>
    </row>
    <row r="896" spans="1:12" x14ac:dyDescent="0.45">
      <c r="A896" t="s">
        <v>90</v>
      </c>
      <c r="B896" t="s">
        <v>2</v>
      </c>
      <c r="C896" t="s">
        <v>84</v>
      </c>
      <c r="D896" t="s">
        <v>53</v>
      </c>
      <c r="E896" t="s">
        <v>25</v>
      </c>
      <c r="F896" t="s">
        <v>53</v>
      </c>
      <c r="G896" t="s">
        <v>71</v>
      </c>
      <c r="H896" t="s">
        <v>89</v>
      </c>
      <c r="I896">
        <v>2040</v>
      </c>
      <c r="J896">
        <v>2.9999999999999997E-4</v>
      </c>
      <c r="K896" t="s">
        <v>53</v>
      </c>
      <c r="L896">
        <v>55</v>
      </c>
    </row>
    <row r="897" spans="1:12" x14ac:dyDescent="0.45">
      <c r="A897" t="s">
        <v>90</v>
      </c>
      <c r="B897" t="s">
        <v>1</v>
      </c>
      <c r="C897" t="s">
        <v>84</v>
      </c>
      <c r="D897" t="s">
        <v>53</v>
      </c>
      <c r="E897" t="s">
        <v>25</v>
      </c>
      <c r="F897" t="s">
        <v>53</v>
      </c>
      <c r="G897" t="s">
        <v>71</v>
      </c>
      <c r="H897" t="s">
        <v>89</v>
      </c>
      <c r="I897">
        <v>2040</v>
      </c>
      <c r="J897">
        <v>1E-4</v>
      </c>
      <c r="K897" t="s">
        <v>53</v>
      </c>
      <c r="L897">
        <v>55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53</v>
      </c>
      <c r="E898" t="s">
        <v>25</v>
      </c>
      <c r="F898" t="s">
        <v>53</v>
      </c>
      <c r="G898" t="s">
        <v>71</v>
      </c>
      <c r="H898" t="s">
        <v>89</v>
      </c>
      <c r="I898">
        <v>2045</v>
      </c>
      <c r="J898">
        <v>2.9999999999999997E-4</v>
      </c>
      <c r="K898" t="s">
        <v>53</v>
      </c>
      <c r="L898">
        <v>55</v>
      </c>
    </row>
    <row r="899" spans="1:12" x14ac:dyDescent="0.45">
      <c r="A899" t="s">
        <v>90</v>
      </c>
      <c r="B899" t="s">
        <v>4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2045</v>
      </c>
      <c r="J899">
        <v>5.0000000000000001E-4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84</v>
      </c>
      <c r="D900" t="s">
        <v>53</v>
      </c>
      <c r="E900" t="s">
        <v>25</v>
      </c>
      <c r="F900" t="s">
        <v>53</v>
      </c>
      <c r="G900" t="s">
        <v>71</v>
      </c>
      <c r="H900" t="s">
        <v>89</v>
      </c>
      <c r="I900">
        <v>2045</v>
      </c>
      <c r="J900">
        <v>1E-4</v>
      </c>
      <c r="K900" t="s">
        <v>53</v>
      </c>
      <c r="L900">
        <v>55</v>
      </c>
    </row>
    <row r="901" spans="1:12" x14ac:dyDescent="0.45">
      <c r="A901" t="s">
        <v>90</v>
      </c>
      <c r="B901" t="s">
        <v>6</v>
      </c>
      <c r="C901" t="s">
        <v>84</v>
      </c>
      <c r="D901" t="s">
        <v>53</v>
      </c>
      <c r="E901" t="s">
        <v>25</v>
      </c>
      <c r="F901" t="s">
        <v>53</v>
      </c>
      <c r="G901" t="s">
        <v>71</v>
      </c>
      <c r="H901" t="s">
        <v>89</v>
      </c>
      <c r="I901">
        <v>2045</v>
      </c>
      <c r="J901">
        <v>5.0000000000000001E-4</v>
      </c>
      <c r="K901" t="s">
        <v>53</v>
      </c>
      <c r="L901">
        <v>55</v>
      </c>
    </row>
    <row r="902" spans="1:12" x14ac:dyDescent="0.45">
      <c r="A902" t="s">
        <v>90</v>
      </c>
      <c r="B902" t="s">
        <v>5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2045</v>
      </c>
      <c r="J902">
        <v>1E-4</v>
      </c>
      <c r="K902" t="s">
        <v>53</v>
      </c>
      <c r="L902">
        <v>55</v>
      </c>
    </row>
    <row r="903" spans="1:12" x14ac:dyDescent="0.45">
      <c r="A903" t="s">
        <v>90</v>
      </c>
      <c r="B903" t="s">
        <v>2</v>
      </c>
      <c r="C903" t="s">
        <v>84</v>
      </c>
      <c r="D903" t="s">
        <v>53</v>
      </c>
      <c r="E903" t="s">
        <v>25</v>
      </c>
      <c r="F903" t="s">
        <v>53</v>
      </c>
      <c r="G903" t="s">
        <v>71</v>
      </c>
      <c r="H903" t="s">
        <v>89</v>
      </c>
      <c r="I903">
        <v>2045</v>
      </c>
      <c r="J903">
        <v>2.9999999999999997E-4</v>
      </c>
      <c r="K903" t="s">
        <v>53</v>
      </c>
      <c r="L903">
        <v>55</v>
      </c>
    </row>
    <row r="904" spans="1:12" x14ac:dyDescent="0.45">
      <c r="A904" t="s">
        <v>90</v>
      </c>
      <c r="B904" t="s">
        <v>1</v>
      </c>
      <c r="C904" t="s">
        <v>84</v>
      </c>
      <c r="D904" t="s">
        <v>53</v>
      </c>
      <c r="E904" t="s">
        <v>25</v>
      </c>
      <c r="F904" t="s">
        <v>53</v>
      </c>
      <c r="G904" t="s">
        <v>71</v>
      </c>
      <c r="H904" t="s">
        <v>89</v>
      </c>
      <c r="I904">
        <v>2045</v>
      </c>
      <c r="J904">
        <v>0</v>
      </c>
      <c r="K904" t="s">
        <v>53</v>
      </c>
      <c r="L904">
        <v>55</v>
      </c>
    </row>
    <row r="905" spans="1:12" x14ac:dyDescent="0.45">
      <c r="A905" t="s">
        <v>90</v>
      </c>
      <c r="B905" t="s">
        <v>3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2050</v>
      </c>
      <c r="J905">
        <v>2.9999999999999997E-4</v>
      </c>
      <c r="K905" t="s">
        <v>53</v>
      </c>
      <c r="L905">
        <v>55</v>
      </c>
    </row>
    <row r="906" spans="1:12" x14ac:dyDescent="0.45">
      <c r="A906" t="s">
        <v>90</v>
      </c>
      <c r="B906" t="s">
        <v>4</v>
      </c>
      <c r="C906" t="s">
        <v>84</v>
      </c>
      <c r="D906" t="s">
        <v>53</v>
      </c>
      <c r="E906" t="s">
        <v>25</v>
      </c>
      <c r="F906" t="s">
        <v>53</v>
      </c>
      <c r="G906" t="s">
        <v>71</v>
      </c>
      <c r="H906" t="s">
        <v>89</v>
      </c>
      <c r="I906">
        <v>2050</v>
      </c>
      <c r="J906">
        <v>5.9999999999999995E-4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84</v>
      </c>
      <c r="D907" t="s">
        <v>53</v>
      </c>
      <c r="E907" t="s">
        <v>25</v>
      </c>
      <c r="F907" t="s">
        <v>53</v>
      </c>
      <c r="G907" t="s">
        <v>71</v>
      </c>
      <c r="H907" t="s">
        <v>89</v>
      </c>
      <c r="I907">
        <v>2050</v>
      </c>
      <c r="J907">
        <v>1E-4</v>
      </c>
      <c r="K907" t="s">
        <v>53</v>
      </c>
      <c r="L907">
        <v>55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2050</v>
      </c>
      <c r="J908">
        <v>5.0000000000000001E-4</v>
      </c>
      <c r="K908" t="s">
        <v>53</v>
      </c>
      <c r="L908">
        <v>55</v>
      </c>
    </row>
    <row r="909" spans="1:12" x14ac:dyDescent="0.45">
      <c r="A909" t="s">
        <v>90</v>
      </c>
      <c r="B909" t="s">
        <v>5</v>
      </c>
      <c r="C909" t="s">
        <v>84</v>
      </c>
      <c r="D909" t="s">
        <v>53</v>
      </c>
      <c r="E909" t="s">
        <v>25</v>
      </c>
      <c r="F909" t="s">
        <v>53</v>
      </c>
      <c r="G909" t="s">
        <v>71</v>
      </c>
      <c r="H909" t="s">
        <v>89</v>
      </c>
      <c r="I909">
        <v>2050</v>
      </c>
      <c r="J909">
        <v>1E-4</v>
      </c>
      <c r="K909" t="s">
        <v>53</v>
      </c>
      <c r="L909">
        <v>55</v>
      </c>
    </row>
    <row r="910" spans="1:12" x14ac:dyDescent="0.45">
      <c r="A910" t="s">
        <v>90</v>
      </c>
      <c r="B910" t="s">
        <v>2</v>
      </c>
      <c r="C910" t="s">
        <v>84</v>
      </c>
      <c r="D910" t="s">
        <v>53</v>
      </c>
      <c r="E910" t="s">
        <v>25</v>
      </c>
      <c r="F910" t="s">
        <v>53</v>
      </c>
      <c r="G910" t="s">
        <v>71</v>
      </c>
      <c r="H910" t="s">
        <v>89</v>
      </c>
      <c r="I910">
        <v>2050</v>
      </c>
      <c r="J910">
        <v>2.9999999999999997E-4</v>
      </c>
      <c r="K910" t="s">
        <v>53</v>
      </c>
      <c r="L910">
        <v>55</v>
      </c>
    </row>
    <row r="911" spans="1:12" x14ac:dyDescent="0.45">
      <c r="A911" t="s">
        <v>90</v>
      </c>
      <c r="B911" t="s">
        <v>1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2.5000000000000001E-4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5.9999999999999995E-4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0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5.0000000000000001E-4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0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2.9999999999999997E-4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53</v>
      </c>
      <c r="E919" t="s">
        <v>25</v>
      </c>
      <c r="F919" t="s">
        <v>53</v>
      </c>
      <c r="G919" t="s">
        <v>71</v>
      </c>
      <c r="H919" t="s">
        <v>89</v>
      </c>
      <c r="I919">
        <v>2060</v>
      </c>
      <c r="J919">
        <v>1.5000000000000001E-4</v>
      </c>
      <c r="K919" t="s">
        <v>53</v>
      </c>
      <c r="L919">
        <v>55</v>
      </c>
    </row>
    <row r="920" spans="1:12" x14ac:dyDescent="0.45">
      <c r="A920" t="s">
        <v>90</v>
      </c>
      <c r="B920" t="s">
        <v>4</v>
      </c>
      <c r="C920" t="s">
        <v>84</v>
      </c>
      <c r="D920" t="s">
        <v>53</v>
      </c>
      <c r="E920" t="s">
        <v>25</v>
      </c>
      <c r="F920" t="s">
        <v>53</v>
      </c>
      <c r="G920" t="s">
        <v>71</v>
      </c>
      <c r="H920" t="s">
        <v>89</v>
      </c>
      <c r="I920">
        <v>2060</v>
      </c>
      <c r="J920">
        <v>6.4999999999999997E-4</v>
      </c>
      <c r="K920" t="s">
        <v>53</v>
      </c>
      <c r="L920">
        <v>55</v>
      </c>
    </row>
    <row r="921" spans="1:12" x14ac:dyDescent="0.45">
      <c r="A921" t="s">
        <v>90</v>
      </c>
      <c r="B921" t="s">
        <v>0</v>
      </c>
      <c r="C921" t="s">
        <v>84</v>
      </c>
      <c r="D921" t="s">
        <v>53</v>
      </c>
      <c r="E921" t="s">
        <v>25</v>
      </c>
      <c r="F921" t="s">
        <v>53</v>
      </c>
      <c r="G921" t="s">
        <v>71</v>
      </c>
      <c r="H921" t="s">
        <v>89</v>
      </c>
      <c r="I921">
        <v>2060</v>
      </c>
      <c r="J921">
        <v>0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84</v>
      </c>
      <c r="D922" t="s">
        <v>53</v>
      </c>
      <c r="E922" t="s">
        <v>25</v>
      </c>
      <c r="F922" t="s">
        <v>53</v>
      </c>
      <c r="G922" t="s">
        <v>71</v>
      </c>
      <c r="H922" t="s">
        <v>89</v>
      </c>
      <c r="I922">
        <v>2060</v>
      </c>
      <c r="J922">
        <v>2.9999999999999997E-4</v>
      </c>
      <c r="K922" t="s">
        <v>53</v>
      </c>
      <c r="L922">
        <v>55</v>
      </c>
    </row>
    <row r="923" spans="1:12" x14ac:dyDescent="0.45">
      <c r="A923" t="s">
        <v>90</v>
      </c>
      <c r="B923" t="s">
        <v>5</v>
      </c>
      <c r="C923" t="s">
        <v>84</v>
      </c>
      <c r="D923" t="s">
        <v>53</v>
      </c>
      <c r="E923" t="s">
        <v>25</v>
      </c>
      <c r="F923" t="s">
        <v>53</v>
      </c>
      <c r="G923" t="s">
        <v>71</v>
      </c>
      <c r="H923" t="s">
        <v>89</v>
      </c>
      <c r="I923">
        <v>2060</v>
      </c>
      <c r="J923">
        <v>0</v>
      </c>
      <c r="K923" t="s">
        <v>53</v>
      </c>
      <c r="L923">
        <v>55</v>
      </c>
    </row>
    <row r="924" spans="1:12" x14ac:dyDescent="0.45">
      <c r="A924" t="s">
        <v>90</v>
      </c>
      <c r="B924" t="s">
        <v>2</v>
      </c>
      <c r="C924" t="s">
        <v>84</v>
      </c>
      <c r="D924" t="s">
        <v>53</v>
      </c>
      <c r="E924" t="s">
        <v>25</v>
      </c>
      <c r="F924" t="s">
        <v>53</v>
      </c>
      <c r="G924" t="s">
        <v>71</v>
      </c>
      <c r="H924" t="s">
        <v>89</v>
      </c>
      <c r="I924">
        <v>2060</v>
      </c>
      <c r="J924">
        <v>2.0000000000000001E-4</v>
      </c>
      <c r="K924" t="s">
        <v>53</v>
      </c>
      <c r="L924">
        <v>55</v>
      </c>
    </row>
    <row r="925" spans="1:12" x14ac:dyDescent="0.45">
      <c r="A925" t="s">
        <v>90</v>
      </c>
      <c r="B925" t="s">
        <v>1</v>
      </c>
      <c r="C925" t="s">
        <v>84</v>
      </c>
      <c r="D925" t="s">
        <v>53</v>
      </c>
      <c r="E925" t="s">
        <v>25</v>
      </c>
      <c r="F925" t="s">
        <v>53</v>
      </c>
      <c r="G925" t="s">
        <v>71</v>
      </c>
      <c r="H925" t="s">
        <v>89</v>
      </c>
      <c r="I925">
        <v>2060</v>
      </c>
      <c r="J925">
        <v>0</v>
      </c>
      <c r="K925" t="s">
        <v>53</v>
      </c>
      <c r="L925">
        <v>55</v>
      </c>
    </row>
    <row r="926" spans="1:12" x14ac:dyDescent="0.45">
      <c r="A926" t="s">
        <v>90</v>
      </c>
      <c r="B926" t="s">
        <v>3</v>
      </c>
      <c r="C926" t="s">
        <v>84</v>
      </c>
      <c r="D926" t="s">
        <v>53</v>
      </c>
      <c r="E926" t="s">
        <v>25</v>
      </c>
      <c r="F926" t="s">
        <v>53</v>
      </c>
      <c r="G926" t="s">
        <v>71</v>
      </c>
      <c r="H926" t="s">
        <v>89</v>
      </c>
      <c r="I926">
        <v>2065</v>
      </c>
      <c r="J926">
        <v>1E-4</v>
      </c>
      <c r="K926" t="s">
        <v>53</v>
      </c>
      <c r="L926">
        <v>55</v>
      </c>
    </row>
    <row r="927" spans="1:12" x14ac:dyDescent="0.45">
      <c r="A927" t="s">
        <v>90</v>
      </c>
      <c r="B927" t="s">
        <v>4</v>
      </c>
      <c r="C927" t="s">
        <v>84</v>
      </c>
      <c r="D927" t="s">
        <v>53</v>
      </c>
      <c r="E927" t="s">
        <v>25</v>
      </c>
      <c r="F927" t="s">
        <v>53</v>
      </c>
      <c r="G927" t="s">
        <v>71</v>
      </c>
      <c r="H927" t="s">
        <v>89</v>
      </c>
      <c r="I927">
        <v>2065</v>
      </c>
      <c r="J927">
        <v>7.5000000000000002E-4</v>
      </c>
      <c r="K927" t="s">
        <v>53</v>
      </c>
      <c r="L927">
        <v>55</v>
      </c>
    </row>
    <row r="928" spans="1:12" x14ac:dyDescent="0.45">
      <c r="A928" t="s">
        <v>90</v>
      </c>
      <c r="B928" t="s">
        <v>0</v>
      </c>
      <c r="C928" t="s">
        <v>84</v>
      </c>
      <c r="D928" t="s">
        <v>53</v>
      </c>
      <c r="E928" t="s">
        <v>25</v>
      </c>
      <c r="F928" t="s">
        <v>53</v>
      </c>
      <c r="G928" t="s">
        <v>71</v>
      </c>
      <c r="H928" t="s">
        <v>89</v>
      </c>
      <c r="I928">
        <v>2065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84</v>
      </c>
      <c r="D929" t="s">
        <v>53</v>
      </c>
      <c r="E929" t="s">
        <v>25</v>
      </c>
      <c r="F929" t="s">
        <v>53</v>
      </c>
      <c r="G929" t="s">
        <v>71</v>
      </c>
      <c r="H929" t="s">
        <v>89</v>
      </c>
      <c r="I929">
        <v>2065</v>
      </c>
      <c r="J929">
        <v>2.0000000000000001E-4</v>
      </c>
      <c r="K929" t="s">
        <v>53</v>
      </c>
      <c r="L929">
        <v>55</v>
      </c>
    </row>
    <row r="930" spans="1:12" x14ac:dyDescent="0.45">
      <c r="A930" t="s">
        <v>90</v>
      </c>
      <c r="B930" t="s">
        <v>5</v>
      </c>
      <c r="C930" t="s">
        <v>84</v>
      </c>
      <c r="D930" t="s">
        <v>53</v>
      </c>
      <c r="E930" t="s">
        <v>25</v>
      </c>
      <c r="F930" t="s">
        <v>53</v>
      </c>
      <c r="G930" t="s">
        <v>71</v>
      </c>
      <c r="H930" t="s">
        <v>89</v>
      </c>
      <c r="I930">
        <v>2065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2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2065</v>
      </c>
      <c r="J931">
        <v>1E-4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2065</v>
      </c>
      <c r="J932">
        <v>0</v>
      </c>
      <c r="K932" t="s">
        <v>53</v>
      </c>
      <c r="L932">
        <v>55</v>
      </c>
    </row>
    <row r="933" spans="1:12" x14ac:dyDescent="0.45">
      <c r="A933" t="s">
        <v>90</v>
      </c>
      <c r="B933" t="s">
        <v>3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2070</v>
      </c>
      <c r="J933">
        <v>0</v>
      </c>
      <c r="K933" t="s">
        <v>53</v>
      </c>
      <c r="L933">
        <v>55</v>
      </c>
    </row>
    <row r="934" spans="1:12" x14ac:dyDescent="0.45">
      <c r="A934" t="s">
        <v>90</v>
      </c>
      <c r="B934" t="s">
        <v>4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2070</v>
      </c>
      <c r="J934">
        <v>8.5000000000000006E-4</v>
      </c>
      <c r="K934" t="s">
        <v>53</v>
      </c>
      <c r="L934">
        <v>55</v>
      </c>
    </row>
    <row r="935" spans="1:12" x14ac:dyDescent="0.45">
      <c r="A935" t="s">
        <v>90</v>
      </c>
      <c r="B935" t="s">
        <v>0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2070</v>
      </c>
      <c r="J935">
        <v>0</v>
      </c>
      <c r="K935" t="s">
        <v>53</v>
      </c>
      <c r="L935">
        <v>55</v>
      </c>
    </row>
    <row r="936" spans="1:12" x14ac:dyDescent="0.45">
      <c r="A936" t="s">
        <v>90</v>
      </c>
      <c r="B936" t="s">
        <v>6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2070</v>
      </c>
      <c r="J936">
        <v>1E-4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2070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2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2070</v>
      </c>
      <c r="J938">
        <v>0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2070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3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2075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4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2075</v>
      </c>
      <c r="J941">
        <v>8.9999999999999998E-4</v>
      </c>
      <c r="K941" t="s">
        <v>53</v>
      </c>
      <c r="L941">
        <v>55</v>
      </c>
    </row>
    <row r="942" spans="1:12" x14ac:dyDescent="0.45">
      <c r="A942" t="s">
        <v>90</v>
      </c>
      <c r="B942" t="s">
        <v>0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6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2075</v>
      </c>
      <c r="J943">
        <v>1E-4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2075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2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2075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2075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3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2080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4</v>
      </c>
      <c r="C948" t="s">
        <v>84</v>
      </c>
      <c r="D948" t="s">
        <v>53</v>
      </c>
      <c r="E948" t="s">
        <v>25</v>
      </c>
      <c r="F948" t="s">
        <v>53</v>
      </c>
      <c r="G948" t="s">
        <v>71</v>
      </c>
      <c r="H948" t="s">
        <v>89</v>
      </c>
      <c r="I948">
        <v>2080</v>
      </c>
      <c r="J948">
        <v>9.5E-4</v>
      </c>
      <c r="K948" t="s">
        <v>53</v>
      </c>
      <c r="L948">
        <v>55</v>
      </c>
    </row>
    <row r="949" spans="1:12" x14ac:dyDescent="0.45">
      <c r="A949" t="s">
        <v>90</v>
      </c>
      <c r="B949" t="s">
        <v>0</v>
      </c>
      <c r="C949" t="s">
        <v>84</v>
      </c>
      <c r="D949" t="s">
        <v>53</v>
      </c>
      <c r="E949" t="s">
        <v>25</v>
      </c>
      <c r="F949" t="s">
        <v>53</v>
      </c>
      <c r="G949" t="s">
        <v>71</v>
      </c>
      <c r="H949" t="s">
        <v>89</v>
      </c>
      <c r="I949">
        <v>2080</v>
      </c>
      <c r="J949">
        <v>0</v>
      </c>
      <c r="K949" t="s">
        <v>53</v>
      </c>
      <c r="L949">
        <v>55</v>
      </c>
    </row>
    <row r="950" spans="1:12" x14ac:dyDescent="0.45">
      <c r="A950" t="s">
        <v>90</v>
      </c>
      <c r="B950" t="s">
        <v>6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2080</v>
      </c>
      <c r="J950">
        <v>0</v>
      </c>
      <c r="K950" t="s">
        <v>53</v>
      </c>
      <c r="L950">
        <v>55</v>
      </c>
    </row>
    <row r="951" spans="1:12" x14ac:dyDescent="0.45">
      <c r="A951" t="s">
        <v>90</v>
      </c>
      <c r="B951" t="s">
        <v>5</v>
      </c>
      <c r="C951" t="s">
        <v>84</v>
      </c>
      <c r="D951" t="s">
        <v>53</v>
      </c>
      <c r="E951" t="s">
        <v>25</v>
      </c>
      <c r="F951" t="s">
        <v>53</v>
      </c>
      <c r="G951" t="s">
        <v>71</v>
      </c>
      <c r="H951" t="s">
        <v>89</v>
      </c>
      <c r="I951">
        <v>2080</v>
      </c>
      <c r="J951">
        <v>0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84</v>
      </c>
      <c r="D952" t="s">
        <v>53</v>
      </c>
      <c r="E952" t="s">
        <v>25</v>
      </c>
      <c r="F952" t="s">
        <v>53</v>
      </c>
      <c r="G952" t="s">
        <v>71</v>
      </c>
      <c r="H952" t="s">
        <v>89</v>
      </c>
      <c r="I952">
        <v>2080</v>
      </c>
      <c r="J952">
        <v>0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2080</v>
      </c>
      <c r="J953">
        <v>0</v>
      </c>
      <c r="K953" t="s">
        <v>53</v>
      </c>
      <c r="L953">
        <v>55</v>
      </c>
    </row>
    <row r="954" spans="1:12" x14ac:dyDescent="0.45">
      <c r="A954" t="s">
        <v>90</v>
      </c>
      <c r="B954" t="s">
        <v>3</v>
      </c>
      <c r="C954" t="s">
        <v>84</v>
      </c>
      <c r="D954" t="s">
        <v>53</v>
      </c>
      <c r="E954" t="s">
        <v>25</v>
      </c>
      <c r="F954" t="s">
        <v>53</v>
      </c>
      <c r="G954" t="s">
        <v>71</v>
      </c>
      <c r="H954" t="s">
        <v>89</v>
      </c>
      <c r="I954">
        <v>2085</v>
      </c>
      <c r="J954">
        <v>0</v>
      </c>
      <c r="K954" t="s">
        <v>53</v>
      </c>
      <c r="L954">
        <v>55</v>
      </c>
    </row>
    <row r="955" spans="1:12" x14ac:dyDescent="0.45">
      <c r="A955" t="s">
        <v>90</v>
      </c>
      <c r="B955" t="s">
        <v>4</v>
      </c>
      <c r="C955" t="s">
        <v>84</v>
      </c>
      <c r="D955" t="s">
        <v>53</v>
      </c>
      <c r="E955" t="s">
        <v>25</v>
      </c>
      <c r="F955" t="s">
        <v>53</v>
      </c>
      <c r="G955" t="s">
        <v>71</v>
      </c>
      <c r="H955" t="s">
        <v>89</v>
      </c>
      <c r="I955">
        <v>2085</v>
      </c>
      <c r="J955">
        <v>8.0000000000000004E-4</v>
      </c>
      <c r="K955" t="s">
        <v>53</v>
      </c>
      <c r="L955">
        <v>55</v>
      </c>
    </row>
    <row r="956" spans="1:12" x14ac:dyDescent="0.45">
      <c r="A956" t="s">
        <v>90</v>
      </c>
      <c r="B956" t="s">
        <v>0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2085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6</v>
      </c>
      <c r="C957" t="s">
        <v>84</v>
      </c>
      <c r="D957" t="s">
        <v>53</v>
      </c>
      <c r="E957" t="s">
        <v>25</v>
      </c>
      <c r="F957" t="s">
        <v>53</v>
      </c>
      <c r="G957" t="s">
        <v>71</v>
      </c>
      <c r="H957" t="s">
        <v>89</v>
      </c>
      <c r="I957">
        <v>2085</v>
      </c>
      <c r="J957">
        <v>0</v>
      </c>
      <c r="K957" t="s">
        <v>53</v>
      </c>
      <c r="L957">
        <v>55</v>
      </c>
    </row>
    <row r="958" spans="1:12" x14ac:dyDescent="0.45">
      <c r="A958" t="s">
        <v>90</v>
      </c>
      <c r="B958" t="s">
        <v>5</v>
      </c>
      <c r="C958" t="s">
        <v>84</v>
      </c>
      <c r="D958" t="s">
        <v>53</v>
      </c>
      <c r="E958" t="s">
        <v>25</v>
      </c>
      <c r="F958" t="s">
        <v>53</v>
      </c>
      <c r="G958" t="s">
        <v>71</v>
      </c>
      <c r="H958" t="s">
        <v>89</v>
      </c>
      <c r="I958">
        <v>2085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2085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53</v>
      </c>
      <c r="E960" t="s">
        <v>25</v>
      </c>
      <c r="F960" t="s">
        <v>53</v>
      </c>
      <c r="G960" t="s">
        <v>71</v>
      </c>
      <c r="H960" t="s">
        <v>89</v>
      </c>
      <c r="I960">
        <v>2085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2090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2090</v>
      </c>
      <c r="J962">
        <v>8.0000000000000004E-4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2090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2090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2090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2090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2090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2095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4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2095</v>
      </c>
      <c r="J969">
        <v>6.4999999999999997E-4</v>
      </c>
      <c r="K969" t="s">
        <v>53</v>
      </c>
      <c r="L969">
        <v>55</v>
      </c>
    </row>
    <row r="970" spans="1:12" x14ac:dyDescent="0.45">
      <c r="A970" t="s">
        <v>90</v>
      </c>
      <c r="B970" t="s">
        <v>0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2095</v>
      </c>
      <c r="J970">
        <v>0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2095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5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2095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2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2095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2100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2100</v>
      </c>
      <c r="J976">
        <v>5.0000000000000001E-4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2100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2100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2100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1.7999999999999999E-2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2020</v>
      </c>
      <c r="J983">
        <v>1.8100000000000002E-2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2020</v>
      </c>
      <c r="J984">
        <v>1.7999999999999999E-2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2020</v>
      </c>
      <c r="J985">
        <v>1.7999999999999999E-2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2020</v>
      </c>
      <c r="J986">
        <v>1.7899999999999999E-2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2020</v>
      </c>
      <c r="J987">
        <v>1.7999999999999999E-2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2020</v>
      </c>
      <c r="J988">
        <v>1.78E-2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2025</v>
      </c>
      <c r="J989">
        <v>0.01</v>
      </c>
      <c r="K989" t="s">
        <v>54</v>
      </c>
      <c r="L989">
        <v>70</v>
      </c>
    </row>
    <row r="990" spans="1:12" x14ac:dyDescent="0.45">
      <c r="A990" t="s">
        <v>90</v>
      </c>
      <c r="B990" t="s">
        <v>4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2025</v>
      </c>
      <c r="J990">
        <v>1.0500000000000001E-2</v>
      </c>
      <c r="K990" t="s">
        <v>54</v>
      </c>
      <c r="L990">
        <v>70</v>
      </c>
    </row>
    <row r="991" spans="1:12" x14ac:dyDescent="0.45">
      <c r="A991" t="s">
        <v>90</v>
      </c>
      <c r="B991" t="s">
        <v>0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2025</v>
      </c>
      <c r="J991">
        <v>1.0500000000000001E-2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2025</v>
      </c>
      <c r="J992">
        <v>1.04E-2</v>
      </c>
      <c r="K992" t="s">
        <v>54</v>
      </c>
      <c r="L992">
        <v>70</v>
      </c>
    </row>
    <row r="993" spans="1:12" x14ac:dyDescent="0.45">
      <c r="A993" t="s">
        <v>90</v>
      </c>
      <c r="B993" t="s">
        <v>5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2025</v>
      </c>
      <c r="J993">
        <v>1.0500000000000001E-2</v>
      </c>
      <c r="K993" t="s">
        <v>54</v>
      </c>
      <c r="L993">
        <v>70</v>
      </c>
    </row>
    <row r="994" spans="1:12" x14ac:dyDescent="0.45">
      <c r="A994" t="s">
        <v>90</v>
      </c>
      <c r="B994" t="s">
        <v>2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2025</v>
      </c>
      <c r="J994">
        <v>1.01E-2</v>
      </c>
      <c r="K994" t="s">
        <v>54</v>
      </c>
      <c r="L994">
        <v>70</v>
      </c>
    </row>
    <row r="995" spans="1:12" x14ac:dyDescent="0.45">
      <c r="A995" t="s">
        <v>90</v>
      </c>
      <c r="B995" t="s">
        <v>1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2025</v>
      </c>
      <c r="J995">
        <v>9.7000000000000003E-3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2030</v>
      </c>
      <c r="J996">
        <v>3.0999999999999999E-3</v>
      </c>
      <c r="K996" t="s">
        <v>54</v>
      </c>
      <c r="L996">
        <v>70</v>
      </c>
    </row>
    <row r="997" spans="1:12" x14ac:dyDescent="0.45">
      <c r="A997" t="s">
        <v>90</v>
      </c>
      <c r="B997" t="s">
        <v>4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2030</v>
      </c>
      <c r="J997">
        <v>3.5999999999999999E-3</v>
      </c>
      <c r="K997" t="s">
        <v>54</v>
      </c>
      <c r="L997">
        <v>70</v>
      </c>
    </row>
    <row r="998" spans="1:12" x14ac:dyDescent="0.45">
      <c r="A998" t="s">
        <v>90</v>
      </c>
      <c r="B998" t="s">
        <v>0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2030</v>
      </c>
      <c r="J998">
        <v>3.5999999999999999E-3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54</v>
      </c>
      <c r="E999" t="s">
        <v>25</v>
      </c>
      <c r="F999" t="s">
        <v>54</v>
      </c>
      <c r="G999" t="s">
        <v>71</v>
      </c>
      <c r="H999" t="s">
        <v>89</v>
      </c>
      <c r="I999">
        <v>2030</v>
      </c>
      <c r="J999">
        <v>3.5999999999999999E-3</v>
      </c>
      <c r="K999" t="s">
        <v>54</v>
      </c>
      <c r="L999">
        <v>70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54</v>
      </c>
      <c r="E1000" t="s">
        <v>25</v>
      </c>
      <c r="F1000" t="s">
        <v>54</v>
      </c>
      <c r="G1000" t="s">
        <v>71</v>
      </c>
      <c r="H1000" t="s">
        <v>89</v>
      </c>
      <c r="I1000">
        <v>2030</v>
      </c>
      <c r="J1000">
        <v>3.3999999999999998E-3</v>
      </c>
      <c r="K1000" t="s">
        <v>54</v>
      </c>
      <c r="L1000">
        <v>70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2030</v>
      </c>
      <c r="J1001">
        <v>3.0999999999999999E-3</v>
      </c>
      <c r="K1001" t="s">
        <v>54</v>
      </c>
      <c r="L1001">
        <v>70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54</v>
      </c>
      <c r="E1002" t="s">
        <v>25</v>
      </c>
      <c r="F1002" t="s">
        <v>54</v>
      </c>
      <c r="G1002" t="s">
        <v>71</v>
      </c>
      <c r="H1002" t="s">
        <v>89</v>
      </c>
      <c r="I1002">
        <v>2030</v>
      </c>
      <c r="J1002">
        <v>2.8999999999999998E-3</v>
      </c>
      <c r="K1002" t="s">
        <v>54</v>
      </c>
      <c r="L1002">
        <v>70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54</v>
      </c>
      <c r="E1003" t="s">
        <v>25</v>
      </c>
      <c r="F1003" t="s">
        <v>54</v>
      </c>
      <c r="G1003" t="s">
        <v>71</v>
      </c>
      <c r="H1003" t="s">
        <v>89</v>
      </c>
      <c r="I1003">
        <v>2035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2035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54</v>
      </c>
      <c r="E1005" t="s">
        <v>25</v>
      </c>
      <c r="F1005" t="s">
        <v>54</v>
      </c>
      <c r="G1005" t="s">
        <v>71</v>
      </c>
      <c r="H1005" t="s">
        <v>89</v>
      </c>
      <c r="I1005">
        <v>2035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54</v>
      </c>
      <c r="E1006" t="s">
        <v>25</v>
      </c>
      <c r="F1006" t="s">
        <v>54</v>
      </c>
      <c r="G1006" t="s">
        <v>71</v>
      </c>
      <c r="H1006" t="s">
        <v>89</v>
      </c>
      <c r="I1006">
        <v>2035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2035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54</v>
      </c>
      <c r="E1008" t="s">
        <v>25</v>
      </c>
      <c r="F1008" t="s">
        <v>54</v>
      </c>
      <c r="G1008" t="s">
        <v>71</v>
      </c>
      <c r="H1008" t="s">
        <v>89</v>
      </c>
      <c r="I1008">
        <v>2035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54</v>
      </c>
      <c r="E1009" t="s">
        <v>25</v>
      </c>
      <c r="F1009" t="s">
        <v>54</v>
      </c>
      <c r="G1009" t="s">
        <v>71</v>
      </c>
      <c r="H1009" t="s">
        <v>89</v>
      </c>
      <c r="I1009">
        <v>2035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2040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54</v>
      </c>
      <c r="E1011" t="s">
        <v>25</v>
      </c>
      <c r="F1011" t="s">
        <v>54</v>
      </c>
      <c r="G1011" t="s">
        <v>71</v>
      </c>
      <c r="H1011" t="s">
        <v>89</v>
      </c>
      <c r="I1011">
        <v>2040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54</v>
      </c>
      <c r="E1012" t="s">
        <v>25</v>
      </c>
      <c r="F1012" t="s">
        <v>54</v>
      </c>
      <c r="G1012" t="s">
        <v>71</v>
      </c>
      <c r="H1012" t="s">
        <v>89</v>
      </c>
      <c r="I1012">
        <v>2040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2040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54</v>
      </c>
      <c r="E1014" t="s">
        <v>25</v>
      </c>
      <c r="F1014" t="s">
        <v>54</v>
      </c>
      <c r="G1014" t="s">
        <v>71</v>
      </c>
      <c r="H1014" t="s">
        <v>89</v>
      </c>
      <c r="I1014">
        <v>2040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54</v>
      </c>
      <c r="E1015" t="s">
        <v>25</v>
      </c>
      <c r="F1015" t="s">
        <v>54</v>
      </c>
      <c r="G1015" t="s">
        <v>71</v>
      </c>
      <c r="H1015" t="s">
        <v>89</v>
      </c>
      <c r="I1015">
        <v>2040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2040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2045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2045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2045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2045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2045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2045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54</v>
      </c>
      <c r="E1024" t="s">
        <v>25</v>
      </c>
      <c r="F1024" t="s">
        <v>54</v>
      </c>
      <c r="G1024" t="s">
        <v>71</v>
      </c>
      <c r="H1024" t="s">
        <v>89</v>
      </c>
      <c r="I1024">
        <v>2050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4</v>
      </c>
      <c r="C1025" t="s">
        <v>84</v>
      </c>
      <c r="D1025" t="s">
        <v>54</v>
      </c>
      <c r="E1025" t="s">
        <v>25</v>
      </c>
      <c r="F1025" t="s">
        <v>54</v>
      </c>
      <c r="G1025" t="s">
        <v>71</v>
      </c>
      <c r="H1025" t="s">
        <v>89</v>
      </c>
      <c r="I1025">
        <v>2050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84</v>
      </c>
      <c r="D1026" t="s">
        <v>54</v>
      </c>
      <c r="E1026" t="s">
        <v>25</v>
      </c>
      <c r="F1026" t="s">
        <v>54</v>
      </c>
      <c r="G1026" t="s">
        <v>71</v>
      </c>
      <c r="H1026" t="s">
        <v>89</v>
      </c>
      <c r="I1026">
        <v>2050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54</v>
      </c>
      <c r="E1027" t="s">
        <v>25</v>
      </c>
      <c r="F1027" t="s">
        <v>54</v>
      </c>
      <c r="G1027" t="s">
        <v>71</v>
      </c>
      <c r="H1027" t="s">
        <v>89</v>
      </c>
      <c r="I1027">
        <v>2050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5</v>
      </c>
      <c r="C1028" t="s">
        <v>84</v>
      </c>
      <c r="D1028" t="s">
        <v>54</v>
      </c>
      <c r="E1028" t="s">
        <v>25</v>
      </c>
      <c r="F1028" t="s">
        <v>54</v>
      </c>
      <c r="G1028" t="s">
        <v>71</v>
      </c>
      <c r="H1028" t="s">
        <v>89</v>
      </c>
      <c r="I1028">
        <v>2050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2</v>
      </c>
      <c r="C1029" t="s">
        <v>84</v>
      </c>
      <c r="D1029" t="s">
        <v>54</v>
      </c>
      <c r="E1029" t="s">
        <v>25</v>
      </c>
      <c r="F1029" t="s">
        <v>54</v>
      </c>
      <c r="G1029" t="s">
        <v>71</v>
      </c>
      <c r="H1029" t="s">
        <v>89</v>
      </c>
      <c r="I1029">
        <v>2050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84</v>
      </c>
      <c r="D1030" t="s">
        <v>54</v>
      </c>
      <c r="E1030" t="s">
        <v>25</v>
      </c>
      <c r="F1030" t="s">
        <v>54</v>
      </c>
      <c r="G1030" t="s">
        <v>71</v>
      </c>
      <c r="H1030" t="s">
        <v>89</v>
      </c>
      <c r="I1030">
        <v>2050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3</v>
      </c>
      <c r="C1031" t="s">
        <v>84</v>
      </c>
      <c r="D1031" t="s">
        <v>54</v>
      </c>
      <c r="E1031" t="s">
        <v>25</v>
      </c>
      <c r="F1031" t="s">
        <v>54</v>
      </c>
      <c r="G1031" t="s">
        <v>71</v>
      </c>
      <c r="H1031" t="s">
        <v>89</v>
      </c>
      <c r="I1031">
        <v>2055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4</v>
      </c>
      <c r="C1032" t="s">
        <v>84</v>
      </c>
      <c r="D1032" t="s">
        <v>54</v>
      </c>
      <c r="E1032" t="s">
        <v>25</v>
      </c>
      <c r="F1032" t="s">
        <v>54</v>
      </c>
      <c r="G1032" t="s">
        <v>71</v>
      </c>
      <c r="H1032" t="s">
        <v>89</v>
      </c>
      <c r="I1032">
        <v>2055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0</v>
      </c>
      <c r="C1033" t="s">
        <v>84</v>
      </c>
      <c r="D1033" t="s">
        <v>54</v>
      </c>
      <c r="E1033" t="s">
        <v>25</v>
      </c>
      <c r="F1033" t="s">
        <v>54</v>
      </c>
      <c r="G1033" t="s">
        <v>71</v>
      </c>
      <c r="H1033" t="s">
        <v>89</v>
      </c>
      <c r="I1033">
        <v>2055</v>
      </c>
      <c r="J1033">
        <v>0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54</v>
      </c>
      <c r="E1034" t="s">
        <v>25</v>
      </c>
      <c r="F1034" t="s">
        <v>54</v>
      </c>
      <c r="G1034" t="s">
        <v>71</v>
      </c>
      <c r="H1034" t="s">
        <v>89</v>
      </c>
      <c r="I1034">
        <v>2055</v>
      </c>
      <c r="J1034">
        <v>0</v>
      </c>
      <c r="K1034" t="s">
        <v>54</v>
      </c>
      <c r="L1034">
        <v>70</v>
      </c>
    </row>
    <row r="1035" spans="1:12" x14ac:dyDescent="0.45">
      <c r="A1035" t="s">
        <v>90</v>
      </c>
      <c r="B1035" t="s">
        <v>5</v>
      </c>
      <c r="C1035" t="s">
        <v>84</v>
      </c>
      <c r="D1035" t="s">
        <v>54</v>
      </c>
      <c r="E1035" t="s">
        <v>25</v>
      </c>
      <c r="F1035" t="s">
        <v>54</v>
      </c>
      <c r="G1035" t="s">
        <v>71</v>
      </c>
      <c r="H1035" t="s">
        <v>89</v>
      </c>
      <c r="I1035">
        <v>2055</v>
      </c>
      <c r="J1035">
        <v>0</v>
      </c>
      <c r="K1035" t="s">
        <v>54</v>
      </c>
      <c r="L1035">
        <v>70</v>
      </c>
    </row>
    <row r="1036" spans="1:12" x14ac:dyDescent="0.45">
      <c r="A1036" t="s">
        <v>90</v>
      </c>
      <c r="B1036" t="s">
        <v>2</v>
      </c>
      <c r="C1036" t="s">
        <v>84</v>
      </c>
      <c r="D1036" t="s">
        <v>54</v>
      </c>
      <c r="E1036" t="s">
        <v>25</v>
      </c>
      <c r="F1036" t="s">
        <v>54</v>
      </c>
      <c r="G1036" t="s">
        <v>71</v>
      </c>
      <c r="H1036" t="s">
        <v>89</v>
      </c>
      <c r="I1036">
        <v>2055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1</v>
      </c>
      <c r="C1037" t="s">
        <v>84</v>
      </c>
      <c r="D1037" t="s">
        <v>54</v>
      </c>
      <c r="E1037" t="s">
        <v>25</v>
      </c>
      <c r="F1037" t="s">
        <v>54</v>
      </c>
      <c r="G1037" t="s">
        <v>71</v>
      </c>
      <c r="H1037" t="s">
        <v>89</v>
      </c>
      <c r="I1037">
        <v>2055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3</v>
      </c>
      <c r="C1038" t="s">
        <v>84</v>
      </c>
      <c r="D1038" t="s">
        <v>54</v>
      </c>
      <c r="E1038" t="s">
        <v>25</v>
      </c>
      <c r="F1038" t="s">
        <v>54</v>
      </c>
      <c r="G1038" t="s">
        <v>71</v>
      </c>
      <c r="H1038" t="s">
        <v>89</v>
      </c>
      <c r="I1038">
        <v>2060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4</v>
      </c>
      <c r="C1039" t="s">
        <v>84</v>
      </c>
      <c r="D1039" t="s">
        <v>54</v>
      </c>
      <c r="E1039" t="s">
        <v>25</v>
      </c>
      <c r="F1039" t="s">
        <v>54</v>
      </c>
      <c r="G1039" t="s">
        <v>71</v>
      </c>
      <c r="H1039" t="s">
        <v>89</v>
      </c>
      <c r="I1039">
        <v>2060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0</v>
      </c>
      <c r="C1040" t="s">
        <v>84</v>
      </c>
      <c r="D1040" t="s">
        <v>54</v>
      </c>
      <c r="E1040" t="s">
        <v>25</v>
      </c>
      <c r="F1040" t="s">
        <v>54</v>
      </c>
      <c r="G1040" t="s">
        <v>71</v>
      </c>
      <c r="H1040" t="s">
        <v>89</v>
      </c>
      <c r="I1040">
        <v>2060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54</v>
      </c>
      <c r="E1041" t="s">
        <v>25</v>
      </c>
      <c r="F1041" t="s">
        <v>54</v>
      </c>
      <c r="G1041" t="s">
        <v>71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54</v>
      </c>
      <c r="E1042" t="s">
        <v>25</v>
      </c>
      <c r="F1042" t="s">
        <v>54</v>
      </c>
      <c r="G1042" t="s">
        <v>71</v>
      </c>
      <c r="H1042" t="s">
        <v>89</v>
      </c>
      <c r="I1042">
        <v>2060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54</v>
      </c>
      <c r="E1043" t="s">
        <v>25</v>
      </c>
      <c r="F1043" t="s">
        <v>54</v>
      </c>
      <c r="G1043" t="s">
        <v>71</v>
      </c>
      <c r="H1043" t="s">
        <v>89</v>
      </c>
      <c r="I1043">
        <v>2060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54</v>
      </c>
      <c r="E1044" t="s">
        <v>25</v>
      </c>
      <c r="F1044" t="s">
        <v>54</v>
      </c>
      <c r="G1044" t="s">
        <v>71</v>
      </c>
      <c r="H1044" t="s">
        <v>89</v>
      </c>
      <c r="I1044">
        <v>2060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H1045" t="s">
        <v>89</v>
      </c>
      <c r="I1045">
        <v>2065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H1046" t="s">
        <v>89</v>
      </c>
      <c r="I1046">
        <v>2065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H1047" t="s">
        <v>89</v>
      </c>
      <c r="I1047">
        <v>2065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H1048" t="s">
        <v>89</v>
      </c>
      <c r="I1048">
        <v>2065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H1049" t="s">
        <v>89</v>
      </c>
      <c r="I1049">
        <v>2065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H1050" t="s">
        <v>89</v>
      </c>
      <c r="I1050">
        <v>2065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H1051" t="s">
        <v>89</v>
      </c>
      <c r="I1051">
        <v>2065</v>
      </c>
      <c r="J1051">
        <v>0</v>
      </c>
      <c r="K1051" t="s">
        <v>54</v>
      </c>
      <c r="L1051">
        <v>70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H1052" t="s">
        <v>89</v>
      </c>
      <c r="I1052">
        <v>2070</v>
      </c>
      <c r="J1052">
        <v>0</v>
      </c>
      <c r="K1052" t="s">
        <v>54</v>
      </c>
      <c r="L1052">
        <v>70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H1053" t="s">
        <v>89</v>
      </c>
      <c r="I1053">
        <v>2070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H1054" t="s">
        <v>89</v>
      </c>
      <c r="I1054">
        <v>2070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H1055" t="s">
        <v>89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H1056" t="s">
        <v>89</v>
      </c>
      <c r="I1056">
        <v>2070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H1057" t="s">
        <v>89</v>
      </c>
      <c r="I1057">
        <v>2070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H1058" t="s">
        <v>89</v>
      </c>
      <c r="I1058">
        <v>2070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H1059" t="s">
        <v>89</v>
      </c>
      <c r="I1059">
        <v>2075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H1060" t="s">
        <v>89</v>
      </c>
      <c r="I1060">
        <v>2075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54</v>
      </c>
      <c r="E1062" t="s">
        <v>25</v>
      </c>
      <c r="F1062" t="s">
        <v>54</v>
      </c>
      <c r="G1062" t="s">
        <v>71</v>
      </c>
      <c r="H1062" t="s">
        <v>89</v>
      </c>
      <c r="I1062">
        <v>2075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54</v>
      </c>
      <c r="E1063" t="s">
        <v>25</v>
      </c>
      <c r="F1063" t="s">
        <v>54</v>
      </c>
      <c r="G1063" t="s">
        <v>71</v>
      </c>
      <c r="H1063" t="s">
        <v>89</v>
      </c>
      <c r="I1063">
        <v>2075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54</v>
      </c>
      <c r="E1064" t="s">
        <v>25</v>
      </c>
      <c r="F1064" t="s">
        <v>54</v>
      </c>
      <c r="G1064" t="s">
        <v>71</v>
      </c>
      <c r="H1064" t="s">
        <v>89</v>
      </c>
      <c r="I1064">
        <v>2075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54</v>
      </c>
      <c r="E1065" t="s">
        <v>25</v>
      </c>
      <c r="F1065" t="s">
        <v>54</v>
      </c>
      <c r="G1065" t="s">
        <v>71</v>
      </c>
      <c r="H1065" t="s">
        <v>89</v>
      </c>
      <c r="I1065">
        <v>2075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2080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2080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2080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2080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2080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2080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2085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2085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2085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2085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2085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2085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2090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2090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2090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2090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2090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2090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54</v>
      </c>
      <c r="E1087" t="s">
        <v>25</v>
      </c>
      <c r="F1087" t="s">
        <v>54</v>
      </c>
      <c r="G1087" t="s">
        <v>71</v>
      </c>
      <c r="H1087" t="s">
        <v>89</v>
      </c>
      <c r="I1087">
        <v>2095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54</v>
      </c>
      <c r="E1088" t="s">
        <v>25</v>
      </c>
      <c r="F1088" t="s">
        <v>54</v>
      </c>
      <c r="G1088" t="s">
        <v>71</v>
      </c>
      <c r="H1088" t="s">
        <v>89</v>
      </c>
      <c r="I1088">
        <v>2095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54</v>
      </c>
      <c r="E1089" t="s">
        <v>25</v>
      </c>
      <c r="F1089" t="s">
        <v>54</v>
      </c>
      <c r="G1089" t="s">
        <v>71</v>
      </c>
      <c r="H1089" t="s">
        <v>89</v>
      </c>
      <c r="I1089">
        <v>2095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54</v>
      </c>
      <c r="E1090" t="s">
        <v>25</v>
      </c>
      <c r="F1090" t="s">
        <v>54</v>
      </c>
      <c r="G1090" t="s">
        <v>71</v>
      </c>
      <c r="H1090" t="s">
        <v>89</v>
      </c>
      <c r="I1090">
        <v>2095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54</v>
      </c>
      <c r="E1091" t="s">
        <v>25</v>
      </c>
      <c r="F1091" t="s">
        <v>54</v>
      </c>
      <c r="G1091" t="s">
        <v>71</v>
      </c>
      <c r="H1091" t="s">
        <v>89</v>
      </c>
      <c r="I1091">
        <v>2095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54</v>
      </c>
      <c r="E1092" t="s">
        <v>25</v>
      </c>
      <c r="F1092" t="s">
        <v>54</v>
      </c>
      <c r="G1092" t="s">
        <v>71</v>
      </c>
      <c r="H1092" t="s">
        <v>89</v>
      </c>
      <c r="I1092">
        <v>2095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54</v>
      </c>
      <c r="E1093" t="s">
        <v>25</v>
      </c>
      <c r="F1093" t="s">
        <v>54</v>
      </c>
      <c r="G1093" t="s">
        <v>71</v>
      </c>
      <c r="H1093" t="s">
        <v>89</v>
      </c>
      <c r="I1093">
        <v>2095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54</v>
      </c>
      <c r="E1094" t="s">
        <v>25</v>
      </c>
      <c r="F1094" t="s">
        <v>54</v>
      </c>
      <c r="G1094" t="s">
        <v>71</v>
      </c>
      <c r="H1094" t="s">
        <v>89</v>
      </c>
      <c r="I1094">
        <v>2100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54</v>
      </c>
      <c r="E1095" t="s">
        <v>25</v>
      </c>
      <c r="F1095" t="s">
        <v>54</v>
      </c>
      <c r="G1095" t="s">
        <v>71</v>
      </c>
      <c r="H1095" t="s">
        <v>89</v>
      </c>
      <c r="I1095">
        <v>2100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2100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54</v>
      </c>
      <c r="E1097" t="s">
        <v>25</v>
      </c>
      <c r="F1097" t="s">
        <v>54</v>
      </c>
      <c r="G1097" t="s">
        <v>71</v>
      </c>
      <c r="H1097" t="s">
        <v>89</v>
      </c>
      <c r="I1097">
        <v>2100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54</v>
      </c>
      <c r="E1098" t="s">
        <v>25</v>
      </c>
      <c r="F1098" t="s">
        <v>54</v>
      </c>
      <c r="G1098" t="s">
        <v>71</v>
      </c>
      <c r="H1098" t="s">
        <v>89</v>
      </c>
      <c r="I1098">
        <v>2100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2100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54</v>
      </c>
      <c r="E1100" t="s">
        <v>25</v>
      </c>
      <c r="F1100" t="s">
        <v>54</v>
      </c>
      <c r="G1100" t="s">
        <v>71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2020</v>
      </c>
      <c r="J1102">
        <v>5.3799000000000001</v>
      </c>
      <c r="K1102" t="s">
        <v>29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2020</v>
      </c>
      <c r="J1103">
        <v>5.3799000000000001</v>
      </c>
      <c r="K1103" t="s">
        <v>29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2020</v>
      </c>
      <c r="J1104">
        <v>5.3799000000000001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2020</v>
      </c>
      <c r="J1105">
        <v>5.3799000000000001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2020</v>
      </c>
      <c r="J1106">
        <v>5.3799000000000001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2020</v>
      </c>
      <c r="J1107">
        <v>5.3799000000000001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2025</v>
      </c>
      <c r="J1108">
        <v>5.6314500000000001</v>
      </c>
      <c r="K1108" t="s">
        <v>29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2025</v>
      </c>
      <c r="J1109">
        <v>5.7637999999999998</v>
      </c>
      <c r="K1109" t="s">
        <v>29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2025</v>
      </c>
      <c r="J1110">
        <v>5.7637999999999998</v>
      </c>
      <c r="K1110" t="s">
        <v>29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2025</v>
      </c>
      <c r="J1111">
        <v>5.7637999999999998</v>
      </c>
      <c r="K1111" t="s">
        <v>29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2025</v>
      </c>
      <c r="J1112">
        <v>5.3708</v>
      </c>
      <c r="K1112" t="s">
        <v>29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2025</v>
      </c>
      <c r="J1113">
        <v>5.6462000000000003</v>
      </c>
      <c r="K1113" t="s">
        <v>29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2025</v>
      </c>
      <c r="J1114">
        <v>5.2343000000000002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2030</v>
      </c>
      <c r="J1115">
        <v>5.5214499999999997</v>
      </c>
      <c r="K1115" t="s">
        <v>29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2030</v>
      </c>
      <c r="J1116">
        <v>5.3145500000000006</v>
      </c>
      <c r="K1116" t="s">
        <v>29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2030</v>
      </c>
      <c r="J1117">
        <v>5.3145500000000006</v>
      </c>
      <c r="K1117" t="s">
        <v>29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2030</v>
      </c>
      <c r="J1118">
        <v>5.3145500000000006</v>
      </c>
      <c r="K1118" t="s">
        <v>29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2030</v>
      </c>
      <c r="J1119">
        <v>5.2363499999999998</v>
      </c>
      <c r="K1119" t="s">
        <v>29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5.6435499999999994</v>
      </c>
      <c r="K1120" t="s">
        <v>29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2030</v>
      </c>
      <c r="J1121">
        <v>6.0677500000000002</v>
      </c>
      <c r="K1121" t="s">
        <v>29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2035</v>
      </c>
      <c r="J1122">
        <v>5.7596500000000006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2035</v>
      </c>
      <c r="J1123">
        <v>4.5601500000000001</v>
      </c>
      <c r="K1123" t="s">
        <v>29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2035</v>
      </c>
      <c r="J1124">
        <v>2.1764999999999999</v>
      </c>
      <c r="K1124" t="s">
        <v>29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2035</v>
      </c>
      <c r="J1125">
        <v>4.7282500000000001</v>
      </c>
      <c r="K1125" t="s">
        <v>29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2035</v>
      </c>
      <c r="J1126">
        <v>7.54115</v>
      </c>
      <c r="K1126" t="s">
        <v>29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2035</v>
      </c>
      <c r="J1127">
        <v>5.8456999999999999</v>
      </c>
      <c r="K1127" t="s">
        <v>29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2035</v>
      </c>
      <c r="J1128">
        <v>8.3306499999999986</v>
      </c>
      <c r="K1128" t="s">
        <v>29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2040</v>
      </c>
      <c r="J1129">
        <v>6.8430499999999999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2040</v>
      </c>
      <c r="J1130">
        <v>2.1816000000000004</v>
      </c>
      <c r="K1130" t="s">
        <v>29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2040</v>
      </c>
      <c r="J1131">
        <v>5.5442</v>
      </c>
      <c r="K1131" t="s">
        <v>29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2040</v>
      </c>
      <c r="J1132">
        <v>5.6577500000000001</v>
      </c>
      <c r="K1132" t="s">
        <v>29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2040</v>
      </c>
      <c r="J1133">
        <v>8.9328500000000002</v>
      </c>
      <c r="K1133" t="s">
        <v>29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2040</v>
      </c>
      <c r="J1134">
        <v>5.91425</v>
      </c>
      <c r="K1134" t="s">
        <v>29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2040</v>
      </c>
      <c r="J1135">
        <v>16.86035</v>
      </c>
      <c r="K1135" t="s">
        <v>29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2045</v>
      </c>
      <c r="J1136">
        <v>6.9108000000000001</v>
      </c>
      <c r="K1136" t="s">
        <v>29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2045</v>
      </c>
      <c r="J1137">
        <v>2.3449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2045</v>
      </c>
      <c r="J1138">
        <v>9.3986999999999998</v>
      </c>
      <c r="K1138" t="s">
        <v>29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2045</v>
      </c>
      <c r="J1139">
        <v>6.7579000000000002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2045</v>
      </c>
      <c r="J1141">
        <v>6.5330500000000002</v>
      </c>
      <c r="K1141" t="s">
        <v>29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2045</v>
      </c>
      <c r="J1142">
        <v>22.537300000000002</v>
      </c>
      <c r="K1142" t="s">
        <v>29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2050</v>
      </c>
      <c r="J1143">
        <v>7.9924499999999998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2050</v>
      </c>
      <c r="J1144">
        <v>3.6767000000000003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2050</v>
      </c>
      <c r="J1145">
        <v>17.657350000000001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2050</v>
      </c>
      <c r="J1146">
        <v>8.1373999999999995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2050</v>
      </c>
      <c r="J1147">
        <v>12.79175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2050</v>
      </c>
      <c r="J1148">
        <v>7.6464999999999996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2050</v>
      </c>
      <c r="J1149">
        <v>21.625300000000003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2055</v>
      </c>
      <c r="J1150">
        <v>8.6547000000000001</v>
      </c>
      <c r="K1150" t="s">
        <v>29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2055</v>
      </c>
      <c r="J1151">
        <v>4.1312499999999996</v>
      </c>
      <c r="K1151" t="s">
        <v>29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2055</v>
      </c>
      <c r="J1152">
        <v>20.9406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2055</v>
      </c>
      <c r="J1153">
        <v>9.2483499999999985</v>
      </c>
      <c r="K1153" t="s">
        <v>29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2055</v>
      </c>
      <c r="J1154">
        <v>10.578399999999998</v>
      </c>
      <c r="K1154" t="s">
        <v>29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2055</v>
      </c>
      <c r="J1155">
        <v>6.8690999999999995</v>
      </c>
      <c r="K1155" t="s">
        <v>29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2055</v>
      </c>
      <c r="J1156">
        <v>20.022300000000001</v>
      </c>
      <c r="K1156" t="s">
        <v>29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2060</v>
      </c>
      <c r="J1157">
        <v>12.725249999999999</v>
      </c>
      <c r="K1157" t="s">
        <v>29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2060</v>
      </c>
      <c r="J1158">
        <v>5.2963500000000003</v>
      </c>
      <c r="K1158" t="s">
        <v>29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2060</v>
      </c>
      <c r="J1159">
        <v>28.955849999999998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2060</v>
      </c>
      <c r="J1161">
        <v>21.462600000000002</v>
      </c>
      <c r="K1161" t="s">
        <v>29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2060</v>
      </c>
      <c r="J1162">
        <v>13.05955</v>
      </c>
      <c r="K1162" t="s">
        <v>29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2060</v>
      </c>
      <c r="J1163">
        <v>34.522100000000002</v>
      </c>
      <c r="K1163" t="s">
        <v>29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2065</v>
      </c>
      <c r="J1164">
        <v>12.6111</v>
      </c>
      <c r="K1164" t="s">
        <v>29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2065</v>
      </c>
      <c r="J1165">
        <v>6.2115499999999999</v>
      </c>
      <c r="K1165" t="s">
        <v>29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2065</v>
      </c>
      <c r="J1166">
        <v>25.764299999999999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2065</v>
      </c>
      <c r="J1167">
        <v>15.117049999999999</v>
      </c>
      <c r="K1167" t="s">
        <v>29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2065</v>
      </c>
      <c r="J1168">
        <v>19.187899999999999</v>
      </c>
      <c r="K1168" t="s">
        <v>29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2065</v>
      </c>
      <c r="J1169">
        <v>12.338899999999999</v>
      </c>
      <c r="K1169" t="s">
        <v>29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2065</v>
      </c>
      <c r="J1170">
        <v>34.848349999999996</v>
      </c>
      <c r="K1170" t="s">
        <v>29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2075</v>
      </c>
      <c r="J1178">
        <v>13.562349999999999</v>
      </c>
      <c r="K1178" t="s">
        <v>29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2075</v>
      </c>
      <c r="J1179">
        <v>7.1797500000000003</v>
      </c>
      <c r="K1179" t="s">
        <v>29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23.83595</v>
      </c>
      <c r="K1180" t="s">
        <v>29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2075</v>
      </c>
      <c r="J1181">
        <v>15.43695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2075</v>
      </c>
      <c r="J1182">
        <v>16.574300000000001</v>
      </c>
      <c r="K1182" t="s">
        <v>29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2075</v>
      </c>
      <c r="J1183">
        <v>11.212400000000001</v>
      </c>
      <c r="K1183" t="s">
        <v>29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2075</v>
      </c>
      <c r="J1184">
        <v>34.450149999999994</v>
      </c>
      <c r="K1184" t="s">
        <v>29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2080</v>
      </c>
      <c r="J1185">
        <v>14.627700000000001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2080</v>
      </c>
      <c r="J1186">
        <v>7.2326999999999995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2080</v>
      </c>
      <c r="J1187">
        <v>25.099249999999998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2080</v>
      </c>
      <c r="J1188">
        <v>15.325950000000001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2080</v>
      </c>
      <c r="J1189">
        <v>16.235250000000001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2080</v>
      </c>
      <c r="J1190">
        <v>10.8065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2080</v>
      </c>
      <c r="J1191">
        <v>33.725650000000002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2085</v>
      </c>
      <c r="J1192">
        <v>15.284700000000001</v>
      </c>
      <c r="K1192" t="s">
        <v>29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2085</v>
      </c>
      <c r="J1193">
        <v>7.1741000000000001</v>
      </c>
      <c r="K1193" t="s">
        <v>29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2085</v>
      </c>
      <c r="J1194">
        <v>23.323250000000002</v>
      </c>
      <c r="K1194" t="s">
        <v>29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2085</v>
      </c>
      <c r="J1195">
        <v>15.232099999999999</v>
      </c>
      <c r="K1195" t="s">
        <v>29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2085</v>
      </c>
      <c r="J1196">
        <v>16.323450000000001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2085</v>
      </c>
      <c r="J1197">
        <v>10.06185</v>
      </c>
      <c r="K1197" t="s">
        <v>29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2085</v>
      </c>
      <c r="J1198">
        <v>35.534049999999993</v>
      </c>
      <c r="K1198" t="s">
        <v>29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2090</v>
      </c>
      <c r="J1199">
        <v>15.941649999999999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7.1154500000000001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2090</v>
      </c>
      <c r="J1201">
        <v>21.547249999999998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2090</v>
      </c>
      <c r="J1202">
        <v>15.138300000000001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2090</v>
      </c>
      <c r="J1203">
        <v>16.411549999999998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2090</v>
      </c>
      <c r="J1204">
        <v>9.3171999999999997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2090</v>
      </c>
      <c r="J1205">
        <v>37.342399999999998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2095</v>
      </c>
      <c r="J1206">
        <v>15.99475</v>
      </c>
      <c r="K1206" t="s">
        <v>29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2095</v>
      </c>
      <c r="J1207">
        <v>7.3076499999999998</v>
      </c>
      <c r="K1207" t="s">
        <v>29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2095</v>
      </c>
      <c r="J1208">
        <v>22.268699999999999</v>
      </c>
      <c r="K1208" t="s">
        <v>29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2095</v>
      </c>
      <c r="J1209">
        <v>15.0703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2095</v>
      </c>
      <c r="J1210">
        <v>16.4863</v>
      </c>
      <c r="K1210" t="s">
        <v>29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2095</v>
      </c>
      <c r="J1211">
        <v>10.18595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2095</v>
      </c>
      <c r="J1212">
        <v>41.003249999999994</v>
      </c>
      <c r="K1212" t="s">
        <v>29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2100</v>
      </c>
      <c r="J1213">
        <v>16.047899999999998</v>
      </c>
      <c r="K1213" t="s">
        <v>29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2100</v>
      </c>
      <c r="J1214">
        <v>7.4998000000000005</v>
      </c>
      <c r="K1214" t="s">
        <v>29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2100</v>
      </c>
      <c r="J1215">
        <v>22.99005</v>
      </c>
      <c r="K1215" t="s">
        <v>29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2100</v>
      </c>
      <c r="J1216">
        <v>15.00235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2100</v>
      </c>
      <c r="J1217">
        <v>16.561</v>
      </c>
      <c r="K1217" t="s">
        <v>29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2100</v>
      </c>
      <c r="J1218">
        <v>11.05475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2020</v>
      </c>
      <c r="J1221">
        <v>2.0344000000000002</v>
      </c>
      <c r="K1221" t="s">
        <v>33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2020</v>
      </c>
      <c r="J1222">
        <v>2.0344000000000002</v>
      </c>
      <c r="K1222" t="s">
        <v>33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2020</v>
      </c>
      <c r="J1223">
        <v>2.0344000000000002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2020</v>
      </c>
      <c r="J1224">
        <v>2.0344000000000002</v>
      </c>
      <c r="K1224" t="s">
        <v>33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2020</v>
      </c>
      <c r="J1225">
        <v>2.0344000000000002</v>
      </c>
      <c r="K1225" t="s">
        <v>33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2020</v>
      </c>
      <c r="J1226">
        <v>2.0344000000000002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2025</v>
      </c>
      <c r="J1227">
        <v>2.1930000000000001</v>
      </c>
      <c r="K1227" t="s">
        <v>33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2025</v>
      </c>
      <c r="J1228">
        <v>2.2243500000000003</v>
      </c>
      <c r="K1228" t="s">
        <v>33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2025</v>
      </c>
      <c r="J1229">
        <v>2.2243500000000003</v>
      </c>
      <c r="K1229" t="s">
        <v>33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2025</v>
      </c>
      <c r="J1230">
        <v>2.2243500000000003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2025</v>
      </c>
      <c r="J1231">
        <v>2.3414999999999999</v>
      </c>
      <c r="K1231" t="s">
        <v>33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2025</v>
      </c>
      <c r="J1232">
        <v>2.1197999999999997</v>
      </c>
      <c r="K1232" t="s">
        <v>33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2025</v>
      </c>
      <c r="J1233">
        <v>2.6320999999999999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2030</v>
      </c>
      <c r="J1234">
        <v>1.6815500000000001</v>
      </c>
      <c r="K1234" t="s">
        <v>33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2030</v>
      </c>
      <c r="J1235">
        <v>2.2640500000000001</v>
      </c>
      <c r="K1235" t="s">
        <v>33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2030</v>
      </c>
      <c r="J1236">
        <v>2.2640500000000001</v>
      </c>
      <c r="K1236" t="s">
        <v>33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2030</v>
      </c>
      <c r="J1237">
        <v>2.2640500000000001</v>
      </c>
      <c r="K1237" t="s">
        <v>33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2030</v>
      </c>
      <c r="J1238">
        <v>1.6132</v>
      </c>
      <c r="K1238" t="s">
        <v>33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2.0793499999999998</v>
      </c>
      <c r="K1239" t="s">
        <v>33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2030</v>
      </c>
      <c r="J1240">
        <v>1.7513000000000001</v>
      </c>
      <c r="K1240" t="s">
        <v>33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2035</v>
      </c>
      <c r="J1241">
        <v>1.4066000000000001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2035</v>
      </c>
      <c r="J1242">
        <v>2.3101000000000003</v>
      </c>
      <c r="K1242" t="s">
        <v>33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2035</v>
      </c>
      <c r="J1243">
        <v>2.2969999999999997</v>
      </c>
      <c r="K1243" t="s">
        <v>33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2035</v>
      </c>
      <c r="J1244">
        <v>2.2448999999999999</v>
      </c>
      <c r="K1244" t="s">
        <v>33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2035</v>
      </c>
      <c r="J1245">
        <v>1.1793999999999998</v>
      </c>
      <c r="K1245" t="s">
        <v>33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2035</v>
      </c>
      <c r="J1246">
        <v>2.0613000000000001</v>
      </c>
      <c r="K1246" t="s">
        <v>33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2035</v>
      </c>
      <c r="J1247">
        <v>1.4137</v>
      </c>
      <c r="K1247" t="s">
        <v>33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2040</v>
      </c>
      <c r="J1248">
        <v>1.3738000000000001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2040</v>
      </c>
      <c r="J1249">
        <v>2.37805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2040</v>
      </c>
      <c r="J1250">
        <v>1.8371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2040</v>
      </c>
      <c r="J1251">
        <v>1.7654000000000001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2040</v>
      </c>
      <c r="J1252">
        <v>1.2764500000000001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2040</v>
      </c>
      <c r="J1253">
        <v>1.9228499999999999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2040</v>
      </c>
      <c r="J1254">
        <v>1.3690500000000001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2045</v>
      </c>
      <c r="J1255">
        <v>1.4182999999999999</v>
      </c>
      <c r="K1255" t="s">
        <v>33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2045</v>
      </c>
      <c r="J1256">
        <v>2.4756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2045</v>
      </c>
      <c r="J1257">
        <v>1.4248000000000001</v>
      </c>
      <c r="K1257" t="s">
        <v>33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2045</v>
      </c>
      <c r="J1258">
        <v>1.82115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2045</v>
      </c>
      <c r="J1260">
        <v>1.8263</v>
      </c>
      <c r="K1260" t="s">
        <v>33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2045</v>
      </c>
      <c r="J1261">
        <v>1.4416</v>
      </c>
      <c r="K1261" t="s">
        <v>33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2050</v>
      </c>
      <c r="J1262">
        <v>1.5704500000000001</v>
      </c>
      <c r="K1262" t="s">
        <v>33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2050</v>
      </c>
      <c r="J1263">
        <v>2.7322500000000001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2050</v>
      </c>
      <c r="J1264">
        <v>1.53165</v>
      </c>
      <c r="K1264" t="s">
        <v>33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2050</v>
      </c>
      <c r="J1265">
        <v>2.1814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2050</v>
      </c>
      <c r="J1266">
        <v>1.59405</v>
      </c>
      <c r="K1266" t="s">
        <v>33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2050</v>
      </c>
      <c r="J1267">
        <v>1.9153500000000001</v>
      </c>
      <c r="K1267" t="s">
        <v>33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2050</v>
      </c>
      <c r="J1268">
        <v>1.7387999999999999</v>
      </c>
      <c r="K1268" t="s">
        <v>33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2055</v>
      </c>
      <c r="J1269">
        <v>1.3464499999999999</v>
      </c>
      <c r="K1269" t="s">
        <v>33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2055</v>
      </c>
      <c r="J1270">
        <v>2.6589499999999999</v>
      </c>
      <c r="K1270" t="s">
        <v>33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2055</v>
      </c>
      <c r="J1271">
        <v>1.57935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2055</v>
      </c>
      <c r="J1272">
        <v>1.5321500000000001</v>
      </c>
      <c r="K1272" t="s">
        <v>33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2055</v>
      </c>
      <c r="J1273">
        <v>1.51485</v>
      </c>
      <c r="K1273" t="s">
        <v>33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2055</v>
      </c>
      <c r="J1274">
        <v>1.8517000000000001</v>
      </c>
      <c r="K1274" t="s">
        <v>33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2055</v>
      </c>
      <c r="J1275">
        <v>1.66615</v>
      </c>
      <c r="K1275" t="s">
        <v>33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2060</v>
      </c>
      <c r="J1276">
        <v>1.9051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2060</v>
      </c>
      <c r="J1277">
        <v>3.4098000000000002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2060</v>
      </c>
      <c r="J1278">
        <v>2.1811500000000001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2060</v>
      </c>
      <c r="J1280">
        <v>1.5146000000000002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2060</v>
      </c>
      <c r="J1281">
        <v>2.3400499999999997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2060</v>
      </c>
      <c r="J1282">
        <v>1.8959000000000001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2065</v>
      </c>
      <c r="J1283">
        <v>1.8803999999999998</v>
      </c>
      <c r="K1283" t="s">
        <v>33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2065</v>
      </c>
      <c r="J1284">
        <v>3.5568999999999997</v>
      </c>
      <c r="K1284" t="s">
        <v>33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2065</v>
      </c>
      <c r="J1285">
        <v>2.1503000000000001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2065</v>
      </c>
      <c r="J1286">
        <v>2.2705000000000002</v>
      </c>
      <c r="K1286" t="s">
        <v>33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2065</v>
      </c>
      <c r="J1287">
        <v>1.63405</v>
      </c>
      <c r="K1287" t="s">
        <v>33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2065</v>
      </c>
      <c r="J1288">
        <v>2.2040999999999999</v>
      </c>
      <c r="K1288" t="s">
        <v>33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2065</v>
      </c>
      <c r="J1289">
        <v>1.9075500000000001</v>
      </c>
      <c r="K1289" t="s">
        <v>33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2070</v>
      </c>
      <c r="J1290">
        <v>1.8557000000000001</v>
      </c>
      <c r="K1290" t="s">
        <v>33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2070</v>
      </c>
      <c r="J1291">
        <v>3.7039</v>
      </c>
      <c r="K1291" t="s">
        <v>33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2070</v>
      </c>
      <c r="J1292">
        <v>2.1193999999999997</v>
      </c>
      <c r="K1292" t="s">
        <v>33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2070</v>
      </c>
      <c r="J1293">
        <v>2.2568000000000001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2070</v>
      </c>
      <c r="J1294">
        <v>1.7535500000000002</v>
      </c>
      <c r="K1294" t="s">
        <v>33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2070</v>
      </c>
      <c r="J1295">
        <v>2.0681500000000002</v>
      </c>
      <c r="K1295" t="s">
        <v>33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2070</v>
      </c>
      <c r="J1296">
        <v>1.9191499999999999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2075</v>
      </c>
      <c r="J1297">
        <v>1.85775</v>
      </c>
      <c r="K1297" t="s">
        <v>33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2075</v>
      </c>
      <c r="J1298">
        <v>3.8219000000000003</v>
      </c>
      <c r="K1298" t="s">
        <v>33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2.0685000000000002</v>
      </c>
      <c r="K1299" t="s">
        <v>33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2075</v>
      </c>
      <c r="J1300">
        <v>2.2270000000000003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2075</v>
      </c>
      <c r="J1301">
        <v>1.8342499999999999</v>
      </c>
      <c r="K1301" t="s">
        <v>33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2075</v>
      </c>
      <c r="J1302">
        <v>2.1757499999999999</v>
      </c>
      <c r="K1302" t="s">
        <v>33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2075</v>
      </c>
      <c r="J1303">
        <v>2.0170500000000002</v>
      </c>
      <c r="K1303" t="s">
        <v>33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2080</v>
      </c>
      <c r="J1304">
        <v>1.8597999999999999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2080</v>
      </c>
      <c r="J1305">
        <v>3.9399000000000002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2080</v>
      </c>
      <c r="J1306">
        <v>2.0176500000000002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2080</v>
      </c>
      <c r="J1307">
        <v>2.1972499999999999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2080</v>
      </c>
      <c r="J1308">
        <v>1.9149500000000002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2080</v>
      </c>
      <c r="J1309">
        <v>2.28335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2080</v>
      </c>
      <c r="J1310">
        <v>2.1149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2085</v>
      </c>
      <c r="J1311">
        <v>1.8835500000000001</v>
      </c>
      <c r="K1311" t="s">
        <v>33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2085</v>
      </c>
      <c r="J1312">
        <v>4.0999499999999998</v>
      </c>
      <c r="K1312" t="s">
        <v>33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2085</v>
      </c>
      <c r="J1313">
        <v>2.0796000000000001</v>
      </c>
      <c r="K1313" t="s">
        <v>33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2085</v>
      </c>
      <c r="J1314">
        <v>2.1886000000000001</v>
      </c>
      <c r="K1314" t="s">
        <v>33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2085</v>
      </c>
      <c r="J1315">
        <v>1.8938000000000001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2085</v>
      </c>
      <c r="J1316">
        <v>2.29</v>
      </c>
      <c r="K1316" t="s">
        <v>33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2085</v>
      </c>
      <c r="J1317">
        <v>2.0994000000000002</v>
      </c>
      <c r="K1317" t="s">
        <v>33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2090</v>
      </c>
      <c r="J1318">
        <v>1.9073500000000001</v>
      </c>
      <c r="K1318" t="s">
        <v>33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4.2600999999999996</v>
      </c>
      <c r="K1319" t="s">
        <v>33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2090</v>
      </c>
      <c r="J1320">
        <v>2.1415499999999996</v>
      </c>
      <c r="K1320" t="s">
        <v>33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2090</v>
      </c>
      <c r="J1321">
        <v>2.1798999999999999</v>
      </c>
      <c r="K1321" t="s">
        <v>33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2090</v>
      </c>
      <c r="J1322">
        <v>1.8727</v>
      </c>
      <c r="K1322" t="s">
        <v>33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2090</v>
      </c>
      <c r="J1323">
        <v>2.2967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2090</v>
      </c>
      <c r="J1324">
        <v>2.0839499999999997</v>
      </c>
      <c r="K1324" t="s">
        <v>33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2095</v>
      </c>
      <c r="J1325">
        <v>1.81115</v>
      </c>
      <c r="K1325" t="s">
        <v>33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2095</v>
      </c>
      <c r="J1326">
        <v>4.2486499999999996</v>
      </c>
      <c r="K1326" t="s">
        <v>33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2095</v>
      </c>
      <c r="J1327">
        <v>1.9457</v>
      </c>
      <c r="K1327" t="s">
        <v>33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2095</v>
      </c>
      <c r="J1328">
        <v>2.117</v>
      </c>
      <c r="K1328" t="s">
        <v>33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2095</v>
      </c>
      <c r="J1329">
        <v>1.7038500000000001</v>
      </c>
      <c r="K1329" t="s">
        <v>33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2095</v>
      </c>
      <c r="J1330">
        <v>2.3285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2095</v>
      </c>
      <c r="J1331">
        <v>1.94255</v>
      </c>
      <c r="K1331" t="s">
        <v>33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2100</v>
      </c>
      <c r="J1332">
        <v>1.7150500000000002</v>
      </c>
      <c r="K1332" t="s">
        <v>33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4.2371499999999997</v>
      </c>
      <c r="K1333" t="s">
        <v>33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2100</v>
      </c>
      <c r="J1334">
        <v>1.7498</v>
      </c>
      <c r="K1334" t="s">
        <v>33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2100</v>
      </c>
      <c r="J1335">
        <v>2.0540000000000003</v>
      </c>
      <c r="K1335" t="s">
        <v>33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2100</v>
      </c>
      <c r="J1336">
        <v>1.53505</v>
      </c>
      <c r="K1336" t="s">
        <v>33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2100</v>
      </c>
      <c r="J1337">
        <v>2.3602499999999997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2020</v>
      </c>
      <c r="J1340">
        <v>3.9710999999999999</v>
      </c>
      <c r="K1340" t="s">
        <v>35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2020</v>
      </c>
      <c r="J1341">
        <v>3.9710999999999999</v>
      </c>
      <c r="K1341" t="s">
        <v>35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2020</v>
      </c>
      <c r="J1342">
        <v>3.9710999999999999</v>
      </c>
      <c r="K1342" t="s">
        <v>35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2020</v>
      </c>
      <c r="J1343">
        <v>3.9710999999999999</v>
      </c>
      <c r="K1343" t="s">
        <v>35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2020</v>
      </c>
      <c r="J1344">
        <v>3.9710999999999999</v>
      </c>
      <c r="K1344" t="s">
        <v>35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2020</v>
      </c>
      <c r="J1345">
        <v>3.9710999999999999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2025</v>
      </c>
      <c r="J1346">
        <v>4.6235499999999998</v>
      </c>
      <c r="K1346" t="s">
        <v>35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2025</v>
      </c>
      <c r="J1347">
        <v>4.6684000000000001</v>
      </c>
      <c r="K1347" t="s">
        <v>35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2025</v>
      </c>
      <c r="J1348">
        <v>4.6684000000000001</v>
      </c>
      <c r="K1348" t="s">
        <v>35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2025</v>
      </c>
      <c r="J1349">
        <v>4.6684000000000001</v>
      </c>
      <c r="K1349" t="s">
        <v>35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2025</v>
      </c>
      <c r="J1350">
        <v>4.6830999999999996</v>
      </c>
      <c r="K1350" t="s">
        <v>35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2025</v>
      </c>
      <c r="J1351">
        <v>4.5302500000000006</v>
      </c>
      <c r="K1351" t="s">
        <v>35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2025</v>
      </c>
      <c r="J1352">
        <v>5.1760999999999999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2030</v>
      </c>
      <c r="J1353">
        <v>4.5418000000000003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2030</v>
      </c>
      <c r="J1354">
        <v>4.6227999999999998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2030</v>
      </c>
      <c r="J1355">
        <v>4.6227999999999998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2030</v>
      </c>
      <c r="J1356">
        <v>4.6227999999999998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2030</v>
      </c>
      <c r="J1357">
        <v>4.3525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4.2876500000000002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2030</v>
      </c>
      <c r="J1359">
        <v>5.5630500000000005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2035</v>
      </c>
      <c r="J1360">
        <v>5.2363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2035</v>
      </c>
      <c r="J1361">
        <v>4.9910999999999994</v>
      </c>
      <c r="K1361" t="s">
        <v>35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2035</v>
      </c>
      <c r="J1362">
        <v>5.7273500000000004</v>
      </c>
      <c r="K1362" t="s">
        <v>35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2035</v>
      </c>
      <c r="J1363">
        <v>5.0059500000000003</v>
      </c>
      <c r="K1363" t="s">
        <v>35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2035</v>
      </c>
      <c r="J1364">
        <v>5.21875</v>
      </c>
      <c r="K1364" t="s">
        <v>35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2035</v>
      </c>
      <c r="J1365">
        <v>4.73515</v>
      </c>
      <c r="K1365" t="s">
        <v>35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2035</v>
      </c>
      <c r="J1366">
        <v>5.8599999999999994</v>
      </c>
      <c r="K1366" t="s">
        <v>35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2040</v>
      </c>
      <c r="J1367">
        <v>5.0498499999999993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2040</v>
      </c>
      <c r="J1368">
        <v>5.2395999999999994</v>
      </c>
      <c r="K1368" t="s">
        <v>35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2040</v>
      </c>
      <c r="J1369">
        <v>5.2990500000000003</v>
      </c>
      <c r="K1369" t="s">
        <v>35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2040</v>
      </c>
      <c r="J1370">
        <v>4.9135</v>
      </c>
      <c r="K1370" t="s">
        <v>35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2040</v>
      </c>
      <c r="J1371">
        <v>4.6133500000000005</v>
      </c>
      <c r="K1371" t="s">
        <v>35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2040</v>
      </c>
      <c r="J1372">
        <v>5.0349500000000003</v>
      </c>
      <c r="K1372" t="s">
        <v>35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2040</v>
      </c>
      <c r="J1373">
        <v>5.7446000000000002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2045</v>
      </c>
      <c r="J1374">
        <v>4.7785500000000001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2045</v>
      </c>
      <c r="J1375">
        <v>5.4906499999999996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2045</v>
      </c>
      <c r="J1376">
        <v>4.6289499999999997</v>
      </c>
      <c r="K1376" t="s">
        <v>35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2045</v>
      </c>
      <c r="J1377">
        <v>5.3256499999999996</v>
      </c>
      <c r="K1377" t="s">
        <v>35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4.0944000000000003</v>
      </c>
      <c r="K1378" t="s">
        <v>35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2045</v>
      </c>
      <c r="J1379">
        <v>5.3595000000000006</v>
      </c>
      <c r="K1379" t="s">
        <v>35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2045</v>
      </c>
      <c r="J1380">
        <v>4.9245999999999999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2050</v>
      </c>
      <c r="J1381">
        <v>4.8227500000000001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2050</v>
      </c>
      <c r="J1382">
        <v>5.6541999999999994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2050</v>
      </c>
      <c r="J1383">
        <v>4.1950500000000002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2050</v>
      </c>
      <c r="J1384">
        <v>5.0952500000000001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2050</v>
      </c>
      <c r="J1385">
        <v>4.16275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2050</v>
      </c>
      <c r="J1386">
        <v>5.3207000000000004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2050</v>
      </c>
      <c r="J1387">
        <v>4.4139499999999998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2055</v>
      </c>
      <c r="J1388">
        <v>4.5329499999999996</v>
      </c>
      <c r="K1388" t="s">
        <v>35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2055</v>
      </c>
      <c r="J1389">
        <v>5.6654</v>
      </c>
      <c r="K1389" t="s">
        <v>35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2055</v>
      </c>
      <c r="J1390">
        <v>4.3904499999999995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2055</v>
      </c>
      <c r="J1391">
        <v>4.8427000000000007</v>
      </c>
      <c r="K1391" t="s">
        <v>35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2055</v>
      </c>
      <c r="J1392">
        <v>4.0207499999999996</v>
      </c>
      <c r="K1392" t="s">
        <v>35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2055</v>
      </c>
      <c r="J1393">
        <v>5.03695</v>
      </c>
      <c r="K1393" t="s">
        <v>35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2055</v>
      </c>
      <c r="J1394">
        <v>4.5674000000000001</v>
      </c>
      <c r="K1394" t="s">
        <v>35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2060</v>
      </c>
      <c r="J1395">
        <v>5.8452000000000002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2060</v>
      </c>
      <c r="J1396">
        <v>6.6663999999999994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2060</v>
      </c>
      <c r="J1397">
        <v>5.1861999999999995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2060</v>
      </c>
      <c r="J1399">
        <v>5.0639500000000002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2060</v>
      </c>
      <c r="J1400">
        <v>6.1361500000000007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2060</v>
      </c>
      <c r="J1401">
        <v>5.5579999999999998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2065</v>
      </c>
      <c r="J1402">
        <v>5.5266999999999999</v>
      </c>
      <c r="K1402" t="s">
        <v>35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2065</v>
      </c>
      <c r="J1403">
        <v>6.5385</v>
      </c>
      <c r="K1403" t="s">
        <v>35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2065</v>
      </c>
      <c r="J1404">
        <v>5.0748999999999995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2065</v>
      </c>
      <c r="J1405">
        <v>5.65855</v>
      </c>
      <c r="K1405" t="s">
        <v>35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2065</v>
      </c>
      <c r="J1406">
        <v>5.1820000000000004</v>
      </c>
      <c r="K1406" t="s">
        <v>35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2065</v>
      </c>
      <c r="J1407">
        <v>5.9593500000000006</v>
      </c>
      <c r="K1407" t="s">
        <v>35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2065</v>
      </c>
      <c r="J1408">
        <v>5.8658999999999999</v>
      </c>
      <c r="K1408" t="s">
        <v>35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2070</v>
      </c>
      <c r="J1409">
        <v>5.2081999999999997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2070</v>
      </c>
      <c r="J1410">
        <v>6.4105500000000006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2070</v>
      </c>
      <c r="J1411">
        <v>4.9635999999999996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2070</v>
      </c>
      <c r="J1412">
        <v>5.4417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2070</v>
      </c>
      <c r="J1413">
        <v>5.3000500000000006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2070</v>
      </c>
      <c r="J1414">
        <v>5.7826500000000003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2070</v>
      </c>
      <c r="J1415">
        <v>6.1738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2075</v>
      </c>
      <c r="J1416">
        <v>5.0817499999999995</v>
      </c>
      <c r="K1416" t="s">
        <v>35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2075</v>
      </c>
      <c r="J1417">
        <v>6.6208</v>
      </c>
      <c r="K1417" t="s">
        <v>35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5.0854999999999997</v>
      </c>
      <c r="K1418" t="s">
        <v>35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2075</v>
      </c>
      <c r="J1419">
        <v>5.4064499999999995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2075</v>
      </c>
      <c r="J1420">
        <v>5.1056999999999997</v>
      </c>
      <c r="K1420" t="s">
        <v>35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2075</v>
      </c>
      <c r="J1421">
        <v>5.7862499999999999</v>
      </c>
      <c r="K1421" t="s">
        <v>35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2075</v>
      </c>
      <c r="J1422">
        <v>6.0717999999999996</v>
      </c>
      <c r="K1422" t="s">
        <v>35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2080</v>
      </c>
      <c r="J1423">
        <v>4.9551999999999996</v>
      </c>
      <c r="K1423" t="s">
        <v>35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2080</v>
      </c>
      <c r="J1424">
        <v>6.8310500000000003</v>
      </c>
      <c r="K1424" t="s">
        <v>35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2080</v>
      </c>
      <c r="J1425">
        <v>5.2074499999999997</v>
      </c>
      <c r="K1425" t="s">
        <v>35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2080</v>
      </c>
      <c r="J1426">
        <v>5.3712499999999999</v>
      </c>
      <c r="K1426" t="s">
        <v>35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2080</v>
      </c>
      <c r="J1427">
        <v>4.9113500000000005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2080</v>
      </c>
      <c r="J1428">
        <v>5.7898499999999995</v>
      </c>
      <c r="K1428" t="s">
        <v>35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2080</v>
      </c>
      <c r="J1429">
        <v>5.9697999999999993</v>
      </c>
      <c r="K1429" t="s">
        <v>35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2085</v>
      </c>
      <c r="J1430">
        <v>5.0263999999999998</v>
      </c>
      <c r="K1430" t="s">
        <v>35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7.0742500000000001</v>
      </c>
      <c r="K1431" t="s">
        <v>35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2085</v>
      </c>
      <c r="J1432">
        <v>5.1766000000000005</v>
      </c>
      <c r="K1432" t="s">
        <v>35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2085</v>
      </c>
      <c r="J1433">
        <v>5.36965</v>
      </c>
      <c r="K1433" t="s">
        <v>35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2085</v>
      </c>
      <c r="J1434">
        <v>4.8847000000000005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2085</v>
      </c>
      <c r="J1435">
        <v>5.8544</v>
      </c>
      <c r="K1435" t="s">
        <v>35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2085</v>
      </c>
      <c r="J1436">
        <v>5.8603500000000004</v>
      </c>
      <c r="K1436" t="s">
        <v>35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2090</v>
      </c>
      <c r="J1437">
        <v>5.0976499999999998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7.31745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2090</v>
      </c>
      <c r="J1439">
        <v>5.1458000000000004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2090</v>
      </c>
      <c r="J1440">
        <v>5.3680500000000002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2090</v>
      </c>
      <c r="J1441">
        <v>4.8580500000000004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2090</v>
      </c>
      <c r="J1442">
        <v>5.9189499999999997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2090</v>
      </c>
      <c r="J1443">
        <v>5.7508499999999998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2095</v>
      </c>
      <c r="J1444">
        <v>5.0595999999999997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2095</v>
      </c>
      <c r="J1445">
        <v>7.4690499999999993</v>
      </c>
      <c r="K1445" t="s">
        <v>35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2095</v>
      </c>
      <c r="J1446">
        <v>5.0733999999999995</v>
      </c>
      <c r="K1446" t="s">
        <v>35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2095</v>
      </c>
      <c r="J1447">
        <v>5.4055999999999997</v>
      </c>
      <c r="K1447" t="s">
        <v>35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2095</v>
      </c>
      <c r="J1448">
        <v>4.3528500000000001</v>
      </c>
      <c r="K1448" t="s">
        <v>35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2095</v>
      </c>
      <c r="J1449">
        <v>5.9424000000000001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2095</v>
      </c>
      <c r="J1450">
        <v>5.3330500000000001</v>
      </c>
      <c r="K1450" t="s">
        <v>35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2100</v>
      </c>
      <c r="J1451">
        <v>5.0215499999999995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2100</v>
      </c>
      <c r="J1452">
        <v>7.6207000000000003</v>
      </c>
      <c r="K1452" t="s">
        <v>35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2100</v>
      </c>
      <c r="J1453">
        <v>5.0011000000000001</v>
      </c>
      <c r="K1453" t="s">
        <v>35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2100</v>
      </c>
      <c r="J1454">
        <v>5.4432</v>
      </c>
      <c r="K1454" t="s">
        <v>35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2100</v>
      </c>
      <c r="J1455">
        <v>3.8476499999999998</v>
      </c>
      <c r="K1455" t="s">
        <v>35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2100</v>
      </c>
      <c r="J1456">
        <v>5.9658999999999995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2020</v>
      </c>
      <c r="J1459">
        <v>82.284700000000001</v>
      </c>
      <c r="K1459" t="s">
        <v>37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2020</v>
      </c>
      <c r="J1460">
        <v>82.284700000000001</v>
      </c>
      <c r="K1460" t="s">
        <v>37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2020</v>
      </c>
      <c r="J1461">
        <v>82.284700000000001</v>
      </c>
      <c r="K1461" t="s">
        <v>37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2020</v>
      </c>
      <c r="J1462">
        <v>82.284700000000001</v>
      </c>
      <c r="K1462" t="s">
        <v>37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2020</v>
      </c>
      <c r="J1463">
        <v>82.284700000000001</v>
      </c>
      <c r="K1463" t="s">
        <v>37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2020</v>
      </c>
      <c r="J1464">
        <v>82.284700000000001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2025</v>
      </c>
      <c r="J1465">
        <v>89.96575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2025</v>
      </c>
      <c r="J1466">
        <v>95.1999</v>
      </c>
      <c r="K1466" t="s">
        <v>37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2025</v>
      </c>
      <c r="J1467">
        <v>95.1999</v>
      </c>
      <c r="K1467" t="s">
        <v>37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2025</v>
      </c>
      <c r="J1468">
        <v>95.1999</v>
      </c>
      <c r="K1468" t="s">
        <v>37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2025</v>
      </c>
      <c r="J1469">
        <v>42.180800000000005</v>
      </c>
      <c r="K1469" t="s">
        <v>37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2025</v>
      </c>
      <c r="J1470">
        <v>90.086849999999998</v>
      </c>
      <c r="K1470" t="s">
        <v>37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2025</v>
      </c>
      <c r="J1471">
        <v>82.312600000000003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2030</v>
      </c>
      <c r="J1472">
        <v>91.722499999999997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2030</v>
      </c>
      <c r="J1473">
        <v>85.915099999999995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2030</v>
      </c>
      <c r="J1474">
        <v>85.915099999999995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2030</v>
      </c>
      <c r="J1475">
        <v>85.915099999999995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2030</v>
      </c>
      <c r="J1476">
        <v>79.161200000000008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91.933149999999998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2030</v>
      </c>
      <c r="J1478">
        <v>93.561599999999999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2035</v>
      </c>
      <c r="J1479">
        <v>80.866849999999999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2035</v>
      </c>
      <c r="J1480">
        <v>88.236950000000007</v>
      </c>
      <c r="K1480" t="s">
        <v>37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2035</v>
      </c>
      <c r="J1481">
        <v>67.341350000000006</v>
      </c>
      <c r="K1481" t="s">
        <v>37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2035</v>
      </c>
      <c r="J1482">
        <v>70.272050000000007</v>
      </c>
      <c r="K1482" t="s">
        <v>37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2035</v>
      </c>
      <c r="J1483">
        <v>85.023949999999999</v>
      </c>
      <c r="K1483" t="s">
        <v>37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2035</v>
      </c>
      <c r="J1484">
        <v>84.959299999999999</v>
      </c>
      <c r="K1484" t="s">
        <v>37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2035</v>
      </c>
      <c r="J1485">
        <v>105.96599999999999</v>
      </c>
      <c r="K1485" t="s">
        <v>37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2040</v>
      </c>
      <c r="J1486">
        <v>94.775350000000003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2040</v>
      </c>
      <c r="J1487">
        <v>98.972450000000009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2040</v>
      </c>
      <c r="J1488">
        <v>120.63204999999999</v>
      </c>
      <c r="K1488" t="s">
        <v>37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2040</v>
      </c>
      <c r="J1489">
        <v>99.064899999999994</v>
      </c>
      <c r="K1489" t="s">
        <v>37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2040</v>
      </c>
      <c r="J1490">
        <v>98.771500000000003</v>
      </c>
      <c r="K1490" t="s">
        <v>37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2040</v>
      </c>
      <c r="J1491">
        <v>101.9907</v>
      </c>
      <c r="K1491" t="s">
        <v>37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2040</v>
      </c>
      <c r="J1492">
        <v>133.94040000000001</v>
      </c>
      <c r="K1492" t="s">
        <v>37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2045</v>
      </c>
      <c r="J1493">
        <v>109.4058</v>
      </c>
      <c r="K1493" t="s">
        <v>37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2045</v>
      </c>
      <c r="J1494">
        <v>109.85804999999999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2045</v>
      </c>
      <c r="J1495">
        <v>160.59660000000002</v>
      </c>
      <c r="K1495" t="s">
        <v>37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2045</v>
      </c>
      <c r="J1496">
        <v>125.70115</v>
      </c>
      <c r="K1496" t="s">
        <v>37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92.769149999999996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2045</v>
      </c>
      <c r="J1498">
        <v>119.41069999999999</v>
      </c>
      <c r="K1498" t="s">
        <v>37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2045</v>
      </c>
      <c r="J1499">
        <v>142.2116</v>
      </c>
      <c r="K1499" t="s">
        <v>37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2050</v>
      </c>
      <c r="J1500">
        <v>127.68880000000001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2050</v>
      </c>
      <c r="J1501">
        <v>118.9221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2050</v>
      </c>
      <c r="J1502">
        <v>161.64535000000001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2050</v>
      </c>
      <c r="J1503">
        <v>127.8946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2050</v>
      </c>
      <c r="J1504">
        <v>123.6588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2050</v>
      </c>
      <c r="J1505">
        <v>134.60120000000001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2050</v>
      </c>
      <c r="J1506">
        <v>146.59960000000001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2055</v>
      </c>
      <c r="J1507">
        <v>138.68365</v>
      </c>
      <c r="K1507" t="s">
        <v>37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2055</v>
      </c>
      <c r="J1508">
        <v>132.76395000000002</v>
      </c>
      <c r="K1508" t="s">
        <v>37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2055</v>
      </c>
      <c r="J1509">
        <v>174.55090000000001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2055</v>
      </c>
      <c r="J1510">
        <v>139.0829</v>
      </c>
      <c r="K1510" t="s">
        <v>37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2055</v>
      </c>
      <c r="J1511">
        <v>138.9537</v>
      </c>
      <c r="K1511" t="s">
        <v>37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2055</v>
      </c>
      <c r="J1512">
        <v>143.03975</v>
      </c>
      <c r="K1512" t="s">
        <v>37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2055</v>
      </c>
      <c r="J1513">
        <v>175.14765</v>
      </c>
      <c r="K1513" t="s">
        <v>37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2060</v>
      </c>
      <c r="J1514">
        <v>231.57419999999999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2060</v>
      </c>
      <c r="J1515">
        <v>202.08070000000001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2060</v>
      </c>
      <c r="J1516">
        <v>296.1721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2060</v>
      </c>
      <c r="J1518">
        <v>209.56855000000002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2060</v>
      </c>
      <c r="J1519">
        <v>231.95824999999999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2060</v>
      </c>
      <c r="J1520">
        <v>294.91550000000001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2065</v>
      </c>
      <c r="J1521">
        <v>276.86974999999995</v>
      </c>
      <c r="K1521" t="s">
        <v>37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2065</v>
      </c>
      <c r="J1522">
        <v>247.37195</v>
      </c>
      <c r="K1522" t="s">
        <v>37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2065</v>
      </c>
      <c r="J1523">
        <v>359.3349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2065</v>
      </c>
      <c r="J1524">
        <v>277.65129999999999</v>
      </c>
      <c r="K1524" t="s">
        <v>37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2065</v>
      </c>
      <c r="J1525">
        <v>259.17174999999997</v>
      </c>
      <c r="K1525" t="s">
        <v>37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2065</v>
      </c>
      <c r="J1526">
        <v>275.41724999999997</v>
      </c>
      <c r="K1526" t="s">
        <v>37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2065</v>
      </c>
      <c r="J1527">
        <v>396.57960000000003</v>
      </c>
      <c r="K1527" t="s">
        <v>37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2070</v>
      </c>
      <c r="J1528">
        <v>322.16525000000001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2070</v>
      </c>
      <c r="J1529">
        <v>292.66325000000001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2070</v>
      </c>
      <c r="J1530">
        <v>422.49770000000001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2070</v>
      </c>
      <c r="J1531">
        <v>334.3218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2070</v>
      </c>
      <c r="J1532">
        <v>308.77499999999998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2070</v>
      </c>
      <c r="J1533">
        <v>318.87615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2070</v>
      </c>
      <c r="J1534">
        <v>498.24369999999999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2075</v>
      </c>
      <c r="J1535">
        <v>329.49990000000003</v>
      </c>
      <c r="K1535" t="s">
        <v>37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2075</v>
      </c>
      <c r="J1536">
        <v>289.27425000000005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2075</v>
      </c>
      <c r="J1538">
        <v>336.99554999999998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2075</v>
      </c>
      <c r="J1539">
        <v>299.42885000000001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2075</v>
      </c>
      <c r="J1540">
        <v>305.05365</v>
      </c>
      <c r="K1540" t="s">
        <v>37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2075</v>
      </c>
      <c r="J1541">
        <v>516.12689999999998</v>
      </c>
      <c r="K1541" t="s">
        <v>37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2080</v>
      </c>
      <c r="J1542">
        <v>336.83455000000004</v>
      </c>
      <c r="K1542" t="s">
        <v>37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2080</v>
      </c>
      <c r="J1543">
        <v>285.88525000000004</v>
      </c>
      <c r="K1543" t="s">
        <v>37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2080</v>
      </c>
      <c r="J1544">
        <v>440.95359999999999</v>
      </c>
      <c r="K1544" t="s">
        <v>37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2080</v>
      </c>
      <c r="J1545">
        <v>339.66935000000001</v>
      </c>
      <c r="K1545" t="s">
        <v>37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2080</v>
      </c>
      <c r="J1546">
        <v>290.08265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2080</v>
      </c>
      <c r="J1547">
        <v>291.23109999999997</v>
      </c>
      <c r="K1547" t="s">
        <v>37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2080</v>
      </c>
      <c r="J1548">
        <v>534.01009999999997</v>
      </c>
      <c r="K1548" t="s">
        <v>37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2085</v>
      </c>
      <c r="J1549">
        <v>339.76205000000004</v>
      </c>
      <c r="K1549" t="s">
        <v>37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2085</v>
      </c>
      <c r="J1550">
        <v>283.90915000000001</v>
      </c>
      <c r="K1550" t="s">
        <v>37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2085</v>
      </c>
      <c r="J1551">
        <v>441.67345</v>
      </c>
      <c r="K1551" t="s">
        <v>37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2085</v>
      </c>
      <c r="J1552">
        <v>332.01355000000001</v>
      </c>
      <c r="K1552" t="s">
        <v>37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2085</v>
      </c>
      <c r="J1553">
        <v>283.4889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2085</v>
      </c>
      <c r="J1554">
        <v>276.61815000000001</v>
      </c>
      <c r="K1554" t="s">
        <v>37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2085</v>
      </c>
      <c r="J1555">
        <v>540.76405</v>
      </c>
      <c r="K1555" t="s">
        <v>37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2090</v>
      </c>
      <c r="J1556">
        <v>342.68944999999997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281.93314999999996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442.39335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2090</v>
      </c>
      <c r="J1559">
        <v>324.35770000000002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2090</v>
      </c>
      <c r="J1560">
        <v>276.89509999999996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2090</v>
      </c>
      <c r="J1561">
        <v>262.00514999999996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2090</v>
      </c>
      <c r="J1562">
        <v>547.51790000000005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2095</v>
      </c>
      <c r="J1563">
        <v>348.86220000000003</v>
      </c>
      <c r="K1563" t="s">
        <v>37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2095</v>
      </c>
      <c r="J1564">
        <v>274.43950000000001</v>
      </c>
      <c r="K1564" t="s">
        <v>37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2095</v>
      </c>
      <c r="J1565">
        <v>450.49324999999999</v>
      </c>
      <c r="K1565" t="s">
        <v>37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2095</v>
      </c>
      <c r="J1566">
        <v>338.12104999999997</v>
      </c>
      <c r="K1566" t="s">
        <v>37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2095</v>
      </c>
      <c r="J1567">
        <v>304.50725</v>
      </c>
      <c r="K1567" t="s">
        <v>37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2095</v>
      </c>
      <c r="J1568">
        <v>277.25805000000003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2095</v>
      </c>
      <c r="J1569">
        <v>571.23070000000007</v>
      </c>
      <c r="K1569" t="s">
        <v>37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2100</v>
      </c>
      <c r="J1570">
        <v>355.03494999999998</v>
      </c>
      <c r="K1570" t="s">
        <v>37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2100</v>
      </c>
      <c r="J1571">
        <v>266.94579999999996</v>
      </c>
      <c r="K1571" t="s">
        <v>37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2100</v>
      </c>
      <c r="J1572">
        <v>458.59320000000002</v>
      </c>
      <c r="K1572" t="s">
        <v>37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2100</v>
      </c>
      <c r="J1573">
        <v>351.88430000000005</v>
      </c>
      <c r="K1573" t="s">
        <v>37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2100</v>
      </c>
      <c r="J1574">
        <v>332.11930000000001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2100</v>
      </c>
      <c r="J1575">
        <v>292.51094999999998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38.058949999999996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2020</v>
      </c>
      <c r="J1578">
        <v>37.923250000000003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2020</v>
      </c>
      <c r="J1579">
        <v>38.476700000000001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2020</v>
      </c>
      <c r="J1580">
        <v>38.031300000000002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2020</v>
      </c>
      <c r="J1581">
        <v>38.710050000000003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2020</v>
      </c>
      <c r="J1582">
        <v>37.970050000000001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2020</v>
      </c>
      <c r="J1583">
        <v>38.338200000000001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2025</v>
      </c>
      <c r="J1584">
        <v>37.022599999999997</v>
      </c>
      <c r="K1584" t="s">
        <v>48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2025</v>
      </c>
      <c r="J1585">
        <v>39.363900000000001</v>
      </c>
      <c r="K1585" t="s">
        <v>48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2025</v>
      </c>
      <c r="J1586">
        <v>40.894500000000001</v>
      </c>
      <c r="K1586" t="s">
        <v>48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2025</v>
      </c>
      <c r="J1587">
        <v>40.003700000000002</v>
      </c>
      <c r="K1587" t="s">
        <v>48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2025</v>
      </c>
      <c r="J1588">
        <v>34.877600000000001</v>
      </c>
      <c r="K1588" t="s">
        <v>48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2025</v>
      </c>
      <c r="J1589">
        <v>36.145350000000001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2025</v>
      </c>
      <c r="J1590">
        <v>35.753450000000001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2030</v>
      </c>
      <c r="J1591">
        <v>26.825699999999998</v>
      </c>
      <c r="K1591" t="s">
        <v>48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2030</v>
      </c>
      <c r="J1592">
        <v>32.9328</v>
      </c>
      <c r="K1592" t="s">
        <v>48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2030</v>
      </c>
      <c r="J1593">
        <v>34.777250000000002</v>
      </c>
      <c r="K1593" t="s">
        <v>48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2030</v>
      </c>
      <c r="J1594">
        <v>33.878050000000002</v>
      </c>
      <c r="K1594" t="s">
        <v>48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2030</v>
      </c>
      <c r="J1595">
        <v>13.070650000000001</v>
      </c>
      <c r="K1595" t="s">
        <v>48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24.5091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2030</v>
      </c>
      <c r="J1597">
        <v>17.280250000000002</v>
      </c>
      <c r="K1597" t="s">
        <v>48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2035</v>
      </c>
      <c r="J1598">
        <v>14.7737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2035</v>
      </c>
      <c r="J1599">
        <v>25.972650000000002</v>
      </c>
      <c r="K1599" t="s">
        <v>48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2035</v>
      </c>
      <c r="J1600">
        <v>16.10295</v>
      </c>
      <c r="K1600" t="s">
        <v>48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2035</v>
      </c>
      <c r="J1601">
        <v>18.418849999999999</v>
      </c>
      <c r="K1601" t="s">
        <v>48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2035</v>
      </c>
      <c r="J1602">
        <v>-2.7398499999999997</v>
      </c>
      <c r="K1602" t="s">
        <v>48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2035</v>
      </c>
      <c r="J1603">
        <v>13.522349999999999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2035</v>
      </c>
      <c r="J1604">
        <v>-3.1876499999999997</v>
      </c>
      <c r="K1604" t="s">
        <v>48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2040</v>
      </c>
      <c r="J1605">
        <v>4.1343999999999994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2040</v>
      </c>
      <c r="J1606">
        <v>20.534550000000003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2040</v>
      </c>
      <c r="J1607">
        <v>-8.9937000000000005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2040</v>
      </c>
      <c r="J1608">
        <v>0.74360000000000004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2040</v>
      </c>
      <c r="J1609">
        <v>-13.9335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4.3680500000000002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2040</v>
      </c>
      <c r="J1611">
        <v>-16.701050000000002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2045</v>
      </c>
      <c r="J1612">
        <v>-2.6387</v>
      </c>
      <c r="K1612" t="s">
        <v>48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2045</v>
      </c>
      <c r="J1613">
        <v>15.687850000000001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2045</v>
      </c>
      <c r="J1614">
        <v>-21.203749999999999</v>
      </c>
      <c r="K1614" t="s">
        <v>48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2045</v>
      </c>
      <c r="J1615">
        <v>-8.6720000000000006</v>
      </c>
      <c r="K1615" t="s">
        <v>48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-21.159750000000003</v>
      </c>
      <c r="K1616" t="s">
        <v>48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2045</v>
      </c>
      <c r="J1617">
        <v>-1.6200999999999999</v>
      </c>
      <c r="K1617" t="s">
        <v>48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2045</v>
      </c>
      <c r="J1618">
        <v>-20.071849999999998</v>
      </c>
      <c r="K1618" t="s">
        <v>48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2050</v>
      </c>
      <c r="J1619">
        <v>-7.1367000000000003</v>
      </c>
      <c r="K1619" t="s">
        <v>48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2050</v>
      </c>
      <c r="J1620">
        <v>11.7494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2050</v>
      </c>
      <c r="J1621">
        <v>-25.903849999999998</v>
      </c>
      <c r="K1621" t="s">
        <v>48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2050</v>
      </c>
      <c r="J1622">
        <v>-13.654299999999999</v>
      </c>
      <c r="K1622" t="s">
        <v>48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2050</v>
      </c>
      <c r="J1623">
        <v>-24.36825</v>
      </c>
      <c r="K1623" t="s">
        <v>48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2050</v>
      </c>
      <c r="J1624">
        <v>-5.8104500000000003</v>
      </c>
      <c r="K1624" t="s">
        <v>48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2050</v>
      </c>
      <c r="J1625">
        <v>-21.89385</v>
      </c>
      <c r="K1625" t="s">
        <v>48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2055</v>
      </c>
      <c r="J1626">
        <v>-9.0027500000000007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2055</v>
      </c>
      <c r="J1627">
        <v>8.7901500000000006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2055</v>
      </c>
      <c r="J1628">
        <v>-26.093499999999999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2055</v>
      </c>
      <c r="J1629">
        <v>-13.80405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2055</v>
      </c>
      <c r="J1630">
        <v>-25.863900000000001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2055</v>
      </c>
      <c r="J1631">
        <v>-6.9209999999999994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2055</v>
      </c>
      <c r="J1632">
        <v>-20.478850000000001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2060</v>
      </c>
      <c r="J1633">
        <v>-10.359549999999999</v>
      </c>
      <c r="K1633" t="s">
        <v>48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2060</v>
      </c>
      <c r="J1634">
        <v>6.8164999999999996</v>
      </c>
      <c r="K1634" t="s">
        <v>48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2060</v>
      </c>
      <c r="J1635">
        <v>-25.128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-13.793900000000001</v>
      </c>
      <c r="K1636" t="s">
        <v>48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2060</v>
      </c>
      <c r="J1637">
        <v>-25.352650000000001</v>
      </c>
      <c r="K1637" t="s">
        <v>48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2060</v>
      </c>
      <c r="J1638">
        <v>-7.6688999999999989</v>
      </c>
      <c r="K1638" t="s">
        <v>48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2060</v>
      </c>
      <c r="J1639">
        <v>-19.684950000000001</v>
      </c>
      <c r="K1639" t="s">
        <v>48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2065</v>
      </c>
      <c r="J1640">
        <v>-10.802299999999999</v>
      </c>
      <c r="K1640" t="s">
        <v>48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2065</v>
      </c>
      <c r="J1641">
        <v>5.6913</v>
      </c>
      <c r="K1641" t="s">
        <v>48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2065</v>
      </c>
      <c r="J1642">
        <v>-24.843299999999999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2065</v>
      </c>
      <c r="J1643">
        <v>-13.800850000000001</v>
      </c>
      <c r="K1643" t="s">
        <v>48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2065</v>
      </c>
      <c r="J1644">
        <v>-23.041249999999998</v>
      </c>
      <c r="K1644" t="s">
        <v>48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2065</v>
      </c>
      <c r="J1645">
        <v>-7.7793000000000001</v>
      </c>
      <c r="K1645" t="s">
        <v>48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2065</v>
      </c>
      <c r="J1646">
        <v>-17.188299999999998</v>
      </c>
      <c r="K1646" t="s">
        <v>48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2070</v>
      </c>
      <c r="J1647">
        <v>-11.260000000000002</v>
      </c>
      <c r="K1647" t="s">
        <v>48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2070</v>
      </c>
      <c r="J1648">
        <v>4.766</v>
      </c>
      <c r="K1648" t="s">
        <v>48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2070</v>
      </c>
      <c r="J1649">
        <v>-24.6556</v>
      </c>
      <c r="K1649" t="s">
        <v>48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2070</v>
      </c>
      <c r="J1650">
        <v>-13.795249999999999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2070</v>
      </c>
      <c r="J1651">
        <v>-20.816749999999999</v>
      </c>
      <c r="K1651" t="s">
        <v>48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2070</v>
      </c>
      <c r="J1652">
        <v>-7.9059499999999998</v>
      </c>
      <c r="K1652" t="s">
        <v>48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2070</v>
      </c>
      <c r="J1653">
        <v>-14.858650000000001</v>
      </c>
      <c r="K1653" t="s">
        <v>48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2075</v>
      </c>
      <c r="J1654">
        <v>-11.23385</v>
      </c>
      <c r="K1654" t="s">
        <v>48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2075</v>
      </c>
      <c r="J1655">
        <v>3.1078000000000001</v>
      </c>
      <c r="K1655" t="s">
        <v>48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-23.110599999999998</v>
      </c>
      <c r="K1656" t="s">
        <v>48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2075</v>
      </c>
      <c r="J1657">
        <v>-14.674949999999999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2075</v>
      </c>
      <c r="J1658">
        <v>-22.401649999999997</v>
      </c>
      <c r="K1658" t="s">
        <v>48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2075</v>
      </c>
      <c r="J1659">
        <v>-8.3127999999999993</v>
      </c>
      <c r="K1659" t="s">
        <v>48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2075</v>
      </c>
      <c r="J1660">
        <v>-16.306800000000003</v>
      </c>
      <c r="K1660" t="s">
        <v>48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2080</v>
      </c>
      <c r="J1661">
        <v>-11.18745</v>
      </c>
      <c r="K1661" t="s">
        <v>48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2080</v>
      </c>
      <c r="J1662">
        <v>1.5363</v>
      </c>
      <c r="K1662" t="s">
        <v>48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2080</v>
      </c>
      <c r="J1663">
        <v>-21.572249999999997</v>
      </c>
      <c r="K1663" t="s">
        <v>48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2080</v>
      </c>
      <c r="J1664">
        <v>-15.572749999999999</v>
      </c>
      <c r="K1664" t="s">
        <v>48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2080</v>
      </c>
      <c r="J1665">
        <v>-23.976399999999998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2080</v>
      </c>
      <c r="J1666">
        <v>-8.6644499999999987</v>
      </c>
      <c r="K1666" t="s">
        <v>48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2080</v>
      </c>
      <c r="J1667">
        <v>-17.831700000000001</v>
      </c>
      <c r="K1667" t="s">
        <v>48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2085</v>
      </c>
      <c r="J1668">
        <v>-11.401150000000001</v>
      </c>
      <c r="K1668" t="s">
        <v>48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2085</v>
      </c>
      <c r="J1669">
        <v>0.85624999999999996</v>
      </c>
      <c r="K1669" t="s">
        <v>48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2085</v>
      </c>
      <c r="J1670">
        <v>-20.486599999999999</v>
      </c>
      <c r="K1670" t="s">
        <v>48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2085</v>
      </c>
      <c r="J1671">
        <v>-15.921199999999999</v>
      </c>
      <c r="K1671" t="s">
        <v>48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2085</v>
      </c>
      <c r="J1672">
        <v>-22.92445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2085</v>
      </c>
      <c r="J1673">
        <v>-8.4486500000000007</v>
      </c>
      <c r="K1673" t="s">
        <v>48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2085</v>
      </c>
      <c r="J1674">
        <v>-16.798099999999998</v>
      </c>
      <c r="K1674" t="s">
        <v>48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2090</v>
      </c>
      <c r="J1675">
        <v>-11.615449999999999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0.20434999999999998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2090</v>
      </c>
      <c r="J1677">
        <v>-19.414000000000001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2090</v>
      </c>
      <c r="J1678">
        <v>-16.223749999999999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2090</v>
      </c>
      <c r="J1679">
        <v>-21.879750000000001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2090</v>
      </c>
      <c r="J1680">
        <v>-8.2217000000000002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2090</v>
      </c>
      <c r="J1681">
        <v>-15.8002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2095</v>
      </c>
      <c r="J1682">
        <v>-10.410299999999999</v>
      </c>
      <c r="K1682" t="s">
        <v>48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2095</v>
      </c>
      <c r="J1683">
        <v>1.3828499999999999</v>
      </c>
      <c r="K1683" t="s">
        <v>48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2095</v>
      </c>
      <c r="J1684">
        <v>-17.684649999999998</v>
      </c>
      <c r="K1684" t="s">
        <v>48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2095</v>
      </c>
      <c r="J1685">
        <v>-14.291550000000001</v>
      </c>
      <c r="K1685" t="s">
        <v>48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2095</v>
      </c>
      <c r="J1686">
        <v>-23.213949999999997</v>
      </c>
      <c r="K1686" t="s">
        <v>48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2095</v>
      </c>
      <c r="J1687">
        <v>-6.3458500000000004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2095</v>
      </c>
      <c r="J1688">
        <v>-16.886800000000001</v>
      </c>
      <c r="K1688" t="s">
        <v>48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2100</v>
      </c>
      <c r="J1689">
        <v>-9.2089999999999996</v>
      </c>
      <c r="K1689" t="s">
        <v>48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2100</v>
      </c>
      <c r="J1690">
        <v>2.5788000000000002</v>
      </c>
      <c r="K1690" t="s">
        <v>48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2100</v>
      </c>
      <c r="J1691">
        <v>-15.955250000000001</v>
      </c>
      <c r="K1691" t="s">
        <v>48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2100</v>
      </c>
      <c r="J1692">
        <v>-12.349499999999999</v>
      </c>
      <c r="K1692" t="s">
        <v>48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2100</v>
      </c>
      <c r="J1693">
        <v>-24.5381</v>
      </c>
      <c r="K1693" t="s">
        <v>48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2100</v>
      </c>
      <c r="J1694">
        <v>-4.4676499999999999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-17.985500000000002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57.879649999999998</v>
      </c>
      <c r="K1696" t="s">
        <v>51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2020</v>
      </c>
      <c r="J1697">
        <v>57.75535</v>
      </c>
      <c r="K1697" t="s">
        <v>51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2020</v>
      </c>
      <c r="J1698">
        <v>58.286500000000004</v>
      </c>
      <c r="K1698" t="s">
        <v>51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2020</v>
      </c>
      <c r="J1699">
        <v>57.847999999999999</v>
      </c>
      <c r="K1699" t="s">
        <v>51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2020</v>
      </c>
      <c r="J1700">
        <v>58.495899999999999</v>
      </c>
      <c r="K1700" t="s">
        <v>51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2020</v>
      </c>
      <c r="J1701">
        <v>57.795249999999996</v>
      </c>
      <c r="K1701" t="s">
        <v>51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2020</v>
      </c>
      <c r="J1702">
        <v>58.158549999999998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2025</v>
      </c>
      <c r="J1703">
        <v>45.462649999999996</v>
      </c>
      <c r="K1703" t="s">
        <v>51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2025</v>
      </c>
      <c r="J1704">
        <v>46.070250000000001</v>
      </c>
      <c r="K1704" t="s">
        <v>51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2025</v>
      </c>
      <c r="J1705">
        <v>46.77075</v>
      </c>
      <c r="K1705" t="s">
        <v>51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2025</v>
      </c>
      <c r="J1706">
        <v>46.285849999999996</v>
      </c>
      <c r="K1706" t="s">
        <v>51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2025</v>
      </c>
      <c r="J1707">
        <v>44.326050000000002</v>
      </c>
      <c r="K1707" t="s">
        <v>51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2025</v>
      </c>
      <c r="J1708">
        <v>44.89425</v>
      </c>
      <c r="K1708" t="s">
        <v>51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2025</v>
      </c>
      <c r="J1709">
        <v>44.849000000000004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2030</v>
      </c>
      <c r="J1710">
        <v>37.102000000000004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2030</v>
      </c>
      <c r="J1711">
        <v>41.462600000000002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2030</v>
      </c>
      <c r="J1712">
        <v>41.801299999999998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2030</v>
      </c>
      <c r="J1713">
        <v>41.575499999999998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2030</v>
      </c>
      <c r="J1714">
        <v>25.745650000000001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34.912149999999997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2030</v>
      </c>
      <c r="J1716">
        <v>29.959449999999997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2035</v>
      </c>
      <c r="J1717">
        <v>26.3371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2035</v>
      </c>
      <c r="J1718">
        <v>35.020600000000002</v>
      </c>
      <c r="K1718" t="s">
        <v>51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2035</v>
      </c>
      <c r="J1719">
        <v>32.825000000000003</v>
      </c>
      <c r="K1719" t="s">
        <v>51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2035</v>
      </c>
      <c r="J1720">
        <v>33.263849999999998</v>
      </c>
      <c r="K1720" t="s">
        <v>51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2035</v>
      </c>
      <c r="J1721">
        <v>14.494250000000001</v>
      </c>
      <c r="K1721" t="s">
        <v>51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2035</v>
      </c>
      <c r="J1722">
        <v>24.726900000000001</v>
      </c>
      <c r="K1722" t="s">
        <v>51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2035</v>
      </c>
      <c r="J1723">
        <v>13.295949999999999</v>
      </c>
      <c r="K1723" t="s">
        <v>51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2040</v>
      </c>
      <c r="J1724">
        <v>16.902999999999999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2040</v>
      </c>
      <c r="J1725">
        <v>30.333500000000001</v>
      </c>
      <c r="K1725" t="s">
        <v>51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2040</v>
      </c>
      <c r="J1726">
        <v>10.6883</v>
      </c>
      <c r="K1726" t="s">
        <v>51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2040</v>
      </c>
      <c r="J1727">
        <v>18.415050000000001</v>
      </c>
      <c r="K1727" t="s">
        <v>51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2040</v>
      </c>
      <c r="J1728">
        <v>5.8026</v>
      </c>
      <c r="K1728" t="s">
        <v>51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2040</v>
      </c>
      <c r="J1729">
        <v>16.498650000000001</v>
      </c>
      <c r="K1729" t="s">
        <v>51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2040</v>
      </c>
      <c r="J1730">
        <v>1.2968500000000001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2045</v>
      </c>
      <c r="J1731">
        <v>10.124300000000002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2045</v>
      </c>
      <c r="J1732">
        <v>26.4146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2045</v>
      </c>
      <c r="J1733">
        <v>1.3025500000000001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2045</v>
      </c>
      <c r="J1734">
        <v>10.5687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1.2964500000000001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2045</v>
      </c>
      <c r="J1736">
        <v>11.090249999999999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2045</v>
      </c>
      <c r="J1737">
        <v>-2.3429000000000002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2050</v>
      </c>
      <c r="J1738">
        <v>5.7605500000000003</v>
      </c>
      <c r="K1738" t="s">
        <v>51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2050</v>
      </c>
      <c r="J1739">
        <v>23.565399999999997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2050</v>
      </c>
      <c r="J1740">
        <v>-1.9426000000000001</v>
      </c>
      <c r="K1740" t="s">
        <v>51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2050</v>
      </c>
      <c r="J1741">
        <v>6.4278499999999994</v>
      </c>
      <c r="K1741" t="s">
        <v>51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2050</v>
      </c>
      <c r="J1742">
        <v>7.3950000000000002E-2</v>
      </c>
      <c r="K1742" t="s">
        <v>51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2050</v>
      </c>
      <c r="J1743">
        <v>7.5755499999999998</v>
      </c>
      <c r="K1743" t="s">
        <v>51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2050</v>
      </c>
      <c r="J1744">
        <v>-4.3813999999999993</v>
      </c>
      <c r="K1744" t="s">
        <v>51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2055</v>
      </c>
      <c r="J1745">
        <v>3.4077999999999999</v>
      </c>
      <c r="K1745" t="s">
        <v>51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2055</v>
      </c>
      <c r="J1746">
        <v>20.356950000000001</v>
      </c>
      <c r="K1746" t="s">
        <v>51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2055</v>
      </c>
      <c r="J1747">
        <v>-3.1924000000000001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2055</v>
      </c>
      <c r="J1748">
        <v>4.5576000000000008</v>
      </c>
      <c r="K1748" t="s">
        <v>51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2055</v>
      </c>
      <c r="J1749">
        <v>-0.78744999999999998</v>
      </c>
      <c r="K1749" t="s">
        <v>51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2055</v>
      </c>
      <c r="J1750">
        <v>5.3780000000000001</v>
      </c>
      <c r="K1750" t="s">
        <v>51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2055</v>
      </c>
      <c r="J1751">
        <v>-4.8878500000000003</v>
      </c>
      <c r="K1751" t="s">
        <v>51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2060</v>
      </c>
      <c r="J1752">
        <v>0.69910000000000005</v>
      </c>
      <c r="K1752" t="s">
        <v>51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2060</v>
      </c>
      <c r="J1753">
        <v>18.025550000000003</v>
      </c>
      <c r="K1753" t="s">
        <v>51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2060</v>
      </c>
      <c r="J1754">
        <v>-5.0948500000000001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2.8819499999999998</v>
      </c>
      <c r="K1755" t="s">
        <v>51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2060</v>
      </c>
      <c r="J1756">
        <v>-1.35965</v>
      </c>
      <c r="K1756" t="s">
        <v>51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2060</v>
      </c>
      <c r="J1757">
        <v>3.1738</v>
      </c>
      <c r="K1757" t="s">
        <v>51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2060</v>
      </c>
      <c r="J1758">
        <v>-5.6168500000000003</v>
      </c>
      <c r="K1758" t="s">
        <v>51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2065</v>
      </c>
      <c r="J1759">
        <v>-0.12225000000000001</v>
      </c>
      <c r="K1759" t="s">
        <v>51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2065</v>
      </c>
      <c r="J1760">
        <v>16.465949999999999</v>
      </c>
      <c r="K1760" t="s">
        <v>51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2065</v>
      </c>
      <c r="J1761">
        <v>-6.0689500000000001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2065</v>
      </c>
      <c r="J1762">
        <v>1.9481999999999999</v>
      </c>
      <c r="K1762" t="s">
        <v>51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2065</v>
      </c>
      <c r="J1763">
        <v>-1.85745</v>
      </c>
      <c r="K1763" t="s">
        <v>51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2065</v>
      </c>
      <c r="J1764">
        <v>2.1050499999999999</v>
      </c>
      <c r="K1764" t="s">
        <v>51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2065</v>
      </c>
      <c r="J1765">
        <v>-5.5481499999999997</v>
      </c>
      <c r="K1765" t="s">
        <v>51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2070</v>
      </c>
      <c r="J1766">
        <v>-0.95925000000000005</v>
      </c>
      <c r="K1766" t="s">
        <v>51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2070</v>
      </c>
      <c r="J1767">
        <v>15.103300000000001</v>
      </c>
      <c r="K1767" t="s">
        <v>51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2070</v>
      </c>
      <c r="J1768">
        <v>-7.1409000000000002</v>
      </c>
      <c r="K1768" t="s">
        <v>51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2070</v>
      </c>
      <c r="J1769">
        <v>1.0258499999999999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2070</v>
      </c>
      <c r="J1770">
        <v>-2.4417999999999997</v>
      </c>
      <c r="K1770" t="s">
        <v>51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2070</v>
      </c>
      <c r="J1771">
        <v>1.0192000000000001</v>
      </c>
      <c r="K1771" t="s">
        <v>51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2070</v>
      </c>
      <c r="J1772">
        <v>-5.6463000000000001</v>
      </c>
      <c r="K1772" t="s">
        <v>51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2075</v>
      </c>
      <c r="J1773">
        <v>-1.3490500000000001</v>
      </c>
      <c r="K1773" t="s">
        <v>51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2075</v>
      </c>
      <c r="J1774">
        <v>13.75</v>
      </c>
      <c r="K1774" t="s">
        <v>51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-6.5353000000000003</v>
      </c>
      <c r="K1775" t="s">
        <v>51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2075</v>
      </c>
      <c r="J1776">
        <v>0.6341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2075</v>
      </c>
      <c r="J1777">
        <v>-2.8283</v>
      </c>
      <c r="K1777" t="s">
        <v>51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2075</v>
      </c>
      <c r="J1778">
        <v>0.91710000000000003</v>
      </c>
      <c r="K1778" t="s">
        <v>51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2075</v>
      </c>
      <c r="J1779">
        <v>-5.3552499999999998</v>
      </c>
      <c r="K1779" t="s">
        <v>51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2080</v>
      </c>
      <c r="J1780">
        <v>-1.7197499999999999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2080</v>
      </c>
      <c r="J1781">
        <v>12.4817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2080</v>
      </c>
      <c r="J1782">
        <v>-5.9369999999999994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2080</v>
      </c>
      <c r="J1783">
        <v>0.22294999999999998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2080</v>
      </c>
      <c r="J1784">
        <v>-3.2044999999999999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2080</v>
      </c>
      <c r="J1785">
        <v>0.86640000000000006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2080</v>
      </c>
      <c r="J1786">
        <v>-5.1411499999999997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2085</v>
      </c>
      <c r="J1787">
        <v>-1.87015</v>
      </c>
      <c r="K1787" t="s">
        <v>51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2085</v>
      </c>
      <c r="J1788">
        <v>11.000999999999999</v>
      </c>
      <c r="K1788" t="s">
        <v>51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2085</v>
      </c>
      <c r="J1789">
        <v>-5.0749499999999994</v>
      </c>
      <c r="K1789" t="s">
        <v>51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2085</v>
      </c>
      <c r="J1790">
        <v>-0.21194999999999997</v>
      </c>
      <c r="K1790" t="s">
        <v>51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2085</v>
      </c>
      <c r="J1791">
        <v>-3.327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2085</v>
      </c>
      <c r="J1792">
        <v>0.79435</v>
      </c>
      <c r="K1792" t="s">
        <v>51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2085</v>
      </c>
      <c r="J1793">
        <v>-5.3028500000000003</v>
      </c>
      <c r="K1793" t="s">
        <v>51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2090</v>
      </c>
      <c r="J1794">
        <v>-2.0223499999999999</v>
      </c>
      <c r="K1794" t="s">
        <v>51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9.5463500000000003</v>
      </c>
      <c r="K1795" t="s">
        <v>51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2090</v>
      </c>
      <c r="J1796">
        <v>-4.2271999999999998</v>
      </c>
      <c r="K1796" t="s">
        <v>51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2090</v>
      </c>
      <c r="J1797">
        <v>-0.60229999999999995</v>
      </c>
      <c r="K1797" t="s">
        <v>51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2090</v>
      </c>
      <c r="J1798">
        <v>-3.4574499999999997</v>
      </c>
      <c r="K1798" t="s">
        <v>51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2090</v>
      </c>
      <c r="J1799">
        <v>0.73140000000000005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2090</v>
      </c>
      <c r="J1800">
        <v>-5.5007999999999999</v>
      </c>
      <c r="K1800" t="s">
        <v>51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2095</v>
      </c>
      <c r="J1801">
        <v>-2.10175</v>
      </c>
      <c r="K1801" t="s">
        <v>51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2095</v>
      </c>
      <c r="J1802">
        <v>8.4725999999999999</v>
      </c>
      <c r="K1802" t="s">
        <v>51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2095</v>
      </c>
      <c r="J1803">
        <v>-4.0901500000000004</v>
      </c>
      <c r="K1803" t="s">
        <v>51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2095</v>
      </c>
      <c r="J1804">
        <v>-0.82799999999999996</v>
      </c>
      <c r="K1804" t="s">
        <v>51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2095</v>
      </c>
      <c r="J1805">
        <v>-3.6391</v>
      </c>
      <c r="K1805" t="s">
        <v>51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2095</v>
      </c>
      <c r="J1806">
        <v>0.44929999999999998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2095</v>
      </c>
      <c r="J1807">
        <v>-5.6165000000000003</v>
      </c>
      <c r="K1807" t="s">
        <v>51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-2.1868499999999997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7.4177999999999997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-3.9530499999999997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-1.04375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-3.8106999999999998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0.17050000000000001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-5.7437500000000004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0.95289999999999997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1.9053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3.3776000000000002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5.1566999999999998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8.5813000000000006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3.9800000000000002E-2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3.6900000000000002E-2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3.5200000000000002E-2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3.6799999999999999E-2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4.1799999999999997E-2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4.7399999999999998E-2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4.9599999999999998E-2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0.1242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0.14899999999999999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0.18240000000000001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0.19309999999999999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0.2054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0.22869999999999999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0.252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3.0000000000000001E-3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3.2000000000000002E-3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7.1999999999999998E-3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1.7299999999999999E-2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4.02E-2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6.9800000000000001E-2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8.0399999999999999E-2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2.9999999999999997E-4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1.8E-3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5.1000000000000004E-3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9.9000000000000008E-3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4.0043999999999995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2.6696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0.79900000000000004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9.4E-2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3.6850000000000001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5.6429999999999998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5.5275000000000007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5.7474999999999996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5.6814999999999998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6.1105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5.6704999999999997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2.2189999999999999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1.4E-2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34.189300000000003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41.742699999999999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23.224799999999998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15.767200000000001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8.6117000000000008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2.5964999999999998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-4.577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54.354799999999997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53.046599999999998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42.360700000000001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39.101599999999998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35.457000000000001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31.277899999999999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26.140499999999999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4.2599999999999999E-2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4.0899999999999999E-2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3.7999999999999999E-2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3.5400000000000001E-2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3.3099999999999997E-2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3.2599999999999997E-2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3.3099999999999997E-2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0.12640000000000001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0.15290000000000001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0.18790000000000001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0.19320000000000001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0.19719999999999999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0.2084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0.22189999999999999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2.8E-3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5.8999999999999999E-3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5.7000000000000002E-3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4.5999999999999999E-3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5.8999999999999999E-3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1.14E-2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4.0701999999999998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2.4722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0.71440000000000003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1.034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0.48879999999999996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5.6399999999999992E-2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3.7345000000000002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6.1379999999999999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4.0095000000000001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5.0490000000000004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6.2645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8.0190000000000001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7.1665000000000001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2.2189999999999999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1.0569999999999999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33.515099999999997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42.824800000000003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27.264099999999999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31.575800000000001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33.578800000000001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38.019500000000001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37.491399999999999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53.660699999999999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53.634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44.162399999999998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51.670999999999999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56.418399999999998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63.634399999999999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65.891900000000007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1.0486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2.3799000000000001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3.7282000000000002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5.2748999999999997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4.2200000000000001E-2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4.02E-2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3.6999999999999998E-2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3.9199999999999999E-2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4.7300000000000002E-2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5.0999999999999997E-2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4.8500000000000001E-2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0.12640000000000001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0.15310000000000001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0.18859999999999999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0.1996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0.22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0.2482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0.28289999999999998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2.7000000000000001E-3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2.8E-3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5.8999999999999999E-3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1.43E-2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3.8100000000000002E-2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7.0099999999999996E-2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8.43E-2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1.5E-3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3.7000000000000002E-3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8.0999999999999996E-3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1.43E-2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4.0889999999999995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2.4815999999999998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0.70499999999999996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4.7E-2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9.4000000000000004E-3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3.74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6.1709999999999994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4.0315000000000003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3.8170000000000002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3.4375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3.762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2.4255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2.2189999999999999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1.0640000000000001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33.587699999999998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43.697800000000001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28.825900000000001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20.860099999999999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10.155900000000001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-0.192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-10.8195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53.736199999999997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53.725099999999998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44.155999999999999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40.708799999999997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33.697499999999998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26.084199999999999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17.888300000000001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1.4084000000000001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2.5182000000000002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3.8757999999999999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6.0865999999999998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3.9600000000000003E-2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3.8100000000000002E-2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3.5000000000000003E-2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3.61E-2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4.3099999999999999E-2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4.6699999999999998E-2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4.7699999999999999E-2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0.1249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0.15140000000000001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0.1875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0.19769999999999999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0.2039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0.22450000000000001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0.2419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3.0000000000000001E-3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3.0000000000000001E-3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5.7999999999999996E-3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1.44E-2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3.5400000000000001E-2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6.4299999999999996E-2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8.5500000000000007E-2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1.5E-3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4.0000000000000001E-3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7.4000000000000003E-3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1.24E-2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4.0232000000000001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2.4534000000000002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0.70499999999999996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3.7600000000000001E-2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9.4000000000000004E-3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3.7070000000000003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6.1159999999999997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3.9874999999999998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4.125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3.6409999999999996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2.8820000000000001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2.0459999999999998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2.2329999999999997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1.071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33.209299999999999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43.713200000000001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28.6572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19.961200000000002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9.5200999999999993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-2.0358999999999998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-13.687200000000001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53.359499999999997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54.134500000000003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44.7697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40.798499999999997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34.581600000000002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26.254300000000001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17.9709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2.0609000000000002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3.0716999999999999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4.9782000000000002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6.8223000000000003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8.7323000000000004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4.2700000000000002E-2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4.0500000000000001E-2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4.0899999999999999E-2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4.1000000000000002E-2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4.4299999999999999E-2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4.2000000000000003E-2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3.85E-2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0.1234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0.15049999999999999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0.16339999999999999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0.15709999999999999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0.1356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0.1401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0.14630000000000001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3.5000000000000001E-3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3.3999999999999998E-3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7.7000000000000002E-3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1.8800000000000001E-2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4.2599999999999999E-2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7.2099999999999997E-2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8.8599999999999998E-2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4.4999999999999997E-3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1.0800000000000001E-2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1.83E-2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2.7400000000000001E-2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3.0700000000000002E-2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4.0608000000000004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2.6696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0.60160000000000002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5.6399999999999992E-2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3.6739999999999999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5.6595000000000004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4.202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0.8085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0.65450000000000008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1.4355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2.1890000000000001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2.177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1.4E-2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33.687600000000003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40.091200000000001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15.7765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3.8016000000000001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-6.7793999999999999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-17.6419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-24.299099999999999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53.8127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51.328099999999999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35.247599999999998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26.4604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18.494599999999998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10.548299999999999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5.9874999999999998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0.85470000000000002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1.4237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2.1915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3.4198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4.0899999999999999E-2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3.7499999999999999E-2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3.4000000000000002E-2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3.4299999999999997E-2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3.78E-2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4.0500000000000001E-2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4.4400000000000002E-2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0.12520000000000001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0.15090000000000001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0.17530000000000001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0.18809999999999999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0.2011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0.22040000000000001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0.2324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3.0000000000000001E-3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3.5999999999999999E-3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8.8000000000000005E-3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0.02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4.4499999999999998E-2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7.4800000000000005E-2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4.0000000000000002E-4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8.9999999999999998E-4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1.1999999999999999E-3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1.1999999999999999E-3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4.0137999999999998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2.6696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0.99639999999999995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8.4599999999999995E-2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4.7E-2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3.6795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5.6099999999999994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5.9180000000000001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5.0985000000000005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5.1369999999999996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5.17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6.7924999999999995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2.2120000000000002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1.4E-2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33.1892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39.428100000000001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29.4755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20.572500000000002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15.521100000000001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10.005100000000001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4.7317999999999998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53.344900000000003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51.119599999999998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47.793500000000002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43.369399999999999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42.518700000000003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40.043500000000002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37.466299999999997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2.4167999999999998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3.8860000000000001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4.9904999999999999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6.7135999999999996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6.3391999999999999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4.0500000000000001E-2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3.7999999999999999E-2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4.3999999999999997E-2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5.5399999999999998E-2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6.4399999999999999E-2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6.6600000000000006E-2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6.88E-2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0.12180000000000001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0.14649999999999999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0.1792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0.2117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0.23150000000000001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0.26750000000000002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0.29820000000000002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3.0999999999999999E-3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7.1000000000000004E-3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2.1100000000000001E-2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4.6300000000000001E-2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5.7000000000000002E-2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5.9700000000000003E-2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4.0000000000000001E-3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9.1000000000000004E-3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1.72E-2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2.76E-2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3.3399999999999999E-2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3.9950000000000001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2.6696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6.5799999999999997E-2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2.8199999999999996E-2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3.6905000000000006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5.6265000000000001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2.387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0.11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0.20899999999999999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0.187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2.75E-2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2.2120000000000002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1.4E-2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34.093899999999998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41.602699999999999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11.968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-1.0053000000000001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-8.9365000000000006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-16.591999999999999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-22.544699999999999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54.250999999999998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52.911999999999999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31.612500000000001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22.004999999999999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16.648099999999999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11.631500000000001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8.0187000000000008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1.6799999999999999E-2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0.18920000000000001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0.60050000000000003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1.1552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1.6248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1.8778999999999999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1.9891000000000001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2.0792999999999999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2.0552999999999999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2.0912000000000002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2.1312000000000002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2.1867999999999999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2.3140000000000001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2.4449000000000001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2.4207000000000001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2.4051999999999998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4.9799999999999997E-2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5.6399999999999999E-2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5.79E-2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6.2100000000000002E-2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6.2600000000000003E-2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6.6299999999999998E-2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6.6100000000000006E-2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6.2899999999999998E-2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5.6800000000000003E-2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5.4899999999999997E-2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5.2999999999999999E-2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5.1499999999999997E-2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5.0200000000000002E-2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4.8500000000000001E-2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4.6699999999999998E-2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4.3900000000000002E-2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4.1300000000000003E-2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0.1188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0.15079999999999999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0.18129999999999999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0.21149999999999999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0.21959999999999999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0.21679999999999999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0.20280000000000001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0.17899999999999999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0.17349999999999999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0.16819999999999999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0.16400000000000001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0.16700000000000001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0.16980000000000001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0.1716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0.17380000000000001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0.17519999999999999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0.1764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9.1000000000000004E-3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1.9300000000000001E-2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3.2399999999999998E-2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4.1599999999999998E-2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4.8300000000000003E-2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5.1700000000000003E-2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5.3699999999999998E-2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5.5E-2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5.6000000000000001E-2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5.6399999999999999E-2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5.7599999999999998E-2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5.91E-2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6.0299999999999999E-2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6.1600000000000002E-2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6.2E-2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6.2E-2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5.4000000000000003E-3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9.7000000000000003E-3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1.7500000000000002E-2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2.3599999999999999E-2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2.92E-2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3.3799999999999997E-2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3.8800000000000001E-2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3.7900000000000003E-2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3.7999999999999999E-2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3.6999999999999998E-2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3.6499999999999998E-2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3.56E-2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3.4799999999999998E-2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3.4299999999999997E-2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3.4000000000000002E-2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3.3500000000000002E-2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5.0000000000000001E-4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8.0699999999999994E-2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6.9500000000000006E-2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1.9099999999999999E-2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7.0000000000000001E-3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2.9999999999999997E-4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2.9999999999999997E-4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1.7999999999999999E-2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9.9000000000000008E-3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3.0999999999999999E-3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38.052599999999998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37.145899999999997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26.892099999999999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14.744899999999999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3.7427000000000001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-2.8315000000000001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-7.5369000000000002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-8.5409000000000006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-9.9940999999999995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-10.3855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-10.797700000000001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-10.910399999999999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-10.9971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-11.3186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-11.6427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-10.42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-9.1997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57.875500000000002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45.105699999999999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36.128500000000003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25.804099999999998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16.556100000000001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10.122400000000001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5.5505000000000004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3.6065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0.85680000000000001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6.0199999999999997E-2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-0.75819999999999999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-1.2139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-1.6448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-1.8363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-2.0314999999999999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-2.1036999999999999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-2.1812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1.4500000000000001E-2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1.5599999999999999E-2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1.6199999999999999E-2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1.6799999999999999E-2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1.6899999999999998E-2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1.72E-2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1.41E-2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1.2500000000000001E-2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8.9999999999999993E-3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5.0000000000000001E-3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2.5999999999999999E-3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4.9200000000000001E-2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5.5399999999999998E-2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5.8799999999999998E-2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5.9499999999999997E-2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5.8799999999999998E-2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5.9299999999999999E-2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6.0199999999999997E-2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5.7500000000000002E-2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5.3800000000000001E-2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5.2499999999999998E-2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5.1299999999999998E-2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4.9299999999999997E-2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4.7199999999999999E-2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4.5199999999999997E-2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4.3099999999999999E-2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4.1099999999999998E-2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3.8800000000000001E-2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0.11799999999999999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0.14979999999999999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0.18090000000000001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0.2016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0.20760000000000001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0.1993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0.18779999999999999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0.16819999999999999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0.1633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0.1603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0.15770000000000001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0.15989999999999999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0.16159999999999999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0.1628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0.1643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0.1663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0.1686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2.8999999999999998E-3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9.1000000000000004E-3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2.6599999999999999E-2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3.2099999999999997E-2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3.5900000000000001E-2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3.8899999999999997E-2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4.19E-2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4.4699999999999997E-2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4.6699999999999998E-2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4.82E-2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4.8899999999999999E-2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4.9599999999999998E-2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5.0200000000000002E-2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5.0900000000000001E-2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5.1499999999999997E-2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5.1999999999999998E-2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5.4000000000000003E-3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9.5999999999999992E-3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1.17E-2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1.26E-2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1.5100000000000001E-2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1.35E-2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1.9699999999999999E-2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2.3099999999999999E-2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2.5899999999999999E-2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3.0300000000000001E-2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3.39E-2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3.78E-2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4.1200000000000001E-2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4.2500000000000003E-2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4.4200000000000003E-2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3.4099999999999998E-2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6.9999999999999999E-4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4.0000000000000002E-4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4.0000000000000002E-4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8.9999999999999998E-4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1.4E-3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2.5999999999999999E-3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2.5000000000000001E-3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2.5000000000000001E-3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8.1299999999999997E-2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8.1100000000000005E-2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0.05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2.0299999999999999E-2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7.4999999999999997E-3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5.9999999999999995E-4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5.9999999999999995E-4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6.9999999999999999E-4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8.0000000000000004E-4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8.9999999999999998E-4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8.9999999999999998E-4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8.0000000000000004E-4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8.0000000000000004E-4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6.9999999999999999E-4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5.0000000000000001E-4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1.8100000000000002E-2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1.0500000000000001E-2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37.978700000000003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39.1233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32.877499999999998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25.8719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20.340399999999999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15.710800000000001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11.547499999999999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8.4278999999999993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6.3739999999999997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5.3404999999999996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4.4611999999999998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2.9266999999999999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1.49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0.85129999999999995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0.26269999999999999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1.3602000000000001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2.4597000000000002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57.809399999999997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45.839700000000001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41.280299999999997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34.918700000000001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30.146100000000001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26.4527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23.386399999999998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20.022300000000001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17.601600000000001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16.134799999999998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14.819100000000001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13.5817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12.440200000000001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10.988099999999999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9.5844000000000005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8.4298999999999999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7.2793000000000001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1.46E-2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1.5800000000000002E-2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9.2799999999999994E-2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1.7287999999999999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3.9735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4.9428000000000001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5.4585999999999997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6.3277999999999999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6.7420999999999998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7.4249000000000001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6.7872000000000003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6.1642000000000001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5.2079000000000004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4.2712000000000003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4.101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3.9331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5.0500000000000003E-2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5.6000000000000001E-2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5.8599999999999999E-2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6.1800000000000001E-2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7.0099999999999996E-2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7.6100000000000001E-2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7.0999999999999994E-2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6.5699999999999995E-2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5.8400000000000001E-2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5.6000000000000001E-2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5.3699999999999998E-2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5.2400000000000002E-2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5.1299999999999998E-2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4.9200000000000001E-2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4.6899999999999997E-2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4.4299999999999999E-2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4.1700000000000001E-2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0.1197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0.15129999999999999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0.182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0.20899999999999999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0.22689999999999999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0.2359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0.2145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0.18659999999999999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0.17549999999999999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0.16950000000000001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0.1646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0.1668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0.16880000000000001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0.16919999999999999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0.16980000000000001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0.17219999999999999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0.17469999999999999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3.0000000000000001E-3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9.2999999999999992E-3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1.8499999999999999E-2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2.86E-2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3.6799999999999999E-2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4.3999999999999997E-2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4.53E-2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4.6600000000000003E-2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4.7600000000000003E-2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4.8500000000000001E-2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4.9000000000000002E-2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5.0099999999999999E-2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5.1299999999999998E-2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5.2200000000000003E-2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5.2999999999999999E-2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5.3499999999999999E-2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5.3800000000000001E-2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1.2999999999999999E-3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5.4999999999999997E-3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9.7999999999999997E-3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1.1299999999999999E-2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1.49E-2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2.53E-2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3.6499999999999998E-2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4.2799999999999998E-2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5.2200000000000003E-2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5.4399999999999997E-2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5.8999999999999997E-2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5.5899999999999998E-2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5.2900000000000003E-2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5.0799999999999998E-2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4.9000000000000002E-2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4.82E-2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4.7399999999999998E-2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3.3799999999999997E-2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6.9999999999999999E-4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4.0000000000000002E-4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8.1299999999999997E-2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8.0399999999999999E-2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4.9399999999999999E-2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1.61E-2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1.7999999999999999E-2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1.0500000000000001E-2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3.5000000000000001E-3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38.479500000000002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40.7881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34.925800000000002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15.7857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-10.0922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-22.243500000000001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-26.810700000000001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-26.953600000000002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-26.1752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-25.8674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-25.669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-23.9983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-22.345199999999998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-21.140499999999999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-19.954000000000001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-18.1614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-16.381900000000002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58.288499999999999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46.676299999999998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41.7316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32.4711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9.9040999999999997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1.1067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-1.4456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-2.9963000000000002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-5.1776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-6.2255000000000003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-7.3837000000000002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-6.7651000000000003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-6.1646999999999998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-5.2385999999999999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-4.3319999999999999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-4.1809000000000003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-4.0431999999999997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1.47E-2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1.5800000000000002E-2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4.4600000000000001E-2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0.25779999999999997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0.83550000000000002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1.177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1.3304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1.4158999999999999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1.4383999999999999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1.4937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1.4056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1.3499000000000001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1.3936999999999999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1.4451000000000001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1.4763999999999999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1.5069999999999999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0.05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5.57E-2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5.8700000000000002E-2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5.8700000000000002E-2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5.7599999999999998E-2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0.06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6.2300000000000001E-2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6.0499999999999998E-2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5.5E-2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5.3800000000000001E-2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5.2600000000000001E-2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5.1299999999999998E-2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4.8000000000000001E-2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4.5900000000000003E-2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4.3299999999999998E-2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4.0800000000000003E-2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0.11899999999999999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0.1812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0.20949999999999999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0.21909999999999999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0.21329999999999999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0.1986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0.17630000000000001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0.16950000000000001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0.1648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0.16109999999999999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0.16350000000000001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0.1656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0.16750000000000001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0.16969999999999999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0.17119999999999999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0.17280000000000001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2.8999999999999998E-3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9.1000000000000004E-3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1.8100000000000002E-2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2.6800000000000001E-2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3.2199999999999999E-2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3.49E-2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3.9899999999999998E-2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4.2700000000000002E-2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4.4299999999999999E-2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4.5699999999999998E-2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4.6699999999999998E-2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4.8099999999999997E-2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4.9399999999999999E-2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5.0500000000000003E-2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5.16E-2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5.21E-2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5.2499999999999998E-2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5.4000000000000003E-3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9.7000000000000003E-3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1.0800000000000001E-2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1.38E-2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2.18E-2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2.9399999999999999E-2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3.3700000000000001E-2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3.9300000000000002E-2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3.8300000000000001E-2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3.7199999999999997E-2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3.6600000000000001E-2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3.6799999999999999E-2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3.7600000000000001E-2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3.8800000000000001E-2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3.8100000000000002E-2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3.7400000000000003E-2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3.3700000000000001E-2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6.9999999999999999E-4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4.0000000000000002E-4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8.09E-2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7.9899999999999999E-2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4.9399999999999999E-2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1.78E-2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4.0000000000000002E-4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5.0000000000000001E-4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5.0000000000000001E-4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5.0000000000000001E-4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2.9999999999999997E-4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1.7999999999999999E-2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1.04E-2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38.086500000000001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39.945300000000003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33.859499999999997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16.259799999999998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-1.7333000000000001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-9.0035000000000007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-12.9329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-13.456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-13.537100000000001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-13.7014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-13.841100000000001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-15.0985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-16.4208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-16.966699999999999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-17.486499999999999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-15.5883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-13.6852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57.9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46.238799999999998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41.463000000000001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32.652299999999997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16.1371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9.6827000000000005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6.1829999999999998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4.2583000000000002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2.5750999999999999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1.6083000000000001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0.66479999999999995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0.1101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-0.51100000000000001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-0.82699999999999996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-1.1173999999999999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-1.2844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-1.4471000000000001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2.9899999999999999E-2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0.66930000000000001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1.4982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2.3954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3.0392999999999999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3.3077999999999999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3.4830000000000001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3.7524000000000002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3.8984000000000001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4.0918000000000001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4.2107000000000001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4.3436000000000003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4.3669000000000002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4.4063999999999997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4.3419999999999996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4.2857000000000003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5.0099999999999999E-2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4.8500000000000001E-2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4.1500000000000002E-2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4.0099999999999997E-2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3.6999999999999998E-2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3.4299999999999997E-2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3.2500000000000001E-2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2.98E-2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2.6800000000000001E-2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2.5999999999999999E-2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2.52E-2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2.4899999999999999E-2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2.4500000000000001E-2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2.4299999999999999E-2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2.4199999999999999E-2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2.35E-2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2.2800000000000001E-2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0.12089999999999999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0.1515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0.1716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0.1988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0.2051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0.1973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0.18229999999999999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0.159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0.1507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0.14699999999999999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0.1439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0.1484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0.1525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0.15509999999999999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0.15790000000000001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0.15920000000000001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0.16059999999999999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3.3E-3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2.0299999999999999E-2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3.2399999999999998E-2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3.7900000000000003E-2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3.9899999999999998E-2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3.9E-2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4.2799999999999998E-2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4.4200000000000003E-2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4.4999999999999998E-2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4.5199999999999997E-2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4.5999999999999999E-2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4.6899999999999997E-2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4.7600000000000003E-2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4.8300000000000003E-2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4.8300000000000003E-2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4.8300000000000003E-2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4.3E-3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7.1999999999999998E-3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8.8000000000000005E-3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1.0500000000000001E-2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1.0200000000000001E-2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9.2999999999999992E-3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9.7000000000000003E-3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1.32E-2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1.41E-2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1.37E-2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1.34E-2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1.3599999999999999E-2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1.3899999999999999E-2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1.5299999999999999E-2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1.6799999999999999E-2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3.3300000000000003E-2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5.9999999999999995E-4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8.1199999999999994E-2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7.0900000000000005E-2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6.4999999999999997E-3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2.0000000000000001E-4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1.0500000000000001E-2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3.3999999999999998E-3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38.722900000000003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34.985100000000003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13.2011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-2.5962999999999998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-14.230600000000001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-21.7681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-24.519100000000002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-25.470700000000001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-25.1158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-22.9465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-20.827100000000002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-22.791899999999998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-24.746700000000001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-24.0489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-23.3582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-24.566099999999999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-25.758500000000002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58.508600000000001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44.282600000000002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25.633700000000001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14.4862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5.8255999999999997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1.3512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7.9899999999999999E-2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-0.51290000000000002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-1.1926000000000001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-1.6195999999999999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-2.0960999999999999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-2.5916000000000001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-3.077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-3.1968000000000001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-3.3241999999999998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-3.5133999999999999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-3.6869000000000001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2.86E-2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0.22939999999999999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0.66859999999999997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1.1978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1.3692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1.5278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1.5887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1.6635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1.6266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1.6400999999999999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1.3565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1.0640000000000001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1.0650999999999999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1.0691999999999999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1.2414000000000001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1.4121999999999999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4.9599999999999998E-2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5.6599999999999998E-2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5.8200000000000002E-2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6.4500000000000002E-2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6.6000000000000003E-2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6.3799999999999996E-2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6.0400000000000002E-2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5.5E-2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5.3499999999999999E-2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5.2299999999999999E-2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5.04E-2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4.82E-2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4.5900000000000003E-2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4.3799999999999999E-2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4.1700000000000001E-2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3.95E-2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0.1176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0.15049999999999999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0.1804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0.2102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0.22189999999999999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0.21340000000000001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0.19739999999999999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0.1741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0.1691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0.1648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0.16139999999999999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0.16350000000000001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0.1648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0.1658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0.16700000000000001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0.16850000000000001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0.17030000000000001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3.0000000000000001E-3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9.2999999999999992E-3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1.8499999999999999E-2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2.8199999999999999E-2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3.4000000000000002E-2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3.7900000000000003E-2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4.0599999999999997E-2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4.2799999999999998E-2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4.4999999999999998E-2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4.6600000000000003E-2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4.8000000000000001E-2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4.9200000000000001E-2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5.0099999999999999E-2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5.0799999999999998E-2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5.1499999999999997E-2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5.1999999999999998E-2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5.2400000000000002E-2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5.3E-3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9.2999999999999992E-3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1.2800000000000001E-2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1.9E-2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2.7900000000000001E-2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3.5099999999999999E-2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3.9399999999999998E-2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4.4400000000000002E-2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4.3200000000000002E-2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4.3299999999999998E-2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4.3200000000000002E-2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4.3700000000000003E-2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4.3799999999999999E-2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4.3999999999999997E-2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4.2999999999999997E-2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4.2000000000000003E-2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3.3700000000000001E-2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8.0799999999999997E-2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7.2099999999999997E-2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1.7100000000000001E-2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2.9999999999999997E-4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2.9999999999999997E-4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2.9999999999999997E-4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2.9999999999999997E-4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2.0000000000000001E-4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1.7999999999999999E-2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0.01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3.0999999999999999E-3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37.972200000000001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35.751399999999997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24.239799999999999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13.267099999999999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4.1382000000000003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-1.95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-6.0627000000000004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-7.5381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-8.2678999999999991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-8.3116000000000003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-8.3767999999999994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-8.7545000000000002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-9.0764999999999993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-8.8614999999999995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-8.6453000000000007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-6.7838000000000003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-4.9279000000000002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57.797499999999999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44.813099999999999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34.890799999999999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24.793500000000002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16.557500000000001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11.049899999999999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7.6269999999999998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5.0864000000000003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2.9222999999999999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1.9120999999999999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0.87880000000000003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0.78439999999999999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0.74260000000000004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0.65690000000000004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0.57050000000000001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0.28520000000000001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-4.7000000000000002E-3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2.9000000000000001E-2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1.1376999999999999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3.2303000000000002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5.2864000000000004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5.8701999999999996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6.1749000000000001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6.1996000000000002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6.1878000000000002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5.8846999999999996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5.8643000000000001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5.3983999999999996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5.0039999999999996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5.1668000000000003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5.3712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5.4650999999999996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5.5648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4.9700000000000001E-2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5.67E-2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5.7500000000000002E-2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6.7000000000000004E-2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7.6300000000000007E-2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7.4899999999999994E-2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7.0300000000000001E-2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6.6199999999999995E-2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6.1600000000000002E-2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0.06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5.8299999999999998E-2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5.6500000000000002E-2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5.4800000000000001E-2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5.2999999999999999E-2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5.1299999999999998E-2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4.8099999999999997E-2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4.4900000000000002E-2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0.1187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0.1517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0.183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0.23169999999999999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0.25390000000000001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0.2384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0.21379999999999999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0.1867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0.1822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0.1754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0.1696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0.1714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0.1729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0.1744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0.17610000000000001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0.17799999999999999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2.8999999999999998E-3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9.5999999999999992E-3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2.06E-2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3.7900000000000003E-2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5.0999999999999997E-2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5.5199999999999999E-2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5.6300000000000003E-2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5.74E-2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5.91E-2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0.06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6.0400000000000002E-2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6.1199999999999997E-2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6.2199999999999998E-2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6.3100000000000003E-2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6.4000000000000001E-2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6.4199999999999993E-2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6.4199999999999993E-2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1.2999999999999999E-3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5.4000000000000003E-3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1.2500000000000001E-2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2.1600000000000001E-2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2.8500000000000001E-2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3.5000000000000003E-2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3.8300000000000001E-2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3.9899999999999998E-2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4.2500000000000003E-2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4.1599999999999998E-2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4.3099999999999999E-2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4.3200000000000002E-2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4.4400000000000002E-2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4.53E-2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4.6699999999999998E-2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4.6399999999999997E-2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4.6199999999999998E-2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3.3300000000000003E-2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5.0000000000000001E-4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8.1000000000000003E-2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6.6699999999999995E-2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8.8000000000000005E-3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1.7899999999999999E-2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9.7999999999999997E-3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3.0000000000000001E-3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38.312399999999997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36.075600000000001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18.793099999999999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-3.2940999999999998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-16.4817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-19.9696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-20.7547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-20.1831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-19.869599999999998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-17.425599999999999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-15.1852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-16.473700000000001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-17.827200000000001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-16.7879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-15.7979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-16.854700000000001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-17.943000000000001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58.140099999999997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44.690300000000001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30.221699999999998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13.510899999999999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1.4225000000000001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-2.3565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-4.1338999999999997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-4.5955000000000004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-5.7571000000000003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-5.7432999999999996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-5.9329000000000001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-5.5079000000000002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-5.1485000000000003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-5.32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-5.5415999999999999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-5.6425999999999998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-5.7747999999999999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2.9100000000000001E-2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0.17199999999999999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0.59119999999999995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1.1653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1.5935999999999999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1.8653999999999999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1.9843999999999999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2.0954000000000002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2.0825999999999998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2.1331000000000002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2.1573000000000002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2.1974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2.2856000000000001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2.3767999999999998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2.3666999999999998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2.3666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4.9599999999999998E-2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5.6399999999999999E-2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5.7799999999999997E-2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6.1199999999999997E-2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6.6400000000000001E-2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6.6500000000000004E-2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6.3500000000000001E-2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5.74E-2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5.5800000000000002E-2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5.4199999999999998E-2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5.28E-2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5.1400000000000001E-2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4.9599999999999998E-2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4.7899999999999998E-2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4.5199999999999997E-2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4.24E-2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0.11890000000000001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0.182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0.2112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0.21909999999999999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0.21740000000000001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0.20449999999999999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0.18110000000000001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0.17560000000000001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0.17100000000000001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0.16739999999999999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0.17069999999999999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0.17369999999999999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0.17549999999999999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0.1777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0.1797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0.18179999999999999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2.8E-3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8.9999999999999993E-3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1.9300000000000001E-2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3.2300000000000002E-2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4.1599999999999998E-2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4.8500000000000001E-2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5.2299999999999999E-2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5.4300000000000001E-2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5.5800000000000002E-2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5.7000000000000002E-2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5.7799999999999997E-2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5.91E-2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6.0600000000000001E-2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6.1899999999999997E-2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6.3299999999999995E-2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6.3899999999999998E-2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6.4199999999999993E-2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5.4999999999999997E-3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9.5999999999999992E-3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1.32E-2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1.67E-2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2.3300000000000001E-2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2.92E-2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3.4099999999999998E-2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3.9199999999999999E-2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3.8100000000000002E-2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3.7900000000000003E-2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3.6999999999999998E-2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3.6499999999999998E-2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3.5700000000000003E-2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3.5000000000000003E-2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3.44E-2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3.39E-2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3.3599999999999998E-2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5.9999999999999995E-4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8.0699999999999994E-2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7.3800000000000004E-2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2.3800000000000002E-2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7.3000000000000001E-3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2.9999999999999997E-4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2.9999999999999997E-4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2.9999999999999997E-4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1.7999999999999999E-2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0.01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3.0999999999999999E-3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38.065300000000001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36.516100000000002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26.7593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13.4886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3.1677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-3.7204999999999999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-7.8985000000000003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-9.4646000000000008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-10.725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-11.219099999999999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-11.722300000000001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-11.5573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-11.377800000000001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-11.483700000000001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-11.588200000000001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-10.400600000000001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-9.2182999999999993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57.883800000000001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45.296900000000001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36.816699999999997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26.186199999999999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16.854099999999999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10.126200000000001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5.9177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3.2090999999999998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0.54139999999999999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-0.30470000000000003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-1.1603000000000001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-1.4842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-1.7947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-1.9039999999999999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-2.0131999999999999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-2.0998000000000001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-2.1924999999999999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1.5900000000000001E-2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1.8200000000000001E-2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1.9E-2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1.9300000000000001E-2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1.9400000000000001E-2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1.9599999999999999E-2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1.6199999999999999E-2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1.47E-2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1.06E-2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6.1999999999999998E-3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3.2000000000000002E-3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4.9099999999999998E-2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5.4800000000000001E-2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5.8599999999999999E-2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5.9400000000000001E-2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5.8799999999999998E-2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5.96E-2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6.08E-2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5.8400000000000001E-2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5.4800000000000001E-2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5.3699999999999998E-2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5.0999999999999997E-2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4.9200000000000001E-2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4.7E-2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4.5100000000000001E-2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4.2999999999999997E-2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4.0899999999999999E-2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0.1176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0.1487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0.1804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0.20169999999999999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0.2084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0.19989999999999999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0.18890000000000001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0.1696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0.16450000000000001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0.16220000000000001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0.16039999999999999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0.16400000000000001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0.16719999999999999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0.16869999999999999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0.17050000000000001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0.17299999999999999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0.17560000000000001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8.9999999999999993E-3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1.7899999999999999E-2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2.6599999999999999E-2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3.2199999999999999E-2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3.61E-2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3.9300000000000002E-2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4.2299999999999997E-2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4.4999999999999998E-2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4.7E-2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4.8500000000000001E-2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5.1200000000000002E-2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5.21E-2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5.3100000000000001E-2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5.3800000000000001E-2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5.4399999999999997E-2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5.4999999999999997E-3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9.7000000000000003E-3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1.1599999999999999E-2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1.2699999999999999E-2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1.5299999999999999E-2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1.3599999999999999E-2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2.1100000000000001E-2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2.53E-2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2.8799999999999999E-2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3.3799999999999997E-2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3.78E-2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4.1799999999999997E-2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4.5499999999999999E-2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4.6699999999999998E-2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4.8500000000000001E-2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3.4000000000000002E-2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6.9999999999999999E-4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4.0000000000000002E-4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1.1999999999999999E-3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2.3E-3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3.5000000000000001E-3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4.7000000000000002E-3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5.8999999999999999E-3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5.7000000000000002E-3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5.5999999999999999E-3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8.1100000000000005E-2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8.1600000000000006E-2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5.21E-2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2.2499999999999999E-2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8.6999999999999994E-3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5.0000000000000001E-4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5.9999999999999995E-4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5.9999999999999995E-4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6.9999999999999999E-4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8.0000000000000004E-4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8.9999999999999998E-4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8.9999999999999998E-4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1E-3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8.0000000000000004E-4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5.9999999999999995E-4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5.0000000000000001E-4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1.8100000000000002E-2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1.0500000000000001E-2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3.5999999999999999E-3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37.867800000000003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39.208799999999997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32.988100000000003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26.073399999999999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20.693000000000001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15.664899999999999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11.9513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9.1524000000000001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7.2590000000000003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6.0420999999999996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5.0708000000000002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3.2888999999999999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1.5826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0.86119999999999997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0.14599999999999999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1.4055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2.6979000000000002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57.701300000000003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45.9054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41.3825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35.122500000000002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30.482700000000001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26.3765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23.744399999999999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20.691600000000001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18.4495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16.7971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15.387499999999999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13.9183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12.523199999999999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11.0139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9.5083000000000002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8.5152999999999999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7.5563000000000002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1.6E-2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1.84E-2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9.6000000000000002E-2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1.6243000000000001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3.9308999999999998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4.8526999999999996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5.3372000000000002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6.1692999999999998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6.4574999999999996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6.9622999999999999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6.3254999999999999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5.6856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4.8822000000000001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4.0872999999999999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3.9398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3.7946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5.0500000000000003E-2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5.5800000000000002E-2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5.8500000000000003E-2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6.1899999999999997E-2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7.0300000000000001E-2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7.6999999999999999E-2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7.2099999999999997E-2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6.7000000000000004E-2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5.96E-2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5.7500000000000002E-2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5.5300000000000002E-2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5.3900000000000003E-2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5.2699999999999997E-2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5.0700000000000002E-2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4.8599999999999997E-2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4.5699999999999998E-2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4.2799999999999998E-2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0.1196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0.151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0.18190000000000001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0.20949999999999999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0.22720000000000001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0.2374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0.2167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0.18909999999999999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0.17799999999999999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0.17249999999999999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0.16789999999999999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0.17019999999999999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0.17230000000000001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0.1731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0.1744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0.17649999999999999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0.1789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3.0000000000000001E-3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9.2999999999999992E-3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1.8499999999999999E-2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2.87E-2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3.6900000000000002E-2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4.4499999999999998E-2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4.6100000000000002E-2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4.7300000000000002E-2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4.8300000000000003E-2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4.9299999999999997E-2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4.99E-2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5.0999999999999997E-2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5.2299999999999999E-2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5.3499999999999999E-2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5.4600000000000003E-2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5.5100000000000003E-2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5.5599999999999997E-2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1.2999999999999999E-3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5.7000000000000002E-3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9.9000000000000008E-3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1.15E-2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1.4999999999999999E-2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2.5499999999999998E-2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3.6799999999999999E-2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4.3099999999999999E-2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5.21E-2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5.3600000000000002E-2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5.7099999999999998E-2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5.45E-2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5.1900000000000002E-2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5.0099999999999999E-2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4.8500000000000001E-2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4.7699999999999999E-2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4.6800000000000001E-2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3.3799999999999997E-2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6.9999999999999999E-4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4.0000000000000002E-4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8.1299999999999997E-2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8.14E-2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5.1400000000000001E-2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1.8100000000000002E-2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1.7999999999999999E-2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1.04E-2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3.5999999999999999E-3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38.4739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41.000900000000001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35.074800000000003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15.803900000000001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-9.3853000000000009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-21.3506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-26.008199999999999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-25.2334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-24.0808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-23.819199999999999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-23.642199999999999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-22.222899999999999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-20.799299999999999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-19.832699999999999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-18.873999999999999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-17.207899999999999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-15.528600000000001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58.284500000000001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46.865200000000002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41.871000000000002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32.768599999999999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10.4991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1.3162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-2.4396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-3.3885000000000001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-5.0121000000000002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-5.9123999999999999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-6.8981000000000003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-6.3055000000000003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-5.7092999999999998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-4.9112999999999998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-4.1223999999999998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-3.9994000000000001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-3.8628999999999998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1.61E-2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1.83E-2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5.3999999999999999E-2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0.2797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0.76400000000000001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1.0742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1.1625000000000001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1.2385999999999999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1.2437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1.2806999999999999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1.0951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0.90939999999999999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1.0217000000000001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1.1507000000000001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1.2333000000000001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1.3141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4.9399999999999999E-2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5.5E-2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5.8299999999999998E-2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5.8599999999999999E-2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5.7799999999999997E-2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6.1899999999999997E-2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6.4600000000000005E-2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6.2E-2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5.7099999999999998E-2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5.5899999999999998E-2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5.4600000000000003E-2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5.28E-2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5.1200000000000002E-2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4.8599999999999997E-2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4.5699999999999998E-2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4.36E-2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4.1500000000000002E-2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0.1173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0.1482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0.1794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0.20699999999999999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0.2172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0.2167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0.20080000000000001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0.1782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0.1719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0.16739999999999999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0.1638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0.1663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0.16869999999999999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0.1704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0.17219999999999999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0.1744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0.17660000000000001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3.0000000000000001E-3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1.83E-2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2.7400000000000001E-2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3.3300000000000003E-2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3.7999999999999999E-2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4.2299999999999997E-2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4.4299999999999999E-2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4.5900000000000003E-2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4.7500000000000001E-2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4.8599999999999997E-2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0.05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5.1700000000000003E-2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5.2699999999999997E-2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5.3600000000000002E-2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5.4199999999999998E-2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5.4600000000000003E-2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5.5999999999999999E-3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9.7999999999999997E-3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1.0999999999999999E-2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1.2999999999999999E-2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1.83E-2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2.7E-2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3.27E-2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3.9E-2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3.8399999999999997E-2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3.7999999999999999E-2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3.7900000000000003E-2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3.8199999999999998E-2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3.9600000000000003E-2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4.1700000000000001E-2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4.07E-2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3.9800000000000002E-2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3.3799999999999997E-2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6.9999999999999999E-4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4.0000000000000002E-4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8.0699999999999994E-2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8.09E-2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5.1400000000000001E-2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2.0199999999999999E-2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5.0000000000000001E-4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5.0000000000000001E-4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5.0000000000000001E-4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5.0000000000000001E-4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2.0000000000000001E-4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1.7899999999999999E-2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1.04E-2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37.989600000000003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40.062100000000001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34.0154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18.677700000000002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0.99680000000000002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-8.3405000000000005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-13.6214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-14.152100000000001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-14.050700000000001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-13.9003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-13.7494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-14.2514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-14.7247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-14.8757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-14.961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-12.9948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-11.0138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57.804099999999998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46.332900000000002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41.611899999999999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33.221699999999998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17.978400000000001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10.8117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6.6726999999999999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4.8569000000000004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3.1888000000000001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2.2881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1.3869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1.1580999999999999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0.95689999999999997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0.40310000000000001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-8.72E-2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-0.37159999999999999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-0.64039999999999997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2.98E-2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0.67959999999999998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1.5149999999999999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2.4096000000000002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3.0013000000000001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3.2040999999999999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3.2523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3.3003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3.5057999999999998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3.8496000000000001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3.9872000000000001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4.1296999999999997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4.1844999999999999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4.2518000000000002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4.3567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4.4607999999999999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5.0200000000000002E-2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4.8500000000000001E-2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4.1300000000000003E-2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4.0099999999999997E-2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3.7499999999999999E-2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3.5299999999999998E-2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3.3700000000000001E-2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3.0700000000000002E-2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2.7099999999999999E-2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2.6499999999999999E-2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2.5499999999999998E-2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2.52E-2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2.4899999999999999E-2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2.4799999999999999E-2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2.4299999999999999E-2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2.3900000000000001E-2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0.1207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0.15140000000000001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0.17119999999999999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0.1986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0.2069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0.20200000000000001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0.18790000000000001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0.16220000000000001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0.15279999999999999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0.14779999999999999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0.15229999999999999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0.1565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0.15890000000000001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0.1615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0.16370000000000001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0.16600000000000001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3.3E-3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2.01E-2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3.2300000000000002E-2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3.8300000000000001E-2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0.04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3.7999999999999999E-2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4.2999999999999997E-2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4.41E-2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4.4999999999999998E-2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4.53E-2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4.6100000000000002E-2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4.7100000000000003E-2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4.7899999999999998E-2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4.8800000000000003E-2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4.9000000000000002E-2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4.9099999999999998E-2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4.4999999999999997E-3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7.4000000000000003E-3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8.8999999999999999E-3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1.0500000000000001E-2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1.0200000000000001E-2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1.66E-2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1.7399999999999999E-2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1.8800000000000001E-2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1.8200000000000001E-2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1.78E-2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1.7399999999999999E-2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1.7000000000000001E-2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1.67E-2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1.6400000000000001E-2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3.3300000000000003E-2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5.9999999999999995E-4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8.1199999999999994E-2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7.2300000000000003E-2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7.3000000000000001E-3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2.0000000000000001E-4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1E-4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1.7999999999999999E-2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1.06E-2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3.3999999999999998E-3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38.697200000000002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34.130000000000003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12.2949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-3.0644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-13.684100000000001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-20.8444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-24.4374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-26.257100000000001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-25.589500000000001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-23.135999999999999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-20.8064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-22.011399999999998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-23.206099999999999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-21.8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-20.401299999999999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-21.861799999999999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-23.317699999999999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58.483199999999997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44.369500000000002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25.857600000000001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14.5023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5.7796000000000003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1.2417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6.8000000000000005E-2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-1.0620000000000001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-1.5266999999999999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-2.0952999999999999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-2.7875000000000001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-3.0649999999999999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-3.3319999999999999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-3.4571999999999998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-3.5907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-3.7648000000000001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-3.9344999999999999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2.81E-2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0.23180000000000001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0.67610000000000003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1.2060999999999999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1.3819999999999999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1.5212000000000001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1.6004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1.677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1.6375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1.6445000000000001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1.3006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0.94210000000000005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0.9032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0.86719999999999997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1.0168999999999999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1.1647000000000001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4.9599999999999998E-2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5.6500000000000002E-2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5.8200000000000002E-2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6.2300000000000001E-2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6.5000000000000002E-2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6.6600000000000006E-2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6.4500000000000002E-2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6.13E-2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5.5899999999999998E-2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5.4800000000000001E-2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5.3499999999999999E-2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5.1700000000000003E-2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4.9799999999999997E-2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4.7300000000000002E-2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4.4999999999999998E-2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4.2999999999999997E-2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4.1000000000000002E-2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0.1176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0.15040000000000001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0.18010000000000001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0.21060000000000001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0.2223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0.2142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0.1988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0.17599999999999999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0.1711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0.1673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0.1643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0.16689999999999999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0.16889999999999999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0.17050000000000001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0.17219999999999999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0.1744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0.17680000000000001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3.0000000000000001E-3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9.4000000000000004E-3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1.8599999999999998E-2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2.8299999999999999E-2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3.4099999999999998E-2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3.8100000000000002E-2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4.0899999999999999E-2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4.3299999999999998E-2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4.5600000000000002E-2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4.7399999999999998E-2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4.8800000000000003E-2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5.0099999999999999E-2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5.1299999999999998E-2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5.2200000000000003E-2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5.3100000000000001E-2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5.3699999999999998E-2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5.4199999999999998E-2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9.2999999999999992E-3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1.2699999999999999E-2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1.83E-2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2.7900000000000001E-2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3.5400000000000001E-2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3.9800000000000002E-2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4.4900000000000002E-2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4.3900000000000002E-2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4.3900000000000002E-2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4.3999999999999997E-2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4.4699999999999997E-2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4.48E-2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4.5199999999999997E-2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4.4200000000000003E-2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4.3299999999999998E-2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3.3799999999999997E-2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8.0799999999999997E-2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7.3700000000000002E-2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1.6299999999999999E-2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3.8999999999999998E-3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2.9999999999999997E-4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2.9999999999999997E-4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2.9999999999999997E-4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2.9999999999999997E-4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2.0000000000000001E-4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1.7999999999999999E-2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3.0999999999999999E-3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37.9758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36.290399999999998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24.6755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13.7776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4.5979000000000001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-1.2902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-5.5582000000000003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-6.3038999999999996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-7.0698999999999996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-7.2469999999999999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-7.4351000000000003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-7.8711000000000002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-8.2523999999999997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-8.0358000000000001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-7.7980999999999998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-5.9078999999999997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-4.0073999999999996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57.801400000000001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44.718600000000002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34.679600000000001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24.660299999999999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16.439800000000002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11.130599999999999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7.5240999999999998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5.6696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3.4253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2.298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1.1596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1.0498000000000001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0.99019999999999997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0.93179999999999996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0.89229999999999998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0.61339999999999995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0.34570000000000001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2.9600000000000001E-2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1.1835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3.3973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5.4261999999999997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5.8426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6.0853000000000002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6.0888999999999998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5.9795999999999996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5.6037999999999997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5.4053000000000004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5.1814999999999998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5.0667999999999997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5.2023999999999999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5.3623000000000003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5.4687000000000001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5.5766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5.1499999999999997E-2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5.96E-2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6.1600000000000002E-2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7.3499999999999996E-2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8.5199999999999998E-2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8.4400000000000003E-2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8.0600000000000005E-2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7.7899999999999997E-2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7.3200000000000001E-2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7.17E-2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7.0000000000000007E-2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6.8000000000000005E-2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6.6100000000000006E-2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6.4000000000000001E-2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6.2E-2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5.8500000000000003E-2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5.4899999999999997E-2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0.11890000000000001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0.15090000000000001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0.1802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0.22850000000000001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0.24909999999999999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0.23219999999999999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0.2109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0.18640000000000001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0.18210000000000001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0.17519999999999999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0.16930000000000001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0.17269999999999999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0.17460000000000001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0.1769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0.1794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0.18210000000000001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3.0000000000000001E-3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9.7999999999999997E-3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2.12E-2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3.9100000000000003E-2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5.28E-2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5.7099999999999998E-2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5.8799999999999998E-2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6.0400000000000002E-2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6.2199999999999998E-2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6.3399999999999998E-2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6.4199999999999993E-2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6.5299999999999997E-2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6.6500000000000004E-2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6.7599999999999993E-2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6.8699999999999997E-2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6.9000000000000006E-2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6.9099999999999995E-2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1.2999999999999999E-3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5.4999999999999997E-3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1.2699999999999999E-2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2.2200000000000001E-2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2.9499999999999998E-2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3.6400000000000002E-2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3.9300000000000002E-2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4.02E-2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4.2299999999999997E-2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4.0899999999999999E-2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4.1000000000000002E-2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4.24E-2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4.5400000000000003E-2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4.6100000000000002E-2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4.7E-2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4.6600000000000003E-2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4.6199999999999998E-2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3.3399999999999999E-2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6.9999999999999999E-4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8.09E-2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6.7599999999999993E-2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8.5000000000000006E-3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1.78E-2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38.363999999999997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35.397399999999998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17.465800000000002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-3.0811999999999999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-16.920400000000001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-20.174099999999999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-21.694500000000001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-20.7746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-19.500299999999999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-16.951000000000001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-14.5321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-16.139900000000001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-17.836200000000002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-16.808299999999999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-15.8025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-16.918900000000001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-18.027999999999999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58.177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44.805799999999998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29.697199999999999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13.081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1.1712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-2.3292999999999999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-4.8776999999999999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-5.1802000000000001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-5.4766000000000004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-5.3529999999999998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-5.3597000000000001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-5.2026000000000003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-5.1337999999999999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-5.2857000000000003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-5.5903999999999998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-5.7126999999999999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2.9100000000000001E-2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0.18709999999999999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0.65869999999999995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1.2924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1.7527999999999999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2.0297000000000001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4.9500000000000002E-2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5.6500000000000002E-2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5.74E-2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6.0999999999999999E-2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6.2199999999999998E-2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6.6699999999999995E-2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6.7100000000000007E-2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0.1188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0.15140000000000001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0.18240000000000001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0.21160000000000001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0.2203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0.21990000000000001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0.2069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2.8E-3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8.9999999999999993E-3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1.9300000000000001E-2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3.2300000000000002E-2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4.1799999999999997E-2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4.9000000000000002E-2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5.2999999999999999E-2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5.4999999999999997E-3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9.7000000000000003E-3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1.3599999999999999E-2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1.7399999999999999E-2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2.3800000000000002E-2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2.9600000000000001E-2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3.3599999999999998E-2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5.9999999999999995E-4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8.0799999999999997E-2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7.5399999999999995E-2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2.4899999999999999E-2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7.4999999999999997E-3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2.9999999999999997E-4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2.9999999999999997E-4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1.7999999999999999E-2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0.01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3.0999999999999999E-3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38.077300000000001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36.899299999999997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27.494800000000001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14.8025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4.5260999999999996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-2.4459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-6.7365000000000004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57.899799999999999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45.628399999999999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37.387300000000003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26.488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16.951899999999998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9.9573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5.6033999999999997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1.9099999999999999E-2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2.0899999999999998E-2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2.1600000000000001E-2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2.18E-2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2.2499999999999999E-2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2.3E-2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5.0999999999999997E-2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5.7099999999999998E-2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0.06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6.0299999999999999E-2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5.8700000000000002E-2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5.91E-2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6.0199999999999997E-2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0.12189999999999999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0.15440000000000001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0.184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0.20319999999999999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0.20860000000000001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0.20039999999999999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0.19070000000000001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2.7000000000000001E-3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8.8000000000000005E-3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1.77E-2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2.6700000000000002E-2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3.2099999999999997E-2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3.5999999999999997E-2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3.9300000000000002E-2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5.7000000000000002E-3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9.7999999999999997E-3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1.1900000000000001E-2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1.26E-2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1.5299999999999999E-2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3.44E-2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6.9999999999999999E-4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4.0000000000000002E-4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8.2299999999999998E-2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8.3599999999999994E-2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5.2400000000000002E-2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2.2800000000000001E-2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8.8000000000000005E-3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5.0000000000000001E-4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5.9999999999999995E-4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1.83E-2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1.06E-2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3.5999999999999999E-3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38.559800000000003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39.518999999999998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33.120100000000001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25.717600000000001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20.376100000000001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15.443199999999999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11.395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58.378700000000002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46.235100000000003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41.542700000000004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34.7836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30.1843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26.159700000000001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23.159400000000002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1.89E-2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2.0500000000000001E-2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9.2999999999999999E-2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1.4343999999999999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3.5764999999999998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4.3620000000000001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5.0200000000000002E-2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5.5899999999999998E-2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5.8400000000000001E-2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5.8900000000000001E-2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6.8500000000000005E-2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7.4399999999999994E-2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6.8099999999999994E-2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0.12189999999999999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0.18559999999999999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0.2132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0.2306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0.2414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0.2198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2.5999999999999999E-3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8.6999999999999994E-3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1.7500000000000002E-2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2.8000000000000001E-2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3.6499999999999998E-2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4.4299999999999999E-2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4.5600000000000002E-2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5.7000000000000002E-3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9.7000000000000003E-3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1.15E-2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1.4999999999999999E-2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2.52E-2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3.5999999999999997E-2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3.44E-2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5.9999999999999995E-4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2.9999999999999997E-4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8.2400000000000001E-2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8.3699999999999997E-2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5.2400000000000002E-2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1.8200000000000001E-2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1.84E-2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1.0699999999999999E-2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38.5428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40.247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34.628700000000002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16.402000000000001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-8.6021000000000001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-21.056899999999999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-25.799499999999998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58.3673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46.184899999999999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41.489800000000002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32.881399999999999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10.8775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1.2888999999999999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-2.4491999999999998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1.8499999999999999E-2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2.07E-2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6.25E-2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0.43030000000000002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0.69099999999999995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0.98440000000000005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4.8899999999999999E-2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5.3999999999999999E-2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5.6399999999999999E-2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5.6300000000000003E-2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5.4100000000000002E-2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5.9499999999999997E-2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6.1600000000000002E-2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0.1188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0.15029999999999999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0.18260000000000001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0.21179999999999999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0.22239999999999999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0.22289999999999999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0.2039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2.8999999999999998E-3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8.9999999999999993E-3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1.7999999999999999E-2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2.7099999999999999E-2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3.2800000000000003E-2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3.8199999999999998E-2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4.2700000000000002E-2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5.5999999999999999E-3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9.7999999999999997E-3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1.0999999999999999E-2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1.35E-2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2.1100000000000001E-2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3.0599999999999999E-2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3.3700000000000001E-2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5.9999999999999995E-4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2.9999999999999997E-4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8.0799999999999997E-2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8.1199999999999994E-2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5.1400000000000001E-2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2.0400000000000001E-2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2.9999999999999997E-4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2.9999999999999997E-4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1.7999999999999999E-2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1.0500000000000001E-2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38.073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39.733800000000002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33.896599999999999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18.16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0.4904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-10.0825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-16.452100000000002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57.8919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46.055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41.539099999999998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33.305999999999997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18.851700000000001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10.325699999999999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5.0721999999999996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3.0499999999999999E-2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0.69920000000000004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1.5665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2.5444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3.1707000000000001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3.47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5.2600000000000001E-2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5.1499999999999997E-2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4.4499999999999998E-2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4.3900000000000002E-2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4.19E-2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0.04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3.85E-2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0.12189999999999999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0.1525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0.1711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0.1973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0.2054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0.20130000000000001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0.18809999999999999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3.3999999999999998E-3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1.04E-2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2.0899999999999998E-2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3.3799999999999997E-2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4.1000000000000002E-2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4.3299999999999998E-2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4.24E-2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4.4000000000000003E-3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7.4000000000000003E-3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8.9999999999999993E-3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1.0699999999999999E-2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1.04E-2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1.0699999999999999E-2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3.3399999999999999E-2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8.0000000000000004E-4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8.1100000000000005E-2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7.3200000000000001E-2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8.0999999999999996E-3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1E-4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1.78E-2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1.04E-2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38.802999999999997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34.770099999999999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12.940200000000001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-2.8834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-14.1829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-21.475100000000001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-23.990300000000001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58.5715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44.195799999999998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25.5153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14.2599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5.5267999999999997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0.96350000000000002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-0.51070000000000004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2.8400000000000002E-2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0.28220000000000001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0.80089999999999995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1.3957999999999999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1.5718000000000001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1.7248000000000001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4.9599999999999998E-2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5.67E-2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5.8200000000000002E-2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6.2100000000000002E-2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6.5600000000000006E-2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6.7400000000000002E-2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6.5199999999999994E-2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0.11749999999999999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0.15060000000000001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0.1804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0.2107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0.22470000000000001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0.2165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0.20050000000000001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3.0000000000000001E-3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9.4000000000000004E-3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1.8599999999999998E-2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2.8500000000000001E-2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3.4500000000000003E-2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3.85E-2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4.1399999999999999E-2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9.4000000000000004E-3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1.3100000000000001E-2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1.9E-2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2.86E-2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3.61E-2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3.3700000000000001E-2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8.0799999999999997E-2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7.46E-2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1.6199999999999999E-2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2.9999999999999997E-4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2.9999999999999997E-4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2.9999999999999997E-4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1.7999999999999999E-2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3.0999999999999999E-3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37.9679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36.000300000000003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24.342700000000001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12.9781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3.7065999999999999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-2.0547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-6.0728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57.792999999999999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44.9754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34.933500000000002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24.4815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16.0733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10.8627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7.4763000000000002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2.9499999999999998E-2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1.1978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3.4887999999999999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5.5899000000000001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6.1475999999999997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6.4725999999999999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5.1499999999999997E-2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5.9900000000000002E-2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6.1600000000000002E-2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7.3700000000000002E-2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8.5099999999999995E-2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8.4900000000000003E-2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8.14E-2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0.11890000000000001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0.15110000000000001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0.1802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0.22919999999999999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0.2495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0.2339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0.21160000000000001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3.0000000000000001E-3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9.7999999999999997E-3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2.12E-2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3.9300000000000002E-2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5.2999999999999999E-2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5.7500000000000002E-2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5.9200000000000003E-2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1.2999999999999999E-3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5.4999999999999997E-3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1.2699999999999999E-2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2.24E-2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0.03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3.6700000000000003E-2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3.9600000000000003E-2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3.3399999999999999E-2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6.9999999999999999E-4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8.0799999999999997E-2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6.8400000000000002E-2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8.2000000000000007E-3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1.78E-2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38.369199999999999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35.4313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17.0947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-3.9828999999999999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-17.503399999999999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-21.157800000000002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-22.0932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58.182299999999998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44.892200000000003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29.648700000000002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12.798500000000001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1.0492999999999999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-2.7240000000000002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-4.6288999999999998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2025-09-13T03:52:58Z</dcterms:modified>
</cp:coreProperties>
</file>