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\SubRES_Tmpl\"/>
    </mc:Choice>
  </mc:AlternateContent>
  <xr:revisionPtr revIDLastSave="0" documentId="8_{35517338-6472-4038-8D23-711EFC6DD659}" xr6:coauthVersionLast="47" xr6:coauthVersionMax="47" xr10:uidLastSave="{00000000-0000-0000-0000-000000000000}"/>
  <bookViews>
    <workbookView xWindow="-98" yWindow="-98" windowWidth="28996" windowHeight="17475" firstSheet="6" activeTab="6" xr2:uid="{00000000-000D-0000-FFFF-FFFF00000000}"/>
  </bookViews>
  <sheets>
    <sheet name="misc" sheetId="7" r:id="rId1"/>
    <sheet name="ELC_Storage" sheetId="9" r:id="rId2"/>
    <sheet name="EV Battery" sheetId="10" r:id="rId3"/>
    <sheet name="H2 prod" sheetId="11" r:id="rId4"/>
    <sheet name="solar" sheetId="12" r:id="rId5"/>
    <sheet name="wind" sheetId="13" r:id="rId6"/>
    <sheet name="conventional" sheetId="14" r:id="rId7"/>
  </sheets>
  <externalReferences>
    <externalReference r:id="rId8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<sst xmlns="http://schemas.openxmlformats.org/spreadsheetml/2006/main" count="1284" uniqueCount="389">
  <si>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</si>
  <si>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</si>
  <si>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</si>
  <si>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</si>
  <si>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</si>
  <si>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</si>
  <si>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</si>
  <si>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</si>
  <si>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</si>
  <si>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</si>
  <si>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</si>
  <si>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</si>
  <si>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</si>
  <si>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</si>
  <si>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</si>
  <si>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</si>
  <si>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</si>
  <si>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</si>
  <si>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</si>
  <si>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</si>
  <si>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</si>
  <si>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</si>
  <si>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</si>
  <si>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</si>
  <si>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</si>
  <si>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</si>
  <si>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</si>
  <si>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</si>
  <si>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</si>
  <si>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</si>
  <si>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</si>
  <si>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</si>
  <si>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</si>
  <si>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</si>
  <si>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</si>
  <si>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</si>
  <si>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</si>
  <si>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</si>
  <si>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</si>
  <si>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</si>
  <si>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</si>
  <si>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</si>
  <si>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</si>
  <si>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</si>
  <si>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</si>
  <si>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</si>
  <si>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</si>
  <si>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</si>
  <si>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</si>
  <si>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</si>
  <si>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</si>
  <si>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</si>
  <si>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</si>
  <si>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</si>
  <si>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</si>
  <si>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</si>
  <si>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</si>
  <si>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</si>
  <si>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</si>
  <si>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</si>
  <si>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</si>
  <si>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</si>
  <si>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</si>
  <si>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</si>
  <si>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</si>
  <si>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</si>
  <si>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</si>
  <si>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</si>
  <si>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</si>
  <si>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</si>
  <si>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</si>
  <si>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</si>
  <si>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</si>
  <si>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</si>
  <si>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</si>
  <si>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</si>
  <si>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</si>
  <si>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</si>
  <si>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</si>
  <si>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</si>
  <si>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</si>
  <si>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</si>
  <si>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</si>
  <si>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</si>
  <si>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</si>
  <si>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</si>
  <si>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</si>
  <si>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</si>
  <si>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</si>
  <si>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</si>
  <si>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</si>
  <si>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</si>
  <si>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</si>
  <si>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</si>
  <si>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</si>
  <si>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</si>
  <si>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</si>
  <si>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</si>
  <si>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</si>
  <si>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</si>
  <si>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</si>
  <si>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</si>
  <si>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</si>
  <si>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</si>
  <si>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</si>
  <si>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</si>
  <si>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</si>
  <si>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</si>
  <si>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</si>
  <si>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</si>
  <si>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</si>
  <si>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</si>
  <si>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</si>
  <si>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</si>
  <si>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</si>
  <si>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</si>
  <si>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</si>
  <si>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</si>
  <si>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</si>
  <si>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</si>
  <si>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</si>
  <si>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</si>
  <si>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</si>
  <si>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</si>
  <si>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</si>
  <si>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</si>
  <si>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</si>
  <si>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</si>
  <si>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</si>
  <si>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</si>
  <si>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</si>
  <si>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</si>
  <si>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</si>
  <si>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</si>
  <si>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</si>
  <si>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</si>
  <si>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</si>
  <si>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</si>
  <si>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</si>
  <si>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</si>
  <si>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</si>
  <si>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</si>
  <si>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</si>
  <si>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</si>
  <si>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</si>
  <si>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</si>
  <si>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</si>
  <si>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</si>
  <si>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</si>
  <si>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</si>
  <si>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</si>
  <si>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</si>
  <si>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</si>
  <si>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</si>
  <si>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</si>
  <si>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</si>
  <si>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</si>
  <si>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</si>
  <si>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</si>
  <si>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</si>
  <si>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</si>
  <si>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</si>
  <si>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</si>
  <si>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</si>
  <si>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</si>
  <si>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</si>
  <si>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</si>
  <si>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</si>
  <si>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</si>
  <si>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</si>
  <si>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</si>
  <si>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</si>
  <si>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e_spv_001</t>
  </si>
  <si>
    <t>solar resource in cluster 1</t>
  </si>
  <si>
    <t>annual</t>
  </si>
  <si>
    <t>no</t>
  </si>
  <si>
    <t>e_spv_002</t>
  </si>
  <si>
    <t>solar resource in cluster 2</t>
  </si>
  <si>
    <t>e_spv_003</t>
  </si>
  <si>
    <t>solar resource in cluster 3</t>
  </si>
  <si>
    <t>e_spv_004</t>
  </si>
  <si>
    <t>solar resource in cluster 4</t>
  </si>
  <si>
    <t>e_spv_005</t>
  </si>
  <si>
    <t>solar resource in cluster 5</t>
  </si>
  <si>
    <t>e_spv_006</t>
  </si>
  <si>
    <t>solar resource in cluster 6</t>
  </si>
  <si>
    <t>e_spv_007</t>
  </si>
  <si>
    <t>solar resource in cluster 7</t>
  </si>
  <si>
    <t>e_spv_008</t>
  </si>
  <si>
    <t>solar resource in cluster 8</t>
  </si>
  <si>
    <t>e_spv_009</t>
  </si>
  <si>
    <t>solar resource in cluster 9</t>
  </si>
  <si>
    <t>e_spv_010</t>
  </si>
  <si>
    <t>solar resource in cluster 10</t>
  </si>
  <si>
    <t>e_spv_011</t>
  </si>
  <si>
    <t>solar resource in cluster 11</t>
  </si>
  <si>
    <t>e_spv_012</t>
  </si>
  <si>
    <t>solar resource in cluster 12</t>
  </si>
  <si>
    <t>e_spv_013</t>
  </si>
  <si>
    <t>solar resource in cluster 13</t>
  </si>
  <si>
    <t>e_spv_014</t>
  </si>
  <si>
    <t>solar resource in cluster 14</t>
  </si>
  <si>
    <t>e_spv_015</t>
  </si>
  <si>
    <t>solar resource in cluster 15</t>
  </si>
  <si>
    <t>e_spv_016</t>
  </si>
  <si>
    <t>solar resource in cluster 16</t>
  </si>
  <si>
    <t>e_spv_017</t>
  </si>
  <si>
    <t>solar resource in cluster 17</t>
  </si>
  <si>
    <t>e_spv_018</t>
  </si>
  <si>
    <t>solar resource in cluster 18</t>
  </si>
  <si>
    <t>e_spv_019</t>
  </si>
  <si>
    <t>solar resource in cluster 19</t>
  </si>
  <si>
    <t>e_spv_020</t>
  </si>
  <si>
    <t>solar resource in cluster 20</t>
  </si>
  <si>
    <t>e_spv_021</t>
  </si>
  <si>
    <t>solar resource in cluster 21</t>
  </si>
  <si>
    <t>e_spv_022</t>
  </si>
  <si>
    <t>solar resource in cluster 22</t>
  </si>
  <si>
    <t>e_spv_023</t>
  </si>
  <si>
    <t>solar resource in cluster 23</t>
  </si>
  <si>
    <t>e_spv_024</t>
  </si>
  <si>
    <t>solar resource in cluster 24</t>
  </si>
  <si>
    <t>~fi_t</t>
  </si>
  <si>
    <t>comm-out</t>
  </si>
  <si>
    <t>cap_bnd</t>
  </si>
  <si>
    <t>af~fx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</si>
  <si>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</si>
  <si>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</si>
  <si>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</si>
  <si>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</si>
  <si>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</si>
  <si>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</si>
  <si>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</si>
  <si>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</si>
  <si>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</si>
  <si>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</si>
  <si>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</si>
  <si>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</si>
  <si>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</si>
  <si>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</si>
  <si>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</si>
  <si>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</si>
  <si>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</si>
  <si>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</si>
  <si>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</si>
  <si>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</si>
  <si>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</si>
  <si>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</si>
  <si>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</si>
  <si>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</si>
  <si>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e_won_001</t>
  </si>
  <si>
    <t>wind resource in cluster 1</t>
  </si>
  <si>
    <t>e_won_002</t>
  </si>
  <si>
    <t>wind resource in cluster 2</t>
  </si>
  <si>
    <t>e_won_003</t>
  </si>
  <si>
    <t>wind resource in cluster 3</t>
  </si>
  <si>
    <t>e_won_004</t>
  </si>
  <si>
    <t>wind resource in cluster 4</t>
  </si>
  <si>
    <t>e_won_005</t>
  </si>
  <si>
    <t>wind resource in cluster 5</t>
  </si>
  <si>
    <t>e_won_006</t>
  </si>
  <si>
    <t>wind resource in cluster 6</t>
  </si>
  <si>
    <t>e_won_007</t>
  </si>
  <si>
    <t>wind resource in cluster 7</t>
  </si>
  <si>
    <t>e_won_008</t>
  </si>
  <si>
    <t>wind resource in cluster 8</t>
  </si>
  <si>
    <t>e_won_009</t>
  </si>
  <si>
    <t>wind resource in cluster 9</t>
  </si>
  <si>
    <t>e_won_010</t>
  </si>
  <si>
    <t>wind resource in cluster 10</t>
  </si>
  <si>
    <t>e_won_011</t>
  </si>
  <si>
    <t>wind resource in cluster 11</t>
  </si>
  <si>
    <t>e_won_012</t>
  </si>
  <si>
    <t>wind resource in cluster 12</t>
  </si>
  <si>
    <t>e_won_013</t>
  </si>
  <si>
    <t>wind resource in cluster 13</t>
  </si>
  <si>
    <t>e_won_014</t>
  </si>
  <si>
    <t>wind resource in cluster 14</t>
  </si>
  <si>
    <t>e_won_015</t>
  </si>
  <si>
    <t>wind resource in cluster 15</t>
  </si>
  <si>
    <t>e_won_016</t>
  </si>
  <si>
    <t>wind resource in cluster 16</t>
  </si>
  <si>
    <t>e_won_017</t>
  </si>
  <si>
    <t>wind resource in cluster 17</t>
  </si>
  <si>
    <t>e_won_018</t>
  </si>
  <si>
    <t>wind resource in cluster 18</t>
  </si>
  <si>
    <t>e_won_019</t>
  </si>
  <si>
    <t>wind resource in cluster 19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</si>
  <si>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</si>
  <si>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</si>
  <si>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</si>
  <si>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</si>
  <si>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</si>
  <si>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</si>
  <si>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</si>
  <si>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</si>
  <si>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</si>
  <si>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</si>
  <si>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</si>
  <si>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</si>
  <si>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</si>
  <si>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</si>
  <si>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</si>
  <si>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elc_won_016</t>
  </si>
  <si>
    <t>elc_won_017</t>
  </si>
  <si>
    <t>elc_won_018</t>
  </si>
  <si>
    <t>elc_won_019</t>
  </si>
  <si>
    <t>e_wof_001</t>
  </si>
  <si>
    <t>wind offshore resource in cluster 1</t>
  </si>
  <si>
    <t>e_wof_002</t>
  </si>
  <si>
    <t>wind offshore resource in cluster 2</t>
  </si>
  <si>
    <t>e_wof_003</t>
  </si>
  <si>
    <t>wind offshore resource in cluster 3</t>
  </si>
  <si>
    <t>e_wof_004</t>
  </si>
  <si>
    <t>wind offshore resource in cluster 4</t>
  </si>
  <si>
    <t>e_wof_005</t>
  </si>
  <si>
    <t>wind offshore resource in cluster 5</t>
  </si>
  <si>
    <t>e_wof_006</t>
  </si>
  <si>
    <t>wind offshore resource in cluster 6</t>
  </si>
  <si>
    <t>e_wof_007</t>
  </si>
  <si>
    <t>wind offshore resource in cluster 7</t>
  </si>
  <si>
    <t>e_wof_008</t>
  </si>
  <si>
    <t>wind offshore resource in cluster 8</t>
  </si>
  <si>
    <t>e_wof_009</t>
  </si>
  <si>
    <t>wind offshore resource in cluster 9</t>
  </si>
  <si>
    <t>e_wof_010</t>
  </si>
  <si>
    <t>wind offshore resource in cluster 10</t>
  </si>
  <si>
    <t>e_wof_011</t>
  </si>
  <si>
    <t>wind offshore resource in cluster 11</t>
  </si>
  <si>
    <t>e_wof_012</t>
  </si>
  <si>
    <t>wind offshore resource in cluster 12</t>
  </si>
  <si>
    <t>e_wof_013</t>
  </si>
  <si>
    <t>wind offshore resource in cluster 13</t>
  </si>
  <si>
    <t>e_wof_014</t>
  </si>
  <si>
    <t>wind offshore resource in cluster 14</t>
  </si>
  <si>
    <t>e_wof_015</t>
  </si>
  <si>
    <t>wind offshore resource in cluster 15</t>
  </si>
  <si>
    <t>e_wof_016</t>
  </si>
  <si>
    <t>wind offshore resource in cluster 16</t>
  </si>
  <si>
    <t>e_wof_017</t>
  </si>
  <si>
    <t>wind offshore resource in cluster 17</t>
  </si>
  <si>
    <t>e_wof_018</t>
  </si>
  <si>
    <t>wind offshore resource in cluster 18</t>
  </si>
  <si>
    <t>e_wof_019</t>
  </si>
  <si>
    <t>wind offshore resource in cluster 19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</si>
  <si>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</si>
  <si>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</si>
  <si>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</si>
  <si>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</si>
  <si>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</si>
  <si>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</si>
  <si>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</si>
  <si>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</si>
  <si>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</si>
  <si>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</si>
  <si>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elc_wof_011</t>
  </si>
  <si>
    <t>elc_wof_012</t>
  </si>
  <si>
    <t>elc_wof_013</t>
  </si>
  <si>
    <t>elc_wof_014</t>
  </si>
  <si>
    <t>elc_wof_015</t>
  </si>
  <si>
    <t>elc_wof_016</t>
  </si>
  <si>
    <t>elc_wof_017</t>
  </si>
  <si>
    <t>elc_wof_018</t>
  </si>
  <si>
    <t>elc_wof_019</t>
  </si>
  <si>
    <t>comm-in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</si>
  <si>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</si>
  <si>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</si>
  <si>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</si>
  <si>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</si>
  <si>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</si>
  <si>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</si>
  <si>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</si>
  <si>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</si>
  <si>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</si>
  <si>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</si>
  <si>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</si>
  <si>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</si>
  <si>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</si>
  <si>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</si>
  <si>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</si>
  <si>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</si>
  <si>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</si>
  <si>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</si>
  <si>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</si>
  <si>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</si>
  <si>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</si>
  <si>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</si>
  <si>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daynite</t>
  </si>
  <si>
    <t>yes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</si>
</sst>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workbookViewId="0">
      <selection activeCell="G9" sqref="G9"/>
    </sheetView>
  </sheetViews>
  <sheetFormatPr defaultRowHeight="14.25"/>
  <cols>
    <col min="2" max="2" width="10.1328125" bestFit="1" customWidth="1"/>
    <col min="3" max="3" width="17.9296875" bestFit="1" customWidth="1"/>
    <col min="4" max="4" width="8.06640625" bestFit="1" customWidth="1"/>
    <col min="5" max="5" width="4.3984375" bestFit="1" customWidth="1"/>
    <col min="6" max="6" width="4.59765625" bestFit="1" customWidth="1"/>
    <col min="7" max="7" width="7.59765625" bestFit="1" customWidth="1"/>
    <col min="10" max="10" width="17.9296875" bestFit="1" customWidth="1"/>
    <col min="11" max="11" width="8.1328125" bestFit="1" customWidth="1"/>
    <col min="12" max="12" width="32.19921875" bestFit="1" customWidth="1"/>
    <col min="13" max="13" width="3.3984375" bestFit="1" customWidth="1"/>
    <col min="14" max="14" width="7.73046875" bestFit="1" customWidth="1"/>
    <col min="15" max="15" width="6.9296875" bestFit="1" customWidth="1"/>
    <col min="17" max="17" width="3.73046875" bestFit="1" customWidth="1"/>
    <col min="22" max="22" width="4.265625" bestFit="1" customWidth="1"/>
  </cols>
  <sheetData>
    <row r="2" spans="2:22" ht="14.65" thickBot="1">
      <c r="B2" s="2" t="s">
        <v>0</v>
      </c>
      <c r="L2" s="2" t="s">
        <v>102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30</v>
      </c>
      <c r="P3" s="1">
        <v>2022</v>
      </c>
      <c r="Q3" s="1">
        <v>0</v>
      </c>
      <c r="R3" t="s">
        <v>101</v>
      </c>
      <c r="S3" t="s">
        <v>105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104</v>
      </c>
      <c r="D6" s="1" t="s">
        <v>106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22</v>
      </c>
      <c r="M6" s="1">
        <v>1</v>
      </c>
      <c r="N6" s="1">
        <v>8.76</v>
      </c>
      <c r="O6" s="1"/>
      <c r="P6" s="1"/>
      <c r="Q6" s="1"/>
      <c r="V6" t="s">
        <v>100</v>
      </c>
    </row>
    <row r="7" spans="2:22">
      <c r="B7" t="s">
        <v>20</v>
      </c>
      <c r="C7" t="s">
        <v>147</v>
      </c>
      <c r="D7" s="1" t="s">
        <v>148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35</v>
      </c>
      <c r="L7" t="s">
        <v>149</v>
      </c>
      <c r="M7" s="1">
        <v>1</v>
      </c>
      <c r="N7" s="1">
        <v>8.76</v>
      </c>
      <c r="O7" s="1"/>
      <c r="P7" s="1"/>
      <c r="Q7" s="1"/>
    </row>
    <row r="8" spans="2:22">
      <c r="B8" t="s">
        <v>29</v>
      </c>
      <c r="C8" t="s">
        <v>98</v>
      </c>
      <c r="D8" s="1"/>
      <c r="E8" s="1" t="s">
        <v>21</v>
      </c>
      <c r="F8" t="s">
        <v>10</v>
      </c>
      <c r="G8" t="s">
        <v>14</v>
      </c>
      <c r="H8" s="1"/>
      <c r="I8" s="1"/>
      <c r="J8" s="1" t="str">
        <f>C10</f>
        <v>fossil_supply</v>
      </c>
      <c r="K8" s="1"/>
      <c r="L8" s="1" t="s">
        <v>32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97</v>
      </c>
      <c r="C9" t="s">
        <v>99</v>
      </c>
      <c r="D9" s="1"/>
      <c r="E9" s="1" t="s">
        <v>21</v>
      </c>
      <c r="F9" t="s">
        <v>10</v>
      </c>
      <c r="G9" t="s">
        <v>14</v>
      </c>
      <c r="H9" s="1"/>
      <c r="I9" s="1"/>
      <c r="K9" s="1"/>
      <c r="L9" s="1" t="s">
        <v>33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29</v>
      </c>
      <c r="C10" s="1" t="s">
        <v>152</v>
      </c>
      <c r="D10" s="1" t="s">
        <v>107</v>
      </c>
      <c r="E10" s="1" t="s">
        <v>21</v>
      </c>
      <c r="F10" t="s">
        <v>10</v>
      </c>
      <c r="G10" s="1"/>
      <c r="H10" s="1"/>
      <c r="I10" s="1"/>
      <c r="K10" s="1"/>
      <c r="L10" s="1" t="s">
        <v>37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29</v>
      </c>
      <c r="C11" s="1" t="s">
        <v>154</v>
      </c>
      <c r="D11" s="1" t="s">
        <v>153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34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29</v>
      </c>
      <c r="C12" s="1" t="s">
        <v>155</v>
      </c>
      <c r="D12" s="1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28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29</v>
      </c>
      <c r="C13" s="1" t="s">
        <v>157</v>
      </c>
      <c r="D13" s="1" t="s">
        <v>160</v>
      </c>
      <c r="E13" s="1" t="s">
        <v>21</v>
      </c>
      <c r="F13" t="s">
        <v>10</v>
      </c>
      <c r="G13" s="1"/>
      <c r="H13" s="1"/>
      <c r="I13" s="1"/>
      <c r="L13" s="1" t="s">
        <v>31</v>
      </c>
      <c r="M13" s="1"/>
      <c r="N13" s="1"/>
      <c r="O13" s="1">
        <f>V13*3.6</f>
        <v>25.2</v>
      </c>
      <c r="P13" s="1"/>
      <c r="V13" s="1">
        <v>7</v>
      </c>
    </row>
    <row r="14" spans="2:22">
      <c r="B14" s="1" t="s">
        <v>29</v>
      </c>
      <c r="C14" t="s">
        <v>158</v>
      </c>
      <c r="D14" t="s">
        <v>161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36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29</v>
      </c>
      <c r="C15" t="s">
        <v>159</v>
      </c>
      <c r="D15" t="s">
        <v>162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27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150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151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H23" sqref="H23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7" t="s">
        <v>109</v>
      </c>
      <c r="D1" s="147"/>
      <c r="E1" s="147"/>
      <c r="F1" s="148" t="s">
        <v>110</v>
      </c>
      <c r="G1" s="147"/>
      <c r="H1" s="149"/>
      <c r="I1" s="147" t="s">
        <v>111</v>
      </c>
      <c r="J1" s="147"/>
      <c r="K1" s="147"/>
      <c r="L1" s="147"/>
      <c r="M1" s="147"/>
      <c r="N1" s="147"/>
      <c r="O1" s="150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1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1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2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3CDBC0-95C5-41EB-9AE4-5238EDBB71EC}">
  <dimension ref="B9:M34"/>
  <sheetViews>
    <sheetView workbookViewId="0"/>
  </sheetViews>
  <sheetFormatPr defaultRowHeight="14.25"/>
  <sheetData>
    <row r="9" spans="2:13">
      <c r="B9" t="s">
        <v>163</v>
      </c>
      <c r="J9" t="s">
        <v>222</v>
      </c>
    </row>
    <row r="10" spans="2:13">
      <c r="B10" t="s">
        <v>164</v>
      </c>
      <c r="C10" t="s">
        <v>165</v>
      </c>
      <c r="D10" t="s">
        <v>166</v>
      </c>
      <c r="E10" t="s">
        <v>167</v>
      </c>
      <c r="F10" t="s">
        <v>168</v>
      </c>
      <c r="G10" t="s">
        <v>169</v>
      </c>
      <c r="H10" t="s">
        <v>170</v>
      </c>
      <c r="J10" t="s">
        <v>165</v>
      </c>
      <c r="K10" t="s">
        <v>223</v>
      </c>
      <c r="L10" t="s">
        <v>224</v>
      </c>
      <c r="M10" t="s">
        <v>225</v>
      </c>
    </row>
    <row r="11" spans="2:13">
      <c r="B11" t="s">
        <v>171</v>
      </c>
      <c r="C11" t="s">
        <v>172</v>
      </c>
      <c r="D11" t="s">
        <v>173</v>
      </c>
      <c r="E11" t="s">
        <v>10</v>
      </c>
      <c r="F11" t="s">
        <v>21</v>
      </c>
      <c r="G11" t="s">
        <v>174</v>
      </c>
      <c r="H11" t="s">
        <v>175</v>
      </c>
      <c r="J11" t="s">
        <v>172</v>
      </c>
      <c r="K11" t="s">
        <v>226</v>
      </c>
      <c r="L11">
        <v>4.8756887454995406</v>
      </c>
      <c r="M11">
        <v>0.1756225545149005</v>
      </c>
    </row>
    <row r="12" spans="2:13">
      <c r="B12" t="s">
        <v>171</v>
      </c>
      <c r="C12" t="s">
        <v>176</v>
      </c>
      <c r="D12" t="s">
        <v>177</v>
      </c>
      <c r="E12" t="s">
        <v>10</v>
      </c>
      <c r="F12" t="s">
        <v>21</v>
      </c>
      <c r="G12" t="s">
        <v>174</v>
      </c>
      <c r="H12" t="s">
        <v>175</v>
      </c>
      <c r="J12" t="s">
        <v>176</v>
      </c>
      <c r="K12" t="s">
        <v>227</v>
      </c>
      <c r="L12">
        <v>24.363080093927088</v>
      </c>
      <c r="M12">
        <v>0.17439201708463409</v>
      </c>
    </row>
    <row r="13" spans="2:13">
      <c r="B13" t="s">
        <v>171</v>
      </c>
      <c r="C13" t="s">
        <v>178</v>
      </c>
      <c r="D13" t="s">
        <v>179</v>
      </c>
      <c r="E13" t="s">
        <v>10</v>
      </c>
      <c r="F13" t="s">
        <v>21</v>
      </c>
      <c r="G13" t="s">
        <v>174</v>
      </c>
      <c r="H13" t="s">
        <v>175</v>
      </c>
      <c r="J13" t="s">
        <v>178</v>
      </c>
      <c r="K13" t="s">
        <v>228</v>
      </c>
      <c r="L13">
        <v>0.11523048421685045</v>
      </c>
      <c r="M13">
        <v>0.1996650099318526</v>
      </c>
    </row>
    <row r="14" spans="2:13">
      <c r="B14" t="s">
        <v>171</v>
      </c>
      <c r="C14" t="s">
        <v>180</v>
      </c>
      <c r="D14" t="s">
        <v>181</v>
      </c>
      <c r="E14" t="s">
        <v>10</v>
      </c>
      <c r="F14" t="s">
        <v>21</v>
      </c>
      <c r="G14" t="s">
        <v>174</v>
      </c>
      <c r="H14" t="s">
        <v>175</v>
      </c>
      <c r="J14" t="s">
        <v>180</v>
      </c>
      <c r="K14" t="s">
        <v>229</v>
      </c>
      <c r="L14">
        <v>12.370290287147224</v>
      </c>
      <c r="M14">
        <v>0.18126392882323519</v>
      </c>
    </row>
    <row r="15" spans="2:13">
      <c r="B15" t="s">
        <v>171</v>
      </c>
      <c r="C15" t="s">
        <v>182</v>
      </c>
      <c r="D15" t="s">
        <v>183</v>
      </c>
      <c r="E15" t="s">
        <v>10</v>
      </c>
      <c r="F15" t="s">
        <v>21</v>
      </c>
      <c r="G15" t="s">
        <v>174</v>
      </c>
      <c r="H15" t="s">
        <v>175</v>
      </c>
      <c r="J15" t="s">
        <v>182</v>
      </c>
      <c r="K15" t="s">
        <v>230</v>
      </c>
      <c r="L15">
        <v>9.4040580871581625E-2</v>
      </c>
      <c r="M15">
        <v>0.19212286855127089</v>
      </c>
    </row>
    <row r="16" spans="2:13">
      <c r="B16" t="s">
        <v>171</v>
      </c>
      <c r="C16" t="s">
        <v>184</v>
      </c>
      <c r="D16" t="s">
        <v>185</v>
      </c>
      <c r="E16" t="s">
        <v>10</v>
      </c>
      <c r="F16" t="s">
        <v>21</v>
      </c>
      <c r="G16" t="s">
        <v>174</v>
      </c>
      <c r="H16" t="s">
        <v>175</v>
      </c>
      <c r="J16" t="s">
        <v>184</v>
      </c>
      <c r="K16" t="s">
        <v>231</v>
      </c>
      <c r="L16">
        <v>5.8282611827233533</v>
      </c>
      <c r="M16">
        <v>0.17165669241936479</v>
      </c>
    </row>
    <row r="17" spans="2:13">
      <c r="B17" t="s">
        <v>171</v>
      </c>
      <c r="C17" t="s">
        <v>186</v>
      </c>
      <c r="D17" t="s">
        <v>187</v>
      </c>
      <c r="E17" t="s">
        <v>10</v>
      </c>
      <c r="F17" t="s">
        <v>21</v>
      </c>
      <c r="G17" t="s">
        <v>174</v>
      </c>
      <c r="H17" t="s">
        <v>175</v>
      </c>
      <c r="J17" t="s">
        <v>186</v>
      </c>
      <c r="K17" t="s">
        <v>232</v>
      </c>
      <c r="L17">
        <v>44.98318285576746</v>
      </c>
      <c r="M17">
        <v>0.17485655135029499</v>
      </c>
    </row>
    <row r="18" spans="2:13">
      <c r="B18" t="s">
        <v>171</v>
      </c>
      <c r="C18" t="s">
        <v>188</v>
      </c>
      <c r="D18" t="s">
        <v>189</v>
      </c>
      <c r="E18" t="s">
        <v>10</v>
      </c>
      <c r="F18" t="s">
        <v>21</v>
      </c>
      <c r="G18" t="s">
        <v>174</v>
      </c>
      <c r="H18" t="s">
        <v>175</v>
      </c>
      <c r="J18" t="s">
        <v>188</v>
      </c>
      <c r="K18" t="s">
        <v>233</v>
      </c>
      <c r="L18">
        <v>2.7793460957217331</v>
      </c>
      <c r="M18">
        <v>0.20444896422767969</v>
      </c>
    </row>
    <row r="19" spans="2:13">
      <c r="B19" t="s">
        <v>171</v>
      </c>
      <c r="C19" t="s">
        <v>190</v>
      </c>
      <c r="D19" t="s">
        <v>191</v>
      </c>
      <c r="E19" t="s">
        <v>10</v>
      </c>
      <c r="F19" t="s">
        <v>21</v>
      </c>
      <c r="G19" t="s">
        <v>174</v>
      </c>
      <c r="H19" t="s">
        <v>175</v>
      </c>
      <c r="J19" t="s">
        <v>190</v>
      </c>
      <c r="K19" t="s">
        <v>234</v>
      </c>
      <c r="L19">
        <v>6.641615412118532</v>
      </c>
      <c r="M19">
        <v>0.18991504627852859</v>
      </c>
    </row>
    <row r="20" spans="2:13">
      <c r="B20" t="s">
        <v>171</v>
      </c>
      <c r="C20" t="s">
        <v>192</v>
      </c>
      <c r="D20" t="s">
        <v>193</v>
      </c>
      <c r="E20" t="s">
        <v>10</v>
      </c>
      <c r="F20" t="s">
        <v>21</v>
      </c>
      <c r="G20" t="s">
        <v>174</v>
      </c>
      <c r="H20" t="s">
        <v>175</v>
      </c>
      <c r="J20" t="s">
        <v>192</v>
      </c>
      <c r="K20" t="s">
        <v>235</v>
      </c>
      <c r="L20">
        <v>10.705533259062522</v>
      </c>
      <c r="M20">
        <v>0.2158318597825894</v>
      </c>
    </row>
    <row r="21" spans="2:13">
      <c r="B21" t="s">
        <v>171</v>
      </c>
      <c r="C21" t="s">
        <v>194</v>
      </c>
      <c r="D21" t="s">
        <v>195</v>
      </c>
      <c r="E21" t="s">
        <v>10</v>
      </c>
      <c r="F21" t="s">
        <v>21</v>
      </c>
      <c r="G21" t="s">
        <v>174</v>
      </c>
      <c r="H21" t="s">
        <v>175</v>
      </c>
      <c r="J21" t="s">
        <v>194</v>
      </c>
      <c r="K21" t="s">
        <v>236</v>
      </c>
      <c r="L21">
        <v>7.8151942553314413</v>
      </c>
      <c r="M21">
        <v>0.22224125569484449</v>
      </c>
    </row>
    <row r="22" spans="2:13">
      <c r="B22" t="s">
        <v>171</v>
      </c>
      <c r="C22" t="s">
        <v>196</v>
      </c>
      <c r="D22" t="s">
        <v>197</v>
      </c>
      <c r="E22" t="s">
        <v>10</v>
      </c>
      <c r="F22" t="s">
        <v>21</v>
      </c>
      <c r="G22" t="s">
        <v>174</v>
      </c>
      <c r="H22" t="s">
        <v>175</v>
      </c>
      <c r="J22" t="s">
        <v>196</v>
      </c>
      <c r="K22" t="s">
        <v>237</v>
      </c>
      <c r="L22">
        <v>3.787245058440587</v>
      </c>
      <c r="M22">
        <v>0.22722132350830879</v>
      </c>
    </row>
    <row r="23" spans="2:13">
      <c r="B23" t="s">
        <v>171</v>
      </c>
      <c r="C23" t="s">
        <v>198</v>
      </c>
      <c r="D23" t="s">
        <v>199</v>
      </c>
      <c r="E23" t="s">
        <v>10</v>
      </c>
      <c r="F23" t="s">
        <v>21</v>
      </c>
      <c r="G23" t="s">
        <v>174</v>
      </c>
      <c r="H23" t="s">
        <v>175</v>
      </c>
      <c r="J23" t="s">
        <v>198</v>
      </c>
      <c r="K23" t="s">
        <v>238</v>
      </c>
      <c r="L23">
        <v>11.035354442158566</v>
      </c>
      <c r="M23">
        <v>0.22966322614931231</v>
      </c>
    </row>
    <row r="24" spans="2:13">
      <c r="B24" t="s">
        <v>171</v>
      </c>
      <c r="C24" t="s">
        <v>200</v>
      </c>
      <c r="D24" t="s">
        <v>201</v>
      </c>
      <c r="E24" t="s">
        <v>10</v>
      </c>
      <c r="F24" t="s">
        <v>21</v>
      </c>
      <c r="G24" t="s">
        <v>174</v>
      </c>
      <c r="H24" t="s">
        <v>175</v>
      </c>
      <c r="J24" t="s">
        <v>200</v>
      </c>
      <c r="K24" t="s">
        <v>239</v>
      </c>
      <c r="L24">
        <v>5.7113903390121514</v>
      </c>
      <c r="M24">
        <v>0.2211131353656578</v>
      </c>
    </row>
    <row r="25" spans="2:13">
      <c r="B25" t="s">
        <v>171</v>
      </c>
      <c r="C25" t="s">
        <v>202</v>
      </c>
      <c r="D25" t="s">
        <v>203</v>
      </c>
      <c r="E25" t="s">
        <v>10</v>
      </c>
      <c r="F25" t="s">
        <v>21</v>
      </c>
      <c r="G25" t="s">
        <v>174</v>
      </c>
      <c r="H25" t="s">
        <v>175</v>
      </c>
      <c r="J25" t="s">
        <v>202</v>
      </c>
      <c r="K25" t="s">
        <v>240</v>
      </c>
      <c r="L25">
        <v>9.0662172460897033</v>
      </c>
      <c r="M25">
        <v>0.2192969725686699</v>
      </c>
    </row>
    <row r="26" spans="2:13">
      <c r="B26" t="s">
        <v>171</v>
      </c>
      <c r="C26" t="s">
        <v>204</v>
      </c>
      <c r="D26" t="s">
        <v>205</v>
      </c>
      <c r="E26" t="s">
        <v>10</v>
      </c>
      <c r="F26" t="s">
        <v>21</v>
      </c>
      <c r="G26" t="s">
        <v>174</v>
      </c>
      <c r="H26" t="s">
        <v>175</v>
      </c>
      <c r="J26" t="s">
        <v>204</v>
      </c>
      <c r="K26" t="s">
        <v>241</v>
      </c>
      <c r="L26">
        <v>19.420870985373586</v>
      </c>
      <c r="M26">
        <v>0.21154111826453981</v>
      </c>
    </row>
    <row r="27" spans="2:13">
      <c r="B27" t="s">
        <v>171</v>
      </c>
      <c r="C27" t="s">
        <v>206</v>
      </c>
      <c r="D27" t="s">
        <v>207</v>
      </c>
      <c r="E27" t="s">
        <v>10</v>
      </c>
      <c r="F27" t="s">
        <v>21</v>
      </c>
      <c r="G27" t="s">
        <v>174</v>
      </c>
      <c r="H27" t="s">
        <v>175</v>
      </c>
      <c r="J27" t="s">
        <v>206</v>
      </c>
      <c r="K27" t="s">
        <v>242</v>
      </c>
      <c r="L27">
        <v>7.539956732039311</v>
      </c>
      <c r="M27">
        <v>0.16990025578911919</v>
      </c>
    </row>
    <row r="28" spans="2:13">
      <c r="B28" t="s">
        <v>171</v>
      </c>
      <c r="C28" t="s">
        <v>208</v>
      </c>
      <c r="D28" t="s">
        <v>209</v>
      </c>
      <c r="E28" t="s">
        <v>10</v>
      </c>
      <c r="F28" t="s">
        <v>21</v>
      </c>
      <c r="G28" t="s">
        <v>174</v>
      </c>
      <c r="H28" t="s">
        <v>175</v>
      </c>
      <c r="J28" t="s">
        <v>208</v>
      </c>
      <c r="K28" t="s">
        <v>243</v>
      </c>
      <c r="L28">
        <v>11.33028486424983</v>
      </c>
      <c r="M28">
        <v>0.1699192122042236</v>
      </c>
    </row>
    <row r="29" spans="2:13">
      <c r="B29" t="s">
        <v>171</v>
      </c>
      <c r="C29" t="s">
        <v>210</v>
      </c>
      <c r="D29" t="s">
        <v>211</v>
      </c>
      <c r="E29" t="s">
        <v>10</v>
      </c>
      <c r="F29" t="s">
        <v>21</v>
      </c>
      <c r="G29" t="s">
        <v>174</v>
      </c>
      <c r="H29" t="s">
        <v>175</v>
      </c>
      <c r="J29" t="s">
        <v>210</v>
      </c>
      <c r="K29" t="s">
        <v>244</v>
      </c>
      <c r="L29">
        <v>9.520512324694101</v>
      </c>
      <c r="M29">
        <v>0.202770261450093</v>
      </c>
    </row>
    <row r="30" spans="2:13">
      <c r="B30" t="s">
        <v>171</v>
      </c>
      <c r="C30" t="s">
        <v>212</v>
      </c>
      <c r="D30" t="s">
        <v>213</v>
      </c>
      <c r="E30" t="s">
        <v>10</v>
      </c>
      <c r="F30" t="s">
        <v>21</v>
      </c>
      <c r="G30" t="s">
        <v>174</v>
      </c>
      <c r="H30" t="s">
        <v>175</v>
      </c>
      <c r="J30" t="s">
        <v>212</v>
      </c>
      <c r="K30" t="s">
        <v>245</v>
      </c>
      <c r="L30">
        <v>15.622210660715986</v>
      </c>
      <c r="M30">
        <v>0.2034292332152422</v>
      </c>
    </row>
    <row r="31" spans="2:13">
      <c r="B31" t="s">
        <v>171</v>
      </c>
      <c r="C31" t="s">
        <v>214</v>
      </c>
      <c r="D31" t="s">
        <v>215</v>
      </c>
      <c r="E31" t="s">
        <v>10</v>
      </c>
      <c r="F31" t="s">
        <v>21</v>
      </c>
      <c r="G31" t="s">
        <v>174</v>
      </c>
      <c r="H31" t="s">
        <v>175</v>
      </c>
      <c r="J31" t="s">
        <v>214</v>
      </c>
      <c r="K31" t="s">
        <v>246</v>
      </c>
      <c r="L31">
        <v>12.374405982824484</v>
      </c>
      <c r="M31">
        <v>0.20284476080416239</v>
      </c>
    </row>
    <row r="32" spans="2:13">
      <c r="B32" t="s">
        <v>171</v>
      </c>
      <c r="C32" t="s">
        <v>216</v>
      </c>
      <c r="D32" t="s">
        <v>217</v>
      </c>
      <c r="E32" t="s">
        <v>10</v>
      </c>
      <c r="F32" t="s">
        <v>21</v>
      </c>
      <c r="G32" t="s">
        <v>174</v>
      </c>
      <c r="H32" t="s">
        <v>175</v>
      </c>
      <c r="J32" t="s">
        <v>216</v>
      </c>
      <c r="K32" t="s">
        <v>247</v>
      </c>
      <c r="L32">
        <v>19.338901625217922</v>
      </c>
      <c r="M32">
        <v>0.1791632777486992</v>
      </c>
    </row>
    <row r="33" spans="2:13">
      <c r="B33" t="s">
        <v>171</v>
      </c>
      <c r="C33" t="s">
        <v>218</v>
      </c>
      <c r="D33" t="s">
        <v>219</v>
      </c>
      <c r="E33" t="s">
        <v>10</v>
      </c>
      <c r="F33" t="s">
        <v>21</v>
      </c>
      <c r="G33" t="s">
        <v>174</v>
      </c>
      <c r="H33" t="s">
        <v>175</v>
      </c>
      <c r="J33" t="s">
        <v>218</v>
      </c>
      <c r="K33" t="s">
        <v>248</v>
      </c>
      <c r="L33">
        <v>7.6634505148876118</v>
      </c>
      <c r="M33">
        <v>0.19404286551654079</v>
      </c>
    </row>
    <row r="34" spans="2:13">
      <c r="B34" t="s">
        <v>171</v>
      </c>
      <c r="C34" t="s">
        <v>220</v>
      </c>
      <c r="D34" t="s">
        <v>221</v>
      </c>
      <c r="E34" t="s">
        <v>10</v>
      </c>
      <c r="F34" t="s">
        <v>21</v>
      </c>
      <c r="G34" t="s">
        <v>174</v>
      </c>
      <c r="H34" t="s">
        <v>175</v>
      </c>
      <c r="J34" t="s">
        <v>220</v>
      </c>
      <c r="K34" t="s">
        <v>249</v>
      </c>
      <c r="L34">
        <v>8.1016831146845654</v>
      </c>
      <c r="M34">
        <v>0.18791459857204379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7DD4C4-19B6-46D8-B14F-0881536E37F5}">
  <dimension ref="B9:Z29"/>
  <sheetViews>
    <sheetView workbookViewId="0"/>
  </sheetViews>
  <sheetFormatPr defaultRowHeight="14.25"/>
  <sheetData>
    <row r="9" spans="2:26">
      <c r="B9" t="s">
        <v>163</v>
      </c>
      <c r="J9" t="s">
        <v>222</v>
      </c>
      <c r="O9" t="s">
        <v>163</v>
      </c>
      <c r="W9" t="s">
        <v>222</v>
      </c>
    </row>
    <row r="10" spans="2:26">
      <c r="B10" t="s">
        <v>164</v>
      </c>
      <c r="C10" t="s">
        <v>165</v>
      </c>
      <c r="D10" t="s">
        <v>166</v>
      </c>
      <c r="E10" t="s">
        <v>167</v>
      </c>
      <c r="F10" t="s">
        <v>168</v>
      </c>
      <c r="G10" t="s">
        <v>169</v>
      </c>
      <c r="H10" t="s">
        <v>170</v>
      </c>
      <c r="J10" t="s">
        <v>165</v>
      </c>
      <c r="K10" t="s">
        <v>223</v>
      </c>
      <c r="L10" t="s">
        <v>224</v>
      </c>
      <c r="M10" t="s">
        <v>225</v>
      </c>
      <c r="O10" t="s">
        <v>164</v>
      </c>
      <c r="P10" t="s">
        <v>165</v>
      </c>
      <c r="Q10" t="s">
        <v>166</v>
      </c>
      <c r="R10" t="s">
        <v>167</v>
      </c>
      <c r="S10" t="s">
        <v>168</v>
      </c>
      <c r="T10" t="s">
        <v>169</v>
      </c>
      <c r="U10" t="s">
        <v>170</v>
      </c>
      <c r="W10" t="s">
        <v>165</v>
      </c>
      <c r="X10" t="s">
        <v>223</v>
      </c>
      <c r="Y10" t="s">
        <v>224</v>
      </c>
      <c r="Z10" t="s">
        <v>225</v>
      </c>
    </row>
    <row r="11" spans="2:26">
      <c r="B11" t="s">
        <v>171</v>
      </c>
      <c r="C11" t="s">
        <v>250</v>
      </c>
      <c r="D11" t="s">
        <v>251</v>
      </c>
      <c r="E11" t="s">
        <v>10</v>
      </c>
      <c r="F11" t="s">
        <v>21</v>
      </c>
      <c r="G11" t="s">
        <v>174</v>
      </c>
      <c r="H11" t="s">
        <v>175</v>
      </c>
      <c r="J11" t="s">
        <v>250</v>
      </c>
      <c r="K11" t="s">
        <v>288</v>
      </c>
      <c r="L11">
        <v>7.7363165779076795</v>
      </c>
      <c r="M11">
        <v>0.1067814682163853</v>
      </c>
      <c r="O11" t="s">
        <v>171</v>
      </c>
      <c r="P11" t="s">
        <v>307</v>
      </c>
      <c r="Q11" t="s">
        <v>308</v>
      </c>
      <c r="R11" t="s">
        <v>10</v>
      </c>
      <c r="S11" t="s">
        <v>21</v>
      </c>
      <c r="T11" t="s">
        <v>174</v>
      </c>
      <c r="U11" t="s">
        <v>175</v>
      </c>
      <c r="W11" t="s">
        <v>307</v>
      </c>
      <c r="X11" t="s">
        <v>345</v>
      </c>
      <c r="Y11">
        <v>39.450749999999999</v>
      </c>
      <c r="Z11">
        <v>0.2484648779811813</v>
      </c>
    </row>
    <row r="12" spans="2:26">
      <c r="B12" t="s">
        <v>171</v>
      </c>
      <c r="C12" t="s">
        <v>252</v>
      </c>
      <c r="D12" t="s">
        <v>253</v>
      </c>
      <c r="E12" t="s">
        <v>10</v>
      </c>
      <c r="F12" t="s">
        <v>21</v>
      </c>
      <c r="G12" t="s">
        <v>174</v>
      </c>
      <c r="H12" t="s">
        <v>175</v>
      </c>
      <c r="J12" t="s">
        <v>252</v>
      </c>
      <c r="K12" t="s">
        <v>289</v>
      </c>
      <c r="L12">
        <v>2.3427652611420688</v>
      </c>
      <c r="M12">
        <v>0.24330473042687509</v>
      </c>
      <c r="O12" t="s">
        <v>171</v>
      </c>
      <c r="P12" t="s">
        <v>309</v>
      </c>
      <c r="Q12" t="s">
        <v>310</v>
      </c>
      <c r="R12" t="s">
        <v>10</v>
      </c>
      <c r="S12" t="s">
        <v>21</v>
      </c>
      <c r="T12" t="s">
        <v>174</v>
      </c>
      <c r="U12" t="s">
        <v>175</v>
      </c>
      <c r="W12" t="s">
        <v>309</v>
      </c>
      <c r="X12" t="s">
        <v>346</v>
      </c>
      <c r="Y12">
        <v>10.7745</v>
      </c>
      <c r="Z12">
        <v>0.2178774232132801</v>
      </c>
    </row>
    <row r="13" spans="2:26">
      <c r="B13" t="s">
        <v>171</v>
      </c>
      <c r="C13" t="s">
        <v>254</v>
      </c>
      <c r="D13" t="s">
        <v>255</v>
      </c>
      <c r="E13" t="s">
        <v>10</v>
      </c>
      <c r="F13" t="s">
        <v>21</v>
      </c>
      <c r="G13" t="s">
        <v>174</v>
      </c>
      <c r="H13" t="s">
        <v>175</v>
      </c>
      <c r="J13" t="s">
        <v>254</v>
      </c>
      <c r="K13" t="s">
        <v>290</v>
      </c>
      <c r="L13">
        <v>21.492626448742886</v>
      </c>
      <c r="M13">
        <v>0.1659864827149567</v>
      </c>
      <c r="O13" t="s">
        <v>171</v>
      </c>
      <c r="P13" t="s">
        <v>311</v>
      </c>
      <c r="Q13" t="s">
        <v>312</v>
      </c>
      <c r="R13" t="s">
        <v>10</v>
      </c>
      <c r="S13" t="s">
        <v>21</v>
      </c>
      <c r="T13" t="s">
        <v>174</v>
      </c>
      <c r="U13" t="s">
        <v>175</v>
      </c>
      <c r="W13" t="s">
        <v>311</v>
      </c>
      <c r="X13" t="s">
        <v>347</v>
      </c>
      <c r="Y13">
        <v>38.600250000000003</v>
      </c>
      <c r="Z13">
        <v>0.28900156844457497</v>
      </c>
    </row>
    <row r="14" spans="2:26">
      <c r="B14" t="s">
        <v>171</v>
      </c>
      <c r="C14" t="s">
        <v>256</v>
      </c>
      <c r="D14" t="s">
        <v>257</v>
      </c>
      <c r="E14" t="s">
        <v>10</v>
      </c>
      <c r="F14" t="s">
        <v>21</v>
      </c>
      <c r="G14" t="s">
        <v>174</v>
      </c>
      <c r="H14" t="s">
        <v>175</v>
      </c>
      <c r="J14" t="s">
        <v>256</v>
      </c>
      <c r="K14" t="s">
        <v>291</v>
      </c>
      <c r="L14">
        <v>6.3986137173550848</v>
      </c>
      <c r="M14">
        <v>0.12695115959174291</v>
      </c>
      <c r="O14" t="s">
        <v>171</v>
      </c>
      <c r="P14" t="s">
        <v>313</v>
      </c>
      <c r="Q14" t="s">
        <v>314</v>
      </c>
      <c r="R14" t="s">
        <v>10</v>
      </c>
      <c r="S14" t="s">
        <v>21</v>
      </c>
      <c r="T14" t="s">
        <v>174</v>
      </c>
      <c r="U14" t="s">
        <v>175</v>
      </c>
      <c r="W14" t="s">
        <v>313</v>
      </c>
      <c r="X14" t="s">
        <v>348</v>
      </c>
      <c r="Y14">
        <v>4.0402500000000003</v>
      </c>
      <c r="Z14">
        <v>0.26388034481020151</v>
      </c>
    </row>
    <row r="15" spans="2:26">
      <c r="B15" t="s">
        <v>171</v>
      </c>
      <c r="C15" t="s">
        <v>258</v>
      </c>
      <c r="D15" t="s">
        <v>259</v>
      </c>
      <c r="E15" t="s">
        <v>10</v>
      </c>
      <c r="F15" t="s">
        <v>21</v>
      </c>
      <c r="G15" t="s">
        <v>174</v>
      </c>
      <c r="H15" t="s">
        <v>175</v>
      </c>
      <c r="J15" t="s">
        <v>258</v>
      </c>
      <c r="K15" t="s">
        <v>292</v>
      </c>
      <c r="L15">
        <v>4.0537250245901548</v>
      </c>
      <c r="M15">
        <v>0.1156289487533637</v>
      </c>
      <c r="O15" t="s">
        <v>171</v>
      </c>
      <c r="P15" t="s">
        <v>315</v>
      </c>
      <c r="Q15" t="s">
        <v>316</v>
      </c>
      <c r="R15" t="s">
        <v>10</v>
      </c>
      <c r="S15" t="s">
        <v>21</v>
      </c>
      <c r="T15" t="s">
        <v>174</v>
      </c>
      <c r="U15" t="s">
        <v>175</v>
      </c>
      <c r="W15" t="s">
        <v>315</v>
      </c>
      <c r="X15" t="s">
        <v>349</v>
      </c>
      <c r="Y15">
        <v>39.321750000000002</v>
      </c>
      <c r="Z15">
        <v>0.29850796904066318</v>
      </c>
    </row>
    <row r="16" spans="2:26">
      <c r="B16" t="s">
        <v>171</v>
      </c>
      <c r="C16" t="s">
        <v>260</v>
      </c>
      <c r="D16" t="s">
        <v>261</v>
      </c>
      <c r="E16" t="s">
        <v>10</v>
      </c>
      <c r="F16" t="s">
        <v>21</v>
      </c>
      <c r="G16" t="s">
        <v>174</v>
      </c>
      <c r="H16" t="s">
        <v>175</v>
      </c>
      <c r="J16" t="s">
        <v>260</v>
      </c>
      <c r="K16" t="s">
        <v>293</v>
      </c>
      <c r="L16">
        <v>9.6185391844194168</v>
      </c>
      <c r="M16">
        <v>8.8659780776036604E-2</v>
      </c>
      <c r="O16" t="s">
        <v>171</v>
      </c>
      <c r="P16" t="s">
        <v>317</v>
      </c>
      <c r="Q16" t="s">
        <v>318</v>
      </c>
      <c r="R16" t="s">
        <v>10</v>
      </c>
      <c r="S16" t="s">
        <v>21</v>
      </c>
      <c r="T16" t="s">
        <v>174</v>
      </c>
      <c r="U16" t="s">
        <v>175</v>
      </c>
      <c r="W16" t="s">
        <v>317</v>
      </c>
      <c r="X16" t="s">
        <v>350</v>
      </c>
      <c r="Y16">
        <v>19.04175</v>
      </c>
      <c r="Z16">
        <v>0.24775851801280979</v>
      </c>
    </row>
    <row r="17" spans="2:26">
      <c r="B17" t="s">
        <v>171</v>
      </c>
      <c r="C17" t="s">
        <v>262</v>
      </c>
      <c r="D17" t="s">
        <v>263</v>
      </c>
      <c r="E17" t="s">
        <v>10</v>
      </c>
      <c r="F17" t="s">
        <v>21</v>
      </c>
      <c r="G17" t="s">
        <v>174</v>
      </c>
      <c r="H17" t="s">
        <v>175</v>
      </c>
      <c r="J17" t="s">
        <v>262</v>
      </c>
      <c r="K17" t="s">
        <v>294</v>
      </c>
      <c r="L17">
        <v>20.992062966824207</v>
      </c>
      <c r="M17">
        <v>0.113712621553391</v>
      </c>
      <c r="O17" t="s">
        <v>171</v>
      </c>
      <c r="P17" t="s">
        <v>319</v>
      </c>
      <c r="Q17" t="s">
        <v>320</v>
      </c>
      <c r="R17" t="s">
        <v>10</v>
      </c>
      <c r="S17" t="s">
        <v>21</v>
      </c>
      <c r="T17" t="s">
        <v>174</v>
      </c>
      <c r="U17" t="s">
        <v>175</v>
      </c>
      <c r="W17" t="s">
        <v>319</v>
      </c>
      <c r="X17" t="s">
        <v>351</v>
      </c>
      <c r="Y17">
        <v>28.344000000000001</v>
      </c>
      <c r="Z17">
        <v>0.238561888696876</v>
      </c>
    </row>
    <row r="18" spans="2:26">
      <c r="B18" t="s">
        <v>171</v>
      </c>
      <c r="C18" t="s">
        <v>264</v>
      </c>
      <c r="D18" t="s">
        <v>265</v>
      </c>
      <c r="E18" t="s">
        <v>10</v>
      </c>
      <c r="F18" t="s">
        <v>21</v>
      </c>
      <c r="G18" t="s">
        <v>174</v>
      </c>
      <c r="H18" t="s">
        <v>175</v>
      </c>
      <c r="J18" t="s">
        <v>264</v>
      </c>
      <c r="K18" t="s">
        <v>295</v>
      </c>
      <c r="L18">
        <v>4.7225970155809494</v>
      </c>
      <c r="M18">
        <v>0.11595533842419591</v>
      </c>
      <c r="O18" t="s">
        <v>171</v>
      </c>
      <c r="P18" t="s">
        <v>321</v>
      </c>
      <c r="Q18" t="s">
        <v>322</v>
      </c>
      <c r="R18" t="s">
        <v>10</v>
      </c>
      <c r="S18" t="s">
        <v>21</v>
      </c>
      <c r="T18" t="s">
        <v>174</v>
      </c>
      <c r="U18" t="s">
        <v>175</v>
      </c>
      <c r="W18" t="s">
        <v>321</v>
      </c>
      <c r="X18" t="s">
        <v>352</v>
      </c>
      <c r="Y18">
        <v>14.163</v>
      </c>
      <c r="Z18">
        <v>0.2227294751359814</v>
      </c>
    </row>
    <row r="19" spans="2:26">
      <c r="B19" t="s">
        <v>171</v>
      </c>
      <c r="C19" t="s">
        <v>266</v>
      </c>
      <c r="D19" t="s">
        <v>267</v>
      </c>
      <c r="E19" t="s">
        <v>10</v>
      </c>
      <c r="F19" t="s">
        <v>21</v>
      </c>
      <c r="G19" t="s">
        <v>174</v>
      </c>
      <c r="H19" t="s">
        <v>175</v>
      </c>
      <c r="J19" t="s">
        <v>266</v>
      </c>
      <c r="K19" t="s">
        <v>296</v>
      </c>
      <c r="L19">
        <v>9.0836490896593176</v>
      </c>
      <c r="M19">
        <v>0.13201736314252621</v>
      </c>
      <c r="O19" t="s">
        <v>171</v>
      </c>
      <c r="P19" t="s">
        <v>323</v>
      </c>
      <c r="Q19" t="s">
        <v>324</v>
      </c>
      <c r="R19" t="s">
        <v>10</v>
      </c>
      <c r="S19" t="s">
        <v>21</v>
      </c>
      <c r="T19" t="s">
        <v>174</v>
      </c>
      <c r="U19" t="s">
        <v>175</v>
      </c>
      <c r="W19" t="s">
        <v>323</v>
      </c>
      <c r="X19" t="s">
        <v>353</v>
      </c>
      <c r="Y19">
        <v>2.0775000000000001</v>
      </c>
      <c r="Z19">
        <v>0.22957249532400861</v>
      </c>
    </row>
    <row r="20" spans="2:26">
      <c r="B20" t="s">
        <v>171</v>
      </c>
      <c r="C20" t="s">
        <v>268</v>
      </c>
      <c r="D20" t="s">
        <v>269</v>
      </c>
      <c r="E20" t="s">
        <v>10</v>
      </c>
      <c r="F20" t="s">
        <v>21</v>
      </c>
      <c r="G20" t="s">
        <v>174</v>
      </c>
      <c r="H20" t="s">
        <v>175</v>
      </c>
      <c r="J20" t="s">
        <v>268</v>
      </c>
      <c r="K20" t="s">
        <v>297</v>
      </c>
      <c r="L20">
        <v>10.618766499150132</v>
      </c>
      <c r="M20">
        <v>0.1639958713693849</v>
      </c>
      <c r="O20" t="s">
        <v>171</v>
      </c>
      <c r="P20" t="s">
        <v>325</v>
      </c>
      <c r="Q20" t="s">
        <v>326</v>
      </c>
      <c r="R20" t="s">
        <v>10</v>
      </c>
      <c r="S20" t="s">
        <v>21</v>
      </c>
      <c r="T20" t="s">
        <v>174</v>
      </c>
      <c r="U20" t="s">
        <v>175</v>
      </c>
      <c r="W20" t="s">
        <v>325</v>
      </c>
      <c r="X20" t="s">
        <v>354</v>
      </c>
      <c r="Y20">
        <v>53.390250000000002</v>
      </c>
      <c r="Z20">
        <v>0.32314222864424491</v>
      </c>
    </row>
    <row r="21" spans="2:26">
      <c r="B21" t="s">
        <v>171</v>
      </c>
      <c r="C21" t="s">
        <v>270</v>
      </c>
      <c r="D21" t="s">
        <v>271</v>
      </c>
      <c r="E21" t="s">
        <v>10</v>
      </c>
      <c r="F21" t="s">
        <v>21</v>
      </c>
      <c r="G21" t="s">
        <v>174</v>
      </c>
      <c r="H21" t="s">
        <v>175</v>
      </c>
      <c r="J21" t="s">
        <v>270</v>
      </c>
      <c r="K21" t="s">
        <v>298</v>
      </c>
      <c r="L21">
        <v>37.276481001553563</v>
      </c>
      <c r="M21">
        <v>0.20831242550980769</v>
      </c>
      <c r="O21" t="s">
        <v>171</v>
      </c>
      <c r="P21" t="s">
        <v>327</v>
      </c>
      <c r="Q21" t="s">
        <v>328</v>
      </c>
      <c r="R21" t="s">
        <v>10</v>
      </c>
      <c r="S21" t="s">
        <v>21</v>
      </c>
      <c r="T21" t="s">
        <v>174</v>
      </c>
      <c r="U21" t="s">
        <v>175</v>
      </c>
      <c r="W21" t="s">
        <v>327</v>
      </c>
      <c r="X21" t="s">
        <v>355</v>
      </c>
      <c r="Y21">
        <v>49.423499999999997</v>
      </c>
      <c r="Z21">
        <v>0.37971902087614279</v>
      </c>
    </row>
    <row r="22" spans="2:26">
      <c r="B22" t="s">
        <v>171</v>
      </c>
      <c r="C22" t="s">
        <v>272</v>
      </c>
      <c r="D22" t="s">
        <v>273</v>
      </c>
      <c r="E22" t="s">
        <v>10</v>
      </c>
      <c r="F22" t="s">
        <v>21</v>
      </c>
      <c r="G22" t="s">
        <v>174</v>
      </c>
      <c r="H22" t="s">
        <v>175</v>
      </c>
      <c r="J22" t="s">
        <v>272</v>
      </c>
      <c r="K22" t="s">
        <v>299</v>
      </c>
      <c r="L22">
        <v>20.90644030096918</v>
      </c>
      <c r="M22">
        <v>0.1089207512006329</v>
      </c>
      <c r="O22" t="s">
        <v>171</v>
      </c>
      <c r="P22" t="s">
        <v>329</v>
      </c>
      <c r="Q22" t="s">
        <v>330</v>
      </c>
      <c r="R22" t="s">
        <v>10</v>
      </c>
      <c r="S22" t="s">
        <v>21</v>
      </c>
      <c r="T22" t="s">
        <v>174</v>
      </c>
      <c r="U22" t="s">
        <v>175</v>
      </c>
      <c r="W22" t="s">
        <v>329</v>
      </c>
      <c r="X22" t="s">
        <v>356</v>
      </c>
      <c r="Y22">
        <v>62.15475</v>
      </c>
      <c r="Z22">
        <v>0.3785633667578151</v>
      </c>
    </row>
    <row r="23" spans="2:26">
      <c r="B23" t="s">
        <v>171</v>
      </c>
      <c r="C23" t="s">
        <v>274</v>
      </c>
      <c r="D23" t="s">
        <v>275</v>
      </c>
      <c r="E23" t="s">
        <v>10</v>
      </c>
      <c r="F23" t="s">
        <v>21</v>
      </c>
      <c r="G23" t="s">
        <v>174</v>
      </c>
      <c r="H23" t="s">
        <v>175</v>
      </c>
      <c r="J23" t="s">
        <v>274</v>
      </c>
      <c r="K23" t="s">
        <v>300</v>
      </c>
      <c r="L23">
        <v>1.24293744829465</v>
      </c>
      <c r="M23">
        <v>9.4018179307857899E-2</v>
      </c>
      <c r="O23" t="s">
        <v>171</v>
      </c>
      <c r="P23" t="s">
        <v>331</v>
      </c>
      <c r="Q23" t="s">
        <v>332</v>
      </c>
      <c r="R23" t="s">
        <v>10</v>
      </c>
      <c r="S23" t="s">
        <v>21</v>
      </c>
      <c r="T23" t="s">
        <v>174</v>
      </c>
      <c r="U23" t="s">
        <v>175</v>
      </c>
      <c r="W23" t="s">
        <v>331</v>
      </c>
      <c r="X23" t="s">
        <v>357</v>
      </c>
      <c r="Y23">
        <v>9.2415000000000003</v>
      </c>
      <c r="Z23">
        <v>0.208613866030332</v>
      </c>
    </row>
    <row r="24" spans="2:26">
      <c r="B24" t="s">
        <v>171</v>
      </c>
      <c r="C24" t="s">
        <v>276</v>
      </c>
      <c r="D24" t="s">
        <v>277</v>
      </c>
      <c r="E24" t="s">
        <v>10</v>
      </c>
      <c r="F24" t="s">
        <v>21</v>
      </c>
      <c r="G24" t="s">
        <v>174</v>
      </c>
      <c r="H24" t="s">
        <v>175</v>
      </c>
      <c r="J24" t="s">
        <v>276</v>
      </c>
      <c r="K24" t="s">
        <v>301</v>
      </c>
      <c r="L24">
        <v>3.655060122103603</v>
      </c>
      <c r="M24">
        <v>0.14311265140153179</v>
      </c>
      <c r="O24" t="s">
        <v>171</v>
      </c>
      <c r="P24" t="s">
        <v>333</v>
      </c>
      <c r="Q24" t="s">
        <v>334</v>
      </c>
      <c r="R24" t="s">
        <v>10</v>
      </c>
      <c r="S24" t="s">
        <v>21</v>
      </c>
      <c r="T24" t="s">
        <v>174</v>
      </c>
      <c r="U24" t="s">
        <v>175</v>
      </c>
      <c r="W24" t="s">
        <v>333</v>
      </c>
      <c r="X24" t="s">
        <v>358</v>
      </c>
      <c r="Y24">
        <v>3.2317499999999999</v>
      </c>
      <c r="Z24">
        <v>0.26929096430947691</v>
      </c>
    </row>
    <row r="25" spans="2:26">
      <c r="B25" t="s">
        <v>171</v>
      </c>
      <c r="C25" t="s">
        <v>278</v>
      </c>
      <c r="D25" t="s">
        <v>279</v>
      </c>
      <c r="E25" t="s">
        <v>10</v>
      </c>
      <c r="F25" t="s">
        <v>21</v>
      </c>
      <c r="G25" t="s">
        <v>174</v>
      </c>
      <c r="H25" t="s">
        <v>175</v>
      </c>
      <c r="J25" t="s">
        <v>278</v>
      </c>
      <c r="K25" t="s">
        <v>302</v>
      </c>
      <c r="L25">
        <v>48.450394178145253</v>
      </c>
      <c r="M25">
        <v>0.2433164831628466</v>
      </c>
      <c r="O25" t="s">
        <v>171</v>
      </c>
      <c r="P25" t="s">
        <v>335</v>
      </c>
      <c r="Q25" t="s">
        <v>336</v>
      </c>
      <c r="R25" t="s">
        <v>10</v>
      </c>
      <c r="S25" t="s">
        <v>21</v>
      </c>
      <c r="T25" t="s">
        <v>174</v>
      </c>
      <c r="U25" t="s">
        <v>175</v>
      </c>
      <c r="W25" t="s">
        <v>335</v>
      </c>
      <c r="X25" t="s">
        <v>359</v>
      </c>
      <c r="Y25">
        <v>0.97650000000000003</v>
      </c>
      <c r="Z25">
        <v>0.21437135897798651</v>
      </c>
    </row>
    <row r="26" spans="2:26">
      <c r="B26" t="s">
        <v>171</v>
      </c>
      <c r="C26" t="s">
        <v>280</v>
      </c>
      <c r="D26" t="s">
        <v>281</v>
      </c>
      <c r="E26" t="s">
        <v>10</v>
      </c>
      <c r="F26" t="s">
        <v>21</v>
      </c>
      <c r="G26" t="s">
        <v>174</v>
      </c>
      <c r="H26" t="s">
        <v>175</v>
      </c>
      <c r="J26" t="s">
        <v>280</v>
      </c>
      <c r="K26" t="s">
        <v>303</v>
      </c>
      <c r="L26">
        <v>19.948651692996549</v>
      </c>
      <c r="M26">
        <v>0.26469960967055511</v>
      </c>
      <c r="O26" t="s">
        <v>171</v>
      </c>
      <c r="P26" t="s">
        <v>337</v>
      </c>
      <c r="Q26" t="s">
        <v>338</v>
      </c>
      <c r="R26" t="s">
        <v>10</v>
      </c>
      <c r="S26" t="s">
        <v>21</v>
      </c>
      <c r="T26" t="s">
        <v>174</v>
      </c>
      <c r="U26" t="s">
        <v>175</v>
      </c>
      <c r="W26" t="s">
        <v>337</v>
      </c>
      <c r="X26" t="s">
        <v>360</v>
      </c>
      <c r="Y26">
        <v>12.592499999999999</v>
      </c>
      <c r="Z26">
        <v>0.28366024852480159</v>
      </c>
    </row>
    <row r="27" spans="2:26">
      <c r="B27" t="s">
        <v>171</v>
      </c>
      <c r="C27" t="s">
        <v>282</v>
      </c>
      <c r="D27" t="s">
        <v>283</v>
      </c>
      <c r="E27" t="s">
        <v>10</v>
      </c>
      <c r="F27" t="s">
        <v>21</v>
      </c>
      <c r="G27" t="s">
        <v>174</v>
      </c>
      <c r="H27" t="s">
        <v>175</v>
      </c>
      <c r="J27" t="s">
        <v>282</v>
      </c>
      <c r="K27" t="s">
        <v>304</v>
      </c>
      <c r="L27">
        <v>23.13749613808001</v>
      </c>
      <c r="M27">
        <v>0.13108526943306451</v>
      </c>
      <c r="O27" t="s">
        <v>171</v>
      </c>
      <c r="P27" t="s">
        <v>339</v>
      </c>
      <c r="Q27" t="s">
        <v>340</v>
      </c>
      <c r="R27" t="s">
        <v>10</v>
      </c>
      <c r="S27" t="s">
        <v>21</v>
      </c>
      <c r="T27" t="s">
        <v>174</v>
      </c>
      <c r="U27" t="s">
        <v>175</v>
      </c>
      <c r="W27" t="s">
        <v>339</v>
      </c>
      <c r="X27" t="s">
        <v>361</v>
      </c>
      <c r="Y27">
        <v>15.871499999999999</v>
      </c>
      <c r="Z27">
        <v>0.30636574729781879</v>
      </c>
    </row>
    <row r="28" spans="2:26">
      <c r="B28" t="s">
        <v>171</v>
      </c>
      <c r="C28" t="s">
        <v>284</v>
      </c>
      <c r="D28" t="s">
        <v>285</v>
      </c>
      <c r="E28" t="s">
        <v>10</v>
      </c>
      <c r="F28" t="s">
        <v>21</v>
      </c>
      <c r="G28" t="s">
        <v>174</v>
      </c>
      <c r="H28" t="s">
        <v>175</v>
      </c>
      <c r="J28" t="s">
        <v>284</v>
      </c>
      <c r="K28" t="s">
        <v>305</v>
      </c>
      <c r="L28">
        <v>6.7463178806119855</v>
      </c>
      <c r="M28">
        <v>0.13784704004674381</v>
      </c>
      <c r="O28" t="s">
        <v>171</v>
      </c>
      <c r="P28" t="s">
        <v>341</v>
      </c>
      <c r="Q28" t="s">
        <v>342</v>
      </c>
      <c r="R28" t="s">
        <v>10</v>
      </c>
      <c r="S28" t="s">
        <v>21</v>
      </c>
      <c r="T28" t="s">
        <v>174</v>
      </c>
      <c r="U28" t="s">
        <v>175</v>
      </c>
      <c r="W28" t="s">
        <v>341</v>
      </c>
      <c r="X28" t="s">
        <v>362</v>
      </c>
      <c r="Y28">
        <v>61.890749999999997</v>
      </c>
      <c r="Z28">
        <v>0.38847717594044789</v>
      </c>
    </row>
    <row r="29" spans="2:26">
      <c r="B29" t="s">
        <v>171</v>
      </c>
      <c r="C29" t="s">
        <v>286</v>
      </c>
      <c r="D29" t="s">
        <v>287</v>
      </c>
      <c r="E29" t="s">
        <v>10</v>
      </c>
      <c r="F29" t="s">
        <v>21</v>
      </c>
      <c r="G29" t="s">
        <v>174</v>
      </c>
      <c r="H29" t="s">
        <v>175</v>
      </c>
      <c r="J29" t="s">
        <v>286</v>
      </c>
      <c r="K29" t="s">
        <v>306</v>
      </c>
      <c r="L29">
        <v>9.7794224100622564</v>
      </c>
      <c r="M29">
        <v>0.1332508824588724</v>
      </c>
      <c r="O29" t="s">
        <v>171</v>
      </c>
      <c r="P29" t="s">
        <v>343</v>
      </c>
      <c r="Q29" t="s">
        <v>344</v>
      </c>
      <c r="R29" t="s">
        <v>10</v>
      </c>
      <c r="S29" t="s">
        <v>21</v>
      </c>
      <c r="T29" t="s">
        <v>174</v>
      </c>
      <c r="U29" t="s">
        <v>175</v>
      </c>
      <c r="W29" t="s">
        <v>343</v>
      </c>
      <c r="X29" t="s">
        <v>363</v>
      </c>
      <c r="Y29">
        <v>40.861499999999999</v>
      </c>
      <c r="Z29">
        <v>0.3326685623353598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72A9F0-403E-4616-9B6D-D0A1B4E177D8}">
  <dimension ref="B9:P73"/>
  <sheetViews>
    <sheetView tabSelected="1" workbookViewId="0"/>
  </sheetViews>
  <sheetFormatPr defaultRowHeight="14.25"/>
  <sheetData>
    <row r="9" spans="2:16">
      <c r="B9" t="s">
        <v>222</v>
      </c>
      <c r="J9" t="s">
        <v>163</v>
      </c>
    </row>
    <row r="10" spans="2:16">
      <c r="B10" t="s">
        <v>165</v>
      </c>
      <c r="C10" t="s">
        <v>364</v>
      </c>
      <c r="D10" t="s">
        <v>223</v>
      </c>
      <c r="E10">
        <v>2023</v>
      </c>
      <c r="F10">
        <v>2030</v>
      </c>
      <c r="G10">
        <v>2050</v>
      </c>
      <c r="H10" t="s">
        <v>54</v>
      </c>
      <c r="J10" t="s">
        <v>164</v>
      </c>
      <c r="K10" t="s">
        <v>165</v>
      </c>
      <c r="L10" t="s">
        <v>166</v>
      </c>
      <c r="M10" t="s">
        <v>167</v>
      </c>
      <c r="N10" t="s">
        <v>168</v>
      </c>
      <c r="O10" t="s">
        <v>169</v>
      </c>
      <c r="P10" t="s">
        <v>170</v>
      </c>
    </row>
    <row r="11" spans="2:16">
      <c r="B11" t="s">
        <v>365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171</v>
      </c>
      <c r="K11" t="s">
        <v>365</v>
      </c>
      <c r="M11" t="s">
        <v>10</v>
      </c>
      <c r="N11" t="s">
        <v>21</v>
      </c>
      <c r="O11" t="s">
        <v>387</v>
      </c>
      <c r="P11" t="s">
        <v>388</v>
      </c>
    </row>
    <row r="12" spans="2:16">
      <c r="B12" t="s">
        <v>365</v>
      </c>
      <c r="C12" t="s">
        <v>31</v>
      </c>
      <c r="D12" t="s">
        <v>19</v>
      </c>
      <c r="E12">
        <v>0.60000000000000009</v>
      </c>
      <c r="F12">
        <v>0.60000000000000009</v>
      </c>
      <c r="G12">
        <v>0.60000000000000009</v>
      </c>
      <c r="H12" t="s">
        <v>366</v>
      </c>
      <c r="J12" t="s">
        <v>171</v>
      </c>
      <c r="K12" t="s">
        <v>370</v>
      </c>
      <c r="M12" t="s">
        <v>10</v>
      </c>
      <c r="N12" t="s">
        <v>21</v>
      </c>
      <c r="O12" t="s">
        <v>387</v>
      </c>
      <c r="P12" t="s">
        <v>388</v>
      </c>
    </row>
    <row r="13" spans="2:16">
      <c r="B13" t="s">
        <v>365</v>
      </c>
      <c r="C13" t="s">
        <v>31</v>
      </c>
      <c r="D13" t="s">
        <v>19</v>
      </c>
      <c r="E13">
        <v>5750</v>
      </c>
      <c r="F13">
        <v>5700</v>
      </c>
      <c r="G13">
        <v>5100</v>
      </c>
      <c r="H13" t="s">
        <v>367</v>
      </c>
      <c r="J13" t="s">
        <v>171</v>
      </c>
      <c r="K13" t="s">
        <v>371</v>
      </c>
      <c r="M13" t="s">
        <v>10</v>
      </c>
      <c r="N13" t="s">
        <v>21</v>
      </c>
      <c r="O13" t="s">
        <v>387</v>
      </c>
      <c r="P13" t="s">
        <v>388</v>
      </c>
    </row>
    <row r="14" spans="2:16">
      <c r="B14" t="s">
        <v>365</v>
      </c>
      <c r="C14" t="s">
        <v>31</v>
      </c>
      <c r="D14" t="s">
        <v>19</v>
      </c>
      <c r="E14">
        <v>200</v>
      </c>
      <c r="F14">
        <v>200</v>
      </c>
      <c r="G14">
        <v>175</v>
      </c>
      <c r="H14" t="s">
        <v>368</v>
      </c>
      <c r="J14" t="s">
        <v>171</v>
      </c>
      <c r="K14" t="s">
        <v>372</v>
      </c>
      <c r="M14" t="s">
        <v>10</v>
      </c>
      <c r="N14" t="s">
        <v>21</v>
      </c>
      <c r="O14" t="s">
        <v>387</v>
      </c>
      <c r="P14" t="s">
        <v>388</v>
      </c>
    </row>
    <row r="15" spans="2:16">
      <c r="B15" t="s">
        <v>365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369</v>
      </c>
      <c r="J15" t="s">
        <v>171</v>
      </c>
      <c r="K15" t="s">
        <v>373</v>
      </c>
      <c r="M15" t="s">
        <v>10</v>
      </c>
      <c r="N15" t="s">
        <v>21</v>
      </c>
      <c r="O15" t="s">
        <v>387</v>
      </c>
      <c r="P15" t="s">
        <v>388</v>
      </c>
    </row>
    <row r="16" spans="2:16">
      <c r="B16" t="s">
        <v>370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171</v>
      </c>
      <c r="K16" t="s">
        <v>374</v>
      </c>
      <c r="M16" t="s">
        <v>10</v>
      </c>
      <c r="N16" t="s">
        <v>21</v>
      </c>
      <c r="O16" t="s">
        <v>387</v>
      </c>
      <c r="P16" t="s">
        <v>388</v>
      </c>
    </row>
    <row r="17" spans="2:16">
      <c r="B17" t="s">
        <v>370</v>
      </c>
      <c r="C17" t="s">
        <v>31</v>
      </c>
      <c r="D17" t="s">
        <v>19</v>
      </c>
      <c r="E17">
        <v>0.60000000000000009</v>
      </c>
      <c r="F17">
        <v>0.60000000000000009</v>
      </c>
      <c r="G17">
        <v>0.60000000000000009</v>
      </c>
      <c r="H17" t="s">
        <v>366</v>
      </c>
      <c r="J17" t="s">
        <v>171</v>
      </c>
      <c r="K17" t="s">
        <v>375</v>
      </c>
      <c r="M17" t="s">
        <v>10</v>
      </c>
      <c r="N17" t="s">
        <v>21</v>
      </c>
      <c r="O17" t="s">
        <v>387</v>
      </c>
      <c r="P17" t="s">
        <v>388</v>
      </c>
    </row>
    <row r="18" spans="2:16">
      <c r="B18" t="s">
        <v>370</v>
      </c>
      <c r="C18" t="s">
        <v>31</v>
      </c>
      <c r="D18" t="s">
        <v>19</v>
      </c>
      <c r="E18">
        <v>2400</v>
      </c>
      <c r="F18">
        <v>2350</v>
      </c>
      <c r="G18">
        <v>2300</v>
      </c>
      <c r="H18" t="s">
        <v>367</v>
      </c>
      <c r="J18" t="s">
        <v>171</v>
      </c>
      <c r="K18" t="s">
        <v>376</v>
      </c>
      <c r="M18" t="s">
        <v>10</v>
      </c>
      <c r="N18" t="s">
        <v>21</v>
      </c>
      <c r="O18" t="s">
        <v>387</v>
      </c>
      <c r="P18" t="s">
        <v>388</v>
      </c>
    </row>
    <row r="19" spans="2:16">
      <c r="B19" t="s">
        <v>370</v>
      </c>
      <c r="C19" t="s">
        <v>31</v>
      </c>
      <c r="D19" t="s">
        <v>19</v>
      </c>
      <c r="E19">
        <v>85</v>
      </c>
      <c r="F19">
        <v>85</v>
      </c>
      <c r="G19">
        <v>80</v>
      </c>
      <c r="H19" t="s">
        <v>368</v>
      </c>
      <c r="J19" t="s">
        <v>171</v>
      </c>
      <c r="K19" t="s">
        <v>377</v>
      </c>
      <c r="M19" t="s">
        <v>10</v>
      </c>
      <c r="N19" t="s">
        <v>21</v>
      </c>
      <c r="O19" t="s">
        <v>387</v>
      </c>
      <c r="P19" t="s">
        <v>388</v>
      </c>
    </row>
    <row r="20" spans="2:16">
      <c r="B20" t="s">
        <v>370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369</v>
      </c>
      <c r="J20" t="s">
        <v>171</v>
      </c>
      <c r="K20" t="s">
        <v>378</v>
      </c>
      <c r="M20" t="s">
        <v>10</v>
      </c>
      <c r="N20" t="s">
        <v>21</v>
      </c>
      <c r="O20" t="s">
        <v>387</v>
      </c>
      <c r="P20" t="s">
        <v>388</v>
      </c>
    </row>
    <row r="21" spans="2:16">
      <c r="B21" t="s">
        <v>371</v>
      </c>
      <c r="C21" t="s">
        <v>33</v>
      </c>
      <c r="D21" t="s">
        <v>19</v>
      </c>
      <c r="E21">
        <v>0.59</v>
      </c>
      <c r="F21">
        <v>0.6</v>
      </c>
      <c r="G21">
        <v>0.61</v>
      </c>
      <c r="H21" t="s">
        <v>146</v>
      </c>
      <c r="J21" t="s">
        <v>171</v>
      </c>
      <c r="K21" t="s">
        <v>379</v>
      </c>
      <c r="M21" t="s">
        <v>10</v>
      </c>
      <c r="N21" t="s">
        <v>21</v>
      </c>
      <c r="O21" t="s">
        <v>387</v>
      </c>
      <c r="P21" t="s">
        <v>388</v>
      </c>
    </row>
    <row r="22" spans="2:16">
      <c r="B22" t="s">
        <v>371</v>
      </c>
      <c r="C22" t="s">
        <v>33</v>
      </c>
      <c r="D22" t="s">
        <v>19</v>
      </c>
      <c r="E22">
        <v>1000</v>
      </c>
      <c r="F22">
        <v>1000</v>
      </c>
      <c r="G22">
        <v>1000</v>
      </c>
      <c r="H22" t="s">
        <v>367</v>
      </c>
      <c r="J22" t="s">
        <v>171</v>
      </c>
      <c r="K22" t="s">
        <v>380</v>
      </c>
      <c r="M22" t="s">
        <v>10</v>
      </c>
      <c r="N22" t="s">
        <v>21</v>
      </c>
      <c r="O22" t="s">
        <v>387</v>
      </c>
      <c r="P22" t="s">
        <v>388</v>
      </c>
    </row>
    <row r="23" spans="2:16">
      <c r="B23" t="s">
        <v>371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368</v>
      </c>
      <c r="J23" t="s">
        <v>171</v>
      </c>
      <c r="K23" t="s">
        <v>381</v>
      </c>
      <c r="M23" t="s">
        <v>10</v>
      </c>
      <c r="N23" t="s">
        <v>21</v>
      </c>
      <c r="O23" t="s">
        <v>387</v>
      </c>
      <c r="P23" t="s">
        <v>388</v>
      </c>
    </row>
    <row r="24" spans="2:16">
      <c r="B24" t="s">
        <v>372</v>
      </c>
      <c r="C24" t="s">
        <v>33</v>
      </c>
      <c r="D24" t="s">
        <v>19</v>
      </c>
      <c r="E24">
        <v>0.51</v>
      </c>
      <c r="F24">
        <v>0.52</v>
      </c>
      <c r="G24">
        <v>0.54</v>
      </c>
      <c r="H24" t="s">
        <v>146</v>
      </c>
      <c r="J24" t="s">
        <v>171</v>
      </c>
      <c r="K24" t="s">
        <v>382</v>
      </c>
      <c r="M24" t="s">
        <v>10</v>
      </c>
      <c r="N24" t="s">
        <v>21</v>
      </c>
      <c r="O24" t="s">
        <v>387</v>
      </c>
      <c r="P24" t="s">
        <v>388</v>
      </c>
    </row>
    <row r="25" spans="2:16">
      <c r="B25" t="s">
        <v>372</v>
      </c>
      <c r="C25" t="s">
        <v>33</v>
      </c>
      <c r="D25" t="s">
        <v>19</v>
      </c>
      <c r="E25">
        <v>3100</v>
      </c>
      <c r="F25">
        <v>3100</v>
      </c>
      <c r="G25">
        <v>2400</v>
      </c>
      <c r="H25" t="s">
        <v>367</v>
      </c>
      <c r="J25" t="s">
        <v>171</v>
      </c>
      <c r="K25" t="s">
        <v>383</v>
      </c>
      <c r="M25" t="s">
        <v>10</v>
      </c>
      <c r="N25" t="s">
        <v>21</v>
      </c>
      <c r="O25" t="s">
        <v>387</v>
      </c>
      <c r="P25" t="s">
        <v>388</v>
      </c>
    </row>
    <row r="26" spans="2:16">
      <c r="B26" t="s">
        <v>372</v>
      </c>
      <c r="C26" t="s">
        <v>33</v>
      </c>
      <c r="D26" t="s">
        <v>19</v>
      </c>
      <c r="E26">
        <v>75</v>
      </c>
      <c r="F26">
        <v>75</v>
      </c>
      <c r="G26">
        <v>60</v>
      </c>
      <c r="H26" t="s">
        <v>368</v>
      </c>
      <c r="J26" t="s">
        <v>171</v>
      </c>
      <c r="K26" t="s">
        <v>384</v>
      </c>
      <c r="M26" t="s">
        <v>10</v>
      </c>
      <c r="N26" t="s">
        <v>21</v>
      </c>
      <c r="O26" t="s">
        <v>387</v>
      </c>
      <c r="P26" t="s">
        <v>388</v>
      </c>
    </row>
    <row r="27" spans="2:16">
      <c r="B27" t="s">
        <v>373</v>
      </c>
      <c r="C27" t="s">
        <v>32</v>
      </c>
      <c r="D27" t="s">
        <v>19</v>
      </c>
      <c r="E27">
        <v>0.37</v>
      </c>
      <c r="F27">
        <v>0.38</v>
      </c>
      <c r="G27">
        <v>0.39</v>
      </c>
      <c r="H27" t="s">
        <v>146</v>
      </c>
      <c r="J27" t="s">
        <v>171</v>
      </c>
      <c r="K27" t="s">
        <v>386</v>
      </c>
      <c r="M27" t="s">
        <v>10</v>
      </c>
      <c r="N27" t="s">
        <v>21</v>
      </c>
      <c r="O27" t="s">
        <v>387</v>
      </c>
      <c r="P27" t="s">
        <v>388</v>
      </c>
    </row>
    <row r="28" spans="2:16">
      <c r="B28" t="s">
        <v>373</v>
      </c>
      <c r="C28" t="s">
        <v>32</v>
      </c>
      <c r="D28" t="s">
        <v>19</v>
      </c>
      <c r="E28">
        <v>5500</v>
      </c>
      <c r="F28">
        <v>5500</v>
      </c>
      <c r="G28">
        <v>4350</v>
      </c>
      <c r="H28" t="s">
        <v>367</v>
      </c>
    </row>
    <row r="29" spans="2:16">
      <c r="B29" t="s">
        <v>373</v>
      </c>
      <c r="C29" t="s">
        <v>32</v>
      </c>
      <c r="D29" t="s">
        <v>19</v>
      </c>
      <c r="E29">
        <v>165</v>
      </c>
      <c r="F29">
        <v>165</v>
      </c>
      <c r="G29">
        <v>130</v>
      </c>
      <c r="H29" t="s">
        <v>368</v>
      </c>
    </row>
    <row r="30" spans="2:16">
      <c r="B30" t="s">
        <v>374</v>
      </c>
      <c r="C30" t="s">
        <v>33</v>
      </c>
      <c r="D30" t="s">
        <v>19</v>
      </c>
      <c r="E30">
        <v>0.4</v>
      </c>
      <c r="F30">
        <v>0.41000000000000003</v>
      </c>
      <c r="G30">
        <v>0.42</v>
      </c>
      <c r="H30" t="s">
        <v>146</v>
      </c>
    </row>
    <row r="31" spans="2:16">
      <c r="B31" t="s">
        <v>374</v>
      </c>
      <c r="C31" t="s">
        <v>33</v>
      </c>
      <c r="D31" t="s">
        <v>19</v>
      </c>
      <c r="E31">
        <v>500</v>
      </c>
      <c r="F31">
        <v>500</v>
      </c>
      <c r="G31">
        <v>500</v>
      </c>
      <c r="H31" t="s">
        <v>367</v>
      </c>
    </row>
    <row r="32" spans="2:16">
      <c r="B32" t="s">
        <v>374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368</v>
      </c>
    </row>
    <row r="33" spans="2:8">
      <c r="B33" t="s">
        <v>375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375</v>
      </c>
      <c r="C34" t="s">
        <v>28</v>
      </c>
      <c r="D34" t="s">
        <v>19</v>
      </c>
      <c r="E34">
        <v>0.35000000000000003</v>
      </c>
      <c r="F34">
        <v>0.35000000000000003</v>
      </c>
      <c r="G34">
        <v>0.35000000000000003</v>
      </c>
      <c r="H34" t="s">
        <v>366</v>
      </c>
    </row>
    <row r="35" spans="2:8">
      <c r="B35" t="s">
        <v>375</v>
      </c>
      <c r="C35" t="s">
        <v>28</v>
      </c>
      <c r="D35" t="s">
        <v>19</v>
      </c>
      <c r="E35">
        <v>2650</v>
      </c>
      <c r="F35">
        <v>2650</v>
      </c>
      <c r="G35">
        <v>2650</v>
      </c>
      <c r="H35" t="s">
        <v>367</v>
      </c>
    </row>
    <row r="36" spans="2:8">
      <c r="B36" t="s">
        <v>375</v>
      </c>
      <c r="C36" t="s">
        <v>28</v>
      </c>
      <c r="D36" t="s">
        <v>19</v>
      </c>
      <c r="E36">
        <v>65</v>
      </c>
      <c r="F36">
        <v>65</v>
      </c>
      <c r="G36">
        <v>65</v>
      </c>
      <c r="H36" t="s">
        <v>368</v>
      </c>
    </row>
    <row r="37" spans="2:8">
      <c r="B37" t="s">
        <v>375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369</v>
      </c>
    </row>
    <row r="38" spans="2:8">
      <c r="B38" t="s">
        <v>376</v>
      </c>
      <c r="C38" t="s">
        <v>33</v>
      </c>
      <c r="D38" t="s">
        <v>19</v>
      </c>
      <c r="E38">
        <v>0.45</v>
      </c>
      <c r="F38">
        <v>0.47000000000000003</v>
      </c>
      <c r="G38">
        <v>0.5</v>
      </c>
      <c r="H38" t="s">
        <v>146</v>
      </c>
    </row>
    <row r="39" spans="2:8">
      <c r="B39" t="s">
        <v>376</v>
      </c>
      <c r="C39" t="s">
        <v>33</v>
      </c>
      <c r="D39" t="s">
        <v>19</v>
      </c>
      <c r="E39">
        <v>2500</v>
      </c>
      <c r="F39">
        <v>2350</v>
      </c>
      <c r="G39">
        <v>2300</v>
      </c>
      <c r="H39" t="s">
        <v>367</v>
      </c>
    </row>
    <row r="40" spans="2:8">
      <c r="B40" t="s">
        <v>376</v>
      </c>
      <c r="C40" t="s">
        <v>33</v>
      </c>
      <c r="D40" t="s">
        <v>19</v>
      </c>
      <c r="E40">
        <v>95</v>
      </c>
      <c r="F40">
        <v>85</v>
      </c>
      <c r="G40">
        <v>80</v>
      </c>
      <c r="H40" t="s">
        <v>368</v>
      </c>
    </row>
    <row r="41" spans="2:8">
      <c r="B41" t="s">
        <v>377</v>
      </c>
      <c r="C41" t="s">
        <v>32</v>
      </c>
      <c r="D41" t="s">
        <v>19</v>
      </c>
      <c r="E41">
        <v>0.36</v>
      </c>
      <c r="F41">
        <v>0.38</v>
      </c>
      <c r="G41">
        <v>0.43</v>
      </c>
      <c r="H41" t="s">
        <v>146</v>
      </c>
    </row>
    <row r="42" spans="2:8">
      <c r="B42" t="s">
        <v>377</v>
      </c>
      <c r="C42" t="s">
        <v>32</v>
      </c>
      <c r="D42" t="s">
        <v>19</v>
      </c>
      <c r="E42">
        <v>5850</v>
      </c>
      <c r="F42">
        <v>5700</v>
      </c>
      <c r="G42">
        <v>5100</v>
      </c>
      <c r="H42" t="s">
        <v>367</v>
      </c>
    </row>
    <row r="43" spans="2:8">
      <c r="B43" t="s">
        <v>377</v>
      </c>
      <c r="C43" t="s">
        <v>32</v>
      </c>
      <c r="D43" t="s">
        <v>19</v>
      </c>
      <c r="E43">
        <v>205</v>
      </c>
      <c r="F43">
        <v>200</v>
      </c>
      <c r="G43">
        <v>180</v>
      </c>
      <c r="H43" t="s">
        <v>368</v>
      </c>
    </row>
    <row r="44" spans="2:8">
      <c r="B44" t="s">
        <v>378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378</v>
      </c>
      <c r="C45" t="s">
        <v>36</v>
      </c>
      <c r="D45" t="s">
        <v>19</v>
      </c>
      <c r="E45">
        <v>6600</v>
      </c>
      <c r="F45">
        <v>5100</v>
      </c>
      <c r="G45">
        <v>4500</v>
      </c>
      <c r="H45" t="s">
        <v>367</v>
      </c>
    </row>
    <row r="46" spans="2:8">
      <c r="B46" t="s">
        <v>378</v>
      </c>
      <c r="C46" t="s">
        <v>36</v>
      </c>
      <c r="D46" t="s">
        <v>19</v>
      </c>
      <c r="E46">
        <v>165</v>
      </c>
      <c r="F46">
        <v>165</v>
      </c>
      <c r="G46">
        <v>160</v>
      </c>
      <c r="H46" t="s">
        <v>368</v>
      </c>
    </row>
    <row r="47" spans="2:8">
      <c r="B47" t="s">
        <v>379</v>
      </c>
      <c r="C47" t="s">
        <v>32</v>
      </c>
      <c r="D47" t="s">
        <v>19</v>
      </c>
      <c r="E47">
        <v>0.37</v>
      </c>
      <c r="F47">
        <v>0.38</v>
      </c>
      <c r="G47">
        <v>0.39</v>
      </c>
      <c r="H47" t="s">
        <v>146</v>
      </c>
    </row>
    <row r="48" spans="2:8">
      <c r="B48" t="s">
        <v>379</v>
      </c>
      <c r="C48" t="s">
        <v>32</v>
      </c>
      <c r="D48" t="s">
        <v>19</v>
      </c>
      <c r="E48">
        <v>5700</v>
      </c>
      <c r="F48">
        <v>5700</v>
      </c>
      <c r="G48">
        <v>5100</v>
      </c>
      <c r="H48" t="s">
        <v>367</v>
      </c>
    </row>
    <row r="49" spans="2:8">
      <c r="B49" t="s">
        <v>379</v>
      </c>
      <c r="C49" t="s">
        <v>32</v>
      </c>
      <c r="D49" t="s">
        <v>19</v>
      </c>
      <c r="E49">
        <v>170</v>
      </c>
      <c r="F49">
        <v>170</v>
      </c>
      <c r="G49">
        <v>155</v>
      </c>
      <c r="H49" t="s">
        <v>368</v>
      </c>
    </row>
    <row r="50" spans="2:8">
      <c r="B50" t="s">
        <v>380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380</v>
      </c>
      <c r="C51" t="s">
        <v>27</v>
      </c>
      <c r="D51" t="s">
        <v>19</v>
      </c>
      <c r="E51">
        <v>0.14000000000000001</v>
      </c>
      <c r="F51">
        <v>0.14000000000000001</v>
      </c>
      <c r="G51">
        <v>0.14000000000000001</v>
      </c>
      <c r="H51" t="s">
        <v>366</v>
      </c>
    </row>
    <row r="52" spans="2:8">
      <c r="B52" t="s">
        <v>380</v>
      </c>
      <c r="C52" t="s">
        <v>27</v>
      </c>
      <c r="D52" t="s">
        <v>19</v>
      </c>
      <c r="E52">
        <v>750</v>
      </c>
      <c r="F52">
        <v>480</v>
      </c>
      <c r="G52">
        <v>340</v>
      </c>
      <c r="H52" t="s">
        <v>367</v>
      </c>
    </row>
    <row r="53" spans="2:8">
      <c r="B53" t="s">
        <v>380</v>
      </c>
      <c r="C53" t="s">
        <v>27</v>
      </c>
      <c r="D53" t="s">
        <v>19</v>
      </c>
      <c r="E53">
        <v>12</v>
      </c>
      <c r="F53">
        <v>10</v>
      </c>
      <c r="G53">
        <v>10</v>
      </c>
      <c r="H53" t="s">
        <v>368</v>
      </c>
    </row>
    <row r="54" spans="2:8">
      <c r="B54" t="s">
        <v>380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369</v>
      </c>
    </row>
    <row r="55" spans="2:8">
      <c r="B55" t="s">
        <v>381</v>
      </c>
      <c r="C55" t="s">
        <v>32</v>
      </c>
      <c r="D55" t="s">
        <v>19</v>
      </c>
      <c r="E55">
        <v>0.39</v>
      </c>
      <c r="F55">
        <v>0.39</v>
      </c>
      <c r="G55">
        <v>0.39</v>
      </c>
      <c r="H55" t="s">
        <v>146</v>
      </c>
    </row>
    <row r="56" spans="2:8">
      <c r="B56" t="s">
        <v>381</v>
      </c>
      <c r="C56" t="s">
        <v>32</v>
      </c>
      <c r="D56" t="s">
        <v>19</v>
      </c>
      <c r="E56">
        <v>1700</v>
      </c>
      <c r="F56">
        <v>1700</v>
      </c>
      <c r="G56">
        <v>1700</v>
      </c>
      <c r="H56" t="s">
        <v>367</v>
      </c>
    </row>
    <row r="57" spans="2:8">
      <c r="B57" t="s">
        <v>381</v>
      </c>
      <c r="C57" t="s">
        <v>32</v>
      </c>
      <c r="D57" t="s">
        <v>19</v>
      </c>
      <c r="E57">
        <v>45</v>
      </c>
      <c r="F57">
        <v>45</v>
      </c>
      <c r="G57">
        <v>45</v>
      </c>
      <c r="H57" t="s">
        <v>368</v>
      </c>
    </row>
    <row r="58" spans="2:8">
      <c r="B58" t="s">
        <v>382</v>
      </c>
      <c r="C58" t="s">
        <v>32</v>
      </c>
      <c r="D58" t="s">
        <v>19</v>
      </c>
      <c r="E58">
        <v>0.43</v>
      </c>
      <c r="F58">
        <v>0.43</v>
      </c>
      <c r="G58">
        <v>0.43</v>
      </c>
      <c r="H58" t="s">
        <v>146</v>
      </c>
    </row>
    <row r="59" spans="2:8">
      <c r="B59" t="s">
        <v>382</v>
      </c>
      <c r="C59" t="s">
        <v>32</v>
      </c>
      <c r="D59" t="s">
        <v>19</v>
      </c>
      <c r="E59">
        <v>2000</v>
      </c>
      <c r="F59">
        <v>2000</v>
      </c>
      <c r="G59">
        <v>2000</v>
      </c>
      <c r="H59" t="s">
        <v>367</v>
      </c>
    </row>
    <row r="60" spans="2:8">
      <c r="B60" t="s">
        <v>382</v>
      </c>
      <c r="C60" t="s">
        <v>32</v>
      </c>
      <c r="D60" t="s">
        <v>19</v>
      </c>
      <c r="E60">
        <v>60</v>
      </c>
      <c r="F60">
        <v>60</v>
      </c>
      <c r="G60">
        <v>60</v>
      </c>
      <c r="H60" t="s">
        <v>368</v>
      </c>
    </row>
    <row r="61" spans="2:8">
      <c r="B61" t="s">
        <v>383</v>
      </c>
      <c r="C61" t="s">
        <v>32</v>
      </c>
      <c r="D61" t="s">
        <v>19</v>
      </c>
      <c r="E61">
        <v>0.46</v>
      </c>
      <c r="F61">
        <v>0.46</v>
      </c>
      <c r="G61">
        <v>0.48</v>
      </c>
      <c r="H61" t="s">
        <v>146</v>
      </c>
    </row>
    <row r="62" spans="2:8">
      <c r="B62" t="s">
        <v>383</v>
      </c>
      <c r="C62" t="s">
        <v>32</v>
      </c>
      <c r="D62" t="s">
        <v>19</v>
      </c>
      <c r="E62">
        <v>2200</v>
      </c>
      <c r="F62">
        <v>2200</v>
      </c>
      <c r="G62">
        <v>2200</v>
      </c>
      <c r="H62" t="s">
        <v>367</v>
      </c>
    </row>
    <row r="63" spans="2:8">
      <c r="B63" t="s">
        <v>383</v>
      </c>
      <c r="C63" t="s">
        <v>32</v>
      </c>
      <c r="D63" t="s">
        <v>19</v>
      </c>
      <c r="E63">
        <v>65</v>
      </c>
      <c r="F63">
        <v>65</v>
      </c>
      <c r="G63">
        <v>65</v>
      </c>
      <c r="H63" t="s">
        <v>368</v>
      </c>
    </row>
    <row r="64" spans="2:8">
      <c r="B64" t="s">
        <v>384</v>
      </c>
      <c r="C64" t="s">
        <v>385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384</v>
      </c>
      <c r="C65" t="s">
        <v>385</v>
      </c>
      <c r="D65" t="s">
        <v>19</v>
      </c>
      <c r="E65">
        <v>0.5</v>
      </c>
      <c r="F65">
        <v>0.55000000000000004</v>
      </c>
      <c r="G65">
        <v>0.56000000000000005</v>
      </c>
      <c r="H65" t="s">
        <v>366</v>
      </c>
    </row>
    <row r="66" spans="2:8">
      <c r="B66" t="s">
        <v>384</v>
      </c>
      <c r="C66" t="s">
        <v>385</v>
      </c>
      <c r="D66" t="s">
        <v>19</v>
      </c>
      <c r="E66">
        <v>3120</v>
      </c>
      <c r="F66">
        <v>2280</v>
      </c>
      <c r="G66">
        <v>1660</v>
      </c>
      <c r="H66" t="s">
        <v>367</v>
      </c>
    </row>
    <row r="67" spans="2:8">
      <c r="B67" t="s">
        <v>384</v>
      </c>
      <c r="C67" t="s">
        <v>385</v>
      </c>
      <c r="D67" t="s">
        <v>19</v>
      </c>
      <c r="E67">
        <v>60</v>
      </c>
      <c r="F67">
        <v>50</v>
      </c>
      <c r="G67">
        <v>40</v>
      </c>
      <c r="H67" t="s">
        <v>368</v>
      </c>
    </row>
    <row r="68" spans="2:8">
      <c r="B68" t="s">
        <v>384</v>
      </c>
      <c r="C68" t="s">
        <v>385</v>
      </c>
      <c r="D68" t="s">
        <v>19</v>
      </c>
      <c r="E68">
        <v>3</v>
      </c>
      <c r="F68">
        <v>3</v>
      </c>
      <c r="G68">
        <v>3</v>
      </c>
      <c r="H68" t="s">
        <v>369</v>
      </c>
    </row>
    <row r="69" spans="2:8">
      <c r="B69" t="s">
        <v>386</v>
      </c>
      <c r="C69" t="s">
        <v>385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386</v>
      </c>
      <c r="C70" t="s">
        <v>385</v>
      </c>
      <c r="D70" t="s">
        <v>19</v>
      </c>
      <c r="E70">
        <v>0.28999999999999998</v>
      </c>
      <c r="F70">
        <v>0.3</v>
      </c>
      <c r="G70">
        <v>0.3</v>
      </c>
      <c r="H70" t="s">
        <v>366</v>
      </c>
    </row>
    <row r="71" spans="2:8">
      <c r="B71" t="s">
        <v>386</v>
      </c>
      <c r="C71" t="s">
        <v>385</v>
      </c>
      <c r="D71" t="s">
        <v>19</v>
      </c>
      <c r="E71">
        <v>1630</v>
      </c>
      <c r="F71">
        <v>1550</v>
      </c>
      <c r="G71">
        <v>1490</v>
      </c>
      <c r="H71" t="s">
        <v>367</v>
      </c>
    </row>
    <row r="72" spans="2:8">
      <c r="B72" t="s">
        <v>386</v>
      </c>
      <c r="C72" t="s">
        <v>385</v>
      </c>
      <c r="D72" t="s">
        <v>19</v>
      </c>
      <c r="E72">
        <v>42</v>
      </c>
      <c r="F72">
        <v>40</v>
      </c>
      <c r="G72">
        <v>38</v>
      </c>
      <c r="H72" t="s">
        <v>368</v>
      </c>
    </row>
    <row r="73" spans="2:8">
      <c r="B73" t="s">
        <v>386</v>
      </c>
      <c r="C73" t="s">
        <v>385</v>
      </c>
      <c r="D73" t="s">
        <v>19</v>
      </c>
      <c r="E73">
        <v>1.5</v>
      </c>
      <c r="F73">
        <v>1.5</v>
      </c>
      <c r="G73">
        <v>1.5</v>
      </c>
      <c r="H73" t="s">
        <v>369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misc</vt:lpstr>
      <vt:lpstr>ELC_Storage</vt:lpstr>
      <vt:lpstr>EV Battery</vt:lpstr>
      <vt:lpstr>H2 prod</vt:lpstr>
      <vt:lpstr>solar</vt:lpstr>
      <vt:lpstr>wind</vt:lpstr>
      <vt:lpstr>conventional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2025-09-22T16:44:25Z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