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13_ncr:1_{C5DF06E4-7870-43AC-B3C4-5D0C15C46E5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<sst xmlns="http://schemas.openxmlformats.org/spreadsheetml/2006/main" count="1594" uniqueCount="149">
  <si>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</si>
  <si>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</si>
  <si>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</si>
  <si>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</si>
  <si>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</si>
  <si>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</si>
  <si>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</si>
  <si>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</si>
  <si>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</si>
  <si>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</si>
  <si>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</si>
  <si>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</si>
  <si>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</si>
  <si>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</si>
  <si>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</si>
  <si>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</si>
  <si>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</si>
  <si>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</si>
  <si>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</si>
  <si>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</si>
  <si>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</si>
  <si>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</si>
  <si>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</si>
  <si>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</si>
  <si>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</si>
  <si>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</si>
  <si>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</si>
  <si>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</si>
  <si>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</si>
  <si>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</si>
  <si>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</si>
  <si>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</si>
  <si>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</si>
  <si>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</si>
  <si>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</si>
  <si>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</si>
  <si>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</si>
  <si>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</si>
  <si>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</si>
  <si>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</si>
  <si>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</si>
  <si>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</si>
  <si>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</si>
  <si>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</si>
  <si>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</si>
  <si>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</si>
  <si>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</si>
  <si>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</si>
  <si>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</si>
  <si>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</si>
  <si>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</si>
  <si>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</si>
  <si>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</si>
  <si>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</si>
  <si>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</si>
  <si>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</si>
  <si>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</si>
  <si>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</si>
  <si>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</si>
  <si>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</si>
  <si>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</si>
  <si>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</si>
  <si>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</si>
  <si>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</si>
  <si>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</si>
  <si>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</si>
  <si>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</si>
  <si>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</si>
  <si>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</si>
  <si>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</si>
  <si>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</si>
  <si>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</si>
  <si>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</si>
  <si>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</si>
  <si>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</si>
  <si>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</si>
  <si>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</si>
  <si>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</si>
  <si>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</si>
  <si>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</si>
  <si>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</si>
  <si>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</si>
  <si>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</si>
  <si>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</si>
  <si>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</si>
  <si>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</si>
  <si>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</si>
  <si>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</si>
  <si>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</si>
  <si>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</si>
  <si>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</si>
  <si>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</si>
  <si>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</si>
  <si>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</si>
  <si>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</si>
  <si>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</si>
  <si>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</si>
  <si>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</si>
  <si>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</si>
  <si>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</si>
  <si>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</si>
  <si>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</si>
  <si>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</si>
  <si>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</si>
  <si>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</si>
  <si>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</si>
  <si>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</si>
  <si>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</si>
  <si>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</si>
  <si>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</si>
  <si>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</si>
  <si>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</si>
  <si>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</si>
  <si>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</si>
  <si>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</si>
  <si>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</si>
  <si>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</si>
  <si>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</si>
  <si>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</si>
  <si>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</si>
  <si>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</si>
  <si>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</si>
  <si>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</si>
  <si>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</si>
  <si>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</si>
  <si>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</si>
  <si>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</si>
  <si>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</si>
  <si>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</si>
  <si>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</si>
  <si>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</si>
  <si>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</si>
  <si>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</si>
  <si>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</si>
  <si>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</si>
  <si>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</si>
  <si>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</si>
  <si>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</si>
  <si>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</si>
  <si>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</si>
  <si>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</si>
  <si>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</si>
  <si>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ITA</t>
  </si>
  <si>
    <t>R10EUROPE</t>
  </si>
  <si>
    <t>Pipeline gas, Mediterranean pellet imports</t>
  </si>
  <si>
    <t>1-70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</si>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</sst>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325.04000000000002</c:v>
                </c:pt>
                <c:pt idx="1">
                  <c:v>341.29200000000003</c:v>
                </c:pt>
                <c:pt idx="2">
                  <c:v>380.29680000000002</c:v>
                </c:pt>
                <c:pt idx="3">
                  <c:v>429.05280000000005</c:v>
                </c:pt>
                <c:pt idx="4">
                  <c:v>487.56000000000006</c:v>
                </c:pt>
                <c:pt idx="5">
                  <c:v>546.06720000000007</c:v>
                </c:pt>
                <c:pt idx="6">
                  <c:v>588.32240000000002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325.04000000000002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325.04000000000002</v>
      </c>
      <c r="U14" s="8">
        <f t="shared" ref="U14:Z14" si="3">$S$12*J15</f>
        <v>341.29200000000003</v>
      </c>
      <c r="V14" s="8">
        <f t="shared" si="3"/>
        <v>380.29680000000002</v>
      </c>
      <c r="W14" s="8">
        <f t="shared" si="3"/>
        <v>429.05280000000005</v>
      </c>
      <c r="X14" s="8">
        <f t="shared" si="3"/>
        <v>487.56000000000006</v>
      </c>
      <c r="Y14" s="8">
        <f t="shared" si="3"/>
        <v>546.06720000000007</v>
      </c>
      <c r="Z14" s="8">
        <f t="shared" si="3"/>
        <v>588.32240000000002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3.8029680000000003</v>
      </c>
      <c r="W18" s="6">
        <f t="shared" si="7"/>
        <v>4.290528000000001</v>
      </c>
      <c r="X18" s="6">
        <f t="shared" si="7"/>
        <v>4.8756000000000004</v>
      </c>
      <c r="Y18" s="6">
        <f t="shared" si="7"/>
        <v>10.921344000000001</v>
      </c>
      <c r="Z18" s="6">
        <f t="shared" si="7"/>
        <v>17.649671999999999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117.01440000000001</v>
      </c>
      <c r="U19" s="6">
        <f t="shared" si="7"/>
        <v>109.21344000000001</v>
      </c>
      <c r="V19" s="6">
        <f t="shared" si="7"/>
        <v>117.892008</v>
      </c>
      <c r="W19" s="6">
        <f t="shared" si="7"/>
        <v>124.42531200000001</v>
      </c>
      <c r="X19" s="6">
        <f t="shared" si="7"/>
        <v>141.39240000000001</v>
      </c>
      <c r="Y19" s="6">
        <f t="shared" si="7"/>
        <v>158.359488</v>
      </c>
      <c r="Z19" s="6">
        <f t="shared" si="7"/>
        <v>176.49672000000001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195.024</v>
      </c>
      <c r="U20" s="6">
        <f t="shared" si="7"/>
        <v>204.77520000000001</v>
      </c>
      <c r="V20" s="6">
        <f t="shared" si="7"/>
        <v>228.17807999999999</v>
      </c>
      <c r="W20" s="6">
        <f t="shared" si="7"/>
        <v>244.56009600000002</v>
      </c>
      <c r="X20" s="6">
        <f t="shared" si="7"/>
        <v>263.28240000000005</v>
      </c>
      <c r="Y20" s="6">
        <f t="shared" si="7"/>
        <v>283.95494400000007</v>
      </c>
      <c r="Z20" s="6">
        <f t="shared" si="7"/>
        <v>311.81087200000002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9.7512000000000008</v>
      </c>
      <c r="U21" s="6">
        <f t="shared" ref="U21:Z21" si="8">T21</f>
        <v>9.7512000000000008</v>
      </c>
      <c r="V21" s="6">
        <f t="shared" si="8"/>
        <v>9.7512000000000008</v>
      </c>
      <c r="W21" s="6">
        <f t="shared" si="8"/>
        <v>9.7512000000000008</v>
      </c>
      <c r="X21" s="6">
        <f t="shared" si="8"/>
        <v>9.7512000000000008</v>
      </c>
      <c r="Y21" s="6">
        <f t="shared" si="8"/>
        <v>9.7512000000000008</v>
      </c>
      <c r="Z21" s="6">
        <f t="shared" si="8"/>
        <v>9.7512000000000008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3.2504000000000133</v>
      </c>
      <c r="U22" s="6">
        <f t="shared" si="9"/>
        <v>17.552160000000015</v>
      </c>
      <c r="V22" s="6">
        <f t="shared" si="9"/>
        <v>24.475512000000037</v>
      </c>
      <c r="W22" s="6">
        <f t="shared" si="9"/>
        <v>50.316192000000058</v>
      </c>
      <c r="X22" s="6">
        <f t="shared" si="9"/>
        <v>73.134000000000015</v>
      </c>
      <c r="Y22" s="6">
        <f t="shared" si="9"/>
        <v>94.00156800000002</v>
      </c>
      <c r="Z22" s="6">
        <f t="shared" si="9"/>
        <v>90.263608000000033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47.39</v>
      </c>
      <c r="S28" t="s">
        <v>32</v>
      </c>
      <c r="T28" s="3">
        <f>Q28</f>
        <v>47.39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-4.4000000000000004</v>
      </c>
      <c r="S29" t="s">
        <v>35</v>
      </c>
      <c r="T29" s="3">
        <f>-1*Q29</f>
        <v>4.4000000000000004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29</v>
      </c>
      <c r="J48">
        <f t="shared" si="12"/>
        <v>27.84</v>
      </c>
      <c r="K48">
        <f t="shared" si="12"/>
        <v>30.16</v>
      </c>
      <c r="L48">
        <f t="shared" si="12"/>
        <v>30.16</v>
      </c>
      <c r="M48">
        <f t="shared" si="12"/>
        <v>28.419999999999998</v>
      </c>
      <c r="N48">
        <f t="shared" si="12"/>
        <v>28.71</v>
      </c>
      <c r="O48">
        <f t="shared" si="12"/>
        <v>29</v>
      </c>
      <c r="R48">
        <f>HLOOKUP($G48&amp;"_"&amp;R$44,fuel_prices!$B$10:$I$11,2,FALSE)</f>
        <v>25</v>
      </c>
      <c r="S48">
        <f>HLOOKUP($G48&amp;"_"&amp;S$44,fuel_prices!$B$10:$I$11,2,FALSE)</f>
        <v>33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1.5049999999999999</v>
      </c>
      <c r="D80">
        <v>2.5049999999999999</v>
      </c>
      <c r="E80">
        <v>3.93</v>
      </c>
      <c r="F80" t="s">
        <v>148</v>
      </c>
    </row>
    <row r="81" spans="1:6" x14ac:dyDescent="0.45">
      <c r="A81" t="s">
        <v>32</v>
      </c>
      <c r="B81" t="s">
        <v>147</v>
      </c>
      <c r="C81">
        <v>10.647</v>
      </c>
      <c r="D81">
        <v>11.752000000000001</v>
      </c>
      <c r="E81">
        <v>13.252000000000001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25</v>
      </c>
      <c r="I11">
        <v>33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179.49</v>
      </c>
      <c r="D11">
        <v>122.61</v>
      </c>
      <c r="E11">
        <v>4.5</v>
      </c>
      <c r="F11">
        <v>0</v>
      </c>
      <c r="G11">
        <v>44.83</v>
      </c>
      <c r="H11">
        <v>-0.48</v>
      </c>
      <c r="I11">
        <v>269.94</v>
      </c>
    </row>
    <row r="12" spans="1:9" x14ac:dyDescent="0.45">
      <c r="A12" t="s">
        <v>142</v>
      </c>
      <c r="B12">
        <v>2001</v>
      </c>
      <c r="C12">
        <v>181.93</v>
      </c>
      <c r="D12">
        <v>125.95</v>
      </c>
      <c r="E12">
        <v>4.3899999999999997</v>
      </c>
      <c r="F12">
        <v>0</v>
      </c>
      <c r="G12">
        <v>48.93</v>
      </c>
      <c r="H12">
        <v>-0.55000000000000004</v>
      </c>
      <c r="I12">
        <v>271.89</v>
      </c>
    </row>
    <row r="13" spans="1:9" x14ac:dyDescent="0.45">
      <c r="A13" t="s">
        <v>142</v>
      </c>
      <c r="B13">
        <v>2002</v>
      </c>
      <c r="C13">
        <v>183.71</v>
      </c>
      <c r="D13">
        <v>130.68</v>
      </c>
      <c r="E13">
        <v>4.4400000000000004</v>
      </c>
      <c r="F13">
        <v>0</v>
      </c>
      <c r="G13">
        <v>51.52</v>
      </c>
      <c r="H13">
        <v>-0.92</v>
      </c>
      <c r="I13">
        <v>277.52999999999997</v>
      </c>
    </row>
    <row r="14" spans="1:9" x14ac:dyDescent="0.45">
      <c r="A14" t="s">
        <v>142</v>
      </c>
      <c r="B14">
        <v>2003</v>
      </c>
      <c r="C14">
        <v>185.3</v>
      </c>
      <c r="D14">
        <v>137.6</v>
      </c>
      <c r="E14">
        <v>4.53</v>
      </c>
      <c r="F14">
        <v>0</v>
      </c>
      <c r="G14">
        <v>51.49</v>
      </c>
      <c r="H14">
        <v>-0.52</v>
      </c>
      <c r="I14">
        <v>286.27999999999997</v>
      </c>
    </row>
    <row r="15" spans="1:9" x14ac:dyDescent="0.45">
      <c r="A15" t="s">
        <v>142</v>
      </c>
      <c r="B15">
        <v>2004</v>
      </c>
      <c r="C15">
        <v>185.28</v>
      </c>
      <c r="D15">
        <v>141.66</v>
      </c>
      <c r="E15">
        <v>4.47</v>
      </c>
      <c r="F15">
        <v>0</v>
      </c>
      <c r="G15">
        <v>46.43</v>
      </c>
      <c r="H15">
        <v>-0.79</v>
      </c>
      <c r="I15">
        <v>295.77999999999997</v>
      </c>
    </row>
    <row r="16" spans="1:9" x14ac:dyDescent="0.45">
      <c r="A16" t="s">
        <v>142</v>
      </c>
      <c r="B16">
        <v>2005</v>
      </c>
      <c r="C16">
        <v>185.44</v>
      </c>
      <c r="D16">
        <v>146.13</v>
      </c>
      <c r="E16">
        <v>4.58</v>
      </c>
      <c r="F16">
        <v>0</v>
      </c>
      <c r="G16">
        <v>50.26</v>
      </c>
      <c r="H16">
        <v>-1.1100000000000001</v>
      </c>
      <c r="I16">
        <v>296.83999999999997</v>
      </c>
    </row>
    <row r="17" spans="1:9" x14ac:dyDescent="0.45">
      <c r="A17" t="s">
        <v>142</v>
      </c>
      <c r="B17">
        <v>2006</v>
      </c>
      <c r="C17">
        <v>186.96</v>
      </c>
      <c r="D17">
        <v>151.12</v>
      </c>
      <c r="E17">
        <v>4.38</v>
      </c>
      <c r="F17">
        <v>0</v>
      </c>
      <c r="G17">
        <v>46.6</v>
      </c>
      <c r="H17">
        <v>-1.61</v>
      </c>
      <c r="I17">
        <v>307.69</v>
      </c>
    </row>
    <row r="18" spans="1:9" x14ac:dyDescent="0.45">
      <c r="A18" t="s">
        <v>142</v>
      </c>
      <c r="B18">
        <v>2007</v>
      </c>
      <c r="C18">
        <v>186.6</v>
      </c>
      <c r="D18">
        <v>152.66999999999999</v>
      </c>
      <c r="E18">
        <v>4.41</v>
      </c>
      <c r="F18">
        <v>0</v>
      </c>
      <c r="G18">
        <v>48.93</v>
      </c>
      <c r="H18">
        <v>-2.65</v>
      </c>
      <c r="I18">
        <v>308.22000000000003</v>
      </c>
    </row>
    <row r="19" spans="1:9" x14ac:dyDescent="0.45">
      <c r="A19" t="s">
        <v>142</v>
      </c>
      <c r="B19">
        <v>2008</v>
      </c>
      <c r="C19">
        <v>181.03</v>
      </c>
      <c r="D19">
        <v>156.76</v>
      </c>
      <c r="E19">
        <v>4.55</v>
      </c>
      <c r="F19">
        <v>0</v>
      </c>
      <c r="G19">
        <v>43.43</v>
      </c>
      <c r="H19">
        <v>-3.4</v>
      </c>
      <c r="I19">
        <v>313.52999999999997</v>
      </c>
    </row>
    <row r="20" spans="1:9" x14ac:dyDescent="0.45">
      <c r="A20" t="s">
        <v>142</v>
      </c>
      <c r="B20">
        <v>2009</v>
      </c>
      <c r="C20">
        <v>159.32</v>
      </c>
      <c r="D20">
        <v>158.80000000000001</v>
      </c>
      <c r="E20">
        <v>4.46</v>
      </c>
      <c r="F20">
        <v>0</v>
      </c>
      <c r="G20">
        <v>47.07</v>
      </c>
      <c r="H20">
        <v>-2.11</v>
      </c>
      <c r="I20">
        <v>288.33</v>
      </c>
    </row>
    <row r="21" spans="1:9" x14ac:dyDescent="0.45">
      <c r="A21" t="s">
        <v>142</v>
      </c>
      <c r="B21">
        <v>2010</v>
      </c>
      <c r="C21">
        <v>166.69</v>
      </c>
      <c r="D21">
        <v>160.71</v>
      </c>
      <c r="E21">
        <v>4.58</v>
      </c>
      <c r="F21">
        <v>0.06</v>
      </c>
      <c r="G21">
        <v>45.99</v>
      </c>
      <c r="H21">
        <v>-1.83</v>
      </c>
      <c r="I21">
        <v>298.77</v>
      </c>
    </row>
    <row r="22" spans="1:9" x14ac:dyDescent="0.45">
      <c r="A22" t="s">
        <v>142</v>
      </c>
      <c r="B22">
        <v>2011</v>
      </c>
      <c r="C22">
        <v>167</v>
      </c>
      <c r="D22">
        <v>162.88999999999999</v>
      </c>
      <c r="E22">
        <v>4.7</v>
      </c>
      <c r="F22">
        <v>0.06</v>
      </c>
      <c r="G22">
        <v>47.52</v>
      </c>
      <c r="H22">
        <v>-1.79</v>
      </c>
      <c r="I22">
        <v>300.64999999999998</v>
      </c>
    </row>
    <row r="23" spans="1:9" x14ac:dyDescent="0.45">
      <c r="A23" t="s">
        <v>142</v>
      </c>
      <c r="B23">
        <v>2012</v>
      </c>
      <c r="C23">
        <v>159.37</v>
      </c>
      <c r="D23">
        <v>165.56</v>
      </c>
      <c r="E23">
        <v>4.8</v>
      </c>
      <c r="F23">
        <v>0.06</v>
      </c>
      <c r="G23">
        <v>45.41</v>
      </c>
      <c r="H23">
        <v>-2.2999999999999998</v>
      </c>
      <c r="I23">
        <v>297.3</v>
      </c>
    </row>
    <row r="24" spans="1:9" x14ac:dyDescent="0.45">
      <c r="A24" t="s">
        <v>142</v>
      </c>
      <c r="B24">
        <v>2013</v>
      </c>
      <c r="C24">
        <v>153.41</v>
      </c>
      <c r="D24">
        <v>161.51</v>
      </c>
      <c r="E24">
        <v>5.03</v>
      </c>
      <c r="F24">
        <v>7.0000000000000007E-2</v>
      </c>
      <c r="G24">
        <v>44.34</v>
      </c>
      <c r="H24">
        <v>-2.2000000000000002</v>
      </c>
      <c r="I24">
        <v>287.91000000000003</v>
      </c>
    </row>
    <row r="25" spans="1:9" x14ac:dyDescent="0.45">
      <c r="A25" t="s">
        <v>142</v>
      </c>
      <c r="B25">
        <v>2014</v>
      </c>
      <c r="C25">
        <v>149.13999999999999</v>
      </c>
      <c r="D25">
        <v>157.94999999999999</v>
      </c>
      <c r="E25">
        <v>4.97</v>
      </c>
      <c r="F25">
        <v>7.0000000000000007E-2</v>
      </c>
      <c r="G25">
        <v>46.75</v>
      </c>
      <c r="H25">
        <v>-3.03</v>
      </c>
      <c r="I25">
        <v>278.12</v>
      </c>
    </row>
    <row r="26" spans="1:9" x14ac:dyDescent="0.45">
      <c r="A26" t="s">
        <v>142</v>
      </c>
      <c r="B26">
        <v>2015</v>
      </c>
      <c r="C26">
        <v>149.07</v>
      </c>
      <c r="D26">
        <v>163.76</v>
      </c>
      <c r="E26">
        <v>5.1100000000000003</v>
      </c>
      <c r="F26">
        <v>7.0000000000000007E-2</v>
      </c>
      <c r="G26">
        <v>50.85</v>
      </c>
      <c r="H26">
        <v>-4.47</v>
      </c>
      <c r="I26">
        <v>281.56</v>
      </c>
    </row>
    <row r="27" spans="1:9" x14ac:dyDescent="0.45">
      <c r="A27" t="s">
        <v>142</v>
      </c>
      <c r="B27">
        <v>2016</v>
      </c>
      <c r="C27">
        <v>148.03</v>
      </c>
      <c r="D27">
        <v>161.35</v>
      </c>
      <c r="E27">
        <v>5.45</v>
      </c>
      <c r="F27">
        <v>7.0000000000000007E-2</v>
      </c>
      <c r="G27">
        <v>43.18</v>
      </c>
      <c r="H27">
        <v>-6.15</v>
      </c>
      <c r="I27">
        <v>287.94</v>
      </c>
    </row>
    <row r="28" spans="1:9" x14ac:dyDescent="0.45">
      <c r="A28" t="s">
        <v>142</v>
      </c>
      <c r="B28">
        <v>2017</v>
      </c>
      <c r="C28">
        <v>150.85</v>
      </c>
      <c r="D28">
        <v>164.66</v>
      </c>
      <c r="E28">
        <v>5.51</v>
      </c>
      <c r="F28">
        <v>0.08</v>
      </c>
      <c r="G28">
        <v>42.89</v>
      </c>
      <c r="H28">
        <v>-5.13</v>
      </c>
      <c r="I28">
        <v>294</v>
      </c>
    </row>
    <row r="29" spans="1:9" x14ac:dyDescent="0.45">
      <c r="A29" t="s">
        <v>142</v>
      </c>
      <c r="B29">
        <v>2018</v>
      </c>
      <c r="C29">
        <v>150.53</v>
      </c>
      <c r="D29">
        <v>165.11</v>
      </c>
      <c r="E29">
        <v>5.7</v>
      </c>
      <c r="F29">
        <v>0.1</v>
      </c>
      <c r="G29">
        <v>47.17</v>
      </c>
      <c r="H29">
        <v>-3.27</v>
      </c>
      <c r="I29">
        <v>287.99</v>
      </c>
    </row>
    <row r="30" spans="1:9" x14ac:dyDescent="0.45">
      <c r="A30" t="s">
        <v>142</v>
      </c>
      <c r="B30">
        <v>2019</v>
      </c>
      <c r="C30">
        <v>153.99</v>
      </c>
      <c r="D30">
        <v>160.63999999999999</v>
      </c>
      <c r="E30">
        <v>5.55</v>
      </c>
      <c r="F30">
        <v>0.14000000000000001</v>
      </c>
      <c r="G30">
        <v>43.97</v>
      </c>
      <c r="H30">
        <v>-5.83</v>
      </c>
      <c r="I30">
        <v>292.02</v>
      </c>
    </row>
    <row r="31" spans="1:9" x14ac:dyDescent="0.45">
      <c r="A31" t="s">
        <v>142</v>
      </c>
      <c r="B31">
        <v>2020</v>
      </c>
      <c r="C31">
        <v>149.59</v>
      </c>
      <c r="D31">
        <v>147.62</v>
      </c>
      <c r="E31">
        <v>4.6399999999999997</v>
      </c>
      <c r="F31">
        <v>0.19</v>
      </c>
      <c r="G31">
        <v>39.79</v>
      </c>
      <c r="H31">
        <v>-7.59</v>
      </c>
      <c r="I31">
        <v>278.58999999999997</v>
      </c>
    </row>
    <row r="32" spans="1:9" x14ac:dyDescent="0.45">
      <c r="A32" t="s">
        <v>142</v>
      </c>
      <c r="B32">
        <v>2021</v>
      </c>
      <c r="C32">
        <v>151.62</v>
      </c>
      <c r="D32">
        <v>165.79</v>
      </c>
      <c r="E32">
        <v>5.18</v>
      </c>
      <c r="F32">
        <v>0.44</v>
      </c>
      <c r="G32">
        <v>46.57</v>
      </c>
      <c r="H32">
        <v>-3.78</v>
      </c>
      <c r="I32">
        <v>286.98</v>
      </c>
    </row>
    <row r="33" spans="1:9" x14ac:dyDescent="0.45">
      <c r="A33" t="s">
        <v>142</v>
      </c>
      <c r="B33">
        <v>2022</v>
      </c>
      <c r="C33">
        <v>146.43</v>
      </c>
      <c r="D33">
        <v>165.99</v>
      </c>
      <c r="E33">
        <v>5.58</v>
      </c>
      <c r="F33">
        <v>0.6</v>
      </c>
      <c r="G33">
        <v>47.39</v>
      </c>
      <c r="H33">
        <v>-4.4000000000000004</v>
      </c>
      <c r="I33">
        <v>282.05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2025-09-14T07:27:32Z</dcterms:modified>
</cp:coreProperties>
</file>