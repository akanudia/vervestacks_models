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CHN\SubRES_Tmpl\"/>
    </mc:Choice>
  </mc:AlternateContent>
  <xr:revisionPtr revIDLastSave="0" documentId="8_{1652876D-8FFE-423F-B491-E14FFF860AAD}" xr6:coauthVersionLast="47" xr6:coauthVersionMax="47" xr10:uidLastSave="{00000000-0000-0000-0000-000000000000}"/>
  <bookViews>
    <workbookView xWindow="-98" yWindow="-98" windowWidth="28996" windowHeight="17475" firstSheet="6" activeTab="6" xr2:uid="{00000000-000D-0000-FFFF-FFFF00000000}"/>
  </bookViews>
  <sheets>
    <sheet name="misc" sheetId="7" r:id="rId1"/>
    <sheet name="ELC_Storage" sheetId="9" r:id="rId2"/>
    <sheet name="EV Battery" sheetId="10" r:id="rId3"/>
    <sheet name="H2 prod" sheetId="11" r:id="rId4"/>
    <sheet name="solar" sheetId="12" r:id="rId5"/>
    <sheet name="wind" sheetId="13" r:id="rId6"/>
    <sheet name="conventional" sheetId="14" r:id="rId7"/>
  </sheets>
  <externalReferences>
    <externalReference r:id="rId8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7" l="1"/>
  <c r="J17" i="7"/>
  <c r="J16" i="7"/>
  <c r="J14" i="7"/>
  <c r="J11" i="7"/>
  <c r="O17" i="7"/>
  <c r="J7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F8" i="10" l="1"/>
  <c r="G8" i="10"/>
  <c r="J19" i="7" l="1"/>
  <c r="J18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16" i="7"/>
  <c r="O15" i="7"/>
  <c r="O10" i="7"/>
  <c r="O14" i="7"/>
  <c r="O12" i="7"/>
  <c r="O11" i="7"/>
  <c r="O9" i="7"/>
  <c r="O8" i="7"/>
  <c r="O13" i="7"/>
  <c r="J8" i="7"/>
  <c r="J6" i="7"/>
  <c r="J5" i="7"/>
  <c r="J4" i="7"/>
</calcChain>
</file>

<file path=xl/sharedStrings.xml><?xml version="1.0" encoding="utf-8"?>
<sst xmlns="http://schemas.openxmlformats.org/spreadsheetml/2006/main" count="3282" uniqueCount="1055">
  <si>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</si>
  <si>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</si>
  <si>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</si>
  <si>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</si>
  <si>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</si>
  <si>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</si>
  <si>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</si>
  <si>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</si>
  <si>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</si>
  <si>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</si>
  <si>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</si>
  <si>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</si>
  <si>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</si>
  <si>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</si>
  <si>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</si>
  <si>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</si>
  <si>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</si>
  <si>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</si>
  <si>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</si>
  <si>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</si>
  <si>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</si>
  <si>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</si>
  <si>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</si>
  <si>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</si>
  <si>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</si>
  <si>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</si>
  <si>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</si>
  <si>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</si>
  <si>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</si>
  <si>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</si>
  <si>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</si>
  <si>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</si>
  <si>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</si>
  <si>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</si>
  <si>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</si>
  <si>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</si>
  <si>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</si>
  <si>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</si>
  <si>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</si>
  <si>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</si>
  <si>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</si>
  <si>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</si>
  <si>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</si>
  <si>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</si>
  <si>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</si>
  <si>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</si>
  <si>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</si>
  <si>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</si>
  <si>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</si>
  <si>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</si>
  <si>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</si>
  <si>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</si>
  <si>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</si>
  <si>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</si>
  <si>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</si>
  <si>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</si>
  <si>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</si>
  <si>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</si>
  <si>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</si>
  <si>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</si>
  <si>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</si>
  <si>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</si>
  <si>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</si>
  <si>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</si>
  <si>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</si>
  <si>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</si>
  <si>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</si>
  <si>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</si>
  <si>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</si>
  <si>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</si>
  <si>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</si>
  <si>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</si>
  <si>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</si>
  <si>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</si>
  <si>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</si>
  <si>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</si>
  <si>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</si>
  <si>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</si>
  <si>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</si>
  <si>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</si>
  <si>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</si>
  <si>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</si>
  <si>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</si>
  <si>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</si>
  <si>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</si>
  <si>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</si>
  <si>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</si>
  <si>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</si>
  <si>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</si>
  <si>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</si>
  <si>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</si>
  <si>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</si>
  <si>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</si>
  <si>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</si>
  <si>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</si>
  <si>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</si>
  <si>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</si>
  <si>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</si>
  <si>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</si>
  <si>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</si>
  <si>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</si>
  <si>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</si>
  <si>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</si>
  <si>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</si>
  <si>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</si>
  <si>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</si>
  <si>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</si>
  <si>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</si>
  <si>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</si>
  <si>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</si>
  <si>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</si>
  <si>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</si>
  <si>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</si>
  <si>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</si>
  <si>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</si>
  <si>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</si>
  <si>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</si>
  <si>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</si>
  <si>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</si>
  <si>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</si>
  <si>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</si>
  <si>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</si>
  <si>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</si>
  <si>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</si>
  <si>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</si>
  <si>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</si>
  <si>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</si>
  <si>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</si>
  <si>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</si>
  <si>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</si>
  <si>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</si>
  <si>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</si>
  <si>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</si>
  <si>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</si>
  <si>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</si>
  <si>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</si>
  <si>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</si>
  <si>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</si>
  <si>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</si>
  <si>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</si>
  <si>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</si>
  <si>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</si>
  <si>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</si>
  <si>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</si>
  <si>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</si>
  <si>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</si>
  <si>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</si>
  <si>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</si>
  <si>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</si>
  <si>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</si>
  <si>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</si>
  <si>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</si>
  <si>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</si>
  <si>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</si>
  <si>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</si>
  <si>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</si>
  <si>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</si>
  <si>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</si>
  <si>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</si>
  <si>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</si>
  <si>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</si>
  <si>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</si>
  <si>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</si>
  <si>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</si>
  <si>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</si>
  <si>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</si>
  <si>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</si>
  <si>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</si>
  <si>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</si>
  <si>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</si>
  <si>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</si>
  <si>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</si>
  <si>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e_spv_001</t>
  </si>
  <si>
    <t>solar resource in cluster 1</t>
  </si>
  <si>
    <t>annual</t>
  </si>
  <si>
    <t>no</t>
  </si>
  <si>
    <t>e_spv_002</t>
  </si>
  <si>
    <t>solar resource in cluster 2</t>
  </si>
  <si>
    <t>e_spv_003</t>
  </si>
  <si>
    <t>solar resource in cluster 3</t>
  </si>
  <si>
    <t>e_spv_004</t>
  </si>
  <si>
    <t>solar resource in cluster 4</t>
  </si>
  <si>
    <t>e_spv_005</t>
  </si>
  <si>
    <t>solar resource in cluster 5</t>
  </si>
  <si>
    <t>e_spv_006</t>
  </si>
  <si>
    <t>solar resource in cluster 6</t>
  </si>
  <si>
    <t>e_spv_007</t>
  </si>
  <si>
    <t>solar resource in cluster 7</t>
  </si>
  <si>
    <t>e_spv_008</t>
  </si>
  <si>
    <t>solar resource in cluster 8</t>
  </si>
  <si>
    <t>e_spv_009</t>
  </si>
  <si>
    <t>solar resource in cluster 9</t>
  </si>
  <si>
    <t>e_spv_010</t>
  </si>
  <si>
    <t>solar resource in cluster 10</t>
  </si>
  <si>
    <t>e_spv_011</t>
  </si>
  <si>
    <t>solar resource in cluster 11</t>
  </si>
  <si>
    <t>e_spv_012</t>
  </si>
  <si>
    <t>solar resource in cluster 12</t>
  </si>
  <si>
    <t>e_spv_013</t>
  </si>
  <si>
    <t>solar resource in cluster 13</t>
  </si>
  <si>
    <t>e_spv_014</t>
  </si>
  <si>
    <t>solar resource in cluster 14</t>
  </si>
  <si>
    <t>e_spv_015</t>
  </si>
  <si>
    <t>solar resource in cluster 15</t>
  </si>
  <si>
    <t>e_spv_016</t>
  </si>
  <si>
    <t>solar resource in cluster 16</t>
  </si>
  <si>
    <t>e_spv_017</t>
  </si>
  <si>
    <t>solar resource in cluster 17</t>
  </si>
  <si>
    <t>e_spv_018</t>
  </si>
  <si>
    <t>solar resource in cluster 18</t>
  </si>
  <si>
    <t>e_spv_019</t>
  </si>
  <si>
    <t>solar resource in cluster 19</t>
  </si>
  <si>
    <t>e_spv_020</t>
  </si>
  <si>
    <t>solar resource in cluster 20</t>
  </si>
  <si>
    <t>e_spv_021</t>
  </si>
  <si>
    <t>solar resource in cluster 21</t>
  </si>
  <si>
    <t>e_spv_022</t>
  </si>
  <si>
    <t>solar resource in cluster 22</t>
  </si>
  <si>
    <t>e_spv_023</t>
  </si>
  <si>
    <t>solar resource in cluster 23</t>
  </si>
  <si>
    <t>e_spv_024</t>
  </si>
  <si>
    <t>solar resource in cluster 24</t>
  </si>
  <si>
    <t>e_spv_025</t>
  </si>
  <si>
    <t>solar resource in cluster 25</t>
  </si>
  <si>
    <t>e_spv_026</t>
  </si>
  <si>
    <t>solar resource in cluster 26</t>
  </si>
  <si>
    <t>e_spv_027</t>
  </si>
  <si>
    <t>solar resource in cluster 27</t>
  </si>
  <si>
    <t>e_spv_028</t>
  </si>
  <si>
    <t>solar resource in cluster 28</t>
  </si>
  <si>
    <t>e_spv_029</t>
  </si>
  <si>
    <t>solar resource in cluster 29</t>
  </si>
  <si>
    <t>e_spv_030</t>
  </si>
  <si>
    <t>solar resource in cluster 30</t>
  </si>
  <si>
    <t>e_spv_031</t>
  </si>
  <si>
    <t>solar resource in cluster 31</t>
  </si>
  <si>
    <t>e_spv_032</t>
  </si>
  <si>
    <t>solar resource in cluster 32</t>
  </si>
  <si>
    <t>e_spv_033</t>
  </si>
  <si>
    <t>solar resource in cluster 33</t>
  </si>
  <si>
    <t>e_spv_034</t>
  </si>
  <si>
    <t>solar resource in cluster 34</t>
  </si>
  <si>
    <t>e_spv_035</t>
  </si>
  <si>
    <t>solar resource in cluster 35</t>
  </si>
  <si>
    <t>e_spv_036</t>
  </si>
  <si>
    <t>solar resource in cluster 36</t>
  </si>
  <si>
    <t>e_spv_037</t>
  </si>
  <si>
    <t>solar resource in cluster 37</t>
  </si>
  <si>
    <t>e_spv_038</t>
  </si>
  <si>
    <t>solar resource in cluster 38</t>
  </si>
  <si>
    <t>e_spv_039</t>
  </si>
  <si>
    <t>solar resource in cluster 39</t>
  </si>
  <si>
    <t>e_spv_040</t>
  </si>
  <si>
    <t>solar resource in cluster 40</t>
  </si>
  <si>
    <t>e_spv_041</t>
  </si>
  <si>
    <t>solar resource in cluster 41</t>
  </si>
  <si>
    <t>e_spv_042</t>
  </si>
  <si>
    <t>solar resource in cluster 42</t>
  </si>
  <si>
    <t>e_spv_043</t>
  </si>
  <si>
    <t>solar resource in cluster 43</t>
  </si>
  <si>
    <t>e_spv_044</t>
  </si>
  <si>
    <t>solar resource in cluster 44</t>
  </si>
  <si>
    <t>e_spv_045</t>
  </si>
  <si>
    <t>solar resource in cluster 45</t>
  </si>
  <si>
    <t>e_spv_046</t>
  </si>
  <si>
    <t>solar resource in cluster 46</t>
  </si>
  <si>
    <t>e_spv_047</t>
  </si>
  <si>
    <t>solar resource in cluster 47</t>
  </si>
  <si>
    <t>e_spv_048</t>
  </si>
  <si>
    <t>solar resource in cluster 48</t>
  </si>
  <si>
    <t>e_spv_049</t>
  </si>
  <si>
    <t>solar resource in cluster 49</t>
  </si>
  <si>
    <t>e_spv_050</t>
  </si>
  <si>
    <t>solar resource in cluster 50</t>
  </si>
  <si>
    <t>e_spv_051</t>
  </si>
  <si>
    <t>solar resource in cluster 51</t>
  </si>
  <si>
    <t>e_spv_052</t>
  </si>
  <si>
    <t>solar resource in cluster 52</t>
  </si>
  <si>
    <t>e_spv_053</t>
  </si>
  <si>
    <t>solar resource in cluster 53</t>
  </si>
  <si>
    <t>e_spv_054</t>
  </si>
  <si>
    <t>solar resource in cluster 54</t>
  </si>
  <si>
    <t>e_spv_055</t>
  </si>
  <si>
    <t>solar resource in cluster 55</t>
  </si>
  <si>
    <t>e_spv_056</t>
  </si>
  <si>
    <t>solar resource in cluster 56</t>
  </si>
  <si>
    <t>e_spv_057</t>
  </si>
  <si>
    <t>solar resource in cluster 57</t>
  </si>
  <si>
    <t>e_spv_058</t>
  </si>
  <si>
    <t>solar resource in cluster 58</t>
  </si>
  <si>
    <t>e_spv_059</t>
  </si>
  <si>
    <t>solar resource in cluster 59</t>
  </si>
  <si>
    <t>e_spv_060</t>
  </si>
  <si>
    <t>solar resource in cluster 60</t>
  </si>
  <si>
    <t>e_spv_061</t>
  </si>
  <si>
    <t>solar resource in cluster 61</t>
  </si>
  <si>
    <t>e_spv_062</t>
  </si>
  <si>
    <t>solar resource in cluster 62</t>
  </si>
  <si>
    <t>e_spv_063</t>
  </si>
  <si>
    <t>solar resource in cluster 63</t>
  </si>
  <si>
    <t>e_spv_064</t>
  </si>
  <si>
    <t>solar resource in cluster 64</t>
  </si>
  <si>
    <t>e_spv_065</t>
  </si>
  <si>
    <t>solar resource in cluster 65</t>
  </si>
  <si>
    <t>e_spv_066</t>
  </si>
  <si>
    <t>solar resource in cluster 66</t>
  </si>
  <si>
    <t>e_spv_067</t>
  </si>
  <si>
    <t>solar resource in cluster 67</t>
  </si>
  <si>
    <t>e_spv_068</t>
  </si>
  <si>
    <t>solar resource in cluster 68</t>
  </si>
  <si>
    <t>e_spv_069</t>
  </si>
  <si>
    <t>solar resource in cluster 69</t>
  </si>
  <si>
    <t>e_spv_070</t>
  </si>
  <si>
    <t>solar resource in cluster 70</t>
  </si>
  <si>
    <t>e_spv_071</t>
  </si>
  <si>
    <t>solar resource in cluster 71</t>
  </si>
  <si>
    <t>e_spv_072</t>
  </si>
  <si>
    <t>solar resource in cluster 72</t>
  </si>
  <si>
    <t>e_spv_073</t>
  </si>
  <si>
    <t>solar resource in cluster 73</t>
  </si>
  <si>
    <t>e_spv_074</t>
  </si>
  <si>
    <t>solar resource in cluster 74</t>
  </si>
  <si>
    <t>e_spv_075</t>
  </si>
  <si>
    <t>solar resource in cluster 75</t>
  </si>
  <si>
    <t>e_spv_076</t>
  </si>
  <si>
    <t>solar resource in cluster 76</t>
  </si>
  <si>
    <t>e_spv_077</t>
  </si>
  <si>
    <t>solar resource in cluster 77</t>
  </si>
  <si>
    <t>e_spv_078</t>
  </si>
  <si>
    <t>solar resource in cluster 78</t>
  </si>
  <si>
    <t>e_spv_079</t>
  </si>
  <si>
    <t>solar resource in cluster 79</t>
  </si>
  <si>
    <t>e_spv_080</t>
  </si>
  <si>
    <t>solar resource in cluster 80</t>
  </si>
  <si>
    <t>e_spv_081</t>
  </si>
  <si>
    <t>solar resource in cluster 81</t>
  </si>
  <si>
    <t>e_spv_082</t>
  </si>
  <si>
    <t>solar resource in cluster 82</t>
  </si>
  <si>
    <t>e_spv_083</t>
  </si>
  <si>
    <t>solar resource in cluster 83</t>
  </si>
  <si>
    <t>e_spv_084</t>
  </si>
  <si>
    <t>solar resource in cluster 84</t>
  </si>
  <si>
    <t>e_spv_085</t>
  </si>
  <si>
    <t>solar resource in cluster 85</t>
  </si>
  <si>
    <t>e_spv_086</t>
  </si>
  <si>
    <t>solar resource in cluster 86</t>
  </si>
  <si>
    <t>e_spv_087</t>
  </si>
  <si>
    <t>solar resource in cluster 87</t>
  </si>
  <si>
    <t>e_spv_088</t>
  </si>
  <si>
    <t>solar resource in cluster 88</t>
  </si>
  <si>
    <t>e_spv_089</t>
  </si>
  <si>
    <t>solar resource in cluster 89</t>
  </si>
  <si>
    <t>e_spv_090</t>
  </si>
  <si>
    <t>solar resource in cluster 90</t>
  </si>
  <si>
    <t>e_spv_091</t>
  </si>
  <si>
    <t>solar resource in cluster 91</t>
  </si>
  <si>
    <t>e_spv_092</t>
  </si>
  <si>
    <t>solar resource in cluster 92</t>
  </si>
  <si>
    <t>e_spv_093</t>
  </si>
  <si>
    <t>solar resource in cluster 93</t>
  </si>
  <si>
    <t>e_spv_094</t>
  </si>
  <si>
    <t>solar resource in cluster 94</t>
  </si>
  <si>
    <t>e_spv_095</t>
  </si>
  <si>
    <t>solar resource in cluster 95</t>
  </si>
  <si>
    <t>e_spv_096</t>
  </si>
  <si>
    <t>solar resource in cluster 96</t>
  </si>
  <si>
    <t>e_spv_097</t>
  </si>
  <si>
    <t>solar resource in cluster 97</t>
  </si>
  <si>
    <t>e_spv_098</t>
  </si>
  <si>
    <t>solar resource in cluster 98</t>
  </si>
  <si>
    <t>e_spv_099</t>
  </si>
  <si>
    <t>solar resource in cluster 99</t>
  </si>
  <si>
    <t>e_spv_100</t>
  </si>
  <si>
    <t>solar resource in cluster 100</t>
  </si>
  <si>
    <t>e_spv_101</t>
  </si>
  <si>
    <t>solar resource in cluster 101</t>
  </si>
  <si>
    <t>e_spv_102</t>
  </si>
  <si>
    <t>solar resource in cluster 102</t>
  </si>
  <si>
    <t>e_spv_103</t>
  </si>
  <si>
    <t>solar resource in cluster 103</t>
  </si>
  <si>
    <t>e_spv_104</t>
  </si>
  <si>
    <t>solar resource in cluster 104</t>
  </si>
  <si>
    <t>e_spv_105</t>
  </si>
  <si>
    <t>solar resource in cluster 105</t>
  </si>
  <si>
    <t>e_spv_106</t>
  </si>
  <si>
    <t>solar resource in cluster 106</t>
  </si>
  <si>
    <t>e_spv_107</t>
  </si>
  <si>
    <t>solar resource in cluster 107</t>
  </si>
  <si>
    <t>e_spv_108</t>
  </si>
  <si>
    <t>solar resource in cluster 108</t>
  </si>
  <si>
    <t>e_spv_109</t>
  </si>
  <si>
    <t>solar resource in cluster 109</t>
  </si>
  <si>
    <t>e_spv_110</t>
  </si>
  <si>
    <t>solar resource in cluster 110</t>
  </si>
  <si>
    <t>e_spv_111</t>
  </si>
  <si>
    <t>solar resource in cluster 111</t>
  </si>
  <si>
    <t>e_spv_112</t>
  </si>
  <si>
    <t>solar resource in cluster 112</t>
  </si>
  <si>
    <t>e_spv_113</t>
  </si>
  <si>
    <t>solar resource in cluster 113</t>
  </si>
  <si>
    <t>e_spv_114</t>
  </si>
  <si>
    <t>solar resource in cluster 114</t>
  </si>
  <si>
    <t>e_spv_115</t>
  </si>
  <si>
    <t>solar resource in cluster 115</t>
  </si>
  <si>
    <t>e_spv_116</t>
  </si>
  <si>
    <t>solar resource in cluster 116</t>
  </si>
  <si>
    <t>e_spv_117</t>
  </si>
  <si>
    <t>solar resource in cluster 117</t>
  </si>
  <si>
    <t>e_spv_118</t>
  </si>
  <si>
    <t>solar resource in cluster 118</t>
  </si>
  <si>
    <t>e_spv_119</t>
  </si>
  <si>
    <t>solar resource in cluster 119</t>
  </si>
  <si>
    <t>e_spv_120</t>
  </si>
  <si>
    <t>solar resource in cluster 120</t>
  </si>
  <si>
    <t>e_spv_121</t>
  </si>
  <si>
    <t>solar resource in cluster 121</t>
  </si>
  <si>
    <t>e_spv_122</t>
  </si>
  <si>
    <t>solar resource in cluster 122</t>
  </si>
  <si>
    <t>e_spv_123</t>
  </si>
  <si>
    <t>solar resource in cluster 123</t>
  </si>
  <si>
    <t>e_spv_124</t>
  </si>
  <si>
    <t>solar resource in cluster 124</t>
  </si>
  <si>
    <t>e_spv_125</t>
  </si>
  <si>
    <t>solar resource in cluster 125</t>
  </si>
  <si>
    <t>e_spv_126</t>
  </si>
  <si>
    <t>solar resource in cluster 126</t>
  </si>
  <si>
    <t>e_spv_127</t>
  </si>
  <si>
    <t>solar resource in cluster 127</t>
  </si>
  <si>
    <t>e_spv_128</t>
  </si>
  <si>
    <t>solar resource in cluster 128</t>
  </si>
  <si>
    <t>e_spv_129</t>
  </si>
  <si>
    <t>solar resource in cluster 129</t>
  </si>
  <si>
    <t>e_spv_130</t>
  </si>
  <si>
    <t>solar resource in cluster 130</t>
  </si>
  <si>
    <t>e_spv_131</t>
  </si>
  <si>
    <t>solar resource in cluster 131</t>
  </si>
  <si>
    <t>e_spv_132</t>
  </si>
  <si>
    <t>solar resource in cluster 132</t>
  </si>
  <si>
    <t>e_spv_133</t>
  </si>
  <si>
    <t>solar resource in cluster 133</t>
  </si>
  <si>
    <t>e_spv_134</t>
  </si>
  <si>
    <t>solar resource in cluster 134</t>
  </si>
  <si>
    <t>e_spv_135</t>
  </si>
  <si>
    <t>solar resource in cluster 135</t>
  </si>
  <si>
    <t>e_spv_136</t>
  </si>
  <si>
    <t>solar resource in cluster 136</t>
  </si>
  <si>
    <t>~fi_t</t>
  </si>
  <si>
    <t>comm-out</t>
  </si>
  <si>
    <t>cap_bnd</t>
  </si>
  <si>
    <t>af~fx</t>
  </si>
  <si>
    <t>elc_spv_001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</si>
  <si>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</si>
  <si>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</si>
  <si>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</si>
  <si>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</si>
  <si>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</si>
  <si>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</si>
  <si>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</si>
  <si>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</si>
  <si>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</si>
  <si>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</si>
  <si>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</si>
  <si>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</si>
  <si>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</si>
  <si>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</si>
  <si>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</si>
  <si>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elc_spv_017</t>
  </si>
  <si>
    <t>elc_spv_018</t>
  </si>
  <si>
    <t>elc_spv_019</t>
  </si>
  <si>
    <t>elc_spv_020</t>
  </si>
  <si>
    <t>elc_spv_021</t>
  </si>
  <si>
    <t>elc_spv_022</t>
  </si>
  <si>
    <t>elc_spv_023</t>
  </si>
  <si>
    <t>elc_spv_024</t>
  </si>
  <si>
    <t>elc_spv_025</t>
  </si>
  <si>
    <t>elc_spv_026</t>
  </si>
  <si>
    <t>elc_spv_027</t>
  </si>
  <si>
    <t>elc_spv_028</t>
  </si>
  <si>
    <t>elc_spv_029</t>
  </si>
  <si>
    <t>elc_spv_030</t>
  </si>
  <si>
    <t>elc_spv_031</t>
  </si>
  <si>
    <t>elc_spv_032</t>
  </si>
  <si>
    <t>elc_spv_033</t>
  </si>
  <si>
    <t>elc_spv_034</t>
  </si>
  <si>
    <t>elc_spv_035</t>
  </si>
  <si>
    <t>elc_spv_036</t>
  </si>
  <si>
    <t>elc_spv_037</t>
  </si>
  <si>
    <t>elc_spv_038</t>
  </si>
  <si>
    <t>elc_spv_039</t>
  </si>
  <si>
    <t>elc_spv_040</t>
  </si>
  <si>
    <t>elc_spv_041</t>
  </si>
  <si>
    <t>elc_spv_042</t>
  </si>
  <si>
    <t>elc_spv_043</t>
  </si>
  <si>
    <t>elc_spv_044</t>
  </si>
  <si>
    <t>elc_spv_045</t>
  </si>
  <si>
    <t>elc_spv_046</t>
  </si>
  <si>
    <t>elc_spv_047</t>
  </si>
  <si>
    <t>elc_spv_048</t>
  </si>
  <si>
    <t>elc_spv_049</t>
  </si>
  <si>
    <t>elc_spv_050</t>
  </si>
  <si>
    <t>elc_spv_051</t>
  </si>
  <si>
    <t>elc_spv_052</t>
  </si>
  <si>
    <t>elc_spv_053</t>
  </si>
  <si>
    <t>elc_spv_054</t>
  </si>
  <si>
    <t>elc_spv_055</t>
  </si>
  <si>
    <t>elc_spv_056</t>
  </si>
  <si>
    <t>elc_spv_057</t>
  </si>
  <si>
    <t>elc_spv_058</t>
  </si>
  <si>
    <t>elc_spv_059</t>
  </si>
  <si>
    <t>elc_spv_060</t>
  </si>
  <si>
    <t>elc_spv_061</t>
  </si>
  <si>
    <t>elc_spv_062</t>
  </si>
  <si>
    <t>elc_spv_063</t>
  </si>
  <si>
    <t>elc_spv_064</t>
  </si>
  <si>
    <t>elc_spv_065</t>
  </si>
  <si>
    <t>elc_spv_066</t>
  </si>
  <si>
    <t>elc_spv_067</t>
  </si>
  <si>
    <t>elc_spv_068</t>
  </si>
  <si>
    <t>elc_spv_069</t>
  </si>
  <si>
    <t>elc_spv_070</t>
  </si>
  <si>
    <t>elc_spv_071</t>
  </si>
  <si>
    <t>elc_spv_072</t>
  </si>
  <si>
    <t>elc_spv_073</t>
  </si>
  <si>
    <t>elc_spv_074</t>
  </si>
  <si>
    <t>elc_spv_075</t>
  </si>
  <si>
    <t>elc_spv_076</t>
  </si>
  <si>
    <t>elc_spv_077</t>
  </si>
  <si>
    <t>elc_spv_078</t>
  </si>
  <si>
    <t>elc_spv_079</t>
  </si>
  <si>
    <t>elc_spv_080</t>
  </si>
  <si>
    <t>elc_spv_081</t>
  </si>
  <si>
    <t>elc_spv_082</t>
  </si>
  <si>
    <t>elc_spv_083</t>
  </si>
  <si>
    <t>elc_spv_084</t>
  </si>
  <si>
    <t>elc_spv_085</t>
  </si>
  <si>
    <t>elc_spv_086</t>
  </si>
  <si>
    <t>elc_spv_087</t>
  </si>
  <si>
    <t>elc_spv_088</t>
  </si>
  <si>
    <t>elc_spv_089</t>
  </si>
  <si>
    <t>elc_spv_090</t>
  </si>
  <si>
    <t>elc_spv_091</t>
  </si>
  <si>
    <t>elc_spv_092</t>
  </si>
  <si>
    <t>elc_spv_093</t>
  </si>
  <si>
    <t>elc_spv_094</t>
  </si>
  <si>
    <t>elc_spv_095</t>
  </si>
  <si>
    <t>elc_spv_096</t>
  </si>
  <si>
    <t>elc_spv_097</t>
  </si>
  <si>
    <t>elc_spv_098</t>
  </si>
  <si>
    <t>elc_spv_099</t>
  </si>
  <si>
    <t>elc_spv_100</t>
  </si>
  <si>
    <t>elc_spv_101</t>
  </si>
  <si>
    <t>elc_spv_102</t>
  </si>
  <si>
    <t>elc_spv_103</t>
  </si>
  <si>
    <t>elc_spv_104</t>
  </si>
  <si>
    <t>elc_spv_105</t>
  </si>
  <si>
    <t>elc_spv_106</t>
  </si>
  <si>
    <t>elc_spv_107</t>
  </si>
  <si>
    <t>elc_spv_108</t>
  </si>
  <si>
    <t>elc_spv_109</t>
  </si>
  <si>
    <t>elc_spv_110</t>
  </si>
  <si>
    <t>elc_spv_111</t>
  </si>
  <si>
    <t>elc_spv_112</t>
  </si>
  <si>
    <t>elc_spv_113</t>
  </si>
  <si>
    <t>elc_spv_114</t>
  </si>
  <si>
    <t>elc_spv_115</t>
  </si>
  <si>
    <t>elc_spv_116</t>
  </si>
  <si>
    <t>elc_spv_117</t>
  </si>
  <si>
    <t>elc_spv_118</t>
  </si>
  <si>
    <t>elc_spv_119</t>
  </si>
  <si>
    <t>elc_spv_120</t>
  </si>
  <si>
    <t>elc_spv_121</t>
  </si>
  <si>
    <t>elc_spv_122</t>
  </si>
  <si>
    <t>elc_spv_123</t>
  </si>
  <si>
    <t>elc_spv_124</t>
  </si>
  <si>
    <t>elc_spv_125</t>
  </si>
  <si>
    <t>elc_spv_126</t>
  </si>
  <si>
    <t>elc_spv_127</t>
  </si>
  <si>
    <t>elc_spv_128</t>
  </si>
  <si>
    <t>elc_spv_129</t>
  </si>
  <si>
    <t>elc_spv_130</t>
  </si>
  <si>
    <t>elc_spv_131</t>
  </si>
  <si>
    <t>elc_spv_132</t>
  </si>
  <si>
    <t>elc_spv_133</t>
  </si>
  <si>
    <t>elc_spv_134</t>
  </si>
  <si>
    <t>elc_spv_135</t>
  </si>
  <si>
    <t>elc_spv_136</t>
  </si>
  <si>
    <t>e_won_001</t>
  </si>
  <si>
    <t>wind resource in cluster 1</t>
  </si>
  <si>
    <t>e_won_002</t>
  </si>
  <si>
    <t>wind resource in cluster 2</t>
  </si>
  <si>
    <t>e_won_003</t>
  </si>
  <si>
    <t>wind resource in cluster 3</t>
  </si>
  <si>
    <t>e_won_004</t>
  </si>
  <si>
    <t>wind resource in cluster 4</t>
  </si>
  <si>
    <t>e_won_005</t>
  </si>
  <si>
    <t>wind resource in cluster 5</t>
  </si>
  <si>
    <t>e_won_006</t>
  </si>
  <si>
    <t>wind resource in cluster 6</t>
  </si>
  <si>
    <t>e_won_007</t>
  </si>
  <si>
    <t>wind resource in cluster 7</t>
  </si>
  <si>
    <t>e_won_008</t>
  </si>
  <si>
    <t>wind resource in cluster 8</t>
  </si>
  <si>
    <t>e_won_009</t>
  </si>
  <si>
    <t>wind resource in cluster 9</t>
  </si>
  <si>
    <t>e_won_010</t>
  </si>
  <si>
    <t>wind resource in cluster 10</t>
  </si>
  <si>
    <t>e_won_011</t>
  </si>
  <si>
    <t>wind resource in cluster 11</t>
  </si>
  <si>
    <t>e_won_012</t>
  </si>
  <si>
    <t>wind resource in cluster 12</t>
  </si>
  <si>
    <t>e_won_013</t>
  </si>
  <si>
    <t>wind resource in cluster 13</t>
  </si>
  <si>
    <t>e_won_014</t>
  </si>
  <si>
    <t>wind resource in cluster 14</t>
  </si>
  <si>
    <t>e_won_015</t>
  </si>
  <si>
    <t>wind resource in cluster 15</t>
  </si>
  <si>
    <t>e_won_016</t>
  </si>
  <si>
    <t>wind resource in cluster 16</t>
  </si>
  <si>
    <t>e_won_017</t>
  </si>
  <si>
    <t>wind resource in cluster 17</t>
  </si>
  <si>
    <t>e_won_018</t>
  </si>
  <si>
    <t>wind resource in cluster 18</t>
  </si>
  <si>
    <t>e_won_019</t>
  </si>
  <si>
    <t>wind resource in cluster 19</t>
  </si>
  <si>
    <t>e_won_020</t>
  </si>
  <si>
    <t>wind resource in cluster 20</t>
  </si>
  <si>
    <t>e_won_021</t>
  </si>
  <si>
    <t>wind resource in cluster 21</t>
  </si>
  <si>
    <t>e_won_022</t>
  </si>
  <si>
    <t>wind resource in cluster 22</t>
  </si>
  <si>
    <t>e_won_023</t>
  </si>
  <si>
    <t>wind resource in cluster 23</t>
  </si>
  <si>
    <t>e_won_024</t>
  </si>
  <si>
    <t>wind resource in cluster 24</t>
  </si>
  <si>
    <t>e_won_025</t>
  </si>
  <si>
    <t>wind resource in cluster 25</t>
  </si>
  <si>
    <t>e_won_026</t>
  </si>
  <si>
    <t>wind resource in cluster 26</t>
  </si>
  <si>
    <t>e_won_027</t>
  </si>
  <si>
    <t>wind resource in cluster 27</t>
  </si>
  <si>
    <t>e_won_028</t>
  </si>
  <si>
    <t>wind resource in cluster 28</t>
  </si>
  <si>
    <t>e_won_029</t>
  </si>
  <si>
    <t>wind resource in cluster 29</t>
  </si>
  <si>
    <t>e_won_030</t>
  </si>
  <si>
    <t>wind resource in cluster 30</t>
  </si>
  <si>
    <t>e_won_031</t>
  </si>
  <si>
    <t>wind resource in cluster 31</t>
  </si>
  <si>
    <t>e_won_032</t>
  </si>
  <si>
    <t>wind resource in cluster 32</t>
  </si>
  <si>
    <t>e_won_033</t>
  </si>
  <si>
    <t>wind resource in cluster 33</t>
  </si>
  <si>
    <t>e_won_034</t>
  </si>
  <si>
    <t>wind resource in cluster 34</t>
  </si>
  <si>
    <t>e_won_035</t>
  </si>
  <si>
    <t>wind resource in cluster 35</t>
  </si>
  <si>
    <t>e_won_036</t>
  </si>
  <si>
    <t>wind resource in cluster 36</t>
  </si>
  <si>
    <t>e_won_037</t>
  </si>
  <si>
    <t>wind resource in cluster 37</t>
  </si>
  <si>
    <t>e_won_038</t>
  </si>
  <si>
    <t>wind resource in cluster 38</t>
  </si>
  <si>
    <t>e_won_039</t>
  </si>
  <si>
    <t>wind resource in cluster 39</t>
  </si>
  <si>
    <t>e_won_040</t>
  </si>
  <si>
    <t>wind resource in cluster 40</t>
  </si>
  <si>
    <t>e_won_041</t>
  </si>
  <si>
    <t>wind resource in cluster 41</t>
  </si>
  <si>
    <t>e_won_042</t>
  </si>
  <si>
    <t>wind resource in cluster 42</t>
  </si>
  <si>
    <t>e_won_043</t>
  </si>
  <si>
    <t>wind resource in cluster 43</t>
  </si>
  <si>
    <t>e_won_044</t>
  </si>
  <si>
    <t>wind resource in cluster 44</t>
  </si>
  <si>
    <t>e_won_045</t>
  </si>
  <si>
    <t>wind resource in cluster 45</t>
  </si>
  <si>
    <t>e_won_046</t>
  </si>
  <si>
    <t>wind resource in cluster 46</t>
  </si>
  <si>
    <t>e_won_047</t>
  </si>
  <si>
    <t>wind resource in cluster 47</t>
  </si>
  <si>
    <t>e_won_048</t>
  </si>
  <si>
    <t>wind resource in cluster 48</t>
  </si>
  <si>
    <t>e_won_049</t>
  </si>
  <si>
    <t>wind resource in cluster 49</t>
  </si>
  <si>
    <t>e_won_050</t>
  </si>
  <si>
    <t>wind resource in cluster 50</t>
  </si>
  <si>
    <t>e_won_051</t>
  </si>
  <si>
    <t>wind resource in cluster 51</t>
  </si>
  <si>
    <t>e_won_052</t>
  </si>
  <si>
    <t>wind resource in cluster 52</t>
  </si>
  <si>
    <t>e_won_053</t>
  </si>
  <si>
    <t>wind resource in cluster 53</t>
  </si>
  <si>
    <t>e_won_054</t>
  </si>
  <si>
    <t>wind resource in cluster 54</t>
  </si>
  <si>
    <t>e_won_055</t>
  </si>
  <si>
    <t>wind resource in cluster 55</t>
  </si>
  <si>
    <t>e_won_056</t>
  </si>
  <si>
    <t>wind resource in cluster 56</t>
  </si>
  <si>
    <t>e_won_057</t>
  </si>
  <si>
    <t>wind resource in cluster 57</t>
  </si>
  <si>
    <t>e_won_058</t>
  </si>
  <si>
    <t>wind resource in cluster 58</t>
  </si>
  <si>
    <t>e_won_059</t>
  </si>
  <si>
    <t>wind resource in cluster 59</t>
  </si>
  <si>
    <t>e_won_060</t>
  </si>
  <si>
    <t>wind resource in cluster 60</t>
  </si>
  <si>
    <t>e_won_061</t>
  </si>
  <si>
    <t>wind resource in cluster 61</t>
  </si>
  <si>
    <t>e_won_062</t>
  </si>
  <si>
    <t>wind resource in cluster 62</t>
  </si>
  <si>
    <t>e_won_063</t>
  </si>
  <si>
    <t>wind resource in cluster 63</t>
  </si>
  <si>
    <t>e_won_064</t>
  </si>
  <si>
    <t>wind resource in cluster 64</t>
  </si>
  <si>
    <t>e_won_065</t>
  </si>
  <si>
    <t>wind resource in cluster 65</t>
  </si>
  <si>
    <t>e_won_066</t>
  </si>
  <si>
    <t>wind resource in cluster 66</t>
  </si>
  <si>
    <t>e_won_067</t>
  </si>
  <si>
    <t>wind resource in cluster 67</t>
  </si>
  <si>
    <t>e_won_068</t>
  </si>
  <si>
    <t>wind resource in cluster 68</t>
  </si>
  <si>
    <t>e_won_069</t>
  </si>
  <si>
    <t>wind resource in cluster 69</t>
  </si>
  <si>
    <t>e_won_070</t>
  </si>
  <si>
    <t>wind resource in cluster 70</t>
  </si>
  <si>
    <t>e_won_071</t>
  </si>
  <si>
    <t>wind resource in cluster 71</t>
  </si>
  <si>
    <t>e_won_072</t>
  </si>
  <si>
    <t>wind resource in cluster 72</t>
  </si>
  <si>
    <t>e_won_073</t>
  </si>
  <si>
    <t>wind resource in cluster 73</t>
  </si>
  <si>
    <t>e_won_074</t>
  </si>
  <si>
    <t>wind resource in cluster 74</t>
  </si>
  <si>
    <t>e_won_075</t>
  </si>
  <si>
    <t>wind resource in cluster 75</t>
  </si>
  <si>
    <t>e_won_076</t>
  </si>
  <si>
    <t>wind resource in cluster 76</t>
  </si>
  <si>
    <t>e_won_077</t>
  </si>
  <si>
    <t>wind resource in cluster 77</t>
  </si>
  <si>
    <t>e_won_078</t>
  </si>
  <si>
    <t>wind resource in cluster 78</t>
  </si>
  <si>
    <t>e_won_079</t>
  </si>
  <si>
    <t>wind resource in cluster 79</t>
  </si>
  <si>
    <t>e_won_080</t>
  </si>
  <si>
    <t>wind resource in cluster 80</t>
  </si>
  <si>
    <t>e_won_081</t>
  </si>
  <si>
    <t>wind resource in cluster 81</t>
  </si>
  <si>
    <t>e_won_082</t>
  </si>
  <si>
    <t>wind resource in cluster 82</t>
  </si>
  <si>
    <t>e_won_083</t>
  </si>
  <si>
    <t>wind resource in cluster 83</t>
  </si>
  <si>
    <t>e_won_084</t>
  </si>
  <si>
    <t>wind resource in cluster 84</t>
  </si>
  <si>
    <t>e_won_085</t>
  </si>
  <si>
    <t>wind resource in cluster 85</t>
  </si>
  <si>
    <t>e_won_086</t>
  </si>
  <si>
    <t>wind resource in cluster 86</t>
  </si>
  <si>
    <t>e_won_087</t>
  </si>
  <si>
    <t>wind resource in cluster 87</t>
  </si>
  <si>
    <t>e_won_088</t>
  </si>
  <si>
    <t>wind resource in cluster 88</t>
  </si>
  <si>
    <t>e_won_089</t>
  </si>
  <si>
    <t>wind resource in cluster 89</t>
  </si>
  <si>
    <t>e_won_090</t>
  </si>
  <si>
    <t>wind resource in cluster 90</t>
  </si>
  <si>
    <t>e_won_091</t>
  </si>
  <si>
    <t>wind resource in cluster 91</t>
  </si>
  <si>
    <t>e_won_092</t>
  </si>
  <si>
    <t>wind resource in cluster 92</t>
  </si>
  <si>
    <t>e_won_093</t>
  </si>
  <si>
    <t>wind resource in cluster 93</t>
  </si>
  <si>
    <t>e_won_094</t>
  </si>
  <si>
    <t>wind resource in cluster 94</t>
  </si>
  <si>
    <t>e_won_095</t>
  </si>
  <si>
    <t>wind resource in cluster 95</t>
  </si>
  <si>
    <t>e_won_096</t>
  </si>
  <si>
    <t>wind resource in cluster 96</t>
  </si>
  <si>
    <t>e_won_097</t>
  </si>
  <si>
    <t>wind resource in cluster 97</t>
  </si>
  <si>
    <t>e_won_098</t>
  </si>
  <si>
    <t>wind resource in cluster 98</t>
  </si>
  <si>
    <t>e_won_099</t>
  </si>
  <si>
    <t>wind resource in cluster 99</t>
  </si>
  <si>
    <t>e_won_100</t>
  </si>
  <si>
    <t>wind resource in cluster 100</t>
  </si>
  <si>
    <t>e_won_101</t>
  </si>
  <si>
    <t>wind resource in cluster 101</t>
  </si>
  <si>
    <t>e_won_102</t>
  </si>
  <si>
    <t>wind resource in cluster 102</t>
  </si>
  <si>
    <t>e_won_103</t>
  </si>
  <si>
    <t>wind resource in cluster 103</t>
  </si>
  <si>
    <t>e_won_104</t>
  </si>
  <si>
    <t>wind resource in cluster 104</t>
  </si>
  <si>
    <t>e_won_105</t>
  </si>
  <si>
    <t>wind resource in cluster 105</t>
  </si>
  <si>
    <t>e_won_106</t>
  </si>
  <si>
    <t>wind resource in cluster 106</t>
  </si>
  <si>
    <t>e_won_107</t>
  </si>
  <si>
    <t>wind resource in cluster 107</t>
  </si>
  <si>
    <t>e_won_108</t>
  </si>
  <si>
    <t>wind resource in cluster 108</t>
  </si>
  <si>
    <t>e_won_109</t>
  </si>
  <si>
    <t>wind resource in cluster 109</t>
  </si>
  <si>
    <t>e_won_110</t>
  </si>
  <si>
    <t>wind resource in cluster 110</t>
  </si>
  <si>
    <t>e_won_111</t>
  </si>
  <si>
    <t>wind resource in cluster 111</t>
  </si>
  <si>
    <t>e_won_112</t>
  </si>
  <si>
    <t>wind resource in cluster 112</t>
  </si>
  <si>
    <t>e_won_113</t>
  </si>
  <si>
    <t>wind resource in cluster 113</t>
  </si>
  <si>
    <t>e_won_114</t>
  </si>
  <si>
    <t>wind resource in cluster 114</t>
  </si>
  <si>
    <t>elc_won_001</t>
  </si>
  <si>
    <t>elc_won_002</t>
  </si>
  <si>
    <t>elc_won_003</t>
  </si>
  <si>
    <t>elc_won_004</t>
  </si>
  <si>
    <t>elc_won_005</t>
  </si>
  <si>
    <t>elc_won_006</t>
  </si>
  <si>
    <t>elc_won_007</t>
  </si>
  <si>
    <t>elc_won_008</t>
  </si>
  <si>
    <t>elc_won_009</t>
  </si>
  <si>
    <t>elc_won_010</t>
  </si>
  <si>
    <t>elc_won_011</t>
  </si>
  <si>
    <t>elc_won_012</t>
  </si>
  <si>
    <t>elc_won_013</t>
  </si>
  <si>
    <t>elc_won_014</t>
  </si>
  <si>
    <t>elc_won_015</t>
  </si>
  <si>
    <t>elc_won_016</t>
  </si>
  <si>
    <t>elc_won_017</t>
  </si>
  <si>
    <t>elc_won_018</t>
  </si>
  <si>
    <t>elc_won_019</t>
  </si>
  <si>
    <t>elc_won_020</t>
  </si>
  <si>
    <t>elc_won_021</t>
  </si>
  <si>
    <t>elc_won_022</t>
  </si>
  <si>
    <t>elc_won_023</t>
  </si>
  <si>
    <t>elc_won_024</t>
  </si>
  <si>
    <t>elc_won_025</t>
  </si>
  <si>
    <t>elc_won_026</t>
  </si>
  <si>
    <t>elc_won_027</t>
  </si>
  <si>
    <t>elc_won_028</t>
  </si>
  <si>
    <t>elc_won_029</t>
  </si>
  <si>
    <t>elc_won_030</t>
  </si>
  <si>
    <t>elc_won_031</t>
  </si>
  <si>
    <t>elc_won_032</t>
  </si>
  <si>
    <t>elc_won_033</t>
  </si>
  <si>
    <t>elc_won_034</t>
  </si>
  <si>
    <t>elc_won_035</t>
  </si>
  <si>
    <t>elc_won_036</t>
  </si>
  <si>
    <t>elc_won_037</t>
  </si>
  <si>
    <t>elc_won_038</t>
  </si>
  <si>
    <t>elc_won_039</t>
  </si>
  <si>
    <t>elc_won_040</t>
  </si>
  <si>
    <t>elc_won_041</t>
  </si>
  <si>
    <t>elc_won_042</t>
  </si>
  <si>
    <t>elc_won_043</t>
  </si>
  <si>
    <t>elc_won_044</t>
  </si>
  <si>
    <t>elc_won_045</t>
  </si>
  <si>
    <t>elc_won_046</t>
  </si>
  <si>
    <t>elc_won_047</t>
  </si>
  <si>
    <t>elc_won_048</t>
  </si>
  <si>
    <t>elc_won_049</t>
  </si>
  <si>
    <t>elc_won_050</t>
  </si>
  <si>
    <t>elc_won_051</t>
  </si>
  <si>
    <t>elc_won_052</t>
  </si>
  <si>
    <t>elc_won_053</t>
  </si>
  <si>
    <t>elc_won_054</t>
  </si>
  <si>
    <t>elc_won_055</t>
  </si>
  <si>
    <t>elc_won_056</t>
  </si>
  <si>
    <t>elc_won_057</t>
  </si>
  <si>
    <t>elc_won_058</t>
  </si>
  <si>
    <t>elc_won_059</t>
  </si>
  <si>
    <t>elc_won_060</t>
  </si>
  <si>
    <t>elc_won_061</t>
  </si>
  <si>
    <t>elc_won_062</t>
  </si>
  <si>
    <t>elc_won_063</t>
  </si>
  <si>
    <t>elc_won_064</t>
  </si>
  <si>
    <t>elc_won_065</t>
  </si>
  <si>
    <t>elc_won_066</t>
  </si>
  <si>
    <t>elc_won_067</t>
  </si>
  <si>
    <t>elc_won_068</t>
  </si>
  <si>
    <t>elc_won_069</t>
  </si>
  <si>
    <t>elc_won_070</t>
  </si>
  <si>
    <t>elc_won_071</t>
  </si>
  <si>
    <t>elc_won_072</t>
  </si>
  <si>
    <t>elc_won_073</t>
  </si>
  <si>
    <t>elc_won_074</t>
  </si>
  <si>
    <t>elc_won_075</t>
  </si>
  <si>
    <t>elc_won_076</t>
  </si>
  <si>
    <t>elc_won_077</t>
  </si>
  <si>
    <t>elc_won_078</t>
  </si>
  <si>
    <t>elc_won_079</t>
  </si>
  <si>
    <t>elc_won_080</t>
  </si>
  <si>
    <t>elc_won_081</t>
  </si>
  <si>
    <t>elc_won_082</t>
  </si>
  <si>
    <t>elc_won_083</t>
  </si>
  <si>
    <t>elc_won_084</t>
  </si>
  <si>
    <t>elc_won_085</t>
  </si>
  <si>
    <t>elc_won_086</t>
  </si>
  <si>
    <t>elc_won_087</t>
  </si>
  <si>
    <t>elc_won_088</t>
  </si>
  <si>
    <t>elc_won_089</t>
  </si>
  <si>
    <t>elc_won_090</t>
  </si>
  <si>
    <t>elc_won_091</t>
  </si>
  <si>
    <t>elc_won_092</t>
  </si>
  <si>
    <t>elc_won_093</t>
  </si>
  <si>
    <t>elc_won_094</t>
  </si>
  <si>
    <t>elc_won_095</t>
  </si>
  <si>
    <t>elc_won_096</t>
  </si>
  <si>
    <t>elc_won_097</t>
  </si>
  <si>
    <t>elc_won_098</t>
  </si>
  <si>
    <t>elc_won_099</t>
  </si>
  <si>
    <t>elc_won_100</t>
  </si>
  <si>
    <t>elc_won_101</t>
  </si>
  <si>
    <t>elc_won_102</t>
  </si>
  <si>
    <t>elc_won_103</t>
  </si>
  <si>
    <t>elc_won_104</t>
  </si>
  <si>
    <t>elc_won_105</t>
  </si>
  <si>
    <t>elc_won_106</t>
  </si>
  <si>
    <t>elc_won_107</t>
  </si>
  <si>
    <t>elc_won_108</t>
  </si>
  <si>
    <t>elc_won_109</t>
  </si>
  <si>
    <t>elc_won_110</t>
  </si>
  <si>
    <t>elc_won_111</t>
  </si>
  <si>
    <t>elc_won_112</t>
  </si>
  <si>
    <t>elc_won_113</t>
  </si>
  <si>
    <t>elc_won_114</t>
  </si>
  <si>
    <t>e_wof_001</t>
  </si>
  <si>
    <t>wind offshore resource in cluster 1</t>
  </si>
  <si>
    <t>e_wof_002</t>
  </si>
  <si>
    <t>wind offshore resource in cluster 2</t>
  </si>
  <si>
    <t>e_wof_003</t>
  </si>
  <si>
    <t>wind offshore resource in cluster 3</t>
  </si>
  <si>
    <t>e_wof_004</t>
  </si>
  <si>
    <t>wind offshore resource in cluster 4</t>
  </si>
  <si>
    <t>e_wof_005</t>
  </si>
  <si>
    <t>wind offshore resource in cluster 5</t>
  </si>
  <si>
    <t>e_wof_006</t>
  </si>
  <si>
    <t>wind offshore resource in cluster 6</t>
  </si>
  <si>
    <t>e_wof_007</t>
  </si>
  <si>
    <t>wind offshore resource in cluster 7</t>
  </si>
  <si>
    <t>e_wof_008</t>
  </si>
  <si>
    <t>wind offshore resource in cluster 8</t>
  </si>
  <si>
    <t>e_wof_009</t>
  </si>
  <si>
    <t>wind offshore resource in cluster 9</t>
  </si>
  <si>
    <t>e_wof_010</t>
  </si>
  <si>
    <t>wind offshore resource in cluster 10</t>
  </si>
  <si>
    <t>e_wof_011</t>
  </si>
  <si>
    <t>wind offshore resource in cluster 11</t>
  </si>
  <si>
    <t>e_wof_012</t>
  </si>
  <si>
    <t>wind offshore resource in cluster 12</t>
  </si>
  <si>
    <t>e_wof_013</t>
  </si>
  <si>
    <t>wind offshore resource in cluster 13</t>
  </si>
  <si>
    <t>e_wof_014</t>
  </si>
  <si>
    <t>wind offshore resource in cluster 14</t>
  </si>
  <si>
    <t>e_wof_015</t>
  </si>
  <si>
    <t>wind offshore resource in cluster 15</t>
  </si>
  <si>
    <t>e_wof_016</t>
  </si>
  <si>
    <t>wind offshore resource in cluster 16</t>
  </si>
  <si>
    <t>e_wof_017</t>
  </si>
  <si>
    <t>wind offshore resource in cluster 17</t>
  </si>
  <si>
    <t>e_wof_018</t>
  </si>
  <si>
    <t>wind offshore resource in cluster 18</t>
  </si>
  <si>
    <t>e_wof_019</t>
  </si>
  <si>
    <t>wind offshore resource in cluster 19</t>
  </si>
  <si>
    <t>e_wof_020</t>
  </si>
  <si>
    <t>wind offshore resource in cluster 20</t>
  </si>
  <si>
    <t>e_wof_021</t>
  </si>
  <si>
    <t>wind offshore resource in cluster 21</t>
  </si>
  <si>
    <t>e_wof_022</t>
  </si>
  <si>
    <t>wind offshore resource in cluster 22</t>
  </si>
  <si>
    <t>e_wof_023</t>
  </si>
  <si>
    <t>wind offshore resource in cluster 23</t>
  </si>
  <si>
    <t>e_wof_024</t>
  </si>
  <si>
    <t>wind offshore resource in cluster 24</t>
  </si>
  <si>
    <t>e_wof_025</t>
  </si>
  <si>
    <t>wind offshore resource in cluster 25</t>
  </si>
  <si>
    <t>e_wof_026</t>
  </si>
  <si>
    <t>wind offshore resource in cluster 26</t>
  </si>
  <si>
    <t>e_wof_027</t>
  </si>
  <si>
    <t>wind offshore resource in cluster 27</t>
  </si>
  <si>
    <t>e_wof_028</t>
  </si>
  <si>
    <t>wind offshore resource in cluster 28</t>
  </si>
  <si>
    <t>e_wof_029</t>
  </si>
  <si>
    <t>wind offshore resource in cluster 29</t>
  </si>
  <si>
    <t>e_wof_030</t>
  </si>
  <si>
    <t>wind offshore resource in cluster 30</t>
  </si>
  <si>
    <t>e_wof_031</t>
  </si>
  <si>
    <t>wind offshore resource in cluster 31</t>
  </si>
  <si>
    <t>e_wof_032</t>
  </si>
  <si>
    <t>wind offshore resource in cluster 32</t>
  </si>
  <si>
    <t>e_wof_033</t>
  </si>
  <si>
    <t>wind offshore resource in cluster 33</t>
  </si>
  <si>
    <t>e_wof_034</t>
  </si>
  <si>
    <t>wind offshore resource in cluster 34</t>
  </si>
  <si>
    <t>elc_wof_001</t>
  </si>
  <si>
    <t>elc_wof_002</t>
  </si>
  <si>
    <t>elc_wof_003</t>
  </si>
  <si>
    <t>elc_wof_004</t>
  </si>
  <si>
    <t>elc_wof_005</t>
  </si>
  <si>
    <t>elc_wof_006</t>
  </si>
  <si>
    <t>elc_wof_007</t>
  </si>
  <si>
    <t>elc_wof_008</t>
  </si>
  <si>
    <t>elc_wof_009</t>
  </si>
  <si>
    <t>elc_wof_010</t>
  </si>
  <si>
    <t>elc_wof_011</t>
  </si>
  <si>
    <t>elc_wof_012</t>
  </si>
  <si>
    <t>elc_wof_013</t>
  </si>
  <si>
    <t>elc_wof_014</t>
  </si>
  <si>
    <t>elc_wof_015</t>
  </si>
  <si>
    <t>elc_wof_016</t>
  </si>
  <si>
    <t>elc_wof_017</t>
  </si>
  <si>
    <t>elc_wof_018</t>
  </si>
  <si>
    <t>elc_wof_019</t>
  </si>
  <si>
    <t>elc_wof_020</t>
  </si>
  <si>
    <t>elc_wof_021</t>
  </si>
  <si>
    <t>elc_wof_022</t>
  </si>
  <si>
    <t>elc_wof_023</t>
  </si>
  <si>
    <t>elc_wof_024</t>
  </si>
  <si>
    <t>elc_wof_025</t>
  </si>
  <si>
    <t>elc_wof_026</t>
  </si>
  <si>
    <t>elc_wof_027</t>
  </si>
  <si>
    <t>elc_wof_028</t>
  </si>
  <si>
    <t>elc_wof_029</t>
  </si>
  <si>
    <t>elc_wof_030</t>
  </si>
  <si>
    <t>elc_wof_031</t>
  </si>
  <si>
    <t>elc_wof_032</t>
  </si>
  <si>
    <t>elc_wof_033</t>
  </si>
  <si>
    <t>elc_wof_034</t>
  </si>
  <si>
    <t>comm-in</t>
  </si>
  <si>
    <t>Bioenergy + CCUS</t>
  </si>
  <si>
    <t>ncap_af</t>
  </si>
  <si>
    <t>ncap_cost</t>
  </si>
  <si>
    <t>ncap_fom</t>
  </si>
  <si>
    <t>ncap_iled</t>
  </si>
  <si>
    <t>Bioenergy - Large scale unit</t>
  </si>
  <si>
    <t>CCGT</t>
  </si>
  <si>
    <t>CCGT + CCS</t>
  </si>
  <si>
    <t>Coal + CCS</t>
  </si>
  <si>
    <t>Gas turbine</t>
  </si>
  <si>
    <t>Hydropower - large-scale unit</t>
  </si>
  <si>
    <t>IGCC</t>
  </si>
  <si>
    <t>IGCC + CCS</t>
  </si>
  <si>
    <t>Nuclear large</t>
  </si>
  <si>
    <t>Oxyfuel + CCS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</si>
  <si>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</si>
  <si>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</si>
  <si>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</si>
  <si>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</si>
  <si>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</si>
  <si>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unknown</t>
  </si>
  <si>
    <t>Wind onshore</t>
  </si>
  <si>
    <t>daynite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</si>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</sst>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9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</cellStyleXfs>
  <cellXfs count="153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19">
    <cellStyle name="20% - Accent3 3 2" xfId="4" xr:uid="{ABC4988B-8BA7-47D0-A9D6-448C999748B6}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2:V19"/>
  <sheetViews>
    <sheetView workbookViewId="0">
      <selection activeCell="G9" sqref="G9"/>
    </sheetView>
  </sheetViews>
  <sheetFormatPr defaultRowHeight="14.25"/>
  <cols>
    <col min="2" max="2" width="10.1328125" bestFit="1" customWidth="1"/>
    <col min="3" max="3" width="17.9296875" bestFit="1" customWidth="1"/>
    <col min="4" max="4" width="8.06640625" bestFit="1" customWidth="1"/>
    <col min="5" max="5" width="4.3984375" bestFit="1" customWidth="1"/>
    <col min="6" max="6" width="4.59765625" bestFit="1" customWidth="1"/>
    <col min="7" max="7" width="7.59765625" bestFit="1" customWidth="1"/>
    <col min="10" max="10" width="17.9296875" bestFit="1" customWidth="1"/>
    <col min="11" max="11" width="8.1328125" bestFit="1" customWidth="1"/>
    <col min="12" max="12" width="32.19921875" bestFit="1" customWidth="1"/>
    <col min="13" max="13" width="3.3984375" bestFit="1" customWidth="1"/>
    <col min="14" max="14" width="7.73046875" bestFit="1" customWidth="1"/>
    <col min="15" max="15" width="6.9296875" bestFit="1" customWidth="1"/>
    <col min="17" max="17" width="3.73046875" bestFit="1" customWidth="1"/>
    <col min="22" max="22" width="4.265625" bestFit="1" customWidth="1"/>
  </cols>
  <sheetData>
    <row r="2" spans="2:22" ht="14.65" thickBot="1">
      <c r="B2" s="2" t="s">
        <v>0</v>
      </c>
      <c r="L2" s="2" t="s">
        <v>102</v>
      </c>
      <c r="N2" s="1"/>
      <c r="O2" s="1"/>
      <c r="P2" s="1"/>
      <c r="Q2" s="1"/>
    </row>
    <row r="3" spans="2:22">
      <c r="B3" s="1" t="s">
        <v>6</v>
      </c>
      <c r="C3" s="1" t="s">
        <v>1</v>
      </c>
      <c r="D3" s="1" t="s">
        <v>7</v>
      </c>
      <c r="E3" s="1" t="s">
        <v>9</v>
      </c>
      <c r="F3" s="1" t="s">
        <v>8</v>
      </c>
      <c r="G3" s="1" t="s">
        <v>11</v>
      </c>
      <c r="J3" s="1" t="s">
        <v>12</v>
      </c>
      <c r="K3" s="1" t="s">
        <v>2</v>
      </c>
      <c r="L3" s="1" t="s">
        <v>3</v>
      </c>
      <c r="M3" t="s">
        <v>4</v>
      </c>
      <c r="N3" t="s">
        <v>5</v>
      </c>
      <c r="O3" s="1" t="s">
        <v>30</v>
      </c>
      <c r="P3" s="1">
        <v>2022</v>
      </c>
      <c r="Q3" s="1">
        <v>0</v>
      </c>
      <c r="R3" t="s">
        <v>101</v>
      </c>
      <c r="S3" t="s">
        <v>105</v>
      </c>
    </row>
    <row r="4" spans="2:22">
      <c r="B4" s="1" t="s">
        <v>17</v>
      </c>
      <c r="C4" s="1" t="s">
        <v>13</v>
      </c>
      <c r="E4" s="1" t="s">
        <v>21</v>
      </c>
      <c r="F4" t="s">
        <v>10</v>
      </c>
      <c r="G4" t="s">
        <v>14</v>
      </c>
      <c r="J4" s="1" t="str">
        <f>C4</f>
        <v>ElcAgg_Solar</v>
      </c>
      <c r="L4" s="1" t="s">
        <v>15</v>
      </c>
      <c r="M4" s="1">
        <v>1</v>
      </c>
      <c r="N4" s="1">
        <v>8.76</v>
      </c>
      <c r="O4" s="1"/>
      <c r="P4" s="1"/>
      <c r="Q4" s="1"/>
    </row>
    <row r="5" spans="2:22">
      <c r="B5" s="1" t="s">
        <v>17</v>
      </c>
      <c r="C5" s="1" t="s">
        <v>16</v>
      </c>
      <c r="E5" s="1" t="s">
        <v>21</v>
      </c>
      <c r="F5" t="s">
        <v>10</v>
      </c>
      <c r="G5" t="s">
        <v>14</v>
      </c>
      <c r="H5" s="1"/>
      <c r="I5" s="1"/>
      <c r="J5" s="1" t="str">
        <f>C5</f>
        <v>ElcAgg_Wind</v>
      </c>
      <c r="L5" s="1" t="s">
        <v>15</v>
      </c>
      <c r="M5" s="1">
        <v>1</v>
      </c>
      <c r="N5" s="1">
        <v>8.76</v>
      </c>
      <c r="O5" s="1"/>
      <c r="P5" s="1"/>
      <c r="Q5" s="1"/>
    </row>
    <row r="6" spans="2:22">
      <c r="B6" t="s">
        <v>20</v>
      </c>
      <c r="C6" t="s">
        <v>104</v>
      </c>
      <c r="D6" s="1" t="s">
        <v>106</v>
      </c>
      <c r="E6" s="1" t="s">
        <v>21</v>
      </c>
      <c r="F6" t="s">
        <v>10</v>
      </c>
      <c r="G6" s="1"/>
      <c r="H6" s="1"/>
      <c r="I6" s="1"/>
      <c r="J6" s="1" t="str">
        <f>C6</f>
        <v>e_demand</v>
      </c>
      <c r="K6" s="1" t="s">
        <v>19</v>
      </c>
      <c r="L6" t="s">
        <v>22</v>
      </c>
      <c r="M6" s="1">
        <v>1</v>
      </c>
      <c r="N6" s="1">
        <v>8.76</v>
      </c>
      <c r="O6" s="1"/>
      <c r="P6" s="1"/>
      <c r="Q6" s="1"/>
      <c r="V6" t="s">
        <v>100</v>
      </c>
    </row>
    <row r="7" spans="2:22">
      <c r="B7" t="s">
        <v>20</v>
      </c>
      <c r="C7" t="s">
        <v>147</v>
      </c>
      <c r="D7" s="1" t="s">
        <v>148</v>
      </c>
      <c r="E7" s="1" t="s">
        <v>21</v>
      </c>
      <c r="F7" t="s">
        <v>10</v>
      </c>
      <c r="G7" s="1"/>
      <c r="H7" s="1"/>
      <c r="I7" s="1"/>
      <c r="J7" s="1" t="str">
        <f>C7</f>
        <v>h_demand</v>
      </c>
      <c r="K7" s="1" t="s">
        <v>35</v>
      </c>
      <c r="L7" t="s">
        <v>149</v>
      </c>
      <c r="M7" s="1">
        <v>1</v>
      </c>
      <c r="N7" s="1">
        <v>8.76</v>
      </c>
      <c r="O7" s="1"/>
      <c r="P7" s="1"/>
      <c r="Q7" s="1"/>
    </row>
    <row r="8" spans="2:22">
      <c r="B8" t="s">
        <v>29</v>
      </c>
      <c r="C8" t="s">
        <v>98</v>
      </c>
      <c r="D8" s="1"/>
      <c r="E8" s="1" t="s">
        <v>21</v>
      </c>
      <c r="F8" t="s">
        <v>10</v>
      </c>
      <c r="G8" t="s">
        <v>14</v>
      </c>
      <c r="H8" s="1"/>
      <c r="I8" s="1"/>
      <c r="J8" s="1" t="str">
        <f>C10</f>
        <v>fossil_supply</v>
      </c>
      <c r="K8" s="1"/>
      <c r="L8" s="1" t="s">
        <v>32</v>
      </c>
      <c r="M8" s="1"/>
      <c r="N8" s="1"/>
      <c r="O8" s="1">
        <f t="shared" ref="O8:O12" si="0">V8*3.6</f>
        <v>7.2</v>
      </c>
      <c r="P8" s="1"/>
      <c r="V8" s="1">
        <v>2</v>
      </c>
    </row>
    <row r="9" spans="2:22">
      <c r="B9" t="s">
        <v>97</v>
      </c>
      <c r="C9" t="s">
        <v>99</v>
      </c>
      <c r="D9" s="1"/>
      <c r="E9" s="1" t="s">
        <v>21</v>
      </c>
      <c r="F9" t="s">
        <v>10</v>
      </c>
      <c r="G9" t="s">
        <v>14</v>
      </c>
      <c r="H9" s="1"/>
      <c r="I9" s="1"/>
      <c r="K9" s="1"/>
      <c r="L9" s="1" t="s">
        <v>33</v>
      </c>
      <c r="M9" s="1"/>
      <c r="N9" s="1"/>
      <c r="O9" s="1">
        <f t="shared" si="0"/>
        <v>18</v>
      </c>
      <c r="P9" s="1"/>
      <c r="V9" s="1">
        <v>5</v>
      </c>
    </row>
    <row r="10" spans="2:22">
      <c r="B10" s="1" t="s">
        <v>29</v>
      </c>
      <c r="C10" s="1" t="s">
        <v>152</v>
      </c>
      <c r="D10" s="1" t="s">
        <v>107</v>
      </c>
      <c r="E10" s="1" t="s">
        <v>21</v>
      </c>
      <c r="F10" t="s">
        <v>10</v>
      </c>
      <c r="G10" s="1"/>
      <c r="H10" s="1"/>
      <c r="I10" s="1"/>
      <c r="K10" s="1"/>
      <c r="L10" s="1" t="s">
        <v>37</v>
      </c>
      <c r="M10" s="1"/>
      <c r="N10" s="1"/>
      <c r="O10" s="1">
        <f>V10*3.6</f>
        <v>36</v>
      </c>
      <c r="P10" s="1"/>
      <c r="V10">
        <v>10</v>
      </c>
    </row>
    <row r="11" spans="2:22">
      <c r="B11" s="1" t="s">
        <v>29</v>
      </c>
      <c r="C11" s="1" t="s">
        <v>154</v>
      </c>
      <c r="D11" s="1" t="s">
        <v>153</v>
      </c>
      <c r="E11" s="1" t="s">
        <v>21</v>
      </c>
      <c r="F11" t="s">
        <v>10</v>
      </c>
      <c r="G11" s="1"/>
      <c r="H11" s="1"/>
      <c r="I11" s="1"/>
      <c r="J11" s="1" t="str">
        <f>C11</f>
        <v>renewable</v>
      </c>
      <c r="K11" s="1"/>
      <c r="L11" s="1" t="s">
        <v>34</v>
      </c>
      <c r="M11" s="1"/>
      <c r="N11" s="1"/>
      <c r="O11" s="1">
        <f t="shared" si="0"/>
        <v>0.36000000000000004</v>
      </c>
      <c r="P11" s="1"/>
      <c r="V11">
        <v>0.1</v>
      </c>
    </row>
    <row r="12" spans="2:22">
      <c r="B12" s="1" t="s">
        <v>29</v>
      </c>
      <c r="C12" s="1" t="s">
        <v>155</v>
      </c>
      <c r="D12" s="1" t="s">
        <v>156</v>
      </c>
      <c r="E12" s="1" t="s">
        <v>21</v>
      </c>
      <c r="F12" t="s">
        <v>10</v>
      </c>
      <c r="G12" s="1"/>
      <c r="H12" s="1"/>
      <c r="I12" s="1"/>
      <c r="K12" s="1"/>
      <c r="L12" s="1" t="s">
        <v>28</v>
      </c>
      <c r="M12" s="1"/>
      <c r="N12" s="1"/>
      <c r="O12" s="1">
        <f t="shared" si="0"/>
        <v>0.36000000000000004</v>
      </c>
      <c r="P12" s="1"/>
      <c r="V12">
        <v>0.1</v>
      </c>
    </row>
    <row r="13" spans="2:22">
      <c r="B13" s="1" t="s">
        <v>29</v>
      </c>
      <c r="C13" s="1" t="s">
        <v>157</v>
      </c>
      <c r="D13" s="1" t="s">
        <v>160</v>
      </c>
      <c r="E13" s="1" t="s">
        <v>21</v>
      </c>
      <c r="F13" t="s">
        <v>10</v>
      </c>
      <c r="G13" s="1"/>
      <c r="H13" s="1"/>
      <c r="I13" s="1"/>
      <c r="L13" s="1" t="s">
        <v>31</v>
      </c>
      <c r="M13" s="1"/>
      <c r="N13" s="1"/>
      <c r="O13" s="1">
        <f>V13*3.6</f>
        <v>25.2</v>
      </c>
      <c r="P13" s="1"/>
      <c r="V13" s="1">
        <v>7</v>
      </c>
    </row>
    <row r="14" spans="2:22">
      <c r="B14" s="1" t="s">
        <v>29</v>
      </c>
      <c r="C14" t="s">
        <v>158</v>
      </c>
      <c r="D14" t="s">
        <v>161</v>
      </c>
      <c r="E14" s="1" t="s">
        <v>21</v>
      </c>
      <c r="F14" t="s">
        <v>10</v>
      </c>
      <c r="G14" s="1"/>
      <c r="H14" s="1"/>
      <c r="I14" s="1"/>
      <c r="J14" s="1" t="str">
        <f>C12</f>
        <v>nuclear_fuel</v>
      </c>
      <c r="K14" s="1"/>
      <c r="L14" s="1" t="s">
        <v>36</v>
      </c>
      <c r="M14" s="1"/>
      <c r="N14" s="1"/>
      <c r="O14" s="1">
        <f>V14*3.6</f>
        <v>0.36000000000000004</v>
      </c>
      <c r="P14" s="1"/>
      <c r="V14">
        <v>0.1</v>
      </c>
    </row>
    <row r="15" spans="2:22">
      <c r="B15" s="1" t="s">
        <v>29</v>
      </c>
      <c r="C15" t="s">
        <v>159</v>
      </c>
      <c r="D15" t="s">
        <v>162</v>
      </c>
      <c r="E15" s="1" t="s">
        <v>21</v>
      </c>
      <c r="F15" t="s">
        <v>10</v>
      </c>
      <c r="G15" s="1"/>
      <c r="H15" s="1"/>
      <c r="I15" s="1"/>
      <c r="J15" s="1" t="str">
        <f>C13</f>
        <v>solar_potential</v>
      </c>
      <c r="K15" s="1"/>
      <c r="L15" s="1" t="s">
        <v>27</v>
      </c>
      <c r="M15" s="1"/>
      <c r="N15" s="1"/>
      <c r="O15" s="1">
        <f>V15*3.6</f>
        <v>0.36000000000000004</v>
      </c>
      <c r="P15" s="1"/>
      <c r="V15">
        <v>0.1</v>
      </c>
    </row>
    <row r="16" spans="2:22">
      <c r="B16" s="1"/>
      <c r="C16" s="1"/>
      <c r="D16" s="1"/>
      <c r="E16" s="1"/>
      <c r="F16" s="1"/>
      <c r="G16" s="1"/>
      <c r="H16" s="1"/>
      <c r="I16" s="1"/>
      <c r="J16" s="1" t="str">
        <f>C14</f>
        <v>winon_potential</v>
      </c>
      <c r="K16" s="1"/>
      <c r="L16" s="1" t="s">
        <v>150</v>
      </c>
      <c r="M16" s="1"/>
      <c r="N16" s="1"/>
      <c r="O16" s="1">
        <f>V16*3.6</f>
        <v>0.36000000000000004</v>
      </c>
      <c r="P16" s="1"/>
      <c r="V16">
        <v>0.1</v>
      </c>
    </row>
    <row r="17" spans="2:22">
      <c r="B17" s="1"/>
      <c r="C17" s="1"/>
      <c r="D17" s="1"/>
      <c r="E17" s="1"/>
      <c r="F17" s="1"/>
      <c r="G17" s="1"/>
      <c r="H17" s="1"/>
      <c r="I17" s="1"/>
      <c r="J17" s="1" t="str">
        <f>C15</f>
        <v>winoff_potential</v>
      </c>
      <c r="K17" s="1"/>
      <c r="L17" s="1" t="s">
        <v>151</v>
      </c>
      <c r="M17" s="1"/>
      <c r="N17" s="1"/>
      <c r="O17" s="1">
        <f t="shared" ref="O17" si="1">V17*3.6</f>
        <v>0.36000000000000004</v>
      </c>
      <c r="P17" s="1"/>
      <c r="V17">
        <v>0.1</v>
      </c>
    </row>
    <row r="18" spans="2:22">
      <c r="J18" t="str">
        <f>C8</f>
        <v>Trd_electricity import</v>
      </c>
      <c r="L18" t="s">
        <v>19</v>
      </c>
      <c r="P18">
        <v>0</v>
      </c>
      <c r="Q18">
        <v>3</v>
      </c>
      <c r="R18">
        <v>1000</v>
      </c>
      <c r="S18">
        <v>50</v>
      </c>
    </row>
    <row r="19" spans="2:22">
      <c r="J19" t="str">
        <f>C9</f>
        <v>Trd_electricity export</v>
      </c>
      <c r="K19" t="s">
        <v>19</v>
      </c>
      <c r="P19">
        <v>0</v>
      </c>
      <c r="Q19">
        <v>3</v>
      </c>
      <c r="R19">
        <v>1000</v>
      </c>
      <c r="S19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H23" sqref="H23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B5" sqref="B5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tr">
        <f>C5</f>
        <v>ELC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7" t="s">
        <v>109</v>
      </c>
      <c r="D1" s="147"/>
      <c r="E1" s="147"/>
      <c r="F1" s="148" t="s">
        <v>110</v>
      </c>
      <c r="G1" s="147"/>
      <c r="H1" s="149"/>
      <c r="I1" s="147" t="s">
        <v>111</v>
      </c>
      <c r="J1" s="147"/>
      <c r="K1" s="147"/>
      <c r="L1" s="147"/>
      <c r="M1" s="147"/>
      <c r="N1" s="147"/>
      <c r="O1" s="150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1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1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2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BFD6C-6110-4C08-A616-55E6A1FCE51F}">
  <dimension ref="B9:M146"/>
  <sheetViews>
    <sheetView workbookViewId="0"/>
  </sheetViews>
  <sheetFormatPr defaultRowHeight="14.25"/>
  <sheetData>
    <row r="9" spans="2:13">
      <c r="B9" t="s">
        <v>163</v>
      </c>
      <c r="J9" t="s">
        <v>446</v>
      </c>
    </row>
    <row r="10" spans="2:13">
      <c r="B10" t="s">
        <v>164</v>
      </c>
      <c r="C10" t="s">
        <v>165</v>
      </c>
      <c r="D10" t="s">
        <v>166</v>
      </c>
      <c r="E10" t="s">
        <v>167</v>
      </c>
      <c r="F10" t="s">
        <v>168</v>
      </c>
      <c r="G10" t="s">
        <v>169</v>
      </c>
      <c r="H10" t="s">
        <v>170</v>
      </c>
      <c r="J10" t="s">
        <v>165</v>
      </c>
      <c r="K10" t="s">
        <v>447</v>
      </c>
      <c r="L10" t="s">
        <v>448</v>
      </c>
      <c r="M10" t="s">
        <v>449</v>
      </c>
    </row>
    <row r="11" spans="2:13">
      <c r="B11" t="s">
        <v>171</v>
      </c>
      <c r="C11" t="s">
        <v>172</v>
      </c>
      <c r="D11" t="s">
        <v>173</v>
      </c>
      <c r="E11" t="s">
        <v>10</v>
      </c>
      <c r="F11" t="s">
        <v>21</v>
      </c>
      <c r="G11" t="s">
        <v>174</v>
      </c>
      <c r="H11" t="s">
        <v>175</v>
      </c>
      <c r="J11" t="s">
        <v>172</v>
      </c>
      <c r="K11" t="s">
        <v>450</v>
      </c>
      <c r="L11">
        <v>111.54635273052318</v>
      </c>
      <c r="M11">
        <v>0.2016814714661522</v>
      </c>
    </row>
    <row r="12" spans="2:13">
      <c r="B12" t="s">
        <v>171</v>
      </c>
      <c r="C12" t="s">
        <v>176</v>
      </c>
      <c r="D12" t="s">
        <v>177</v>
      </c>
      <c r="E12" t="s">
        <v>10</v>
      </c>
      <c r="F12" t="s">
        <v>21</v>
      </c>
      <c r="G12" t="s">
        <v>174</v>
      </c>
      <c r="H12" t="s">
        <v>175</v>
      </c>
      <c r="J12" t="s">
        <v>176</v>
      </c>
      <c r="K12" t="s">
        <v>451</v>
      </c>
      <c r="L12">
        <v>2.3408361540480946</v>
      </c>
      <c r="M12">
        <v>0.18141566184189031</v>
      </c>
    </row>
    <row r="13" spans="2:13">
      <c r="B13" t="s">
        <v>171</v>
      </c>
      <c r="C13" t="s">
        <v>178</v>
      </c>
      <c r="D13" t="s">
        <v>179</v>
      </c>
      <c r="E13" t="s">
        <v>10</v>
      </c>
      <c r="F13" t="s">
        <v>21</v>
      </c>
      <c r="G13" t="s">
        <v>174</v>
      </c>
      <c r="H13" t="s">
        <v>175</v>
      </c>
      <c r="J13" t="s">
        <v>178</v>
      </c>
      <c r="K13" t="s">
        <v>452</v>
      </c>
      <c r="L13">
        <v>31.310501478861372</v>
      </c>
      <c r="M13">
        <v>0.19840444322763739</v>
      </c>
    </row>
    <row r="14" spans="2:13">
      <c r="B14" t="s">
        <v>171</v>
      </c>
      <c r="C14" t="s">
        <v>180</v>
      </c>
      <c r="D14" t="s">
        <v>181</v>
      </c>
      <c r="E14" t="s">
        <v>10</v>
      </c>
      <c r="F14" t="s">
        <v>21</v>
      </c>
      <c r="G14" t="s">
        <v>174</v>
      </c>
      <c r="H14" t="s">
        <v>175</v>
      </c>
      <c r="J14" t="s">
        <v>180</v>
      </c>
      <c r="K14" t="s">
        <v>453</v>
      </c>
      <c r="L14">
        <v>58.608565914978101</v>
      </c>
      <c r="M14">
        <v>0.18591509192463379</v>
      </c>
    </row>
    <row r="15" spans="2:13">
      <c r="B15" t="s">
        <v>171</v>
      </c>
      <c r="C15" t="s">
        <v>182</v>
      </c>
      <c r="D15" t="s">
        <v>183</v>
      </c>
      <c r="E15" t="s">
        <v>10</v>
      </c>
      <c r="F15" t="s">
        <v>21</v>
      </c>
      <c r="G15" t="s">
        <v>174</v>
      </c>
      <c r="H15" t="s">
        <v>175</v>
      </c>
      <c r="J15" t="s">
        <v>182</v>
      </c>
      <c r="K15" t="s">
        <v>454</v>
      </c>
      <c r="L15">
        <v>40.097268989680479</v>
      </c>
      <c r="M15">
        <v>0.18476784042621791</v>
      </c>
    </row>
    <row r="16" spans="2:13">
      <c r="B16" t="s">
        <v>171</v>
      </c>
      <c r="C16" t="s">
        <v>184</v>
      </c>
      <c r="D16" t="s">
        <v>185</v>
      </c>
      <c r="E16" t="s">
        <v>10</v>
      </c>
      <c r="F16" t="s">
        <v>21</v>
      </c>
      <c r="G16" t="s">
        <v>174</v>
      </c>
      <c r="H16" t="s">
        <v>175</v>
      </c>
      <c r="J16" t="s">
        <v>184</v>
      </c>
      <c r="K16" t="s">
        <v>455</v>
      </c>
      <c r="L16">
        <v>45.825231283516445</v>
      </c>
      <c r="M16">
        <v>0.1914866881095135</v>
      </c>
    </row>
    <row r="17" spans="2:13">
      <c r="B17" t="s">
        <v>171</v>
      </c>
      <c r="C17" t="s">
        <v>186</v>
      </c>
      <c r="D17" t="s">
        <v>187</v>
      </c>
      <c r="E17" t="s">
        <v>10</v>
      </c>
      <c r="F17" t="s">
        <v>21</v>
      </c>
      <c r="G17" t="s">
        <v>174</v>
      </c>
      <c r="H17" t="s">
        <v>175</v>
      </c>
      <c r="J17" t="s">
        <v>186</v>
      </c>
      <c r="K17" t="s">
        <v>456</v>
      </c>
      <c r="L17">
        <v>47.5907918209207</v>
      </c>
      <c r="M17">
        <v>0.17665584697488751</v>
      </c>
    </row>
    <row r="18" spans="2:13">
      <c r="B18" t="s">
        <v>171</v>
      </c>
      <c r="C18" t="s">
        <v>188</v>
      </c>
      <c r="D18" t="s">
        <v>189</v>
      </c>
      <c r="E18" t="s">
        <v>10</v>
      </c>
      <c r="F18" t="s">
        <v>21</v>
      </c>
      <c r="G18" t="s">
        <v>174</v>
      </c>
      <c r="H18" t="s">
        <v>175</v>
      </c>
      <c r="J18" t="s">
        <v>188</v>
      </c>
      <c r="K18" t="s">
        <v>457</v>
      </c>
      <c r="L18">
        <v>17.232626888068001</v>
      </c>
      <c r="M18">
        <v>0.1703113840652809</v>
      </c>
    </row>
    <row r="19" spans="2:13">
      <c r="B19" t="s">
        <v>171</v>
      </c>
      <c r="C19" t="s">
        <v>190</v>
      </c>
      <c r="D19" t="s">
        <v>191</v>
      </c>
      <c r="E19" t="s">
        <v>10</v>
      </c>
      <c r="F19" t="s">
        <v>21</v>
      </c>
      <c r="G19" t="s">
        <v>174</v>
      </c>
      <c r="H19" t="s">
        <v>175</v>
      </c>
      <c r="J19" t="s">
        <v>190</v>
      </c>
      <c r="K19" t="s">
        <v>458</v>
      </c>
      <c r="L19">
        <v>49.250650189691129</v>
      </c>
      <c r="M19">
        <v>0.17619607399751239</v>
      </c>
    </row>
    <row r="20" spans="2:13">
      <c r="B20" t="s">
        <v>171</v>
      </c>
      <c r="C20" t="s">
        <v>192</v>
      </c>
      <c r="D20" t="s">
        <v>193</v>
      </c>
      <c r="E20" t="s">
        <v>10</v>
      </c>
      <c r="F20" t="s">
        <v>21</v>
      </c>
      <c r="G20" t="s">
        <v>174</v>
      </c>
      <c r="H20" t="s">
        <v>175</v>
      </c>
      <c r="J20" t="s">
        <v>192</v>
      </c>
      <c r="K20" t="s">
        <v>459</v>
      </c>
      <c r="L20">
        <v>60.612113001910174</v>
      </c>
      <c r="M20">
        <v>0.15575579176014021</v>
      </c>
    </row>
    <row r="21" spans="2:13">
      <c r="B21" t="s">
        <v>171</v>
      </c>
      <c r="C21" t="s">
        <v>194</v>
      </c>
      <c r="D21" t="s">
        <v>195</v>
      </c>
      <c r="E21" t="s">
        <v>10</v>
      </c>
      <c r="F21" t="s">
        <v>21</v>
      </c>
      <c r="G21" t="s">
        <v>174</v>
      </c>
      <c r="H21" t="s">
        <v>175</v>
      </c>
      <c r="J21" t="s">
        <v>194</v>
      </c>
      <c r="K21" t="s">
        <v>460</v>
      </c>
      <c r="L21">
        <v>38.40128669115952</v>
      </c>
      <c r="M21">
        <v>0.1511057614772055</v>
      </c>
    </row>
    <row r="22" spans="2:13">
      <c r="B22" t="s">
        <v>171</v>
      </c>
      <c r="C22" t="s">
        <v>196</v>
      </c>
      <c r="D22" t="s">
        <v>197</v>
      </c>
      <c r="E22" t="s">
        <v>10</v>
      </c>
      <c r="F22" t="s">
        <v>21</v>
      </c>
      <c r="G22" t="s">
        <v>174</v>
      </c>
      <c r="H22" t="s">
        <v>175</v>
      </c>
      <c r="J22" t="s">
        <v>196</v>
      </c>
      <c r="K22" t="s">
        <v>461</v>
      </c>
      <c r="L22">
        <v>18.264400337507791</v>
      </c>
      <c r="M22">
        <v>0.15621955436497731</v>
      </c>
    </row>
    <row r="23" spans="2:13">
      <c r="B23" t="s">
        <v>171</v>
      </c>
      <c r="C23" t="s">
        <v>198</v>
      </c>
      <c r="D23" t="s">
        <v>199</v>
      </c>
      <c r="E23" t="s">
        <v>10</v>
      </c>
      <c r="F23" t="s">
        <v>21</v>
      </c>
      <c r="G23" t="s">
        <v>174</v>
      </c>
      <c r="H23" t="s">
        <v>175</v>
      </c>
      <c r="J23" t="s">
        <v>198</v>
      </c>
      <c r="K23" t="s">
        <v>462</v>
      </c>
      <c r="L23">
        <v>10.746337591157731</v>
      </c>
      <c r="M23">
        <v>0.15450190906127181</v>
      </c>
    </row>
    <row r="24" spans="2:13">
      <c r="B24" t="s">
        <v>171</v>
      </c>
      <c r="C24" t="s">
        <v>200</v>
      </c>
      <c r="D24" t="s">
        <v>201</v>
      </c>
      <c r="E24" t="s">
        <v>10</v>
      </c>
      <c r="F24" t="s">
        <v>21</v>
      </c>
      <c r="G24" t="s">
        <v>174</v>
      </c>
      <c r="H24" t="s">
        <v>175</v>
      </c>
      <c r="J24" t="s">
        <v>200</v>
      </c>
      <c r="K24" t="s">
        <v>463</v>
      </c>
      <c r="L24">
        <v>8.0626061132389442</v>
      </c>
      <c r="M24">
        <v>0.16342091910898751</v>
      </c>
    </row>
    <row r="25" spans="2:13">
      <c r="B25" t="s">
        <v>171</v>
      </c>
      <c r="C25" t="s">
        <v>202</v>
      </c>
      <c r="D25" t="s">
        <v>203</v>
      </c>
      <c r="E25" t="s">
        <v>10</v>
      </c>
      <c r="F25" t="s">
        <v>21</v>
      </c>
      <c r="G25" t="s">
        <v>174</v>
      </c>
      <c r="H25" t="s">
        <v>175</v>
      </c>
      <c r="J25" t="s">
        <v>202</v>
      </c>
      <c r="K25" t="s">
        <v>464</v>
      </c>
      <c r="L25">
        <v>49.72494449836644</v>
      </c>
      <c r="M25">
        <v>0.1535742812524005</v>
      </c>
    </row>
    <row r="26" spans="2:13">
      <c r="B26" t="s">
        <v>171</v>
      </c>
      <c r="C26" t="s">
        <v>204</v>
      </c>
      <c r="D26" t="s">
        <v>205</v>
      </c>
      <c r="E26" t="s">
        <v>10</v>
      </c>
      <c r="F26" t="s">
        <v>21</v>
      </c>
      <c r="G26" t="s">
        <v>174</v>
      </c>
      <c r="H26" t="s">
        <v>175</v>
      </c>
      <c r="J26" t="s">
        <v>204</v>
      </c>
      <c r="K26" t="s">
        <v>465</v>
      </c>
      <c r="L26">
        <v>28.896002929449889</v>
      </c>
      <c r="M26">
        <v>0.15061587756642369</v>
      </c>
    </row>
    <row r="27" spans="2:13">
      <c r="B27" t="s">
        <v>171</v>
      </c>
      <c r="C27" t="s">
        <v>206</v>
      </c>
      <c r="D27" t="s">
        <v>207</v>
      </c>
      <c r="E27" t="s">
        <v>10</v>
      </c>
      <c r="F27" t="s">
        <v>21</v>
      </c>
      <c r="G27" t="s">
        <v>174</v>
      </c>
      <c r="H27" t="s">
        <v>175</v>
      </c>
      <c r="J27" t="s">
        <v>206</v>
      </c>
      <c r="K27" t="s">
        <v>466</v>
      </c>
      <c r="L27">
        <v>6.5473713493225807</v>
      </c>
      <c r="M27">
        <v>0.14859018689326589</v>
      </c>
    </row>
    <row r="28" spans="2:13">
      <c r="B28" t="s">
        <v>171</v>
      </c>
      <c r="C28" t="s">
        <v>208</v>
      </c>
      <c r="D28" t="s">
        <v>209</v>
      </c>
      <c r="E28" t="s">
        <v>10</v>
      </c>
      <c r="F28" t="s">
        <v>21</v>
      </c>
      <c r="G28" t="s">
        <v>174</v>
      </c>
      <c r="H28" t="s">
        <v>175</v>
      </c>
      <c r="J28" t="s">
        <v>208</v>
      </c>
      <c r="K28" t="s">
        <v>467</v>
      </c>
      <c r="L28">
        <v>2.8956601021736086</v>
      </c>
      <c r="M28">
        <v>0.15848645011995299</v>
      </c>
    </row>
    <row r="29" spans="2:13">
      <c r="B29" t="s">
        <v>171</v>
      </c>
      <c r="C29" t="s">
        <v>210</v>
      </c>
      <c r="D29" t="s">
        <v>211</v>
      </c>
      <c r="E29" t="s">
        <v>10</v>
      </c>
      <c r="F29" t="s">
        <v>21</v>
      </c>
      <c r="G29" t="s">
        <v>174</v>
      </c>
      <c r="H29" t="s">
        <v>175</v>
      </c>
      <c r="J29" t="s">
        <v>210</v>
      </c>
      <c r="K29" t="s">
        <v>468</v>
      </c>
      <c r="L29">
        <v>19.682276857753841</v>
      </c>
      <c r="M29">
        <v>0.1512081468511956</v>
      </c>
    </row>
    <row r="30" spans="2:13">
      <c r="B30" t="s">
        <v>171</v>
      </c>
      <c r="C30" t="s">
        <v>212</v>
      </c>
      <c r="D30" t="s">
        <v>213</v>
      </c>
      <c r="E30" t="s">
        <v>10</v>
      </c>
      <c r="F30" t="s">
        <v>21</v>
      </c>
      <c r="G30" t="s">
        <v>174</v>
      </c>
      <c r="H30" t="s">
        <v>175</v>
      </c>
      <c r="J30" t="s">
        <v>212</v>
      </c>
      <c r="K30" t="s">
        <v>469</v>
      </c>
      <c r="L30">
        <v>4.7190790580104824</v>
      </c>
      <c r="M30">
        <v>0.1402898637371488</v>
      </c>
    </row>
    <row r="31" spans="2:13">
      <c r="B31" t="s">
        <v>171</v>
      </c>
      <c r="C31" t="s">
        <v>214</v>
      </c>
      <c r="D31" t="s">
        <v>215</v>
      </c>
      <c r="E31" t="s">
        <v>10</v>
      </c>
      <c r="F31" t="s">
        <v>21</v>
      </c>
      <c r="G31" t="s">
        <v>174</v>
      </c>
      <c r="H31" t="s">
        <v>175</v>
      </c>
      <c r="J31" t="s">
        <v>214</v>
      </c>
      <c r="K31" t="s">
        <v>470</v>
      </c>
      <c r="L31">
        <v>4.0867450657344051</v>
      </c>
      <c r="M31">
        <v>0.15511541282278779</v>
      </c>
    </row>
    <row r="32" spans="2:13">
      <c r="B32" t="s">
        <v>171</v>
      </c>
      <c r="C32" t="s">
        <v>216</v>
      </c>
      <c r="D32" t="s">
        <v>217</v>
      </c>
      <c r="E32" t="s">
        <v>10</v>
      </c>
      <c r="F32" t="s">
        <v>21</v>
      </c>
      <c r="G32" t="s">
        <v>174</v>
      </c>
      <c r="H32" t="s">
        <v>175</v>
      </c>
      <c r="J32" t="s">
        <v>216</v>
      </c>
      <c r="K32" t="s">
        <v>471</v>
      </c>
      <c r="L32">
        <v>7.1486544483008609</v>
      </c>
      <c r="M32">
        <v>0.15175632361117111</v>
      </c>
    </row>
    <row r="33" spans="2:13">
      <c r="B33" t="s">
        <v>171</v>
      </c>
      <c r="C33" t="s">
        <v>218</v>
      </c>
      <c r="D33" t="s">
        <v>219</v>
      </c>
      <c r="E33" t="s">
        <v>10</v>
      </c>
      <c r="F33" t="s">
        <v>21</v>
      </c>
      <c r="G33" t="s">
        <v>174</v>
      </c>
      <c r="H33" t="s">
        <v>175</v>
      </c>
      <c r="J33" t="s">
        <v>218</v>
      </c>
      <c r="K33" t="s">
        <v>472</v>
      </c>
      <c r="L33">
        <v>76.980139616281647</v>
      </c>
      <c r="M33">
        <v>0.1942330002128338</v>
      </c>
    </row>
    <row r="34" spans="2:13">
      <c r="B34" t="s">
        <v>171</v>
      </c>
      <c r="C34" t="s">
        <v>220</v>
      </c>
      <c r="D34" t="s">
        <v>221</v>
      </c>
      <c r="E34" t="s">
        <v>10</v>
      </c>
      <c r="F34" t="s">
        <v>21</v>
      </c>
      <c r="G34" t="s">
        <v>174</v>
      </c>
      <c r="H34" t="s">
        <v>175</v>
      </c>
      <c r="J34" t="s">
        <v>220</v>
      </c>
      <c r="K34" t="s">
        <v>473</v>
      </c>
      <c r="L34">
        <v>67.575478267611928</v>
      </c>
      <c r="M34">
        <v>0.18659143930349489</v>
      </c>
    </row>
    <row r="35" spans="2:13">
      <c r="B35" t="s">
        <v>171</v>
      </c>
      <c r="C35" t="s">
        <v>222</v>
      </c>
      <c r="D35" t="s">
        <v>223</v>
      </c>
      <c r="E35" t="s">
        <v>10</v>
      </c>
      <c r="F35" t="s">
        <v>21</v>
      </c>
      <c r="G35" t="s">
        <v>174</v>
      </c>
      <c r="H35" t="s">
        <v>175</v>
      </c>
      <c r="J35" t="s">
        <v>222</v>
      </c>
      <c r="K35" t="s">
        <v>474</v>
      </c>
      <c r="L35">
        <v>46.040740069491207</v>
      </c>
      <c r="M35">
        <v>0.1760388547923013</v>
      </c>
    </row>
    <row r="36" spans="2:13">
      <c r="B36" t="s">
        <v>171</v>
      </c>
      <c r="C36" t="s">
        <v>224</v>
      </c>
      <c r="D36" t="s">
        <v>225</v>
      </c>
      <c r="E36" t="s">
        <v>10</v>
      </c>
      <c r="F36" t="s">
        <v>21</v>
      </c>
      <c r="G36" t="s">
        <v>174</v>
      </c>
      <c r="H36" t="s">
        <v>175</v>
      </c>
      <c r="J36" t="s">
        <v>224</v>
      </c>
      <c r="K36" t="s">
        <v>475</v>
      </c>
      <c r="L36">
        <v>44.296173015366222</v>
      </c>
      <c r="M36">
        <v>0.1790477452195498</v>
      </c>
    </row>
    <row r="37" spans="2:13">
      <c r="B37" t="s">
        <v>171</v>
      </c>
      <c r="C37" t="s">
        <v>226</v>
      </c>
      <c r="D37" t="s">
        <v>227</v>
      </c>
      <c r="E37" t="s">
        <v>10</v>
      </c>
      <c r="F37" t="s">
        <v>21</v>
      </c>
      <c r="G37" t="s">
        <v>174</v>
      </c>
      <c r="H37" t="s">
        <v>175</v>
      </c>
      <c r="J37" t="s">
        <v>226</v>
      </c>
      <c r="K37" t="s">
        <v>476</v>
      </c>
      <c r="L37">
        <v>43.46901091863117</v>
      </c>
      <c r="M37">
        <v>0.1845616964539607</v>
      </c>
    </row>
    <row r="38" spans="2:13">
      <c r="B38" t="s">
        <v>171</v>
      </c>
      <c r="C38" t="s">
        <v>228</v>
      </c>
      <c r="D38" t="s">
        <v>229</v>
      </c>
      <c r="E38" t="s">
        <v>10</v>
      </c>
      <c r="F38" t="s">
        <v>21</v>
      </c>
      <c r="G38" t="s">
        <v>174</v>
      </c>
      <c r="H38" t="s">
        <v>175</v>
      </c>
      <c r="J38" t="s">
        <v>228</v>
      </c>
      <c r="K38" t="s">
        <v>477</v>
      </c>
      <c r="L38">
        <v>23.884229199301657</v>
      </c>
      <c r="M38">
        <v>0.1757473973029221</v>
      </c>
    </row>
    <row r="39" spans="2:13">
      <c r="B39" t="s">
        <v>171</v>
      </c>
      <c r="C39" t="s">
        <v>230</v>
      </c>
      <c r="D39" t="s">
        <v>231</v>
      </c>
      <c r="E39" t="s">
        <v>10</v>
      </c>
      <c r="F39" t="s">
        <v>21</v>
      </c>
      <c r="G39" t="s">
        <v>174</v>
      </c>
      <c r="H39" t="s">
        <v>175</v>
      </c>
      <c r="J39" t="s">
        <v>230</v>
      </c>
      <c r="K39" t="s">
        <v>478</v>
      </c>
      <c r="L39">
        <v>13.085356071925538</v>
      </c>
      <c r="M39">
        <v>0.14708558027505839</v>
      </c>
    </row>
    <row r="40" spans="2:13">
      <c r="B40" t="s">
        <v>171</v>
      </c>
      <c r="C40" t="s">
        <v>232</v>
      </c>
      <c r="D40" t="s">
        <v>233</v>
      </c>
      <c r="E40" t="s">
        <v>10</v>
      </c>
      <c r="F40" t="s">
        <v>21</v>
      </c>
      <c r="G40" t="s">
        <v>174</v>
      </c>
      <c r="H40" t="s">
        <v>175</v>
      </c>
      <c r="J40" t="s">
        <v>232</v>
      </c>
      <c r="K40" t="s">
        <v>479</v>
      </c>
      <c r="L40">
        <v>17.55977607125028</v>
      </c>
      <c r="M40">
        <v>0.15312395273416909</v>
      </c>
    </row>
    <row r="41" spans="2:13">
      <c r="B41" t="s">
        <v>171</v>
      </c>
      <c r="C41" t="s">
        <v>234</v>
      </c>
      <c r="D41" t="s">
        <v>235</v>
      </c>
      <c r="E41" t="s">
        <v>10</v>
      </c>
      <c r="F41" t="s">
        <v>21</v>
      </c>
      <c r="G41" t="s">
        <v>174</v>
      </c>
      <c r="H41" t="s">
        <v>175</v>
      </c>
      <c r="J41" t="s">
        <v>234</v>
      </c>
      <c r="K41" t="s">
        <v>480</v>
      </c>
      <c r="L41">
        <v>9.5174322357966137</v>
      </c>
      <c r="M41">
        <v>0.1455459951691031</v>
      </c>
    </row>
    <row r="42" spans="2:13">
      <c r="B42" t="s">
        <v>171</v>
      </c>
      <c r="C42" t="s">
        <v>236</v>
      </c>
      <c r="D42" t="s">
        <v>237</v>
      </c>
      <c r="E42" t="s">
        <v>10</v>
      </c>
      <c r="F42" t="s">
        <v>21</v>
      </c>
      <c r="G42" t="s">
        <v>174</v>
      </c>
      <c r="H42" t="s">
        <v>175</v>
      </c>
      <c r="J42" t="s">
        <v>236</v>
      </c>
      <c r="K42" t="s">
        <v>481</v>
      </c>
      <c r="L42">
        <v>37.982127117412865</v>
      </c>
      <c r="M42">
        <v>0.1659305980185237</v>
      </c>
    </row>
    <row r="43" spans="2:13">
      <c r="B43" t="s">
        <v>171</v>
      </c>
      <c r="C43" t="s">
        <v>238</v>
      </c>
      <c r="D43" t="s">
        <v>239</v>
      </c>
      <c r="E43" t="s">
        <v>10</v>
      </c>
      <c r="F43" t="s">
        <v>21</v>
      </c>
      <c r="G43" t="s">
        <v>174</v>
      </c>
      <c r="H43" t="s">
        <v>175</v>
      </c>
      <c r="J43" t="s">
        <v>238</v>
      </c>
      <c r="K43" t="s">
        <v>482</v>
      </c>
      <c r="L43">
        <v>15.303111087709599</v>
      </c>
      <c r="M43">
        <v>0.1583636773047222</v>
      </c>
    </row>
    <row r="44" spans="2:13">
      <c r="B44" t="s">
        <v>171</v>
      </c>
      <c r="C44" t="s">
        <v>240</v>
      </c>
      <c r="D44" t="s">
        <v>241</v>
      </c>
      <c r="E44" t="s">
        <v>10</v>
      </c>
      <c r="F44" t="s">
        <v>21</v>
      </c>
      <c r="G44" t="s">
        <v>174</v>
      </c>
      <c r="H44" t="s">
        <v>175</v>
      </c>
      <c r="J44" t="s">
        <v>240</v>
      </c>
      <c r="K44" t="s">
        <v>483</v>
      </c>
      <c r="L44">
        <v>4.3044456863585454</v>
      </c>
      <c r="M44">
        <v>0.15331053583755511</v>
      </c>
    </row>
    <row r="45" spans="2:13">
      <c r="B45" t="s">
        <v>171</v>
      </c>
      <c r="C45" t="s">
        <v>242</v>
      </c>
      <c r="D45" t="s">
        <v>243</v>
      </c>
      <c r="E45" t="s">
        <v>10</v>
      </c>
      <c r="F45" t="s">
        <v>21</v>
      </c>
      <c r="G45" t="s">
        <v>174</v>
      </c>
      <c r="H45" t="s">
        <v>175</v>
      </c>
      <c r="J45" t="s">
        <v>242</v>
      </c>
      <c r="K45" t="s">
        <v>484</v>
      </c>
      <c r="L45">
        <v>18.563241789884209</v>
      </c>
      <c r="M45">
        <v>0.1466991492404762</v>
      </c>
    </row>
    <row r="46" spans="2:13">
      <c r="B46" t="s">
        <v>171</v>
      </c>
      <c r="C46" t="s">
        <v>244</v>
      </c>
      <c r="D46" t="s">
        <v>245</v>
      </c>
      <c r="E46" t="s">
        <v>10</v>
      </c>
      <c r="F46" t="s">
        <v>21</v>
      </c>
      <c r="G46" t="s">
        <v>174</v>
      </c>
      <c r="H46" t="s">
        <v>175</v>
      </c>
      <c r="J46" t="s">
        <v>244</v>
      </c>
      <c r="K46" t="s">
        <v>485</v>
      </c>
      <c r="L46">
        <v>14.552685896526127</v>
      </c>
      <c r="M46">
        <v>0.1484386957038715</v>
      </c>
    </row>
    <row r="47" spans="2:13">
      <c r="B47" t="s">
        <v>171</v>
      </c>
      <c r="C47" t="s">
        <v>246</v>
      </c>
      <c r="D47" t="s">
        <v>247</v>
      </c>
      <c r="E47" t="s">
        <v>10</v>
      </c>
      <c r="F47" t="s">
        <v>21</v>
      </c>
      <c r="G47" t="s">
        <v>174</v>
      </c>
      <c r="H47" t="s">
        <v>175</v>
      </c>
      <c r="J47" t="s">
        <v>246</v>
      </c>
      <c r="K47" t="s">
        <v>486</v>
      </c>
      <c r="L47">
        <v>5.8141709422726464</v>
      </c>
      <c r="M47">
        <v>0.15422833000772099</v>
      </c>
    </row>
    <row r="48" spans="2:13">
      <c r="B48" t="s">
        <v>171</v>
      </c>
      <c r="C48" t="s">
        <v>248</v>
      </c>
      <c r="D48" t="s">
        <v>249</v>
      </c>
      <c r="E48" t="s">
        <v>10</v>
      </c>
      <c r="F48" t="s">
        <v>21</v>
      </c>
      <c r="G48" t="s">
        <v>174</v>
      </c>
      <c r="H48" t="s">
        <v>175</v>
      </c>
      <c r="J48" t="s">
        <v>248</v>
      </c>
      <c r="K48" t="s">
        <v>487</v>
      </c>
      <c r="L48">
        <v>9.6530289986273932</v>
      </c>
      <c r="M48">
        <v>0.17372813788122249</v>
      </c>
    </row>
    <row r="49" spans="2:13">
      <c r="B49" t="s">
        <v>171</v>
      </c>
      <c r="C49" t="s">
        <v>250</v>
      </c>
      <c r="D49" t="s">
        <v>251</v>
      </c>
      <c r="E49" t="s">
        <v>10</v>
      </c>
      <c r="F49" t="s">
        <v>21</v>
      </c>
      <c r="G49" t="s">
        <v>174</v>
      </c>
      <c r="H49" t="s">
        <v>175</v>
      </c>
      <c r="J49" t="s">
        <v>250</v>
      </c>
      <c r="K49" t="s">
        <v>488</v>
      </c>
      <c r="L49">
        <v>4.5727315411346687</v>
      </c>
      <c r="M49">
        <v>0.17078633409415589</v>
      </c>
    </row>
    <row r="50" spans="2:13">
      <c r="B50" t="s">
        <v>171</v>
      </c>
      <c r="C50" t="s">
        <v>252</v>
      </c>
      <c r="D50" t="s">
        <v>253</v>
      </c>
      <c r="E50" t="s">
        <v>10</v>
      </c>
      <c r="F50" t="s">
        <v>21</v>
      </c>
      <c r="G50" t="s">
        <v>174</v>
      </c>
      <c r="H50" t="s">
        <v>175</v>
      </c>
      <c r="J50" t="s">
        <v>252</v>
      </c>
      <c r="K50" t="s">
        <v>489</v>
      </c>
      <c r="L50">
        <v>21.065834982908772</v>
      </c>
      <c r="M50">
        <v>0.17545951405274851</v>
      </c>
    </row>
    <row r="51" spans="2:13">
      <c r="B51" t="s">
        <v>171</v>
      </c>
      <c r="C51" t="s">
        <v>254</v>
      </c>
      <c r="D51" t="s">
        <v>255</v>
      </c>
      <c r="E51" t="s">
        <v>10</v>
      </c>
      <c r="F51" t="s">
        <v>21</v>
      </c>
      <c r="G51" t="s">
        <v>174</v>
      </c>
      <c r="H51" t="s">
        <v>175</v>
      </c>
      <c r="J51" t="s">
        <v>254</v>
      </c>
      <c r="K51" t="s">
        <v>490</v>
      </c>
      <c r="L51">
        <v>14.509086767572569</v>
      </c>
      <c r="M51">
        <v>0.16766348085819111</v>
      </c>
    </row>
    <row r="52" spans="2:13">
      <c r="B52" t="s">
        <v>171</v>
      </c>
      <c r="C52" t="s">
        <v>256</v>
      </c>
      <c r="D52" t="s">
        <v>257</v>
      </c>
      <c r="E52" t="s">
        <v>10</v>
      </c>
      <c r="F52" t="s">
        <v>21</v>
      </c>
      <c r="G52" t="s">
        <v>174</v>
      </c>
      <c r="H52" t="s">
        <v>175</v>
      </c>
      <c r="J52" t="s">
        <v>256</v>
      </c>
      <c r="K52" t="s">
        <v>491</v>
      </c>
      <c r="L52">
        <v>12.576490877103915</v>
      </c>
      <c r="M52">
        <v>0.1649871531235465</v>
      </c>
    </row>
    <row r="53" spans="2:13">
      <c r="B53" t="s">
        <v>171</v>
      </c>
      <c r="C53" t="s">
        <v>258</v>
      </c>
      <c r="D53" t="s">
        <v>259</v>
      </c>
      <c r="E53" t="s">
        <v>10</v>
      </c>
      <c r="F53" t="s">
        <v>21</v>
      </c>
      <c r="G53" t="s">
        <v>174</v>
      </c>
      <c r="H53" t="s">
        <v>175</v>
      </c>
      <c r="J53" t="s">
        <v>258</v>
      </c>
      <c r="K53" t="s">
        <v>492</v>
      </c>
      <c r="L53">
        <v>33.080498934676434</v>
      </c>
      <c r="M53">
        <v>0.16695257862550919</v>
      </c>
    </row>
    <row r="54" spans="2:13">
      <c r="B54" t="s">
        <v>171</v>
      </c>
      <c r="C54" t="s">
        <v>260</v>
      </c>
      <c r="D54" t="s">
        <v>261</v>
      </c>
      <c r="E54" t="s">
        <v>10</v>
      </c>
      <c r="F54" t="s">
        <v>21</v>
      </c>
      <c r="G54" t="s">
        <v>174</v>
      </c>
      <c r="H54" t="s">
        <v>175</v>
      </c>
      <c r="J54" t="s">
        <v>260</v>
      </c>
      <c r="K54" t="s">
        <v>493</v>
      </c>
      <c r="L54">
        <v>14.170846644566792</v>
      </c>
      <c r="M54">
        <v>0.15325817144060461</v>
      </c>
    </row>
    <row r="55" spans="2:13">
      <c r="B55" t="s">
        <v>171</v>
      </c>
      <c r="C55" t="s">
        <v>262</v>
      </c>
      <c r="D55" t="s">
        <v>263</v>
      </c>
      <c r="E55" t="s">
        <v>10</v>
      </c>
      <c r="F55" t="s">
        <v>21</v>
      </c>
      <c r="G55" t="s">
        <v>174</v>
      </c>
      <c r="H55" t="s">
        <v>175</v>
      </c>
      <c r="J55" t="s">
        <v>262</v>
      </c>
      <c r="K55" t="s">
        <v>494</v>
      </c>
      <c r="L55">
        <v>37.24541999925836</v>
      </c>
      <c r="M55">
        <v>0.1620849813911808</v>
      </c>
    </row>
    <row r="56" spans="2:13">
      <c r="B56" t="s">
        <v>171</v>
      </c>
      <c r="C56" t="s">
        <v>264</v>
      </c>
      <c r="D56" t="s">
        <v>265</v>
      </c>
      <c r="E56" t="s">
        <v>10</v>
      </c>
      <c r="F56" t="s">
        <v>21</v>
      </c>
      <c r="G56" t="s">
        <v>174</v>
      </c>
      <c r="H56" t="s">
        <v>175</v>
      </c>
      <c r="J56" t="s">
        <v>264</v>
      </c>
      <c r="K56" t="s">
        <v>495</v>
      </c>
      <c r="L56">
        <v>58.259620298985368</v>
      </c>
      <c r="M56">
        <v>0.1679193658497497</v>
      </c>
    </row>
    <row r="57" spans="2:13">
      <c r="B57" t="s">
        <v>171</v>
      </c>
      <c r="C57" t="s">
        <v>266</v>
      </c>
      <c r="D57" t="s">
        <v>267</v>
      </c>
      <c r="E57" t="s">
        <v>10</v>
      </c>
      <c r="F57" t="s">
        <v>21</v>
      </c>
      <c r="G57" t="s">
        <v>174</v>
      </c>
      <c r="H57" t="s">
        <v>175</v>
      </c>
      <c r="J57" t="s">
        <v>266</v>
      </c>
      <c r="K57" t="s">
        <v>496</v>
      </c>
      <c r="L57">
        <v>34.55884381213928</v>
      </c>
      <c r="M57">
        <v>0.16245559975399679</v>
      </c>
    </row>
    <row r="58" spans="2:13">
      <c r="B58" t="s">
        <v>171</v>
      </c>
      <c r="C58" t="s">
        <v>268</v>
      </c>
      <c r="D58" t="s">
        <v>269</v>
      </c>
      <c r="E58" t="s">
        <v>10</v>
      </c>
      <c r="F58" t="s">
        <v>21</v>
      </c>
      <c r="G58" t="s">
        <v>174</v>
      </c>
      <c r="H58" t="s">
        <v>175</v>
      </c>
      <c r="J58" t="s">
        <v>268</v>
      </c>
      <c r="K58" t="s">
        <v>497</v>
      </c>
      <c r="L58">
        <v>10.064514737858641</v>
      </c>
      <c r="M58">
        <v>0.1782125290435467</v>
      </c>
    </row>
    <row r="59" spans="2:13">
      <c r="B59" t="s">
        <v>171</v>
      </c>
      <c r="C59" t="s">
        <v>270</v>
      </c>
      <c r="D59" t="s">
        <v>271</v>
      </c>
      <c r="E59" t="s">
        <v>10</v>
      </c>
      <c r="F59" t="s">
        <v>21</v>
      </c>
      <c r="G59" t="s">
        <v>174</v>
      </c>
      <c r="H59" t="s">
        <v>175</v>
      </c>
      <c r="J59" t="s">
        <v>270</v>
      </c>
      <c r="K59" t="s">
        <v>498</v>
      </c>
      <c r="L59">
        <v>34.250580806419769</v>
      </c>
      <c r="M59">
        <v>0.18677750076056901</v>
      </c>
    </row>
    <row r="60" spans="2:13">
      <c r="B60" t="s">
        <v>171</v>
      </c>
      <c r="C60" t="s">
        <v>272</v>
      </c>
      <c r="D60" t="s">
        <v>273</v>
      </c>
      <c r="E60" t="s">
        <v>10</v>
      </c>
      <c r="F60" t="s">
        <v>21</v>
      </c>
      <c r="G60" t="s">
        <v>174</v>
      </c>
      <c r="H60" t="s">
        <v>175</v>
      </c>
      <c r="J60" t="s">
        <v>272</v>
      </c>
      <c r="K60" t="s">
        <v>499</v>
      </c>
      <c r="L60">
        <v>36.756724994783454</v>
      </c>
      <c r="M60">
        <v>0.15811795770101539</v>
      </c>
    </row>
    <row r="61" spans="2:13">
      <c r="B61" t="s">
        <v>171</v>
      </c>
      <c r="C61" t="s">
        <v>274</v>
      </c>
      <c r="D61" t="s">
        <v>275</v>
      </c>
      <c r="E61" t="s">
        <v>10</v>
      </c>
      <c r="F61" t="s">
        <v>21</v>
      </c>
      <c r="G61" t="s">
        <v>174</v>
      </c>
      <c r="H61" t="s">
        <v>175</v>
      </c>
      <c r="J61" t="s">
        <v>274</v>
      </c>
      <c r="K61" t="s">
        <v>500</v>
      </c>
      <c r="L61">
        <v>47.687089697169917</v>
      </c>
      <c r="M61">
        <v>0.15219188096048419</v>
      </c>
    </row>
    <row r="62" spans="2:13">
      <c r="B62" t="s">
        <v>171</v>
      </c>
      <c r="C62" t="s">
        <v>276</v>
      </c>
      <c r="D62" t="s">
        <v>277</v>
      </c>
      <c r="E62" t="s">
        <v>10</v>
      </c>
      <c r="F62" t="s">
        <v>21</v>
      </c>
      <c r="G62" t="s">
        <v>174</v>
      </c>
      <c r="H62" t="s">
        <v>175</v>
      </c>
      <c r="J62" t="s">
        <v>276</v>
      </c>
      <c r="K62" t="s">
        <v>501</v>
      </c>
      <c r="L62">
        <v>29.450969020339425</v>
      </c>
      <c r="M62">
        <v>0.2002259396579224</v>
      </c>
    </row>
    <row r="63" spans="2:13">
      <c r="B63" t="s">
        <v>171</v>
      </c>
      <c r="C63" t="s">
        <v>278</v>
      </c>
      <c r="D63" t="s">
        <v>279</v>
      </c>
      <c r="E63" t="s">
        <v>10</v>
      </c>
      <c r="F63" t="s">
        <v>21</v>
      </c>
      <c r="G63" t="s">
        <v>174</v>
      </c>
      <c r="H63" t="s">
        <v>175</v>
      </c>
      <c r="J63" t="s">
        <v>278</v>
      </c>
      <c r="K63" t="s">
        <v>502</v>
      </c>
      <c r="L63">
        <v>30.446650112319261</v>
      </c>
      <c r="M63">
        <v>0.199109821920088</v>
      </c>
    </row>
    <row r="64" spans="2:13">
      <c r="B64" t="s">
        <v>171</v>
      </c>
      <c r="C64" t="s">
        <v>280</v>
      </c>
      <c r="D64" t="s">
        <v>281</v>
      </c>
      <c r="E64" t="s">
        <v>10</v>
      </c>
      <c r="F64" t="s">
        <v>21</v>
      </c>
      <c r="G64" t="s">
        <v>174</v>
      </c>
      <c r="H64" t="s">
        <v>175</v>
      </c>
      <c r="J64" t="s">
        <v>280</v>
      </c>
      <c r="K64" t="s">
        <v>503</v>
      </c>
      <c r="L64">
        <v>17.987672447370127</v>
      </c>
      <c r="M64">
        <v>0.20821004048159419</v>
      </c>
    </row>
    <row r="65" spans="2:13">
      <c r="B65" t="s">
        <v>171</v>
      </c>
      <c r="C65" t="s">
        <v>282</v>
      </c>
      <c r="D65" t="s">
        <v>283</v>
      </c>
      <c r="E65" t="s">
        <v>10</v>
      </c>
      <c r="F65" t="s">
        <v>21</v>
      </c>
      <c r="G65" t="s">
        <v>174</v>
      </c>
      <c r="H65" t="s">
        <v>175</v>
      </c>
      <c r="J65" t="s">
        <v>282</v>
      </c>
      <c r="K65" t="s">
        <v>504</v>
      </c>
      <c r="L65">
        <v>30.097408872140651</v>
      </c>
      <c r="M65">
        <v>0.20474189657099751</v>
      </c>
    </row>
    <row r="66" spans="2:13">
      <c r="B66" t="s">
        <v>171</v>
      </c>
      <c r="C66" t="s">
        <v>284</v>
      </c>
      <c r="D66" t="s">
        <v>285</v>
      </c>
      <c r="E66" t="s">
        <v>10</v>
      </c>
      <c r="F66" t="s">
        <v>21</v>
      </c>
      <c r="G66" t="s">
        <v>174</v>
      </c>
      <c r="H66" t="s">
        <v>175</v>
      </c>
      <c r="J66" t="s">
        <v>284</v>
      </c>
      <c r="K66" t="s">
        <v>505</v>
      </c>
      <c r="L66">
        <v>27.123432995585144</v>
      </c>
      <c r="M66">
        <v>0.19876008739927989</v>
      </c>
    </row>
    <row r="67" spans="2:13">
      <c r="B67" t="s">
        <v>171</v>
      </c>
      <c r="C67" t="s">
        <v>286</v>
      </c>
      <c r="D67" t="s">
        <v>287</v>
      </c>
      <c r="E67" t="s">
        <v>10</v>
      </c>
      <c r="F67" t="s">
        <v>21</v>
      </c>
      <c r="G67" t="s">
        <v>174</v>
      </c>
      <c r="H67" t="s">
        <v>175</v>
      </c>
      <c r="J67" t="s">
        <v>286</v>
      </c>
      <c r="K67" t="s">
        <v>506</v>
      </c>
      <c r="L67">
        <v>53.873895318635284</v>
      </c>
      <c r="M67">
        <v>0.1981168191382951</v>
      </c>
    </row>
    <row r="68" spans="2:13">
      <c r="B68" t="s">
        <v>171</v>
      </c>
      <c r="C68" t="s">
        <v>288</v>
      </c>
      <c r="D68" t="s">
        <v>289</v>
      </c>
      <c r="E68" t="s">
        <v>10</v>
      </c>
      <c r="F68" t="s">
        <v>21</v>
      </c>
      <c r="G68" t="s">
        <v>174</v>
      </c>
      <c r="H68" t="s">
        <v>175</v>
      </c>
      <c r="J68" t="s">
        <v>288</v>
      </c>
      <c r="K68" t="s">
        <v>507</v>
      </c>
      <c r="L68">
        <v>46.95289749110988</v>
      </c>
      <c r="M68">
        <v>0.210909043010298</v>
      </c>
    </row>
    <row r="69" spans="2:13">
      <c r="B69" t="s">
        <v>171</v>
      </c>
      <c r="C69" t="s">
        <v>290</v>
      </c>
      <c r="D69" t="s">
        <v>291</v>
      </c>
      <c r="E69" t="s">
        <v>10</v>
      </c>
      <c r="F69" t="s">
        <v>21</v>
      </c>
      <c r="G69" t="s">
        <v>174</v>
      </c>
      <c r="H69" t="s">
        <v>175</v>
      </c>
      <c r="J69" t="s">
        <v>290</v>
      </c>
      <c r="K69" t="s">
        <v>508</v>
      </c>
      <c r="L69">
        <v>49.108374048489274</v>
      </c>
      <c r="M69">
        <v>0.2031232586420447</v>
      </c>
    </row>
    <row r="70" spans="2:13">
      <c r="B70" t="s">
        <v>171</v>
      </c>
      <c r="C70" t="s">
        <v>292</v>
      </c>
      <c r="D70" t="s">
        <v>293</v>
      </c>
      <c r="E70" t="s">
        <v>10</v>
      </c>
      <c r="F70" t="s">
        <v>21</v>
      </c>
      <c r="G70" t="s">
        <v>174</v>
      </c>
      <c r="H70" t="s">
        <v>175</v>
      </c>
      <c r="J70" t="s">
        <v>292</v>
      </c>
      <c r="K70" t="s">
        <v>509</v>
      </c>
      <c r="L70">
        <v>35.383539784496271</v>
      </c>
      <c r="M70">
        <v>0.20207111633609509</v>
      </c>
    </row>
    <row r="71" spans="2:13">
      <c r="B71" t="s">
        <v>171</v>
      </c>
      <c r="C71" t="s">
        <v>294</v>
      </c>
      <c r="D71" t="s">
        <v>295</v>
      </c>
      <c r="E71" t="s">
        <v>10</v>
      </c>
      <c r="F71" t="s">
        <v>21</v>
      </c>
      <c r="G71" t="s">
        <v>174</v>
      </c>
      <c r="H71" t="s">
        <v>175</v>
      </c>
      <c r="J71" t="s">
        <v>294</v>
      </c>
      <c r="K71" t="s">
        <v>510</v>
      </c>
      <c r="L71">
        <v>96.162057973148151</v>
      </c>
      <c r="M71">
        <v>0.1954935180327507</v>
      </c>
    </row>
    <row r="72" spans="2:13">
      <c r="B72" t="s">
        <v>171</v>
      </c>
      <c r="C72" t="s">
        <v>296</v>
      </c>
      <c r="D72" t="s">
        <v>297</v>
      </c>
      <c r="E72" t="s">
        <v>10</v>
      </c>
      <c r="F72" t="s">
        <v>21</v>
      </c>
      <c r="G72" t="s">
        <v>174</v>
      </c>
      <c r="H72" t="s">
        <v>175</v>
      </c>
      <c r="J72" t="s">
        <v>296</v>
      </c>
      <c r="K72" t="s">
        <v>511</v>
      </c>
      <c r="L72">
        <v>54.390035001527998</v>
      </c>
      <c r="M72">
        <v>0.19138533080755779</v>
      </c>
    </row>
    <row r="73" spans="2:13">
      <c r="B73" t="s">
        <v>171</v>
      </c>
      <c r="C73" t="s">
        <v>298</v>
      </c>
      <c r="D73" t="s">
        <v>299</v>
      </c>
      <c r="E73" t="s">
        <v>10</v>
      </c>
      <c r="F73" t="s">
        <v>21</v>
      </c>
      <c r="G73" t="s">
        <v>174</v>
      </c>
      <c r="H73" t="s">
        <v>175</v>
      </c>
      <c r="J73" t="s">
        <v>298</v>
      </c>
      <c r="K73" t="s">
        <v>512</v>
      </c>
      <c r="L73">
        <v>41.631829564740578</v>
      </c>
      <c r="M73">
        <v>0.18735306464157331</v>
      </c>
    </row>
    <row r="74" spans="2:13">
      <c r="B74" t="s">
        <v>171</v>
      </c>
      <c r="C74" t="s">
        <v>300</v>
      </c>
      <c r="D74" t="s">
        <v>301</v>
      </c>
      <c r="E74" t="s">
        <v>10</v>
      </c>
      <c r="F74" t="s">
        <v>21</v>
      </c>
      <c r="G74" t="s">
        <v>174</v>
      </c>
      <c r="H74" t="s">
        <v>175</v>
      </c>
      <c r="J74" t="s">
        <v>300</v>
      </c>
      <c r="K74" t="s">
        <v>513</v>
      </c>
      <c r="L74">
        <v>37.300333480035924</v>
      </c>
      <c r="M74">
        <v>0.19504615999068811</v>
      </c>
    </row>
    <row r="75" spans="2:13">
      <c r="B75" t="s">
        <v>171</v>
      </c>
      <c r="C75" t="s">
        <v>302</v>
      </c>
      <c r="D75" t="s">
        <v>303</v>
      </c>
      <c r="E75" t="s">
        <v>10</v>
      </c>
      <c r="F75" t="s">
        <v>21</v>
      </c>
      <c r="G75" t="s">
        <v>174</v>
      </c>
      <c r="H75" t="s">
        <v>175</v>
      </c>
      <c r="J75" t="s">
        <v>302</v>
      </c>
      <c r="K75" t="s">
        <v>514</v>
      </c>
      <c r="L75">
        <v>51.809973437327038</v>
      </c>
      <c r="M75">
        <v>0.20078874278333661</v>
      </c>
    </row>
    <row r="76" spans="2:13">
      <c r="B76" t="s">
        <v>171</v>
      </c>
      <c r="C76" t="s">
        <v>304</v>
      </c>
      <c r="D76" t="s">
        <v>305</v>
      </c>
      <c r="E76" t="s">
        <v>10</v>
      </c>
      <c r="F76" t="s">
        <v>21</v>
      </c>
      <c r="G76" t="s">
        <v>174</v>
      </c>
      <c r="H76" t="s">
        <v>175</v>
      </c>
      <c r="J76" t="s">
        <v>304</v>
      </c>
      <c r="K76" t="s">
        <v>515</v>
      </c>
      <c r="L76">
        <v>65.626621731828337</v>
      </c>
      <c r="M76">
        <v>0.20730931349248</v>
      </c>
    </row>
    <row r="77" spans="2:13">
      <c r="B77" t="s">
        <v>171</v>
      </c>
      <c r="C77" t="s">
        <v>306</v>
      </c>
      <c r="D77" t="s">
        <v>307</v>
      </c>
      <c r="E77" t="s">
        <v>10</v>
      </c>
      <c r="F77" t="s">
        <v>21</v>
      </c>
      <c r="G77" t="s">
        <v>174</v>
      </c>
      <c r="H77" t="s">
        <v>175</v>
      </c>
      <c r="J77" t="s">
        <v>306</v>
      </c>
      <c r="K77" t="s">
        <v>516</v>
      </c>
      <c r="L77">
        <v>66.483178532863946</v>
      </c>
      <c r="M77">
        <v>0.2056891978530197</v>
      </c>
    </row>
    <row r="78" spans="2:13">
      <c r="B78" t="s">
        <v>171</v>
      </c>
      <c r="C78" t="s">
        <v>308</v>
      </c>
      <c r="D78" t="s">
        <v>309</v>
      </c>
      <c r="E78" t="s">
        <v>10</v>
      </c>
      <c r="F78" t="s">
        <v>21</v>
      </c>
      <c r="G78" t="s">
        <v>174</v>
      </c>
      <c r="H78" t="s">
        <v>175</v>
      </c>
      <c r="J78" t="s">
        <v>308</v>
      </c>
      <c r="K78" t="s">
        <v>517</v>
      </c>
      <c r="L78">
        <v>114.37648773077015</v>
      </c>
      <c r="M78">
        <v>0.2098947805289568</v>
      </c>
    </row>
    <row r="79" spans="2:13">
      <c r="B79" t="s">
        <v>171</v>
      </c>
      <c r="C79" t="s">
        <v>310</v>
      </c>
      <c r="D79" t="s">
        <v>311</v>
      </c>
      <c r="E79" t="s">
        <v>10</v>
      </c>
      <c r="F79" t="s">
        <v>21</v>
      </c>
      <c r="G79" t="s">
        <v>174</v>
      </c>
      <c r="H79" t="s">
        <v>175</v>
      </c>
      <c r="J79" t="s">
        <v>310</v>
      </c>
      <c r="K79" t="s">
        <v>518</v>
      </c>
      <c r="L79">
        <v>16.56797374935983</v>
      </c>
      <c r="M79">
        <v>0.19392918042899221</v>
      </c>
    </row>
    <row r="80" spans="2:13">
      <c r="B80" t="s">
        <v>171</v>
      </c>
      <c r="C80" t="s">
        <v>312</v>
      </c>
      <c r="D80" t="s">
        <v>313</v>
      </c>
      <c r="E80" t="s">
        <v>10</v>
      </c>
      <c r="F80" t="s">
        <v>21</v>
      </c>
      <c r="G80" t="s">
        <v>174</v>
      </c>
      <c r="H80" t="s">
        <v>175</v>
      </c>
      <c r="J80" t="s">
        <v>312</v>
      </c>
      <c r="K80" t="s">
        <v>519</v>
      </c>
      <c r="L80">
        <v>36.443267369753706</v>
      </c>
      <c r="M80">
        <v>0.1985358347882934</v>
      </c>
    </row>
    <row r="81" spans="2:13">
      <c r="B81" t="s">
        <v>171</v>
      </c>
      <c r="C81" t="s">
        <v>314</v>
      </c>
      <c r="D81" t="s">
        <v>315</v>
      </c>
      <c r="E81" t="s">
        <v>10</v>
      </c>
      <c r="F81" t="s">
        <v>21</v>
      </c>
      <c r="G81" t="s">
        <v>174</v>
      </c>
      <c r="H81" t="s">
        <v>175</v>
      </c>
      <c r="J81" t="s">
        <v>314</v>
      </c>
      <c r="K81" t="s">
        <v>520</v>
      </c>
      <c r="L81">
        <v>25.012815082390134</v>
      </c>
      <c r="M81">
        <v>0.21503442026567179</v>
      </c>
    </row>
    <row r="82" spans="2:13">
      <c r="B82" t="s">
        <v>171</v>
      </c>
      <c r="C82" t="s">
        <v>316</v>
      </c>
      <c r="D82" t="s">
        <v>317</v>
      </c>
      <c r="E82" t="s">
        <v>10</v>
      </c>
      <c r="F82" t="s">
        <v>21</v>
      </c>
      <c r="G82" t="s">
        <v>174</v>
      </c>
      <c r="H82" t="s">
        <v>175</v>
      </c>
      <c r="J82" t="s">
        <v>316</v>
      </c>
      <c r="K82" t="s">
        <v>521</v>
      </c>
      <c r="L82">
        <v>36.280333941708669</v>
      </c>
      <c r="M82">
        <v>0.21465727702035819</v>
      </c>
    </row>
    <row r="83" spans="2:13">
      <c r="B83" t="s">
        <v>171</v>
      </c>
      <c r="C83" t="s">
        <v>318</v>
      </c>
      <c r="D83" t="s">
        <v>319</v>
      </c>
      <c r="E83" t="s">
        <v>10</v>
      </c>
      <c r="F83" t="s">
        <v>21</v>
      </c>
      <c r="G83" t="s">
        <v>174</v>
      </c>
      <c r="H83" t="s">
        <v>175</v>
      </c>
      <c r="J83" t="s">
        <v>318</v>
      </c>
      <c r="K83" t="s">
        <v>522</v>
      </c>
      <c r="L83">
        <v>27.290562600154423</v>
      </c>
      <c r="M83">
        <v>0.2072999034636912</v>
      </c>
    </row>
    <row r="84" spans="2:13">
      <c r="B84" t="s">
        <v>171</v>
      </c>
      <c r="C84" t="s">
        <v>320</v>
      </c>
      <c r="D84" t="s">
        <v>321</v>
      </c>
      <c r="E84" t="s">
        <v>10</v>
      </c>
      <c r="F84" t="s">
        <v>21</v>
      </c>
      <c r="G84" t="s">
        <v>174</v>
      </c>
      <c r="H84" t="s">
        <v>175</v>
      </c>
      <c r="J84" t="s">
        <v>320</v>
      </c>
      <c r="K84" t="s">
        <v>523</v>
      </c>
      <c r="L84">
        <v>86.913257778164393</v>
      </c>
      <c r="M84">
        <v>0.21313674274492611</v>
      </c>
    </row>
    <row r="85" spans="2:13">
      <c r="B85" t="s">
        <v>171</v>
      </c>
      <c r="C85" t="s">
        <v>322</v>
      </c>
      <c r="D85" t="s">
        <v>323</v>
      </c>
      <c r="E85" t="s">
        <v>10</v>
      </c>
      <c r="F85" t="s">
        <v>21</v>
      </c>
      <c r="G85" t="s">
        <v>174</v>
      </c>
      <c r="H85" t="s">
        <v>175</v>
      </c>
      <c r="J85" t="s">
        <v>322</v>
      </c>
      <c r="K85" t="s">
        <v>524</v>
      </c>
      <c r="L85">
        <v>21.527733591016013</v>
      </c>
      <c r="M85">
        <v>0.193687449154858</v>
      </c>
    </row>
    <row r="86" spans="2:13">
      <c r="B86" t="s">
        <v>171</v>
      </c>
      <c r="C86" t="s">
        <v>324</v>
      </c>
      <c r="D86" t="s">
        <v>325</v>
      </c>
      <c r="E86" t="s">
        <v>10</v>
      </c>
      <c r="F86" t="s">
        <v>21</v>
      </c>
      <c r="G86" t="s">
        <v>174</v>
      </c>
      <c r="H86" t="s">
        <v>175</v>
      </c>
      <c r="J86" t="s">
        <v>324</v>
      </c>
      <c r="K86" t="s">
        <v>525</v>
      </c>
      <c r="L86">
        <v>39.154409268100238</v>
      </c>
      <c r="M86">
        <v>0.20043267140226859</v>
      </c>
    </row>
    <row r="87" spans="2:13">
      <c r="B87" t="s">
        <v>171</v>
      </c>
      <c r="C87" t="s">
        <v>326</v>
      </c>
      <c r="D87" t="s">
        <v>327</v>
      </c>
      <c r="E87" t="s">
        <v>10</v>
      </c>
      <c r="F87" t="s">
        <v>21</v>
      </c>
      <c r="G87" t="s">
        <v>174</v>
      </c>
      <c r="H87" t="s">
        <v>175</v>
      </c>
      <c r="J87" t="s">
        <v>326</v>
      </c>
      <c r="K87" t="s">
        <v>526</v>
      </c>
      <c r="L87">
        <v>38.034133416026243</v>
      </c>
      <c r="M87">
        <v>0.18851542464754689</v>
      </c>
    </row>
    <row r="88" spans="2:13">
      <c r="B88" t="s">
        <v>171</v>
      </c>
      <c r="C88" t="s">
        <v>328</v>
      </c>
      <c r="D88" t="s">
        <v>329</v>
      </c>
      <c r="E88" t="s">
        <v>10</v>
      </c>
      <c r="F88" t="s">
        <v>21</v>
      </c>
      <c r="G88" t="s">
        <v>174</v>
      </c>
      <c r="H88" t="s">
        <v>175</v>
      </c>
      <c r="J88" t="s">
        <v>328</v>
      </c>
      <c r="K88" t="s">
        <v>527</v>
      </c>
      <c r="L88">
        <v>74.34884208240716</v>
      </c>
      <c r="M88">
        <v>0.19271564492693199</v>
      </c>
    </row>
    <row r="89" spans="2:13">
      <c r="B89" t="s">
        <v>171</v>
      </c>
      <c r="C89" t="s">
        <v>330</v>
      </c>
      <c r="D89" t="s">
        <v>331</v>
      </c>
      <c r="E89" t="s">
        <v>10</v>
      </c>
      <c r="F89" t="s">
        <v>21</v>
      </c>
      <c r="G89" t="s">
        <v>174</v>
      </c>
      <c r="H89" t="s">
        <v>175</v>
      </c>
      <c r="J89" t="s">
        <v>330</v>
      </c>
      <c r="K89" t="s">
        <v>528</v>
      </c>
      <c r="L89">
        <v>21.695631963640611</v>
      </c>
      <c r="M89">
        <v>0.1865416469139253</v>
      </c>
    </row>
    <row r="90" spans="2:13">
      <c r="B90" t="s">
        <v>171</v>
      </c>
      <c r="C90" t="s">
        <v>332</v>
      </c>
      <c r="D90" t="s">
        <v>333</v>
      </c>
      <c r="E90" t="s">
        <v>10</v>
      </c>
      <c r="F90" t="s">
        <v>21</v>
      </c>
      <c r="G90" t="s">
        <v>174</v>
      </c>
      <c r="H90" t="s">
        <v>175</v>
      </c>
      <c r="J90" t="s">
        <v>332</v>
      </c>
      <c r="K90" t="s">
        <v>529</v>
      </c>
      <c r="L90">
        <v>50.954148411424029</v>
      </c>
      <c r="M90">
        <v>0.18647021730564081</v>
      </c>
    </row>
    <row r="91" spans="2:13">
      <c r="B91" t="s">
        <v>171</v>
      </c>
      <c r="C91" t="s">
        <v>334</v>
      </c>
      <c r="D91" t="s">
        <v>335</v>
      </c>
      <c r="E91" t="s">
        <v>10</v>
      </c>
      <c r="F91" t="s">
        <v>21</v>
      </c>
      <c r="G91" t="s">
        <v>174</v>
      </c>
      <c r="H91" t="s">
        <v>175</v>
      </c>
      <c r="J91" t="s">
        <v>334</v>
      </c>
      <c r="K91" t="s">
        <v>530</v>
      </c>
      <c r="L91">
        <v>13.136876522631956</v>
      </c>
      <c r="M91">
        <v>0.1869863724066749</v>
      </c>
    </row>
    <row r="92" spans="2:13">
      <c r="B92" t="s">
        <v>171</v>
      </c>
      <c r="C92" t="s">
        <v>336</v>
      </c>
      <c r="D92" t="s">
        <v>337</v>
      </c>
      <c r="E92" t="s">
        <v>10</v>
      </c>
      <c r="F92" t="s">
        <v>21</v>
      </c>
      <c r="G92" t="s">
        <v>174</v>
      </c>
      <c r="H92" t="s">
        <v>175</v>
      </c>
      <c r="J92" t="s">
        <v>336</v>
      </c>
      <c r="K92" t="s">
        <v>531</v>
      </c>
      <c r="L92">
        <v>21.347164069791887</v>
      </c>
      <c r="M92">
        <v>0.1899761010940321</v>
      </c>
    </row>
    <row r="93" spans="2:13">
      <c r="B93" t="s">
        <v>171</v>
      </c>
      <c r="C93" t="s">
        <v>338</v>
      </c>
      <c r="D93" t="s">
        <v>339</v>
      </c>
      <c r="E93" t="s">
        <v>10</v>
      </c>
      <c r="F93" t="s">
        <v>21</v>
      </c>
      <c r="G93" t="s">
        <v>174</v>
      </c>
      <c r="H93" t="s">
        <v>175</v>
      </c>
      <c r="J93" t="s">
        <v>338</v>
      </c>
      <c r="K93" t="s">
        <v>532</v>
      </c>
      <c r="L93">
        <v>71.694878454156282</v>
      </c>
      <c r="M93">
        <v>0.2315816292473174</v>
      </c>
    </row>
    <row r="94" spans="2:13">
      <c r="B94" t="s">
        <v>171</v>
      </c>
      <c r="C94" t="s">
        <v>340</v>
      </c>
      <c r="D94" t="s">
        <v>341</v>
      </c>
      <c r="E94" t="s">
        <v>10</v>
      </c>
      <c r="F94" t="s">
        <v>21</v>
      </c>
      <c r="G94" t="s">
        <v>174</v>
      </c>
      <c r="H94" t="s">
        <v>175</v>
      </c>
      <c r="J94" t="s">
        <v>340</v>
      </c>
      <c r="K94" t="s">
        <v>533</v>
      </c>
      <c r="L94">
        <v>64.91056981417421</v>
      </c>
      <c r="M94">
        <v>0.2348270149225701</v>
      </c>
    </row>
    <row r="95" spans="2:13">
      <c r="B95" t="s">
        <v>171</v>
      </c>
      <c r="C95" t="s">
        <v>342</v>
      </c>
      <c r="D95" t="s">
        <v>343</v>
      </c>
      <c r="E95" t="s">
        <v>10</v>
      </c>
      <c r="F95" t="s">
        <v>21</v>
      </c>
      <c r="G95" t="s">
        <v>174</v>
      </c>
      <c r="H95" t="s">
        <v>175</v>
      </c>
      <c r="J95" t="s">
        <v>342</v>
      </c>
      <c r="K95" t="s">
        <v>534</v>
      </c>
      <c r="L95">
        <v>14.810622051107686</v>
      </c>
      <c r="M95">
        <v>0.2146498990053326</v>
      </c>
    </row>
    <row r="96" spans="2:13">
      <c r="B96" t="s">
        <v>171</v>
      </c>
      <c r="C96" t="s">
        <v>344</v>
      </c>
      <c r="D96" t="s">
        <v>345</v>
      </c>
      <c r="E96" t="s">
        <v>10</v>
      </c>
      <c r="F96" t="s">
        <v>21</v>
      </c>
      <c r="G96" t="s">
        <v>174</v>
      </c>
      <c r="H96" t="s">
        <v>175</v>
      </c>
      <c r="J96" t="s">
        <v>344</v>
      </c>
      <c r="K96" t="s">
        <v>535</v>
      </c>
      <c r="L96">
        <v>167.45420030081794</v>
      </c>
      <c r="M96">
        <v>0.23426263205620779</v>
      </c>
    </row>
    <row r="97" spans="2:13">
      <c r="B97" t="s">
        <v>171</v>
      </c>
      <c r="C97" t="s">
        <v>346</v>
      </c>
      <c r="D97" t="s">
        <v>347</v>
      </c>
      <c r="E97" t="s">
        <v>10</v>
      </c>
      <c r="F97" t="s">
        <v>21</v>
      </c>
      <c r="G97" t="s">
        <v>174</v>
      </c>
      <c r="H97" t="s">
        <v>175</v>
      </c>
      <c r="J97" t="s">
        <v>346</v>
      </c>
      <c r="K97" t="s">
        <v>536</v>
      </c>
      <c r="L97">
        <v>209.36352339932586</v>
      </c>
      <c r="M97">
        <v>0.26047506359023109</v>
      </c>
    </row>
    <row r="98" spans="2:13">
      <c r="B98" t="s">
        <v>171</v>
      </c>
      <c r="C98" t="s">
        <v>348</v>
      </c>
      <c r="D98" t="s">
        <v>349</v>
      </c>
      <c r="E98" t="s">
        <v>10</v>
      </c>
      <c r="F98" t="s">
        <v>21</v>
      </c>
      <c r="G98" t="s">
        <v>174</v>
      </c>
      <c r="H98" t="s">
        <v>175</v>
      </c>
      <c r="J98" t="s">
        <v>348</v>
      </c>
      <c r="K98" t="s">
        <v>537</v>
      </c>
      <c r="L98">
        <v>125.0421936728755</v>
      </c>
      <c r="M98">
        <v>0.25323200652297079</v>
      </c>
    </row>
    <row r="99" spans="2:13">
      <c r="B99" t="s">
        <v>171</v>
      </c>
      <c r="C99" t="s">
        <v>350</v>
      </c>
      <c r="D99" t="s">
        <v>351</v>
      </c>
      <c r="E99" t="s">
        <v>10</v>
      </c>
      <c r="F99" t="s">
        <v>21</v>
      </c>
      <c r="G99" t="s">
        <v>174</v>
      </c>
      <c r="H99" t="s">
        <v>175</v>
      </c>
      <c r="J99" t="s">
        <v>350</v>
      </c>
      <c r="K99" t="s">
        <v>538</v>
      </c>
      <c r="L99">
        <v>106.50469456571774</v>
      </c>
      <c r="M99">
        <v>0.2564312686188745</v>
      </c>
    </row>
    <row r="100" spans="2:13">
      <c r="B100" t="s">
        <v>171</v>
      </c>
      <c r="C100" t="s">
        <v>352</v>
      </c>
      <c r="D100" t="s">
        <v>353</v>
      </c>
      <c r="E100" t="s">
        <v>10</v>
      </c>
      <c r="F100" t="s">
        <v>21</v>
      </c>
      <c r="G100" t="s">
        <v>174</v>
      </c>
      <c r="H100" t="s">
        <v>175</v>
      </c>
      <c r="J100" t="s">
        <v>352</v>
      </c>
      <c r="K100" t="s">
        <v>539</v>
      </c>
      <c r="L100">
        <v>237.30132193657082</v>
      </c>
      <c r="M100">
        <v>0.25992957830273011</v>
      </c>
    </row>
    <row r="101" spans="2:13">
      <c r="B101" t="s">
        <v>171</v>
      </c>
      <c r="C101" t="s">
        <v>354</v>
      </c>
      <c r="D101" t="s">
        <v>355</v>
      </c>
      <c r="E101" t="s">
        <v>10</v>
      </c>
      <c r="F101" t="s">
        <v>21</v>
      </c>
      <c r="G101" t="s">
        <v>174</v>
      </c>
      <c r="H101" t="s">
        <v>175</v>
      </c>
      <c r="J101" t="s">
        <v>354</v>
      </c>
      <c r="K101" t="s">
        <v>540</v>
      </c>
      <c r="L101">
        <v>134.36453257759621</v>
      </c>
      <c r="M101">
        <v>0.25455161792749548</v>
      </c>
    </row>
    <row r="102" spans="2:13">
      <c r="B102" t="s">
        <v>171</v>
      </c>
      <c r="C102" t="s">
        <v>356</v>
      </c>
      <c r="D102" t="s">
        <v>357</v>
      </c>
      <c r="E102" t="s">
        <v>10</v>
      </c>
      <c r="F102" t="s">
        <v>21</v>
      </c>
      <c r="G102" t="s">
        <v>174</v>
      </c>
      <c r="H102" t="s">
        <v>175</v>
      </c>
      <c r="J102" t="s">
        <v>356</v>
      </c>
      <c r="K102" t="s">
        <v>541</v>
      </c>
      <c r="L102">
        <v>136.31520207697037</v>
      </c>
      <c r="M102">
        <v>0.26557139759279652</v>
      </c>
    </row>
    <row r="103" spans="2:13">
      <c r="B103" t="s">
        <v>171</v>
      </c>
      <c r="C103" t="s">
        <v>358</v>
      </c>
      <c r="D103" t="s">
        <v>359</v>
      </c>
      <c r="E103" t="s">
        <v>10</v>
      </c>
      <c r="F103" t="s">
        <v>21</v>
      </c>
      <c r="G103" t="s">
        <v>174</v>
      </c>
      <c r="H103" t="s">
        <v>175</v>
      </c>
      <c r="J103" t="s">
        <v>358</v>
      </c>
      <c r="K103" t="s">
        <v>542</v>
      </c>
      <c r="L103">
        <v>244.07982797336319</v>
      </c>
      <c r="M103">
        <v>0.2652621550123801</v>
      </c>
    </row>
    <row r="104" spans="2:13">
      <c r="B104" t="s">
        <v>171</v>
      </c>
      <c r="C104" t="s">
        <v>360</v>
      </c>
      <c r="D104" t="s">
        <v>361</v>
      </c>
      <c r="E104" t="s">
        <v>10</v>
      </c>
      <c r="F104" t="s">
        <v>21</v>
      </c>
      <c r="G104" t="s">
        <v>174</v>
      </c>
      <c r="H104" t="s">
        <v>175</v>
      </c>
      <c r="J104" t="s">
        <v>360</v>
      </c>
      <c r="K104" t="s">
        <v>543</v>
      </c>
      <c r="L104">
        <v>67.200368566030306</v>
      </c>
      <c r="M104">
        <v>0.2221875814870429</v>
      </c>
    </row>
    <row r="105" spans="2:13">
      <c r="B105" t="s">
        <v>171</v>
      </c>
      <c r="C105" t="s">
        <v>362</v>
      </c>
      <c r="D105" t="s">
        <v>363</v>
      </c>
      <c r="E105" t="s">
        <v>10</v>
      </c>
      <c r="F105" t="s">
        <v>21</v>
      </c>
      <c r="G105" t="s">
        <v>174</v>
      </c>
      <c r="H105" t="s">
        <v>175</v>
      </c>
      <c r="J105" t="s">
        <v>362</v>
      </c>
      <c r="K105" t="s">
        <v>544</v>
      </c>
      <c r="L105">
        <v>38.537570866409204</v>
      </c>
      <c r="M105">
        <v>0.24282251615404579</v>
      </c>
    </row>
    <row r="106" spans="2:13">
      <c r="B106" t="s">
        <v>171</v>
      </c>
      <c r="C106" t="s">
        <v>364</v>
      </c>
      <c r="D106" t="s">
        <v>365</v>
      </c>
      <c r="E106" t="s">
        <v>10</v>
      </c>
      <c r="F106" t="s">
        <v>21</v>
      </c>
      <c r="G106" t="s">
        <v>174</v>
      </c>
      <c r="H106" t="s">
        <v>175</v>
      </c>
      <c r="J106" t="s">
        <v>364</v>
      </c>
      <c r="K106" t="s">
        <v>545</v>
      </c>
      <c r="L106">
        <v>127.78604768705938</v>
      </c>
      <c r="M106">
        <v>0.2232922850044185</v>
      </c>
    </row>
    <row r="107" spans="2:13">
      <c r="B107" t="s">
        <v>171</v>
      </c>
      <c r="C107" t="s">
        <v>366</v>
      </c>
      <c r="D107" t="s">
        <v>367</v>
      </c>
      <c r="E107" t="s">
        <v>10</v>
      </c>
      <c r="F107" t="s">
        <v>21</v>
      </c>
      <c r="G107" t="s">
        <v>174</v>
      </c>
      <c r="H107" t="s">
        <v>175</v>
      </c>
      <c r="J107" t="s">
        <v>366</v>
      </c>
      <c r="K107" t="s">
        <v>546</v>
      </c>
      <c r="L107">
        <v>54.605963762940704</v>
      </c>
      <c r="M107">
        <v>0.22735107957779929</v>
      </c>
    </row>
    <row r="108" spans="2:13">
      <c r="B108" t="s">
        <v>171</v>
      </c>
      <c r="C108" t="s">
        <v>368</v>
      </c>
      <c r="D108" t="s">
        <v>369</v>
      </c>
      <c r="E108" t="s">
        <v>10</v>
      </c>
      <c r="F108" t="s">
        <v>21</v>
      </c>
      <c r="G108" t="s">
        <v>174</v>
      </c>
      <c r="H108" t="s">
        <v>175</v>
      </c>
      <c r="J108" t="s">
        <v>368</v>
      </c>
      <c r="K108" t="s">
        <v>547</v>
      </c>
      <c r="L108">
        <v>175.12973688807696</v>
      </c>
      <c r="M108">
        <v>0.23068034671789481</v>
      </c>
    </row>
    <row r="109" spans="2:13">
      <c r="B109" t="s">
        <v>171</v>
      </c>
      <c r="C109" t="s">
        <v>370</v>
      </c>
      <c r="D109" t="s">
        <v>371</v>
      </c>
      <c r="E109" t="s">
        <v>10</v>
      </c>
      <c r="F109" t="s">
        <v>21</v>
      </c>
      <c r="G109" t="s">
        <v>174</v>
      </c>
      <c r="H109" t="s">
        <v>175</v>
      </c>
      <c r="J109" t="s">
        <v>370</v>
      </c>
      <c r="K109" t="s">
        <v>548</v>
      </c>
      <c r="L109">
        <v>135.6757784598411</v>
      </c>
      <c r="M109">
        <v>0.26557640883383399</v>
      </c>
    </row>
    <row r="110" spans="2:13">
      <c r="B110" t="s">
        <v>171</v>
      </c>
      <c r="C110" t="s">
        <v>372</v>
      </c>
      <c r="D110" t="s">
        <v>373</v>
      </c>
      <c r="E110" t="s">
        <v>10</v>
      </c>
      <c r="F110" t="s">
        <v>21</v>
      </c>
      <c r="G110" t="s">
        <v>174</v>
      </c>
      <c r="H110" t="s">
        <v>175</v>
      </c>
      <c r="J110" t="s">
        <v>372</v>
      </c>
      <c r="K110" t="s">
        <v>549</v>
      </c>
      <c r="L110">
        <v>155.12844663149514</v>
      </c>
      <c r="M110">
        <v>0.26625741973236589</v>
      </c>
    </row>
    <row r="111" spans="2:13">
      <c r="B111" t="s">
        <v>171</v>
      </c>
      <c r="C111" t="s">
        <v>374</v>
      </c>
      <c r="D111" t="s">
        <v>375</v>
      </c>
      <c r="E111" t="s">
        <v>10</v>
      </c>
      <c r="F111" t="s">
        <v>21</v>
      </c>
      <c r="G111" t="s">
        <v>174</v>
      </c>
      <c r="H111" t="s">
        <v>175</v>
      </c>
      <c r="J111" t="s">
        <v>374</v>
      </c>
      <c r="K111" t="s">
        <v>550</v>
      </c>
      <c r="L111">
        <v>151.64055934417638</v>
      </c>
      <c r="M111">
        <v>0.24899338633215329</v>
      </c>
    </row>
    <row r="112" spans="2:13">
      <c r="B112" t="s">
        <v>171</v>
      </c>
      <c r="C112" t="s">
        <v>376</v>
      </c>
      <c r="D112" t="s">
        <v>377</v>
      </c>
      <c r="E112" t="s">
        <v>10</v>
      </c>
      <c r="F112" t="s">
        <v>21</v>
      </c>
      <c r="G112" t="s">
        <v>174</v>
      </c>
      <c r="H112" t="s">
        <v>175</v>
      </c>
      <c r="J112" t="s">
        <v>376</v>
      </c>
      <c r="K112" t="s">
        <v>551</v>
      </c>
      <c r="L112">
        <v>104.09850787411044</v>
      </c>
      <c r="M112">
        <v>0.25161303553359088</v>
      </c>
    </row>
    <row r="113" spans="2:13">
      <c r="B113" t="s">
        <v>171</v>
      </c>
      <c r="C113" t="s">
        <v>378</v>
      </c>
      <c r="D113" t="s">
        <v>379</v>
      </c>
      <c r="E113" t="s">
        <v>10</v>
      </c>
      <c r="F113" t="s">
        <v>21</v>
      </c>
      <c r="G113" t="s">
        <v>174</v>
      </c>
      <c r="H113" t="s">
        <v>175</v>
      </c>
      <c r="J113" t="s">
        <v>378</v>
      </c>
      <c r="K113" t="s">
        <v>552</v>
      </c>
      <c r="L113">
        <v>13.379525489675059</v>
      </c>
      <c r="M113">
        <v>0.2103685864960351</v>
      </c>
    </row>
    <row r="114" spans="2:13">
      <c r="B114" t="s">
        <v>171</v>
      </c>
      <c r="C114" t="s">
        <v>380</v>
      </c>
      <c r="D114" t="s">
        <v>381</v>
      </c>
      <c r="E114" t="s">
        <v>10</v>
      </c>
      <c r="F114" t="s">
        <v>21</v>
      </c>
      <c r="G114" t="s">
        <v>174</v>
      </c>
      <c r="H114" t="s">
        <v>175</v>
      </c>
      <c r="J114" t="s">
        <v>380</v>
      </c>
      <c r="K114" t="s">
        <v>553</v>
      </c>
      <c r="L114">
        <v>5.0008905263973453</v>
      </c>
      <c r="M114">
        <v>0.19503375193778411</v>
      </c>
    </row>
    <row r="115" spans="2:13">
      <c r="B115" t="s">
        <v>171</v>
      </c>
      <c r="C115" t="s">
        <v>382</v>
      </c>
      <c r="D115" t="s">
        <v>383</v>
      </c>
      <c r="E115" t="s">
        <v>10</v>
      </c>
      <c r="F115" t="s">
        <v>21</v>
      </c>
      <c r="G115" t="s">
        <v>174</v>
      </c>
      <c r="H115" t="s">
        <v>175</v>
      </c>
      <c r="J115" t="s">
        <v>382</v>
      </c>
      <c r="K115" t="s">
        <v>554</v>
      </c>
      <c r="L115">
        <v>3.7926123307274753</v>
      </c>
      <c r="M115">
        <v>0.20698955488970081</v>
      </c>
    </row>
    <row r="116" spans="2:13">
      <c r="B116" t="s">
        <v>171</v>
      </c>
      <c r="C116" t="s">
        <v>384</v>
      </c>
      <c r="D116" t="s">
        <v>385</v>
      </c>
      <c r="E116" t="s">
        <v>10</v>
      </c>
      <c r="F116" t="s">
        <v>21</v>
      </c>
      <c r="G116" t="s">
        <v>174</v>
      </c>
      <c r="H116" t="s">
        <v>175</v>
      </c>
      <c r="J116" t="s">
        <v>384</v>
      </c>
      <c r="K116" t="s">
        <v>555</v>
      </c>
      <c r="L116">
        <v>8.8929123508088175</v>
      </c>
      <c r="M116">
        <v>0.21381718170096059</v>
      </c>
    </row>
    <row r="117" spans="2:13">
      <c r="B117" t="s">
        <v>171</v>
      </c>
      <c r="C117" t="s">
        <v>386</v>
      </c>
      <c r="D117" t="s">
        <v>387</v>
      </c>
      <c r="E117" t="s">
        <v>10</v>
      </c>
      <c r="F117" t="s">
        <v>21</v>
      </c>
      <c r="G117" t="s">
        <v>174</v>
      </c>
      <c r="H117" t="s">
        <v>175</v>
      </c>
      <c r="J117" t="s">
        <v>386</v>
      </c>
      <c r="K117" t="s">
        <v>556</v>
      </c>
      <c r="L117">
        <v>3.540964421634488</v>
      </c>
      <c r="M117">
        <v>0.1826040712409368</v>
      </c>
    </row>
    <row r="118" spans="2:13">
      <c r="B118" t="s">
        <v>171</v>
      </c>
      <c r="C118" t="s">
        <v>388</v>
      </c>
      <c r="D118" t="s">
        <v>389</v>
      </c>
      <c r="E118" t="s">
        <v>10</v>
      </c>
      <c r="F118" t="s">
        <v>21</v>
      </c>
      <c r="G118" t="s">
        <v>174</v>
      </c>
      <c r="H118" t="s">
        <v>175</v>
      </c>
      <c r="J118" t="s">
        <v>388</v>
      </c>
      <c r="K118" t="s">
        <v>557</v>
      </c>
      <c r="L118">
        <v>7.8378680260708098</v>
      </c>
      <c r="M118">
        <v>0.17072991636977089</v>
      </c>
    </row>
    <row r="119" spans="2:13">
      <c r="B119" t="s">
        <v>171</v>
      </c>
      <c r="C119" t="s">
        <v>390</v>
      </c>
      <c r="D119" t="s">
        <v>391</v>
      </c>
      <c r="E119" t="s">
        <v>10</v>
      </c>
      <c r="F119" t="s">
        <v>21</v>
      </c>
      <c r="G119" t="s">
        <v>174</v>
      </c>
      <c r="H119" t="s">
        <v>175</v>
      </c>
      <c r="J119" t="s">
        <v>390</v>
      </c>
      <c r="K119" t="s">
        <v>558</v>
      </c>
      <c r="L119">
        <v>12.395423246580084</v>
      </c>
      <c r="M119">
        <v>0.18675995802731521</v>
      </c>
    </row>
    <row r="120" spans="2:13">
      <c r="B120" t="s">
        <v>171</v>
      </c>
      <c r="C120" t="s">
        <v>392</v>
      </c>
      <c r="D120" t="s">
        <v>393</v>
      </c>
      <c r="E120" t="s">
        <v>10</v>
      </c>
      <c r="F120" t="s">
        <v>21</v>
      </c>
      <c r="G120" t="s">
        <v>174</v>
      </c>
      <c r="H120" t="s">
        <v>175</v>
      </c>
      <c r="J120" t="s">
        <v>392</v>
      </c>
      <c r="K120" t="s">
        <v>559</v>
      </c>
      <c r="L120">
        <v>4.0357101279429894</v>
      </c>
      <c r="M120">
        <v>0.19261813695505661</v>
      </c>
    </row>
    <row r="121" spans="2:13">
      <c r="B121" t="s">
        <v>171</v>
      </c>
      <c r="C121" t="s">
        <v>394</v>
      </c>
      <c r="D121" t="s">
        <v>395</v>
      </c>
      <c r="E121" t="s">
        <v>10</v>
      </c>
      <c r="F121" t="s">
        <v>21</v>
      </c>
      <c r="G121" t="s">
        <v>174</v>
      </c>
      <c r="H121" t="s">
        <v>175</v>
      </c>
      <c r="J121" t="s">
        <v>394</v>
      </c>
      <c r="K121" t="s">
        <v>560</v>
      </c>
      <c r="L121">
        <v>16.303431906674476</v>
      </c>
      <c r="M121">
        <v>0.1857784167557944</v>
      </c>
    </row>
    <row r="122" spans="2:13">
      <c r="B122" t="s">
        <v>171</v>
      </c>
      <c r="C122" t="s">
        <v>396</v>
      </c>
      <c r="D122" t="s">
        <v>397</v>
      </c>
      <c r="E122" t="s">
        <v>10</v>
      </c>
      <c r="F122" t="s">
        <v>21</v>
      </c>
      <c r="G122" t="s">
        <v>174</v>
      </c>
      <c r="H122" t="s">
        <v>175</v>
      </c>
      <c r="J122" t="s">
        <v>396</v>
      </c>
      <c r="K122" t="s">
        <v>561</v>
      </c>
      <c r="L122">
        <v>98.957410819089432</v>
      </c>
      <c r="M122">
        <v>0.2080430400445048</v>
      </c>
    </row>
    <row r="123" spans="2:13">
      <c r="B123" t="s">
        <v>171</v>
      </c>
      <c r="C123" t="s">
        <v>398</v>
      </c>
      <c r="D123" t="s">
        <v>399</v>
      </c>
      <c r="E123" t="s">
        <v>10</v>
      </c>
      <c r="F123" t="s">
        <v>21</v>
      </c>
      <c r="G123" t="s">
        <v>174</v>
      </c>
      <c r="H123" t="s">
        <v>175</v>
      </c>
      <c r="J123" t="s">
        <v>398</v>
      </c>
      <c r="K123" t="s">
        <v>562</v>
      </c>
      <c r="L123">
        <v>66.562100080130492</v>
      </c>
      <c r="M123">
        <v>0.20078938560855061</v>
      </c>
    </row>
    <row r="124" spans="2:13">
      <c r="B124" t="s">
        <v>171</v>
      </c>
      <c r="C124" t="s">
        <v>400</v>
      </c>
      <c r="D124" t="s">
        <v>401</v>
      </c>
      <c r="E124" t="s">
        <v>10</v>
      </c>
      <c r="F124" t="s">
        <v>21</v>
      </c>
      <c r="G124" t="s">
        <v>174</v>
      </c>
      <c r="H124" t="s">
        <v>175</v>
      </c>
      <c r="J124" t="s">
        <v>400</v>
      </c>
      <c r="K124" t="s">
        <v>563</v>
      </c>
      <c r="L124">
        <v>46.543854173501828</v>
      </c>
      <c r="M124">
        <v>0.2051910322723923</v>
      </c>
    </row>
    <row r="125" spans="2:13">
      <c r="B125" t="s">
        <v>171</v>
      </c>
      <c r="C125" t="s">
        <v>402</v>
      </c>
      <c r="D125" t="s">
        <v>403</v>
      </c>
      <c r="E125" t="s">
        <v>10</v>
      </c>
      <c r="F125" t="s">
        <v>21</v>
      </c>
      <c r="G125" t="s">
        <v>174</v>
      </c>
      <c r="H125" t="s">
        <v>175</v>
      </c>
      <c r="J125" t="s">
        <v>402</v>
      </c>
      <c r="K125" t="s">
        <v>564</v>
      </c>
      <c r="L125">
        <v>46.899383790804556</v>
      </c>
      <c r="M125">
        <v>0.20374984720815631</v>
      </c>
    </row>
    <row r="126" spans="2:13">
      <c r="B126" t="s">
        <v>171</v>
      </c>
      <c r="C126" t="s">
        <v>404</v>
      </c>
      <c r="D126" t="s">
        <v>405</v>
      </c>
      <c r="E126" t="s">
        <v>10</v>
      </c>
      <c r="F126" t="s">
        <v>21</v>
      </c>
      <c r="G126" t="s">
        <v>174</v>
      </c>
      <c r="H126" t="s">
        <v>175</v>
      </c>
      <c r="J126" t="s">
        <v>404</v>
      </c>
      <c r="K126" t="s">
        <v>565</v>
      </c>
      <c r="L126">
        <v>68.335245151937812</v>
      </c>
      <c r="M126">
        <v>0.2133456452392031</v>
      </c>
    </row>
    <row r="127" spans="2:13">
      <c r="B127" t="s">
        <v>171</v>
      </c>
      <c r="C127" t="s">
        <v>406</v>
      </c>
      <c r="D127" t="s">
        <v>407</v>
      </c>
      <c r="E127" t="s">
        <v>10</v>
      </c>
      <c r="F127" t="s">
        <v>21</v>
      </c>
      <c r="G127" t="s">
        <v>174</v>
      </c>
      <c r="H127" t="s">
        <v>175</v>
      </c>
      <c r="J127" t="s">
        <v>406</v>
      </c>
      <c r="K127" t="s">
        <v>566</v>
      </c>
      <c r="L127">
        <v>52.165420911105102</v>
      </c>
      <c r="M127">
        <v>0.20544382891806809</v>
      </c>
    </row>
    <row r="128" spans="2:13">
      <c r="B128" t="s">
        <v>171</v>
      </c>
      <c r="C128" t="s">
        <v>408</v>
      </c>
      <c r="D128" t="s">
        <v>409</v>
      </c>
      <c r="E128" t="s">
        <v>10</v>
      </c>
      <c r="F128" t="s">
        <v>21</v>
      </c>
      <c r="G128" t="s">
        <v>174</v>
      </c>
      <c r="H128" t="s">
        <v>175</v>
      </c>
      <c r="J128" t="s">
        <v>408</v>
      </c>
      <c r="K128" t="s">
        <v>567</v>
      </c>
      <c r="L128">
        <v>27.771480493502811</v>
      </c>
      <c r="M128">
        <v>0.2124303886334892</v>
      </c>
    </row>
    <row r="129" spans="2:13">
      <c r="B129" t="s">
        <v>171</v>
      </c>
      <c r="C129" t="s">
        <v>410</v>
      </c>
      <c r="D129" t="s">
        <v>411</v>
      </c>
      <c r="E129" t="s">
        <v>10</v>
      </c>
      <c r="F129" t="s">
        <v>21</v>
      </c>
      <c r="G129" t="s">
        <v>174</v>
      </c>
      <c r="H129" t="s">
        <v>175</v>
      </c>
      <c r="J129" t="s">
        <v>410</v>
      </c>
      <c r="K129" t="s">
        <v>568</v>
      </c>
      <c r="L129">
        <v>85.201355568683795</v>
      </c>
      <c r="M129">
        <v>0.21774945747956209</v>
      </c>
    </row>
    <row r="130" spans="2:13">
      <c r="B130" t="s">
        <v>171</v>
      </c>
      <c r="C130" t="s">
        <v>412</v>
      </c>
      <c r="D130" t="s">
        <v>413</v>
      </c>
      <c r="E130" t="s">
        <v>10</v>
      </c>
      <c r="F130" t="s">
        <v>21</v>
      </c>
      <c r="G130" t="s">
        <v>174</v>
      </c>
      <c r="H130" t="s">
        <v>175</v>
      </c>
      <c r="J130" t="s">
        <v>412</v>
      </c>
      <c r="K130" t="s">
        <v>569</v>
      </c>
      <c r="L130">
        <v>65.017353068811516</v>
      </c>
      <c r="M130">
        <v>0.2212406873342358</v>
      </c>
    </row>
    <row r="131" spans="2:13">
      <c r="B131" t="s">
        <v>171</v>
      </c>
      <c r="C131" t="s">
        <v>414</v>
      </c>
      <c r="D131" t="s">
        <v>415</v>
      </c>
      <c r="E131" t="s">
        <v>10</v>
      </c>
      <c r="F131" t="s">
        <v>21</v>
      </c>
      <c r="G131" t="s">
        <v>174</v>
      </c>
      <c r="H131" t="s">
        <v>175</v>
      </c>
      <c r="J131" t="s">
        <v>414</v>
      </c>
      <c r="K131" t="s">
        <v>570</v>
      </c>
      <c r="L131">
        <v>56.673777808988802</v>
      </c>
      <c r="M131">
        <v>0.22618462403482081</v>
      </c>
    </row>
    <row r="132" spans="2:13">
      <c r="B132" t="s">
        <v>171</v>
      </c>
      <c r="C132" t="s">
        <v>416</v>
      </c>
      <c r="D132" t="s">
        <v>417</v>
      </c>
      <c r="E132" t="s">
        <v>10</v>
      </c>
      <c r="F132" t="s">
        <v>21</v>
      </c>
      <c r="G132" t="s">
        <v>174</v>
      </c>
      <c r="H132" t="s">
        <v>175</v>
      </c>
      <c r="J132" t="s">
        <v>416</v>
      </c>
      <c r="K132" t="s">
        <v>571</v>
      </c>
      <c r="L132">
        <v>33.910289077121611</v>
      </c>
      <c r="M132">
        <v>0.2356128082494863</v>
      </c>
    </row>
    <row r="133" spans="2:13">
      <c r="B133" t="s">
        <v>171</v>
      </c>
      <c r="C133" t="s">
        <v>418</v>
      </c>
      <c r="D133" t="s">
        <v>419</v>
      </c>
      <c r="E133" t="s">
        <v>10</v>
      </c>
      <c r="F133" t="s">
        <v>21</v>
      </c>
      <c r="G133" t="s">
        <v>174</v>
      </c>
      <c r="H133" t="s">
        <v>175</v>
      </c>
      <c r="J133" t="s">
        <v>418</v>
      </c>
      <c r="K133" t="s">
        <v>572</v>
      </c>
      <c r="L133">
        <v>120.69179902137029</v>
      </c>
      <c r="M133">
        <v>0.24484863738727439</v>
      </c>
    </row>
    <row r="134" spans="2:13">
      <c r="B134" t="s">
        <v>171</v>
      </c>
      <c r="C134" t="s">
        <v>420</v>
      </c>
      <c r="D134" t="s">
        <v>421</v>
      </c>
      <c r="E134" t="s">
        <v>10</v>
      </c>
      <c r="F134" t="s">
        <v>21</v>
      </c>
      <c r="G134" t="s">
        <v>174</v>
      </c>
      <c r="H134" t="s">
        <v>175</v>
      </c>
      <c r="J134" t="s">
        <v>420</v>
      </c>
      <c r="K134" t="s">
        <v>573</v>
      </c>
      <c r="L134">
        <v>186.58940322981067</v>
      </c>
      <c r="M134">
        <v>0.24731846680756769</v>
      </c>
    </row>
    <row r="135" spans="2:13">
      <c r="B135" t="s">
        <v>171</v>
      </c>
      <c r="C135" t="s">
        <v>422</v>
      </c>
      <c r="D135" t="s">
        <v>423</v>
      </c>
      <c r="E135" t="s">
        <v>10</v>
      </c>
      <c r="F135" t="s">
        <v>21</v>
      </c>
      <c r="G135" t="s">
        <v>174</v>
      </c>
      <c r="H135" t="s">
        <v>175</v>
      </c>
      <c r="J135" t="s">
        <v>422</v>
      </c>
      <c r="K135" t="s">
        <v>574</v>
      </c>
      <c r="L135">
        <v>105.39710589363379</v>
      </c>
      <c r="M135">
        <v>0.23994421883163031</v>
      </c>
    </row>
    <row r="136" spans="2:13">
      <c r="B136" t="s">
        <v>171</v>
      </c>
      <c r="C136" t="s">
        <v>424</v>
      </c>
      <c r="D136" t="s">
        <v>425</v>
      </c>
      <c r="E136" t="s">
        <v>10</v>
      </c>
      <c r="F136" t="s">
        <v>21</v>
      </c>
      <c r="G136" t="s">
        <v>174</v>
      </c>
      <c r="H136" t="s">
        <v>175</v>
      </c>
      <c r="J136" t="s">
        <v>424</v>
      </c>
      <c r="K136" t="s">
        <v>575</v>
      </c>
      <c r="L136">
        <v>93.387510011901071</v>
      </c>
      <c r="M136">
        <v>0.2411162759006428</v>
      </c>
    </row>
    <row r="137" spans="2:13">
      <c r="B137" t="s">
        <v>171</v>
      </c>
      <c r="C137" t="s">
        <v>426</v>
      </c>
      <c r="D137" t="s">
        <v>427</v>
      </c>
      <c r="E137" t="s">
        <v>10</v>
      </c>
      <c r="F137" t="s">
        <v>21</v>
      </c>
      <c r="G137" t="s">
        <v>174</v>
      </c>
      <c r="H137" t="s">
        <v>175</v>
      </c>
      <c r="J137" t="s">
        <v>426</v>
      </c>
      <c r="K137" t="s">
        <v>576</v>
      </c>
      <c r="L137">
        <v>70.580206577230754</v>
      </c>
      <c r="M137">
        <v>0.20987633572454861</v>
      </c>
    </row>
    <row r="138" spans="2:13">
      <c r="B138" t="s">
        <v>171</v>
      </c>
      <c r="C138" t="s">
        <v>428</v>
      </c>
      <c r="D138" t="s">
        <v>429</v>
      </c>
      <c r="E138" t="s">
        <v>10</v>
      </c>
      <c r="F138" t="s">
        <v>21</v>
      </c>
      <c r="G138" t="s">
        <v>174</v>
      </c>
      <c r="H138" t="s">
        <v>175</v>
      </c>
      <c r="J138" t="s">
        <v>428</v>
      </c>
      <c r="K138" t="s">
        <v>577</v>
      </c>
      <c r="L138">
        <v>66.33910154388785</v>
      </c>
      <c r="M138">
        <v>0.2092426717534783</v>
      </c>
    </row>
    <row r="139" spans="2:13">
      <c r="B139" t="s">
        <v>171</v>
      </c>
      <c r="C139" t="s">
        <v>430</v>
      </c>
      <c r="D139" t="s">
        <v>431</v>
      </c>
      <c r="E139" t="s">
        <v>10</v>
      </c>
      <c r="F139" t="s">
        <v>21</v>
      </c>
      <c r="G139" t="s">
        <v>174</v>
      </c>
      <c r="H139" t="s">
        <v>175</v>
      </c>
      <c r="J139" t="s">
        <v>430</v>
      </c>
      <c r="K139" t="s">
        <v>578</v>
      </c>
      <c r="L139">
        <v>47.141091988789746</v>
      </c>
      <c r="M139">
        <v>0.21946266003705239</v>
      </c>
    </row>
    <row r="140" spans="2:13">
      <c r="B140" t="s">
        <v>171</v>
      </c>
      <c r="C140" t="s">
        <v>432</v>
      </c>
      <c r="D140" t="s">
        <v>433</v>
      </c>
      <c r="E140" t="s">
        <v>10</v>
      </c>
      <c r="F140" t="s">
        <v>21</v>
      </c>
      <c r="G140" t="s">
        <v>174</v>
      </c>
      <c r="H140" t="s">
        <v>175</v>
      </c>
      <c r="J140" t="s">
        <v>432</v>
      </c>
      <c r="K140" t="s">
        <v>579</v>
      </c>
      <c r="L140">
        <v>80.821562968752872</v>
      </c>
      <c r="M140">
        <v>0.23179082785061439</v>
      </c>
    </row>
    <row r="141" spans="2:13">
      <c r="B141" t="s">
        <v>171</v>
      </c>
      <c r="C141" t="s">
        <v>434</v>
      </c>
      <c r="D141" t="s">
        <v>435</v>
      </c>
      <c r="E141" t="s">
        <v>10</v>
      </c>
      <c r="F141" t="s">
        <v>21</v>
      </c>
      <c r="G141" t="s">
        <v>174</v>
      </c>
      <c r="H141" t="s">
        <v>175</v>
      </c>
      <c r="J141" t="s">
        <v>434</v>
      </c>
      <c r="K141" t="s">
        <v>580</v>
      </c>
      <c r="L141">
        <v>31.601677138089638</v>
      </c>
      <c r="M141">
        <v>0.20062163822454471</v>
      </c>
    </row>
    <row r="142" spans="2:13">
      <c r="B142" t="s">
        <v>171</v>
      </c>
      <c r="C142" t="s">
        <v>436</v>
      </c>
      <c r="D142" t="s">
        <v>437</v>
      </c>
      <c r="E142" t="s">
        <v>10</v>
      </c>
      <c r="F142" t="s">
        <v>21</v>
      </c>
      <c r="G142" t="s">
        <v>174</v>
      </c>
      <c r="H142" t="s">
        <v>175</v>
      </c>
      <c r="J142" t="s">
        <v>436</v>
      </c>
      <c r="K142" t="s">
        <v>581</v>
      </c>
      <c r="L142">
        <v>8.11122871070679</v>
      </c>
      <c r="M142">
        <v>0.19860019106929819</v>
      </c>
    </row>
    <row r="143" spans="2:13">
      <c r="B143" t="s">
        <v>171</v>
      </c>
      <c r="C143" t="s">
        <v>438</v>
      </c>
      <c r="D143" t="s">
        <v>439</v>
      </c>
      <c r="E143" t="s">
        <v>10</v>
      </c>
      <c r="F143" t="s">
        <v>21</v>
      </c>
      <c r="G143" t="s">
        <v>174</v>
      </c>
      <c r="H143" t="s">
        <v>175</v>
      </c>
      <c r="J143" t="s">
        <v>438</v>
      </c>
      <c r="K143" t="s">
        <v>582</v>
      </c>
      <c r="L143">
        <v>7.832015876439665</v>
      </c>
      <c r="M143">
        <v>0.21689776343849121</v>
      </c>
    </row>
    <row r="144" spans="2:13">
      <c r="B144" t="s">
        <v>171</v>
      </c>
      <c r="C144" t="s">
        <v>440</v>
      </c>
      <c r="D144" t="s">
        <v>441</v>
      </c>
      <c r="E144" t="s">
        <v>10</v>
      </c>
      <c r="F144" t="s">
        <v>21</v>
      </c>
      <c r="G144" t="s">
        <v>174</v>
      </c>
      <c r="H144" t="s">
        <v>175</v>
      </c>
      <c r="J144" t="s">
        <v>440</v>
      </c>
      <c r="K144" t="s">
        <v>583</v>
      </c>
      <c r="L144">
        <v>81.180155151800534</v>
      </c>
      <c r="M144">
        <v>0.2346373276834133</v>
      </c>
    </row>
    <row r="145" spans="2:13">
      <c r="B145" t="s">
        <v>171</v>
      </c>
      <c r="C145" t="s">
        <v>442</v>
      </c>
      <c r="D145" t="s">
        <v>443</v>
      </c>
      <c r="E145" t="s">
        <v>10</v>
      </c>
      <c r="F145" t="s">
        <v>21</v>
      </c>
      <c r="G145" t="s">
        <v>174</v>
      </c>
      <c r="H145" t="s">
        <v>175</v>
      </c>
      <c r="J145" t="s">
        <v>442</v>
      </c>
      <c r="K145" t="s">
        <v>584</v>
      </c>
      <c r="L145">
        <v>35.131863609606697</v>
      </c>
      <c r="M145">
        <v>0.21249777523500629</v>
      </c>
    </row>
    <row r="146" spans="2:13">
      <c r="B146" t="s">
        <v>171</v>
      </c>
      <c r="C146" t="s">
        <v>444</v>
      </c>
      <c r="D146" t="s">
        <v>445</v>
      </c>
      <c r="E146" t="s">
        <v>10</v>
      </c>
      <c r="F146" t="s">
        <v>21</v>
      </c>
      <c r="G146" t="s">
        <v>174</v>
      </c>
      <c r="H146" t="s">
        <v>175</v>
      </c>
      <c r="J146" t="s">
        <v>444</v>
      </c>
      <c r="K146" t="s">
        <v>585</v>
      </c>
      <c r="L146">
        <v>44.151543827032945</v>
      </c>
      <c r="M146">
        <v>0.2217114670127418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C523C-2049-4A19-B35A-BC4B028B0FAB}">
  <dimension ref="B9:Z124"/>
  <sheetViews>
    <sheetView workbookViewId="0"/>
  </sheetViews>
  <sheetFormatPr defaultRowHeight="14.25"/>
  <sheetData>
    <row r="9" spans="2:26">
      <c r="B9" t="s">
        <v>163</v>
      </c>
      <c r="J9" t="s">
        <v>446</v>
      </c>
      <c r="O9" t="s">
        <v>163</v>
      </c>
      <c r="W9" t="s">
        <v>446</v>
      </c>
    </row>
    <row r="10" spans="2:26">
      <c r="B10" t="s">
        <v>164</v>
      </c>
      <c r="C10" t="s">
        <v>165</v>
      </c>
      <c r="D10" t="s">
        <v>166</v>
      </c>
      <c r="E10" t="s">
        <v>167</v>
      </c>
      <c r="F10" t="s">
        <v>168</v>
      </c>
      <c r="G10" t="s">
        <v>169</v>
      </c>
      <c r="H10" t="s">
        <v>170</v>
      </c>
      <c r="J10" t="s">
        <v>165</v>
      </c>
      <c r="K10" t="s">
        <v>447</v>
      </c>
      <c r="L10" t="s">
        <v>448</v>
      </c>
      <c r="M10" t="s">
        <v>449</v>
      </c>
      <c r="O10" t="s">
        <v>164</v>
      </c>
      <c r="P10" t="s">
        <v>165</v>
      </c>
      <c r="Q10" t="s">
        <v>166</v>
      </c>
      <c r="R10" t="s">
        <v>167</v>
      </c>
      <c r="S10" t="s">
        <v>168</v>
      </c>
      <c r="T10" t="s">
        <v>169</v>
      </c>
      <c r="U10" t="s">
        <v>170</v>
      </c>
      <c r="W10" t="s">
        <v>165</v>
      </c>
      <c r="X10" t="s">
        <v>447</v>
      </c>
      <c r="Y10" t="s">
        <v>448</v>
      </c>
      <c r="Z10" t="s">
        <v>449</v>
      </c>
    </row>
    <row r="11" spans="2:26">
      <c r="B11" t="s">
        <v>171</v>
      </c>
      <c r="C11" t="s">
        <v>586</v>
      </c>
      <c r="D11" t="s">
        <v>587</v>
      </c>
      <c r="E11" t="s">
        <v>10</v>
      </c>
      <c r="F11" t="s">
        <v>21</v>
      </c>
      <c r="G11" t="s">
        <v>174</v>
      </c>
      <c r="H11" t="s">
        <v>175</v>
      </c>
      <c r="J11" t="s">
        <v>586</v>
      </c>
      <c r="K11" t="s">
        <v>814</v>
      </c>
      <c r="L11">
        <v>26.630947194643543</v>
      </c>
      <c r="M11">
        <v>0.1330107246767826</v>
      </c>
      <c r="O11" t="s">
        <v>171</v>
      </c>
      <c r="P11" t="s">
        <v>928</v>
      </c>
      <c r="Q11" t="s">
        <v>929</v>
      </c>
      <c r="R11" t="s">
        <v>10</v>
      </c>
      <c r="S11" t="s">
        <v>21</v>
      </c>
      <c r="T11" t="s">
        <v>174</v>
      </c>
      <c r="U11" t="s">
        <v>175</v>
      </c>
      <c r="W11" t="s">
        <v>928</v>
      </c>
      <c r="X11" t="s">
        <v>996</v>
      </c>
      <c r="Y11">
        <v>10.108499999999999</v>
      </c>
      <c r="Z11">
        <v>0.38911626214418871</v>
      </c>
    </row>
    <row r="12" spans="2:26">
      <c r="B12" t="s">
        <v>171</v>
      </c>
      <c r="C12" t="s">
        <v>588</v>
      </c>
      <c r="D12" t="s">
        <v>589</v>
      </c>
      <c r="E12" t="s">
        <v>10</v>
      </c>
      <c r="F12" t="s">
        <v>21</v>
      </c>
      <c r="G12" t="s">
        <v>174</v>
      </c>
      <c r="H12" t="s">
        <v>175</v>
      </c>
      <c r="J12" t="s">
        <v>588</v>
      </c>
      <c r="K12" t="s">
        <v>815</v>
      </c>
      <c r="L12">
        <v>18.678286507640205</v>
      </c>
      <c r="M12">
        <v>9.9146390855766098E-2</v>
      </c>
      <c r="O12" t="s">
        <v>171</v>
      </c>
      <c r="P12" t="s">
        <v>930</v>
      </c>
      <c r="Q12" t="s">
        <v>931</v>
      </c>
      <c r="R12" t="s">
        <v>10</v>
      </c>
      <c r="S12" t="s">
        <v>21</v>
      </c>
      <c r="T12" t="s">
        <v>174</v>
      </c>
      <c r="U12" t="s">
        <v>175</v>
      </c>
      <c r="W12" t="s">
        <v>930</v>
      </c>
      <c r="X12" t="s">
        <v>997</v>
      </c>
      <c r="Y12">
        <v>2.9205000000000001</v>
      </c>
      <c r="Z12">
        <v>0.33692562864079578</v>
      </c>
    </row>
    <row r="13" spans="2:26">
      <c r="B13" t="s">
        <v>171</v>
      </c>
      <c r="C13" t="s">
        <v>590</v>
      </c>
      <c r="D13" t="s">
        <v>591</v>
      </c>
      <c r="E13" t="s">
        <v>10</v>
      </c>
      <c r="F13" t="s">
        <v>21</v>
      </c>
      <c r="G13" t="s">
        <v>174</v>
      </c>
      <c r="H13" t="s">
        <v>175</v>
      </c>
      <c r="J13" t="s">
        <v>590</v>
      </c>
      <c r="K13" t="s">
        <v>816</v>
      </c>
      <c r="L13">
        <v>15.899438671120063</v>
      </c>
      <c r="M13">
        <v>0.1247096293119087</v>
      </c>
      <c r="O13" t="s">
        <v>171</v>
      </c>
      <c r="P13" t="s">
        <v>932</v>
      </c>
      <c r="Q13" t="s">
        <v>933</v>
      </c>
      <c r="R13" t="s">
        <v>10</v>
      </c>
      <c r="S13" t="s">
        <v>21</v>
      </c>
      <c r="T13" t="s">
        <v>174</v>
      </c>
      <c r="U13" t="s">
        <v>175</v>
      </c>
      <c r="W13" t="s">
        <v>932</v>
      </c>
      <c r="X13" t="s">
        <v>998</v>
      </c>
      <c r="Y13">
        <v>8.24925</v>
      </c>
      <c r="Z13">
        <v>0.36300026625556497</v>
      </c>
    </row>
    <row r="14" spans="2:26">
      <c r="B14" t="s">
        <v>171</v>
      </c>
      <c r="C14" t="s">
        <v>592</v>
      </c>
      <c r="D14" t="s">
        <v>593</v>
      </c>
      <c r="E14" t="s">
        <v>10</v>
      </c>
      <c r="F14" t="s">
        <v>21</v>
      </c>
      <c r="G14" t="s">
        <v>174</v>
      </c>
      <c r="H14" t="s">
        <v>175</v>
      </c>
      <c r="J14" t="s">
        <v>592</v>
      </c>
      <c r="K14" t="s">
        <v>817</v>
      </c>
      <c r="L14">
        <v>12.882454041420184</v>
      </c>
      <c r="M14">
        <v>0.11462939982053159</v>
      </c>
      <c r="O14" t="s">
        <v>171</v>
      </c>
      <c r="P14" t="s">
        <v>934</v>
      </c>
      <c r="Q14" t="s">
        <v>935</v>
      </c>
      <c r="R14" t="s">
        <v>10</v>
      </c>
      <c r="S14" t="s">
        <v>21</v>
      </c>
      <c r="T14" t="s">
        <v>174</v>
      </c>
      <c r="U14" t="s">
        <v>175</v>
      </c>
      <c r="W14" t="s">
        <v>934</v>
      </c>
      <c r="X14" t="s">
        <v>999</v>
      </c>
      <c r="Y14">
        <v>46.060499999999998</v>
      </c>
      <c r="Z14">
        <v>0.62013697787600364</v>
      </c>
    </row>
    <row r="15" spans="2:26">
      <c r="B15" t="s">
        <v>171</v>
      </c>
      <c r="C15" t="s">
        <v>594</v>
      </c>
      <c r="D15" t="s">
        <v>595</v>
      </c>
      <c r="E15" t="s">
        <v>10</v>
      </c>
      <c r="F15" t="s">
        <v>21</v>
      </c>
      <c r="G15" t="s">
        <v>174</v>
      </c>
      <c r="H15" t="s">
        <v>175</v>
      </c>
      <c r="J15" t="s">
        <v>594</v>
      </c>
      <c r="K15" t="s">
        <v>818</v>
      </c>
      <c r="L15">
        <v>25.481182734267183</v>
      </c>
      <c r="M15">
        <v>0.16686540071456679</v>
      </c>
      <c r="O15" t="s">
        <v>171</v>
      </c>
      <c r="P15" t="s">
        <v>936</v>
      </c>
      <c r="Q15" t="s">
        <v>937</v>
      </c>
      <c r="R15" t="s">
        <v>10</v>
      </c>
      <c r="S15" t="s">
        <v>21</v>
      </c>
      <c r="T15" t="s">
        <v>174</v>
      </c>
      <c r="U15" t="s">
        <v>175</v>
      </c>
      <c r="W15" t="s">
        <v>936</v>
      </c>
      <c r="X15" t="s">
        <v>1000</v>
      </c>
      <c r="Y15">
        <v>15.442500000000001</v>
      </c>
      <c r="Z15">
        <v>0.58020399158725766</v>
      </c>
    </row>
    <row r="16" spans="2:26">
      <c r="B16" t="s">
        <v>171</v>
      </c>
      <c r="C16" t="s">
        <v>596</v>
      </c>
      <c r="D16" t="s">
        <v>597</v>
      </c>
      <c r="E16" t="s">
        <v>10</v>
      </c>
      <c r="F16" t="s">
        <v>21</v>
      </c>
      <c r="G16" t="s">
        <v>174</v>
      </c>
      <c r="H16" t="s">
        <v>175</v>
      </c>
      <c r="J16" t="s">
        <v>596</v>
      </c>
      <c r="K16" t="s">
        <v>819</v>
      </c>
      <c r="L16">
        <v>63.944973033631022</v>
      </c>
      <c r="M16">
        <v>0.2130050539275524</v>
      </c>
      <c r="O16" t="s">
        <v>171</v>
      </c>
      <c r="P16" t="s">
        <v>938</v>
      </c>
      <c r="Q16" t="s">
        <v>939</v>
      </c>
      <c r="R16" t="s">
        <v>10</v>
      </c>
      <c r="S16" t="s">
        <v>21</v>
      </c>
      <c r="T16" t="s">
        <v>174</v>
      </c>
      <c r="U16" t="s">
        <v>175</v>
      </c>
      <c r="W16" t="s">
        <v>938</v>
      </c>
      <c r="X16" t="s">
        <v>1001</v>
      </c>
      <c r="Y16">
        <v>81.801000000000002</v>
      </c>
      <c r="Z16">
        <v>0.52136979412530338</v>
      </c>
    </row>
    <row r="17" spans="2:26">
      <c r="B17" t="s">
        <v>171</v>
      </c>
      <c r="C17" t="s">
        <v>598</v>
      </c>
      <c r="D17" t="s">
        <v>599</v>
      </c>
      <c r="E17" t="s">
        <v>10</v>
      </c>
      <c r="F17" t="s">
        <v>21</v>
      </c>
      <c r="G17" t="s">
        <v>174</v>
      </c>
      <c r="H17" t="s">
        <v>175</v>
      </c>
      <c r="J17" t="s">
        <v>598</v>
      </c>
      <c r="K17" t="s">
        <v>820</v>
      </c>
      <c r="L17">
        <v>50.213192681828922</v>
      </c>
      <c r="M17">
        <v>0.1790024310206553</v>
      </c>
      <c r="O17" t="s">
        <v>171</v>
      </c>
      <c r="P17" t="s">
        <v>940</v>
      </c>
      <c r="Q17" t="s">
        <v>941</v>
      </c>
      <c r="R17" t="s">
        <v>10</v>
      </c>
      <c r="S17" t="s">
        <v>21</v>
      </c>
      <c r="T17" t="s">
        <v>174</v>
      </c>
      <c r="U17" t="s">
        <v>175</v>
      </c>
      <c r="W17" t="s">
        <v>940</v>
      </c>
      <c r="X17" t="s">
        <v>1002</v>
      </c>
      <c r="Y17">
        <v>15.204750000000001</v>
      </c>
      <c r="Z17">
        <v>0.41919766445259748</v>
      </c>
    </row>
    <row r="18" spans="2:26">
      <c r="B18" t="s">
        <v>171</v>
      </c>
      <c r="C18" t="s">
        <v>600</v>
      </c>
      <c r="D18" t="s">
        <v>601</v>
      </c>
      <c r="E18" t="s">
        <v>10</v>
      </c>
      <c r="F18" t="s">
        <v>21</v>
      </c>
      <c r="G18" t="s">
        <v>174</v>
      </c>
      <c r="H18" t="s">
        <v>175</v>
      </c>
      <c r="J18" t="s">
        <v>600</v>
      </c>
      <c r="K18" t="s">
        <v>821</v>
      </c>
      <c r="L18">
        <v>41.324048620902452</v>
      </c>
      <c r="M18">
        <v>0.14883603887935401</v>
      </c>
      <c r="O18" t="s">
        <v>171</v>
      </c>
      <c r="P18" t="s">
        <v>942</v>
      </c>
      <c r="Q18" t="s">
        <v>943</v>
      </c>
      <c r="R18" t="s">
        <v>10</v>
      </c>
      <c r="S18" t="s">
        <v>21</v>
      </c>
      <c r="T18" t="s">
        <v>174</v>
      </c>
      <c r="U18" t="s">
        <v>175</v>
      </c>
      <c r="W18" t="s">
        <v>942</v>
      </c>
      <c r="X18" t="s">
        <v>1003</v>
      </c>
      <c r="Y18">
        <v>69.680250000000001</v>
      </c>
      <c r="Z18">
        <v>0.47891990064732709</v>
      </c>
    </row>
    <row r="19" spans="2:26">
      <c r="B19" t="s">
        <v>171</v>
      </c>
      <c r="C19" t="s">
        <v>602</v>
      </c>
      <c r="D19" t="s">
        <v>603</v>
      </c>
      <c r="E19" t="s">
        <v>10</v>
      </c>
      <c r="F19" t="s">
        <v>21</v>
      </c>
      <c r="G19" t="s">
        <v>174</v>
      </c>
      <c r="H19" t="s">
        <v>175</v>
      </c>
      <c r="J19" t="s">
        <v>602</v>
      </c>
      <c r="K19" t="s">
        <v>822</v>
      </c>
      <c r="L19">
        <v>31.750345361949169</v>
      </c>
      <c r="M19">
        <v>0.12627514348516219</v>
      </c>
      <c r="O19" t="s">
        <v>171</v>
      </c>
      <c r="P19" t="s">
        <v>944</v>
      </c>
      <c r="Q19" t="s">
        <v>945</v>
      </c>
      <c r="R19" t="s">
        <v>10</v>
      </c>
      <c r="S19" t="s">
        <v>21</v>
      </c>
      <c r="T19" t="s">
        <v>174</v>
      </c>
      <c r="U19" t="s">
        <v>175</v>
      </c>
      <c r="W19" t="s">
        <v>944</v>
      </c>
      <c r="X19" t="s">
        <v>1004</v>
      </c>
      <c r="Y19">
        <v>14.664</v>
      </c>
      <c r="Z19">
        <v>0.3937337447004795</v>
      </c>
    </row>
    <row r="20" spans="2:26">
      <c r="B20" t="s">
        <v>171</v>
      </c>
      <c r="C20" t="s">
        <v>604</v>
      </c>
      <c r="D20" t="s">
        <v>605</v>
      </c>
      <c r="E20" t="s">
        <v>10</v>
      </c>
      <c r="F20" t="s">
        <v>21</v>
      </c>
      <c r="G20" t="s">
        <v>174</v>
      </c>
      <c r="H20" t="s">
        <v>175</v>
      </c>
      <c r="J20" t="s">
        <v>604</v>
      </c>
      <c r="K20" t="s">
        <v>823</v>
      </c>
      <c r="L20">
        <v>56.726267538495932</v>
      </c>
      <c r="M20">
        <v>0.1920326480494578</v>
      </c>
      <c r="O20" t="s">
        <v>171</v>
      </c>
      <c r="P20" t="s">
        <v>946</v>
      </c>
      <c r="Q20" t="s">
        <v>947</v>
      </c>
      <c r="R20" t="s">
        <v>10</v>
      </c>
      <c r="S20" t="s">
        <v>21</v>
      </c>
      <c r="T20" t="s">
        <v>174</v>
      </c>
      <c r="U20" t="s">
        <v>175</v>
      </c>
      <c r="W20" t="s">
        <v>946</v>
      </c>
      <c r="X20" t="s">
        <v>1005</v>
      </c>
      <c r="Y20">
        <v>25.998750000000001</v>
      </c>
      <c r="Z20">
        <v>0.45366588918610878</v>
      </c>
    </row>
    <row r="21" spans="2:26">
      <c r="B21" t="s">
        <v>171</v>
      </c>
      <c r="C21" t="s">
        <v>606</v>
      </c>
      <c r="D21" t="s">
        <v>607</v>
      </c>
      <c r="E21" t="s">
        <v>10</v>
      </c>
      <c r="F21" t="s">
        <v>21</v>
      </c>
      <c r="G21" t="s">
        <v>174</v>
      </c>
      <c r="H21" t="s">
        <v>175</v>
      </c>
      <c r="J21" t="s">
        <v>606</v>
      </c>
      <c r="K21" t="s">
        <v>824</v>
      </c>
      <c r="L21">
        <v>80.717822614082124</v>
      </c>
      <c r="M21">
        <v>0.25018299394421989</v>
      </c>
      <c r="O21" t="s">
        <v>171</v>
      </c>
      <c r="P21" t="s">
        <v>948</v>
      </c>
      <c r="Q21" t="s">
        <v>949</v>
      </c>
      <c r="R21" t="s">
        <v>10</v>
      </c>
      <c r="S21" t="s">
        <v>21</v>
      </c>
      <c r="T21" t="s">
        <v>174</v>
      </c>
      <c r="U21" t="s">
        <v>175</v>
      </c>
      <c r="W21" t="s">
        <v>948</v>
      </c>
      <c r="X21" t="s">
        <v>1006</v>
      </c>
      <c r="Y21">
        <v>25.856249999999999</v>
      </c>
      <c r="Z21">
        <v>0.38429579113266549</v>
      </c>
    </row>
    <row r="22" spans="2:26">
      <c r="B22" t="s">
        <v>171</v>
      </c>
      <c r="C22" t="s">
        <v>608</v>
      </c>
      <c r="D22" t="s">
        <v>609</v>
      </c>
      <c r="E22" t="s">
        <v>10</v>
      </c>
      <c r="F22" t="s">
        <v>21</v>
      </c>
      <c r="G22" t="s">
        <v>174</v>
      </c>
      <c r="H22" t="s">
        <v>175</v>
      </c>
      <c r="J22" t="s">
        <v>608</v>
      </c>
      <c r="K22" t="s">
        <v>825</v>
      </c>
      <c r="L22">
        <v>74.620212768296852</v>
      </c>
      <c r="M22">
        <v>0.2051905019556591</v>
      </c>
      <c r="O22" t="s">
        <v>171</v>
      </c>
      <c r="P22" t="s">
        <v>950</v>
      </c>
      <c r="Q22" t="s">
        <v>951</v>
      </c>
      <c r="R22" t="s">
        <v>10</v>
      </c>
      <c r="S22" t="s">
        <v>21</v>
      </c>
      <c r="T22" t="s">
        <v>174</v>
      </c>
      <c r="U22" t="s">
        <v>175</v>
      </c>
      <c r="W22" t="s">
        <v>950</v>
      </c>
      <c r="X22" t="s">
        <v>1007</v>
      </c>
      <c r="Y22">
        <v>31.433250000000001</v>
      </c>
      <c r="Z22">
        <v>0.3042117046162659</v>
      </c>
    </row>
    <row r="23" spans="2:26">
      <c r="B23" t="s">
        <v>171</v>
      </c>
      <c r="C23" t="s">
        <v>610</v>
      </c>
      <c r="D23" t="s">
        <v>611</v>
      </c>
      <c r="E23" t="s">
        <v>10</v>
      </c>
      <c r="F23" t="s">
        <v>21</v>
      </c>
      <c r="G23" t="s">
        <v>174</v>
      </c>
      <c r="H23" t="s">
        <v>175</v>
      </c>
      <c r="J23" t="s">
        <v>610</v>
      </c>
      <c r="K23" t="s">
        <v>826</v>
      </c>
      <c r="L23">
        <v>28.405496218485226</v>
      </c>
      <c r="M23">
        <v>0.1274468566141789</v>
      </c>
      <c r="O23" t="s">
        <v>171</v>
      </c>
      <c r="P23" t="s">
        <v>952</v>
      </c>
      <c r="Q23" t="s">
        <v>953</v>
      </c>
      <c r="R23" t="s">
        <v>10</v>
      </c>
      <c r="S23" t="s">
        <v>21</v>
      </c>
      <c r="T23" t="s">
        <v>174</v>
      </c>
      <c r="U23" t="s">
        <v>175</v>
      </c>
      <c r="W23" t="s">
        <v>952</v>
      </c>
      <c r="X23" t="s">
        <v>1008</v>
      </c>
      <c r="Y23">
        <v>14.226000000000001</v>
      </c>
      <c r="Z23">
        <v>0.41151118139653681</v>
      </c>
    </row>
    <row r="24" spans="2:26">
      <c r="B24" t="s">
        <v>171</v>
      </c>
      <c r="C24" t="s">
        <v>612</v>
      </c>
      <c r="D24" t="s">
        <v>613</v>
      </c>
      <c r="E24" t="s">
        <v>10</v>
      </c>
      <c r="F24" t="s">
        <v>21</v>
      </c>
      <c r="G24" t="s">
        <v>174</v>
      </c>
      <c r="H24" t="s">
        <v>175</v>
      </c>
      <c r="J24" t="s">
        <v>612</v>
      </c>
      <c r="K24" t="s">
        <v>827</v>
      </c>
      <c r="L24">
        <v>73.988498738362708</v>
      </c>
      <c r="M24">
        <v>0.2954921762320073</v>
      </c>
      <c r="O24" t="s">
        <v>171</v>
      </c>
      <c r="P24" t="s">
        <v>954</v>
      </c>
      <c r="Q24" t="s">
        <v>955</v>
      </c>
      <c r="R24" t="s">
        <v>10</v>
      </c>
      <c r="S24" t="s">
        <v>21</v>
      </c>
      <c r="T24" t="s">
        <v>174</v>
      </c>
      <c r="U24" t="s">
        <v>175</v>
      </c>
      <c r="W24" t="s">
        <v>954</v>
      </c>
      <c r="X24" t="s">
        <v>1009</v>
      </c>
      <c r="Y24">
        <v>48.12</v>
      </c>
      <c r="Z24">
        <v>0.43783548044510862</v>
      </c>
    </row>
    <row r="25" spans="2:26">
      <c r="B25" t="s">
        <v>171</v>
      </c>
      <c r="C25" t="s">
        <v>614</v>
      </c>
      <c r="D25" t="s">
        <v>615</v>
      </c>
      <c r="E25" t="s">
        <v>10</v>
      </c>
      <c r="F25" t="s">
        <v>21</v>
      </c>
      <c r="G25" t="s">
        <v>174</v>
      </c>
      <c r="H25" t="s">
        <v>175</v>
      </c>
      <c r="J25" t="s">
        <v>614</v>
      </c>
      <c r="K25" t="s">
        <v>828</v>
      </c>
      <c r="L25">
        <v>22.804129520393388</v>
      </c>
      <c r="M25">
        <v>0.12498897865038</v>
      </c>
      <c r="O25" t="s">
        <v>171</v>
      </c>
      <c r="P25" t="s">
        <v>956</v>
      </c>
      <c r="Q25" t="s">
        <v>957</v>
      </c>
      <c r="R25" t="s">
        <v>10</v>
      </c>
      <c r="S25" t="s">
        <v>21</v>
      </c>
      <c r="T25" t="s">
        <v>174</v>
      </c>
      <c r="U25" t="s">
        <v>175</v>
      </c>
      <c r="W25" t="s">
        <v>956</v>
      </c>
      <c r="X25" t="s">
        <v>1010</v>
      </c>
      <c r="Y25">
        <v>62.766750000000002</v>
      </c>
      <c r="Z25">
        <v>0.45367400709416011</v>
      </c>
    </row>
    <row r="26" spans="2:26">
      <c r="B26" t="s">
        <v>171</v>
      </c>
      <c r="C26" t="s">
        <v>616</v>
      </c>
      <c r="D26" t="s">
        <v>617</v>
      </c>
      <c r="E26" t="s">
        <v>10</v>
      </c>
      <c r="F26" t="s">
        <v>21</v>
      </c>
      <c r="G26" t="s">
        <v>174</v>
      </c>
      <c r="H26" t="s">
        <v>175</v>
      </c>
      <c r="J26" t="s">
        <v>616</v>
      </c>
      <c r="K26" t="s">
        <v>829</v>
      </c>
      <c r="L26">
        <v>158.21877625226711</v>
      </c>
      <c r="M26">
        <v>0.31868179863838719</v>
      </c>
      <c r="O26" t="s">
        <v>171</v>
      </c>
      <c r="P26" t="s">
        <v>958</v>
      </c>
      <c r="Q26" t="s">
        <v>959</v>
      </c>
      <c r="R26" t="s">
        <v>10</v>
      </c>
      <c r="S26" t="s">
        <v>21</v>
      </c>
      <c r="T26" t="s">
        <v>174</v>
      </c>
      <c r="U26" t="s">
        <v>175</v>
      </c>
      <c r="W26" t="s">
        <v>958</v>
      </c>
      <c r="X26" t="s">
        <v>1011</v>
      </c>
      <c r="Y26">
        <v>46.749749999999999</v>
      </c>
      <c r="Z26">
        <v>0.40140041140439542</v>
      </c>
    </row>
    <row r="27" spans="2:26">
      <c r="B27" t="s">
        <v>171</v>
      </c>
      <c r="C27" t="s">
        <v>618</v>
      </c>
      <c r="D27" t="s">
        <v>619</v>
      </c>
      <c r="E27" t="s">
        <v>10</v>
      </c>
      <c r="F27" t="s">
        <v>21</v>
      </c>
      <c r="G27" t="s">
        <v>174</v>
      </c>
      <c r="H27" t="s">
        <v>175</v>
      </c>
      <c r="J27" t="s">
        <v>618</v>
      </c>
      <c r="K27" t="s">
        <v>830</v>
      </c>
      <c r="L27">
        <v>61.993862801553377</v>
      </c>
      <c r="M27">
        <v>0.35099490777634579</v>
      </c>
      <c r="O27" t="s">
        <v>171</v>
      </c>
      <c r="P27" t="s">
        <v>960</v>
      </c>
      <c r="Q27" t="s">
        <v>961</v>
      </c>
      <c r="R27" t="s">
        <v>10</v>
      </c>
      <c r="S27" t="s">
        <v>21</v>
      </c>
      <c r="T27" t="s">
        <v>174</v>
      </c>
      <c r="U27" t="s">
        <v>175</v>
      </c>
      <c r="W27" t="s">
        <v>960</v>
      </c>
      <c r="X27" t="s">
        <v>1012</v>
      </c>
      <c r="Y27">
        <v>3.5197500000000002</v>
      </c>
      <c r="Z27">
        <v>0.43178402473128108</v>
      </c>
    </row>
    <row r="28" spans="2:26">
      <c r="B28" t="s">
        <v>171</v>
      </c>
      <c r="C28" t="s">
        <v>620</v>
      </c>
      <c r="D28" t="s">
        <v>621</v>
      </c>
      <c r="E28" t="s">
        <v>10</v>
      </c>
      <c r="F28" t="s">
        <v>21</v>
      </c>
      <c r="G28" t="s">
        <v>174</v>
      </c>
      <c r="H28" t="s">
        <v>175</v>
      </c>
      <c r="J28" t="s">
        <v>620</v>
      </c>
      <c r="K28" t="s">
        <v>831</v>
      </c>
      <c r="L28">
        <v>99.116417974238118</v>
      </c>
      <c r="M28">
        <v>0.37106334887479647</v>
      </c>
      <c r="O28" t="s">
        <v>171</v>
      </c>
      <c r="P28" t="s">
        <v>962</v>
      </c>
      <c r="Q28" t="s">
        <v>963</v>
      </c>
      <c r="R28" t="s">
        <v>10</v>
      </c>
      <c r="S28" t="s">
        <v>21</v>
      </c>
      <c r="T28" t="s">
        <v>174</v>
      </c>
      <c r="U28" t="s">
        <v>175</v>
      </c>
      <c r="W28" t="s">
        <v>962</v>
      </c>
      <c r="X28" t="s">
        <v>1013</v>
      </c>
      <c r="Y28">
        <v>36.492750000000001</v>
      </c>
      <c r="Z28">
        <v>0.43232919123723879</v>
      </c>
    </row>
    <row r="29" spans="2:26">
      <c r="B29" t="s">
        <v>171</v>
      </c>
      <c r="C29" t="s">
        <v>622</v>
      </c>
      <c r="D29" t="s">
        <v>623</v>
      </c>
      <c r="E29" t="s">
        <v>10</v>
      </c>
      <c r="F29" t="s">
        <v>21</v>
      </c>
      <c r="G29" t="s">
        <v>174</v>
      </c>
      <c r="H29" t="s">
        <v>175</v>
      </c>
      <c r="J29" t="s">
        <v>622</v>
      </c>
      <c r="K29" t="s">
        <v>832</v>
      </c>
      <c r="L29">
        <v>105.70151682237133</v>
      </c>
      <c r="M29">
        <v>0.30636201190762657</v>
      </c>
      <c r="O29" t="s">
        <v>171</v>
      </c>
      <c r="P29" t="s">
        <v>964</v>
      </c>
      <c r="Q29" t="s">
        <v>965</v>
      </c>
      <c r="R29" t="s">
        <v>10</v>
      </c>
      <c r="S29" t="s">
        <v>21</v>
      </c>
      <c r="T29" t="s">
        <v>174</v>
      </c>
      <c r="U29" t="s">
        <v>175</v>
      </c>
      <c r="W29" t="s">
        <v>964</v>
      </c>
      <c r="X29" t="s">
        <v>1014</v>
      </c>
      <c r="Y29">
        <v>21.201750000000001</v>
      </c>
      <c r="Z29">
        <v>0.31263448106626313</v>
      </c>
    </row>
    <row r="30" spans="2:26">
      <c r="B30" t="s">
        <v>171</v>
      </c>
      <c r="C30" t="s">
        <v>624</v>
      </c>
      <c r="D30" t="s">
        <v>625</v>
      </c>
      <c r="E30" t="s">
        <v>10</v>
      </c>
      <c r="F30" t="s">
        <v>21</v>
      </c>
      <c r="G30" t="s">
        <v>174</v>
      </c>
      <c r="H30" t="s">
        <v>175</v>
      </c>
      <c r="J30" t="s">
        <v>624</v>
      </c>
      <c r="K30" t="s">
        <v>833</v>
      </c>
      <c r="L30">
        <v>69.370747472350871</v>
      </c>
      <c r="M30">
        <v>0.30954691641769738</v>
      </c>
      <c r="O30" t="s">
        <v>171</v>
      </c>
      <c r="P30" t="s">
        <v>966</v>
      </c>
      <c r="Q30" t="s">
        <v>967</v>
      </c>
      <c r="R30" t="s">
        <v>10</v>
      </c>
      <c r="S30" t="s">
        <v>21</v>
      </c>
      <c r="T30" t="s">
        <v>174</v>
      </c>
      <c r="U30" t="s">
        <v>175</v>
      </c>
      <c r="W30" t="s">
        <v>966</v>
      </c>
      <c r="X30" t="s">
        <v>1015</v>
      </c>
      <c r="Y30">
        <v>30.971250000000001</v>
      </c>
      <c r="Z30">
        <v>0.35716948760405598</v>
      </c>
    </row>
    <row r="31" spans="2:26">
      <c r="B31" t="s">
        <v>171</v>
      </c>
      <c r="C31" t="s">
        <v>626</v>
      </c>
      <c r="D31" t="s">
        <v>627</v>
      </c>
      <c r="E31" t="s">
        <v>10</v>
      </c>
      <c r="F31" t="s">
        <v>21</v>
      </c>
      <c r="G31" t="s">
        <v>174</v>
      </c>
      <c r="H31" t="s">
        <v>175</v>
      </c>
      <c r="J31" t="s">
        <v>626</v>
      </c>
      <c r="K31" t="s">
        <v>834</v>
      </c>
      <c r="L31">
        <v>145.862696002733</v>
      </c>
      <c r="M31">
        <v>0.30560758582290709</v>
      </c>
      <c r="O31" t="s">
        <v>171</v>
      </c>
      <c r="P31" t="s">
        <v>968</v>
      </c>
      <c r="Q31" t="s">
        <v>969</v>
      </c>
      <c r="R31" t="s">
        <v>10</v>
      </c>
      <c r="S31" t="s">
        <v>21</v>
      </c>
      <c r="T31" t="s">
        <v>174</v>
      </c>
      <c r="U31" t="s">
        <v>175</v>
      </c>
      <c r="W31" t="s">
        <v>968</v>
      </c>
      <c r="X31" t="s">
        <v>1016</v>
      </c>
      <c r="Y31">
        <v>85.379249999999999</v>
      </c>
      <c r="Z31">
        <v>0.51401636839644316</v>
      </c>
    </row>
    <row r="32" spans="2:26">
      <c r="B32" t="s">
        <v>171</v>
      </c>
      <c r="C32" t="s">
        <v>628</v>
      </c>
      <c r="D32" t="s">
        <v>629</v>
      </c>
      <c r="E32" t="s">
        <v>10</v>
      </c>
      <c r="F32" t="s">
        <v>21</v>
      </c>
      <c r="G32" t="s">
        <v>174</v>
      </c>
      <c r="H32" t="s">
        <v>175</v>
      </c>
      <c r="J32" t="s">
        <v>628</v>
      </c>
      <c r="K32" t="s">
        <v>835</v>
      </c>
      <c r="L32">
        <v>29.177228298407282</v>
      </c>
      <c r="M32">
        <v>0.12968987264819559</v>
      </c>
      <c r="O32" t="s">
        <v>171</v>
      </c>
      <c r="P32" t="s">
        <v>970</v>
      </c>
      <c r="Q32" t="s">
        <v>971</v>
      </c>
      <c r="R32" t="s">
        <v>10</v>
      </c>
      <c r="S32" t="s">
        <v>21</v>
      </c>
      <c r="T32" t="s">
        <v>174</v>
      </c>
      <c r="U32" t="s">
        <v>175</v>
      </c>
      <c r="W32" t="s">
        <v>970</v>
      </c>
      <c r="X32" t="s">
        <v>1017</v>
      </c>
      <c r="Y32">
        <v>51.349499999999999</v>
      </c>
      <c r="Z32">
        <v>0.54386805091229928</v>
      </c>
    </row>
    <row r="33" spans="2:26">
      <c r="B33" t="s">
        <v>171</v>
      </c>
      <c r="C33" t="s">
        <v>630</v>
      </c>
      <c r="D33" t="s">
        <v>631</v>
      </c>
      <c r="E33" t="s">
        <v>10</v>
      </c>
      <c r="F33" t="s">
        <v>21</v>
      </c>
      <c r="G33" t="s">
        <v>174</v>
      </c>
      <c r="H33" t="s">
        <v>175</v>
      </c>
      <c r="J33" t="s">
        <v>630</v>
      </c>
      <c r="K33" t="s">
        <v>836</v>
      </c>
      <c r="L33">
        <v>51.627484821987814</v>
      </c>
      <c r="M33">
        <v>0.30504302621453577</v>
      </c>
      <c r="O33" t="s">
        <v>171</v>
      </c>
      <c r="P33" t="s">
        <v>972</v>
      </c>
      <c r="Q33" t="s">
        <v>973</v>
      </c>
      <c r="R33" t="s">
        <v>10</v>
      </c>
      <c r="S33" t="s">
        <v>21</v>
      </c>
      <c r="T33" t="s">
        <v>174</v>
      </c>
      <c r="U33" t="s">
        <v>175</v>
      </c>
      <c r="W33" t="s">
        <v>972</v>
      </c>
      <c r="X33" t="s">
        <v>1018</v>
      </c>
      <c r="Y33">
        <v>96.570750000000004</v>
      </c>
      <c r="Z33">
        <v>0.49645598696069448</v>
      </c>
    </row>
    <row r="34" spans="2:26">
      <c r="B34" t="s">
        <v>171</v>
      </c>
      <c r="C34" t="s">
        <v>632</v>
      </c>
      <c r="D34" t="s">
        <v>633</v>
      </c>
      <c r="E34" t="s">
        <v>10</v>
      </c>
      <c r="F34" t="s">
        <v>21</v>
      </c>
      <c r="G34" t="s">
        <v>174</v>
      </c>
      <c r="H34" t="s">
        <v>175</v>
      </c>
      <c r="J34" t="s">
        <v>632</v>
      </c>
      <c r="K34" t="s">
        <v>837</v>
      </c>
      <c r="L34">
        <v>51.352856098196355</v>
      </c>
      <c r="M34">
        <v>0.21916033990843409</v>
      </c>
      <c r="O34" t="s">
        <v>171</v>
      </c>
      <c r="P34" t="s">
        <v>974</v>
      </c>
      <c r="Q34" t="s">
        <v>975</v>
      </c>
      <c r="R34" t="s">
        <v>10</v>
      </c>
      <c r="S34" t="s">
        <v>21</v>
      </c>
      <c r="T34" t="s">
        <v>174</v>
      </c>
      <c r="U34" t="s">
        <v>175</v>
      </c>
      <c r="W34" t="s">
        <v>974</v>
      </c>
      <c r="X34" t="s">
        <v>1019</v>
      </c>
      <c r="Y34">
        <v>8.2784999999999993</v>
      </c>
      <c r="Z34">
        <v>0.4779410340065996</v>
      </c>
    </row>
    <row r="35" spans="2:26">
      <c r="B35" t="s">
        <v>171</v>
      </c>
      <c r="C35" t="s">
        <v>634</v>
      </c>
      <c r="D35" t="s">
        <v>635</v>
      </c>
      <c r="E35" t="s">
        <v>10</v>
      </c>
      <c r="F35" t="s">
        <v>21</v>
      </c>
      <c r="G35" t="s">
        <v>174</v>
      </c>
      <c r="H35" t="s">
        <v>175</v>
      </c>
      <c r="J35" t="s">
        <v>634</v>
      </c>
      <c r="K35" t="s">
        <v>838</v>
      </c>
      <c r="L35">
        <v>48.015448204779155</v>
      </c>
      <c r="M35">
        <v>0.15726905125434551</v>
      </c>
      <c r="O35" t="s">
        <v>171</v>
      </c>
      <c r="P35" t="s">
        <v>976</v>
      </c>
      <c r="Q35" t="s">
        <v>977</v>
      </c>
      <c r="R35" t="s">
        <v>10</v>
      </c>
      <c r="S35" t="s">
        <v>21</v>
      </c>
      <c r="T35" t="s">
        <v>174</v>
      </c>
      <c r="U35" t="s">
        <v>175</v>
      </c>
      <c r="W35" t="s">
        <v>976</v>
      </c>
      <c r="X35" t="s">
        <v>1020</v>
      </c>
      <c r="Y35">
        <v>55.935000000000002</v>
      </c>
      <c r="Z35">
        <v>0.480516993659309</v>
      </c>
    </row>
    <row r="36" spans="2:26">
      <c r="B36" t="s">
        <v>171</v>
      </c>
      <c r="C36" t="s">
        <v>636</v>
      </c>
      <c r="D36" t="s">
        <v>637</v>
      </c>
      <c r="E36" t="s">
        <v>10</v>
      </c>
      <c r="F36" t="s">
        <v>21</v>
      </c>
      <c r="G36" t="s">
        <v>174</v>
      </c>
      <c r="H36" t="s">
        <v>175</v>
      </c>
      <c r="J36" t="s">
        <v>636</v>
      </c>
      <c r="K36" t="s">
        <v>839</v>
      </c>
      <c r="L36">
        <v>9.9181931459856116</v>
      </c>
      <c r="M36">
        <v>0.1147819853151657</v>
      </c>
      <c r="O36" t="s">
        <v>171</v>
      </c>
      <c r="P36" t="s">
        <v>978</v>
      </c>
      <c r="Q36" t="s">
        <v>979</v>
      </c>
      <c r="R36" t="s">
        <v>10</v>
      </c>
      <c r="S36" t="s">
        <v>21</v>
      </c>
      <c r="T36" t="s">
        <v>174</v>
      </c>
      <c r="U36" t="s">
        <v>175</v>
      </c>
      <c r="W36" t="s">
        <v>978</v>
      </c>
      <c r="X36" t="s">
        <v>1021</v>
      </c>
      <c r="Y36">
        <v>36.006749999999997</v>
      </c>
      <c r="Z36">
        <v>0.40232012649409399</v>
      </c>
    </row>
    <row r="37" spans="2:26">
      <c r="B37" t="s">
        <v>171</v>
      </c>
      <c r="C37" t="s">
        <v>638</v>
      </c>
      <c r="D37" t="s">
        <v>639</v>
      </c>
      <c r="E37" t="s">
        <v>10</v>
      </c>
      <c r="F37" t="s">
        <v>21</v>
      </c>
      <c r="G37" t="s">
        <v>174</v>
      </c>
      <c r="H37" t="s">
        <v>175</v>
      </c>
      <c r="J37" t="s">
        <v>638</v>
      </c>
      <c r="K37" t="s">
        <v>840</v>
      </c>
      <c r="L37">
        <v>29.124995479335983</v>
      </c>
      <c r="M37">
        <v>0.16129881921565589</v>
      </c>
      <c r="O37" t="s">
        <v>171</v>
      </c>
      <c r="P37" t="s">
        <v>980</v>
      </c>
      <c r="Q37" t="s">
        <v>981</v>
      </c>
      <c r="R37" t="s">
        <v>10</v>
      </c>
      <c r="S37" t="s">
        <v>21</v>
      </c>
      <c r="T37" t="s">
        <v>174</v>
      </c>
      <c r="U37" t="s">
        <v>175</v>
      </c>
      <c r="W37" t="s">
        <v>980</v>
      </c>
      <c r="X37" t="s">
        <v>1022</v>
      </c>
      <c r="Y37">
        <v>65.334000000000003</v>
      </c>
      <c r="Z37">
        <v>0.38404258239187611</v>
      </c>
    </row>
    <row r="38" spans="2:26">
      <c r="B38" t="s">
        <v>171</v>
      </c>
      <c r="C38" t="s">
        <v>640</v>
      </c>
      <c r="D38" t="s">
        <v>641</v>
      </c>
      <c r="E38" t="s">
        <v>10</v>
      </c>
      <c r="F38" t="s">
        <v>21</v>
      </c>
      <c r="G38" t="s">
        <v>174</v>
      </c>
      <c r="H38" t="s">
        <v>175</v>
      </c>
      <c r="J38" t="s">
        <v>640</v>
      </c>
      <c r="K38" t="s">
        <v>841</v>
      </c>
      <c r="L38">
        <v>16.315774503024212</v>
      </c>
      <c r="M38">
        <v>0.14950384273806111</v>
      </c>
      <c r="O38" t="s">
        <v>171</v>
      </c>
      <c r="P38" t="s">
        <v>982</v>
      </c>
      <c r="Q38" t="s">
        <v>983</v>
      </c>
      <c r="R38" t="s">
        <v>10</v>
      </c>
      <c r="S38" t="s">
        <v>21</v>
      </c>
      <c r="T38" t="s">
        <v>174</v>
      </c>
      <c r="U38" t="s">
        <v>175</v>
      </c>
      <c r="W38" t="s">
        <v>982</v>
      </c>
      <c r="X38" t="s">
        <v>1023</v>
      </c>
      <c r="Y38">
        <v>38.788499999999999</v>
      </c>
      <c r="Z38">
        <v>0.37763221823594362</v>
      </c>
    </row>
    <row r="39" spans="2:26">
      <c r="B39" t="s">
        <v>171</v>
      </c>
      <c r="C39" t="s">
        <v>642</v>
      </c>
      <c r="D39" t="s">
        <v>643</v>
      </c>
      <c r="E39" t="s">
        <v>10</v>
      </c>
      <c r="F39" t="s">
        <v>21</v>
      </c>
      <c r="G39" t="s">
        <v>174</v>
      </c>
      <c r="H39" t="s">
        <v>175</v>
      </c>
      <c r="J39" t="s">
        <v>642</v>
      </c>
      <c r="K39" t="s">
        <v>842</v>
      </c>
      <c r="L39">
        <v>17.93705990820202</v>
      </c>
      <c r="M39">
        <v>0.1201911978179976</v>
      </c>
      <c r="O39" t="s">
        <v>171</v>
      </c>
      <c r="P39" t="s">
        <v>984</v>
      </c>
      <c r="Q39" t="s">
        <v>985</v>
      </c>
      <c r="R39" t="s">
        <v>10</v>
      </c>
      <c r="S39" t="s">
        <v>21</v>
      </c>
      <c r="T39" t="s">
        <v>174</v>
      </c>
      <c r="U39" t="s">
        <v>175</v>
      </c>
      <c r="W39" t="s">
        <v>984</v>
      </c>
      <c r="X39" t="s">
        <v>1024</v>
      </c>
      <c r="Y39">
        <v>7.9500000000000001E-2</v>
      </c>
      <c r="Z39">
        <v>0.20849170347933621</v>
      </c>
    </row>
    <row r="40" spans="2:26">
      <c r="B40" t="s">
        <v>171</v>
      </c>
      <c r="C40" t="s">
        <v>644</v>
      </c>
      <c r="D40" t="s">
        <v>645</v>
      </c>
      <c r="E40" t="s">
        <v>10</v>
      </c>
      <c r="F40" t="s">
        <v>21</v>
      </c>
      <c r="G40" t="s">
        <v>174</v>
      </c>
      <c r="H40" t="s">
        <v>175</v>
      </c>
      <c r="J40" t="s">
        <v>644</v>
      </c>
      <c r="K40" t="s">
        <v>843</v>
      </c>
      <c r="L40">
        <v>28.945301744186541</v>
      </c>
      <c r="M40">
        <v>0.16024232806829081</v>
      </c>
      <c r="O40" t="s">
        <v>171</v>
      </c>
      <c r="P40" t="s">
        <v>986</v>
      </c>
      <c r="Q40" t="s">
        <v>987</v>
      </c>
      <c r="R40" t="s">
        <v>10</v>
      </c>
      <c r="S40" t="s">
        <v>21</v>
      </c>
      <c r="T40" t="s">
        <v>174</v>
      </c>
      <c r="U40" t="s">
        <v>175</v>
      </c>
      <c r="W40" t="s">
        <v>986</v>
      </c>
      <c r="X40" t="s">
        <v>1025</v>
      </c>
      <c r="Y40">
        <v>42.435000000000002</v>
      </c>
      <c r="Z40">
        <v>0.3967265347407003</v>
      </c>
    </row>
    <row r="41" spans="2:26">
      <c r="B41" t="s">
        <v>171</v>
      </c>
      <c r="C41" t="s">
        <v>646</v>
      </c>
      <c r="D41" t="s">
        <v>647</v>
      </c>
      <c r="E41" t="s">
        <v>10</v>
      </c>
      <c r="F41" t="s">
        <v>21</v>
      </c>
      <c r="G41" t="s">
        <v>174</v>
      </c>
      <c r="H41" t="s">
        <v>175</v>
      </c>
      <c r="J41" t="s">
        <v>646</v>
      </c>
      <c r="K41" t="s">
        <v>844</v>
      </c>
      <c r="L41">
        <v>43.093321601651922</v>
      </c>
      <c r="M41">
        <v>0.23075989939714769</v>
      </c>
      <c r="O41" t="s">
        <v>171</v>
      </c>
      <c r="P41" t="s">
        <v>988</v>
      </c>
      <c r="Q41" t="s">
        <v>989</v>
      </c>
      <c r="R41" t="s">
        <v>10</v>
      </c>
      <c r="S41" t="s">
        <v>21</v>
      </c>
      <c r="T41" t="s">
        <v>174</v>
      </c>
      <c r="U41" t="s">
        <v>175</v>
      </c>
      <c r="W41" t="s">
        <v>988</v>
      </c>
      <c r="X41" t="s">
        <v>1026</v>
      </c>
      <c r="Y41">
        <v>0.15075</v>
      </c>
      <c r="Z41">
        <v>0.3055388047588033</v>
      </c>
    </row>
    <row r="42" spans="2:26">
      <c r="B42" t="s">
        <v>171</v>
      </c>
      <c r="C42" t="s">
        <v>648</v>
      </c>
      <c r="D42" t="s">
        <v>649</v>
      </c>
      <c r="E42" t="s">
        <v>10</v>
      </c>
      <c r="F42" t="s">
        <v>21</v>
      </c>
      <c r="G42" t="s">
        <v>174</v>
      </c>
      <c r="H42" t="s">
        <v>175</v>
      </c>
      <c r="J42" t="s">
        <v>648</v>
      </c>
      <c r="K42" t="s">
        <v>845</v>
      </c>
      <c r="L42">
        <v>64.500984166275529</v>
      </c>
      <c r="M42">
        <v>0.18310419861318289</v>
      </c>
      <c r="O42" t="s">
        <v>171</v>
      </c>
      <c r="P42" t="s">
        <v>990</v>
      </c>
      <c r="Q42" t="s">
        <v>991</v>
      </c>
      <c r="R42" t="s">
        <v>10</v>
      </c>
      <c r="S42" t="s">
        <v>21</v>
      </c>
      <c r="T42" t="s">
        <v>174</v>
      </c>
      <c r="U42" t="s">
        <v>175</v>
      </c>
      <c r="W42" t="s">
        <v>990</v>
      </c>
      <c r="X42" t="s">
        <v>1027</v>
      </c>
      <c r="Y42">
        <v>24.282</v>
      </c>
      <c r="Z42">
        <v>0.38902923121780753</v>
      </c>
    </row>
    <row r="43" spans="2:26">
      <c r="B43" t="s">
        <v>171</v>
      </c>
      <c r="C43" t="s">
        <v>650</v>
      </c>
      <c r="D43" t="s">
        <v>651</v>
      </c>
      <c r="E43" t="s">
        <v>10</v>
      </c>
      <c r="F43" t="s">
        <v>21</v>
      </c>
      <c r="G43" t="s">
        <v>174</v>
      </c>
      <c r="H43" t="s">
        <v>175</v>
      </c>
      <c r="J43" t="s">
        <v>650</v>
      </c>
      <c r="K43" t="s">
        <v>846</v>
      </c>
      <c r="L43">
        <v>65.621250000000003</v>
      </c>
      <c r="M43">
        <v>0.20994057548272141</v>
      </c>
      <c r="O43" t="s">
        <v>171</v>
      </c>
      <c r="P43" t="s">
        <v>992</v>
      </c>
      <c r="Q43" t="s">
        <v>993</v>
      </c>
      <c r="R43" t="s">
        <v>10</v>
      </c>
      <c r="S43" t="s">
        <v>21</v>
      </c>
      <c r="T43" t="s">
        <v>174</v>
      </c>
      <c r="U43" t="s">
        <v>175</v>
      </c>
      <c r="W43" t="s">
        <v>992</v>
      </c>
      <c r="X43" t="s">
        <v>1028</v>
      </c>
      <c r="Y43">
        <v>0.1215</v>
      </c>
      <c r="Z43">
        <v>0.31426130293253629</v>
      </c>
    </row>
    <row r="44" spans="2:26">
      <c r="B44" t="s">
        <v>171</v>
      </c>
      <c r="C44" t="s">
        <v>652</v>
      </c>
      <c r="D44" t="s">
        <v>653</v>
      </c>
      <c r="E44" t="s">
        <v>10</v>
      </c>
      <c r="F44" t="s">
        <v>21</v>
      </c>
      <c r="G44" t="s">
        <v>174</v>
      </c>
      <c r="H44" t="s">
        <v>175</v>
      </c>
      <c r="J44" t="s">
        <v>652</v>
      </c>
      <c r="K44" t="s">
        <v>847</v>
      </c>
      <c r="L44">
        <v>53.321249999999999</v>
      </c>
      <c r="M44">
        <v>0.217403457782638</v>
      </c>
      <c r="O44" t="s">
        <v>171</v>
      </c>
      <c r="P44" t="s">
        <v>994</v>
      </c>
      <c r="Q44" t="s">
        <v>995</v>
      </c>
      <c r="R44" t="s">
        <v>10</v>
      </c>
      <c r="S44" t="s">
        <v>21</v>
      </c>
      <c r="T44" t="s">
        <v>174</v>
      </c>
      <c r="U44" t="s">
        <v>175</v>
      </c>
      <c r="W44" t="s">
        <v>994</v>
      </c>
      <c r="X44" t="s">
        <v>1029</v>
      </c>
      <c r="Y44">
        <v>2.52</v>
      </c>
      <c r="Z44">
        <v>0.3769723386150215</v>
      </c>
    </row>
    <row r="45" spans="2:26">
      <c r="B45" t="s">
        <v>171</v>
      </c>
      <c r="C45" t="s">
        <v>654</v>
      </c>
      <c r="D45" t="s">
        <v>655</v>
      </c>
      <c r="E45" t="s">
        <v>10</v>
      </c>
      <c r="F45" t="s">
        <v>21</v>
      </c>
      <c r="G45" t="s">
        <v>174</v>
      </c>
      <c r="H45" t="s">
        <v>175</v>
      </c>
      <c r="J45" t="s">
        <v>654</v>
      </c>
      <c r="K45" t="s">
        <v>848</v>
      </c>
      <c r="L45">
        <v>94.912499999999994</v>
      </c>
      <c r="M45">
        <v>0.1647728176804078</v>
      </c>
    </row>
    <row r="46" spans="2:26">
      <c r="B46" t="s">
        <v>171</v>
      </c>
      <c r="C46" t="s">
        <v>656</v>
      </c>
      <c r="D46" t="s">
        <v>657</v>
      </c>
      <c r="E46" t="s">
        <v>10</v>
      </c>
      <c r="F46" t="s">
        <v>21</v>
      </c>
      <c r="G46" t="s">
        <v>174</v>
      </c>
      <c r="H46" t="s">
        <v>175</v>
      </c>
      <c r="J46" t="s">
        <v>656</v>
      </c>
      <c r="K46" t="s">
        <v>849</v>
      </c>
      <c r="L46">
        <v>18.142819719762098</v>
      </c>
      <c r="M46">
        <v>0.1094823636689798</v>
      </c>
    </row>
    <row r="47" spans="2:26">
      <c r="B47" t="s">
        <v>171</v>
      </c>
      <c r="C47" t="s">
        <v>658</v>
      </c>
      <c r="D47" t="s">
        <v>659</v>
      </c>
      <c r="E47" t="s">
        <v>10</v>
      </c>
      <c r="F47" t="s">
        <v>21</v>
      </c>
      <c r="G47" t="s">
        <v>174</v>
      </c>
      <c r="H47" t="s">
        <v>175</v>
      </c>
      <c r="J47" t="s">
        <v>658</v>
      </c>
      <c r="K47" t="s">
        <v>850</v>
      </c>
      <c r="L47">
        <v>41.329303307857536</v>
      </c>
      <c r="M47">
        <v>0.22598264647495189</v>
      </c>
    </row>
    <row r="48" spans="2:26">
      <c r="B48" t="s">
        <v>171</v>
      </c>
      <c r="C48" t="s">
        <v>660</v>
      </c>
      <c r="D48" t="s">
        <v>661</v>
      </c>
      <c r="E48" t="s">
        <v>10</v>
      </c>
      <c r="F48" t="s">
        <v>21</v>
      </c>
      <c r="G48" t="s">
        <v>174</v>
      </c>
      <c r="H48" t="s">
        <v>175</v>
      </c>
      <c r="J48" t="s">
        <v>660</v>
      </c>
      <c r="K48" t="s">
        <v>851</v>
      </c>
      <c r="L48">
        <v>77.661746661491676</v>
      </c>
      <c r="M48">
        <v>0.27059473511745702</v>
      </c>
    </row>
    <row r="49" spans="2:13">
      <c r="B49" t="s">
        <v>171</v>
      </c>
      <c r="C49" t="s">
        <v>662</v>
      </c>
      <c r="D49" t="s">
        <v>663</v>
      </c>
      <c r="E49" t="s">
        <v>10</v>
      </c>
      <c r="F49" t="s">
        <v>21</v>
      </c>
      <c r="G49" t="s">
        <v>174</v>
      </c>
      <c r="H49" t="s">
        <v>175</v>
      </c>
      <c r="J49" t="s">
        <v>662</v>
      </c>
      <c r="K49" t="s">
        <v>852</v>
      </c>
      <c r="L49">
        <v>68.428690375212113</v>
      </c>
      <c r="M49">
        <v>0.2630477290884114</v>
      </c>
    </row>
    <row r="50" spans="2:13">
      <c r="B50" t="s">
        <v>171</v>
      </c>
      <c r="C50" t="s">
        <v>664</v>
      </c>
      <c r="D50" t="s">
        <v>665</v>
      </c>
      <c r="E50" t="s">
        <v>10</v>
      </c>
      <c r="F50" t="s">
        <v>21</v>
      </c>
      <c r="G50" t="s">
        <v>174</v>
      </c>
      <c r="H50" t="s">
        <v>175</v>
      </c>
      <c r="J50" t="s">
        <v>664</v>
      </c>
      <c r="K50" t="s">
        <v>853</v>
      </c>
      <c r="L50">
        <v>28.571692239731817</v>
      </c>
      <c r="M50">
        <v>0.1050664932730062</v>
      </c>
    </row>
    <row r="51" spans="2:13">
      <c r="B51" t="s">
        <v>171</v>
      </c>
      <c r="C51" t="s">
        <v>666</v>
      </c>
      <c r="D51" t="s">
        <v>667</v>
      </c>
      <c r="E51" t="s">
        <v>10</v>
      </c>
      <c r="F51" t="s">
        <v>21</v>
      </c>
      <c r="G51" t="s">
        <v>174</v>
      </c>
      <c r="H51" t="s">
        <v>175</v>
      </c>
      <c r="J51" t="s">
        <v>666</v>
      </c>
      <c r="K51" t="s">
        <v>854</v>
      </c>
      <c r="L51">
        <v>44.138666856188586</v>
      </c>
      <c r="M51">
        <v>0.19469721132302881</v>
      </c>
    </row>
    <row r="52" spans="2:13">
      <c r="B52" t="s">
        <v>171</v>
      </c>
      <c r="C52" t="s">
        <v>668</v>
      </c>
      <c r="D52" t="s">
        <v>669</v>
      </c>
      <c r="E52" t="s">
        <v>10</v>
      </c>
      <c r="F52" t="s">
        <v>21</v>
      </c>
      <c r="G52" t="s">
        <v>174</v>
      </c>
      <c r="H52" t="s">
        <v>175</v>
      </c>
      <c r="J52" t="s">
        <v>668</v>
      </c>
      <c r="K52" t="s">
        <v>855</v>
      </c>
      <c r="L52">
        <v>24.664813931534447</v>
      </c>
      <c r="M52">
        <v>0.2048128116290337</v>
      </c>
    </row>
    <row r="53" spans="2:13">
      <c r="B53" t="s">
        <v>171</v>
      </c>
      <c r="C53" t="s">
        <v>670</v>
      </c>
      <c r="D53" t="s">
        <v>671</v>
      </c>
      <c r="E53" t="s">
        <v>10</v>
      </c>
      <c r="F53" t="s">
        <v>21</v>
      </c>
      <c r="G53" t="s">
        <v>174</v>
      </c>
      <c r="H53" t="s">
        <v>175</v>
      </c>
      <c r="J53" t="s">
        <v>670</v>
      </c>
      <c r="K53" t="s">
        <v>856</v>
      </c>
      <c r="L53">
        <v>75.61415938768593</v>
      </c>
      <c r="M53">
        <v>0.2659220722327813</v>
      </c>
    </row>
    <row r="54" spans="2:13">
      <c r="B54" t="s">
        <v>171</v>
      </c>
      <c r="C54" t="s">
        <v>672</v>
      </c>
      <c r="D54" t="s">
        <v>673</v>
      </c>
      <c r="E54" t="s">
        <v>10</v>
      </c>
      <c r="F54" t="s">
        <v>21</v>
      </c>
      <c r="G54" t="s">
        <v>174</v>
      </c>
      <c r="H54" t="s">
        <v>175</v>
      </c>
      <c r="J54" t="s">
        <v>672</v>
      </c>
      <c r="K54" t="s">
        <v>857</v>
      </c>
      <c r="L54">
        <v>31.285246943290289</v>
      </c>
      <c r="M54">
        <v>0.11310827043333541</v>
      </c>
    </row>
    <row r="55" spans="2:13">
      <c r="B55" t="s">
        <v>171</v>
      </c>
      <c r="C55" t="s">
        <v>674</v>
      </c>
      <c r="D55" t="s">
        <v>675</v>
      </c>
      <c r="E55" t="s">
        <v>10</v>
      </c>
      <c r="F55" t="s">
        <v>21</v>
      </c>
      <c r="G55" t="s">
        <v>174</v>
      </c>
      <c r="H55" t="s">
        <v>175</v>
      </c>
      <c r="J55" t="s">
        <v>674</v>
      </c>
      <c r="K55" t="s">
        <v>858</v>
      </c>
      <c r="L55">
        <v>47.819749709213383</v>
      </c>
      <c r="M55">
        <v>0.13913474418362559</v>
      </c>
    </row>
    <row r="56" spans="2:13">
      <c r="B56" t="s">
        <v>171</v>
      </c>
      <c r="C56" t="s">
        <v>676</v>
      </c>
      <c r="D56" t="s">
        <v>677</v>
      </c>
      <c r="E56" t="s">
        <v>10</v>
      </c>
      <c r="F56" t="s">
        <v>21</v>
      </c>
      <c r="G56" t="s">
        <v>174</v>
      </c>
      <c r="H56" t="s">
        <v>175</v>
      </c>
      <c r="J56" t="s">
        <v>676</v>
      </c>
      <c r="K56" t="s">
        <v>859</v>
      </c>
      <c r="L56">
        <v>52.057876993056894</v>
      </c>
      <c r="M56">
        <v>0.1125067630387617</v>
      </c>
    </row>
    <row r="57" spans="2:13">
      <c r="B57" t="s">
        <v>171</v>
      </c>
      <c r="C57" t="s">
        <v>678</v>
      </c>
      <c r="D57" t="s">
        <v>679</v>
      </c>
      <c r="E57" t="s">
        <v>10</v>
      </c>
      <c r="F57" t="s">
        <v>21</v>
      </c>
      <c r="G57" t="s">
        <v>174</v>
      </c>
      <c r="H57" t="s">
        <v>175</v>
      </c>
      <c r="J57" t="s">
        <v>678</v>
      </c>
      <c r="K57" t="s">
        <v>860</v>
      </c>
      <c r="L57">
        <v>61.508274867797745</v>
      </c>
      <c r="M57">
        <v>0.1088337020768549</v>
      </c>
    </row>
    <row r="58" spans="2:13">
      <c r="B58" t="s">
        <v>171</v>
      </c>
      <c r="C58" t="s">
        <v>680</v>
      </c>
      <c r="D58" t="s">
        <v>681</v>
      </c>
      <c r="E58" t="s">
        <v>10</v>
      </c>
      <c r="F58" t="s">
        <v>21</v>
      </c>
      <c r="G58" t="s">
        <v>174</v>
      </c>
      <c r="H58" t="s">
        <v>175</v>
      </c>
      <c r="J58" t="s">
        <v>680</v>
      </c>
      <c r="K58" t="s">
        <v>861</v>
      </c>
      <c r="L58">
        <v>49.838684423081602</v>
      </c>
      <c r="M58">
        <v>0.14946854744676299</v>
      </c>
    </row>
    <row r="59" spans="2:13">
      <c r="B59" t="s">
        <v>171</v>
      </c>
      <c r="C59" t="s">
        <v>682</v>
      </c>
      <c r="D59" t="s">
        <v>683</v>
      </c>
      <c r="E59" t="s">
        <v>10</v>
      </c>
      <c r="F59" t="s">
        <v>21</v>
      </c>
      <c r="G59" t="s">
        <v>174</v>
      </c>
      <c r="H59" t="s">
        <v>175</v>
      </c>
      <c r="J59" t="s">
        <v>682</v>
      </c>
      <c r="K59" t="s">
        <v>862</v>
      </c>
      <c r="L59">
        <v>58.749221667912352</v>
      </c>
      <c r="M59">
        <v>0.1365826496496805</v>
      </c>
    </row>
    <row r="60" spans="2:13">
      <c r="B60" t="s">
        <v>171</v>
      </c>
      <c r="C60" t="s">
        <v>684</v>
      </c>
      <c r="D60" t="s">
        <v>685</v>
      </c>
      <c r="E60" t="s">
        <v>10</v>
      </c>
      <c r="F60" t="s">
        <v>21</v>
      </c>
      <c r="G60" t="s">
        <v>174</v>
      </c>
      <c r="H60" t="s">
        <v>175</v>
      </c>
      <c r="J60" t="s">
        <v>684</v>
      </c>
      <c r="K60" t="s">
        <v>863</v>
      </c>
      <c r="L60">
        <v>139.48999651120684</v>
      </c>
      <c r="M60">
        <v>0.2111084974965701</v>
      </c>
    </row>
    <row r="61" spans="2:13">
      <c r="B61" t="s">
        <v>171</v>
      </c>
      <c r="C61" t="s">
        <v>686</v>
      </c>
      <c r="D61" t="s">
        <v>687</v>
      </c>
      <c r="E61" t="s">
        <v>10</v>
      </c>
      <c r="F61" t="s">
        <v>21</v>
      </c>
      <c r="G61" t="s">
        <v>174</v>
      </c>
      <c r="H61" t="s">
        <v>175</v>
      </c>
      <c r="J61" t="s">
        <v>686</v>
      </c>
      <c r="K61" t="s">
        <v>864</v>
      </c>
      <c r="L61">
        <v>90.856159298399803</v>
      </c>
      <c r="M61">
        <v>0.2231389226548737</v>
      </c>
    </row>
    <row r="62" spans="2:13">
      <c r="B62" t="s">
        <v>171</v>
      </c>
      <c r="C62" t="s">
        <v>688</v>
      </c>
      <c r="D62" t="s">
        <v>689</v>
      </c>
      <c r="E62" t="s">
        <v>10</v>
      </c>
      <c r="F62" t="s">
        <v>21</v>
      </c>
      <c r="G62" t="s">
        <v>174</v>
      </c>
      <c r="H62" t="s">
        <v>175</v>
      </c>
      <c r="J62" t="s">
        <v>688</v>
      </c>
      <c r="K62" t="s">
        <v>865</v>
      </c>
      <c r="L62">
        <v>16.378314248967396</v>
      </c>
      <c r="M62">
        <v>0.41517302706983161</v>
      </c>
    </row>
    <row r="63" spans="2:13">
      <c r="B63" t="s">
        <v>171</v>
      </c>
      <c r="C63" t="s">
        <v>690</v>
      </c>
      <c r="D63" t="s">
        <v>691</v>
      </c>
      <c r="E63" t="s">
        <v>10</v>
      </c>
      <c r="F63" t="s">
        <v>21</v>
      </c>
      <c r="G63" t="s">
        <v>174</v>
      </c>
      <c r="H63" t="s">
        <v>175</v>
      </c>
      <c r="J63" t="s">
        <v>690</v>
      </c>
      <c r="K63" t="s">
        <v>866</v>
      </c>
      <c r="L63">
        <v>33.802699723212591</v>
      </c>
      <c r="M63">
        <v>0.13638143225199811</v>
      </c>
    </row>
    <row r="64" spans="2:13">
      <c r="B64" t="s">
        <v>171</v>
      </c>
      <c r="C64" t="s">
        <v>692</v>
      </c>
      <c r="D64" t="s">
        <v>693</v>
      </c>
      <c r="E64" t="s">
        <v>10</v>
      </c>
      <c r="F64" t="s">
        <v>21</v>
      </c>
      <c r="G64" t="s">
        <v>174</v>
      </c>
      <c r="H64" t="s">
        <v>175</v>
      </c>
      <c r="J64" t="s">
        <v>692</v>
      </c>
      <c r="K64" t="s">
        <v>867</v>
      </c>
      <c r="L64">
        <v>9.4742229521404262</v>
      </c>
      <c r="M64">
        <v>0.10050865170420969</v>
      </c>
    </row>
    <row r="65" spans="2:13">
      <c r="B65" t="s">
        <v>171</v>
      </c>
      <c r="C65" t="s">
        <v>694</v>
      </c>
      <c r="D65" t="s">
        <v>695</v>
      </c>
      <c r="E65" t="s">
        <v>10</v>
      </c>
      <c r="F65" t="s">
        <v>21</v>
      </c>
      <c r="G65" t="s">
        <v>174</v>
      </c>
      <c r="H65" t="s">
        <v>175</v>
      </c>
      <c r="J65" t="s">
        <v>694</v>
      </c>
      <c r="K65" t="s">
        <v>868</v>
      </c>
      <c r="L65">
        <v>37.157522303808804</v>
      </c>
      <c r="M65">
        <v>0.1181414908382102</v>
      </c>
    </row>
    <row r="66" spans="2:13">
      <c r="B66" t="s">
        <v>171</v>
      </c>
      <c r="C66" t="s">
        <v>696</v>
      </c>
      <c r="D66" t="s">
        <v>697</v>
      </c>
      <c r="E66" t="s">
        <v>10</v>
      </c>
      <c r="F66" t="s">
        <v>21</v>
      </c>
      <c r="G66" t="s">
        <v>174</v>
      </c>
      <c r="H66" t="s">
        <v>175</v>
      </c>
      <c r="J66" t="s">
        <v>696</v>
      </c>
      <c r="K66" t="s">
        <v>869</v>
      </c>
      <c r="L66">
        <v>74.685634238643516</v>
      </c>
      <c r="M66">
        <v>0.16397324439306121</v>
      </c>
    </row>
    <row r="67" spans="2:13">
      <c r="B67" t="s">
        <v>171</v>
      </c>
      <c r="C67" t="s">
        <v>698</v>
      </c>
      <c r="D67" t="s">
        <v>699</v>
      </c>
      <c r="E67" t="s">
        <v>10</v>
      </c>
      <c r="F67" t="s">
        <v>21</v>
      </c>
      <c r="G67" t="s">
        <v>174</v>
      </c>
      <c r="H67" t="s">
        <v>175</v>
      </c>
      <c r="J67" t="s">
        <v>698</v>
      </c>
      <c r="K67" t="s">
        <v>870</v>
      </c>
      <c r="L67">
        <v>65.363886597795386</v>
      </c>
      <c r="M67">
        <v>0.18524831792575611</v>
      </c>
    </row>
    <row r="68" spans="2:13">
      <c r="B68" t="s">
        <v>171</v>
      </c>
      <c r="C68" t="s">
        <v>700</v>
      </c>
      <c r="D68" t="s">
        <v>701</v>
      </c>
      <c r="E68" t="s">
        <v>10</v>
      </c>
      <c r="F68" t="s">
        <v>21</v>
      </c>
      <c r="G68" t="s">
        <v>174</v>
      </c>
      <c r="H68" t="s">
        <v>175</v>
      </c>
      <c r="J68" t="s">
        <v>700</v>
      </c>
      <c r="K68" t="s">
        <v>871</v>
      </c>
      <c r="L68">
        <v>89.236077354355544</v>
      </c>
      <c r="M68">
        <v>0.18013737352020689</v>
      </c>
    </row>
    <row r="69" spans="2:13">
      <c r="B69" t="s">
        <v>171</v>
      </c>
      <c r="C69" t="s">
        <v>702</v>
      </c>
      <c r="D69" t="s">
        <v>703</v>
      </c>
      <c r="E69" t="s">
        <v>10</v>
      </c>
      <c r="F69" t="s">
        <v>21</v>
      </c>
      <c r="G69" t="s">
        <v>174</v>
      </c>
      <c r="H69" t="s">
        <v>175</v>
      </c>
      <c r="J69" t="s">
        <v>702</v>
      </c>
      <c r="K69" t="s">
        <v>872</v>
      </c>
      <c r="L69">
        <v>60.066641662037199</v>
      </c>
      <c r="M69">
        <v>0.1020937020406936</v>
      </c>
    </row>
    <row r="70" spans="2:13">
      <c r="B70" t="s">
        <v>171</v>
      </c>
      <c r="C70" t="s">
        <v>704</v>
      </c>
      <c r="D70" t="s">
        <v>705</v>
      </c>
      <c r="E70" t="s">
        <v>10</v>
      </c>
      <c r="F70" t="s">
        <v>21</v>
      </c>
      <c r="G70" t="s">
        <v>174</v>
      </c>
      <c r="H70" t="s">
        <v>175</v>
      </c>
      <c r="J70" t="s">
        <v>704</v>
      </c>
      <c r="K70" t="s">
        <v>873</v>
      </c>
      <c r="L70">
        <v>56.623929587037502</v>
      </c>
      <c r="M70">
        <v>0.1265120771138443</v>
      </c>
    </row>
    <row r="71" spans="2:13">
      <c r="B71" t="s">
        <v>171</v>
      </c>
      <c r="C71" t="s">
        <v>706</v>
      </c>
      <c r="D71" t="s">
        <v>707</v>
      </c>
      <c r="E71" t="s">
        <v>10</v>
      </c>
      <c r="F71" t="s">
        <v>21</v>
      </c>
      <c r="G71" t="s">
        <v>174</v>
      </c>
      <c r="H71" t="s">
        <v>175</v>
      </c>
      <c r="J71" t="s">
        <v>706</v>
      </c>
      <c r="K71" t="s">
        <v>874</v>
      </c>
      <c r="L71">
        <v>82.548665550408757</v>
      </c>
      <c r="M71">
        <v>0.2410109369222953</v>
      </c>
    </row>
    <row r="72" spans="2:13">
      <c r="B72" t="s">
        <v>171</v>
      </c>
      <c r="C72" t="s">
        <v>708</v>
      </c>
      <c r="D72" t="s">
        <v>709</v>
      </c>
      <c r="E72" t="s">
        <v>10</v>
      </c>
      <c r="F72" t="s">
        <v>21</v>
      </c>
      <c r="G72" t="s">
        <v>174</v>
      </c>
      <c r="H72" t="s">
        <v>175</v>
      </c>
      <c r="J72" t="s">
        <v>708</v>
      </c>
      <c r="K72" t="s">
        <v>875</v>
      </c>
      <c r="L72">
        <v>43.580224589485219</v>
      </c>
      <c r="M72">
        <v>0.27230679726784879</v>
      </c>
    </row>
    <row r="73" spans="2:13">
      <c r="B73" t="s">
        <v>171</v>
      </c>
      <c r="C73" t="s">
        <v>710</v>
      </c>
      <c r="D73" t="s">
        <v>711</v>
      </c>
      <c r="E73" t="s">
        <v>10</v>
      </c>
      <c r="F73" t="s">
        <v>21</v>
      </c>
      <c r="G73" t="s">
        <v>174</v>
      </c>
      <c r="H73" t="s">
        <v>175</v>
      </c>
      <c r="J73" t="s">
        <v>710</v>
      </c>
      <c r="K73" t="s">
        <v>876</v>
      </c>
      <c r="L73">
        <v>85.756886540266791</v>
      </c>
      <c r="M73">
        <v>0.1216073056083411</v>
      </c>
    </row>
    <row r="74" spans="2:13">
      <c r="B74" t="s">
        <v>171</v>
      </c>
      <c r="C74" t="s">
        <v>712</v>
      </c>
      <c r="D74" t="s">
        <v>713</v>
      </c>
      <c r="E74" t="s">
        <v>10</v>
      </c>
      <c r="F74" t="s">
        <v>21</v>
      </c>
      <c r="G74" t="s">
        <v>174</v>
      </c>
      <c r="H74" t="s">
        <v>175</v>
      </c>
      <c r="J74" t="s">
        <v>712</v>
      </c>
      <c r="K74" t="s">
        <v>877</v>
      </c>
      <c r="L74">
        <v>64.390420974973281</v>
      </c>
      <c r="M74">
        <v>0.1453246126306782</v>
      </c>
    </row>
    <row r="75" spans="2:13">
      <c r="B75" t="s">
        <v>171</v>
      </c>
      <c r="C75" t="s">
        <v>714</v>
      </c>
      <c r="D75" t="s">
        <v>715</v>
      </c>
      <c r="E75" t="s">
        <v>10</v>
      </c>
      <c r="F75" t="s">
        <v>21</v>
      </c>
      <c r="G75" t="s">
        <v>174</v>
      </c>
      <c r="H75" t="s">
        <v>175</v>
      </c>
      <c r="J75" t="s">
        <v>714</v>
      </c>
      <c r="K75" t="s">
        <v>878</v>
      </c>
      <c r="L75">
        <v>97.590415081529514</v>
      </c>
      <c r="M75">
        <v>0.14305547725413789</v>
      </c>
    </row>
    <row r="76" spans="2:13">
      <c r="B76" t="s">
        <v>171</v>
      </c>
      <c r="C76" t="s">
        <v>716</v>
      </c>
      <c r="D76" t="s">
        <v>717</v>
      </c>
      <c r="E76" t="s">
        <v>10</v>
      </c>
      <c r="F76" t="s">
        <v>21</v>
      </c>
      <c r="G76" t="s">
        <v>174</v>
      </c>
      <c r="H76" t="s">
        <v>175</v>
      </c>
      <c r="J76" t="s">
        <v>716</v>
      </c>
      <c r="K76" t="s">
        <v>879</v>
      </c>
      <c r="L76">
        <v>51.742157103441926</v>
      </c>
      <c r="M76">
        <v>0.1618058465327539</v>
      </c>
    </row>
    <row r="77" spans="2:13">
      <c r="B77" t="s">
        <v>171</v>
      </c>
      <c r="C77" t="s">
        <v>718</v>
      </c>
      <c r="D77" t="s">
        <v>719</v>
      </c>
      <c r="E77" t="s">
        <v>10</v>
      </c>
      <c r="F77" t="s">
        <v>21</v>
      </c>
      <c r="G77" t="s">
        <v>174</v>
      </c>
      <c r="H77" t="s">
        <v>175</v>
      </c>
      <c r="J77" t="s">
        <v>718</v>
      </c>
      <c r="K77" t="s">
        <v>880</v>
      </c>
      <c r="L77">
        <v>70.744888329363249</v>
      </c>
      <c r="M77">
        <v>0.141633570700541</v>
      </c>
    </row>
    <row r="78" spans="2:13">
      <c r="B78" t="s">
        <v>171</v>
      </c>
      <c r="C78" t="s">
        <v>720</v>
      </c>
      <c r="D78" t="s">
        <v>721</v>
      </c>
      <c r="E78" t="s">
        <v>10</v>
      </c>
      <c r="F78" t="s">
        <v>21</v>
      </c>
      <c r="G78" t="s">
        <v>174</v>
      </c>
      <c r="H78" t="s">
        <v>175</v>
      </c>
      <c r="J78" t="s">
        <v>720</v>
      </c>
      <c r="K78" t="s">
        <v>881</v>
      </c>
      <c r="L78">
        <v>72.335118085837053</v>
      </c>
      <c r="M78">
        <v>0.11455703572265551</v>
      </c>
    </row>
    <row r="79" spans="2:13">
      <c r="B79" t="s">
        <v>171</v>
      </c>
      <c r="C79" t="s">
        <v>722</v>
      </c>
      <c r="D79" t="s">
        <v>723</v>
      </c>
      <c r="E79" t="s">
        <v>10</v>
      </c>
      <c r="F79" t="s">
        <v>21</v>
      </c>
      <c r="G79" t="s">
        <v>174</v>
      </c>
      <c r="H79" t="s">
        <v>175</v>
      </c>
      <c r="J79" t="s">
        <v>722</v>
      </c>
      <c r="K79" t="s">
        <v>882</v>
      </c>
      <c r="L79">
        <v>70.435749494310869</v>
      </c>
      <c r="M79">
        <v>0.1562005183996393</v>
      </c>
    </row>
    <row r="80" spans="2:13">
      <c r="B80" t="s">
        <v>171</v>
      </c>
      <c r="C80" t="s">
        <v>724</v>
      </c>
      <c r="D80" t="s">
        <v>725</v>
      </c>
      <c r="E80" t="s">
        <v>10</v>
      </c>
      <c r="F80" t="s">
        <v>21</v>
      </c>
      <c r="G80" t="s">
        <v>174</v>
      </c>
      <c r="H80" t="s">
        <v>175</v>
      </c>
      <c r="J80" t="s">
        <v>724</v>
      </c>
      <c r="K80" t="s">
        <v>883</v>
      </c>
      <c r="L80">
        <v>101.54193407855358</v>
      </c>
      <c r="M80">
        <v>0.20953256764552619</v>
      </c>
    </row>
    <row r="81" spans="2:13">
      <c r="B81" t="s">
        <v>171</v>
      </c>
      <c r="C81" t="s">
        <v>726</v>
      </c>
      <c r="D81" t="s">
        <v>727</v>
      </c>
      <c r="E81" t="s">
        <v>10</v>
      </c>
      <c r="F81" t="s">
        <v>21</v>
      </c>
      <c r="G81" t="s">
        <v>174</v>
      </c>
      <c r="H81" t="s">
        <v>175</v>
      </c>
      <c r="J81" t="s">
        <v>726</v>
      </c>
      <c r="K81" t="s">
        <v>884</v>
      </c>
      <c r="L81">
        <v>88.050427811025685</v>
      </c>
      <c r="M81">
        <v>0.2672490168135408</v>
      </c>
    </row>
    <row r="82" spans="2:13">
      <c r="B82" t="s">
        <v>171</v>
      </c>
      <c r="C82" t="s">
        <v>728</v>
      </c>
      <c r="D82" t="s">
        <v>729</v>
      </c>
      <c r="E82" t="s">
        <v>10</v>
      </c>
      <c r="F82" t="s">
        <v>21</v>
      </c>
      <c r="G82" t="s">
        <v>174</v>
      </c>
      <c r="H82" t="s">
        <v>175</v>
      </c>
      <c r="J82" t="s">
        <v>728</v>
      </c>
      <c r="K82" t="s">
        <v>885</v>
      </c>
      <c r="L82">
        <v>128.72663708382663</v>
      </c>
      <c r="M82">
        <v>0.2174697493781044</v>
      </c>
    </row>
    <row r="83" spans="2:13">
      <c r="B83" t="s">
        <v>171</v>
      </c>
      <c r="C83" t="s">
        <v>730</v>
      </c>
      <c r="D83" t="s">
        <v>731</v>
      </c>
      <c r="E83" t="s">
        <v>10</v>
      </c>
      <c r="F83" t="s">
        <v>21</v>
      </c>
      <c r="G83" t="s">
        <v>174</v>
      </c>
      <c r="H83" t="s">
        <v>175</v>
      </c>
      <c r="J83" t="s">
        <v>730</v>
      </c>
      <c r="K83" t="s">
        <v>886</v>
      </c>
      <c r="L83">
        <v>142.69145220336142</v>
      </c>
      <c r="M83">
        <v>0.2782304615232451</v>
      </c>
    </row>
    <row r="84" spans="2:13">
      <c r="B84" t="s">
        <v>171</v>
      </c>
      <c r="C84" t="s">
        <v>732</v>
      </c>
      <c r="D84" t="s">
        <v>733</v>
      </c>
      <c r="E84" t="s">
        <v>10</v>
      </c>
      <c r="F84" t="s">
        <v>21</v>
      </c>
      <c r="G84" t="s">
        <v>174</v>
      </c>
      <c r="H84" t="s">
        <v>175</v>
      </c>
      <c r="J84" t="s">
        <v>732</v>
      </c>
      <c r="K84" t="s">
        <v>887</v>
      </c>
      <c r="L84">
        <v>93.821069856018553</v>
      </c>
      <c r="M84">
        <v>0.22627927922505589</v>
      </c>
    </row>
    <row r="85" spans="2:13">
      <c r="B85" t="s">
        <v>171</v>
      </c>
      <c r="C85" t="s">
        <v>734</v>
      </c>
      <c r="D85" t="s">
        <v>735</v>
      </c>
      <c r="E85" t="s">
        <v>10</v>
      </c>
      <c r="F85" t="s">
        <v>21</v>
      </c>
      <c r="G85" t="s">
        <v>174</v>
      </c>
      <c r="H85" t="s">
        <v>175</v>
      </c>
      <c r="J85" t="s">
        <v>734</v>
      </c>
      <c r="K85" t="s">
        <v>888</v>
      </c>
      <c r="L85">
        <v>116.53803697566987</v>
      </c>
      <c r="M85">
        <v>0.22586236142724461</v>
      </c>
    </row>
    <row r="86" spans="2:13">
      <c r="B86" t="s">
        <v>171</v>
      </c>
      <c r="C86" t="s">
        <v>736</v>
      </c>
      <c r="D86" t="s">
        <v>737</v>
      </c>
      <c r="E86" t="s">
        <v>10</v>
      </c>
      <c r="F86" t="s">
        <v>21</v>
      </c>
      <c r="G86" t="s">
        <v>174</v>
      </c>
      <c r="H86" t="s">
        <v>175</v>
      </c>
      <c r="J86" t="s">
        <v>736</v>
      </c>
      <c r="K86" t="s">
        <v>889</v>
      </c>
      <c r="L86">
        <v>142.38964293012813</v>
      </c>
      <c r="M86">
        <v>0.1568852567911127</v>
      </c>
    </row>
    <row r="87" spans="2:13">
      <c r="B87" t="s">
        <v>171</v>
      </c>
      <c r="C87" t="s">
        <v>738</v>
      </c>
      <c r="D87" t="s">
        <v>739</v>
      </c>
      <c r="E87" t="s">
        <v>10</v>
      </c>
      <c r="F87" t="s">
        <v>21</v>
      </c>
      <c r="G87" t="s">
        <v>174</v>
      </c>
      <c r="H87" t="s">
        <v>175</v>
      </c>
      <c r="J87" t="s">
        <v>738</v>
      </c>
      <c r="K87" t="s">
        <v>890</v>
      </c>
      <c r="L87">
        <v>97.871188365433483</v>
      </c>
      <c r="M87">
        <v>0.26589585773254748</v>
      </c>
    </row>
    <row r="88" spans="2:13">
      <c r="B88" t="s">
        <v>171</v>
      </c>
      <c r="C88" t="s">
        <v>740</v>
      </c>
      <c r="D88" t="s">
        <v>741</v>
      </c>
      <c r="E88" t="s">
        <v>10</v>
      </c>
      <c r="F88" t="s">
        <v>21</v>
      </c>
      <c r="G88" t="s">
        <v>174</v>
      </c>
      <c r="H88" t="s">
        <v>175</v>
      </c>
      <c r="J88" t="s">
        <v>740</v>
      </c>
      <c r="K88" t="s">
        <v>891</v>
      </c>
      <c r="L88">
        <v>122.60935049759807</v>
      </c>
      <c r="M88">
        <v>0.27691206289185349</v>
      </c>
    </row>
    <row r="89" spans="2:13">
      <c r="B89" t="s">
        <v>171</v>
      </c>
      <c r="C89" t="s">
        <v>742</v>
      </c>
      <c r="D89" t="s">
        <v>743</v>
      </c>
      <c r="E89" t="s">
        <v>10</v>
      </c>
      <c r="F89" t="s">
        <v>21</v>
      </c>
      <c r="G89" t="s">
        <v>174</v>
      </c>
      <c r="H89" t="s">
        <v>175</v>
      </c>
      <c r="J89" t="s">
        <v>742</v>
      </c>
      <c r="K89" t="s">
        <v>892</v>
      </c>
      <c r="L89">
        <v>126.82069394920552</v>
      </c>
      <c r="M89">
        <v>0.26905499196692001</v>
      </c>
    </row>
    <row r="90" spans="2:13">
      <c r="B90" t="s">
        <v>171</v>
      </c>
      <c r="C90" t="s">
        <v>744</v>
      </c>
      <c r="D90" t="s">
        <v>745</v>
      </c>
      <c r="E90" t="s">
        <v>10</v>
      </c>
      <c r="F90" t="s">
        <v>21</v>
      </c>
      <c r="G90" t="s">
        <v>174</v>
      </c>
      <c r="H90" t="s">
        <v>175</v>
      </c>
      <c r="J90" t="s">
        <v>744</v>
      </c>
      <c r="K90" t="s">
        <v>893</v>
      </c>
      <c r="L90">
        <v>103.54261819537919</v>
      </c>
      <c r="M90">
        <v>0.30967921205323318</v>
      </c>
    </row>
    <row r="91" spans="2:13">
      <c r="B91" t="s">
        <v>171</v>
      </c>
      <c r="C91" t="s">
        <v>746</v>
      </c>
      <c r="D91" t="s">
        <v>747</v>
      </c>
      <c r="E91" t="s">
        <v>10</v>
      </c>
      <c r="F91" t="s">
        <v>21</v>
      </c>
      <c r="G91" t="s">
        <v>174</v>
      </c>
      <c r="H91" t="s">
        <v>175</v>
      </c>
      <c r="J91" t="s">
        <v>746</v>
      </c>
      <c r="K91" t="s">
        <v>894</v>
      </c>
      <c r="L91">
        <v>112.41415206081683</v>
      </c>
      <c r="M91">
        <v>0.23742411236384961</v>
      </c>
    </row>
    <row r="92" spans="2:13">
      <c r="B92" t="s">
        <v>171</v>
      </c>
      <c r="C92" t="s">
        <v>748</v>
      </c>
      <c r="D92" t="s">
        <v>749</v>
      </c>
      <c r="E92" t="s">
        <v>10</v>
      </c>
      <c r="F92" t="s">
        <v>21</v>
      </c>
      <c r="G92" t="s">
        <v>174</v>
      </c>
      <c r="H92" t="s">
        <v>175</v>
      </c>
      <c r="J92" t="s">
        <v>748</v>
      </c>
      <c r="K92" t="s">
        <v>895</v>
      </c>
      <c r="L92">
        <v>225.6559648895221</v>
      </c>
      <c r="M92">
        <v>0.21542662811510649</v>
      </c>
    </row>
    <row r="93" spans="2:13">
      <c r="B93" t="s">
        <v>171</v>
      </c>
      <c r="C93" t="s">
        <v>750</v>
      </c>
      <c r="D93" t="s">
        <v>751</v>
      </c>
      <c r="E93" t="s">
        <v>10</v>
      </c>
      <c r="F93" t="s">
        <v>21</v>
      </c>
      <c r="G93" t="s">
        <v>174</v>
      </c>
      <c r="H93" t="s">
        <v>175</v>
      </c>
      <c r="J93" t="s">
        <v>750</v>
      </c>
      <c r="K93" t="s">
        <v>896</v>
      </c>
      <c r="L93">
        <v>62.059978436207963</v>
      </c>
      <c r="M93">
        <v>0.1091164418969883</v>
      </c>
    </row>
    <row r="94" spans="2:13">
      <c r="B94" t="s">
        <v>171</v>
      </c>
      <c r="C94" t="s">
        <v>752</v>
      </c>
      <c r="D94" t="s">
        <v>753</v>
      </c>
      <c r="E94" t="s">
        <v>10</v>
      </c>
      <c r="F94" t="s">
        <v>21</v>
      </c>
      <c r="G94" t="s">
        <v>174</v>
      </c>
      <c r="H94" t="s">
        <v>175</v>
      </c>
      <c r="J94" t="s">
        <v>752</v>
      </c>
      <c r="K94" t="s">
        <v>897</v>
      </c>
      <c r="L94">
        <v>38.26626864227196</v>
      </c>
      <c r="M94">
        <v>0.10783606583766529</v>
      </c>
    </row>
    <row r="95" spans="2:13">
      <c r="B95" t="s">
        <v>171</v>
      </c>
      <c r="C95" t="s">
        <v>754</v>
      </c>
      <c r="D95" t="s">
        <v>755</v>
      </c>
      <c r="E95" t="s">
        <v>10</v>
      </c>
      <c r="F95" t="s">
        <v>21</v>
      </c>
      <c r="G95" t="s">
        <v>174</v>
      </c>
      <c r="H95" t="s">
        <v>175</v>
      </c>
      <c r="J95" t="s">
        <v>754</v>
      </c>
      <c r="K95" t="s">
        <v>898</v>
      </c>
      <c r="L95">
        <v>60.992148128410847</v>
      </c>
      <c r="M95">
        <v>0.22101211408164931</v>
      </c>
    </row>
    <row r="96" spans="2:13">
      <c r="B96" t="s">
        <v>171</v>
      </c>
      <c r="C96" t="s">
        <v>756</v>
      </c>
      <c r="D96" t="s">
        <v>757</v>
      </c>
      <c r="E96" t="s">
        <v>10</v>
      </c>
      <c r="F96" t="s">
        <v>21</v>
      </c>
      <c r="G96" t="s">
        <v>174</v>
      </c>
      <c r="H96" t="s">
        <v>175</v>
      </c>
      <c r="J96" t="s">
        <v>756</v>
      </c>
      <c r="K96" t="s">
        <v>899</v>
      </c>
      <c r="L96">
        <v>61.332365360387051</v>
      </c>
      <c r="M96">
        <v>0.1047273957777045</v>
      </c>
    </row>
    <row r="97" spans="2:13">
      <c r="B97" t="s">
        <v>171</v>
      </c>
      <c r="C97" t="s">
        <v>758</v>
      </c>
      <c r="D97" t="s">
        <v>759</v>
      </c>
      <c r="E97" t="s">
        <v>10</v>
      </c>
      <c r="F97" t="s">
        <v>21</v>
      </c>
      <c r="G97" t="s">
        <v>174</v>
      </c>
      <c r="H97" t="s">
        <v>175</v>
      </c>
      <c r="J97" t="s">
        <v>758</v>
      </c>
      <c r="K97" t="s">
        <v>900</v>
      </c>
      <c r="L97">
        <v>45.98828906790623</v>
      </c>
      <c r="M97">
        <v>0.13350668327998419</v>
      </c>
    </row>
    <row r="98" spans="2:13">
      <c r="B98" t="s">
        <v>171</v>
      </c>
      <c r="C98" t="s">
        <v>760</v>
      </c>
      <c r="D98" t="s">
        <v>761</v>
      </c>
      <c r="E98" t="s">
        <v>10</v>
      </c>
      <c r="F98" t="s">
        <v>21</v>
      </c>
      <c r="G98" t="s">
        <v>174</v>
      </c>
      <c r="H98" t="s">
        <v>175</v>
      </c>
      <c r="J98" t="s">
        <v>760</v>
      </c>
      <c r="K98" t="s">
        <v>901</v>
      </c>
      <c r="L98">
        <v>87.706339968779687</v>
      </c>
      <c r="M98">
        <v>0.116467954325171</v>
      </c>
    </row>
    <row r="99" spans="2:13">
      <c r="B99" t="s">
        <v>171</v>
      </c>
      <c r="C99" t="s">
        <v>762</v>
      </c>
      <c r="D99" t="s">
        <v>763</v>
      </c>
      <c r="E99" t="s">
        <v>10</v>
      </c>
      <c r="F99" t="s">
        <v>21</v>
      </c>
      <c r="G99" t="s">
        <v>174</v>
      </c>
      <c r="H99" t="s">
        <v>175</v>
      </c>
      <c r="J99" t="s">
        <v>762</v>
      </c>
      <c r="K99" t="s">
        <v>902</v>
      </c>
      <c r="L99">
        <v>82.09145616123692</v>
      </c>
      <c r="M99">
        <v>0.18881971192587471</v>
      </c>
    </row>
    <row r="100" spans="2:13">
      <c r="B100" t="s">
        <v>171</v>
      </c>
      <c r="C100" t="s">
        <v>764</v>
      </c>
      <c r="D100" t="s">
        <v>765</v>
      </c>
      <c r="E100" t="s">
        <v>10</v>
      </c>
      <c r="F100" t="s">
        <v>21</v>
      </c>
      <c r="G100" t="s">
        <v>174</v>
      </c>
      <c r="H100" t="s">
        <v>175</v>
      </c>
      <c r="J100" t="s">
        <v>764</v>
      </c>
      <c r="K100" t="s">
        <v>903</v>
      </c>
      <c r="L100">
        <v>112.04245507343492</v>
      </c>
      <c r="M100">
        <v>0.14670363792414659</v>
      </c>
    </row>
    <row r="101" spans="2:13">
      <c r="B101" t="s">
        <v>171</v>
      </c>
      <c r="C101" t="s">
        <v>766</v>
      </c>
      <c r="D101" t="s">
        <v>767</v>
      </c>
      <c r="E101" t="s">
        <v>10</v>
      </c>
      <c r="F101" t="s">
        <v>21</v>
      </c>
      <c r="G101" t="s">
        <v>174</v>
      </c>
      <c r="H101" t="s">
        <v>175</v>
      </c>
      <c r="J101" t="s">
        <v>766</v>
      </c>
      <c r="K101" t="s">
        <v>904</v>
      </c>
      <c r="L101">
        <v>90.339447767234844</v>
      </c>
      <c r="M101">
        <v>0.13542788605013159</v>
      </c>
    </row>
    <row r="102" spans="2:13">
      <c r="B102" t="s">
        <v>171</v>
      </c>
      <c r="C102" t="s">
        <v>768</v>
      </c>
      <c r="D102" t="s">
        <v>769</v>
      </c>
      <c r="E102" t="s">
        <v>10</v>
      </c>
      <c r="F102" t="s">
        <v>21</v>
      </c>
      <c r="G102" t="s">
        <v>174</v>
      </c>
      <c r="H102" t="s">
        <v>175</v>
      </c>
      <c r="J102" t="s">
        <v>768</v>
      </c>
      <c r="K102" t="s">
        <v>905</v>
      </c>
      <c r="L102">
        <v>74.036055832907422</v>
      </c>
      <c r="M102">
        <v>0.16286067210288219</v>
      </c>
    </row>
    <row r="103" spans="2:13">
      <c r="B103" t="s">
        <v>171</v>
      </c>
      <c r="C103" t="s">
        <v>770</v>
      </c>
      <c r="D103" t="s">
        <v>771</v>
      </c>
      <c r="E103" t="s">
        <v>10</v>
      </c>
      <c r="F103" t="s">
        <v>21</v>
      </c>
      <c r="G103" t="s">
        <v>174</v>
      </c>
      <c r="H103" t="s">
        <v>175</v>
      </c>
      <c r="J103" t="s">
        <v>770</v>
      </c>
      <c r="K103" t="s">
        <v>906</v>
      </c>
      <c r="L103">
        <v>80.672619123124335</v>
      </c>
      <c r="M103">
        <v>0.20164661247125931</v>
      </c>
    </row>
    <row r="104" spans="2:13">
      <c r="B104" t="s">
        <v>171</v>
      </c>
      <c r="C104" t="s">
        <v>772</v>
      </c>
      <c r="D104" t="s">
        <v>773</v>
      </c>
      <c r="E104" t="s">
        <v>10</v>
      </c>
      <c r="F104" t="s">
        <v>21</v>
      </c>
      <c r="G104" t="s">
        <v>174</v>
      </c>
      <c r="H104" t="s">
        <v>175</v>
      </c>
      <c r="J104" t="s">
        <v>772</v>
      </c>
      <c r="K104" t="s">
        <v>907</v>
      </c>
      <c r="L104">
        <v>131.77159630662092</v>
      </c>
      <c r="M104">
        <v>0.27102088308517108</v>
      </c>
    </row>
    <row r="105" spans="2:13">
      <c r="B105" t="s">
        <v>171</v>
      </c>
      <c r="C105" t="s">
        <v>774</v>
      </c>
      <c r="D105" t="s">
        <v>775</v>
      </c>
      <c r="E105" t="s">
        <v>10</v>
      </c>
      <c r="F105" t="s">
        <v>21</v>
      </c>
      <c r="G105" t="s">
        <v>174</v>
      </c>
      <c r="H105" t="s">
        <v>175</v>
      </c>
      <c r="J105" t="s">
        <v>774</v>
      </c>
      <c r="K105" t="s">
        <v>908</v>
      </c>
      <c r="L105">
        <v>92.636913762604379</v>
      </c>
      <c r="M105">
        <v>0.19307812662120091</v>
      </c>
    </row>
    <row r="106" spans="2:13">
      <c r="B106" t="s">
        <v>171</v>
      </c>
      <c r="C106" t="s">
        <v>776</v>
      </c>
      <c r="D106" t="s">
        <v>777</v>
      </c>
      <c r="E106" t="s">
        <v>10</v>
      </c>
      <c r="F106" t="s">
        <v>21</v>
      </c>
      <c r="G106" t="s">
        <v>174</v>
      </c>
      <c r="H106" t="s">
        <v>175</v>
      </c>
      <c r="J106" t="s">
        <v>776</v>
      </c>
      <c r="K106" t="s">
        <v>909</v>
      </c>
      <c r="L106">
        <v>43.186443563069602</v>
      </c>
      <c r="M106">
        <v>0.27160062215761299</v>
      </c>
    </row>
    <row r="107" spans="2:13">
      <c r="B107" t="s">
        <v>171</v>
      </c>
      <c r="C107" t="s">
        <v>778</v>
      </c>
      <c r="D107" t="s">
        <v>779</v>
      </c>
      <c r="E107" t="s">
        <v>10</v>
      </c>
      <c r="F107" t="s">
        <v>21</v>
      </c>
      <c r="G107" t="s">
        <v>174</v>
      </c>
      <c r="H107" t="s">
        <v>175</v>
      </c>
      <c r="J107" t="s">
        <v>778</v>
      </c>
      <c r="K107" t="s">
        <v>910</v>
      </c>
      <c r="L107">
        <v>58.849758686619722</v>
      </c>
      <c r="M107">
        <v>0.2973917373445274</v>
      </c>
    </row>
    <row r="108" spans="2:13">
      <c r="B108" t="s">
        <v>171</v>
      </c>
      <c r="C108" t="s">
        <v>780</v>
      </c>
      <c r="D108" t="s">
        <v>781</v>
      </c>
      <c r="E108" t="s">
        <v>10</v>
      </c>
      <c r="F108" t="s">
        <v>21</v>
      </c>
      <c r="G108" t="s">
        <v>174</v>
      </c>
      <c r="H108" t="s">
        <v>175</v>
      </c>
      <c r="J108" t="s">
        <v>780</v>
      </c>
      <c r="K108" t="s">
        <v>911</v>
      </c>
      <c r="L108">
        <v>51.034717804126295</v>
      </c>
      <c r="M108">
        <v>0.20457679939893919</v>
      </c>
    </row>
    <row r="109" spans="2:13">
      <c r="B109" t="s">
        <v>171</v>
      </c>
      <c r="C109" t="s">
        <v>782</v>
      </c>
      <c r="D109" t="s">
        <v>783</v>
      </c>
      <c r="E109" t="s">
        <v>10</v>
      </c>
      <c r="F109" t="s">
        <v>21</v>
      </c>
      <c r="G109" t="s">
        <v>174</v>
      </c>
      <c r="H109" t="s">
        <v>175</v>
      </c>
      <c r="J109" t="s">
        <v>782</v>
      </c>
      <c r="K109" t="s">
        <v>912</v>
      </c>
      <c r="L109">
        <v>52.133955171859832</v>
      </c>
      <c r="M109">
        <v>0.17978622553145199</v>
      </c>
    </row>
    <row r="110" spans="2:13">
      <c r="B110" t="s">
        <v>171</v>
      </c>
      <c r="C110" t="s">
        <v>784</v>
      </c>
      <c r="D110" t="s">
        <v>785</v>
      </c>
      <c r="E110" t="s">
        <v>10</v>
      </c>
      <c r="F110" t="s">
        <v>21</v>
      </c>
      <c r="G110" t="s">
        <v>174</v>
      </c>
      <c r="H110" t="s">
        <v>175</v>
      </c>
      <c r="J110" t="s">
        <v>784</v>
      </c>
      <c r="K110" t="s">
        <v>913</v>
      </c>
      <c r="L110">
        <v>89.019661704845689</v>
      </c>
      <c r="M110">
        <v>0.20971778943609881</v>
      </c>
    </row>
    <row r="111" spans="2:13">
      <c r="B111" t="s">
        <v>171</v>
      </c>
      <c r="C111" t="s">
        <v>786</v>
      </c>
      <c r="D111" t="s">
        <v>787</v>
      </c>
      <c r="E111" t="s">
        <v>10</v>
      </c>
      <c r="F111" t="s">
        <v>21</v>
      </c>
      <c r="G111" t="s">
        <v>174</v>
      </c>
      <c r="H111" t="s">
        <v>175</v>
      </c>
      <c r="J111" t="s">
        <v>786</v>
      </c>
      <c r="K111" t="s">
        <v>914</v>
      </c>
      <c r="L111">
        <v>93.545567502763646</v>
      </c>
      <c r="M111">
        <v>0.19293815409094711</v>
      </c>
    </row>
    <row r="112" spans="2:13">
      <c r="B112" t="s">
        <v>171</v>
      </c>
      <c r="C112" t="s">
        <v>788</v>
      </c>
      <c r="D112" t="s">
        <v>789</v>
      </c>
      <c r="E112" t="s">
        <v>10</v>
      </c>
      <c r="F112" t="s">
        <v>21</v>
      </c>
      <c r="G112" t="s">
        <v>174</v>
      </c>
      <c r="H112" t="s">
        <v>175</v>
      </c>
      <c r="J112" t="s">
        <v>788</v>
      </c>
      <c r="K112" t="s">
        <v>915</v>
      </c>
      <c r="L112">
        <v>92.9742202039684</v>
      </c>
      <c r="M112">
        <v>0.1929484004381592</v>
      </c>
    </row>
    <row r="113" spans="2:13">
      <c r="B113" t="s">
        <v>171</v>
      </c>
      <c r="C113" t="s">
        <v>790</v>
      </c>
      <c r="D113" t="s">
        <v>791</v>
      </c>
      <c r="E113" t="s">
        <v>10</v>
      </c>
      <c r="F113" t="s">
        <v>21</v>
      </c>
      <c r="G113" t="s">
        <v>174</v>
      </c>
      <c r="H113" t="s">
        <v>175</v>
      </c>
      <c r="J113" t="s">
        <v>790</v>
      </c>
      <c r="K113" t="s">
        <v>916</v>
      </c>
      <c r="L113">
        <v>230.47670641898489</v>
      </c>
      <c r="M113">
        <v>0.4245744701917743</v>
      </c>
    </row>
    <row r="114" spans="2:13">
      <c r="B114" t="s">
        <v>171</v>
      </c>
      <c r="C114" t="s">
        <v>792</v>
      </c>
      <c r="D114" t="s">
        <v>793</v>
      </c>
      <c r="E114" t="s">
        <v>10</v>
      </c>
      <c r="F114" t="s">
        <v>21</v>
      </c>
      <c r="G114" t="s">
        <v>174</v>
      </c>
      <c r="H114" t="s">
        <v>175</v>
      </c>
      <c r="J114" t="s">
        <v>792</v>
      </c>
      <c r="K114" t="s">
        <v>917</v>
      </c>
      <c r="L114">
        <v>142.66303664252501</v>
      </c>
      <c r="M114">
        <v>0.38422486535033262</v>
      </c>
    </row>
    <row r="115" spans="2:13">
      <c r="B115" t="s">
        <v>171</v>
      </c>
      <c r="C115" t="s">
        <v>794</v>
      </c>
      <c r="D115" t="s">
        <v>795</v>
      </c>
      <c r="E115" t="s">
        <v>10</v>
      </c>
      <c r="F115" t="s">
        <v>21</v>
      </c>
      <c r="G115" t="s">
        <v>174</v>
      </c>
      <c r="H115" t="s">
        <v>175</v>
      </c>
      <c r="J115" t="s">
        <v>794</v>
      </c>
      <c r="K115" t="s">
        <v>918</v>
      </c>
      <c r="L115">
        <v>141.35321604259073</v>
      </c>
      <c r="M115">
        <v>0.46142061586686323</v>
      </c>
    </row>
    <row r="116" spans="2:13">
      <c r="B116" t="s">
        <v>171</v>
      </c>
      <c r="C116" t="s">
        <v>796</v>
      </c>
      <c r="D116" t="s">
        <v>797</v>
      </c>
      <c r="E116" t="s">
        <v>10</v>
      </c>
      <c r="F116" t="s">
        <v>21</v>
      </c>
      <c r="G116" t="s">
        <v>174</v>
      </c>
      <c r="H116" t="s">
        <v>175</v>
      </c>
      <c r="J116" t="s">
        <v>796</v>
      </c>
      <c r="K116" t="s">
        <v>919</v>
      </c>
      <c r="L116">
        <v>105.89850127788448</v>
      </c>
      <c r="M116">
        <v>0.43353472506368917</v>
      </c>
    </row>
    <row r="117" spans="2:13">
      <c r="B117" t="s">
        <v>171</v>
      </c>
      <c r="C117" t="s">
        <v>798</v>
      </c>
      <c r="D117" t="s">
        <v>799</v>
      </c>
      <c r="E117" t="s">
        <v>10</v>
      </c>
      <c r="F117" t="s">
        <v>21</v>
      </c>
      <c r="G117" t="s">
        <v>174</v>
      </c>
      <c r="H117" t="s">
        <v>175</v>
      </c>
      <c r="J117" t="s">
        <v>798</v>
      </c>
      <c r="K117" t="s">
        <v>920</v>
      </c>
      <c r="L117">
        <v>154.77050499648863</v>
      </c>
      <c r="M117">
        <v>0.3498797964055943</v>
      </c>
    </row>
    <row r="118" spans="2:13">
      <c r="B118" t="s">
        <v>171</v>
      </c>
      <c r="C118" t="s">
        <v>800</v>
      </c>
      <c r="D118" t="s">
        <v>801</v>
      </c>
      <c r="E118" t="s">
        <v>10</v>
      </c>
      <c r="F118" t="s">
        <v>21</v>
      </c>
      <c r="G118" t="s">
        <v>174</v>
      </c>
      <c r="H118" t="s">
        <v>175</v>
      </c>
      <c r="J118" t="s">
        <v>800</v>
      </c>
      <c r="K118" t="s">
        <v>921</v>
      </c>
      <c r="L118">
        <v>95.858861878747391</v>
      </c>
      <c r="M118">
        <v>0.38267718196403011</v>
      </c>
    </row>
    <row r="119" spans="2:13">
      <c r="B119" t="s">
        <v>171</v>
      </c>
      <c r="C119" t="s">
        <v>802</v>
      </c>
      <c r="D119" t="s">
        <v>803</v>
      </c>
      <c r="E119" t="s">
        <v>10</v>
      </c>
      <c r="F119" t="s">
        <v>21</v>
      </c>
      <c r="G119" t="s">
        <v>174</v>
      </c>
      <c r="H119" t="s">
        <v>175</v>
      </c>
      <c r="J119" t="s">
        <v>802</v>
      </c>
      <c r="K119" t="s">
        <v>922</v>
      </c>
      <c r="L119">
        <v>220.62449912440621</v>
      </c>
      <c r="M119">
        <v>0.35895555373620108</v>
      </c>
    </row>
    <row r="120" spans="2:13">
      <c r="B120" t="s">
        <v>171</v>
      </c>
      <c r="C120" t="s">
        <v>804</v>
      </c>
      <c r="D120" t="s">
        <v>805</v>
      </c>
      <c r="E120" t="s">
        <v>10</v>
      </c>
      <c r="F120" t="s">
        <v>21</v>
      </c>
      <c r="G120" t="s">
        <v>174</v>
      </c>
      <c r="H120" t="s">
        <v>175</v>
      </c>
      <c r="J120" t="s">
        <v>804</v>
      </c>
      <c r="K120" t="s">
        <v>923</v>
      </c>
      <c r="L120">
        <v>168.02697637528368</v>
      </c>
      <c r="M120">
        <v>0.2004477841597655</v>
      </c>
    </row>
    <row r="121" spans="2:13">
      <c r="B121" t="s">
        <v>171</v>
      </c>
      <c r="C121" t="s">
        <v>806</v>
      </c>
      <c r="D121" t="s">
        <v>807</v>
      </c>
      <c r="E121" t="s">
        <v>10</v>
      </c>
      <c r="F121" t="s">
        <v>21</v>
      </c>
      <c r="G121" t="s">
        <v>174</v>
      </c>
      <c r="H121" t="s">
        <v>175</v>
      </c>
      <c r="J121" t="s">
        <v>806</v>
      </c>
      <c r="K121" t="s">
        <v>924</v>
      </c>
      <c r="L121">
        <v>69.916785281316834</v>
      </c>
      <c r="M121">
        <v>0.30331171615911018</v>
      </c>
    </row>
    <row r="122" spans="2:13">
      <c r="B122" t="s">
        <v>171</v>
      </c>
      <c r="C122" t="s">
        <v>808</v>
      </c>
      <c r="D122" t="s">
        <v>809</v>
      </c>
      <c r="E122" t="s">
        <v>10</v>
      </c>
      <c r="F122" t="s">
        <v>21</v>
      </c>
      <c r="G122" t="s">
        <v>174</v>
      </c>
      <c r="H122" t="s">
        <v>175</v>
      </c>
      <c r="J122" t="s">
        <v>808</v>
      </c>
      <c r="K122" t="s">
        <v>925</v>
      </c>
      <c r="L122">
        <v>174.51103915086307</v>
      </c>
      <c r="M122">
        <v>0.36375037143637229</v>
      </c>
    </row>
    <row r="123" spans="2:13">
      <c r="B123" t="s">
        <v>171</v>
      </c>
      <c r="C123" t="s">
        <v>810</v>
      </c>
      <c r="D123" t="s">
        <v>811</v>
      </c>
      <c r="E123" t="s">
        <v>10</v>
      </c>
      <c r="F123" t="s">
        <v>21</v>
      </c>
      <c r="G123" t="s">
        <v>174</v>
      </c>
      <c r="H123" t="s">
        <v>175</v>
      </c>
      <c r="J123" t="s">
        <v>810</v>
      </c>
      <c r="K123" t="s">
        <v>926</v>
      </c>
      <c r="L123">
        <v>60.159375226019094</v>
      </c>
      <c r="M123">
        <v>0.31828955609396792</v>
      </c>
    </row>
    <row r="124" spans="2:13">
      <c r="B124" t="s">
        <v>171</v>
      </c>
      <c r="C124" t="s">
        <v>812</v>
      </c>
      <c r="D124" t="s">
        <v>813</v>
      </c>
      <c r="E124" t="s">
        <v>10</v>
      </c>
      <c r="F124" t="s">
        <v>21</v>
      </c>
      <c r="G124" t="s">
        <v>174</v>
      </c>
      <c r="H124" t="s">
        <v>175</v>
      </c>
      <c r="J124" t="s">
        <v>812</v>
      </c>
      <c r="K124" t="s">
        <v>927</v>
      </c>
      <c r="L124">
        <v>119.24456914853579</v>
      </c>
      <c r="M124">
        <v>0.24582986442000679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1D5E5-D87E-4589-8A5E-B2F600205637}">
  <dimension ref="B9:P73"/>
  <sheetViews>
    <sheetView tabSelected="1" workbookViewId="0"/>
  </sheetViews>
  <sheetFormatPr defaultRowHeight="14.25"/>
  <sheetData>
    <row r="9" spans="2:16">
      <c r="B9" t="s">
        <v>446</v>
      </c>
      <c r="J9" t="s">
        <v>163</v>
      </c>
    </row>
    <row r="10" spans="2:16">
      <c r="B10" t="s">
        <v>165</v>
      </c>
      <c r="C10" t="s">
        <v>1030</v>
      </c>
      <c r="D10" t="s">
        <v>447</v>
      </c>
      <c r="E10">
        <v>2023</v>
      </c>
      <c r="F10">
        <v>2030</v>
      </c>
      <c r="G10">
        <v>2050</v>
      </c>
      <c r="H10" t="s">
        <v>54</v>
      </c>
      <c r="J10" t="s">
        <v>164</v>
      </c>
      <c r="K10" t="s">
        <v>165</v>
      </c>
      <c r="L10" t="s">
        <v>166</v>
      </c>
      <c r="M10" t="s">
        <v>167</v>
      </c>
      <c r="N10" t="s">
        <v>168</v>
      </c>
      <c r="O10" t="s">
        <v>169</v>
      </c>
      <c r="P10" t="s">
        <v>170</v>
      </c>
    </row>
    <row r="11" spans="2:16">
      <c r="B11" t="s">
        <v>1031</v>
      </c>
      <c r="C11" t="s">
        <v>31</v>
      </c>
      <c r="D11" t="s">
        <v>19</v>
      </c>
      <c r="E11">
        <v>0.30000000000000004</v>
      </c>
      <c r="F11">
        <v>0.30000000000000004</v>
      </c>
      <c r="G11">
        <v>0.30000000000000004</v>
      </c>
      <c r="H11" t="s">
        <v>146</v>
      </c>
      <c r="J11" t="s">
        <v>171</v>
      </c>
      <c r="K11" t="s">
        <v>1031</v>
      </c>
      <c r="M11" t="s">
        <v>10</v>
      </c>
      <c r="N11" t="s">
        <v>21</v>
      </c>
      <c r="O11" t="s">
        <v>1053</v>
      </c>
      <c r="P11" t="s">
        <v>1054</v>
      </c>
    </row>
    <row r="12" spans="2:16">
      <c r="B12" t="s">
        <v>1031</v>
      </c>
      <c r="C12" t="s">
        <v>31</v>
      </c>
      <c r="D12" t="s">
        <v>19</v>
      </c>
      <c r="E12">
        <v>0.70000000000000007</v>
      </c>
      <c r="F12">
        <v>0.70000000000000007</v>
      </c>
      <c r="G12">
        <v>0.70000000000000007</v>
      </c>
      <c r="H12" t="s">
        <v>1032</v>
      </c>
      <c r="J12" t="s">
        <v>171</v>
      </c>
      <c r="K12" t="s">
        <v>1036</v>
      </c>
      <c r="M12" t="s">
        <v>10</v>
      </c>
      <c r="N12" t="s">
        <v>21</v>
      </c>
      <c r="O12" t="s">
        <v>1053</v>
      </c>
      <c r="P12" t="s">
        <v>1054</v>
      </c>
    </row>
    <row r="13" spans="2:16">
      <c r="B13" t="s">
        <v>1031</v>
      </c>
      <c r="C13" t="s">
        <v>31</v>
      </c>
      <c r="D13" t="s">
        <v>19</v>
      </c>
      <c r="E13">
        <v>4150</v>
      </c>
      <c r="F13">
        <v>4100</v>
      </c>
      <c r="G13">
        <v>3650</v>
      </c>
      <c r="H13" t="s">
        <v>1033</v>
      </c>
      <c r="J13" t="s">
        <v>171</v>
      </c>
      <c r="K13" t="s">
        <v>1037</v>
      </c>
      <c r="M13" t="s">
        <v>10</v>
      </c>
      <c r="N13" t="s">
        <v>21</v>
      </c>
      <c r="O13" t="s">
        <v>1053</v>
      </c>
      <c r="P13" t="s">
        <v>1054</v>
      </c>
    </row>
    <row r="14" spans="2:16">
      <c r="B14" t="s">
        <v>1031</v>
      </c>
      <c r="C14" t="s">
        <v>31</v>
      </c>
      <c r="D14" t="s">
        <v>19</v>
      </c>
      <c r="E14">
        <v>145</v>
      </c>
      <c r="F14">
        <v>145</v>
      </c>
      <c r="G14">
        <v>130</v>
      </c>
      <c r="H14" t="s">
        <v>1034</v>
      </c>
      <c r="J14" t="s">
        <v>171</v>
      </c>
      <c r="K14" t="s">
        <v>1038</v>
      </c>
      <c r="M14" t="s">
        <v>10</v>
      </c>
      <c r="N14" t="s">
        <v>21</v>
      </c>
      <c r="O14" t="s">
        <v>1053</v>
      </c>
      <c r="P14" t="s">
        <v>1054</v>
      </c>
    </row>
    <row r="15" spans="2:16">
      <c r="B15" t="s">
        <v>1031</v>
      </c>
      <c r="C15" t="s">
        <v>31</v>
      </c>
      <c r="D15" t="s">
        <v>19</v>
      </c>
      <c r="E15">
        <v>3</v>
      </c>
      <c r="F15">
        <v>3</v>
      </c>
      <c r="G15">
        <v>3</v>
      </c>
      <c r="H15" t="s">
        <v>1035</v>
      </c>
      <c r="J15" t="s">
        <v>171</v>
      </c>
      <c r="K15" t="s">
        <v>1039</v>
      </c>
      <c r="M15" t="s">
        <v>10</v>
      </c>
      <c r="N15" t="s">
        <v>21</v>
      </c>
      <c r="O15" t="s">
        <v>1053</v>
      </c>
      <c r="P15" t="s">
        <v>1054</v>
      </c>
    </row>
    <row r="16" spans="2:16">
      <c r="B16" t="s">
        <v>1036</v>
      </c>
      <c r="C16" t="s">
        <v>31</v>
      </c>
      <c r="D16" t="s">
        <v>19</v>
      </c>
      <c r="E16">
        <v>0.35000000000000003</v>
      </c>
      <c r="F16">
        <v>0.35000000000000003</v>
      </c>
      <c r="G16">
        <v>0.35000000000000003</v>
      </c>
      <c r="H16" t="s">
        <v>146</v>
      </c>
      <c r="J16" t="s">
        <v>171</v>
      </c>
      <c r="K16" t="s">
        <v>1040</v>
      </c>
      <c r="M16" t="s">
        <v>10</v>
      </c>
      <c r="N16" t="s">
        <v>21</v>
      </c>
      <c r="O16" t="s">
        <v>1053</v>
      </c>
      <c r="P16" t="s">
        <v>1054</v>
      </c>
    </row>
    <row r="17" spans="2:16">
      <c r="B17" t="s">
        <v>1036</v>
      </c>
      <c r="C17" t="s">
        <v>31</v>
      </c>
      <c r="D17" t="s">
        <v>19</v>
      </c>
      <c r="E17">
        <v>0.70000000000000007</v>
      </c>
      <c r="F17">
        <v>0.70000000000000007</v>
      </c>
      <c r="G17">
        <v>0.70000000000000007</v>
      </c>
      <c r="H17" t="s">
        <v>1032</v>
      </c>
      <c r="J17" t="s">
        <v>171</v>
      </c>
      <c r="K17" t="s">
        <v>1041</v>
      </c>
      <c r="M17" t="s">
        <v>10</v>
      </c>
      <c r="N17" t="s">
        <v>21</v>
      </c>
      <c r="O17" t="s">
        <v>1053</v>
      </c>
      <c r="P17" t="s">
        <v>1054</v>
      </c>
    </row>
    <row r="18" spans="2:16">
      <c r="B18" t="s">
        <v>1036</v>
      </c>
      <c r="C18" t="s">
        <v>31</v>
      </c>
      <c r="D18" t="s">
        <v>19</v>
      </c>
      <c r="E18">
        <v>1600</v>
      </c>
      <c r="F18">
        <v>1550</v>
      </c>
      <c r="G18">
        <v>1500</v>
      </c>
      <c r="H18" t="s">
        <v>1033</v>
      </c>
      <c r="J18" t="s">
        <v>171</v>
      </c>
      <c r="K18" t="s">
        <v>1042</v>
      </c>
      <c r="M18" t="s">
        <v>10</v>
      </c>
      <c r="N18" t="s">
        <v>21</v>
      </c>
      <c r="O18" t="s">
        <v>1053</v>
      </c>
      <c r="P18" t="s">
        <v>1054</v>
      </c>
    </row>
    <row r="19" spans="2:16">
      <c r="B19" t="s">
        <v>1036</v>
      </c>
      <c r="C19" t="s">
        <v>31</v>
      </c>
      <c r="D19" t="s">
        <v>19</v>
      </c>
      <c r="E19">
        <v>55</v>
      </c>
      <c r="F19">
        <v>55</v>
      </c>
      <c r="G19">
        <v>55</v>
      </c>
      <c r="H19" t="s">
        <v>1034</v>
      </c>
      <c r="J19" t="s">
        <v>171</v>
      </c>
      <c r="K19" t="s">
        <v>1043</v>
      </c>
      <c r="M19" t="s">
        <v>10</v>
      </c>
      <c r="N19" t="s">
        <v>21</v>
      </c>
      <c r="O19" t="s">
        <v>1053</v>
      </c>
      <c r="P19" t="s">
        <v>1054</v>
      </c>
    </row>
    <row r="20" spans="2:16">
      <c r="B20" t="s">
        <v>1036</v>
      </c>
      <c r="C20" t="s">
        <v>31</v>
      </c>
      <c r="D20" t="s">
        <v>19</v>
      </c>
      <c r="E20">
        <v>3</v>
      </c>
      <c r="F20">
        <v>3</v>
      </c>
      <c r="G20">
        <v>3</v>
      </c>
      <c r="H20" t="s">
        <v>1035</v>
      </c>
      <c r="J20" t="s">
        <v>171</v>
      </c>
      <c r="K20" t="s">
        <v>1044</v>
      </c>
      <c r="M20" t="s">
        <v>10</v>
      </c>
      <c r="N20" t="s">
        <v>21</v>
      </c>
      <c r="O20" t="s">
        <v>1053</v>
      </c>
      <c r="P20" t="s">
        <v>1054</v>
      </c>
    </row>
    <row r="21" spans="2:16">
      <c r="B21" t="s">
        <v>1037</v>
      </c>
      <c r="C21" t="s">
        <v>33</v>
      </c>
      <c r="D21" t="s">
        <v>19</v>
      </c>
      <c r="E21">
        <v>0.57000000000000006</v>
      </c>
      <c r="F21">
        <v>0.57999999999999996</v>
      </c>
      <c r="G21">
        <v>0.59</v>
      </c>
      <c r="H21" t="s">
        <v>146</v>
      </c>
      <c r="J21" t="s">
        <v>171</v>
      </c>
      <c r="K21" t="s">
        <v>1045</v>
      </c>
      <c r="M21" t="s">
        <v>10</v>
      </c>
      <c r="N21" t="s">
        <v>21</v>
      </c>
      <c r="O21" t="s">
        <v>1053</v>
      </c>
      <c r="P21" t="s">
        <v>1054</v>
      </c>
    </row>
    <row r="22" spans="2:16">
      <c r="B22" t="s">
        <v>1037</v>
      </c>
      <c r="C22" t="s">
        <v>33</v>
      </c>
      <c r="D22" t="s">
        <v>19</v>
      </c>
      <c r="E22">
        <v>560</v>
      </c>
      <c r="F22">
        <v>560</v>
      </c>
      <c r="G22">
        <v>560</v>
      </c>
      <c r="H22" t="s">
        <v>1033</v>
      </c>
      <c r="J22" t="s">
        <v>171</v>
      </c>
      <c r="K22" t="s">
        <v>1046</v>
      </c>
      <c r="M22" t="s">
        <v>10</v>
      </c>
      <c r="N22" t="s">
        <v>21</v>
      </c>
      <c r="O22" t="s">
        <v>1053</v>
      </c>
      <c r="P22" t="s">
        <v>1054</v>
      </c>
    </row>
    <row r="23" spans="2:16">
      <c r="B23" t="s">
        <v>1037</v>
      </c>
      <c r="C23" t="s">
        <v>33</v>
      </c>
      <c r="D23" t="s">
        <v>19</v>
      </c>
      <c r="E23">
        <v>20</v>
      </c>
      <c r="F23">
        <v>20</v>
      </c>
      <c r="G23">
        <v>20</v>
      </c>
      <c r="H23" t="s">
        <v>1034</v>
      </c>
      <c r="J23" t="s">
        <v>171</v>
      </c>
      <c r="K23" t="s">
        <v>1047</v>
      </c>
      <c r="M23" t="s">
        <v>10</v>
      </c>
      <c r="N23" t="s">
        <v>21</v>
      </c>
      <c r="O23" t="s">
        <v>1053</v>
      </c>
      <c r="P23" t="s">
        <v>1054</v>
      </c>
    </row>
    <row r="24" spans="2:16">
      <c r="B24" t="s">
        <v>1038</v>
      </c>
      <c r="C24" t="s">
        <v>33</v>
      </c>
      <c r="D24" t="s">
        <v>19</v>
      </c>
      <c r="E24">
        <v>0.49</v>
      </c>
      <c r="F24">
        <v>0.5</v>
      </c>
      <c r="G24">
        <v>0.52</v>
      </c>
      <c r="H24" t="s">
        <v>146</v>
      </c>
      <c r="J24" t="s">
        <v>171</v>
      </c>
      <c r="K24" t="s">
        <v>1048</v>
      </c>
      <c r="M24" t="s">
        <v>10</v>
      </c>
      <c r="N24" t="s">
        <v>21</v>
      </c>
      <c r="O24" t="s">
        <v>1053</v>
      </c>
      <c r="P24" t="s">
        <v>1054</v>
      </c>
    </row>
    <row r="25" spans="2:16">
      <c r="B25" t="s">
        <v>1038</v>
      </c>
      <c r="C25" t="s">
        <v>33</v>
      </c>
      <c r="D25" t="s">
        <v>19</v>
      </c>
      <c r="E25">
        <v>2200</v>
      </c>
      <c r="F25">
        <v>2200</v>
      </c>
      <c r="G25">
        <v>1600</v>
      </c>
      <c r="H25" t="s">
        <v>1033</v>
      </c>
      <c r="J25" t="s">
        <v>171</v>
      </c>
      <c r="K25" t="s">
        <v>1049</v>
      </c>
      <c r="M25" t="s">
        <v>10</v>
      </c>
      <c r="N25" t="s">
        <v>21</v>
      </c>
      <c r="O25" t="s">
        <v>1053</v>
      </c>
      <c r="P25" t="s">
        <v>1054</v>
      </c>
    </row>
    <row r="26" spans="2:16">
      <c r="B26" t="s">
        <v>1038</v>
      </c>
      <c r="C26" t="s">
        <v>33</v>
      </c>
      <c r="D26" t="s">
        <v>19</v>
      </c>
      <c r="E26">
        <v>70</v>
      </c>
      <c r="F26">
        <v>70</v>
      </c>
      <c r="G26">
        <v>50</v>
      </c>
      <c r="H26" t="s">
        <v>1034</v>
      </c>
      <c r="J26" t="s">
        <v>171</v>
      </c>
      <c r="K26" t="s">
        <v>1050</v>
      </c>
      <c r="M26" t="s">
        <v>10</v>
      </c>
      <c r="N26" t="s">
        <v>21</v>
      </c>
      <c r="O26" t="s">
        <v>1053</v>
      </c>
      <c r="P26" t="s">
        <v>1054</v>
      </c>
    </row>
    <row r="27" spans="2:16">
      <c r="B27" t="s">
        <v>1039</v>
      </c>
      <c r="C27" t="s">
        <v>32</v>
      </c>
      <c r="D27" t="s">
        <v>19</v>
      </c>
      <c r="E27">
        <v>0.36</v>
      </c>
      <c r="F27">
        <v>0.37</v>
      </c>
      <c r="G27">
        <v>0.39</v>
      </c>
      <c r="H27" t="s">
        <v>146</v>
      </c>
      <c r="J27" t="s">
        <v>171</v>
      </c>
      <c r="K27" t="s">
        <v>1052</v>
      </c>
      <c r="M27" t="s">
        <v>10</v>
      </c>
      <c r="N27" t="s">
        <v>21</v>
      </c>
      <c r="O27" t="s">
        <v>1053</v>
      </c>
      <c r="P27" t="s">
        <v>1054</v>
      </c>
    </row>
    <row r="28" spans="2:16">
      <c r="B28" t="s">
        <v>1039</v>
      </c>
      <c r="C28" t="s">
        <v>32</v>
      </c>
      <c r="D28" t="s">
        <v>19</v>
      </c>
      <c r="E28">
        <v>3400</v>
      </c>
      <c r="F28">
        <v>3400</v>
      </c>
      <c r="G28">
        <v>2400</v>
      </c>
      <c r="H28" t="s">
        <v>1033</v>
      </c>
    </row>
    <row r="29" spans="2:16">
      <c r="B29" t="s">
        <v>1039</v>
      </c>
      <c r="C29" t="s">
        <v>32</v>
      </c>
      <c r="D29" t="s">
        <v>19</v>
      </c>
      <c r="E29">
        <v>135</v>
      </c>
      <c r="F29">
        <v>135</v>
      </c>
      <c r="G29">
        <v>95</v>
      </c>
      <c r="H29" t="s">
        <v>1034</v>
      </c>
    </row>
    <row r="30" spans="2:16">
      <c r="B30" t="s">
        <v>1040</v>
      </c>
      <c r="C30" t="s">
        <v>33</v>
      </c>
      <c r="D30" t="s">
        <v>19</v>
      </c>
      <c r="E30">
        <v>0.38</v>
      </c>
      <c r="F30">
        <v>0.39</v>
      </c>
      <c r="G30">
        <v>0.41000000000000003</v>
      </c>
      <c r="H30" t="s">
        <v>146</v>
      </c>
    </row>
    <row r="31" spans="2:16">
      <c r="B31" t="s">
        <v>1040</v>
      </c>
      <c r="C31" t="s">
        <v>33</v>
      </c>
      <c r="D31" t="s">
        <v>19</v>
      </c>
      <c r="E31">
        <v>350</v>
      </c>
      <c r="F31">
        <v>350</v>
      </c>
      <c r="G31">
        <v>350</v>
      </c>
      <c r="H31" t="s">
        <v>1033</v>
      </c>
    </row>
    <row r="32" spans="2:16">
      <c r="B32" t="s">
        <v>1040</v>
      </c>
      <c r="C32" t="s">
        <v>33</v>
      </c>
      <c r="D32" t="s">
        <v>19</v>
      </c>
      <c r="E32">
        <v>20</v>
      </c>
      <c r="F32">
        <v>20</v>
      </c>
      <c r="G32">
        <v>20</v>
      </c>
      <c r="H32" t="s">
        <v>1034</v>
      </c>
    </row>
    <row r="33" spans="2:8">
      <c r="B33" t="s">
        <v>1041</v>
      </c>
      <c r="C33" t="s">
        <v>28</v>
      </c>
      <c r="D33" t="s">
        <v>19</v>
      </c>
      <c r="E33">
        <v>1</v>
      </c>
      <c r="F33">
        <v>1</v>
      </c>
      <c r="G33">
        <v>1</v>
      </c>
      <c r="H33" t="s">
        <v>146</v>
      </c>
    </row>
    <row r="34" spans="2:8">
      <c r="B34" t="s">
        <v>1041</v>
      </c>
      <c r="C34" t="s">
        <v>28</v>
      </c>
      <c r="D34" t="s">
        <v>19</v>
      </c>
      <c r="E34">
        <v>0.35000000000000003</v>
      </c>
      <c r="F34">
        <v>0.35000000000000003</v>
      </c>
      <c r="G34">
        <v>0.35000000000000003</v>
      </c>
      <c r="H34" t="s">
        <v>1032</v>
      </c>
    </row>
    <row r="35" spans="2:8">
      <c r="B35" t="s">
        <v>1041</v>
      </c>
      <c r="C35" t="s">
        <v>28</v>
      </c>
      <c r="D35" t="s">
        <v>19</v>
      </c>
      <c r="E35">
        <v>1600</v>
      </c>
      <c r="F35">
        <v>1600</v>
      </c>
      <c r="G35">
        <v>1600</v>
      </c>
      <c r="H35" t="s">
        <v>1033</v>
      </c>
    </row>
    <row r="36" spans="2:8">
      <c r="B36" t="s">
        <v>1041</v>
      </c>
      <c r="C36" t="s">
        <v>28</v>
      </c>
      <c r="D36" t="s">
        <v>19</v>
      </c>
      <c r="E36">
        <v>40</v>
      </c>
      <c r="F36">
        <v>40</v>
      </c>
      <c r="G36">
        <v>40</v>
      </c>
      <c r="H36" t="s">
        <v>1034</v>
      </c>
    </row>
    <row r="37" spans="2:8">
      <c r="B37" t="s">
        <v>1041</v>
      </c>
      <c r="C37" t="s">
        <v>28</v>
      </c>
      <c r="D37" t="s">
        <v>19</v>
      </c>
      <c r="E37">
        <v>4</v>
      </c>
      <c r="F37">
        <v>4</v>
      </c>
      <c r="G37">
        <v>4</v>
      </c>
      <c r="H37" t="s">
        <v>1035</v>
      </c>
    </row>
    <row r="38" spans="2:8">
      <c r="B38" t="s">
        <v>1042</v>
      </c>
      <c r="C38" t="s">
        <v>33</v>
      </c>
      <c r="D38" t="s">
        <v>19</v>
      </c>
      <c r="E38">
        <v>0.44</v>
      </c>
      <c r="F38">
        <v>0.46</v>
      </c>
      <c r="G38">
        <v>0.49</v>
      </c>
      <c r="H38" t="s">
        <v>146</v>
      </c>
    </row>
    <row r="39" spans="2:8">
      <c r="B39" t="s">
        <v>1042</v>
      </c>
      <c r="C39" t="s">
        <v>33</v>
      </c>
      <c r="D39" t="s">
        <v>19</v>
      </c>
      <c r="E39">
        <v>1100</v>
      </c>
      <c r="F39">
        <v>1000</v>
      </c>
      <c r="G39">
        <v>900</v>
      </c>
      <c r="H39" t="s">
        <v>1033</v>
      </c>
    </row>
    <row r="40" spans="2:8">
      <c r="B40" t="s">
        <v>1042</v>
      </c>
      <c r="C40" t="s">
        <v>33</v>
      </c>
      <c r="D40" t="s">
        <v>19</v>
      </c>
      <c r="E40">
        <v>50</v>
      </c>
      <c r="F40">
        <v>45</v>
      </c>
      <c r="G40">
        <v>40</v>
      </c>
      <c r="H40" t="s">
        <v>1034</v>
      </c>
    </row>
    <row r="41" spans="2:8">
      <c r="B41" t="s">
        <v>1043</v>
      </c>
      <c r="C41" t="s">
        <v>32</v>
      </c>
      <c r="D41" t="s">
        <v>19</v>
      </c>
      <c r="E41">
        <v>0.35000000000000003</v>
      </c>
      <c r="F41">
        <v>0.37</v>
      </c>
      <c r="G41">
        <v>0.42</v>
      </c>
      <c r="H41" t="s">
        <v>146</v>
      </c>
    </row>
    <row r="42" spans="2:8">
      <c r="B42" t="s">
        <v>1043</v>
      </c>
      <c r="C42" t="s">
        <v>32</v>
      </c>
      <c r="D42" t="s">
        <v>19</v>
      </c>
      <c r="E42">
        <v>3650</v>
      </c>
      <c r="F42">
        <v>3550</v>
      </c>
      <c r="G42">
        <v>3000</v>
      </c>
      <c r="H42" t="s">
        <v>1033</v>
      </c>
    </row>
    <row r="43" spans="2:8">
      <c r="B43" t="s">
        <v>1043</v>
      </c>
      <c r="C43" t="s">
        <v>32</v>
      </c>
      <c r="D43" t="s">
        <v>19</v>
      </c>
      <c r="E43">
        <v>165</v>
      </c>
      <c r="F43">
        <v>160</v>
      </c>
      <c r="G43">
        <v>135</v>
      </c>
      <c r="H43" t="s">
        <v>1034</v>
      </c>
    </row>
    <row r="44" spans="2:8">
      <c r="B44" t="s">
        <v>1044</v>
      </c>
      <c r="C44" t="s">
        <v>36</v>
      </c>
      <c r="D44" t="s">
        <v>19</v>
      </c>
      <c r="E44">
        <v>0.33</v>
      </c>
      <c r="F44">
        <v>0.33</v>
      </c>
      <c r="G44">
        <v>0.33</v>
      </c>
      <c r="H44" t="s">
        <v>146</v>
      </c>
    </row>
    <row r="45" spans="2:8">
      <c r="B45" t="s">
        <v>1044</v>
      </c>
      <c r="C45" t="s">
        <v>36</v>
      </c>
      <c r="D45" t="s">
        <v>19</v>
      </c>
      <c r="E45">
        <v>2800</v>
      </c>
      <c r="F45">
        <v>2800</v>
      </c>
      <c r="G45">
        <v>2500</v>
      </c>
      <c r="H45" t="s">
        <v>1033</v>
      </c>
    </row>
    <row r="46" spans="2:8">
      <c r="B46" t="s">
        <v>1044</v>
      </c>
      <c r="C46" t="s">
        <v>36</v>
      </c>
      <c r="D46" t="s">
        <v>19</v>
      </c>
      <c r="E46">
        <v>170</v>
      </c>
      <c r="F46">
        <v>170</v>
      </c>
      <c r="G46">
        <v>170</v>
      </c>
      <c r="H46" t="s">
        <v>1034</v>
      </c>
    </row>
    <row r="47" spans="2:8">
      <c r="B47" t="s">
        <v>1045</v>
      </c>
      <c r="C47" t="s">
        <v>32</v>
      </c>
      <c r="D47" t="s">
        <v>19</v>
      </c>
      <c r="E47">
        <v>0.36</v>
      </c>
      <c r="F47">
        <v>0.37</v>
      </c>
      <c r="G47">
        <v>0.39</v>
      </c>
      <c r="H47" t="s">
        <v>146</v>
      </c>
    </row>
    <row r="48" spans="2:8">
      <c r="B48" t="s">
        <v>1045</v>
      </c>
      <c r="C48" t="s">
        <v>32</v>
      </c>
      <c r="D48" t="s">
        <v>19</v>
      </c>
      <c r="E48">
        <v>3500</v>
      </c>
      <c r="F48">
        <v>3500</v>
      </c>
      <c r="G48">
        <v>3000</v>
      </c>
      <c r="H48" t="s">
        <v>1033</v>
      </c>
    </row>
    <row r="49" spans="2:8">
      <c r="B49" t="s">
        <v>1045</v>
      </c>
      <c r="C49" t="s">
        <v>32</v>
      </c>
      <c r="D49" t="s">
        <v>19</v>
      </c>
      <c r="E49">
        <v>140</v>
      </c>
      <c r="F49">
        <v>140</v>
      </c>
      <c r="G49">
        <v>120</v>
      </c>
      <c r="H49" t="s">
        <v>1034</v>
      </c>
    </row>
    <row r="50" spans="2:8">
      <c r="B50" t="s">
        <v>1046</v>
      </c>
      <c r="C50" t="s">
        <v>27</v>
      </c>
      <c r="D50" t="s">
        <v>19</v>
      </c>
      <c r="E50">
        <v>1</v>
      </c>
      <c r="F50">
        <v>1</v>
      </c>
      <c r="G50">
        <v>1</v>
      </c>
      <c r="H50" t="s">
        <v>146</v>
      </c>
    </row>
    <row r="51" spans="2:8">
      <c r="B51" t="s">
        <v>1046</v>
      </c>
      <c r="C51" t="s">
        <v>27</v>
      </c>
      <c r="D51" t="s">
        <v>19</v>
      </c>
      <c r="E51">
        <v>0.13</v>
      </c>
      <c r="F51">
        <v>0.13</v>
      </c>
      <c r="G51">
        <v>0.13</v>
      </c>
      <c r="H51" t="s">
        <v>1032</v>
      </c>
    </row>
    <row r="52" spans="2:8">
      <c r="B52" t="s">
        <v>1046</v>
      </c>
      <c r="C52" t="s">
        <v>27</v>
      </c>
      <c r="D52" t="s">
        <v>19</v>
      </c>
      <c r="E52">
        <v>670</v>
      </c>
      <c r="F52">
        <v>410</v>
      </c>
      <c r="G52">
        <v>280</v>
      </c>
      <c r="H52" t="s">
        <v>1033</v>
      </c>
    </row>
    <row r="53" spans="2:8">
      <c r="B53" t="s">
        <v>1046</v>
      </c>
      <c r="C53" t="s">
        <v>27</v>
      </c>
      <c r="D53" t="s">
        <v>19</v>
      </c>
      <c r="E53">
        <v>12</v>
      </c>
      <c r="F53">
        <v>10</v>
      </c>
      <c r="G53">
        <v>10</v>
      </c>
      <c r="H53" t="s">
        <v>1034</v>
      </c>
    </row>
    <row r="54" spans="2:8">
      <c r="B54" t="s">
        <v>1046</v>
      </c>
      <c r="C54" t="s">
        <v>27</v>
      </c>
      <c r="D54" t="s">
        <v>19</v>
      </c>
      <c r="E54">
        <v>1.5</v>
      </c>
      <c r="F54">
        <v>1.5</v>
      </c>
      <c r="G54">
        <v>1.5</v>
      </c>
      <c r="H54" t="s">
        <v>1035</v>
      </c>
    </row>
    <row r="55" spans="2:8">
      <c r="B55" t="s">
        <v>1047</v>
      </c>
      <c r="C55" t="s">
        <v>32</v>
      </c>
      <c r="D55" t="s">
        <v>19</v>
      </c>
      <c r="E55">
        <v>0.37</v>
      </c>
      <c r="F55">
        <v>0.37</v>
      </c>
      <c r="G55">
        <v>0.37</v>
      </c>
      <c r="H55" t="s">
        <v>146</v>
      </c>
    </row>
    <row r="56" spans="2:8">
      <c r="B56" t="s">
        <v>1047</v>
      </c>
      <c r="C56" t="s">
        <v>32</v>
      </c>
      <c r="D56" t="s">
        <v>19</v>
      </c>
      <c r="E56">
        <v>600</v>
      </c>
      <c r="F56">
        <v>600</v>
      </c>
      <c r="G56">
        <v>600</v>
      </c>
      <c r="H56" t="s">
        <v>1033</v>
      </c>
    </row>
    <row r="57" spans="2:8">
      <c r="B57" t="s">
        <v>1047</v>
      </c>
      <c r="C57" t="s">
        <v>32</v>
      </c>
      <c r="D57" t="s">
        <v>19</v>
      </c>
      <c r="E57">
        <v>20</v>
      </c>
      <c r="F57">
        <v>20</v>
      </c>
      <c r="G57">
        <v>20</v>
      </c>
      <c r="H57" t="s">
        <v>1034</v>
      </c>
    </row>
    <row r="58" spans="2:8">
      <c r="B58" t="s">
        <v>1048</v>
      </c>
      <c r="C58" t="s">
        <v>32</v>
      </c>
      <c r="D58" t="s">
        <v>19</v>
      </c>
      <c r="E58">
        <v>0.41000000000000003</v>
      </c>
      <c r="F58">
        <v>0.41000000000000003</v>
      </c>
      <c r="G58">
        <v>0.41000000000000003</v>
      </c>
      <c r="H58" t="s">
        <v>146</v>
      </c>
    </row>
    <row r="59" spans="2:8">
      <c r="B59" t="s">
        <v>1048</v>
      </c>
      <c r="C59" t="s">
        <v>32</v>
      </c>
      <c r="D59" t="s">
        <v>19</v>
      </c>
      <c r="E59">
        <v>700</v>
      </c>
      <c r="F59">
        <v>700</v>
      </c>
      <c r="G59">
        <v>700</v>
      </c>
      <c r="H59" t="s">
        <v>1033</v>
      </c>
    </row>
    <row r="60" spans="2:8">
      <c r="B60" t="s">
        <v>1048</v>
      </c>
      <c r="C60" t="s">
        <v>32</v>
      </c>
      <c r="D60" t="s">
        <v>19</v>
      </c>
      <c r="E60">
        <v>30</v>
      </c>
      <c r="F60">
        <v>30</v>
      </c>
      <c r="G60">
        <v>30</v>
      </c>
      <c r="H60" t="s">
        <v>1034</v>
      </c>
    </row>
    <row r="61" spans="2:8">
      <c r="B61" t="s">
        <v>1049</v>
      </c>
      <c r="C61" t="s">
        <v>32</v>
      </c>
      <c r="D61" t="s">
        <v>19</v>
      </c>
      <c r="E61">
        <v>0.45</v>
      </c>
      <c r="F61">
        <v>0.46</v>
      </c>
      <c r="G61">
        <v>0.47000000000000003</v>
      </c>
      <c r="H61" t="s">
        <v>146</v>
      </c>
    </row>
    <row r="62" spans="2:8">
      <c r="B62" t="s">
        <v>1049</v>
      </c>
      <c r="C62" t="s">
        <v>32</v>
      </c>
      <c r="D62" t="s">
        <v>19</v>
      </c>
      <c r="E62">
        <v>800</v>
      </c>
      <c r="F62">
        <v>800</v>
      </c>
      <c r="G62">
        <v>800</v>
      </c>
      <c r="H62" t="s">
        <v>1033</v>
      </c>
    </row>
    <row r="63" spans="2:8">
      <c r="B63" t="s">
        <v>1049</v>
      </c>
      <c r="C63" t="s">
        <v>32</v>
      </c>
      <c r="D63" t="s">
        <v>19</v>
      </c>
      <c r="E63">
        <v>30</v>
      </c>
      <c r="F63">
        <v>30</v>
      </c>
      <c r="G63">
        <v>30</v>
      </c>
      <c r="H63" t="s">
        <v>1034</v>
      </c>
    </row>
    <row r="64" spans="2:8">
      <c r="B64" t="s">
        <v>1050</v>
      </c>
      <c r="C64" t="s">
        <v>1051</v>
      </c>
      <c r="D64" t="s">
        <v>19</v>
      </c>
      <c r="E64">
        <v>1</v>
      </c>
      <c r="F64">
        <v>1</v>
      </c>
      <c r="G64">
        <v>1</v>
      </c>
      <c r="H64" t="s">
        <v>146</v>
      </c>
    </row>
    <row r="65" spans="2:8">
      <c r="B65" t="s">
        <v>1050</v>
      </c>
      <c r="C65" t="s">
        <v>1051</v>
      </c>
      <c r="D65" t="s">
        <v>19</v>
      </c>
      <c r="E65">
        <v>0.32</v>
      </c>
      <c r="F65">
        <v>0.37</v>
      </c>
      <c r="G65">
        <v>0.4</v>
      </c>
      <c r="H65" t="s">
        <v>1032</v>
      </c>
    </row>
    <row r="66" spans="2:8">
      <c r="B66" t="s">
        <v>1050</v>
      </c>
      <c r="C66" t="s">
        <v>1051</v>
      </c>
      <c r="D66" t="s">
        <v>19</v>
      </c>
      <c r="E66">
        <v>2380</v>
      </c>
      <c r="F66">
        <v>1720</v>
      </c>
      <c r="G66">
        <v>1260</v>
      </c>
      <c r="H66" t="s">
        <v>1033</v>
      </c>
    </row>
    <row r="67" spans="2:8">
      <c r="B67" t="s">
        <v>1050</v>
      </c>
      <c r="C67" t="s">
        <v>1051</v>
      </c>
      <c r="D67" t="s">
        <v>19</v>
      </c>
      <c r="E67">
        <v>60</v>
      </c>
      <c r="F67">
        <v>45</v>
      </c>
      <c r="G67">
        <v>35</v>
      </c>
      <c r="H67" t="s">
        <v>1034</v>
      </c>
    </row>
    <row r="68" spans="2:8">
      <c r="B68" t="s">
        <v>1050</v>
      </c>
      <c r="C68" t="s">
        <v>1051</v>
      </c>
      <c r="D68" t="s">
        <v>19</v>
      </c>
      <c r="E68">
        <v>3</v>
      </c>
      <c r="F68">
        <v>3</v>
      </c>
      <c r="G68">
        <v>3</v>
      </c>
      <c r="H68" t="s">
        <v>1035</v>
      </c>
    </row>
    <row r="69" spans="2:8">
      <c r="B69" t="s">
        <v>1052</v>
      </c>
      <c r="C69" t="s">
        <v>1051</v>
      </c>
      <c r="D69" t="s">
        <v>19</v>
      </c>
      <c r="E69">
        <v>1</v>
      </c>
      <c r="F69">
        <v>1</v>
      </c>
      <c r="G69">
        <v>1</v>
      </c>
      <c r="H69" t="s">
        <v>146</v>
      </c>
    </row>
    <row r="70" spans="2:8">
      <c r="B70" t="s">
        <v>1052</v>
      </c>
      <c r="C70" t="s">
        <v>1051</v>
      </c>
      <c r="D70" t="s">
        <v>19</v>
      </c>
      <c r="E70">
        <v>0.24</v>
      </c>
      <c r="F70">
        <v>0.25</v>
      </c>
      <c r="G70">
        <v>0.26</v>
      </c>
      <c r="H70" t="s">
        <v>1032</v>
      </c>
    </row>
    <row r="71" spans="2:8">
      <c r="B71" t="s">
        <v>1052</v>
      </c>
      <c r="C71" t="s">
        <v>1051</v>
      </c>
      <c r="D71" t="s">
        <v>19</v>
      </c>
      <c r="E71">
        <v>990</v>
      </c>
      <c r="F71">
        <v>940</v>
      </c>
      <c r="G71">
        <v>900</v>
      </c>
      <c r="H71" t="s">
        <v>1033</v>
      </c>
    </row>
    <row r="72" spans="2:8">
      <c r="B72" t="s">
        <v>1052</v>
      </c>
      <c r="C72" t="s">
        <v>1051</v>
      </c>
      <c r="D72" t="s">
        <v>19</v>
      </c>
      <c r="E72">
        <v>26</v>
      </c>
      <c r="F72">
        <v>24</v>
      </c>
      <c r="G72">
        <v>22</v>
      </c>
      <c r="H72" t="s">
        <v>1034</v>
      </c>
    </row>
    <row r="73" spans="2:8">
      <c r="B73" t="s">
        <v>1052</v>
      </c>
      <c r="C73" t="s">
        <v>1051</v>
      </c>
      <c r="D73" t="s">
        <v>19</v>
      </c>
      <c r="E73">
        <v>1.5</v>
      </c>
      <c r="F73">
        <v>1.5</v>
      </c>
      <c r="G73">
        <v>1.5</v>
      </c>
      <c r="H73" t="s">
        <v>1035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misc</vt:lpstr>
      <vt:lpstr>ELC_Storage</vt:lpstr>
      <vt:lpstr>EV Battery</vt:lpstr>
      <vt:lpstr>H2 prod</vt:lpstr>
      <vt:lpstr>solar</vt:lpstr>
      <vt:lpstr>wind</vt:lpstr>
      <vt:lpstr>conventional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2025-10-31T08:52:33Z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