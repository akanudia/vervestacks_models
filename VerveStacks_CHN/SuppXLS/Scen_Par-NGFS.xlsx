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72D1DB9E-3BE5-41A3-AD4D-FA3DEAA5B85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<sst xmlns="http://schemas.openxmlformats.org/spreadsheetml/2006/main" count="58627" uniqueCount="92">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</sst>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8888.909999999998</c:v>
                </c:pt>
                <c:pt idx="1">
                  <c:v>11100.700001079736</c:v>
                </c:pt>
                <c:pt idx="2">
                  <c:v>13150.196583935147</c:v>
                </c:pt>
                <c:pt idx="3">
                  <c:v>14648.692892225463</c:v>
                </c:pt>
                <c:pt idx="4">
                  <c:v>14817.667786328013</c:v>
                </c:pt>
                <c:pt idx="5">
                  <c:v>14242.728632718572</c:v>
                </c:pt>
                <c:pt idx="6">
                  <c:v>13306.528353792997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4716.119999999999</c:v>
                </c:pt>
                <c:pt idx="1">
                  <c:v>3850.8595610955763</c:v>
                </c:pt>
                <c:pt idx="2">
                  <c:v>4031.0797396864832</c:v>
                </c:pt>
                <c:pt idx="3">
                  <c:v>3628.9284242452327</c:v>
                </c:pt>
                <c:pt idx="4">
                  <c:v>3323.6767234287381</c:v>
                </c:pt>
                <c:pt idx="5">
                  <c:v>3110.9412762945531</c:v>
                </c:pt>
                <c:pt idx="6">
                  <c:v>2917.7649543555699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8888.91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8888.909999999998</v>
      </c>
      <c r="S12" s="8">
        <f t="shared" ref="S12:X12" si="0">SUM(S17:S20)</f>
        <v>11100.700001079736</v>
      </c>
      <c r="T12" s="8">
        <f t="shared" si="0"/>
        <v>13150.196583935147</v>
      </c>
      <c r="U12" s="8">
        <f t="shared" si="0"/>
        <v>14648.692892225463</v>
      </c>
      <c r="V12" s="8">
        <f t="shared" si="0"/>
        <v>14817.667786328013</v>
      </c>
      <c r="W12" s="8">
        <f t="shared" si="0"/>
        <v>14242.728632718572</v>
      </c>
      <c r="X12" s="8">
        <f t="shared" si="0"/>
        <v>13306.528353792997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5.1200000000000002E-2</v>
      </c>
      <c r="H16" s="10">
        <f>SUMIFS(ngfs_median!$J$2:$J$17119,ngfs_median!$B$2:$B$17119,Veda!$C$5,ngfs_median!$H$2:$H$17119,Veda!$Q16,ngfs_median!$I$2:$I$17119,Veda!H$15)</f>
        <v>0.30445</v>
      </c>
      <c r="I16" s="10">
        <f>SUMIFS(ngfs_median!$J$2:$J$17119,ngfs_median!$B$2:$B$17119,Veda!$C$5,ngfs_median!$H$2:$H$17119,Veda!$Q16,ngfs_median!$I$2:$I$17119,Veda!I$15)</f>
        <v>0.65085000000000004</v>
      </c>
      <c r="J16" s="10">
        <f>SUMIFS(ngfs_median!$J$2:$J$17119,ngfs_median!$B$2:$B$17119,Veda!$C$5,ngfs_median!$H$2:$H$17119,Veda!$Q16,ngfs_median!$I$2:$I$17119,Veda!J$15)</f>
        <v>0.95799999999999996</v>
      </c>
      <c r="K16" s="10">
        <f>SUMIFS(ngfs_median!$J$2:$J$17119,ngfs_median!$B$2:$B$17119,Veda!$C$5,ngfs_median!$H$2:$H$17119,Veda!$Q16,ngfs_median!$I$2:$I$17119,Veda!K$15)</f>
        <v>1.1911499999999999</v>
      </c>
      <c r="L16" s="10">
        <f>SUMIFS(ngfs_median!$J$2:$J$17119,ngfs_median!$B$2:$B$17119,Veda!$C$5,ngfs_median!$H$2:$H$17119,Veda!$Q16,ngfs_median!$I$2:$I$17119,Veda!L$15)</f>
        <v>1.3549500000000001</v>
      </c>
      <c r="M16" s="10">
        <f>SUMIFS(ngfs_median!$J$2:$J$17119,ngfs_median!$B$2:$B$17119,Veda!$C$5,ngfs_median!$H$2:$H$17119,Veda!$Q16,ngfs_median!$I$2:$I$17119,Veda!M$15)</f>
        <v>1.4492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96.222222222222229</v>
      </c>
      <c r="U16" s="6">
        <f t="shared" si="2"/>
        <v>181.54166666666666</v>
      </c>
      <c r="V16" s="6">
        <f t="shared" si="2"/>
        <v>246.30555555555554</v>
      </c>
      <c r="W16" s="6">
        <f t="shared" si="2"/>
        <v>291.80555555555554</v>
      </c>
      <c r="X16" s="6">
        <f t="shared" si="2"/>
        <v>317.98611111111114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0.2399</v>
      </c>
      <c r="H17" s="10">
        <f>SUMIFS(ngfs_median!$J$2:$J$17119,ngfs_median!$B$2:$B$17119,Veda!$C$5,ngfs_median!$H$2:$H$17119,Veda!$Q17,ngfs_median!$I$2:$I$17119,Veda!H$15)</f>
        <v>0.67110000000000003</v>
      </c>
      <c r="I17" s="10">
        <f>SUMIFS(ngfs_median!$J$2:$J$17119,ngfs_median!$B$2:$B$17119,Veda!$C$5,ngfs_median!$H$2:$H$17119,Veda!$Q17,ngfs_median!$I$2:$I$17119,Veda!I$15)</f>
        <v>1.5916999999999999</v>
      </c>
      <c r="J17" s="10">
        <f>SUMIFS(ngfs_median!$J$2:$J$17119,ngfs_median!$B$2:$B$17119,Veda!$C$5,ngfs_median!$H$2:$H$17119,Veda!$Q17,ngfs_median!$I$2:$I$17119,Veda!J$15)</f>
        <v>2.5747999999999998</v>
      </c>
      <c r="K17" s="10">
        <f>SUMIFS(ngfs_median!$J$2:$J$17119,ngfs_median!$B$2:$B$17119,Veda!$C$5,ngfs_median!$H$2:$H$17119,Veda!$Q17,ngfs_median!$I$2:$I$17119,Veda!K$15)</f>
        <v>3.2040999999999999</v>
      </c>
      <c r="L17" s="10">
        <f>SUMIFS(ngfs_median!$J$2:$J$17119,ngfs_median!$B$2:$B$17119,Veda!$C$5,ngfs_median!$H$2:$H$17119,Veda!$Q17,ngfs_median!$I$2:$I$17119,Veda!L$15)</f>
        <v>3.5637499999999998</v>
      </c>
      <c r="M17" s="10">
        <f>SUMIFS(ngfs_median!$J$2:$J$17119,ngfs_median!$B$2:$B$17119,Veda!$C$5,ngfs_median!$H$2:$H$17119,Veda!$Q17,ngfs_median!$I$2:$I$17119,Veda!M$15)</f>
        <v>3.73285</v>
      </c>
      <c r="Q17" s="12" t="s">
        <v>10</v>
      </c>
      <c r="R17" s="6">
        <f>$Q$10*G17/SUM($G$17:$G$19)</f>
        <v>88.557241059971176</v>
      </c>
      <c r="S17" s="6">
        <f>R17</f>
        <v>88.557241059971176</v>
      </c>
      <c r="T17" s="6">
        <f t="shared" ref="T17:X17" si="3">S17</f>
        <v>88.557241059971176</v>
      </c>
      <c r="U17" s="6">
        <f t="shared" si="3"/>
        <v>88.557241059971176</v>
      </c>
      <c r="V17" s="6">
        <f t="shared" si="3"/>
        <v>88.557241059971176</v>
      </c>
      <c r="W17" s="6">
        <f t="shared" si="3"/>
        <v>88.557241059971176</v>
      </c>
      <c r="X17" s="6">
        <f t="shared" si="3"/>
        <v>88.557241059971176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9.0489999999999995</v>
      </c>
      <c r="H18" s="10">
        <f>SUMIFS(ngfs_median!$J$2:$J$17119,ngfs_median!$B$2:$B$17119,Veda!$C$5,ngfs_median!$H$2:$H$17119,Veda!$Q18,ngfs_median!$I$2:$I$17119,Veda!H$15)</f>
        <v>12.711500000000001</v>
      </c>
      <c r="I18" s="10">
        <f>SUMIFS(ngfs_median!$J$2:$J$17119,ngfs_median!$B$2:$B$17119,Veda!$C$5,ngfs_median!$H$2:$H$17119,Veda!$Q18,ngfs_median!$I$2:$I$17119,Veda!I$15)</f>
        <v>16.345100000000002</v>
      </c>
      <c r="J18" s="10">
        <f>SUMIFS(ngfs_median!$J$2:$J$17119,ngfs_median!$B$2:$B$17119,Veda!$C$5,ngfs_median!$H$2:$H$17119,Veda!$Q18,ngfs_median!$I$2:$I$17119,Veda!J$15)</f>
        <v>19.255949999999999</v>
      </c>
      <c r="K18" s="10">
        <f>SUMIFS(ngfs_median!$J$2:$J$17119,ngfs_median!$B$2:$B$17119,Veda!$C$5,ngfs_median!$H$2:$H$17119,Veda!$Q18,ngfs_median!$I$2:$I$17119,Veda!K$15)</f>
        <v>19.979599999999998</v>
      </c>
      <c r="L18" s="10">
        <f>SUMIFS(ngfs_median!$J$2:$J$17119,ngfs_median!$B$2:$B$17119,Veda!$C$5,ngfs_median!$H$2:$H$17119,Veda!$Q18,ngfs_median!$I$2:$I$17119,Veda!L$15)</f>
        <v>19.318300000000001</v>
      </c>
      <c r="M18" s="10">
        <f>SUMIFS(ngfs_median!$J$2:$J$17119,ngfs_median!$B$2:$B$17119,Veda!$C$5,ngfs_median!$H$2:$H$17119,Veda!$Q18,ngfs_median!$I$2:$I$17119,Veda!M$15)</f>
        <v>18.045999999999999</v>
      </c>
      <c r="Q18" s="12" t="s">
        <v>12</v>
      </c>
      <c r="R18" s="6">
        <f>$Q$10*G18/SUM($G$17:$G$19)</f>
        <v>3340.3687967973283</v>
      </c>
      <c r="S18" s="6">
        <f t="shared" ref="S18:X19" si="4">R18*H18/G18</f>
        <v>4692.3525207745879</v>
      </c>
      <c r="T18" s="6">
        <f t="shared" si="4"/>
        <v>6033.6680318855142</v>
      </c>
      <c r="U18" s="6">
        <f t="shared" si="4"/>
        <v>7108.1859357596986</v>
      </c>
      <c r="V18" s="6">
        <f t="shared" si="4"/>
        <v>7375.3157710787818</v>
      </c>
      <c r="W18" s="6">
        <f t="shared" si="4"/>
        <v>7131.2019590197624</v>
      </c>
      <c r="X18" s="6">
        <f t="shared" si="4"/>
        <v>6661.5421932815325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14.791</v>
      </c>
      <c r="H19" s="10">
        <f>SUMIFS(ngfs_median!$J$2:$J$17119,ngfs_median!$B$2:$B$17119,Veda!$C$5,ngfs_median!$H$2:$H$17119,Veda!$Q19,ngfs_median!$I$2:$I$17119,Veda!H$15)</f>
        <v>16.689</v>
      </c>
      <c r="I19" s="10">
        <f>SUMIFS(ngfs_median!$J$2:$J$17119,ngfs_median!$B$2:$B$17119,Veda!$C$5,ngfs_median!$H$2:$H$17119,Veda!$Q19,ngfs_median!$I$2:$I$17119,Veda!I$15)</f>
        <v>17.68685</v>
      </c>
      <c r="J19" s="10">
        <f>SUMIFS(ngfs_median!$J$2:$J$17119,ngfs_median!$B$2:$B$17119,Veda!$C$5,ngfs_median!$H$2:$H$17119,Veda!$Q19,ngfs_median!$I$2:$I$17119,Veda!J$15)</f>
        <v>17.8523</v>
      </c>
      <c r="K19" s="10">
        <f>SUMIFS(ngfs_median!$J$2:$J$17119,ngfs_median!$B$2:$B$17119,Veda!$C$5,ngfs_median!$H$2:$H$17119,Veda!$Q19,ngfs_median!$I$2:$I$17119,Veda!K$15)</f>
        <v>16.957100000000001</v>
      </c>
      <c r="L19" s="10">
        <f>SUMIFS(ngfs_median!$J$2:$J$17119,ngfs_median!$B$2:$B$17119,Veda!$C$5,ngfs_median!$H$2:$H$17119,Veda!$Q19,ngfs_median!$I$2:$I$17119,Veda!L$15)</f>
        <v>15.70125</v>
      </c>
      <c r="M19" s="10">
        <f>SUMIFS(ngfs_median!$J$2:$J$17119,ngfs_median!$B$2:$B$17119,Veda!$C$5,ngfs_median!$H$2:$H$17119,Veda!$Q19,ngfs_median!$I$2:$I$17119,Veda!M$15)</f>
        <v>14.2683</v>
      </c>
      <c r="Q19" s="12" t="s">
        <v>13</v>
      </c>
      <c r="R19" s="6">
        <f>$Q$10*G19/SUM($G$17:$G$19)</f>
        <v>5459.9839621426991</v>
      </c>
      <c r="S19" s="6">
        <f t="shared" si="4"/>
        <v>6160.6160735717322</v>
      </c>
      <c r="T19" s="6">
        <f t="shared" si="4"/>
        <v>6528.9647313111745</v>
      </c>
      <c r="U19" s="6">
        <f t="shared" si="4"/>
        <v>6590.0393271151434</v>
      </c>
      <c r="V19" s="6">
        <f t="shared" si="4"/>
        <v>6259.5831278784362</v>
      </c>
      <c r="W19" s="6">
        <f t="shared" si="4"/>
        <v>5795.9957532008011</v>
      </c>
      <c r="X19" s="6">
        <f t="shared" si="4"/>
        <v>5267.0332747644297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159.17416567344549</v>
      </c>
      <c r="T20" s="6">
        <f t="shared" si="5"/>
        <v>499.00657967848701</v>
      </c>
      <c r="U20" s="6">
        <f t="shared" si="5"/>
        <v>861.91038829064894</v>
      </c>
      <c r="V20" s="6">
        <f t="shared" si="5"/>
        <v>1094.2116463108234</v>
      </c>
      <c r="W20" s="6">
        <f t="shared" si="5"/>
        <v>1226.9736794380374</v>
      </c>
      <c r="X20" s="6">
        <f t="shared" si="5"/>
        <v>1289.3956446870627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4716.119999999999</v>
      </c>
      <c r="D22" s="12" t="s">
        <v>79</v>
      </c>
      <c r="G22" s="8">
        <f>G35/$G$35*$B22</f>
        <v>4716.119999999999</v>
      </c>
      <c r="H22" s="8">
        <f t="shared" ref="H22:M22" si="6">H35/$G$35*$B22</f>
        <v>3850.8595610955763</v>
      </c>
      <c r="I22" s="8">
        <f t="shared" si="6"/>
        <v>4031.0797396864832</v>
      </c>
      <c r="J22" s="8">
        <f t="shared" si="6"/>
        <v>3628.9284242452327</v>
      </c>
      <c r="K22" s="8">
        <f t="shared" si="6"/>
        <v>3323.6767234287381</v>
      </c>
      <c r="L22" s="8">
        <f t="shared" si="6"/>
        <v>3110.9412762945531</v>
      </c>
      <c r="M22" s="8">
        <f t="shared" si="6"/>
        <v>2917.7649543555699</v>
      </c>
      <c r="Q22" t="s">
        <v>64</v>
      </c>
      <c r="T22" s="8">
        <f>I35*1000</f>
        <v>1471595.4</v>
      </c>
      <c r="U22" s="8">
        <f>J35*1000</f>
        <v>1324785.1000000001</v>
      </c>
      <c r="V22" s="8">
        <f>K35*1000</f>
        <v>1213349.2000000002</v>
      </c>
      <c r="W22" s="8">
        <f>L35*1000</f>
        <v>1135687.5</v>
      </c>
      <c r="X22" s="8">
        <f>M35*1000</f>
        <v>1065166.0999999999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7.1</v>
      </c>
      <c r="S26" s="3">
        <f>AVERAGEIFS(historical_data_long!$D$3:$D$9999,historical_data_long!$B$3:$B$9999,"&gt;2017",historical_data_long!$A$3:$A$9999,$O26)</f>
        <v>5.6800000000000015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20.100000000000001</v>
      </c>
      <c r="S27" s="3">
        <f>AVERAGEIFS(historical_data_long!$D$3:$D$9999,historical_data_long!$B$3:$B$9999,"&gt;2017",historical_data_long!$A$3:$A$9999,$O27)</f>
        <v>20.939999999999998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1721.6778000000002</v>
      </c>
      <c r="H35" s="11">
        <f>SUMIFS(ngfs_median!$J$2:$J$17119,ngfs_median!$B$2:$B$17119,Veda!$C$5,ngfs_median!$D$2:$D$17119,Veda!$D22,ngfs_median!$I$2:$I$17119,Veda!H$15)</f>
        <v>1405.8037999999999</v>
      </c>
      <c r="I35" s="11">
        <f>SUMIFS(ngfs_median!$J$2:$J$17119,ngfs_median!$B$2:$B$17119,Veda!$C$5,ngfs_median!$D$2:$D$17119,Veda!$D22,ngfs_median!$I$2:$I$17119,Veda!I$15)</f>
        <v>1471.5953999999999</v>
      </c>
      <c r="J35" s="11">
        <f>SUMIFS(ngfs_median!$J$2:$J$17119,ngfs_median!$B$2:$B$17119,Veda!$C$5,ngfs_median!$D$2:$D$17119,Veda!$D22,ngfs_median!$I$2:$I$17119,Veda!J$15)</f>
        <v>1324.7851000000001</v>
      </c>
      <c r="K35" s="11">
        <f>SUMIFS(ngfs_median!$J$2:$J$17119,ngfs_median!$B$2:$B$17119,Veda!$C$5,ngfs_median!$D$2:$D$17119,Veda!$D22,ngfs_median!$I$2:$I$17119,Veda!K$15)</f>
        <v>1213.3492000000001</v>
      </c>
      <c r="L35" s="11">
        <f>SUMIFS(ngfs_median!$J$2:$J$17119,ngfs_median!$B$2:$B$17119,Veda!$C$5,ngfs_median!$D$2:$D$17119,Veda!$D22,ngfs_median!$I$2:$I$17119,Veda!L$15)</f>
        <v>1135.6875</v>
      </c>
      <c r="M35" s="11">
        <f>SUMIFS(ngfs_median!$J$2:$J$17119,ngfs_median!$B$2:$B$17119,Veda!$C$5,ngfs_median!$D$2:$D$17119,Veda!$D22,ngfs_median!$I$2:$I$17119,Veda!M$15)</f>
        <v>1065.1660999999999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2.54</v>
      </c>
    </row>
    <row r="3" spans="1:4" x14ac:dyDescent="0.45">
      <c r="A3" t="s">
        <v>34</v>
      </c>
      <c r="B3">
        <v>2000</v>
      </c>
      <c r="C3" t="s">
        <v>74</v>
      </c>
      <c r="D3">
        <v>1060.26</v>
      </c>
    </row>
    <row r="4" spans="1:4" x14ac:dyDescent="0.45">
      <c r="A4" t="s">
        <v>36</v>
      </c>
      <c r="B4">
        <v>2000</v>
      </c>
      <c r="C4" t="s">
        <v>74</v>
      </c>
      <c r="D4">
        <v>5.77</v>
      </c>
    </row>
    <row r="5" spans="1:4" x14ac:dyDescent="0.45">
      <c r="A5" t="s">
        <v>56</v>
      </c>
      <c r="B5">
        <v>2000</v>
      </c>
      <c r="C5" t="s">
        <v>74</v>
      </c>
      <c r="D5">
        <v>222.41</v>
      </c>
    </row>
    <row r="6" spans="1:4" x14ac:dyDescent="0.45">
      <c r="A6" t="s">
        <v>57</v>
      </c>
      <c r="B6">
        <v>2000</v>
      </c>
      <c r="C6" t="s">
        <v>74</v>
      </c>
      <c r="D6">
        <v>16.739999999999998</v>
      </c>
    </row>
    <row r="7" spans="1:4" x14ac:dyDescent="0.45">
      <c r="A7" t="s">
        <v>38</v>
      </c>
      <c r="B7">
        <v>2000</v>
      </c>
      <c r="C7" t="s">
        <v>74</v>
      </c>
      <c r="D7">
        <v>47.27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0.59</v>
      </c>
    </row>
    <row r="10" spans="1:4" x14ac:dyDescent="0.45">
      <c r="A10" t="s">
        <v>32</v>
      </c>
      <c r="B10">
        <v>2001</v>
      </c>
      <c r="C10" t="s">
        <v>74</v>
      </c>
      <c r="D10">
        <v>2.5499999999999998</v>
      </c>
    </row>
    <row r="11" spans="1:4" x14ac:dyDescent="0.45">
      <c r="A11" t="s">
        <v>34</v>
      </c>
      <c r="B11">
        <v>2001</v>
      </c>
      <c r="C11" t="s">
        <v>74</v>
      </c>
      <c r="D11">
        <v>1129.1400000000001</v>
      </c>
    </row>
    <row r="12" spans="1:4" x14ac:dyDescent="0.45">
      <c r="A12" t="s">
        <v>36</v>
      </c>
      <c r="B12">
        <v>2001</v>
      </c>
      <c r="C12" t="s">
        <v>74</v>
      </c>
      <c r="D12">
        <v>4.93</v>
      </c>
    </row>
    <row r="13" spans="1:4" x14ac:dyDescent="0.45">
      <c r="A13" t="s">
        <v>56</v>
      </c>
      <c r="B13">
        <v>2001</v>
      </c>
      <c r="C13" t="s">
        <v>74</v>
      </c>
      <c r="D13">
        <v>277.43</v>
      </c>
    </row>
    <row r="14" spans="1:4" x14ac:dyDescent="0.45">
      <c r="A14" t="s">
        <v>57</v>
      </c>
      <c r="B14">
        <v>2001</v>
      </c>
      <c r="C14" t="s">
        <v>74</v>
      </c>
      <c r="D14">
        <v>17.47</v>
      </c>
    </row>
    <row r="15" spans="1:4" x14ac:dyDescent="0.45">
      <c r="A15" t="s">
        <v>38</v>
      </c>
      <c r="B15">
        <v>2001</v>
      </c>
      <c r="C15" t="s">
        <v>74</v>
      </c>
      <c r="D15">
        <v>48.52</v>
      </c>
    </row>
    <row r="16" spans="1:4" x14ac:dyDescent="0.45">
      <c r="A16" t="s">
        <v>58</v>
      </c>
      <c r="B16">
        <v>2001</v>
      </c>
      <c r="C16" t="s">
        <v>74</v>
      </c>
      <c r="D16">
        <v>0.03</v>
      </c>
    </row>
    <row r="17" spans="1:4" x14ac:dyDescent="0.45">
      <c r="A17" t="s">
        <v>91</v>
      </c>
      <c r="B17">
        <v>2001</v>
      </c>
      <c r="C17" t="s">
        <v>74</v>
      </c>
      <c r="D17">
        <v>0.72</v>
      </c>
    </row>
    <row r="18" spans="1:4" x14ac:dyDescent="0.45">
      <c r="A18" t="s">
        <v>32</v>
      </c>
      <c r="B18">
        <v>2002</v>
      </c>
      <c r="C18" t="s">
        <v>74</v>
      </c>
      <c r="D18">
        <v>2.5499999999999998</v>
      </c>
    </row>
    <row r="19" spans="1:4" x14ac:dyDescent="0.45">
      <c r="A19" t="s">
        <v>34</v>
      </c>
      <c r="B19">
        <v>2002</v>
      </c>
      <c r="C19" t="s">
        <v>74</v>
      </c>
      <c r="D19">
        <v>1282.57</v>
      </c>
    </row>
    <row r="20" spans="1:4" x14ac:dyDescent="0.45">
      <c r="A20" t="s">
        <v>36</v>
      </c>
      <c r="B20">
        <v>2002</v>
      </c>
      <c r="C20" t="s">
        <v>74</v>
      </c>
      <c r="D20">
        <v>4.1900000000000004</v>
      </c>
    </row>
    <row r="21" spans="1:4" x14ac:dyDescent="0.45">
      <c r="A21" t="s">
        <v>56</v>
      </c>
      <c r="B21">
        <v>2002</v>
      </c>
      <c r="C21" t="s">
        <v>74</v>
      </c>
      <c r="D21">
        <v>287.97000000000003</v>
      </c>
    </row>
    <row r="22" spans="1:4" x14ac:dyDescent="0.45">
      <c r="A22" t="s">
        <v>57</v>
      </c>
      <c r="B22">
        <v>2002</v>
      </c>
      <c r="C22" t="s">
        <v>74</v>
      </c>
      <c r="D22">
        <v>25.13</v>
      </c>
    </row>
    <row r="23" spans="1:4" x14ac:dyDescent="0.45">
      <c r="A23" t="s">
        <v>38</v>
      </c>
      <c r="B23">
        <v>2002</v>
      </c>
      <c r="C23" t="s">
        <v>74</v>
      </c>
      <c r="D23">
        <v>50.71</v>
      </c>
    </row>
    <row r="24" spans="1:4" x14ac:dyDescent="0.45">
      <c r="A24" t="s">
        <v>58</v>
      </c>
      <c r="B24">
        <v>2002</v>
      </c>
      <c r="C24" t="s">
        <v>74</v>
      </c>
      <c r="D24">
        <v>0.05</v>
      </c>
    </row>
    <row r="25" spans="1:4" x14ac:dyDescent="0.45">
      <c r="A25" t="s">
        <v>91</v>
      </c>
      <c r="B25">
        <v>2002</v>
      </c>
      <c r="C25" t="s">
        <v>74</v>
      </c>
      <c r="D25">
        <v>0.84</v>
      </c>
    </row>
    <row r="26" spans="1:4" x14ac:dyDescent="0.45">
      <c r="A26" t="s">
        <v>32</v>
      </c>
      <c r="B26">
        <v>2003</v>
      </c>
      <c r="C26" t="s">
        <v>74</v>
      </c>
      <c r="D26">
        <v>2.54</v>
      </c>
    </row>
    <row r="27" spans="1:4" x14ac:dyDescent="0.45">
      <c r="A27" t="s">
        <v>34</v>
      </c>
      <c r="B27">
        <v>2003</v>
      </c>
      <c r="C27" t="s">
        <v>74</v>
      </c>
      <c r="D27">
        <v>1519.97</v>
      </c>
    </row>
    <row r="28" spans="1:4" x14ac:dyDescent="0.45">
      <c r="A28" t="s">
        <v>36</v>
      </c>
      <c r="B28">
        <v>2003</v>
      </c>
      <c r="C28" t="s">
        <v>74</v>
      </c>
      <c r="D28">
        <v>5.16</v>
      </c>
    </row>
    <row r="29" spans="1:4" x14ac:dyDescent="0.45">
      <c r="A29" t="s">
        <v>56</v>
      </c>
      <c r="B29">
        <v>2003</v>
      </c>
      <c r="C29" t="s">
        <v>74</v>
      </c>
      <c r="D29">
        <v>283.68</v>
      </c>
    </row>
    <row r="30" spans="1:4" x14ac:dyDescent="0.45">
      <c r="A30" t="s">
        <v>57</v>
      </c>
      <c r="B30">
        <v>2003</v>
      </c>
      <c r="C30" t="s">
        <v>74</v>
      </c>
      <c r="D30">
        <v>43.34</v>
      </c>
    </row>
    <row r="31" spans="1:4" x14ac:dyDescent="0.45">
      <c r="A31" t="s">
        <v>38</v>
      </c>
      <c r="B31">
        <v>2003</v>
      </c>
      <c r="C31" t="s">
        <v>74</v>
      </c>
      <c r="D31">
        <v>54.83</v>
      </c>
    </row>
    <row r="32" spans="1:4" x14ac:dyDescent="0.45">
      <c r="A32" t="s">
        <v>58</v>
      </c>
      <c r="B32">
        <v>2003</v>
      </c>
      <c r="C32" t="s">
        <v>74</v>
      </c>
      <c r="D32">
        <v>0.06</v>
      </c>
    </row>
    <row r="33" spans="1:4" x14ac:dyDescent="0.45">
      <c r="A33" t="s">
        <v>91</v>
      </c>
      <c r="B33">
        <v>2003</v>
      </c>
      <c r="C33" t="s">
        <v>74</v>
      </c>
      <c r="D33">
        <v>1</v>
      </c>
    </row>
    <row r="34" spans="1:4" x14ac:dyDescent="0.45">
      <c r="A34" t="s">
        <v>32</v>
      </c>
      <c r="B34">
        <v>2004</v>
      </c>
      <c r="C34" t="s">
        <v>74</v>
      </c>
      <c r="D34">
        <v>2.5299999999999998</v>
      </c>
    </row>
    <row r="35" spans="1:4" x14ac:dyDescent="0.45">
      <c r="A35" t="s">
        <v>34</v>
      </c>
      <c r="B35">
        <v>2004</v>
      </c>
      <c r="C35" t="s">
        <v>74</v>
      </c>
      <c r="D35">
        <v>1722.42</v>
      </c>
    </row>
    <row r="36" spans="1:4" x14ac:dyDescent="0.45">
      <c r="A36" t="s">
        <v>36</v>
      </c>
      <c r="B36">
        <v>2004</v>
      </c>
      <c r="C36" t="s">
        <v>74</v>
      </c>
      <c r="D36">
        <v>7.46</v>
      </c>
    </row>
    <row r="37" spans="1:4" x14ac:dyDescent="0.45">
      <c r="A37" t="s">
        <v>56</v>
      </c>
      <c r="B37">
        <v>2004</v>
      </c>
      <c r="C37" t="s">
        <v>74</v>
      </c>
      <c r="D37">
        <v>353.54</v>
      </c>
    </row>
    <row r="38" spans="1:4" x14ac:dyDescent="0.45">
      <c r="A38" t="s">
        <v>57</v>
      </c>
      <c r="B38">
        <v>2004</v>
      </c>
      <c r="C38" t="s">
        <v>74</v>
      </c>
      <c r="D38">
        <v>50.47</v>
      </c>
    </row>
    <row r="39" spans="1:4" x14ac:dyDescent="0.45">
      <c r="A39" t="s">
        <v>38</v>
      </c>
      <c r="B39">
        <v>2004</v>
      </c>
      <c r="C39" t="s">
        <v>74</v>
      </c>
      <c r="D39">
        <v>65.53</v>
      </c>
    </row>
    <row r="40" spans="1:4" x14ac:dyDescent="0.45">
      <c r="A40" t="s">
        <v>58</v>
      </c>
      <c r="B40">
        <v>2004</v>
      </c>
      <c r="C40" t="s">
        <v>74</v>
      </c>
      <c r="D40">
        <v>0.08</v>
      </c>
    </row>
    <row r="41" spans="1:4" x14ac:dyDescent="0.45">
      <c r="A41" t="s">
        <v>91</v>
      </c>
      <c r="B41">
        <v>2004</v>
      </c>
      <c r="C41" t="s">
        <v>74</v>
      </c>
      <c r="D41">
        <v>1.28</v>
      </c>
    </row>
    <row r="42" spans="1:4" x14ac:dyDescent="0.45">
      <c r="A42" t="s">
        <v>32</v>
      </c>
      <c r="B42">
        <v>2005</v>
      </c>
      <c r="C42" t="s">
        <v>74</v>
      </c>
      <c r="D42">
        <v>5.32</v>
      </c>
    </row>
    <row r="43" spans="1:4" x14ac:dyDescent="0.45">
      <c r="A43" t="s">
        <v>34</v>
      </c>
      <c r="B43">
        <v>2005</v>
      </c>
      <c r="C43" t="s">
        <v>74</v>
      </c>
      <c r="D43">
        <v>1980.15</v>
      </c>
    </row>
    <row r="44" spans="1:4" x14ac:dyDescent="0.45">
      <c r="A44" t="s">
        <v>36</v>
      </c>
      <c r="B44">
        <v>2005</v>
      </c>
      <c r="C44" t="s">
        <v>74</v>
      </c>
      <c r="D44">
        <v>12.14</v>
      </c>
    </row>
    <row r="45" spans="1:4" x14ac:dyDescent="0.45">
      <c r="A45" t="s">
        <v>56</v>
      </c>
      <c r="B45">
        <v>2005</v>
      </c>
      <c r="C45" t="s">
        <v>74</v>
      </c>
      <c r="D45">
        <v>397.02</v>
      </c>
    </row>
    <row r="46" spans="1:4" x14ac:dyDescent="0.45">
      <c r="A46" t="s">
        <v>57</v>
      </c>
      <c r="B46">
        <v>2005</v>
      </c>
      <c r="C46" t="s">
        <v>74</v>
      </c>
      <c r="D46">
        <v>53.09</v>
      </c>
    </row>
    <row r="47" spans="1:4" x14ac:dyDescent="0.45">
      <c r="A47" t="s">
        <v>38</v>
      </c>
      <c r="B47">
        <v>2005</v>
      </c>
      <c r="C47" t="s">
        <v>74</v>
      </c>
      <c r="D47">
        <v>50.51</v>
      </c>
    </row>
    <row r="48" spans="1:4" x14ac:dyDescent="0.45">
      <c r="A48" t="s">
        <v>58</v>
      </c>
      <c r="B48">
        <v>2005</v>
      </c>
      <c r="C48" t="s">
        <v>74</v>
      </c>
      <c r="D48">
        <v>0.08</v>
      </c>
    </row>
    <row r="49" spans="1:4" x14ac:dyDescent="0.45">
      <c r="A49" t="s">
        <v>91</v>
      </c>
      <c r="B49">
        <v>2005</v>
      </c>
      <c r="C49" t="s">
        <v>74</v>
      </c>
      <c r="D49">
        <v>1.95</v>
      </c>
    </row>
    <row r="50" spans="1:4" x14ac:dyDescent="0.45">
      <c r="A50" t="s">
        <v>32</v>
      </c>
      <c r="B50">
        <v>2006</v>
      </c>
      <c r="C50" t="s">
        <v>74</v>
      </c>
      <c r="D50">
        <v>7.13</v>
      </c>
    </row>
    <row r="51" spans="1:4" x14ac:dyDescent="0.45">
      <c r="A51" t="s">
        <v>34</v>
      </c>
      <c r="B51">
        <v>2006</v>
      </c>
      <c r="C51" t="s">
        <v>74</v>
      </c>
      <c r="D51">
        <v>2302.42</v>
      </c>
    </row>
    <row r="52" spans="1:4" x14ac:dyDescent="0.45">
      <c r="A52" t="s">
        <v>36</v>
      </c>
      <c r="B52">
        <v>2006</v>
      </c>
      <c r="C52" t="s">
        <v>74</v>
      </c>
      <c r="D52">
        <v>23.82</v>
      </c>
    </row>
    <row r="53" spans="1:4" x14ac:dyDescent="0.45">
      <c r="A53" t="s">
        <v>56</v>
      </c>
      <c r="B53">
        <v>2006</v>
      </c>
      <c r="C53" t="s">
        <v>74</v>
      </c>
      <c r="D53">
        <v>435.79</v>
      </c>
    </row>
    <row r="54" spans="1:4" x14ac:dyDescent="0.45">
      <c r="A54" t="s">
        <v>57</v>
      </c>
      <c r="B54">
        <v>2006</v>
      </c>
      <c r="C54" t="s">
        <v>74</v>
      </c>
      <c r="D54">
        <v>54.84</v>
      </c>
    </row>
    <row r="55" spans="1:4" x14ac:dyDescent="0.45">
      <c r="A55" t="s">
        <v>38</v>
      </c>
      <c r="B55">
        <v>2006</v>
      </c>
      <c r="C55" t="s">
        <v>74</v>
      </c>
      <c r="D55">
        <v>37.92</v>
      </c>
    </row>
    <row r="56" spans="1:4" x14ac:dyDescent="0.45">
      <c r="A56" t="s">
        <v>58</v>
      </c>
      <c r="B56">
        <v>2006</v>
      </c>
      <c r="C56" t="s">
        <v>74</v>
      </c>
      <c r="D56">
        <v>0.09</v>
      </c>
    </row>
    <row r="57" spans="1:4" x14ac:dyDescent="0.45">
      <c r="A57" t="s">
        <v>91</v>
      </c>
      <c r="B57">
        <v>2006</v>
      </c>
      <c r="C57" t="s">
        <v>74</v>
      </c>
      <c r="D57">
        <v>3.71</v>
      </c>
    </row>
    <row r="58" spans="1:4" x14ac:dyDescent="0.45">
      <c r="A58" t="s">
        <v>32</v>
      </c>
      <c r="B58">
        <v>2007</v>
      </c>
      <c r="C58" t="s">
        <v>74</v>
      </c>
      <c r="D58">
        <v>9.86</v>
      </c>
    </row>
    <row r="59" spans="1:4" x14ac:dyDescent="0.45">
      <c r="A59" t="s">
        <v>34</v>
      </c>
      <c r="B59">
        <v>2007</v>
      </c>
      <c r="C59" t="s">
        <v>74</v>
      </c>
      <c r="D59">
        <v>2656.7</v>
      </c>
    </row>
    <row r="60" spans="1:4" x14ac:dyDescent="0.45">
      <c r="A60" t="s">
        <v>36</v>
      </c>
      <c r="B60">
        <v>2007</v>
      </c>
      <c r="C60" t="s">
        <v>74</v>
      </c>
      <c r="D60">
        <v>33.909999999999997</v>
      </c>
    </row>
    <row r="61" spans="1:4" x14ac:dyDescent="0.45">
      <c r="A61" t="s">
        <v>56</v>
      </c>
      <c r="B61">
        <v>2007</v>
      </c>
      <c r="C61" t="s">
        <v>74</v>
      </c>
      <c r="D61">
        <v>485.26</v>
      </c>
    </row>
    <row r="62" spans="1:4" x14ac:dyDescent="0.45">
      <c r="A62" t="s">
        <v>57</v>
      </c>
      <c r="B62">
        <v>2007</v>
      </c>
      <c r="C62" t="s">
        <v>74</v>
      </c>
      <c r="D62">
        <v>62.13</v>
      </c>
    </row>
    <row r="63" spans="1:4" x14ac:dyDescent="0.45">
      <c r="A63" t="s">
        <v>38</v>
      </c>
      <c r="B63">
        <v>2007</v>
      </c>
      <c r="C63" t="s">
        <v>74</v>
      </c>
      <c r="D63">
        <v>28.09</v>
      </c>
    </row>
    <row r="64" spans="1:4" x14ac:dyDescent="0.45">
      <c r="A64" t="s">
        <v>58</v>
      </c>
      <c r="B64">
        <v>2007</v>
      </c>
      <c r="C64" t="s">
        <v>74</v>
      </c>
      <c r="D64">
        <v>0.11</v>
      </c>
    </row>
    <row r="65" spans="1:4" x14ac:dyDescent="0.45">
      <c r="A65" t="s">
        <v>91</v>
      </c>
      <c r="B65">
        <v>2007</v>
      </c>
      <c r="C65" t="s">
        <v>74</v>
      </c>
      <c r="D65">
        <v>5.48</v>
      </c>
    </row>
    <row r="66" spans="1:4" x14ac:dyDescent="0.45">
      <c r="A66" t="s">
        <v>32</v>
      </c>
      <c r="B66">
        <v>2008</v>
      </c>
      <c r="C66" t="s">
        <v>74</v>
      </c>
      <c r="D66">
        <v>14.87</v>
      </c>
    </row>
    <row r="67" spans="1:4" x14ac:dyDescent="0.45">
      <c r="A67" t="s">
        <v>34</v>
      </c>
      <c r="B67">
        <v>2008</v>
      </c>
      <c r="C67" t="s">
        <v>74</v>
      </c>
      <c r="D67">
        <v>2708.91</v>
      </c>
    </row>
    <row r="68" spans="1:4" x14ac:dyDescent="0.45">
      <c r="A68" t="s">
        <v>36</v>
      </c>
      <c r="B68">
        <v>2008</v>
      </c>
      <c r="C68" t="s">
        <v>74</v>
      </c>
      <c r="D68">
        <v>34.57</v>
      </c>
    </row>
    <row r="69" spans="1:4" x14ac:dyDescent="0.45">
      <c r="A69" t="s">
        <v>56</v>
      </c>
      <c r="B69">
        <v>2008</v>
      </c>
      <c r="C69" t="s">
        <v>74</v>
      </c>
      <c r="D69">
        <v>636.96</v>
      </c>
    </row>
    <row r="70" spans="1:4" x14ac:dyDescent="0.45">
      <c r="A70" t="s">
        <v>57</v>
      </c>
      <c r="B70">
        <v>2008</v>
      </c>
      <c r="C70" t="s">
        <v>74</v>
      </c>
      <c r="D70">
        <v>68.39</v>
      </c>
    </row>
    <row r="71" spans="1:4" x14ac:dyDescent="0.45">
      <c r="A71" t="s">
        <v>38</v>
      </c>
      <c r="B71">
        <v>2008</v>
      </c>
      <c r="C71" t="s">
        <v>74</v>
      </c>
      <c r="D71">
        <v>18.809999999999999</v>
      </c>
    </row>
    <row r="72" spans="1:4" x14ac:dyDescent="0.45">
      <c r="A72" t="s">
        <v>58</v>
      </c>
      <c r="B72">
        <v>2008</v>
      </c>
      <c r="C72" t="s">
        <v>74</v>
      </c>
      <c r="D72">
        <v>0.15</v>
      </c>
    </row>
    <row r="73" spans="1:4" x14ac:dyDescent="0.45">
      <c r="A73" t="s">
        <v>91</v>
      </c>
      <c r="B73">
        <v>2008</v>
      </c>
      <c r="C73" t="s">
        <v>74</v>
      </c>
      <c r="D73">
        <v>13.1</v>
      </c>
    </row>
    <row r="74" spans="1:4" x14ac:dyDescent="0.45">
      <c r="A74" t="s">
        <v>32</v>
      </c>
      <c r="B74">
        <v>2009</v>
      </c>
      <c r="C74" t="s">
        <v>74</v>
      </c>
      <c r="D74">
        <v>20.86</v>
      </c>
    </row>
    <row r="75" spans="1:4" x14ac:dyDescent="0.45">
      <c r="A75" t="s">
        <v>34</v>
      </c>
      <c r="B75">
        <v>2009</v>
      </c>
      <c r="C75" t="s">
        <v>74</v>
      </c>
      <c r="D75">
        <v>2911.52</v>
      </c>
    </row>
    <row r="76" spans="1:4" x14ac:dyDescent="0.45">
      <c r="A76" t="s">
        <v>36</v>
      </c>
      <c r="B76">
        <v>2009</v>
      </c>
      <c r="C76" t="s">
        <v>74</v>
      </c>
      <c r="D76">
        <v>56.56</v>
      </c>
    </row>
    <row r="77" spans="1:4" x14ac:dyDescent="0.45">
      <c r="A77" t="s">
        <v>56</v>
      </c>
      <c r="B77">
        <v>2009</v>
      </c>
      <c r="C77" t="s">
        <v>74</v>
      </c>
      <c r="D77">
        <v>615.64</v>
      </c>
    </row>
    <row r="78" spans="1:4" x14ac:dyDescent="0.45">
      <c r="A78" t="s">
        <v>57</v>
      </c>
      <c r="B78">
        <v>2009</v>
      </c>
      <c r="C78" t="s">
        <v>74</v>
      </c>
      <c r="D78">
        <v>70.05</v>
      </c>
    </row>
    <row r="79" spans="1:4" x14ac:dyDescent="0.45">
      <c r="A79" t="s">
        <v>38</v>
      </c>
      <c r="B79">
        <v>2009</v>
      </c>
      <c r="C79" t="s">
        <v>74</v>
      </c>
      <c r="D79">
        <v>12.12</v>
      </c>
    </row>
    <row r="80" spans="1:4" x14ac:dyDescent="0.45">
      <c r="A80" t="s">
        <v>58</v>
      </c>
      <c r="B80">
        <v>2009</v>
      </c>
      <c r="C80" t="s">
        <v>74</v>
      </c>
      <c r="D80">
        <v>0.28000000000000003</v>
      </c>
    </row>
    <row r="81" spans="1:4" x14ac:dyDescent="0.45">
      <c r="A81" t="s">
        <v>91</v>
      </c>
      <c r="B81">
        <v>2009</v>
      </c>
      <c r="C81" t="s">
        <v>74</v>
      </c>
      <c r="D81">
        <v>27.61</v>
      </c>
    </row>
    <row r="82" spans="1:4" x14ac:dyDescent="0.45">
      <c r="A82" t="s">
        <v>32</v>
      </c>
      <c r="B82">
        <v>2010</v>
      </c>
      <c r="C82" t="s">
        <v>74</v>
      </c>
      <c r="D82">
        <v>24.9</v>
      </c>
    </row>
    <row r="83" spans="1:4" x14ac:dyDescent="0.45">
      <c r="A83" t="s">
        <v>34</v>
      </c>
      <c r="B83">
        <v>2010</v>
      </c>
      <c r="C83" t="s">
        <v>74</v>
      </c>
      <c r="D83">
        <v>3233.6</v>
      </c>
    </row>
    <row r="84" spans="1:4" x14ac:dyDescent="0.45">
      <c r="A84" t="s">
        <v>36</v>
      </c>
      <c r="B84">
        <v>2010</v>
      </c>
      <c r="C84" t="s">
        <v>74</v>
      </c>
      <c r="D84">
        <v>77.73</v>
      </c>
    </row>
    <row r="85" spans="1:4" x14ac:dyDescent="0.45">
      <c r="A85" t="s">
        <v>56</v>
      </c>
      <c r="B85">
        <v>2010</v>
      </c>
      <c r="C85" t="s">
        <v>74</v>
      </c>
      <c r="D85">
        <v>711.38</v>
      </c>
    </row>
    <row r="86" spans="1:4" x14ac:dyDescent="0.45">
      <c r="A86" t="s">
        <v>57</v>
      </c>
      <c r="B86">
        <v>2010</v>
      </c>
      <c r="C86" t="s">
        <v>74</v>
      </c>
      <c r="D86">
        <v>74.739999999999995</v>
      </c>
    </row>
    <row r="87" spans="1:4" x14ac:dyDescent="0.45">
      <c r="A87" t="s">
        <v>38</v>
      </c>
      <c r="B87">
        <v>2010</v>
      </c>
      <c r="C87" t="s">
        <v>74</v>
      </c>
      <c r="D87">
        <v>34.71</v>
      </c>
    </row>
    <row r="88" spans="1:4" x14ac:dyDescent="0.45">
      <c r="A88" t="s">
        <v>58</v>
      </c>
      <c r="B88">
        <v>2010</v>
      </c>
      <c r="C88" t="s">
        <v>74</v>
      </c>
      <c r="D88">
        <v>0.7</v>
      </c>
    </row>
    <row r="89" spans="1:4" x14ac:dyDescent="0.45">
      <c r="A89" t="s">
        <v>91</v>
      </c>
      <c r="B89">
        <v>2010</v>
      </c>
      <c r="C89" t="s">
        <v>74</v>
      </c>
      <c r="D89">
        <v>49.4</v>
      </c>
    </row>
    <row r="90" spans="1:4" x14ac:dyDescent="0.45">
      <c r="A90" t="s">
        <v>32</v>
      </c>
      <c r="B90">
        <v>2011</v>
      </c>
      <c r="C90" t="s">
        <v>74</v>
      </c>
      <c r="D90">
        <v>27.63</v>
      </c>
    </row>
    <row r="91" spans="1:4" x14ac:dyDescent="0.45">
      <c r="A91" t="s">
        <v>34</v>
      </c>
      <c r="B91">
        <v>2011</v>
      </c>
      <c r="C91" t="s">
        <v>74</v>
      </c>
      <c r="D91">
        <v>3690.87</v>
      </c>
    </row>
    <row r="92" spans="1:4" x14ac:dyDescent="0.45">
      <c r="A92" t="s">
        <v>36</v>
      </c>
      <c r="B92">
        <v>2011</v>
      </c>
      <c r="C92" t="s">
        <v>74</v>
      </c>
      <c r="D92">
        <v>108.77</v>
      </c>
    </row>
    <row r="93" spans="1:4" x14ac:dyDescent="0.45">
      <c r="A93" t="s">
        <v>56</v>
      </c>
      <c r="B93">
        <v>2011</v>
      </c>
      <c r="C93" t="s">
        <v>74</v>
      </c>
      <c r="D93">
        <v>688.04</v>
      </c>
    </row>
    <row r="94" spans="1:4" x14ac:dyDescent="0.45">
      <c r="A94" t="s">
        <v>57</v>
      </c>
      <c r="B94">
        <v>2011</v>
      </c>
      <c r="C94" t="s">
        <v>74</v>
      </c>
      <c r="D94">
        <v>87.2</v>
      </c>
    </row>
    <row r="95" spans="1:4" x14ac:dyDescent="0.45">
      <c r="A95" t="s">
        <v>38</v>
      </c>
      <c r="B95">
        <v>2011</v>
      </c>
      <c r="C95" t="s">
        <v>74</v>
      </c>
      <c r="D95">
        <v>33.799999999999997</v>
      </c>
    </row>
    <row r="96" spans="1:4" x14ac:dyDescent="0.45">
      <c r="A96" t="s">
        <v>58</v>
      </c>
      <c r="B96">
        <v>2011</v>
      </c>
      <c r="C96" t="s">
        <v>74</v>
      </c>
      <c r="D96">
        <v>2.61</v>
      </c>
    </row>
    <row r="97" spans="1:4" x14ac:dyDescent="0.45">
      <c r="A97" t="s">
        <v>91</v>
      </c>
      <c r="B97">
        <v>2011</v>
      </c>
      <c r="C97" t="s">
        <v>74</v>
      </c>
      <c r="D97">
        <v>74.099999999999994</v>
      </c>
    </row>
    <row r="98" spans="1:4" x14ac:dyDescent="0.45">
      <c r="A98" t="s">
        <v>32</v>
      </c>
      <c r="B98">
        <v>2012</v>
      </c>
      <c r="C98" t="s">
        <v>74</v>
      </c>
      <c r="D98">
        <v>30.13</v>
      </c>
    </row>
    <row r="99" spans="1:4" x14ac:dyDescent="0.45">
      <c r="A99" t="s">
        <v>34</v>
      </c>
      <c r="B99">
        <v>2012</v>
      </c>
      <c r="C99" t="s">
        <v>74</v>
      </c>
      <c r="D99">
        <v>3748.19</v>
      </c>
    </row>
    <row r="100" spans="1:4" x14ac:dyDescent="0.45">
      <c r="A100" t="s">
        <v>36</v>
      </c>
      <c r="B100">
        <v>2012</v>
      </c>
      <c r="C100" t="s">
        <v>74</v>
      </c>
      <c r="D100">
        <v>110.25</v>
      </c>
    </row>
    <row r="101" spans="1:4" x14ac:dyDescent="0.45">
      <c r="A101" t="s">
        <v>56</v>
      </c>
      <c r="B101">
        <v>2012</v>
      </c>
      <c r="C101" t="s">
        <v>74</v>
      </c>
      <c r="D101">
        <v>862.79</v>
      </c>
    </row>
    <row r="102" spans="1:4" x14ac:dyDescent="0.45">
      <c r="A102" t="s">
        <v>57</v>
      </c>
      <c r="B102">
        <v>2012</v>
      </c>
      <c r="C102" t="s">
        <v>74</v>
      </c>
      <c r="D102">
        <v>98.32</v>
      </c>
    </row>
    <row r="103" spans="1:4" x14ac:dyDescent="0.45">
      <c r="A103" t="s">
        <v>38</v>
      </c>
      <c r="B103">
        <v>2012</v>
      </c>
      <c r="C103" t="s">
        <v>74</v>
      </c>
      <c r="D103">
        <v>31.22</v>
      </c>
    </row>
    <row r="104" spans="1:4" x14ac:dyDescent="0.45">
      <c r="A104" t="s">
        <v>58</v>
      </c>
      <c r="B104">
        <v>2012</v>
      </c>
      <c r="C104" t="s">
        <v>74</v>
      </c>
      <c r="D104">
        <v>3.59</v>
      </c>
    </row>
    <row r="105" spans="1:4" x14ac:dyDescent="0.45">
      <c r="A105" t="s">
        <v>91</v>
      </c>
      <c r="B105">
        <v>2012</v>
      </c>
      <c r="C105" t="s">
        <v>74</v>
      </c>
      <c r="D105">
        <v>103.05</v>
      </c>
    </row>
    <row r="106" spans="1:4" x14ac:dyDescent="0.45">
      <c r="A106" t="s">
        <v>32</v>
      </c>
      <c r="B106">
        <v>2013</v>
      </c>
      <c r="C106" t="s">
        <v>74</v>
      </c>
      <c r="D106">
        <v>37.130000000000003</v>
      </c>
    </row>
    <row r="107" spans="1:4" x14ac:dyDescent="0.45">
      <c r="A107" t="s">
        <v>34</v>
      </c>
      <c r="B107">
        <v>2013</v>
      </c>
      <c r="C107" t="s">
        <v>74</v>
      </c>
      <c r="D107">
        <v>4077.37</v>
      </c>
    </row>
    <row r="108" spans="1:4" x14ac:dyDescent="0.45">
      <c r="A108" t="s">
        <v>36</v>
      </c>
      <c r="B108">
        <v>2013</v>
      </c>
      <c r="C108" t="s">
        <v>74</v>
      </c>
      <c r="D108">
        <v>116.39</v>
      </c>
    </row>
    <row r="109" spans="1:4" x14ac:dyDescent="0.45">
      <c r="A109" t="s">
        <v>56</v>
      </c>
      <c r="B109">
        <v>2013</v>
      </c>
      <c r="C109" t="s">
        <v>74</v>
      </c>
      <c r="D109">
        <v>909.61</v>
      </c>
    </row>
    <row r="110" spans="1:4" x14ac:dyDescent="0.45">
      <c r="A110" t="s">
        <v>57</v>
      </c>
      <c r="B110">
        <v>2013</v>
      </c>
      <c r="C110" t="s">
        <v>74</v>
      </c>
      <c r="D110">
        <v>111.5</v>
      </c>
    </row>
    <row r="111" spans="1:4" x14ac:dyDescent="0.45">
      <c r="A111" t="s">
        <v>38</v>
      </c>
      <c r="B111">
        <v>2013</v>
      </c>
      <c r="C111" t="s">
        <v>74</v>
      </c>
      <c r="D111">
        <v>33</v>
      </c>
    </row>
    <row r="112" spans="1:4" x14ac:dyDescent="0.45">
      <c r="A112" t="s">
        <v>58</v>
      </c>
      <c r="B112">
        <v>2013</v>
      </c>
      <c r="C112" t="s">
        <v>74</v>
      </c>
      <c r="D112">
        <v>8.3699999999999992</v>
      </c>
    </row>
    <row r="113" spans="1:4" x14ac:dyDescent="0.45">
      <c r="A113" t="s">
        <v>91</v>
      </c>
      <c r="B113">
        <v>2013</v>
      </c>
      <c r="C113" t="s">
        <v>74</v>
      </c>
      <c r="D113">
        <v>138.26</v>
      </c>
    </row>
    <row r="114" spans="1:4" x14ac:dyDescent="0.45">
      <c r="A114" t="s">
        <v>32</v>
      </c>
      <c r="B114">
        <v>2014</v>
      </c>
      <c r="C114" t="s">
        <v>74</v>
      </c>
      <c r="D114">
        <v>46.27</v>
      </c>
    </row>
    <row r="115" spans="1:4" x14ac:dyDescent="0.45">
      <c r="A115" t="s">
        <v>34</v>
      </c>
      <c r="B115">
        <v>2014</v>
      </c>
      <c r="C115" t="s">
        <v>74</v>
      </c>
      <c r="D115">
        <v>4203.0600000000004</v>
      </c>
    </row>
    <row r="116" spans="1:4" x14ac:dyDescent="0.45">
      <c r="A116" t="s">
        <v>36</v>
      </c>
      <c r="B116">
        <v>2014</v>
      </c>
      <c r="C116" t="s">
        <v>74</v>
      </c>
      <c r="D116">
        <v>133.28</v>
      </c>
    </row>
    <row r="117" spans="1:4" x14ac:dyDescent="0.45">
      <c r="A117" t="s">
        <v>56</v>
      </c>
      <c r="B117">
        <v>2014</v>
      </c>
      <c r="C117" t="s">
        <v>74</v>
      </c>
      <c r="D117">
        <v>1059.69</v>
      </c>
    </row>
    <row r="118" spans="1:4" x14ac:dyDescent="0.45">
      <c r="A118" t="s">
        <v>57</v>
      </c>
      <c r="B118">
        <v>2014</v>
      </c>
      <c r="C118" t="s">
        <v>74</v>
      </c>
      <c r="D118">
        <v>133.22</v>
      </c>
    </row>
    <row r="119" spans="1:4" x14ac:dyDescent="0.45">
      <c r="A119" t="s">
        <v>38</v>
      </c>
      <c r="B119">
        <v>2014</v>
      </c>
      <c r="C119" t="s">
        <v>74</v>
      </c>
      <c r="D119">
        <v>35.659999999999997</v>
      </c>
    </row>
    <row r="120" spans="1:4" x14ac:dyDescent="0.45">
      <c r="A120" t="s">
        <v>58</v>
      </c>
      <c r="B120">
        <v>2014</v>
      </c>
      <c r="C120" t="s">
        <v>74</v>
      </c>
      <c r="D120">
        <v>23.51</v>
      </c>
    </row>
    <row r="121" spans="1:4" x14ac:dyDescent="0.45">
      <c r="A121" t="s">
        <v>91</v>
      </c>
      <c r="B121">
        <v>2014</v>
      </c>
      <c r="C121" t="s">
        <v>74</v>
      </c>
      <c r="D121">
        <v>159.76</v>
      </c>
    </row>
    <row r="122" spans="1:4" x14ac:dyDescent="0.45">
      <c r="A122" t="s">
        <v>32</v>
      </c>
      <c r="B122">
        <v>2015</v>
      </c>
      <c r="C122" t="s">
        <v>74</v>
      </c>
      <c r="D122">
        <v>54.07</v>
      </c>
    </row>
    <row r="123" spans="1:4" x14ac:dyDescent="0.45">
      <c r="A123" t="s">
        <v>34</v>
      </c>
      <c r="B123">
        <v>2015</v>
      </c>
      <c r="C123" t="s">
        <v>74</v>
      </c>
      <c r="D123">
        <v>4046.17</v>
      </c>
    </row>
    <row r="124" spans="1:4" x14ac:dyDescent="0.45">
      <c r="A124" t="s">
        <v>36</v>
      </c>
      <c r="B124">
        <v>2015</v>
      </c>
      <c r="C124" t="s">
        <v>74</v>
      </c>
      <c r="D124">
        <v>166.91</v>
      </c>
    </row>
    <row r="125" spans="1:4" x14ac:dyDescent="0.45">
      <c r="A125" t="s">
        <v>56</v>
      </c>
      <c r="B125">
        <v>2015</v>
      </c>
      <c r="C125" t="s">
        <v>74</v>
      </c>
      <c r="D125">
        <v>1114.52</v>
      </c>
    </row>
    <row r="126" spans="1:4" x14ac:dyDescent="0.45">
      <c r="A126" t="s">
        <v>57</v>
      </c>
      <c r="B126">
        <v>2015</v>
      </c>
      <c r="C126" t="s">
        <v>74</v>
      </c>
      <c r="D126">
        <v>171.38</v>
      </c>
    </row>
    <row r="127" spans="1:4" x14ac:dyDescent="0.45">
      <c r="A127" t="s">
        <v>38</v>
      </c>
      <c r="B127">
        <v>2015</v>
      </c>
      <c r="C127" t="s">
        <v>74</v>
      </c>
      <c r="D127">
        <v>36.46</v>
      </c>
    </row>
    <row r="128" spans="1:4" x14ac:dyDescent="0.45">
      <c r="A128" t="s">
        <v>58</v>
      </c>
      <c r="B128">
        <v>2015</v>
      </c>
      <c r="C128" t="s">
        <v>74</v>
      </c>
      <c r="D128">
        <v>39.479999999999997</v>
      </c>
    </row>
    <row r="129" spans="1:4" x14ac:dyDescent="0.45">
      <c r="A129" t="s">
        <v>91</v>
      </c>
      <c r="B129">
        <v>2015</v>
      </c>
      <c r="C129" t="s">
        <v>74</v>
      </c>
      <c r="D129">
        <v>185.59</v>
      </c>
    </row>
    <row r="130" spans="1:4" x14ac:dyDescent="0.45">
      <c r="A130" t="s">
        <v>32</v>
      </c>
      <c r="B130">
        <v>2016</v>
      </c>
      <c r="C130" t="s">
        <v>74</v>
      </c>
      <c r="D130">
        <v>62.13</v>
      </c>
    </row>
    <row r="131" spans="1:4" x14ac:dyDescent="0.45">
      <c r="A131" t="s">
        <v>34</v>
      </c>
      <c r="B131">
        <v>2016</v>
      </c>
      <c r="C131" t="s">
        <v>74</v>
      </c>
      <c r="D131">
        <v>4156.3500000000004</v>
      </c>
    </row>
    <row r="132" spans="1:4" x14ac:dyDescent="0.45">
      <c r="A132" t="s">
        <v>36</v>
      </c>
      <c r="B132">
        <v>2016</v>
      </c>
      <c r="C132" t="s">
        <v>74</v>
      </c>
      <c r="D132">
        <v>188.28</v>
      </c>
    </row>
    <row r="133" spans="1:4" x14ac:dyDescent="0.45">
      <c r="A133" t="s">
        <v>56</v>
      </c>
      <c r="B133">
        <v>2016</v>
      </c>
      <c r="C133" t="s">
        <v>74</v>
      </c>
      <c r="D133">
        <v>1153.27</v>
      </c>
    </row>
    <row r="134" spans="1:4" x14ac:dyDescent="0.45">
      <c r="A134" t="s">
        <v>57</v>
      </c>
      <c r="B134">
        <v>2016</v>
      </c>
      <c r="C134" t="s">
        <v>74</v>
      </c>
      <c r="D134">
        <v>213.18</v>
      </c>
    </row>
    <row r="135" spans="1:4" x14ac:dyDescent="0.45">
      <c r="A135" t="s">
        <v>38</v>
      </c>
      <c r="B135">
        <v>2016</v>
      </c>
      <c r="C135" t="s">
        <v>74</v>
      </c>
      <c r="D135">
        <v>52.56</v>
      </c>
    </row>
    <row r="136" spans="1:4" x14ac:dyDescent="0.45">
      <c r="A136" t="s">
        <v>58</v>
      </c>
      <c r="B136">
        <v>2016</v>
      </c>
      <c r="C136" t="s">
        <v>74</v>
      </c>
      <c r="D136">
        <v>66.53</v>
      </c>
    </row>
    <row r="137" spans="1:4" x14ac:dyDescent="0.45">
      <c r="A137" t="s">
        <v>91</v>
      </c>
      <c r="B137">
        <v>2016</v>
      </c>
      <c r="C137" t="s">
        <v>74</v>
      </c>
      <c r="D137">
        <v>240.86</v>
      </c>
    </row>
    <row r="138" spans="1:4" x14ac:dyDescent="0.45">
      <c r="A138" t="s">
        <v>32</v>
      </c>
      <c r="B138">
        <v>2017</v>
      </c>
      <c r="C138" t="s">
        <v>74</v>
      </c>
      <c r="D138">
        <v>79.599999999999994</v>
      </c>
    </row>
    <row r="139" spans="1:4" x14ac:dyDescent="0.45">
      <c r="A139" t="s">
        <v>34</v>
      </c>
      <c r="B139">
        <v>2017</v>
      </c>
      <c r="C139" t="s">
        <v>74</v>
      </c>
      <c r="D139">
        <v>4430.03</v>
      </c>
    </row>
    <row r="140" spans="1:4" x14ac:dyDescent="0.45">
      <c r="A140" t="s">
        <v>36</v>
      </c>
      <c r="B140">
        <v>2017</v>
      </c>
      <c r="C140" t="s">
        <v>74</v>
      </c>
      <c r="D140">
        <v>203.2</v>
      </c>
    </row>
    <row r="141" spans="1:4" x14ac:dyDescent="0.45">
      <c r="A141" t="s">
        <v>56</v>
      </c>
      <c r="B141">
        <v>2017</v>
      </c>
      <c r="C141" t="s">
        <v>74</v>
      </c>
      <c r="D141">
        <v>1165.06</v>
      </c>
    </row>
    <row r="142" spans="1:4" x14ac:dyDescent="0.45">
      <c r="A142" t="s">
        <v>57</v>
      </c>
      <c r="B142">
        <v>2017</v>
      </c>
      <c r="C142" t="s">
        <v>74</v>
      </c>
      <c r="D142">
        <v>248.1</v>
      </c>
    </row>
    <row r="143" spans="1:4" x14ac:dyDescent="0.45">
      <c r="A143" t="s">
        <v>38</v>
      </c>
      <c r="B143">
        <v>2017</v>
      </c>
      <c r="C143" t="s">
        <v>74</v>
      </c>
      <c r="D143">
        <v>56.05</v>
      </c>
    </row>
    <row r="144" spans="1:4" x14ac:dyDescent="0.45">
      <c r="A144" t="s">
        <v>58</v>
      </c>
      <c r="B144">
        <v>2017</v>
      </c>
      <c r="C144" t="s">
        <v>74</v>
      </c>
      <c r="D144">
        <v>117.8</v>
      </c>
    </row>
    <row r="145" spans="1:4" x14ac:dyDescent="0.45">
      <c r="A145" t="s">
        <v>91</v>
      </c>
      <c r="B145">
        <v>2017</v>
      </c>
      <c r="C145" t="s">
        <v>74</v>
      </c>
      <c r="D145">
        <v>304.60000000000002</v>
      </c>
    </row>
    <row r="146" spans="1:4" x14ac:dyDescent="0.45">
      <c r="A146" t="s">
        <v>32</v>
      </c>
      <c r="B146">
        <v>2018</v>
      </c>
      <c r="C146" t="s">
        <v>74</v>
      </c>
      <c r="D146">
        <v>93.73</v>
      </c>
    </row>
    <row r="147" spans="1:4" x14ac:dyDescent="0.45">
      <c r="A147" t="s">
        <v>34</v>
      </c>
      <c r="B147">
        <v>2018</v>
      </c>
      <c r="C147" t="s">
        <v>74</v>
      </c>
      <c r="D147">
        <v>4763.92</v>
      </c>
    </row>
    <row r="148" spans="1:4" x14ac:dyDescent="0.45">
      <c r="A148" t="s">
        <v>36</v>
      </c>
      <c r="B148">
        <v>2018</v>
      </c>
      <c r="C148" t="s">
        <v>74</v>
      </c>
      <c r="D148">
        <v>215.5</v>
      </c>
    </row>
    <row r="149" spans="1:4" x14ac:dyDescent="0.45">
      <c r="A149" t="s">
        <v>56</v>
      </c>
      <c r="B149">
        <v>2018</v>
      </c>
      <c r="C149" t="s">
        <v>74</v>
      </c>
      <c r="D149">
        <v>1198.8900000000001</v>
      </c>
    </row>
    <row r="150" spans="1:4" x14ac:dyDescent="0.45">
      <c r="A150" t="s">
        <v>57</v>
      </c>
      <c r="B150">
        <v>2018</v>
      </c>
      <c r="C150" t="s">
        <v>74</v>
      </c>
      <c r="D150">
        <v>295</v>
      </c>
    </row>
    <row r="151" spans="1:4" x14ac:dyDescent="0.45">
      <c r="A151" t="s">
        <v>38</v>
      </c>
      <c r="B151">
        <v>2018</v>
      </c>
      <c r="C151" t="s">
        <v>74</v>
      </c>
      <c r="D151">
        <v>56.4</v>
      </c>
    </row>
    <row r="152" spans="1:4" x14ac:dyDescent="0.45">
      <c r="A152" t="s">
        <v>58</v>
      </c>
      <c r="B152">
        <v>2018</v>
      </c>
      <c r="C152" t="s">
        <v>74</v>
      </c>
      <c r="D152">
        <v>176.9</v>
      </c>
    </row>
    <row r="153" spans="1:4" x14ac:dyDescent="0.45">
      <c r="A153" t="s">
        <v>91</v>
      </c>
      <c r="B153">
        <v>2018</v>
      </c>
      <c r="C153" t="s">
        <v>74</v>
      </c>
      <c r="D153">
        <v>365.8</v>
      </c>
    </row>
    <row r="154" spans="1:4" x14ac:dyDescent="0.45">
      <c r="A154" t="s">
        <v>32</v>
      </c>
      <c r="B154">
        <v>2019</v>
      </c>
      <c r="C154" t="s">
        <v>74</v>
      </c>
      <c r="D154">
        <v>112.73</v>
      </c>
    </row>
    <row r="155" spans="1:4" x14ac:dyDescent="0.45">
      <c r="A155" t="s">
        <v>34</v>
      </c>
      <c r="B155">
        <v>2019</v>
      </c>
      <c r="C155" t="s">
        <v>74</v>
      </c>
      <c r="D155">
        <v>4855.1899999999996</v>
      </c>
    </row>
    <row r="156" spans="1:4" x14ac:dyDescent="0.45">
      <c r="A156" t="s">
        <v>36</v>
      </c>
      <c r="B156">
        <v>2019</v>
      </c>
      <c r="C156" t="s">
        <v>74</v>
      </c>
      <c r="D156">
        <v>232.5</v>
      </c>
    </row>
    <row r="157" spans="1:4" x14ac:dyDescent="0.45">
      <c r="A157" t="s">
        <v>56</v>
      </c>
      <c r="B157">
        <v>2019</v>
      </c>
      <c r="C157" t="s">
        <v>74</v>
      </c>
      <c r="D157">
        <v>1272.54</v>
      </c>
    </row>
    <row r="158" spans="1:4" x14ac:dyDescent="0.45">
      <c r="A158" t="s">
        <v>57</v>
      </c>
      <c r="B158">
        <v>2019</v>
      </c>
      <c r="C158" t="s">
        <v>74</v>
      </c>
      <c r="D158">
        <v>348.7</v>
      </c>
    </row>
    <row r="159" spans="1:4" x14ac:dyDescent="0.45">
      <c r="A159" t="s">
        <v>38</v>
      </c>
      <c r="B159">
        <v>2019</v>
      </c>
      <c r="C159" t="s">
        <v>74</v>
      </c>
      <c r="D159">
        <v>52.47</v>
      </c>
    </row>
    <row r="160" spans="1:4" x14ac:dyDescent="0.45">
      <c r="A160" t="s">
        <v>58</v>
      </c>
      <c r="B160">
        <v>2019</v>
      </c>
      <c r="C160" t="s">
        <v>74</v>
      </c>
      <c r="D160">
        <v>224</v>
      </c>
    </row>
    <row r="161" spans="1:4" x14ac:dyDescent="0.45">
      <c r="A161" t="s">
        <v>91</v>
      </c>
      <c r="B161">
        <v>2019</v>
      </c>
      <c r="C161" t="s">
        <v>74</v>
      </c>
      <c r="D161">
        <v>405.3</v>
      </c>
    </row>
    <row r="162" spans="1:4" x14ac:dyDescent="0.45">
      <c r="A162" t="s">
        <v>32</v>
      </c>
      <c r="B162">
        <v>2020</v>
      </c>
      <c r="C162" t="s">
        <v>74</v>
      </c>
      <c r="D162">
        <v>135.63</v>
      </c>
    </row>
    <row r="163" spans="1:4" x14ac:dyDescent="0.45">
      <c r="A163" t="s">
        <v>34</v>
      </c>
      <c r="B163">
        <v>2020</v>
      </c>
      <c r="C163" t="s">
        <v>74</v>
      </c>
      <c r="D163">
        <v>4921.96</v>
      </c>
    </row>
    <row r="164" spans="1:4" x14ac:dyDescent="0.45">
      <c r="A164" t="s">
        <v>36</v>
      </c>
      <c r="B164">
        <v>2020</v>
      </c>
      <c r="C164" t="s">
        <v>74</v>
      </c>
      <c r="D164">
        <v>252.5</v>
      </c>
    </row>
    <row r="165" spans="1:4" x14ac:dyDescent="0.45">
      <c r="A165" t="s">
        <v>56</v>
      </c>
      <c r="B165">
        <v>2020</v>
      </c>
      <c r="C165" t="s">
        <v>74</v>
      </c>
      <c r="D165">
        <v>1321.71</v>
      </c>
    </row>
    <row r="166" spans="1:4" x14ac:dyDescent="0.45">
      <c r="A166" t="s">
        <v>57</v>
      </c>
      <c r="B166">
        <v>2020</v>
      </c>
      <c r="C166" t="s">
        <v>74</v>
      </c>
      <c r="D166">
        <v>366.2</v>
      </c>
    </row>
    <row r="167" spans="1:4" x14ac:dyDescent="0.45">
      <c r="A167" t="s">
        <v>38</v>
      </c>
      <c r="B167">
        <v>2020</v>
      </c>
      <c r="C167" t="s">
        <v>74</v>
      </c>
      <c r="D167">
        <v>53.47</v>
      </c>
    </row>
    <row r="168" spans="1:4" x14ac:dyDescent="0.45">
      <c r="A168" t="s">
        <v>58</v>
      </c>
      <c r="B168">
        <v>2020</v>
      </c>
      <c r="C168" t="s">
        <v>74</v>
      </c>
      <c r="D168">
        <v>261.10000000000002</v>
      </c>
    </row>
    <row r="169" spans="1:4" x14ac:dyDescent="0.45">
      <c r="A169" t="s">
        <v>91</v>
      </c>
      <c r="B169">
        <v>2020</v>
      </c>
      <c r="C169" t="s">
        <v>74</v>
      </c>
      <c r="D169">
        <v>466.5</v>
      </c>
    </row>
    <row r="170" spans="1:4" x14ac:dyDescent="0.45">
      <c r="A170" t="s">
        <v>32</v>
      </c>
      <c r="B170">
        <v>2021</v>
      </c>
      <c r="C170" t="s">
        <v>74</v>
      </c>
      <c r="D170">
        <v>165.93</v>
      </c>
    </row>
    <row r="171" spans="1:4" x14ac:dyDescent="0.45">
      <c r="A171" t="s">
        <v>34</v>
      </c>
      <c r="B171">
        <v>2021</v>
      </c>
      <c r="C171" t="s">
        <v>74</v>
      </c>
      <c r="D171">
        <v>5333.87</v>
      </c>
    </row>
    <row r="172" spans="1:4" x14ac:dyDescent="0.45">
      <c r="A172" t="s">
        <v>36</v>
      </c>
      <c r="B172">
        <v>2021</v>
      </c>
      <c r="C172" t="s">
        <v>74</v>
      </c>
      <c r="D172">
        <v>287.10000000000002</v>
      </c>
    </row>
    <row r="173" spans="1:4" x14ac:dyDescent="0.45">
      <c r="A173" t="s">
        <v>56</v>
      </c>
      <c r="B173">
        <v>2021</v>
      </c>
      <c r="C173" t="s">
        <v>74</v>
      </c>
      <c r="D173">
        <v>1300</v>
      </c>
    </row>
    <row r="174" spans="1:4" x14ac:dyDescent="0.45">
      <c r="A174" t="s">
        <v>57</v>
      </c>
      <c r="B174">
        <v>2021</v>
      </c>
      <c r="C174" t="s">
        <v>74</v>
      </c>
      <c r="D174">
        <v>407.5</v>
      </c>
    </row>
    <row r="175" spans="1:4" x14ac:dyDescent="0.45">
      <c r="A175" t="s">
        <v>38</v>
      </c>
      <c r="B175">
        <v>2021</v>
      </c>
      <c r="C175" t="s">
        <v>74</v>
      </c>
      <c r="D175">
        <v>57.06</v>
      </c>
    </row>
    <row r="176" spans="1:4" x14ac:dyDescent="0.45">
      <c r="A176" t="s">
        <v>58</v>
      </c>
      <c r="B176">
        <v>2021</v>
      </c>
      <c r="C176" t="s">
        <v>74</v>
      </c>
      <c r="D176">
        <v>327</v>
      </c>
    </row>
    <row r="177" spans="1:4" x14ac:dyDescent="0.45">
      <c r="A177" t="s">
        <v>91</v>
      </c>
      <c r="B177">
        <v>2021</v>
      </c>
      <c r="C177" t="s">
        <v>74</v>
      </c>
      <c r="D177">
        <v>655.8</v>
      </c>
    </row>
    <row r="178" spans="1:4" x14ac:dyDescent="0.45">
      <c r="A178" t="s">
        <v>32</v>
      </c>
      <c r="B178">
        <v>2022</v>
      </c>
      <c r="C178" t="s">
        <v>74</v>
      </c>
      <c r="D178">
        <v>182.53</v>
      </c>
    </row>
    <row r="179" spans="1:4" x14ac:dyDescent="0.45">
      <c r="A179" t="s">
        <v>34</v>
      </c>
      <c r="B179">
        <v>2022</v>
      </c>
      <c r="C179" t="s">
        <v>74</v>
      </c>
      <c r="D179">
        <v>5412.68</v>
      </c>
    </row>
    <row r="180" spans="1:4" x14ac:dyDescent="0.45">
      <c r="A180" t="s">
        <v>36</v>
      </c>
      <c r="B180">
        <v>2022</v>
      </c>
      <c r="C180" t="s">
        <v>74</v>
      </c>
      <c r="D180">
        <v>275.62</v>
      </c>
    </row>
    <row r="181" spans="1:4" x14ac:dyDescent="0.45">
      <c r="A181" t="s">
        <v>56</v>
      </c>
      <c r="B181">
        <v>2022</v>
      </c>
      <c r="C181" t="s">
        <v>74</v>
      </c>
      <c r="D181">
        <v>1298.1199999999999</v>
      </c>
    </row>
    <row r="182" spans="1:4" x14ac:dyDescent="0.45">
      <c r="A182" t="s">
        <v>57</v>
      </c>
      <c r="B182">
        <v>2022</v>
      </c>
      <c r="C182" t="s">
        <v>74</v>
      </c>
      <c r="D182">
        <v>417.78</v>
      </c>
    </row>
    <row r="183" spans="1:4" x14ac:dyDescent="0.45">
      <c r="A183" t="s">
        <v>38</v>
      </c>
      <c r="B183">
        <v>2022</v>
      </c>
      <c r="C183" t="s">
        <v>74</v>
      </c>
      <c r="D183">
        <v>72.040000000000006</v>
      </c>
    </row>
    <row r="184" spans="1:4" x14ac:dyDescent="0.45">
      <c r="A184" t="s">
        <v>58</v>
      </c>
      <c r="B184">
        <v>2022</v>
      </c>
      <c r="C184" t="s">
        <v>74</v>
      </c>
      <c r="D184">
        <v>427.27</v>
      </c>
    </row>
    <row r="185" spans="1:4" x14ac:dyDescent="0.45">
      <c r="A185" t="s">
        <v>91</v>
      </c>
      <c r="B185">
        <v>2022</v>
      </c>
      <c r="C185" t="s">
        <v>74</v>
      </c>
      <c r="D185">
        <v>762.67</v>
      </c>
    </row>
    <row r="186" spans="1:4" x14ac:dyDescent="0.45">
      <c r="A186" t="s">
        <v>32</v>
      </c>
      <c r="B186">
        <v>2023</v>
      </c>
      <c r="C186" t="s">
        <v>74</v>
      </c>
      <c r="D186">
        <v>198.13</v>
      </c>
    </row>
    <row r="187" spans="1:4" x14ac:dyDescent="0.45">
      <c r="A187" t="s">
        <v>34</v>
      </c>
      <c r="B187">
        <v>2023</v>
      </c>
      <c r="C187" t="s">
        <v>74</v>
      </c>
      <c r="D187">
        <v>5753.88</v>
      </c>
    </row>
    <row r="188" spans="1:4" x14ac:dyDescent="0.45">
      <c r="A188" t="s">
        <v>36</v>
      </c>
      <c r="B188">
        <v>2023</v>
      </c>
      <c r="C188" t="s">
        <v>74</v>
      </c>
      <c r="D188">
        <v>297.8</v>
      </c>
    </row>
    <row r="189" spans="1:4" x14ac:dyDescent="0.45">
      <c r="A189" t="s">
        <v>56</v>
      </c>
      <c r="B189">
        <v>2023</v>
      </c>
      <c r="C189" t="s">
        <v>74</v>
      </c>
      <c r="D189">
        <v>1226</v>
      </c>
    </row>
    <row r="190" spans="1:4" x14ac:dyDescent="0.45">
      <c r="A190" t="s">
        <v>57</v>
      </c>
      <c r="B190">
        <v>2023</v>
      </c>
      <c r="C190" t="s">
        <v>74</v>
      </c>
      <c r="D190">
        <v>434.72</v>
      </c>
    </row>
    <row r="191" spans="1:4" x14ac:dyDescent="0.45">
      <c r="A191" t="s">
        <v>38</v>
      </c>
      <c r="B191">
        <v>2023</v>
      </c>
      <c r="C191" t="s">
        <v>74</v>
      </c>
      <c r="D191">
        <v>75.900000000000006</v>
      </c>
    </row>
    <row r="192" spans="1:4" x14ac:dyDescent="0.45">
      <c r="A192" t="s">
        <v>58</v>
      </c>
      <c r="B192">
        <v>2023</v>
      </c>
      <c r="C192" t="s">
        <v>74</v>
      </c>
      <c r="D192">
        <v>584.15</v>
      </c>
    </row>
    <row r="193" spans="1:4" x14ac:dyDescent="0.45">
      <c r="A193" t="s">
        <v>91</v>
      </c>
      <c r="B193">
        <v>2023</v>
      </c>
      <c r="C193" t="s">
        <v>74</v>
      </c>
      <c r="D193">
        <v>885.87</v>
      </c>
    </row>
    <row r="194" spans="1:4" x14ac:dyDescent="0.45">
      <c r="A194" t="s">
        <v>32</v>
      </c>
      <c r="B194">
        <v>2000</v>
      </c>
      <c r="C194" t="s">
        <v>75</v>
      </c>
      <c r="D194">
        <v>1.1000000000000001</v>
      </c>
    </row>
    <row r="195" spans="1:4" x14ac:dyDescent="0.45">
      <c r="A195" t="s">
        <v>34</v>
      </c>
      <c r="B195">
        <v>2000</v>
      </c>
      <c r="C195" t="s">
        <v>75</v>
      </c>
      <c r="D195">
        <v>198.77</v>
      </c>
    </row>
    <row r="196" spans="1:4" x14ac:dyDescent="0.45">
      <c r="A196" t="s">
        <v>36</v>
      </c>
      <c r="B196">
        <v>2000</v>
      </c>
      <c r="C196" t="s">
        <v>75</v>
      </c>
      <c r="D196">
        <v>1.71</v>
      </c>
    </row>
    <row r="197" spans="1:4" x14ac:dyDescent="0.45">
      <c r="A197" t="s">
        <v>56</v>
      </c>
      <c r="B197">
        <v>2000</v>
      </c>
      <c r="C197" t="s">
        <v>75</v>
      </c>
      <c r="D197">
        <v>74.349999999999994</v>
      </c>
    </row>
    <row r="198" spans="1:4" x14ac:dyDescent="0.45">
      <c r="A198" t="s">
        <v>57</v>
      </c>
      <c r="B198">
        <v>2000</v>
      </c>
      <c r="C198" t="s">
        <v>75</v>
      </c>
      <c r="D198">
        <v>2.2799999999999998</v>
      </c>
    </row>
    <row r="199" spans="1:4" x14ac:dyDescent="0.45">
      <c r="A199" t="s">
        <v>38</v>
      </c>
      <c r="B199">
        <v>2000</v>
      </c>
      <c r="C199" t="s">
        <v>75</v>
      </c>
      <c r="D199">
        <v>3</v>
      </c>
    </row>
    <row r="200" spans="1:4" x14ac:dyDescent="0.45">
      <c r="A200" t="s">
        <v>58</v>
      </c>
      <c r="B200">
        <v>2000</v>
      </c>
      <c r="C200" t="s">
        <v>75</v>
      </c>
      <c r="D200">
        <v>0.03</v>
      </c>
    </row>
    <row r="201" spans="1:4" x14ac:dyDescent="0.45">
      <c r="A201" t="s">
        <v>91</v>
      </c>
      <c r="B201">
        <v>2000</v>
      </c>
      <c r="C201" t="s">
        <v>75</v>
      </c>
      <c r="D201">
        <v>0.34</v>
      </c>
    </row>
    <row r="202" spans="1:4" x14ac:dyDescent="0.45">
      <c r="A202" t="s">
        <v>32</v>
      </c>
      <c r="B202">
        <v>2001</v>
      </c>
      <c r="C202" t="s">
        <v>75</v>
      </c>
      <c r="D202">
        <v>1.1200000000000001</v>
      </c>
    </row>
    <row r="203" spans="1:4" x14ac:dyDescent="0.45">
      <c r="A203" t="s">
        <v>34</v>
      </c>
      <c r="B203">
        <v>2001</v>
      </c>
      <c r="C203" t="s">
        <v>75</v>
      </c>
      <c r="D203">
        <v>212.04</v>
      </c>
    </row>
    <row r="204" spans="1:4" x14ac:dyDescent="0.45">
      <c r="A204" t="s">
        <v>36</v>
      </c>
      <c r="B204">
        <v>2001</v>
      </c>
      <c r="C204" t="s">
        <v>75</v>
      </c>
      <c r="D204">
        <v>1.71</v>
      </c>
    </row>
    <row r="205" spans="1:4" x14ac:dyDescent="0.45">
      <c r="A205" t="s">
        <v>56</v>
      </c>
      <c r="B205">
        <v>2001</v>
      </c>
      <c r="C205" t="s">
        <v>75</v>
      </c>
      <c r="D205">
        <v>77.7</v>
      </c>
    </row>
    <row r="206" spans="1:4" x14ac:dyDescent="0.45">
      <c r="A206" t="s">
        <v>57</v>
      </c>
      <c r="B206">
        <v>2001</v>
      </c>
      <c r="C206" t="s">
        <v>75</v>
      </c>
      <c r="D206">
        <v>2.2799999999999998</v>
      </c>
    </row>
    <row r="207" spans="1:4" x14ac:dyDescent="0.45">
      <c r="A207" t="s">
        <v>38</v>
      </c>
      <c r="B207">
        <v>2001</v>
      </c>
      <c r="C207" t="s">
        <v>75</v>
      </c>
      <c r="D207">
        <v>3.19</v>
      </c>
    </row>
    <row r="208" spans="1:4" x14ac:dyDescent="0.45">
      <c r="A208" t="s">
        <v>58</v>
      </c>
      <c r="B208">
        <v>2001</v>
      </c>
      <c r="C208" t="s">
        <v>75</v>
      </c>
      <c r="D208">
        <v>0.04</v>
      </c>
    </row>
    <row r="209" spans="1:4" x14ac:dyDescent="0.45">
      <c r="A209" t="s">
        <v>91</v>
      </c>
      <c r="B209">
        <v>2001</v>
      </c>
      <c r="C209" t="s">
        <v>75</v>
      </c>
      <c r="D209">
        <v>0.38</v>
      </c>
    </row>
    <row r="210" spans="1:4" x14ac:dyDescent="0.45">
      <c r="A210" t="s">
        <v>32</v>
      </c>
      <c r="B210">
        <v>2002</v>
      </c>
      <c r="C210" t="s">
        <v>75</v>
      </c>
      <c r="D210">
        <v>1.65</v>
      </c>
    </row>
    <row r="211" spans="1:4" x14ac:dyDescent="0.45">
      <c r="A211" t="s">
        <v>34</v>
      </c>
      <c r="B211">
        <v>2002</v>
      </c>
      <c r="C211" t="s">
        <v>75</v>
      </c>
      <c r="D211">
        <v>222.57</v>
      </c>
    </row>
    <row r="212" spans="1:4" x14ac:dyDescent="0.45">
      <c r="A212" t="s">
        <v>36</v>
      </c>
      <c r="B212">
        <v>2002</v>
      </c>
      <c r="C212" t="s">
        <v>75</v>
      </c>
      <c r="D212">
        <v>1.71</v>
      </c>
    </row>
    <row r="213" spans="1:4" x14ac:dyDescent="0.45">
      <c r="A213" t="s">
        <v>56</v>
      </c>
      <c r="B213">
        <v>2002</v>
      </c>
      <c r="C213" t="s">
        <v>75</v>
      </c>
      <c r="D213">
        <v>81.069999999999993</v>
      </c>
    </row>
    <row r="214" spans="1:4" x14ac:dyDescent="0.45">
      <c r="A214" t="s">
        <v>57</v>
      </c>
      <c r="B214">
        <v>2002</v>
      </c>
      <c r="C214" t="s">
        <v>75</v>
      </c>
      <c r="D214">
        <v>4.91</v>
      </c>
    </row>
    <row r="215" spans="1:4" x14ac:dyDescent="0.45">
      <c r="A215" t="s">
        <v>38</v>
      </c>
      <c r="B215">
        <v>2002</v>
      </c>
      <c r="C215" t="s">
        <v>75</v>
      </c>
      <c r="D215">
        <v>3.36</v>
      </c>
    </row>
    <row r="216" spans="1:4" x14ac:dyDescent="0.45">
      <c r="A216" t="s">
        <v>58</v>
      </c>
      <c r="B216">
        <v>2002</v>
      </c>
      <c r="C216" t="s">
        <v>75</v>
      </c>
      <c r="D216">
        <v>0.06</v>
      </c>
    </row>
    <row r="217" spans="1:4" x14ac:dyDescent="0.45">
      <c r="A217" t="s">
        <v>91</v>
      </c>
      <c r="B217">
        <v>2002</v>
      </c>
      <c r="C217" t="s">
        <v>75</v>
      </c>
      <c r="D217">
        <v>0.45</v>
      </c>
    </row>
    <row r="218" spans="1:4" x14ac:dyDescent="0.45">
      <c r="A218" t="s">
        <v>32</v>
      </c>
      <c r="B218">
        <v>2003</v>
      </c>
      <c r="C218" t="s">
        <v>75</v>
      </c>
      <c r="D218">
        <v>1.85</v>
      </c>
    </row>
    <row r="219" spans="1:4" x14ac:dyDescent="0.45">
      <c r="A219" t="s">
        <v>34</v>
      </c>
      <c r="B219">
        <v>2003</v>
      </c>
      <c r="C219" t="s">
        <v>75</v>
      </c>
      <c r="D219">
        <v>245.29</v>
      </c>
    </row>
    <row r="220" spans="1:4" x14ac:dyDescent="0.45">
      <c r="A220" t="s">
        <v>36</v>
      </c>
      <c r="B220">
        <v>2003</v>
      </c>
      <c r="C220" t="s">
        <v>75</v>
      </c>
      <c r="D220">
        <v>3.03</v>
      </c>
    </row>
    <row r="221" spans="1:4" x14ac:dyDescent="0.45">
      <c r="A221" t="s">
        <v>56</v>
      </c>
      <c r="B221">
        <v>2003</v>
      </c>
      <c r="C221" t="s">
        <v>75</v>
      </c>
      <c r="D221">
        <v>89.9</v>
      </c>
    </row>
    <row r="222" spans="1:4" x14ac:dyDescent="0.45">
      <c r="A222" t="s">
        <v>57</v>
      </c>
      <c r="B222">
        <v>2003</v>
      </c>
      <c r="C222" t="s">
        <v>75</v>
      </c>
      <c r="D222">
        <v>5.64</v>
      </c>
    </row>
    <row r="223" spans="1:4" x14ac:dyDescent="0.45">
      <c r="A223" t="s">
        <v>38</v>
      </c>
      <c r="B223">
        <v>2003</v>
      </c>
      <c r="C223" t="s">
        <v>75</v>
      </c>
      <c r="D223">
        <v>3.66</v>
      </c>
    </row>
    <row r="224" spans="1:4" x14ac:dyDescent="0.45">
      <c r="A224" t="s">
        <v>58</v>
      </c>
      <c r="B224">
        <v>2003</v>
      </c>
      <c r="C224" t="s">
        <v>75</v>
      </c>
      <c r="D224">
        <v>7.0000000000000007E-2</v>
      </c>
    </row>
    <row r="225" spans="1:4" x14ac:dyDescent="0.45">
      <c r="A225" t="s">
        <v>91</v>
      </c>
      <c r="B225">
        <v>2003</v>
      </c>
      <c r="C225" t="s">
        <v>75</v>
      </c>
      <c r="D225">
        <v>0.55000000000000004</v>
      </c>
    </row>
    <row r="226" spans="1:4" x14ac:dyDescent="0.45">
      <c r="A226" t="s">
        <v>32</v>
      </c>
      <c r="B226">
        <v>2004</v>
      </c>
      <c r="C226" t="s">
        <v>75</v>
      </c>
      <c r="D226">
        <v>1.9</v>
      </c>
    </row>
    <row r="227" spans="1:4" x14ac:dyDescent="0.45">
      <c r="A227" t="s">
        <v>34</v>
      </c>
      <c r="B227">
        <v>2004</v>
      </c>
      <c r="C227" t="s">
        <v>75</v>
      </c>
      <c r="D227">
        <v>275.32</v>
      </c>
    </row>
    <row r="228" spans="1:4" x14ac:dyDescent="0.45">
      <c r="A228" t="s">
        <v>36</v>
      </c>
      <c r="B228">
        <v>2004</v>
      </c>
      <c r="C228" t="s">
        <v>75</v>
      </c>
      <c r="D228">
        <v>5.2</v>
      </c>
    </row>
    <row r="229" spans="1:4" x14ac:dyDescent="0.45">
      <c r="A229" t="s">
        <v>56</v>
      </c>
      <c r="B229">
        <v>2004</v>
      </c>
      <c r="C229" t="s">
        <v>75</v>
      </c>
      <c r="D229">
        <v>100.24</v>
      </c>
    </row>
    <row r="230" spans="1:4" x14ac:dyDescent="0.45">
      <c r="A230" t="s">
        <v>57</v>
      </c>
      <c r="B230">
        <v>2004</v>
      </c>
      <c r="C230" t="s">
        <v>75</v>
      </c>
      <c r="D230">
        <v>6.29</v>
      </c>
    </row>
    <row r="231" spans="1:4" x14ac:dyDescent="0.45">
      <c r="A231" t="s">
        <v>38</v>
      </c>
      <c r="B231">
        <v>2004</v>
      </c>
      <c r="C231" t="s">
        <v>75</v>
      </c>
      <c r="D231">
        <v>4.1500000000000004</v>
      </c>
    </row>
    <row r="232" spans="1:4" x14ac:dyDescent="0.45">
      <c r="A232" t="s">
        <v>58</v>
      </c>
      <c r="B232">
        <v>2004</v>
      </c>
      <c r="C232" t="s">
        <v>75</v>
      </c>
      <c r="D232">
        <v>0.08</v>
      </c>
    </row>
    <row r="233" spans="1:4" x14ac:dyDescent="0.45">
      <c r="A233" t="s">
        <v>91</v>
      </c>
      <c r="B233">
        <v>2004</v>
      </c>
      <c r="C233" t="s">
        <v>75</v>
      </c>
      <c r="D233">
        <v>0.76</v>
      </c>
    </row>
    <row r="234" spans="1:4" x14ac:dyDescent="0.45">
      <c r="A234" t="s">
        <v>32</v>
      </c>
      <c r="B234">
        <v>2005</v>
      </c>
      <c r="C234" t="s">
        <v>75</v>
      </c>
      <c r="D234">
        <v>2</v>
      </c>
    </row>
    <row r="235" spans="1:4" x14ac:dyDescent="0.45">
      <c r="A235" t="s">
        <v>34</v>
      </c>
      <c r="B235">
        <v>2005</v>
      </c>
      <c r="C235" t="s">
        <v>75</v>
      </c>
      <c r="D235">
        <v>322.16000000000003</v>
      </c>
    </row>
    <row r="236" spans="1:4" x14ac:dyDescent="0.45">
      <c r="A236" t="s">
        <v>36</v>
      </c>
      <c r="B236">
        <v>2005</v>
      </c>
      <c r="C236" t="s">
        <v>75</v>
      </c>
      <c r="D236">
        <v>12.04</v>
      </c>
    </row>
    <row r="237" spans="1:4" x14ac:dyDescent="0.45">
      <c r="A237" t="s">
        <v>56</v>
      </c>
      <c r="B237">
        <v>2005</v>
      </c>
      <c r="C237" t="s">
        <v>75</v>
      </c>
      <c r="D237">
        <v>111.79</v>
      </c>
    </row>
    <row r="238" spans="1:4" x14ac:dyDescent="0.45">
      <c r="A238" t="s">
        <v>57</v>
      </c>
      <c r="B238">
        <v>2005</v>
      </c>
      <c r="C238" t="s">
        <v>75</v>
      </c>
      <c r="D238">
        <v>6.96</v>
      </c>
    </row>
    <row r="239" spans="1:4" x14ac:dyDescent="0.45">
      <c r="A239" t="s">
        <v>38</v>
      </c>
      <c r="B239">
        <v>2005</v>
      </c>
      <c r="C239" t="s">
        <v>75</v>
      </c>
      <c r="D239">
        <v>4.93</v>
      </c>
    </row>
    <row r="240" spans="1:4" x14ac:dyDescent="0.45">
      <c r="A240" t="s">
        <v>58</v>
      </c>
      <c r="B240">
        <v>2005</v>
      </c>
      <c r="C240" t="s">
        <v>75</v>
      </c>
      <c r="D240">
        <v>0.14000000000000001</v>
      </c>
    </row>
    <row r="241" spans="1:4" x14ac:dyDescent="0.45">
      <c r="A241" t="s">
        <v>91</v>
      </c>
      <c r="B241">
        <v>2005</v>
      </c>
      <c r="C241" t="s">
        <v>75</v>
      </c>
      <c r="D241">
        <v>1.06</v>
      </c>
    </row>
    <row r="242" spans="1:4" x14ac:dyDescent="0.45">
      <c r="A242" t="s">
        <v>32</v>
      </c>
      <c r="B242">
        <v>2006</v>
      </c>
      <c r="C242" t="s">
        <v>75</v>
      </c>
      <c r="D242">
        <v>2.5</v>
      </c>
    </row>
    <row r="243" spans="1:4" x14ac:dyDescent="0.45">
      <c r="A243" t="s">
        <v>34</v>
      </c>
      <c r="B243">
        <v>2006</v>
      </c>
      <c r="C243" t="s">
        <v>75</v>
      </c>
      <c r="D243">
        <v>403.62</v>
      </c>
    </row>
    <row r="244" spans="1:4" x14ac:dyDescent="0.45">
      <c r="A244" t="s">
        <v>36</v>
      </c>
      <c r="B244">
        <v>2006</v>
      </c>
      <c r="C244" t="s">
        <v>75</v>
      </c>
      <c r="D244">
        <v>16.59</v>
      </c>
    </row>
    <row r="245" spans="1:4" x14ac:dyDescent="0.45">
      <c r="A245" t="s">
        <v>56</v>
      </c>
      <c r="B245">
        <v>2006</v>
      </c>
      <c r="C245" t="s">
        <v>75</v>
      </c>
      <c r="D245">
        <v>124.09</v>
      </c>
    </row>
    <row r="246" spans="1:4" x14ac:dyDescent="0.45">
      <c r="A246" t="s">
        <v>57</v>
      </c>
      <c r="B246">
        <v>2006</v>
      </c>
      <c r="C246" t="s">
        <v>75</v>
      </c>
      <c r="D246">
        <v>6.96</v>
      </c>
    </row>
    <row r="247" spans="1:4" x14ac:dyDescent="0.45">
      <c r="A247" t="s">
        <v>38</v>
      </c>
      <c r="B247">
        <v>2006</v>
      </c>
      <c r="C247" t="s">
        <v>75</v>
      </c>
      <c r="D247">
        <v>6.11</v>
      </c>
    </row>
    <row r="248" spans="1:4" x14ac:dyDescent="0.45">
      <c r="A248" t="s">
        <v>58</v>
      </c>
      <c r="B248">
        <v>2006</v>
      </c>
      <c r="C248" t="s">
        <v>75</v>
      </c>
      <c r="D248">
        <v>0.16</v>
      </c>
    </row>
    <row r="249" spans="1:4" x14ac:dyDescent="0.45">
      <c r="A249" t="s">
        <v>91</v>
      </c>
      <c r="B249">
        <v>2006</v>
      </c>
      <c r="C249" t="s">
        <v>75</v>
      </c>
      <c r="D249">
        <v>2.0699999999999998</v>
      </c>
    </row>
    <row r="250" spans="1:4" x14ac:dyDescent="0.45">
      <c r="A250" t="s">
        <v>32</v>
      </c>
      <c r="B250">
        <v>2007</v>
      </c>
      <c r="C250" t="s">
        <v>75</v>
      </c>
      <c r="D250">
        <v>3</v>
      </c>
    </row>
    <row r="251" spans="1:4" x14ac:dyDescent="0.45">
      <c r="A251" t="s">
        <v>34</v>
      </c>
      <c r="B251">
        <v>2007</v>
      </c>
      <c r="C251" t="s">
        <v>75</v>
      </c>
      <c r="D251">
        <v>476.01</v>
      </c>
    </row>
    <row r="252" spans="1:4" x14ac:dyDescent="0.45">
      <c r="A252" t="s">
        <v>36</v>
      </c>
      <c r="B252">
        <v>2007</v>
      </c>
      <c r="C252" t="s">
        <v>75</v>
      </c>
      <c r="D252">
        <v>23.68</v>
      </c>
    </row>
    <row r="253" spans="1:4" x14ac:dyDescent="0.45">
      <c r="A253" t="s">
        <v>56</v>
      </c>
      <c r="B253">
        <v>2007</v>
      </c>
      <c r="C253" t="s">
        <v>75</v>
      </c>
      <c r="D253">
        <v>139.29</v>
      </c>
    </row>
    <row r="254" spans="1:4" x14ac:dyDescent="0.45">
      <c r="A254" t="s">
        <v>57</v>
      </c>
      <c r="B254">
        <v>2007</v>
      </c>
      <c r="C254" t="s">
        <v>75</v>
      </c>
      <c r="D254">
        <v>9.08</v>
      </c>
    </row>
    <row r="255" spans="1:4" x14ac:dyDescent="0.45">
      <c r="A255" t="s">
        <v>38</v>
      </c>
      <c r="B255">
        <v>2007</v>
      </c>
      <c r="C255" t="s">
        <v>75</v>
      </c>
      <c r="D255">
        <v>7.01</v>
      </c>
    </row>
    <row r="256" spans="1:4" x14ac:dyDescent="0.45">
      <c r="A256" t="s">
        <v>58</v>
      </c>
      <c r="B256">
        <v>2007</v>
      </c>
      <c r="C256" t="s">
        <v>75</v>
      </c>
      <c r="D256">
        <v>0.2</v>
      </c>
    </row>
    <row r="257" spans="1:4" x14ac:dyDescent="0.45">
      <c r="A257" t="s">
        <v>91</v>
      </c>
      <c r="B257">
        <v>2007</v>
      </c>
      <c r="C257" t="s">
        <v>75</v>
      </c>
      <c r="D257">
        <v>4.2</v>
      </c>
    </row>
    <row r="258" spans="1:4" x14ac:dyDescent="0.45">
      <c r="A258" t="s">
        <v>32</v>
      </c>
      <c r="B258">
        <v>2008</v>
      </c>
      <c r="C258" t="s">
        <v>75</v>
      </c>
      <c r="D258">
        <v>3.27</v>
      </c>
    </row>
    <row r="259" spans="1:4" x14ac:dyDescent="0.45">
      <c r="A259" t="s">
        <v>34</v>
      </c>
      <c r="B259">
        <v>2008</v>
      </c>
      <c r="C259" t="s">
        <v>75</v>
      </c>
      <c r="D259">
        <v>529.54999999999995</v>
      </c>
    </row>
    <row r="260" spans="1:4" x14ac:dyDescent="0.45">
      <c r="A260" t="s">
        <v>36</v>
      </c>
      <c r="B260">
        <v>2008</v>
      </c>
      <c r="C260" t="s">
        <v>75</v>
      </c>
      <c r="D260">
        <v>26.26</v>
      </c>
    </row>
    <row r="261" spans="1:4" x14ac:dyDescent="0.45">
      <c r="A261" t="s">
        <v>56</v>
      </c>
      <c r="B261">
        <v>2008</v>
      </c>
      <c r="C261" t="s">
        <v>75</v>
      </c>
      <c r="D261">
        <v>162.4</v>
      </c>
    </row>
    <row r="262" spans="1:4" x14ac:dyDescent="0.45">
      <c r="A262" t="s">
        <v>57</v>
      </c>
      <c r="B262">
        <v>2008</v>
      </c>
      <c r="C262" t="s">
        <v>75</v>
      </c>
      <c r="D262">
        <v>9.08</v>
      </c>
    </row>
    <row r="263" spans="1:4" x14ac:dyDescent="0.45">
      <c r="A263" t="s">
        <v>38</v>
      </c>
      <c r="B263">
        <v>2008</v>
      </c>
      <c r="C263" t="s">
        <v>75</v>
      </c>
      <c r="D263">
        <v>7.59</v>
      </c>
    </row>
    <row r="264" spans="1:4" x14ac:dyDescent="0.45">
      <c r="A264" t="s">
        <v>58</v>
      </c>
      <c r="B264">
        <v>2008</v>
      </c>
      <c r="C264" t="s">
        <v>75</v>
      </c>
      <c r="D264">
        <v>0.25</v>
      </c>
    </row>
    <row r="265" spans="1:4" x14ac:dyDescent="0.45">
      <c r="A265" t="s">
        <v>91</v>
      </c>
      <c r="B265">
        <v>2008</v>
      </c>
      <c r="C265" t="s">
        <v>75</v>
      </c>
      <c r="D265">
        <v>8.39</v>
      </c>
    </row>
    <row r="266" spans="1:4" x14ac:dyDescent="0.45">
      <c r="A266" t="s">
        <v>32</v>
      </c>
      <c r="B266">
        <v>2009</v>
      </c>
      <c r="C266" t="s">
        <v>75</v>
      </c>
      <c r="D266">
        <v>4.5999999999999996</v>
      </c>
    </row>
    <row r="267" spans="1:4" x14ac:dyDescent="0.45">
      <c r="A267" t="s">
        <v>34</v>
      </c>
      <c r="B267">
        <v>2009</v>
      </c>
      <c r="C267" t="s">
        <v>75</v>
      </c>
      <c r="D267">
        <v>580.33000000000004</v>
      </c>
    </row>
    <row r="268" spans="1:4" x14ac:dyDescent="0.45">
      <c r="A268" t="s">
        <v>36</v>
      </c>
      <c r="B268">
        <v>2009</v>
      </c>
      <c r="C268" t="s">
        <v>75</v>
      </c>
      <c r="D268">
        <v>28.76</v>
      </c>
    </row>
    <row r="269" spans="1:4" x14ac:dyDescent="0.45">
      <c r="A269" t="s">
        <v>56</v>
      </c>
      <c r="B269">
        <v>2009</v>
      </c>
      <c r="C269" t="s">
        <v>75</v>
      </c>
      <c r="D269">
        <v>182.59</v>
      </c>
    </row>
    <row r="270" spans="1:4" x14ac:dyDescent="0.45">
      <c r="A270" t="s">
        <v>57</v>
      </c>
      <c r="B270">
        <v>2009</v>
      </c>
      <c r="C270" t="s">
        <v>75</v>
      </c>
      <c r="D270">
        <v>9.08</v>
      </c>
    </row>
    <row r="271" spans="1:4" x14ac:dyDescent="0.45">
      <c r="A271" t="s">
        <v>38</v>
      </c>
      <c r="B271">
        <v>2009</v>
      </c>
      <c r="C271" t="s">
        <v>75</v>
      </c>
      <c r="D271">
        <v>8.23</v>
      </c>
    </row>
    <row r="272" spans="1:4" x14ac:dyDescent="0.45">
      <c r="A272" t="s">
        <v>58</v>
      </c>
      <c r="B272">
        <v>2009</v>
      </c>
      <c r="C272" t="s">
        <v>75</v>
      </c>
      <c r="D272">
        <v>0.41</v>
      </c>
    </row>
    <row r="273" spans="1:4" x14ac:dyDescent="0.45">
      <c r="A273" t="s">
        <v>91</v>
      </c>
      <c r="B273">
        <v>2009</v>
      </c>
      <c r="C273" t="s">
        <v>75</v>
      </c>
      <c r="D273">
        <v>17.600000000000001</v>
      </c>
    </row>
    <row r="274" spans="1:4" x14ac:dyDescent="0.45">
      <c r="A274" t="s">
        <v>32</v>
      </c>
      <c r="B274">
        <v>2010</v>
      </c>
      <c r="C274" t="s">
        <v>75</v>
      </c>
      <c r="D274">
        <v>2.33</v>
      </c>
    </row>
    <row r="275" spans="1:4" x14ac:dyDescent="0.45">
      <c r="A275" t="s">
        <v>34</v>
      </c>
      <c r="B275">
        <v>2010</v>
      </c>
      <c r="C275" t="s">
        <v>75</v>
      </c>
      <c r="D275">
        <v>634.11</v>
      </c>
    </row>
    <row r="276" spans="1:4" x14ac:dyDescent="0.45">
      <c r="A276" t="s">
        <v>36</v>
      </c>
      <c r="B276">
        <v>2010</v>
      </c>
      <c r="C276" t="s">
        <v>75</v>
      </c>
      <c r="D276">
        <v>31.73</v>
      </c>
    </row>
    <row r="277" spans="1:4" x14ac:dyDescent="0.45">
      <c r="A277" t="s">
        <v>56</v>
      </c>
      <c r="B277">
        <v>2010</v>
      </c>
      <c r="C277" t="s">
        <v>75</v>
      </c>
      <c r="D277">
        <v>199.13</v>
      </c>
    </row>
    <row r="278" spans="1:4" x14ac:dyDescent="0.45">
      <c r="A278" t="s">
        <v>57</v>
      </c>
      <c r="B278">
        <v>2010</v>
      </c>
      <c r="C278" t="s">
        <v>75</v>
      </c>
      <c r="D278">
        <v>10.82</v>
      </c>
    </row>
    <row r="279" spans="1:4" x14ac:dyDescent="0.45">
      <c r="A279" t="s">
        <v>38</v>
      </c>
      <c r="B279">
        <v>2010</v>
      </c>
      <c r="C279" t="s">
        <v>75</v>
      </c>
      <c r="D279">
        <v>9.9</v>
      </c>
    </row>
    <row r="280" spans="1:4" x14ac:dyDescent="0.45">
      <c r="A280" t="s">
        <v>58</v>
      </c>
      <c r="B280">
        <v>2010</v>
      </c>
      <c r="C280" t="s">
        <v>75</v>
      </c>
      <c r="D280">
        <v>1.02</v>
      </c>
    </row>
    <row r="281" spans="1:4" x14ac:dyDescent="0.45">
      <c r="A281" t="s">
        <v>91</v>
      </c>
      <c r="B281">
        <v>2010</v>
      </c>
      <c r="C281" t="s">
        <v>75</v>
      </c>
      <c r="D281">
        <v>29.63</v>
      </c>
    </row>
    <row r="282" spans="1:4" x14ac:dyDescent="0.45">
      <c r="A282" t="s">
        <v>32</v>
      </c>
      <c r="B282">
        <v>2011</v>
      </c>
      <c r="C282" t="s">
        <v>75</v>
      </c>
      <c r="D282">
        <v>2.68</v>
      </c>
    </row>
    <row r="283" spans="1:4" x14ac:dyDescent="0.45">
      <c r="A283" t="s">
        <v>34</v>
      </c>
      <c r="B283">
        <v>2011</v>
      </c>
      <c r="C283" t="s">
        <v>75</v>
      </c>
      <c r="D283">
        <v>691.86</v>
      </c>
    </row>
    <row r="284" spans="1:4" x14ac:dyDescent="0.45">
      <c r="A284" t="s">
        <v>36</v>
      </c>
      <c r="B284">
        <v>2011</v>
      </c>
      <c r="C284" t="s">
        <v>75</v>
      </c>
      <c r="D284">
        <v>34.47</v>
      </c>
    </row>
    <row r="285" spans="1:4" x14ac:dyDescent="0.45">
      <c r="A285" t="s">
        <v>56</v>
      </c>
      <c r="B285">
        <v>2011</v>
      </c>
      <c r="C285" t="s">
        <v>75</v>
      </c>
      <c r="D285">
        <v>214.6</v>
      </c>
    </row>
    <row r="286" spans="1:4" x14ac:dyDescent="0.45">
      <c r="A286" t="s">
        <v>57</v>
      </c>
      <c r="B286">
        <v>2011</v>
      </c>
      <c r="C286" t="s">
        <v>75</v>
      </c>
      <c r="D286">
        <v>12.57</v>
      </c>
    </row>
    <row r="287" spans="1:4" x14ac:dyDescent="0.45">
      <c r="A287" t="s">
        <v>38</v>
      </c>
      <c r="B287">
        <v>2011</v>
      </c>
      <c r="C287" t="s">
        <v>75</v>
      </c>
      <c r="D287">
        <v>4.41</v>
      </c>
    </row>
    <row r="288" spans="1:4" x14ac:dyDescent="0.45">
      <c r="A288" t="s">
        <v>58</v>
      </c>
      <c r="B288">
        <v>2011</v>
      </c>
      <c r="C288" t="s">
        <v>75</v>
      </c>
      <c r="D288">
        <v>3.11</v>
      </c>
    </row>
    <row r="289" spans="1:4" x14ac:dyDescent="0.45">
      <c r="A289" t="s">
        <v>91</v>
      </c>
      <c r="B289">
        <v>2011</v>
      </c>
      <c r="C289" t="s">
        <v>75</v>
      </c>
      <c r="D289">
        <v>46.35</v>
      </c>
    </row>
    <row r="290" spans="1:4" x14ac:dyDescent="0.45">
      <c r="A290" t="s">
        <v>32</v>
      </c>
      <c r="B290">
        <v>2012</v>
      </c>
      <c r="C290" t="s">
        <v>75</v>
      </c>
      <c r="D290">
        <v>3.47</v>
      </c>
    </row>
    <row r="291" spans="1:4" x14ac:dyDescent="0.45">
      <c r="A291" t="s">
        <v>34</v>
      </c>
      <c r="B291">
        <v>2012</v>
      </c>
      <c r="C291" t="s">
        <v>75</v>
      </c>
      <c r="D291">
        <v>739.92</v>
      </c>
    </row>
    <row r="292" spans="1:4" x14ac:dyDescent="0.45">
      <c r="A292" t="s">
        <v>36</v>
      </c>
      <c r="B292">
        <v>2012</v>
      </c>
      <c r="C292" t="s">
        <v>75</v>
      </c>
      <c r="D292">
        <v>36.090000000000003</v>
      </c>
    </row>
    <row r="293" spans="1:4" x14ac:dyDescent="0.45">
      <c r="A293" t="s">
        <v>56</v>
      </c>
      <c r="B293">
        <v>2012</v>
      </c>
      <c r="C293" t="s">
        <v>75</v>
      </c>
      <c r="D293">
        <v>229.14</v>
      </c>
    </row>
    <row r="294" spans="1:4" x14ac:dyDescent="0.45">
      <c r="A294" t="s">
        <v>57</v>
      </c>
      <c r="B294">
        <v>2012</v>
      </c>
      <c r="C294" t="s">
        <v>75</v>
      </c>
      <c r="D294">
        <v>12.57</v>
      </c>
    </row>
    <row r="295" spans="1:4" x14ac:dyDescent="0.45">
      <c r="A295" t="s">
        <v>38</v>
      </c>
      <c r="B295">
        <v>2012</v>
      </c>
      <c r="C295" t="s">
        <v>75</v>
      </c>
      <c r="D295">
        <v>7.25</v>
      </c>
    </row>
    <row r="296" spans="1:4" x14ac:dyDescent="0.45">
      <c r="A296" t="s">
        <v>58</v>
      </c>
      <c r="B296">
        <v>2012</v>
      </c>
      <c r="C296" t="s">
        <v>75</v>
      </c>
      <c r="D296">
        <v>6.72</v>
      </c>
    </row>
    <row r="297" spans="1:4" x14ac:dyDescent="0.45">
      <c r="A297" t="s">
        <v>91</v>
      </c>
      <c r="B297">
        <v>2012</v>
      </c>
      <c r="C297" t="s">
        <v>75</v>
      </c>
      <c r="D297">
        <v>61.6</v>
      </c>
    </row>
    <row r="298" spans="1:4" x14ac:dyDescent="0.45">
      <c r="A298" t="s">
        <v>32</v>
      </c>
      <c r="B298">
        <v>2013</v>
      </c>
      <c r="C298" t="s">
        <v>75</v>
      </c>
      <c r="D298">
        <v>4.3899999999999997</v>
      </c>
    </row>
    <row r="299" spans="1:4" x14ac:dyDescent="0.45">
      <c r="A299" t="s">
        <v>34</v>
      </c>
      <c r="B299">
        <v>2013</v>
      </c>
      <c r="C299" t="s">
        <v>75</v>
      </c>
      <c r="D299">
        <v>786.82</v>
      </c>
    </row>
    <row r="300" spans="1:4" x14ac:dyDescent="0.45">
      <c r="A300" t="s">
        <v>36</v>
      </c>
      <c r="B300">
        <v>2013</v>
      </c>
      <c r="C300" t="s">
        <v>75</v>
      </c>
      <c r="D300">
        <v>41.88</v>
      </c>
    </row>
    <row r="301" spans="1:4" x14ac:dyDescent="0.45">
      <c r="A301" t="s">
        <v>56</v>
      </c>
      <c r="B301">
        <v>2013</v>
      </c>
      <c r="C301" t="s">
        <v>75</v>
      </c>
      <c r="D301">
        <v>258.91000000000003</v>
      </c>
    </row>
    <row r="302" spans="1:4" x14ac:dyDescent="0.45">
      <c r="A302" t="s">
        <v>57</v>
      </c>
      <c r="B302">
        <v>2013</v>
      </c>
      <c r="C302" t="s">
        <v>75</v>
      </c>
      <c r="D302">
        <v>14.66</v>
      </c>
    </row>
    <row r="303" spans="1:4" x14ac:dyDescent="0.45">
      <c r="A303" t="s">
        <v>38</v>
      </c>
      <c r="B303">
        <v>2013</v>
      </c>
      <c r="C303" t="s">
        <v>75</v>
      </c>
      <c r="D303">
        <v>7.6</v>
      </c>
    </row>
    <row r="304" spans="1:4" x14ac:dyDescent="0.45">
      <c r="A304" t="s">
        <v>58</v>
      </c>
      <c r="B304">
        <v>2013</v>
      </c>
      <c r="C304" t="s">
        <v>75</v>
      </c>
      <c r="D304">
        <v>17.760000000000002</v>
      </c>
    </row>
    <row r="305" spans="1:4" x14ac:dyDescent="0.45">
      <c r="A305" t="s">
        <v>91</v>
      </c>
      <c r="B305">
        <v>2013</v>
      </c>
      <c r="C305" t="s">
        <v>75</v>
      </c>
      <c r="D305">
        <v>76.73</v>
      </c>
    </row>
    <row r="306" spans="1:4" x14ac:dyDescent="0.45">
      <c r="A306" t="s">
        <v>32</v>
      </c>
      <c r="B306">
        <v>2014</v>
      </c>
      <c r="C306" t="s">
        <v>75</v>
      </c>
      <c r="D306">
        <v>4.76</v>
      </c>
    </row>
    <row r="307" spans="1:4" x14ac:dyDescent="0.45">
      <c r="A307" t="s">
        <v>34</v>
      </c>
      <c r="B307">
        <v>2014</v>
      </c>
      <c r="C307" t="s">
        <v>75</v>
      </c>
      <c r="D307">
        <v>818</v>
      </c>
    </row>
    <row r="308" spans="1:4" x14ac:dyDescent="0.45">
      <c r="A308" t="s">
        <v>36</v>
      </c>
      <c r="B308">
        <v>2014</v>
      </c>
      <c r="C308" t="s">
        <v>75</v>
      </c>
      <c r="D308">
        <v>55.04</v>
      </c>
    </row>
    <row r="309" spans="1:4" x14ac:dyDescent="0.45">
      <c r="A309" t="s">
        <v>56</v>
      </c>
      <c r="B309">
        <v>2014</v>
      </c>
      <c r="C309" t="s">
        <v>75</v>
      </c>
      <c r="D309">
        <v>282.75</v>
      </c>
    </row>
    <row r="310" spans="1:4" x14ac:dyDescent="0.45">
      <c r="A310" t="s">
        <v>57</v>
      </c>
      <c r="B310">
        <v>2014</v>
      </c>
      <c r="C310" t="s">
        <v>75</v>
      </c>
      <c r="D310">
        <v>20.079999999999998</v>
      </c>
    </row>
    <row r="311" spans="1:4" x14ac:dyDescent="0.45">
      <c r="A311" t="s">
        <v>38</v>
      </c>
      <c r="B311">
        <v>2014</v>
      </c>
      <c r="C311" t="s">
        <v>75</v>
      </c>
      <c r="D311">
        <v>7.01</v>
      </c>
    </row>
    <row r="312" spans="1:4" x14ac:dyDescent="0.45">
      <c r="A312" t="s">
        <v>58</v>
      </c>
      <c r="B312">
        <v>2014</v>
      </c>
      <c r="C312" t="s">
        <v>75</v>
      </c>
      <c r="D312">
        <v>28.4</v>
      </c>
    </row>
    <row r="313" spans="1:4" x14ac:dyDescent="0.45">
      <c r="A313" t="s">
        <v>91</v>
      </c>
      <c r="B313">
        <v>2014</v>
      </c>
      <c r="C313" t="s">
        <v>75</v>
      </c>
      <c r="D313">
        <v>96.82</v>
      </c>
    </row>
    <row r="314" spans="1:4" x14ac:dyDescent="0.45">
      <c r="A314" t="s">
        <v>32</v>
      </c>
      <c r="B314">
        <v>2015</v>
      </c>
      <c r="C314" t="s">
        <v>75</v>
      </c>
      <c r="D314">
        <v>5.64</v>
      </c>
    </row>
    <row r="315" spans="1:4" x14ac:dyDescent="0.45">
      <c r="A315" t="s">
        <v>34</v>
      </c>
      <c r="B315">
        <v>2015</v>
      </c>
      <c r="C315" t="s">
        <v>75</v>
      </c>
      <c r="D315">
        <v>877.58</v>
      </c>
    </row>
    <row r="316" spans="1:4" x14ac:dyDescent="0.45">
      <c r="A316" t="s">
        <v>36</v>
      </c>
      <c r="B316">
        <v>2015</v>
      </c>
      <c r="C316" t="s">
        <v>75</v>
      </c>
      <c r="D316">
        <v>63.62</v>
      </c>
    </row>
    <row r="317" spans="1:4" x14ac:dyDescent="0.45">
      <c r="A317" t="s">
        <v>56</v>
      </c>
      <c r="B317">
        <v>2015</v>
      </c>
      <c r="C317" t="s">
        <v>75</v>
      </c>
      <c r="D317">
        <v>296.5</v>
      </c>
    </row>
    <row r="318" spans="1:4" x14ac:dyDescent="0.45">
      <c r="A318" t="s">
        <v>57</v>
      </c>
      <c r="B318">
        <v>2015</v>
      </c>
      <c r="C318" t="s">
        <v>75</v>
      </c>
      <c r="D318">
        <v>27.17</v>
      </c>
    </row>
    <row r="319" spans="1:4" x14ac:dyDescent="0.45">
      <c r="A319" t="s">
        <v>38</v>
      </c>
      <c r="B319">
        <v>2015</v>
      </c>
      <c r="C319" t="s">
        <v>75</v>
      </c>
      <c r="D319">
        <v>6.68</v>
      </c>
    </row>
    <row r="320" spans="1:4" x14ac:dyDescent="0.45">
      <c r="A320" t="s">
        <v>58</v>
      </c>
      <c r="B320">
        <v>2015</v>
      </c>
      <c r="C320" t="s">
        <v>75</v>
      </c>
      <c r="D320">
        <v>43.55</v>
      </c>
    </row>
    <row r="321" spans="1:4" x14ac:dyDescent="0.45">
      <c r="A321" t="s">
        <v>91</v>
      </c>
      <c r="B321">
        <v>2015</v>
      </c>
      <c r="C321" t="s">
        <v>75</v>
      </c>
      <c r="D321">
        <v>131.05000000000001</v>
      </c>
    </row>
    <row r="322" spans="1:4" x14ac:dyDescent="0.45">
      <c r="A322" t="s">
        <v>32</v>
      </c>
      <c r="B322">
        <v>2016</v>
      </c>
      <c r="C322" t="s">
        <v>75</v>
      </c>
      <c r="D322">
        <v>6.4</v>
      </c>
    </row>
    <row r="323" spans="1:4" x14ac:dyDescent="0.45">
      <c r="A323" t="s">
        <v>34</v>
      </c>
      <c r="B323">
        <v>2016</v>
      </c>
      <c r="C323" t="s">
        <v>75</v>
      </c>
      <c r="D323">
        <v>921.25</v>
      </c>
    </row>
    <row r="324" spans="1:4" x14ac:dyDescent="0.45">
      <c r="A324" t="s">
        <v>36</v>
      </c>
      <c r="B324">
        <v>2016</v>
      </c>
      <c r="C324" t="s">
        <v>75</v>
      </c>
      <c r="D324">
        <v>66.31</v>
      </c>
    </row>
    <row r="325" spans="1:4" x14ac:dyDescent="0.45">
      <c r="A325" t="s">
        <v>56</v>
      </c>
      <c r="B325">
        <v>2016</v>
      </c>
      <c r="C325" t="s">
        <v>75</v>
      </c>
      <c r="D325">
        <v>305.38</v>
      </c>
    </row>
    <row r="326" spans="1:4" x14ac:dyDescent="0.45">
      <c r="A326" t="s">
        <v>57</v>
      </c>
      <c r="B326">
        <v>2016</v>
      </c>
      <c r="C326" t="s">
        <v>75</v>
      </c>
      <c r="D326">
        <v>33.64</v>
      </c>
    </row>
    <row r="327" spans="1:4" x14ac:dyDescent="0.45">
      <c r="A327" t="s">
        <v>38</v>
      </c>
      <c r="B327">
        <v>2016</v>
      </c>
      <c r="C327" t="s">
        <v>75</v>
      </c>
      <c r="D327">
        <v>4.96</v>
      </c>
    </row>
    <row r="328" spans="1:4" x14ac:dyDescent="0.45">
      <c r="A328" t="s">
        <v>58</v>
      </c>
      <c r="B328">
        <v>2016</v>
      </c>
      <c r="C328" t="s">
        <v>75</v>
      </c>
      <c r="D328">
        <v>77.819999999999993</v>
      </c>
    </row>
    <row r="329" spans="1:4" x14ac:dyDescent="0.45">
      <c r="A329" t="s">
        <v>91</v>
      </c>
      <c r="B329">
        <v>2016</v>
      </c>
      <c r="C329" t="s">
        <v>75</v>
      </c>
      <c r="D329">
        <v>148.52000000000001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7.59</v>
      </c>
    </row>
    <row r="331" spans="1:4" x14ac:dyDescent="0.45">
      <c r="A331" t="s">
        <v>34</v>
      </c>
      <c r="B331">
        <v>2017</v>
      </c>
      <c r="C331" t="s">
        <v>75</v>
      </c>
      <c r="D331">
        <v>954.25</v>
      </c>
    </row>
    <row r="332" spans="1:4" x14ac:dyDescent="0.45">
      <c r="A332" t="s">
        <v>36</v>
      </c>
      <c r="B332">
        <v>2017</v>
      </c>
      <c r="C332" t="s">
        <v>75</v>
      </c>
      <c r="D332">
        <v>72.36</v>
      </c>
    </row>
    <row r="333" spans="1:4" x14ac:dyDescent="0.45">
      <c r="A333" t="s">
        <v>56</v>
      </c>
      <c r="B333">
        <v>2017</v>
      </c>
      <c r="C333" t="s">
        <v>75</v>
      </c>
      <c r="D333">
        <v>314.38</v>
      </c>
    </row>
    <row r="334" spans="1:4" x14ac:dyDescent="0.45">
      <c r="A334" t="s">
        <v>57</v>
      </c>
      <c r="B334">
        <v>2017</v>
      </c>
      <c r="C334" t="s">
        <v>75</v>
      </c>
      <c r="D334">
        <v>35.82</v>
      </c>
    </row>
    <row r="335" spans="1:4" x14ac:dyDescent="0.45">
      <c r="A335" t="s">
        <v>38</v>
      </c>
      <c r="B335">
        <v>2017</v>
      </c>
      <c r="C335" t="s">
        <v>75</v>
      </c>
      <c r="D335">
        <v>5.61</v>
      </c>
    </row>
    <row r="336" spans="1:4" x14ac:dyDescent="0.45">
      <c r="A336" t="s">
        <v>58</v>
      </c>
      <c r="B336">
        <v>2017</v>
      </c>
      <c r="C336" t="s">
        <v>75</v>
      </c>
      <c r="D336">
        <v>130.83000000000001</v>
      </c>
    </row>
    <row r="337" spans="1:4" x14ac:dyDescent="0.45">
      <c r="A337" t="s">
        <v>91</v>
      </c>
      <c r="B337">
        <v>2017</v>
      </c>
      <c r="C337" t="s">
        <v>75</v>
      </c>
      <c r="D337">
        <v>164.37</v>
      </c>
    </row>
    <row r="338" spans="1:4" x14ac:dyDescent="0.45">
      <c r="A338" t="s">
        <v>32</v>
      </c>
      <c r="B338">
        <v>2018</v>
      </c>
      <c r="C338" t="s">
        <v>75</v>
      </c>
      <c r="D338">
        <v>8.66</v>
      </c>
    </row>
    <row r="339" spans="1:4" x14ac:dyDescent="0.45">
      <c r="A339" t="s">
        <v>34</v>
      </c>
      <c r="B339">
        <v>2018</v>
      </c>
      <c r="C339" t="s">
        <v>75</v>
      </c>
      <c r="D339">
        <v>977.08</v>
      </c>
    </row>
    <row r="340" spans="1:4" x14ac:dyDescent="0.45">
      <c r="A340" t="s">
        <v>36</v>
      </c>
      <c r="B340">
        <v>2018</v>
      </c>
      <c r="C340" t="s">
        <v>75</v>
      </c>
      <c r="D340">
        <v>80.72</v>
      </c>
    </row>
    <row r="341" spans="1:4" x14ac:dyDescent="0.45">
      <c r="A341" t="s">
        <v>56</v>
      </c>
      <c r="B341">
        <v>2018</v>
      </c>
      <c r="C341" t="s">
        <v>75</v>
      </c>
      <c r="D341">
        <v>322.27</v>
      </c>
    </row>
    <row r="342" spans="1:4" x14ac:dyDescent="0.45">
      <c r="A342" t="s">
        <v>57</v>
      </c>
      <c r="B342">
        <v>2018</v>
      </c>
      <c r="C342" t="s">
        <v>75</v>
      </c>
      <c r="D342">
        <v>44.66</v>
      </c>
    </row>
    <row r="343" spans="1:4" x14ac:dyDescent="0.45">
      <c r="A343" t="s">
        <v>38</v>
      </c>
      <c r="B343">
        <v>2018</v>
      </c>
      <c r="C343" t="s">
        <v>75</v>
      </c>
      <c r="D343">
        <v>6.3</v>
      </c>
    </row>
    <row r="344" spans="1:4" x14ac:dyDescent="0.45">
      <c r="A344" t="s">
        <v>58</v>
      </c>
      <c r="B344">
        <v>2018</v>
      </c>
      <c r="C344" t="s">
        <v>75</v>
      </c>
      <c r="D344">
        <v>175.26</v>
      </c>
    </row>
    <row r="345" spans="1:4" x14ac:dyDescent="0.45">
      <c r="A345" t="s">
        <v>91</v>
      </c>
      <c r="B345">
        <v>2018</v>
      </c>
      <c r="C345" t="s">
        <v>75</v>
      </c>
      <c r="D345">
        <v>184.66</v>
      </c>
    </row>
    <row r="346" spans="1:4" x14ac:dyDescent="0.45">
      <c r="A346" t="s">
        <v>32</v>
      </c>
      <c r="B346">
        <v>2019</v>
      </c>
      <c r="C346" t="s">
        <v>75</v>
      </c>
      <c r="D346">
        <v>10.53</v>
      </c>
    </row>
    <row r="347" spans="1:4" x14ac:dyDescent="0.45">
      <c r="A347" t="s">
        <v>34</v>
      </c>
      <c r="B347">
        <v>2019</v>
      </c>
      <c r="C347" t="s">
        <v>75</v>
      </c>
      <c r="D347">
        <v>1018.39</v>
      </c>
    </row>
    <row r="348" spans="1:4" x14ac:dyDescent="0.45">
      <c r="A348" t="s">
        <v>36</v>
      </c>
      <c r="B348">
        <v>2019</v>
      </c>
      <c r="C348" t="s">
        <v>75</v>
      </c>
      <c r="D348">
        <v>90.2</v>
      </c>
    </row>
    <row r="349" spans="1:4" x14ac:dyDescent="0.45">
      <c r="A349" t="s">
        <v>56</v>
      </c>
      <c r="B349">
        <v>2019</v>
      </c>
      <c r="C349" t="s">
        <v>75</v>
      </c>
      <c r="D349">
        <v>327.75</v>
      </c>
    </row>
    <row r="350" spans="1:4" x14ac:dyDescent="0.45">
      <c r="A350" t="s">
        <v>57</v>
      </c>
      <c r="B350">
        <v>2019</v>
      </c>
      <c r="C350" t="s">
        <v>75</v>
      </c>
      <c r="D350">
        <v>48.74</v>
      </c>
    </row>
    <row r="351" spans="1:4" x14ac:dyDescent="0.45">
      <c r="A351" t="s">
        <v>38</v>
      </c>
      <c r="B351">
        <v>2019</v>
      </c>
      <c r="C351" t="s">
        <v>75</v>
      </c>
      <c r="D351">
        <v>7.76</v>
      </c>
    </row>
    <row r="352" spans="1:4" x14ac:dyDescent="0.45">
      <c r="A352" t="s">
        <v>58</v>
      </c>
      <c r="B352">
        <v>2019</v>
      </c>
      <c r="C352" t="s">
        <v>75</v>
      </c>
      <c r="D352">
        <v>204.97</v>
      </c>
    </row>
    <row r="353" spans="1:4" x14ac:dyDescent="0.45">
      <c r="A353" t="s">
        <v>91</v>
      </c>
      <c r="B353">
        <v>2019</v>
      </c>
      <c r="C353" t="s">
        <v>75</v>
      </c>
      <c r="D353">
        <v>209.58</v>
      </c>
    </row>
    <row r="354" spans="1:4" x14ac:dyDescent="0.45">
      <c r="A354" t="s">
        <v>32</v>
      </c>
      <c r="B354">
        <v>2020</v>
      </c>
      <c r="C354" t="s">
        <v>75</v>
      </c>
      <c r="D354">
        <v>14.19</v>
      </c>
    </row>
    <row r="355" spans="1:4" x14ac:dyDescent="0.45">
      <c r="A355" t="s">
        <v>34</v>
      </c>
      <c r="B355">
        <v>2020</v>
      </c>
      <c r="C355" t="s">
        <v>75</v>
      </c>
      <c r="D355">
        <v>1046.92</v>
      </c>
    </row>
    <row r="356" spans="1:4" x14ac:dyDescent="0.45">
      <c r="A356" t="s">
        <v>36</v>
      </c>
      <c r="B356">
        <v>2020</v>
      </c>
      <c r="C356" t="s">
        <v>75</v>
      </c>
      <c r="D356">
        <v>98.53</v>
      </c>
    </row>
    <row r="357" spans="1:4" x14ac:dyDescent="0.45">
      <c r="A357" t="s">
        <v>56</v>
      </c>
      <c r="B357">
        <v>2020</v>
      </c>
      <c r="C357" t="s">
        <v>75</v>
      </c>
      <c r="D357">
        <v>338.67</v>
      </c>
    </row>
    <row r="358" spans="1:4" x14ac:dyDescent="0.45">
      <c r="A358" t="s">
        <v>57</v>
      </c>
      <c r="B358">
        <v>2020</v>
      </c>
      <c r="C358" t="s">
        <v>75</v>
      </c>
      <c r="D358">
        <v>49.89</v>
      </c>
    </row>
    <row r="359" spans="1:4" x14ac:dyDescent="0.45">
      <c r="A359" t="s">
        <v>38</v>
      </c>
      <c r="B359">
        <v>2020</v>
      </c>
      <c r="C359" t="s">
        <v>75</v>
      </c>
      <c r="D359">
        <v>9.49</v>
      </c>
    </row>
    <row r="360" spans="1:4" x14ac:dyDescent="0.45">
      <c r="A360" t="s">
        <v>58</v>
      </c>
      <c r="B360">
        <v>2020</v>
      </c>
      <c r="C360" t="s">
        <v>75</v>
      </c>
      <c r="D360">
        <v>253.86</v>
      </c>
    </row>
    <row r="361" spans="1:4" x14ac:dyDescent="0.45">
      <c r="A361" t="s">
        <v>91</v>
      </c>
      <c r="B361">
        <v>2020</v>
      </c>
      <c r="C361" t="s">
        <v>75</v>
      </c>
      <c r="D361">
        <v>281.99</v>
      </c>
    </row>
    <row r="362" spans="1:4" x14ac:dyDescent="0.45">
      <c r="A362" t="s">
        <v>32</v>
      </c>
      <c r="B362">
        <v>2021</v>
      </c>
      <c r="C362" t="s">
        <v>75</v>
      </c>
      <c r="D362">
        <v>16.7</v>
      </c>
    </row>
    <row r="363" spans="1:4" x14ac:dyDescent="0.45">
      <c r="A363" t="s">
        <v>34</v>
      </c>
      <c r="B363">
        <v>2021</v>
      </c>
      <c r="C363" t="s">
        <v>75</v>
      </c>
      <c r="D363">
        <v>1071.8399999999999</v>
      </c>
    </row>
    <row r="364" spans="1:4" x14ac:dyDescent="0.45">
      <c r="A364" t="s">
        <v>36</v>
      </c>
      <c r="B364">
        <v>2021</v>
      </c>
      <c r="C364" t="s">
        <v>75</v>
      </c>
      <c r="D364">
        <v>108.44</v>
      </c>
    </row>
    <row r="365" spans="1:4" x14ac:dyDescent="0.45">
      <c r="A365" t="s">
        <v>56</v>
      </c>
      <c r="B365">
        <v>2021</v>
      </c>
      <c r="C365" t="s">
        <v>75</v>
      </c>
      <c r="D365">
        <v>354.53</v>
      </c>
    </row>
    <row r="366" spans="1:4" x14ac:dyDescent="0.45">
      <c r="A366" t="s">
        <v>57</v>
      </c>
      <c r="B366">
        <v>2021</v>
      </c>
      <c r="C366" t="s">
        <v>75</v>
      </c>
      <c r="D366">
        <v>53.26</v>
      </c>
    </row>
    <row r="367" spans="1:4" x14ac:dyDescent="0.45">
      <c r="A367" t="s">
        <v>38</v>
      </c>
      <c r="B367">
        <v>2021</v>
      </c>
      <c r="C367" t="s">
        <v>75</v>
      </c>
      <c r="D367">
        <v>12.53</v>
      </c>
    </row>
    <row r="368" spans="1:4" x14ac:dyDescent="0.45">
      <c r="A368" t="s">
        <v>58</v>
      </c>
      <c r="B368">
        <v>2021</v>
      </c>
      <c r="C368" t="s">
        <v>75</v>
      </c>
      <c r="D368">
        <v>306.97000000000003</v>
      </c>
    </row>
    <row r="369" spans="1:4" x14ac:dyDescent="0.45">
      <c r="A369" t="s">
        <v>91</v>
      </c>
      <c r="B369">
        <v>2021</v>
      </c>
      <c r="C369" t="s">
        <v>75</v>
      </c>
      <c r="D369">
        <v>328.97</v>
      </c>
    </row>
    <row r="370" spans="1:4" x14ac:dyDescent="0.45">
      <c r="A370" t="s">
        <v>32</v>
      </c>
      <c r="B370">
        <v>2022</v>
      </c>
      <c r="C370" t="s">
        <v>75</v>
      </c>
      <c r="D370">
        <v>17.46</v>
      </c>
    </row>
    <row r="371" spans="1:4" x14ac:dyDescent="0.45">
      <c r="A371" t="s">
        <v>34</v>
      </c>
      <c r="B371">
        <v>2022</v>
      </c>
      <c r="C371" t="s">
        <v>75</v>
      </c>
      <c r="D371">
        <v>1096.47</v>
      </c>
    </row>
    <row r="372" spans="1:4" x14ac:dyDescent="0.45">
      <c r="A372" t="s">
        <v>36</v>
      </c>
      <c r="B372">
        <v>2022</v>
      </c>
      <c r="C372" t="s">
        <v>75</v>
      </c>
      <c r="D372">
        <v>119.11</v>
      </c>
    </row>
    <row r="373" spans="1:4" x14ac:dyDescent="0.45">
      <c r="A373" t="s">
        <v>56</v>
      </c>
      <c r="B373">
        <v>2022</v>
      </c>
      <c r="C373" t="s">
        <v>75</v>
      </c>
      <c r="D373">
        <v>367.71</v>
      </c>
    </row>
    <row r="374" spans="1:4" x14ac:dyDescent="0.45">
      <c r="A374" t="s">
        <v>57</v>
      </c>
      <c r="B374">
        <v>2022</v>
      </c>
      <c r="C374" t="s">
        <v>75</v>
      </c>
      <c r="D374">
        <v>55.53</v>
      </c>
    </row>
    <row r="375" spans="1:4" x14ac:dyDescent="0.45">
      <c r="A375" t="s">
        <v>38</v>
      </c>
      <c r="B375">
        <v>2022</v>
      </c>
      <c r="C375" t="s">
        <v>75</v>
      </c>
      <c r="D375">
        <v>13.87</v>
      </c>
    </row>
    <row r="376" spans="1:4" x14ac:dyDescent="0.45">
      <c r="A376" t="s">
        <v>58</v>
      </c>
      <c r="B376">
        <v>2022</v>
      </c>
      <c r="C376" t="s">
        <v>75</v>
      </c>
      <c r="D376">
        <v>393.03</v>
      </c>
    </row>
    <row r="377" spans="1:4" x14ac:dyDescent="0.45">
      <c r="A377" t="s">
        <v>91</v>
      </c>
      <c r="B377">
        <v>2022</v>
      </c>
      <c r="C377" t="s">
        <v>75</v>
      </c>
      <c r="D377">
        <v>365.96</v>
      </c>
    </row>
    <row r="378" spans="1:4" x14ac:dyDescent="0.45">
      <c r="A378" t="s">
        <v>32</v>
      </c>
      <c r="B378">
        <v>2023</v>
      </c>
      <c r="C378" t="s">
        <v>75</v>
      </c>
      <c r="D378">
        <v>18.37</v>
      </c>
    </row>
    <row r="379" spans="1:4" x14ac:dyDescent="0.45">
      <c r="A379" t="s">
        <v>34</v>
      </c>
      <c r="B379">
        <v>2023</v>
      </c>
      <c r="C379" t="s">
        <v>75</v>
      </c>
      <c r="D379">
        <v>1140.18</v>
      </c>
    </row>
    <row r="380" spans="1:4" x14ac:dyDescent="0.45">
      <c r="A380" t="s">
        <v>36</v>
      </c>
      <c r="B380">
        <v>2023</v>
      </c>
      <c r="C380" t="s">
        <v>75</v>
      </c>
      <c r="D380">
        <v>131.15</v>
      </c>
    </row>
    <row r="381" spans="1:4" x14ac:dyDescent="0.45">
      <c r="A381" t="s">
        <v>56</v>
      </c>
      <c r="B381">
        <v>2023</v>
      </c>
      <c r="C381" t="s">
        <v>75</v>
      </c>
      <c r="D381">
        <v>370.6</v>
      </c>
    </row>
    <row r="382" spans="1:4" x14ac:dyDescent="0.45">
      <c r="A382" t="s">
        <v>57</v>
      </c>
      <c r="B382">
        <v>2023</v>
      </c>
      <c r="C382" t="s">
        <v>75</v>
      </c>
      <c r="D382">
        <v>56.91</v>
      </c>
    </row>
    <row r="383" spans="1:4" x14ac:dyDescent="0.45">
      <c r="A383" t="s">
        <v>38</v>
      </c>
      <c r="B383">
        <v>2023</v>
      </c>
      <c r="C383" t="s">
        <v>75</v>
      </c>
      <c r="D383">
        <v>14.9</v>
      </c>
    </row>
    <row r="384" spans="1:4" x14ac:dyDescent="0.45">
      <c r="A384" t="s">
        <v>58</v>
      </c>
      <c r="B384">
        <v>2023</v>
      </c>
      <c r="C384" t="s">
        <v>75</v>
      </c>
      <c r="D384">
        <v>609.91999999999996</v>
      </c>
    </row>
    <row r="385" spans="1:4" x14ac:dyDescent="0.45">
      <c r="A385" t="s">
        <v>91</v>
      </c>
      <c r="B385">
        <v>2023</v>
      </c>
      <c r="C385" t="s">
        <v>75</v>
      </c>
      <c r="D385">
        <v>441.89</v>
      </c>
    </row>
    <row r="386" spans="1:4" x14ac:dyDescent="0.45">
      <c r="A386" t="s">
        <v>32</v>
      </c>
      <c r="B386">
        <v>2000</v>
      </c>
      <c r="C386" t="s">
        <v>76</v>
      </c>
      <c r="D386">
        <v>0.55000000000000004</v>
      </c>
    </row>
    <row r="387" spans="1:4" x14ac:dyDescent="0.45">
      <c r="A387" t="s">
        <v>34</v>
      </c>
      <c r="B387">
        <v>2000</v>
      </c>
      <c r="C387" t="s">
        <v>76</v>
      </c>
      <c r="D387">
        <v>1022.27</v>
      </c>
    </row>
    <row r="388" spans="1:4" x14ac:dyDescent="0.45">
      <c r="A388" t="s">
        <v>36</v>
      </c>
      <c r="B388">
        <v>2000</v>
      </c>
      <c r="C388" t="s">
        <v>76</v>
      </c>
      <c r="D388">
        <v>2.56</v>
      </c>
    </row>
    <row r="389" spans="1:4" x14ac:dyDescent="0.45">
      <c r="A389" t="s">
        <v>56</v>
      </c>
      <c r="B389">
        <v>2000</v>
      </c>
      <c r="C389" t="s">
        <v>76</v>
      </c>
      <c r="D389">
        <v>5.28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31.1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0.01</v>
      </c>
    </row>
    <row r="394" spans="1:4" x14ac:dyDescent="0.45">
      <c r="A394" t="s">
        <v>32</v>
      </c>
      <c r="B394">
        <v>2001</v>
      </c>
      <c r="C394" t="s">
        <v>76</v>
      </c>
      <c r="D394">
        <v>0.55000000000000004</v>
      </c>
    </row>
    <row r="395" spans="1:4" x14ac:dyDescent="0.45">
      <c r="A395" t="s">
        <v>34</v>
      </c>
      <c r="B395">
        <v>2001</v>
      </c>
      <c r="C395" t="s">
        <v>76</v>
      </c>
      <c r="D395">
        <v>1088.08</v>
      </c>
    </row>
    <row r="396" spans="1:4" x14ac:dyDescent="0.45">
      <c r="A396" t="s">
        <v>36</v>
      </c>
      <c r="B396">
        <v>2001</v>
      </c>
      <c r="C396" t="s">
        <v>76</v>
      </c>
      <c r="D396">
        <v>2.19</v>
      </c>
    </row>
    <row r="397" spans="1:4" x14ac:dyDescent="0.45">
      <c r="A397" t="s">
        <v>56</v>
      </c>
      <c r="B397">
        <v>2001</v>
      </c>
      <c r="C397" t="s">
        <v>76</v>
      </c>
      <c r="D397">
        <v>6.59</v>
      </c>
    </row>
    <row r="398" spans="1:4" x14ac:dyDescent="0.45">
      <c r="A398" t="s">
        <v>57</v>
      </c>
      <c r="B398">
        <v>2001</v>
      </c>
      <c r="C398" t="s">
        <v>76</v>
      </c>
      <c r="D398">
        <v>0.1</v>
      </c>
    </row>
    <row r="399" spans="1:4" x14ac:dyDescent="0.45">
      <c r="A399" t="s">
        <v>38</v>
      </c>
      <c r="B399">
        <v>2001</v>
      </c>
      <c r="C399" t="s">
        <v>76</v>
      </c>
      <c r="D399">
        <v>31.93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0.01</v>
      </c>
    </row>
    <row r="402" spans="1:4" x14ac:dyDescent="0.45">
      <c r="A402" t="s">
        <v>32</v>
      </c>
      <c r="B402">
        <v>2002</v>
      </c>
      <c r="C402" t="s">
        <v>76</v>
      </c>
      <c r="D402">
        <v>0.55000000000000004</v>
      </c>
    </row>
    <row r="403" spans="1:4" x14ac:dyDescent="0.45">
      <c r="A403" t="s">
        <v>34</v>
      </c>
      <c r="B403">
        <v>2002</v>
      </c>
      <c r="C403" t="s">
        <v>76</v>
      </c>
      <c r="D403">
        <v>1236.05</v>
      </c>
    </row>
    <row r="404" spans="1:4" x14ac:dyDescent="0.45">
      <c r="A404" t="s">
        <v>36</v>
      </c>
      <c r="B404">
        <v>2002</v>
      </c>
      <c r="C404" t="s">
        <v>76</v>
      </c>
      <c r="D404">
        <v>1.86</v>
      </c>
    </row>
    <row r="405" spans="1:4" x14ac:dyDescent="0.45">
      <c r="A405" t="s">
        <v>56</v>
      </c>
      <c r="B405">
        <v>2002</v>
      </c>
      <c r="C405" t="s">
        <v>76</v>
      </c>
      <c r="D405">
        <v>6.84</v>
      </c>
    </row>
    <row r="406" spans="1:4" x14ac:dyDescent="0.45">
      <c r="A406" t="s">
        <v>57</v>
      </c>
      <c r="B406">
        <v>2002</v>
      </c>
      <c r="C406" t="s">
        <v>76</v>
      </c>
      <c r="D406">
        <v>0.14000000000000001</v>
      </c>
    </row>
    <row r="407" spans="1:4" x14ac:dyDescent="0.45">
      <c r="A407" t="s">
        <v>38</v>
      </c>
      <c r="B407">
        <v>2002</v>
      </c>
      <c r="C407" t="s">
        <v>76</v>
      </c>
      <c r="D407">
        <v>33.369999999999997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0.01</v>
      </c>
    </row>
    <row r="410" spans="1:4" x14ac:dyDescent="0.45">
      <c r="A410" t="s">
        <v>32</v>
      </c>
      <c r="B410">
        <v>2003</v>
      </c>
      <c r="C410" t="s">
        <v>76</v>
      </c>
      <c r="D410">
        <v>0.55000000000000004</v>
      </c>
    </row>
    <row r="411" spans="1:4" x14ac:dyDescent="0.45">
      <c r="A411" t="s">
        <v>34</v>
      </c>
      <c r="B411">
        <v>2003</v>
      </c>
      <c r="C411" t="s">
        <v>76</v>
      </c>
      <c r="D411">
        <v>1464.95</v>
      </c>
    </row>
    <row r="412" spans="1:4" x14ac:dyDescent="0.45">
      <c r="A412" t="s">
        <v>36</v>
      </c>
      <c r="B412">
        <v>2003</v>
      </c>
      <c r="C412" t="s">
        <v>76</v>
      </c>
      <c r="D412">
        <v>2.29</v>
      </c>
    </row>
    <row r="413" spans="1:4" x14ac:dyDescent="0.45">
      <c r="A413" t="s">
        <v>56</v>
      </c>
      <c r="B413">
        <v>2003</v>
      </c>
      <c r="C413" t="s">
        <v>76</v>
      </c>
      <c r="D413">
        <v>6.74</v>
      </c>
    </row>
    <row r="414" spans="1:4" x14ac:dyDescent="0.45">
      <c r="A414" t="s">
        <v>57</v>
      </c>
      <c r="B414">
        <v>2003</v>
      </c>
      <c r="C414" t="s">
        <v>76</v>
      </c>
      <c r="D414">
        <v>0.24</v>
      </c>
    </row>
    <row r="415" spans="1:4" x14ac:dyDescent="0.45">
      <c r="A415" t="s">
        <v>38</v>
      </c>
      <c r="B415">
        <v>2003</v>
      </c>
      <c r="C415" t="s">
        <v>76</v>
      </c>
      <c r="D415">
        <v>36.08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0.55000000000000004</v>
      </c>
    </row>
    <row r="419" spans="1:4" x14ac:dyDescent="0.45">
      <c r="A419" t="s">
        <v>34</v>
      </c>
      <c r="B419">
        <v>2004</v>
      </c>
      <c r="C419" t="s">
        <v>76</v>
      </c>
      <c r="D419">
        <v>1659.28</v>
      </c>
    </row>
    <row r="420" spans="1:4" x14ac:dyDescent="0.45">
      <c r="A420" t="s">
        <v>36</v>
      </c>
      <c r="B420">
        <v>2004</v>
      </c>
      <c r="C420" t="s">
        <v>76</v>
      </c>
      <c r="D420">
        <v>3.31</v>
      </c>
    </row>
    <row r="421" spans="1:4" x14ac:dyDescent="0.45">
      <c r="A421" t="s">
        <v>56</v>
      </c>
      <c r="B421">
        <v>2004</v>
      </c>
      <c r="C421" t="s">
        <v>76</v>
      </c>
      <c r="D421">
        <v>8.4</v>
      </c>
    </row>
    <row r="422" spans="1:4" x14ac:dyDescent="0.45">
      <c r="A422" t="s">
        <v>57</v>
      </c>
      <c r="B422">
        <v>2004</v>
      </c>
      <c r="C422" t="s">
        <v>76</v>
      </c>
      <c r="D422">
        <v>0.28000000000000003</v>
      </c>
    </row>
    <row r="423" spans="1:4" x14ac:dyDescent="0.45">
      <c r="A423" t="s">
        <v>38</v>
      </c>
      <c r="B423">
        <v>2004</v>
      </c>
      <c r="C423" t="s">
        <v>76</v>
      </c>
      <c r="D423">
        <v>43.12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1.1499999999999999</v>
      </c>
    </row>
    <row r="427" spans="1:4" x14ac:dyDescent="0.45">
      <c r="A427" t="s">
        <v>34</v>
      </c>
      <c r="B427">
        <v>2005</v>
      </c>
      <c r="C427" t="s">
        <v>76</v>
      </c>
      <c r="D427">
        <v>1905.51</v>
      </c>
    </row>
    <row r="428" spans="1:4" x14ac:dyDescent="0.45">
      <c r="A428" t="s">
        <v>36</v>
      </c>
      <c r="B428">
        <v>2005</v>
      </c>
      <c r="C428" t="s">
        <v>76</v>
      </c>
      <c r="D428">
        <v>5.39</v>
      </c>
    </row>
    <row r="429" spans="1:4" x14ac:dyDescent="0.45">
      <c r="A429" t="s">
        <v>56</v>
      </c>
      <c r="B429">
        <v>2005</v>
      </c>
      <c r="C429" t="s">
        <v>76</v>
      </c>
      <c r="D429">
        <v>9.43</v>
      </c>
    </row>
    <row r="430" spans="1:4" x14ac:dyDescent="0.45">
      <c r="A430" t="s">
        <v>57</v>
      </c>
      <c r="B430">
        <v>2005</v>
      </c>
      <c r="C430" t="s">
        <v>76</v>
      </c>
      <c r="D430">
        <v>0.28999999999999998</v>
      </c>
    </row>
    <row r="431" spans="1:4" x14ac:dyDescent="0.45">
      <c r="A431" t="s">
        <v>38</v>
      </c>
      <c r="B431">
        <v>2005</v>
      </c>
      <c r="C431" t="s">
        <v>76</v>
      </c>
      <c r="D431">
        <v>33.24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1.54</v>
      </c>
    </row>
    <row r="435" spans="1:4" x14ac:dyDescent="0.45">
      <c r="A435" t="s">
        <v>34</v>
      </c>
      <c r="B435">
        <v>2006</v>
      </c>
      <c r="C435" t="s">
        <v>76</v>
      </c>
      <c r="D435">
        <v>2206.15</v>
      </c>
    </row>
    <row r="436" spans="1:4" x14ac:dyDescent="0.45">
      <c r="A436" t="s">
        <v>36</v>
      </c>
      <c r="B436">
        <v>2006</v>
      </c>
      <c r="C436" t="s">
        <v>76</v>
      </c>
      <c r="D436">
        <v>10.58</v>
      </c>
    </row>
    <row r="437" spans="1:4" x14ac:dyDescent="0.45">
      <c r="A437" t="s">
        <v>56</v>
      </c>
      <c r="B437">
        <v>2006</v>
      </c>
      <c r="C437" t="s">
        <v>76</v>
      </c>
      <c r="D437">
        <v>10.35</v>
      </c>
    </row>
    <row r="438" spans="1:4" x14ac:dyDescent="0.45">
      <c r="A438" t="s">
        <v>57</v>
      </c>
      <c r="B438">
        <v>2006</v>
      </c>
      <c r="C438" t="s">
        <v>76</v>
      </c>
      <c r="D438">
        <v>0.3</v>
      </c>
    </row>
    <row r="439" spans="1:4" x14ac:dyDescent="0.45">
      <c r="A439" t="s">
        <v>38</v>
      </c>
      <c r="B439">
        <v>2006</v>
      </c>
      <c r="C439" t="s">
        <v>76</v>
      </c>
      <c r="D439">
        <v>24.95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0.05</v>
      </c>
    </row>
    <row r="442" spans="1:4" x14ac:dyDescent="0.45">
      <c r="A442" t="s">
        <v>32</v>
      </c>
      <c r="B442">
        <v>2007</v>
      </c>
      <c r="C442" t="s">
        <v>76</v>
      </c>
      <c r="D442">
        <v>2.13</v>
      </c>
    </row>
    <row r="443" spans="1:4" x14ac:dyDescent="0.45">
      <c r="A443" t="s">
        <v>34</v>
      </c>
      <c r="B443">
        <v>2007</v>
      </c>
      <c r="C443" t="s">
        <v>76</v>
      </c>
      <c r="D443">
        <v>2528.79</v>
      </c>
    </row>
    <row r="444" spans="1:4" x14ac:dyDescent="0.45">
      <c r="A444" t="s">
        <v>36</v>
      </c>
      <c r="B444">
        <v>2007</v>
      </c>
      <c r="C444" t="s">
        <v>76</v>
      </c>
      <c r="D444">
        <v>15.07</v>
      </c>
    </row>
    <row r="445" spans="1:4" x14ac:dyDescent="0.45">
      <c r="A445" t="s">
        <v>56</v>
      </c>
      <c r="B445">
        <v>2007</v>
      </c>
      <c r="C445" t="s">
        <v>76</v>
      </c>
      <c r="D445">
        <v>11.53</v>
      </c>
    </row>
    <row r="446" spans="1:4" x14ac:dyDescent="0.45">
      <c r="A446" t="s">
        <v>57</v>
      </c>
      <c r="B446">
        <v>2007</v>
      </c>
      <c r="C446" t="s">
        <v>76</v>
      </c>
      <c r="D446">
        <v>0.34</v>
      </c>
    </row>
    <row r="447" spans="1:4" x14ac:dyDescent="0.45">
      <c r="A447" t="s">
        <v>38</v>
      </c>
      <c r="B447">
        <v>2007</v>
      </c>
      <c r="C447" t="s">
        <v>76</v>
      </c>
      <c r="D447">
        <v>18.48</v>
      </c>
    </row>
    <row r="448" spans="1:4" x14ac:dyDescent="0.45">
      <c r="A448" t="s">
        <v>58</v>
      </c>
      <c r="B448">
        <v>2007</v>
      </c>
      <c r="C448" t="s">
        <v>76</v>
      </c>
      <c r="D448">
        <v>0.01</v>
      </c>
    </row>
    <row r="449" spans="1:4" x14ac:dyDescent="0.45">
      <c r="A449" t="s">
        <v>91</v>
      </c>
      <c r="B449">
        <v>2007</v>
      </c>
      <c r="C449" t="s">
        <v>76</v>
      </c>
      <c r="D449">
        <v>7.0000000000000007E-2</v>
      </c>
    </row>
    <row r="450" spans="1:4" x14ac:dyDescent="0.45">
      <c r="A450" t="s">
        <v>32</v>
      </c>
      <c r="B450">
        <v>2008</v>
      </c>
      <c r="C450" t="s">
        <v>76</v>
      </c>
      <c r="D450">
        <v>3.21</v>
      </c>
    </row>
    <row r="451" spans="1:4" x14ac:dyDescent="0.45">
      <c r="A451" t="s">
        <v>34</v>
      </c>
      <c r="B451">
        <v>2008</v>
      </c>
      <c r="C451" t="s">
        <v>76</v>
      </c>
      <c r="D451">
        <v>2564.52</v>
      </c>
    </row>
    <row r="452" spans="1:4" x14ac:dyDescent="0.45">
      <c r="A452" t="s">
        <v>36</v>
      </c>
      <c r="B452">
        <v>2008</v>
      </c>
      <c r="C452" t="s">
        <v>76</v>
      </c>
      <c r="D452">
        <v>15.36</v>
      </c>
    </row>
    <row r="453" spans="1:4" x14ac:dyDescent="0.45">
      <c r="A453" t="s">
        <v>56</v>
      </c>
      <c r="B453">
        <v>2008</v>
      </c>
      <c r="C453" t="s">
        <v>76</v>
      </c>
      <c r="D453">
        <v>15.13</v>
      </c>
    </row>
    <row r="454" spans="1:4" x14ac:dyDescent="0.45">
      <c r="A454" t="s">
        <v>57</v>
      </c>
      <c r="B454">
        <v>2008</v>
      </c>
      <c r="C454" t="s">
        <v>76</v>
      </c>
      <c r="D454">
        <v>0.38</v>
      </c>
    </row>
    <row r="455" spans="1:4" x14ac:dyDescent="0.45">
      <c r="A455" t="s">
        <v>38</v>
      </c>
      <c r="B455">
        <v>2008</v>
      </c>
      <c r="C455" t="s">
        <v>76</v>
      </c>
      <c r="D455">
        <v>12.38</v>
      </c>
    </row>
    <row r="456" spans="1:4" x14ac:dyDescent="0.45">
      <c r="A456" t="s">
        <v>58</v>
      </c>
      <c r="B456">
        <v>2008</v>
      </c>
      <c r="C456" t="s">
        <v>76</v>
      </c>
      <c r="D456">
        <v>0.01</v>
      </c>
    </row>
    <row r="457" spans="1:4" x14ac:dyDescent="0.45">
      <c r="A457" t="s">
        <v>91</v>
      </c>
      <c r="B457">
        <v>2008</v>
      </c>
      <c r="C457" t="s">
        <v>76</v>
      </c>
      <c r="D457">
        <v>0.16</v>
      </c>
    </row>
    <row r="458" spans="1:4" x14ac:dyDescent="0.45">
      <c r="A458" t="s">
        <v>32</v>
      </c>
      <c r="B458">
        <v>2009</v>
      </c>
      <c r="C458" t="s">
        <v>76</v>
      </c>
      <c r="D458">
        <v>4.51</v>
      </c>
    </row>
    <row r="459" spans="1:4" x14ac:dyDescent="0.45">
      <c r="A459" t="s">
        <v>34</v>
      </c>
      <c r="B459">
        <v>2009</v>
      </c>
      <c r="C459" t="s">
        <v>76</v>
      </c>
      <c r="D459">
        <v>2744.24</v>
      </c>
    </row>
    <row r="460" spans="1:4" x14ac:dyDescent="0.45">
      <c r="A460" t="s">
        <v>36</v>
      </c>
      <c r="B460">
        <v>2009</v>
      </c>
      <c r="C460" t="s">
        <v>76</v>
      </c>
      <c r="D460">
        <v>25.13</v>
      </c>
    </row>
    <row r="461" spans="1:4" x14ac:dyDescent="0.45">
      <c r="A461" t="s">
        <v>56</v>
      </c>
      <c r="B461">
        <v>2009</v>
      </c>
      <c r="C461" t="s">
        <v>76</v>
      </c>
      <c r="D461">
        <v>14.63</v>
      </c>
    </row>
    <row r="462" spans="1:4" x14ac:dyDescent="0.45">
      <c r="A462" t="s">
        <v>57</v>
      </c>
      <c r="B462">
        <v>2009</v>
      </c>
      <c r="C462" t="s">
        <v>76</v>
      </c>
      <c r="D462">
        <v>0.39</v>
      </c>
    </row>
    <row r="463" spans="1:4" x14ac:dyDescent="0.45">
      <c r="A463" t="s">
        <v>38</v>
      </c>
      <c r="B463">
        <v>2009</v>
      </c>
      <c r="C463" t="s">
        <v>76</v>
      </c>
      <c r="D463">
        <v>7.97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0.35</v>
      </c>
    </row>
    <row r="466" spans="1:4" x14ac:dyDescent="0.45">
      <c r="A466" t="s">
        <v>32</v>
      </c>
      <c r="B466">
        <v>2010</v>
      </c>
      <c r="C466" t="s">
        <v>76</v>
      </c>
      <c r="D466">
        <v>5.38</v>
      </c>
    </row>
    <row r="467" spans="1:4" x14ac:dyDescent="0.45">
      <c r="A467" t="s">
        <v>34</v>
      </c>
      <c r="B467">
        <v>2010</v>
      </c>
      <c r="C467" t="s">
        <v>76</v>
      </c>
      <c r="D467">
        <v>3035.28</v>
      </c>
    </row>
    <row r="468" spans="1:4" x14ac:dyDescent="0.45">
      <c r="A468" t="s">
        <v>36</v>
      </c>
      <c r="B468">
        <v>2010</v>
      </c>
      <c r="C468" t="s">
        <v>76</v>
      </c>
      <c r="D468">
        <v>34.53</v>
      </c>
    </row>
    <row r="469" spans="1:4" x14ac:dyDescent="0.45">
      <c r="A469" t="s">
        <v>56</v>
      </c>
      <c r="B469">
        <v>2010</v>
      </c>
      <c r="C469" t="s">
        <v>76</v>
      </c>
      <c r="D469">
        <v>16.899999999999999</v>
      </c>
    </row>
    <row r="470" spans="1:4" x14ac:dyDescent="0.45">
      <c r="A470" t="s">
        <v>57</v>
      </c>
      <c r="B470">
        <v>2010</v>
      </c>
      <c r="C470" t="s">
        <v>76</v>
      </c>
      <c r="D470">
        <v>0.41</v>
      </c>
    </row>
    <row r="471" spans="1:4" x14ac:dyDescent="0.45">
      <c r="A471" t="s">
        <v>38</v>
      </c>
      <c r="B471">
        <v>2010</v>
      </c>
      <c r="C471" t="s">
        <v>76</v>
      </c>
      <c r="D471">
        <v>22.84</v>
      </c>
    </row>
    <row r="472" spans="1:4" x14ac:dyDescent="0.45">
      <c r="A472" t="s">
        <v>58</v>
      </c>
      <c r="B472">
        <v>2010</v>
      </c>
      <c r="C472" t="s">
        <v>76</v>
      </c>
      <c r="D472">
        <v>0.03</v>
      </c>
    </row>
    <row r="473" spans="1:4" x14ac:dyDescent="0.45">
      <c r="A473" t="s">
        <v>91</v>
      </c>
      <c r="B473">
        <v>2010</v>
      </c>
      <c r="C473" t="s">
        <v>76</v>
      </c>
      <c r="D473">
        <v>0.62</v>
      </c>
    </row>
    <row r="474" spans="1:4" x14ac:dyDescent="0.45">
      <c r="A474" t="s">
        <v>32</v>
      </c>
      <c r="B474">
        <v>2011</v>
      </c>
      <c r="C474" t="s">
        <v>76</v>
      </c>
      <c r="D474">
        <v>5.97</v>
      </c>
    </row>
    <row r="475" spans="1:4" x14ac:dyDescent="0.45">
      <c r="A475" t="s">
        <v>34</v>
      </c>
      <c r="B475">
        <v>2011</v>
      </c>
      <c r="C475" t="s">
        <v>76</v>
      </c>
      <c r="D475">
        <v>3450.87</v>
      </c>
    </row>
    <row r="476" spans="1:4" x14ac:dyDescent="0.45">
      <c r="A476" t="s">
        <v>36</v>
      </c>
      <c r="B476">
        <v>2011</v>
      </c>
      <c r="C476" t="s">
        <v>76</v>
      </c>
      <c r="D476">
        <v>48.32</v>
      </c>
    </row>
    <row r="477" spans="1:4" x14ac:dyDescent="0.45">
      <c r="A477" t="s">
        <v>56</v>
      </c>
      <c r="B477">
        <v>2011</v>
      </c>
      <c r="C477" t="s">
        <v>76</v>
      </c>
      <c r="D477">
        <v>16.350000000000001</v>
      </c>
    </row>
    <row r="478" spans="1:4" x14ac:dyDescent="0.45">
      <c r="A478" t="s">
        <v>57</v>
      </c>
      <c r="B478">
        <v>2011</v>
      </c>
      <c r="C478" t="s">
        <v>76</v>
      </c>
      <c r="D478">
        <v>0.48</v>
      </c>
    </row>
    <row r="479" spans="1:4" x14ac:dyDescent="0.45">
      <c r="A479" t="s">
        <v>38</v>
      </c>
      <c r="B479">
        <v>2011</v>
      </c>
      <c r="C479" t="s">
        <v>76</v>
      </c>
      <c r="D479">
        <v>22.24</v>
      </c>
    </row>
    <row r="480" spans="1:4" x14ac:dyDescent="0.45">
      <c r="A480" t="s">
        <v>58</v>
      </c>
      <c r="B480">
        <v>2011</v>
      </c>
      <c r="C480" t="s">
        <v>76</v>
      </c>
      <c r="D480">
        <v>0.12</v>
      </c>
    </row>
    <row r="481" spans="1:4" x14ac:dyDescent="0.45">
      <c r="A481" t="s">
        <v>91</v>
      </c>
      <c r="B481">
        <v>2011</v>
      </c>
      <c r="C481" t="s">
        <v>76</v>
      </c>
      <c r="D481">
        <v>0.93</v>
      </c>
    </row>
    <row r="482" spans="1:4" x14ac:dyDescent="0.45">
      <c r="A482" t="s">
        <v>32</v>
      </c>
      <c r="B482">
        <v>2012</v>
      </c>
      <c r="C482" t="s">
        <v>76</v>
      </c>
      <c r="D482">
        <v>6.51</v>
      </c>
    </row>
    <row r="483" spans="1:4" x14ac:dyDescent="0.45">
      <c r="A483" t="s">
        <v>34</v>
      </c>
      <c r="B483">
        <v>2012</v>
      </c>
      <c r="C483" t="s">
        <v>76</v>
      </c>
      <c r="D483">
        <v>3493.24</v>
      </c>
    </row>
    <row r="484" spans="1:4" x14ac:dyDescent="0.45">
      <c r="A484" t="s">
        <v>36</v>
      </c>
      <c r="B484">
        <v>2012</v>
      </c>
      <c r="C484" t="s">
        <v>76</v>
      </c>
      <c r="D484">
        <v>48.98</v>
      </c>
    </row>
    <row r="485" spans="1:4" x14ac:dyDescent="0.45">
      <c r="A485" t="s">
        <v>56</v>
      </c>
      <c r="B485">
        <v>2012</v>
      </c>
      <c r="C485" t="s">
        <v>76</v>
      </c>
      <c r="D485">
        <v>20.5</v>
      </c>
    </row>
    <row r="486" spans="1:4" x14ac:dyDescent="0.45">
      <c r="A486" t="s">
        <v>57</v>
      </c>
      <c r="B486">
        <v>2012</v>
      </c>
      <c r="C486" t="s">
        <v>76</v>
      </c>
      <c r="D486">
        <v>0.54</v>
      </c>
    </row>
    <row r="487" spans="1:4" x14ac:dyDescent="0.45">
      <c r="A487" t="s">
        <v>38</v>
      </c>
      <c r="B487">
        <v>2012</v>
      </c>
      <c r="C487" t="s">
        <v>76</v>
      </c>
      <c r="D487">
        <v>20.54</v>
      </c>
    </row>
    <row r="488" spans="1:4" x14ac:dyDescent="0.45">
      <c r="A488" t="s">
        <v>58</v>
      </c>
      <c r="B488">
        <v>2012</v>
      </c>
      <c r="C488" t="s">
        <v>76</v>
      </c>
      <c r="D488">
        <v>0.17</v>
      </c>
    </row>
    <row r="489" spans="1:4" x14ac:dyDescent="0.45">
      <c r="A489" t="s">
        <v>91</v>
      </c>
      <c r="B489">
        <v>2012</v>
      </c>
      <c r="C489" t="s">
        <v>76</v>
      </c>
      <c r="D489">
        <v>1.3</v>
      </c>
    </row>
    <row r="490" spans="1:4" x14ac:dyDescent="0.45">
      <c r="A490" t="s">
        <v>32</v>
      </c>
      <c r="B490">
        <v>2013</v>
      </c>
      <c r="C490" t="s">
        <v>76</v>
      </c>
      <c r="D490">
        <v>8.0299999999999994</v>
      </c>
    </row>
    <row r="491" spans="1:4" x14ac:dyDescent="0.45">
      <c r="A491" t="s">
        <v>34</v>
      </c>
      <c r="B491">
        <v>2013</v>
      </c>
      <c r="C491" t="s">
        <v>76</v>
      </c>
      <c r="D491">
        <v>3790.77</v>
      </c>
    </row>
    <row r="492" spans="1:4" x14ac:dyDescent="0.45">
      <c r="A492" t="s">
        <v>36</v>
      </c>
      <c r="B492">
        <v>2013</v>
      </c>
      <c r="C492" t="s">
        <v>76</v>
      </c>
      <c r="D492">
        <v>51.71</v>
      </c>
    </row>
    <row r="493" spans="1:4" x14ac:dyDescent="0.45">
      <c r="A493" t="s">
        <v>56</v>
      </c>
      <c r="B493">
        <v>2013</v>
      </c>
      <c r="C493" t="s">
        <v>76</v>
      </c>
      <c r="D493">
        <v>21.61</v>
      </c>
    </row>
    <row r="494" spans="1:4" x14ac:dyDescent="0.45">
      <c r="A494" t="s">
        <v>57</v>
      </c>
      <c r="B494">
        <v>2013</v>
      </c>
      <c r="C494" t="s">
        <v>76</v>
      </c>
      <c r="D494">
        <v>0.62</v>
      </c>
    </row>
    <row r="495" spans="1:4" x14ac:dyDescent="0.45">
      <c r="A495" t="s">
        <v>38</v>
      </c>
      <c r="B495">
        <v>2013</v>
      </c>
      <c r="C495" t="s">
        <v>76</v>
      </c>
      <c r="D495">
        <v>21.71</v>
      </c>
    </row>
    <row r="496" spans="1:4" x14ac:dyDescent="0.45">
      <c r="A496" t="s">
        <v>58</v>
      </c>
      <c r="B496">
        <v>2013</v>
      </c>
      <c r="C496" t="s">
        <v>76</v>
      </c>
      <c r="D496">
        <v>0.4</v>
      </c>
    </row>
    <row r="497" spans="1:4" x14ac:dyDescent="0.45">
      <c r="A497" t="s">
        <v>91</v>
      </c>
      <c r="B497">
        <v>2013</v>
      </c>
      <c r="C497" t="s">
        <v>76</v>
      </c>
      <c r="D497">
        <v>1.74</v>
      </c>
    </row>
    <row r="498" spans="1:4" x14ac:dyDescent="0.45">
      <c r="A498" t="s">
        <v>32</v>
      </c>
      <c r="B498">
        <v>2014</v>
      </c>
      <c r="C498" t="s">
        <v>76</v>
      </c>
      <c r="D498">
        <v>10</v>
      </c>
    </row>
    <row r="499" spans="1:4" x14ac:dyDescent="0.45">
      <c r="A499" t="s">
        <v>34</v>
      </c>
      <c r="B499">
        <v>2014</v>
      </c>
      <c r="C499" t="s">
        <v>76</v>
      </c>
      <c r="D499">
        <v>3898.05</v>
      </c>
    </row>
    <row r="500" spans="1:4" x14ac:dyDescent="0.45">
      <c r="A500" t="s">
        <v>36</v>
      </c>
      <c r="B500">
        <v>2014</v>
      </c>
      <c r="C500" t="s">
        <v>76</v>
      </c>
      <c r="D500">
        <v>59.21</v>
      </c>
    </row>
    <row r="501" spans="1:4" x14ac:dyDescent="0.45">
      <c r="A501" t="s">
        <v>56</v>
      </c>
      <c r="B501">
        <v>2014</v>
      </c>
      <c r="C501" t="s">
        <v>76</v>
      </c>
      <c r="D501">
        <v>25.18</v>
      </c>
    </row>
    <row r="502" spans="1:4" x14ac:dyDescent="0.45">
      <c r="A502" t="s">
        <v>57</v>
      </c>
      <c r="B502">
        <v>2014</v>
      </c>
      <c r="C502" t="s">
        <v>76</v>
      </c>
      <c r="D502">
        <v>0.74</v>
      </c>
    </row>
    <row r="503" spans="1:4" x14ac:dyDescent="0.45">
      <c r="A503" t="s">
        <v>38</v>
      </c>
      <c r="B503">
        <v>2014</v>
      </c>
      <c r="C503" t="s">
        <v>76</v>
      </c>
      <c r="D503">
        <v>23.46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2.0099999999999998</v>
      </c>
    </row>
    <row r="506" spans="1:4" x14ac:dyDescent="0.45">
      <c r="A506" t="s">
        <v>32</v>
      </c>
      <c r="B506">
        <v>2015</v>
      </c>
      <c r="C506" t="s">
        <v>76</v>
      </c>
      <c r="D506">
        <v>11.69</v>
      </c>
    </row>
    <row r="507" spans="1:4" x14ac:dyDescent="0.45">
      <c r="A507" t="s">
        <v>34</v>
      </c>
      <c r="B507">
        <v>2015</v>
      </c>
      <c r="C507" t="s">
        <v>76</v>
      </c>
      <c r="D507">
        <v>3740.99</v>
      </c>
    </row>
    <row r="508" spans="1:4" x14ac:dyDescent="0.45">
      <c r="A508" t="s">
        <v>36</v>
      </c>
      <c r="B508">
        <v>2015</v>
      </c>
      <c r="C508" t="s">
        <v>76</v>
      </c>
      <c r="D508">
        <v>74.16</v>
      </c>
    </row>
    <row r="509" spans="1:4" x14ac:dyDescent="0.45">
      <c r="A509" t="s">
        <v>56</v>
      </c>
      <c r="B509">
        <v>2015</v>
      </c>
      <c r="C509" t="s">
        <v>76</v>
      </c>
      <c r="D509">
        <v>26.48</v>
      </c>
    </row>
    <row r="510" spans="1:4" x14ac:dyDescent="0.45">
      <c r="A510" t="s">
        <v>57</v>
      </c>
      <c r="B510">
        <v>2015</v>
      </c>
      <c r="C510" t="s">
        <v>76</v>
      </c>
      <c r="D510">
        <v>0.95</v>
      </c>
    </row>
    <row r="511" spans="1:4" x14ac:dyDescent="0.45">
      <c r="A511" t="s">
        <v>38</v>
      </c>
      <c r="B511">
        <v>2015</v>
      </c>
      <c r="C511" t="s">
        <v>76</v>
      </c>
      <c r="D511">
        <v>23.99</v>
      </c>
    </row>
    <row r="512" spans="1:4" x14ac:dyDescent="0.45">
      <c r="A512" t="s">
        <v>58</v>
      </c>
      <c r="B512">
        <v>2015</v>
      </c>
      <c r="C512" t="s">
        <v>76</v>
      </c>
      <c r="D512">
        <v>1.88</v>
      </c>
    </row>
    <row r="513" spans="1:4" x14ac:dyDescent="0.45">
      <c r="A513" t="s">
        <v>91</v>
      </c>
      <c r="B513">
        <v>2015</v>
      </c>
      <c r="C513" t="s">
        <v>76</v>
      </c>
      <c r="D513">
        <v>2.34</v>
      </c>
    </row>
    <row r="514" spans="1:4" x14ac:dyDescent="0.45">
      <c r="A514" t="s">
        <v>32</v>
      </c>
      <c r="B514">
        <v>2016</v>
      </c>
      <c r="C514" t="s">
        <v>76</v>
      </c>
      <c r="D514">
        <v>13.43</v>
      </c>
    </row>
    <row r="515" spans="1:4" x14ac:dyDescent="0.45">
      <c r="A515" t="s">
        <v>34</v>
      </c>
      <c r="B515">
        <v>2016</v>
      </c>
      <c r="C515" t="s">
        <v>76</v>
      </c>
      <c r="D515">
        <v>3830.32</v>
      </c>
    </row>
    <row r="516" spans="1:4" x14ac:dyDescent="0.45">
      <c r="A516" t="s">
        <v>36</v>
      </c>
      <c r="B516">
        <v>2016</v>
      </c>
      <c r="C516" t="s">
        <v>76</v>
      </c>
      <c r="D516">
        <v>83.65</v>
      </c>
    </row>
    <row r="517" spans="1:4" x14ac:dyDescent="0.45">
      <c r="A517" t="s">
        <v>56</v>
      </c>
      <c r="B517">
        <v>2016</v>
      </c>
      <c r="C517" t="s">
        <v>76</v>
      </c>
      <c r="D517">
        <v>27.4</v>
      </c>
    </row>
    <row r="518" spans="1:4" x14ac:dyDescent="0.45">
      <c r="A518" t="s">
        <v>57</v>
      </c>
      <c r="B518">
        <v>2016</v>
      </c>
      <c r="C518" t="s">
        <v>76</v>
      </c>
      <c r="D518">
        <v>1.18</v>
      </c>
    </row>
    <row r="519" spans="1:4" x14ac:dyDescent="0.45">
      <c r="A519" t="s">
        <v>38</v>
      </c>
      <c r="B519">
        <v>2016</v>
      </c>
      <c r="C519" t="s">
        <v>76</v>
      </c>
      <c r="D519">
        <v>34.58</v>
      </c>
    </row>
    <row r="520" spans="1:4" x14ac:dyDescent="0.45">
      <c r="A520" t="s">
        <v>58</v>
      </c>
      <c r="B520">
        <v>2016</v>
      </c>
      <c r="C520" t="s">
        <v>76</v>
      </c>
      <c r="D520">
        <v>3.16</v>
      </c>
    </row>
    <row r="521" spans="1:4" x14ac:dyDescent="0.45">
      <c r="A521" t="s">
        <v>91</v>
      </c>
      <c r="B521">
        <v>2016</v>
      </c>
      <c r="C521" t="s">
        <v>76</v>
      </c>
      <c r="D521">
        <v>3.05</v>
      </c>
    </row>
    <row r="522" spans="1:4" x14ac:dyDescent="0.45">
      <c r="A522" t="s">
        <v>32</v>
      </c>
      <c r="B522">
        <v>2017</v>
      </c>
      <c r="C522" t="s">
        <v>76</v>
      </c>
      <c r="D522">
        <v>17.21</v>
      </c>
    </row>
    <row r="523" spans="1:4" x14ac:dyDescent="0.45">
      <c r="A523" t="s">
        <v>34</v>
      </c>
      <c r="B523">
        <v>2017</v>
      </c>
      <c r="C523" t="s">
        <v>76</v>
      </c>
      <c r="D523">
        <v>4071.47</v>
      </c>
    </row>
    <row r="524" spans="1:4" x14ac:dyDescent="0.45">
      <c r="A524" t="s">
        <v>36</v>
      </c>
      <c r="B524">
        <v>2017</v>
      </c>
      <c r="C524" t="s">
        <v>76</v>
      </c>
      <c r="D524">
        <v>90.28</v>
      </c>
    </row>
    <row r="525" spans="1:4" x14ac:dyDescent="0.45">
      <c r="A525" t="s">
        <v>56</v>
      </c>
      <c r="B525">
        <v>2017</v>
      </c>
      <c r="C525" t="s">
        <v>76</v>
      </c>
      <c r="D525">
        <v>27.68</v>
      </c>
    </row>
    <row r="526" spans="1:4" x14ac:dyDescent="0.45">
      <c r="A526" t="s">
        <v>57</v>
      </c>
      <c r="B526">
        <v>2017</v>
      </c>
      <c r="C526" t="s">
        <v>76</v>
      </c>
      <c r="D526">
        <v>1.37</v>
      </c>
    </row>
    <row r="527" spans="1:4" x14ac:dyDescent="0.45">
      <c r="A527" t="s">
        <v>38</v>
      </c>
      <c r="B527">
        <v>2017</v>
      </c>
      <c r="C527" t="s">
        <v>76</v>
      </c>
      <c r="D527">
        <v>36.880000000000003</v>
      </c>
    </row>
    <row r="528" spans="1:4" x14ac:dyDescent="0.45">
      <c r="A528" t="s">
        <v>58</v>
      </c>
      <c r="B528">
        <v>2017</v>
      </c>
      <c r="C528" t="s">
        <v>76</v>
      </c>
      <c r="D528">
        <v>5.6</v>
      </c>
    </row>
    <row r="529" spans="1:4" x14ac:dyDescent="0.45">
      <c r="A529" t="s">
        <v>91</v>
      </c>
      <c r="B529">
        <v>2017</v>
      </c>
      <c r="C529" t="s">
        <v>76</v>
      </c>
      <c r="D529">
        <v>3.87</v>
      </c>
    </row>
    <row r="530" spans="1:4" x14ac:dyDescent="0.45">
      <c r="A530" t="s">
        <v>32</v>
      </c>
      <c r="B530">
        <v>2018</v>
      </c>
      <c r="C530" t="s">
        <v>76</v>
      </c>
      <c r="D530">
        <v>20.260000000000002</v>
      </c>
    </row>
    <row r="531" spans="1:4" x14ac:dyDescent="0.45">
      <c r="A531" t="s">
        <v>34</v>
      </c>
      <c r="B531">
        <v>2018</v>
      </c>
      <c r="C531" t="s">
        <v>76</v>
      </c>
      <c r="D531">
        <v>4367.63</v>
      </c>
    </row>
    <row r="532" spans="1:4" x14ac:dyDescent="0.45">
      <c r="A532" t="s">
        <v>36</v>
      </c>
      <c r="B532">
        <v>2018</v>
      </c>
      <c r="C532" t="s">
        <v>76</v>
      </c>
      <c r="D532">
        <v>95.74</v>
      </c>
    </row>
    <row r="533" spans="1:4" x14ac:dyDescent="0.45">
      <c r="A533" t="s">
        <v>56</v>
      </c>
      <c r="B533">
        <v>2018</v>
      </c>
      <c r="C533" t="s">
        <v>76</v>
      </c>
      <c r="D533">
        <v>28.49</v>
      </c>
    </row>
    <row r="534" spans="1:4" x14ac:dyDescent="0.45">
      <c r="A534" t="s">
        <v>57</v>
      </c>
      <c r="B534">
        <v>2018</v>
      </c>
      <c r="C534" t="s">
        <v>76</v>
      </c>
      <c r="D534">
        <v>1.63</v>
      </c>
    </row>
    <row r="535" spans="1:4" x14ac:dyDescent="0.45">
      <c r="A535" t="s">
        <v>38</v>
      </c>
      <c r="B535">
        <v>2018</v>
      </c>
      <c r="C535" t="s">
        <v>76</v>
      </c>
      <c r="D535">
        <v>37.11</v>
      </c>
    </row>
    <row r="536" spans="1:4" x14ac:dyDescent="0.45">
      <c r="A536" t="s">
        <v>58</v>
      </c>
      <c r="B536">
        <v>2018</v>
      </c>
      <c r="C536" t="s">
        <v>76</v>
      </c>
      <c r="D536">
        <v>8.41</v>
      </c>
    </row>
    <row r="537" spans="1:4" x14ac:dyDescent="0.45">
      <c r="A537" t="s">
        <v>91</v>
      </c>
      <c r="B537">
        <v>2018</v>
      </c>
      <c r="C537" t="s">
        <v>76</v>
      </c>
      <c r="D537">
        <v>4.67</v>
      </c>
    </row>
    <row r="538" spans="1:4" x14ac:dyDescent="0.45">
      <c r="A538" t="s">
        <v>32</v>
      </c>
      <c r="B538">
        <v>2019</v>
      </c>
      <c r="C538" t="s">
        <v>76</v>
      </c>
      <c r="D538">
        <v>24.37</v>
      </c>
    </row>
    <row r="539" spans="1:4" x14ac:dyDescent="0.45">
      <c r="A539" t="s">
        <v>34</v>
      </c>
      <c r="B539">
        <v>2019</v>
      </c>
      <c r="C539" t="s">
        <v>76</v>
      </c>
      <c r="D539">
        <v>4439.05</v>
      </c>
    </row>
    <row r="540" spans="1:4" x14ac:dyDescent="0.45">
      <c r="A540" t="s">
        <v>36</v>
      </c>
      <c r="B540">
        <v>2019</v>
      </c>
      <c r="C540" t="s">
        <v>76</v>
      </c>
      <c r="D540">
        <v>103.3</v>
      </c>
    </row>
    <row r="541" spans="1:4" x14ac:dyDescent="0.45">
      <c r="A541" t="s">
        <v>56</v>
      </c>
      <c r="B541">
        <v>2019</v>
      </c>
      <c r="C541" t="s">
        <v>76</v>
      </c>
      <c r="D541">
        <v>30.24</v>
      </c>
    </row>
    <row r="542" spans="1:4" x14ac:dyDescent="0.45">
      <c r="A542" t="s">
        <v>57</v>
      </c>
      <c r="B542">
        <v>2019</v>
      </c>
      <c r="C542" t="s">
        <v>76</v>
      </c>
      <c r="D542">
        <v>1.93</v>
      </c>
    </row>
    <row r="543" spans="1:4" x14ac:dyDescent="0.45">
      <c r="A543" t="s">
        <v>38</v>
      </c>
      <c r="B543">
        <v>2019</v>
      </c>
      <c r="C543" t="s">
        <v>76</v>
      </c>
      <c r="D543">
        <v>34.53</v>
      </c>
    </row>
    <row r="544" spans="1:4" x14ac:dyDescent="0.45">
      <c r="A544" t="s">
        <v>58</v>
      </c>
      <c r="B544">
        <v>2019</v>
      </c>
      <c r="C544" t="s">
        <v>76</v>
      </c>
      <c r="D544">
        <v>10.64</v>
      </c>
    </row>
    <row r="545" spans="1:4" x14ac:dyDescent="0.45">
      <c r="A545" t="s">
        <v>91</v>
      </c>
      <c r="B545">
        <v>2019</v>
      </c>
      <c r="C545" t="s">
        <v>76</v>
      </c>
      <c r="D545">
        <v>5.19</v>
      </c>
    </row>
    <row r="546" spans="1:4" x14ac:dyDescent="0.45">
      <c r="A546" t="s">
        <v>32</v>
      </c>
      <c r="B546">
        <v>2020</v>
      </c>
      <c r="C546" t="s">
        <v>76</v>
      </c>
      <c r="D546">
        <v>29.32</v>
      </c>
    </row>
    <row r="547" spans="1:4" x14ac:dyDescent="0.45">
      <c r="A547" t="s">
        <v>34</v>
      </c>
      <c r="B547">
        <v>2020</v>
      </c>
      <c r="C547" t="s">
        <v>76</v>
      </c>
      <c r="D547">
        <v>4487.6099999999997</v>
      </c>
    </row>
    <row r="548" spans="1:4" x14ac:dyDescent="0.45">
      <c r="A548" t="s">
        <v>36</v>
      </c>
      <c r="B548">
        <v>2020</v>
      </c>
      <c r="C548" t="s">
        <v>76</v>
      </c>
      <c r="D548">
        <v>112.18</v>
      </c>
    </row>
    <row r="549" spans="1:4" x14ac:dyDescent="0.45">
      <c r="A549" t="s">
        <v>56</v>
      </c>
      <c r="B549">
        <v>2020</v>
      </c>
      <c r="C549" t="s">
        <v>76</v>
      </c>
      <c r="D549">
        <v>31.4</v>
      </c>
    </row>
    <row r="550" spans="1:4" x14ac:dyDescent="0.45">
      <c r="A550" t="s">
        <v>57</v>
      </c>
      <c r="B550">
        <v>2020</v>
      </c>
      <c r="C550" t="s">
        <v>76</v>
      </c>
      <c r="D550">
        <v>2.0299999999999998</v>
      </c>
    </row>
    <row r="551" spans="1:4" x14ac:dyDescent="0.45">
      <c r="A551" t="s">
        <v>38</v>
      </c>
      <c r="B551">
        <v>2020</v>
      </c>
      <c r="C551" t="s">
        <v>76</v>
      </c>
      <c r="D551">
        <v>35.18</v>
      </c>
    </row>
    <row r="552" spans="1:4" x14ac:dyDescent="0.45">
      <c r="A552" t="s">
        <v>58</v>
      </c>
      <c r="B552">
        <v>2020</v>
      </c>
      <c r="C552" t="s">
        <v>76</v>
      </c>
      <c r="D552">
        <v>12.41</v>
      </c>
    </row>
    <row r="553" spans="1:4" x14ac:dyDescent="0.45">
      <c r="A553" t="s">
        <v>91</v>
      </c>
      <c r="B553">
        <v>2020</v>
      </c>
      <c r="C553" t="s">
        <v>76</v>
      </c>
      <c r="D553">
        <v>5.99</v>
      </c>
    </row>
    <row r="554" spans="1:4" x14ac:dyDescent="0.45">
      <c r="A554" t="s">
        <v>32</v>
      </c>
      <c r="B554">
        <v>2021</v>
      </c>
      <c r="C554" t="s">
        <v>76</v>
      </c>
      <c r="D554">
        <v>35.869999999999997</v>
      </c>
    </row>
    <row r="555" spans="1:4" x14ac:dyDescent="0.45">
      <c r="A555" t="s">
        <v>34</v>
      </c>
      <c r="B555">
        <v>2021</v>
      </c>
      <c r="C555" t="s">
        <v>76</v>
      </c>
      <c r="D555">
        <v>4853.72</v>
      </c>
    </row>
    <row r="556" spans="1:4" x14ac:dyDescent="0.45">
      <c r="A556" t="s">
        <v>36</v>
      </c>
      <c r="B556">
        <v>2021</v>
      </c>
      <c r="C556" t="s">
        <v>76</v>
      </c>
      <c r="D556">
        <v>127.55</v>
      </c>
    </row>
    <row r="557" spans="1:4" x14ac:dyDescent="0.45">
      <c r="A557" t="s">
        <v>56</v>
      </c>
      <c r="B557">
        <v>2021</v>
      </c>
      <c r="C557" t="s">
        <v>76</v>
      </c>
      <c r="D557">
        <v>30.89</v>
      </c>
    </row>
    <row r="558" spans="1:4" x14ac:dyDescent="0.45">
      <c r="A558" t="s">
        <v>57</v>
      </c>
      <c r="B558">
        <v>2021</v>
      </c>
      <c r="C558" t="s">
        <v>76</v>
      </c>
      <c r="D558">
        <v>2.2599999999999998</v>
      </c>
    </row>
    <row r="559" spans="1:4" x14ac:dyDescent="0.45">
      <c r="A559" t="s">
        <v>38</v>
      </c>
      <c r="B559">
        <v>2021</v>
      </c>
      <c r="C559" t="s">
        <v>76</v>
      </c>
      <c r="D559">
        <v>37.549999999999997</v>
      </c>
    </row>
    <row r="560" spans="1:4" x14ac:dyDescent="0.45">
      <c r="A560" t="s">
        <v>58</v>
      </c>
      <c r="B560">
        <v>2021</v>
      </c>
      <c r="C560" t="s">
        <v>76</v>
      </c>
      <c r="D560">
        <v>15.54</v>
      </c>
    </row>
    <row r="561" spans="1:4" x14ac:dyDescent="0.45">
      <c r="A561" t="s">
        <v>91</v>
      </c>
      <c r="B561">
        <v>2021</v>
      </c>
      <c r="C561" t="s">
        <v>76</v>
      </c>
      <c r="D561">
        <v>8.68</v>
      </c>
    </row>
    <row r="562" spans="1:4" x14ac:dyDescent="0.45">
      <c r="A562" t="s">
        <v>32</v>
      </c>
      <c r="B562">
        <v>2022</v>
      </c>
      <c r="C562" t="s">
        <v>76</v>
      </c>
      <c r="D562">
        <v>39.46</v>
      </c>
    </row>
    <row r="563" spans="1:4" x14ac:dyDescent="0.45">
      <c r="A563" t="s">
        <v>34</v>
      </c>
      <c r="B563">
        <v>2022</v>
      </c>
      <c r="C563" t="s">
        <v>76</v>
      </c>
      <c r="D563">
        <v>4918.66</v>
      </c>
    </row>
    <row r="564" spans="1:4" x14ac:dyDescent="0.45">
      <c r="A564" t="s">
        <v>36</v>
      </c>
      <c r="B564">
        <v>2022</v>
      </c>
      <c r="C564" t="s">
        <v>76</v>
      </c>
      <c r="D564">
        <v>122.45</v>
      </c>
    </row>
    <row r="565" spans="1:4" x14ac:dyDescent="0.45">
      <c r="A565" t="s">
        <v>56</v>
      </c>
      <c r="B565">
        <v>2022</v>
      </c>
      <c r="C565" t="s">
        <v>76</v>
      </c>
      <c r="D565">
        <v>30.84</v>
      </c>
    </row>
    <row r="566" spans="1:4" x14ac:dyDescent="0.45">
      <c r="A566" t="s">
        <v>57</v>
      </c>
      <c r="B566">
        <v>2022</v>
      </c>
      <c r="C566" t="s">
        <v>76</v>
      </c>
      <c r="D566">
        <v>2.31</v>
      </c>
    </row>
    <row r="567" spans="1:4" x14ac:dyDescent="0.45">
      <c r="A567" t="s">
        <v>38</v>
      </c>
      <c r="B567">
        <v>2022</v>
      </c>
      <c r="C567" t="s">
        <v>76</v>
      </c>
      <c r="D567">
        <v>47.4</v>
      </c>
    </row>
    <row r="568" spans="1:4" x14ac:dyDescent="0.45">
      <c r="A568" t="s">
        <v>58</v>
      </c>
      <c r="B568">
        <v>2022</v>
      </c>
      <c r="C568" t="s">
        <v>76</v>
      </c>
      <c r="D568">
        <v>20.3</v>
      </c>
    </row>
    <row r="569" spans="1:4" x14ac:dyDescent="0.45">
      <c r="A569" t="s">
        <v>91</v>
      </c>
      <c r="B569">
        <v>2022</v>
      </c>
      <c r="C569" t="s">
        <v>76</v>
      </c>
      <c r="D569">
        <v>10.119999999999999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42.84</v>
      </c>
    </row>
    <row r="571" spans="1:4" x14ac:dyDescent="0.45">
      <c r="A571" t="s">
        <v>34</v>
      </c>
      <c r="B571">
        <v>2023</v>
      </c>
      <c r="C571" t="s">
        <v>76</v>
      </c>
      <c r="D571">
        <v>5222.71</v>
      </c>
    </row>
    <row r="572" spans="1:4" x14ac:dyDescent="0.45">
      <c r="A572" t="s">
        <v>36</v>
      </c>
      <c r="B572">
        <v>2023</v>
      </c>
      <c r="C572" t="s">
        <v>76</v>
      </c>
      <c r="D572">
        <v>132.31</v>
      </c>
    </row>
    <row r="573" spans="1:4" x14ac:dyDescent="0.45">
      <c r="A573" t="s">
        <v>56</v>
      </c>
      <c r="B573">
        <v>2023</v>
      </c>
      <c r="C573" t="s">
        <v>76</v>
      </c>
      <c r="D573">
        <v>29.13</v>
      </c>
    </row>
    <row r="574" spans="1:4" x14ac:dyDescent="0.45">
      <c r="A574" t="s">
        <v>57</v>
      </c>
      <c r="B574">
        <v>2023</v>
      </c>
      <c r="C574" t="s">
        <v>76</v>
      </c>
      <c r="D574">
        <v>2.41</v>
      </c>
    </row>
    <row r="575" spans="1:4" x14ac:dyDescent="0.45">
      <c r="A575" t="s">
        <v>38</v>
      </c>
      <c r="B575">
        <v>2023</v>
      </c>
      <c r="C575" t="s">
        <v>76</v>
      </c>
      <c r="D575">
        <v>49.94</v>
      </c>
    </row>
    <row r="576" spans="1:4" x14ac:dyDescent="0.45">
      <c r="A576" t="s">
        <v>58</v>
      </c>
      <c r="B576">
        <v>2023</v>
      </c>
      <c r="C576" t="s">
        <v>76</v>
      </c>
      <c r="D576">
        <v>27.76</v>
      </c>
    </row>
    <row r="577" spans="1:4" x14ac:dyDescent="0.45">
      <c r="A577" t="s">
        <v>91</v>
      </c>
      <c r="B577">
        <v>2023</v>
      </c>
      <c r="C577" t="s">
        <v>76</v>
      </c>
      <c r="D577">
        <v>11.75</v>
      </c>
    </row>
    <row r="578" spans="1:4" x14ac:dyDescent="0.45">
      <c r="A578" t="s">
        <v>59</v>
      </c>
      <c r="B578">
        <v>2000</v>
      </c>
      <c r="C578" t="s">
        <v>74</v>
      </c>
      <c r="D578">
        <v>9.9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10.199999999999999</v>
      </c>
    </row>
    <row r="581" spans="1:4" x14ac:dyDescent="0.45">
      <c r="A581" t="s">
        <v>60</v>
      </c>
      <c r="B581">
        <v>2001</v>
      </c>
      <c r="C581" t="s">
        <v>74</v>
      </c>
      <c r="D581">
        <v>1.8</v>
      </c>
    </row>
    <row r="582" spans="1:4" x14ac:dyDescent="0.45">
      <c r="A582" t="s">
        <v>59</v>
      </c>
      <c r="B582">
        <v>2002</v>
      </c>
      <c r="C582" t="s">
        <v>74</v>
      </c>
      <c r="D582">
        <v>9.6999999999999993</v>
      </c>
    </row>
    <row r="583" spans="1:4" x14ac:dyDescent="0.45">
      <c r="A583" t="s">
        <v>60</v>
      </c>
      <c r="B583">
        <v>2002</v>
      </c>
      <c r="C583" t="s">
        <v>74</v>
      </c>
      <c r="D583">
        <v>2.2999999999999998</v>
      </c>
    </row>
    <row r="584" spans="1:4" x14ac:dyDescent="0.45">
      <c r="A584" t="s">
        <v>59</v>
      </c>
      <c r="B584">
        <v>2003</v>
      </c>
      <c r="C584" t="s">
        <v>74</v>
      </c>
      <c r="D584">
        <v>10.3</v>
      </c>
    </row>
    <row r="585" spans="1:4" x14ac:dyDescent="0.45">
      <c r="A585" t="s">
        <v>60</v>
      </c>
      <c r="B585">
        <v>2003</v>
      </c>
      <c r="C585" t="s">
        <v>74</v>
      </c>
      <c r="D585">
        <v>3</v>
      </c>
    </row>
    <row r="586" spans="1:4" x14ac:dyDescent="0.45">
      <c r="A586" t="s">
        <v>59</v>
      </c>
      <c r="B586">
        <v>2004</v>
      </c>
      <c r="C586" t="s">
        <v>74</v>
      </c>
      <c r="D586">
        <v>9.5</v>
      </c>
    </row>
    <row r="587" spans="1:4" x14ac:dyDescent="0.45">
      <c r="A587" t="s">
        <v>60</v>
      </c>
      <c r="B587">
        <v>2004</v>
      </c>
      <c r="C587" t="s">
        <v>74</v>
      </c>
      <c r="D587">
        <v>3.4</v>
      </c>
    </row>
    <row r="588" spans="1:4" x14ac:dyDescent="0.45">
      <c r="A588" t="s">
        <v>59</v>
      </c>
      <c r="B588">
        <v>2005</v>
      </c>
      <c r="C588" t="s">
        <v>74</v>
      </c>
      <c r="D588">
        <v>11.2</v>
      </c>
    </row>
    <row r="589" spans="1:4" x14ac:dyDescent="0.45">
      <c r="A589" t="s">
        <v>60</v>
      </c>
      <c r="B589">
        <v>2005</v>
      </c>
      <c r="C589" t="s">
        <v>74</v>
      </c>
      <c r="D589">
        <v>5</v>
      </c>
    </row>
    <row r="590" spans="1:4" x14ac:dyDescent="0.45">
      <c r="A590" t="s">
        <v>59</v>
      </c>
      <c r="B590">
        <v>2006</v>
      </c>
      <c r="C590" t="s">
        <v>74</v>
      </c>
      <c r="D590">
        <v>12.3</v>
      </c>
    </row>
    <row r="591" spans="1:4" x14ac:dyDescent="0.45">
      <c r="A591" t="s">
        <v>60</v>
      </c>
      <c r="B591">
        <v>2006</v>
      </c>
      <c r="C591" t="s">
        <v>74</v>
      </c>
      <c r="D591">
        <v>5.4</v>
      </c>
    </row>
    <row r="592" spans="1:4" x14ac:dyDescent="0.45">
      <c r="A592" t="s">
        <v>59</v>
      </c>
      <c r="B592">
        <v>2007</v>
      </c>
      <c r="C592" t="s">
        <v>74</v>
      </c>
      <c r="D592">
        <v>14.6</v>
      </c>
    </row>
    <row r="593" spans="1:4" x14ac:dyDescent="0.45">
      <c r="A593" t="s">
        <v>60</v>
      </c>
      <c r="B593">
        <v>2007</v>
      </c>
      <c r="C593" t="s">
        <v>74</v>
      </c>
      <c r="D593">
        <v>4.3</v>
      </c>
    </row>
    <row r="594" spans="1:4" x14ac:dyDescent="0.45">
      <c r="A594" t="s">
        <v>59</v>
      </c>
      <c r="B594">
        <v>2008</v>
      </c>
      <c r="C594" t="s">
        <v>74</v>
      </c>
      <c r="D594">
        <v>16.600000000000001</v>
      </c>
    </row>
    <row r="595" spans="1:4" x14ac:dyDescent="0.45">
      <c r="A595" t="s">
        <v>60</v>
      </c>
      <c r="B595">
        <v>2008</v>
      </c>
      <c r="C595" t="s">
        <v>74</v>
      </c>
      <c r="D595">
        <v>3.8</v>
      </c>
    </row>
    <row r="596" spans="1:4" x14ac:dyDescent="0.45">
      <c r="A596" t="s">
        <v>59</v>
      </c>
      <c r="B596">
        <v>2009</v>
      </c>
      <c r="C596" t="s">
        <v>74</v>
      </c>
      <c r="D596">
        <v>17.399999999999999</v>
      </c>
    </row>
    <row r="597" spans="1:4" x14ac:dyDescent="0.45">
      <c r="A597" t="s">
        <v>60</v>
      </c>
      <c r="B597">
        <v>2009</v>
      </c>
      <c r="C597" t="s">
        <v>74</v>
      </c>
      <c r="D597">
        <v>6</v>
      </c>
    </row>
    <row r="598" spans="1:4" x14ac:dyDescent="0.45">
      <c r="A598" t="s">
        <v>59</v>
      </c>
      <c r="B598">
        <v>2010</v>
      </c>
      <c r="C598" t="s">
        <v>74</v>
      </c>
      <c r="D598">
        <v>19.100000000000001</v>
      </c>
    </row>
    <row r="599" spans="1:4" x14ac:dyDescent="0.45">
      <c r="A599" t="s">
        <v>60</v>
      </c>
      <c r="B599">
        <v>2010</v>
      </c>
      <c r="C599" t="s">
        <v>74</v>
      </c>
      <c r="D599">
        <v>5.5</v>
      </c>
    </row>
    <row r="600" spans="1:4" x14ac:dyDescent="0.45">
      <c r="A600" t="s">
        <v>59</v>
      </c>
      <c r="B600">
        <v>2011</v>
      </c>
      <c r="C600" t="s">
        <v>74</v>
      </c>
      <c r="D600">
        <v>19.3</v>
      </c>
    </row>
    <row r="601" spans="1:4" x14ac:dyDescent="0.45">
      <c r="A601" t="s">
        <v>60</v>
      </c>
      <c r="B601">
        <v>2011</v>
      </c>
      <c r="C601" t="s">
        <v>74</v>
      </c>
      <c r="D601">
        <v>6.6</v>
      </c>
    </row>
    <row r="602" spans="1:4" x14ac:dyDescent="0.45">
      <c r="A602" t="s">
        <v>59</v>
      </c>
      <c r="B602">
        <v>2012</v>
      </c>
      <c r="C602" t="s">
        <v>74</v>
      </c>
      <c r="D602">
        <v>17.7</v>
      </c>
    </row>
    <row r="603" spans="1:4" x14ac:dyDescent="0.45">
      <c r="A603" t="s">
        <v>60</v>
      </c>
      <c r="B603">
        <v>2012</v>
      </c>
      <c r="C603" t="s">
        <v>74</v>
      </c>
      <c r="D603">
        <v>6.9</v>
      </c>
    </row>
    <row r="604" spans="1:4" x14ac:dyDescent="0.45">
      <c r="A604" t="s">
        <v>59</v>
      </c>
      <c r="B604">
        <v>2013</v>
      </c>
      <c r="C604" t="s">
        <v>74</v>
      </c>
      <c r="D604">
        <v>18.7</v>
      </c>
    </row>
    <row r="605" spans="1:4" x14ac:dyDescent="0.45">
      <c r="A605" t="s">
        <v>60</v>
      </c>
      <c r="B605">
        <v>2013</v>
      </c>
      <c r="C605" t="s">
        <v>74</v>
      </c>
      <c r="D605">
        <v>7.4</v>
      </c>
    </row>
    <row r="606" spans="1:4" x14ac:dyDescent="0.45">
      <c r="A606" t="s">
        <v>59</v>
      </c>
      <c r="B606">
        <v>2014</v>
      </c>
      <c r="C606" t="s">
        <v>74</v>
      </c>
      <c r="D606">
        <v>18.2</v>
      </c>
    </row>
    <row r="607" spans="1:4" x14ac:dyDescent="0.45">
      <c r="A607" t="s">
        <v>60</v>
      </c>
      <c r="B607">
        <v>2014</v>
      </c>
      <c r="C607" t="s">
        <v>74</v>
      </c>
      <c r="D607">
        <v>6.8</v>
      </c>
    </row>
    <row r="608" spans="1:4" x14ac:dyDescent="0.45">
      <c r="A608" t="s">
        <v>59</v>
      </c>
      <c r="B608">
        <v>2015</v>
      </c>
      <c r="C608" t="s">
        <v>74</v>
      </c>
      <c r="D608">
        <v>18.7</v>
      </c>
    </row>
    <row r="609" spans="1:4" x14ac:dyDescent="0.45">
      <c r="A609" t="s">
        <v>60</v>
      </c>
      <c r="B609">
        <v>2015</v>
      </c>
      <c r="C609" t="s">
        <v>74</v>
      </c>
      <c r="D609">
        <v>6.2</v>
      </c>
    </row>
    <row r="610" spans="1:4" x14ac:dyDescent="0.45">
      <c r="A610" t="s">
        <v>59</v>
      </c>
      <c r="B610">
        <v>2016</v>
      </c>
      <c r="C610" t="s">
        <v>74</v>
      </c>
      <c r="D610">
        <v>18.899999999999999</v>
      </c>
    </row>
    <row r="611" spans="1:4" x14ac:dyDescent="0.45">
      <c r="A611" t="s">
        <v>60</v>
      </c>
      <c r="B611">
        <v>2016</v>
      </c>
      <c r="C611" t="s">
        <v>74</v>
      </c>
      <c r="D611">
        <v>6.2</v>
      </c>
    </row>
    <row r="612" spans="1:4" x14ac:dyDescent="0.45">
      <c r="A612" t="s">
        <v>59</v>
      </c>
      <c r="B612">
        <v>2017</v>
      </c>
      <c r="C612" t="s">
        <v>74</v>
      </c>
      <c r="D612">
        <v>19.5</v>
      </c>
    </row>
    <row r="613" spans="1:4" x14ac:dyDescent="0.45">
      <c r="A613" t="s">
        <v>60</v>
      </c>
      <c r="B613">
        <v>2017</v>
      </c>
      <c r="C613" t="s">
        <v>74</v>
      </c>
      <c r="D613">
        <v>6.4</v>
      </c>
    </row>
    <row r="614" spans="1:4" x14ac:dyDescent="0.45">
      <c r="A614" t="s">
        <v>59</v>
      </c>
      <c r="B614">
        <v>2018</v>
      </c>
      <c r="C614" t="s">
        <v>74</v>
      </c>
      <c r="D614">
        <v>20.9</v>
      </c>
    </row>
    <row r="615" spans="1:4" x14ac:dyDescent="0.45">
      <c r="A615" t="s">
        <v>60</v>
      </c>
      <c r="B615">
        <v>2018</v>
      </c>
      <c r="C615" t="s">
        <v>74</v>
      </c>
      <c r="D615">
        <v>5.7</v>
      </c>
    </row>
    <row r="616" spans="1:4" x14ac:dyDescent="0.45">
      <c r="A616" t="s">
        <v>59</v>
      </c>
      <c r="B616">
        <v>2019</v>
      </c>
      <c r="C616" t="s">
        <v>74</v>
      </c>
      <c r="D616">
        <v>21.7</v>
      </c>
    </row>
    <row r="617" spans="1:4" x14ac:dyDescent="0.45">
      <c r="A617" t="s">
        <v>60</v>
      </c>
      <c r="B617">
        <v>2019</v>
      </c>
      <c r="C617" t="s">
        <v>74</v>
      </c>
      <c r="D617">
        <v>4.9000000000000004</v>
      </c>
    </row>
    <row r="618" spans="1:4" x14ac:dyDescent="0.45">
      <c r="A618" t="s">
        <v>59</v>
      </c>
      <c r="B618">
        <v>2020</v>
      </c>
      <c r="C618" t="s">
        <v>74</v>
      </c>
      <c r="D618">
        <v>21.8</v>
      </c>
    </row>
    <row r="619" spans="1:4" x14ac:dyDescent="0.45">
      <c r="A619" t="s">
        <v>60</v>
      </c>
      <c r="B619">
        <v>2020</v>
      </c>
      <c r="C619" t="s">
        <v>74</v>
      </c>
      <c r="D619">
        <v>4.8</v>
      </c>
    </row>
    <row r="620" spans="1:4" x14ac:dyDescent="0.45">
      <c r="A620" t="s">
        <v>59</v>
      </c>
      <c r="B620">
        <v>2021</v>
      </c>
      <c r="C620" t="s">
        <v>74</v>
      </c>
      <c r="D620">
        <v>20.2</v>
      </c>
    </row>
    <row r="621" spans="1:4" x14ac:dyDescent="0.45">
      <c r="A621" t="s">
        <v>60</v>
      </c>
      <c r="B621">
        <v>2021</v>
      </c>
      <c r="C621" t="s">
        <v>74</v>
      </c>
      <c r="D621">
        <v>5.9</v>
      </c>
    </row>
    <row r="622" spans="1:4" x14ac:dyDescent="0.45">
      <c r="A622" t="s">
        <v>59</v>
      </c>
      <c r="B622">
        <v>2022</v>
      </c>
      <c r="C622" t="s">
        <v>74</v>
      </c>
      <c r="D622">
        <v>20.100000000000001</v>
      </c>
    </row>
    <row r="623" spans="1:4" x14ac:dyDescent="0.45">
      <c r="A623" t="s">
        <v>60</v>
      </c>
      <c r="B623">
        <v>2022</v>
      </c>
      <c r="C623" t="s">
        <v>74</v>
      </c>
      <c r="D623">
        <v>7.1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1591.6173999999999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129.899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0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1226.9914000000001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121.5665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448.81240000000003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256.06900000000002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277.36579999999998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240.85599999999999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164.35899999999998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218.72399999999999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204.22049999999999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0.26319999999999999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173.4975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1591.7678000000001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129.91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1254.0257999999999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151.77799999999999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1328.7934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142.80199999999999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1244.1276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80.657499999999999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1087.0912000000001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126.258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989.67899999999997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146.0085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874.00260000000003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191.1635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1591.8430000000001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129.9375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1254.1197999999999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151.81100000000001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1328.9156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142.82400000000001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430.31319999999999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248.72650000000002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4.7E-2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196.988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0.29139999999999999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154.8965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0.65800000000000003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126.45599999999999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1591.7866000000001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129.9375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1254.0634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151.80549999999999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1328.8498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142.8185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1133.8561999999999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126.95650000000001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912.3922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189.2055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4.0600000000000005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572.43179999999995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303.78149999999999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7.1120000000000001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472.81059999999997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350.83949999999999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1591.6268000000002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129.8605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1226.9725999999998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121.52249999999999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0.22559999999999997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108.4545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0.64859999999999995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27.918000000000003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1.2125999999999999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45.160500000000006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2.0209999999999999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43.422499999999999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1.9081999999999999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35.2605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1591.7583999999999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129.91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1227.1512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121.5775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1030.2494000000002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193.4845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1001.2692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175.142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679.59180000000003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230.80199999999999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352.80079999999998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316.29949999999997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264.72280000000001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371.50299999999999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1591.3824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129.84950000000001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1226.7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121.506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28.265800000000002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175.26850000000002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15.7074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27.131500000000003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0.32900000000000001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2.6132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0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4.1829999999999998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2.585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10725.8698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51</v>
      </c>
      <c r="E150" t="s">
        <v>46</v>
      </c>
      <c r="F150" t="s">
        <v>51</v>
      </c>
      <c r="G150" t="s">
        <v>49</v>
      </c>
      <c r="H150" t="s">
        <v>50</v>
      </c>
      <c r="I150">
        <v>2020</v>
      </c>
      <c r="J150">
        <v>10477.327099999999</v>
      </c>
      <c r="K150" t="s">
        <v>51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2025</v>
      </c>
      <c r="J151">
        <v>10829.665099999998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51</v>
      </c>
      <c r="E152" t="s">
        <v>46</v>
      </c>
      <c r="F152" t="s">
        <v>51</v>
      </c>
      <c r="G152" t="s">
        <v>49</v>
      </c>
      <c r="H152" t="s">
        <v>50</v>
      </c>
      <c r="I152">
        <v>2025</v>
      </c>
      <c r="J152">
        <v>10335.37665</v>
      </c>
      <c r="K152" t="s">
        <v>51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2030</v>
      </c>
      <c r="J153">
        <v>7389.4281499999997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51</v>
      </c>
      <c r="E154" t="s">
        <v>46</v>
      </c>
      <c r="F154" t="s">
        <v>51</v>
      </c>
      <c r="G154" t="s">
        <v>49</v>
      </c>
      <c r="H154" t="s">
        <v>50</v>
      </c>
      <c r="I154">
        <v>2030</v>
      </c>
      <c r="J154">
        <v>7245.9123500000005</v>
      </c>
      <c r="K154" t="s">
        <v>51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2035</v>
      </c>
      <c r="J155">
        <v>4596.9864500000003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2035</v>
      </c>
      <c r="J156">
        <v>4705.1428999999998</v>
      </c>
      <c r="K156" t="s">
        <v>51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2040</v>
      </c>
      <c r="J157">
        <v>2398.2964999999999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2040</v>
      </c>
      <c r="J158">
        <v>2821.6985500000001</v>
      </c>
      <c r="K158" t="s">
        <v>51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2045</v>
      </c>
      <c r="J159">
        <v>1155.5072500000001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2045</v>
      </c>
      <c r="J160">
        <v>1678.1401000000001</v>
      </c>
      <c r="K160" t="s">
        <v>51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2050</v>
      </c>
      <c r="J161">
        <v>541.46820000000002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2050</v>
      </c>
      <c r="J162">
        <v>1113.9675999999999</v>
      </c>
      <c r="K162" t="s">
        <v>51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2055</v>
      </c>
      <c r="J163">
        <v>42.233199999999997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2055</v>
      </c>
      <c r="J164">
        <v>722.149</v>
      </c>
      <c r="K164" t="s">
        <v>51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2060</v>
      </c>
      <c r="J165">
        <v>-343.52120000000002</v>
      </c>
      <c r="K165" t="s">
        <v>48</v>
      </c>
    </row>
    <row r="166" spans="1:11" x14ac:dyDescent="0.45">
      <c r="A166" t="s">
        <v>90</v>
      </c>
      <c r="B166" t="s">
        <v>3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2060</v>
      </c>
      <c r="J166">
        <v>389.77904999999998</v>
      </c>
      <c r="K166" t="s">
        <v>51</v>
      </c>
    </row>
    <row r="167" spans="1:11" x14ac:dyDescent="0.45">
      <c r="A167" t="s">
        <v>90</v>
      </c>
      <c r="B167" t="s">
        <v>3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2065</v>
      </c>
      <c r="J167">
        <v>-587.50424999999996</v>
      </c>
      <c r="K167" t="s">
        <v>48</v>
      </c>
    </row>
    <row r="168" spans="1:11" x14ac:dyDescent="0.45">
      <c r="A168" t="s">
        <v>90</v>
      </c>
      <c r="B168" t="s">
        <v>3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2065</v>
      </c>
      <c r="J168">
        <v>176.12285</v>
      </c>
      <c r="K168" t="s">
        <v>51</v>
      </c>
    </row>
    <row r="169" spans="1:11" x14ac:dyDescent="0.45">
      <c r="A169" t="s">
        <v>90</v>
      </c>
      <c r="B169" t="s">
        <v>3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2070</v>
      </c>
      <c r="J169">
        <v>-831.23074999999994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2070</v>
      </c>
      <c r="J170">
        <v>-37.347650000000002</v>
      </c>
      <c r="K170" t="s">
        <v>51</v>
      </c>
    </row>
    <row r="171" spans="1:11" x14ac:dyDescent="0.45">
      <c r="A171" t="s">
        <v>90</v>
      </c>
      <c r="B171" t="s">
        <v>3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2075</v>
      </c>
      <c r="J171">
        <v>-984.4434</v>
      </c>
      <c r="K171" t="s">
        <v>48</v>
      </c>
    </row>
    <row r="172" spans="1:11" x14ac:dyDescent="0.45">
      <c r="A172" t="s">
        <v>90</v>
      </c>
      <c r="B172" t="s">
        <v>3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2075</v>
      </c>
      <c r="J172">
        <v>-113.994</v>
      </c>
      <c r="K172" t="s">
        <v>51</v>
      </c>
    </row>
    <row r="173" spans="1:11" x14ac:dyDescent="0.45">
      <c r="A173" t="s">
        <v>90</v>
      </c>
      <c r="B173" t="s">
        <v>3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2080</v>
      </c>
      <c r="J173">
        <v>-1137.5852500000001</v>
      </c>
      <c r="K173" t="s">
        <v>48</v>
      </c>
    </row>
    <row r="174" spans="1:11" x14ac:dyDescent="0.45">
      <c r="A174" t="s">
        <v>90</v>
      </c>
      <c r="B174" t="s">
        <v>3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2080</v>
      </c>
      <c r="J174">
        <v>-190.58125000000001</v>
      </c>
      <c r="K174" t="s">
        <v>51</v>
      </c>
    </row>
    <row r="175" spans="1:11" x14ac:dyDescent="0.45">
      <c r="A175" t="s">
        <v>90</v>
      </c>
      <c r="B175" t="s">
        <v>3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2085</v>
      </c>
      <c r="J175">
        <v>-1140.06915</v>
      </c>
      <c r="K175" t="s">
        <v>48</v>
      </c>
    </row>
    <row r="176" spans="1:11" x14ac:dyDescent="0.45">
      <c r="A176" t="s">
        <v>90</v>
      </c>
      <c r="B176" t="s">
        <v>3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2085</v>
      </c>
      <c r="J176">
        <v>-184.14064999999999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2090</v>
      </c>
      <c r="J177">
        <v>-1142.8317500000001</v>
      </c>
      <c r="K177" t="s">
        <v>48</v>
      </c>
    </row>
    <row r="178" spans="1:11" x14ac:dyDescent="0.45">
      <c r="A178" t="s">
        <v>90</v>
      </c>
      <c r="B178" t="s">
        <v>3</v>
      </c>
      <c r="C178" t="s">
        <v>84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2090</v>
      </c>
      <c r="J178">
        <v>-178.01169999999999</v>
      </c>
      <c r="K178" t="s">
        <v>51</v>
      </c>
    </row>
    <row r="179" spans="1:11" x14ac:dyDescent="0.45">
      <c r="A179" t="s">
        <v>90</v>
      </c>
      <c r="B179" t="s">
        <v>3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2095</v>
      </c>
      <c r="J179">
        <v>-1188.2946000000002</v>
      </c>
      <c r="K179" t="s">
        <v>48</v>
      </c>
    </row>
    <row r="180" spans="1:11" x14ac:dyDescent="0.45">
      <c r="A180" t="s">
        <v>90</v>
      </c>
      <c r="B180" t="s">
        <v>3</v>
      </c>
      <c r="C180" t="s">
        <v>84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2095</v>
      </c>
      <c r="J180">
        <v>-167.27494999999999</v>
      </c>
      <c r="K180" t="s">
        <v>51</v>
      </c>
    </row>
    <row r="181" spans="1:11" x14ac:dyDescent="0.45">
      <c r="A181" t="s">
        <v>90</v>
      </c>
      <c r="B181" t="s">
        <v>3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2100</v>
      </c>
      <c r="J181">
        <v>-1233.5573999999999</v>
      </c>
      <c r="K181" t="s">
        <v>48</v>
      </c>
    </row>
    <row r="182" spans="1:11" x14ac:dyDescent="0.45">
      <c r="A182" t="s">
        <v>90</v>
      </c>
      <c r="B182" t="s">
        <v>3</v>
      </c>
      <c r="C182" t="s">
        <v>84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-156.31545</v>
      </c>
      <c r="K182" t="s">
        <v>51</v>
      </c>
    </row>
    <row r="183" spans="1:11" x14ac:dyDescent="0.45">
      <c r="A183" t="s">
        <v>90</v>
      </c>
      <c r="B183" t="s">
        <v>3</v>
      </c>
      <c r="C183" t="s">
        <v>84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2020</v>
      </c>
      <c r="J183">
        <v>5.3799000000000001</v>
      </c>
      <c r="K183" t="s">
        <v>29</v>
      </c>
    </row>
    <row r="184" spans="1:11" x14ac:dyDescent="0.45">
      <c r="A184" t="s">
        <v>90</v>
      </c>
      <c r="B184" t="s">
        <v>3</v>
      </c>
      <c r="C184" t="s">
        <v>84</v>
      </c>
      <c r="D184" t="s">
        <v>29</v>
      </c>
      <c r="E184" t="s">
        <v>30</v>
      </c>
      <c r="F184" t="s">
        <v>29</v>
      </c>
      <c r="G184" t="s">
        <v>31</v>
      </c>
      <c r="H184" t="s">
        <v>32</v>
      </c>
      <c r="I184">
        <v>2025</v>
      </c>
      <c r="J184">
        <v>5.6314500000000001</v>
      </c>
      <c r="K184" t="s">
        <v>29</v>
      </c>
    </row>
    <row r="185" spans="1:11" x14ac:dyDescent="0.45">
      <c r="A185" t="s">
        <v>90</v>
      </c>
      <c r="B185" t="s">
        <v>3</v>
      </c>
      <c r="C185" t="s">
        <v>84</v>
      </c>
      <c r="D185" t="s">
        <v>29</v>
      </c>
      <c r="E185" t="s">
        <v>30</v>
      </c>
      <c r="F185" t="s">
        <v>29</v>
      </c>
      <c r="G185" t="s">
        <v>31</v>
      </c>
      <c r="H185" t="s">
        <v>32</v>
      </c>
      <c r="I185">
        <v>2030</v>
      </c>
      <c r="J185">
        <v>5.8411499999999998</v>
      </c>
      <c r="K185" t="s">
        <v>29</v>
      </c>
    </row>
    <row r="186" spans="1:11" x14ac:dyDescent="0.45">
      <c r="A186" t="s">
        <v>90</v>
      </c>
      <c r="B186" t="s">
        <v>3</v>
      </c>
      <c r="C186" t="s">
        <v>84</v>
      </c>
      <c r="D186" t="s">
        <v>29</v>
      </c>
      <c r="E186" t="s">
        <v>30</v>
      </c>
      <c r="F186" t="s">
        <v>29</v>
      </c>
      <c r="G186" t="s">
        <v>31</v>
      </c>
      <c r="H186" t="s">
        <v>32</v>
      </c>
      <c r="I186">
        <v>2035</v>
      </c>
      <c r="J186">
        <v>5.9749499999999998</v>
      </c>
      <c r="K186" t="s">
        <v>29</v>
      </c>
    </row>
    <row r="187" spans="1:11" x14ac:dyDescent="0.45">
      <c r="A187" t="s">
        <v>90</v>
      </c>
      <c r="B187" t="s">
        <v>3</v>
      </c>
      <c r="C187" t="s">
        <v>84</v>
      </c>
      <c r="D187" t="s">
        <v>29</v>
      </c>
      <c r="E187" t="s">
        <v>30</v>
      </c>
      <c r="F187" t="s">
        <v>29</v>
      </c>
      <c r="G187" t="s">
        <v>31</v>
      </c>
      <c r="H187" t="s">
        <v>32</v>
      </c>
      <c r="I187">
        <v>2040</v>
      </c>
      <c r="J187">
        <v>6.8430499999999999</v>
      </c>
      <c r="K187" t="s">
        <v>29</v>
      </c>
    </row>
    <row r="188" spans="1:11" x14ac:dyDescent="0.45">
      <c r="A188" t="s">
        <v>90</v>
      </c>
      <c r="B188" t="s">
        <v>3</v>
      </c>
      <c r="C188" t="s">
        <v>84</v>
      </c>
      <c r="D188" t="s">
        <v>29</v>
      </c>
      <c r="E188" t="s">
        <v>30</v>
      </c>
      <c r="F188" t="s">
        <v>29</v>
      </c>
      <c r="G188" t="s">
        <v>31</v>
      </c>
      <c r="H188" t="s">
        <v>32</v>
      </c>
      <c r="I188">
        <v>2045</v>
      </c>
      <c r="J188">
        <v>6.9108000000000001</v>
      </c>
      <c r="K188" t="s">
        <v>29</v>
      </c>
    </row>
    <row r="189" spans="1:11" x14ac:dyDescent="0.45">
      <c r="A189" t="s">
        <v>90</v>
      </c>
      <c r="B189" t="s">
        <v>3</v>
      </c>
      <c r="C189" t="s">
        <v>84</v>
      </c>
      <c r="D189" t="s">
        <v>29</v>
      </c>
      <c r="E189" t="s">
        <v>30</v>
      </c>
      <c r="F189" t="s">
        <v>29</v>
      </c>
      <c r="G189" t="s">
        <v>31</v>
      </c>
      <c r="H189" t="s">
        <v>32</v>
      </c>
      <c r="I189">
        <v>2050</v>
      </c>
      <c r="J189">
        <v>7.8117000000000001</v>
      </c>
      <c r="K189" t="s">
        <v>29</v>
      </c>
    </row>
    <row r="190" spans="1:11" x14ac:dyDescent="0.45">
      <c r="A190" t="s">
        <v>90</v>
      </c>
      <c r="B190" t="s">
        <v>3</v>
      </c>
      <c r="C190" t="s">
        <v>84</v>
      </c>
      <c r="D190" t="s">
        <v>29</v>
      </c>
      <c r="E190" t="s">
        <v>30</v>
      </c>
      <c r="F190" t="s">
        <v>29</v>
      </c>
      <c r="G190" t="s">
        <v>31</v>
      </c>
      <c r="H190" t="s">
        <v>32</v>
      </c>
      <c r="I190">
        <v>2055</v>
      </c>
      <c r="J190">
        <v>8.6547000000000001</v>
      </c>
      <c r="K190" t="s">
        <v>29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2060</v>
      </c>
      <c r="J191">
        <v>12.725249999999999</v>
      </c>
      <c r="K191" t="s">
        <v>29</v>
      </c>
    </row>
    <row r="192" spans="1:11" x14ac:dyDescent="0.45">
      <c r="A192" t="s">
        <v>90</v>
      </c>
      <c r="B192" t="s">
        <v>3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2065</v>
      </c>
      <c r="J192">
        <v>12.6111</v>
      </c>
      <c r="K192" t="s">
        <v>29</v>
      </c>
    </row>
    <row r="193" spans="1:11" x14ac:dyDescent="0.45">
      <c r="A193" t="s">
        <v>90</v>
      </c>
      <c r="B193" t="s">
        <v>3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2070</v>
      </c>
      <c r="J193">
        <v>12.497</v>
      </c>
      <c r="K193" t="s">
        <v>29</v>
      </c>
    </row>
    <row r="194" spans="1:11" x14ac:dyDescent="0.45">
      <c r="A194" t="s">
        <v>90</v>
      </c>
      <c r="B194" t="s">
        <v>3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2075</v>
      </c>
      <c r="J194">
        <v>13.562349999999999</v>
      </c>
      <c r="K194" t="s">
        <v>29</v>
      </c>
    </row>
    <row r="195" spans="1:11" x14ac:dyDescent="0.45">
      <c r="A195" t="s">
        <v>90</v>
      </c>
      <c r="B195" t="s">
        <v>3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2080</v>
      </c>
      <c r="J195">
        <v>14.627700000000001</v>
      </c>
      <c r="K195" t="s">
        <v>29</v>
      </c>
    </row>
    <row r="196" spans="1:11" x14ac:dyDescent="0.45">
      <c r="A196" t="s">
        <v>90</v>
      </c>
      <c r="B196" t="s">
        <v>3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2085</v>
      </c>
      <c r="J196">
        <v>15.284700000000001</v>
      </c>
      <c r="K196" t="s">
        <v>29</v>
      </c>
    </row>
    <row r="197" spans="1:11" x14ac:dyDescent="0.45">
      <c r="A197" t="s">
        <v>90</v>
      </c>
      <c r="B197" t="s">
        <v>3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2090</v>
      </c>
      <c r="J197">
        <v>15.941649999999999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29</v>
      </c>
      <c r="E198" t="s">
        <v>30</v>
      </c>
      <c r="F198" t="s">
        <v>29</v>
      </c>
      <c r="G198" t="s">
        <v>31</v>
      </c>
      <c r="H198" t="s">
        <v>32</v>
      </c>
      <c r="I198">
        <v>2095</v>
      </c>
      <c r="J198">
        <v>15.99475</v>
      </c>
      <c r="K198" t="s">
        <v>29</v>
      </c>
    </row>
    <row r="199" spans="1:11" x14ac:dyDescent="0.45">
      <c r="A199" t="s">
        <v>90</v>
      </c>
      <c r="B199" t="s">
        <v>3</v>
      </c>
      <c r="C199" t="s">
        <v>84</v>
      </c>
      <c r="D199" t="s">
        <v>29</v>
      </c>
      <c r="E199" t="s">
        <v>30</v>
      </c>
      <c r="F199" t="s">
        <v>29</v>
      </c>
      <c r="G199" t="s">
        <v>31</v>
      </c>
      <c r="H199" t="s">
        <v>32</v>
      </c>
      <c r="I199">
        <v>2100</v>
      </c>
      <c r="J199">
        <v>16.047899999999998</v>
      </c>
      <c r="K199" t="s">
        <v>29</v>
      </c>
    </row>
    <row r="200" spans="1:11" x14ac:dyDescent="0.45">
      <c r="A200" t="s">
        <v>90</v>
      </c>
      <c r="B200" t="s">
        <v>3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3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2025</v>
      </c>
      <c r="J201">
        <v>2.2931499999999998</v>
      </c>
      <c r="K201" t="s">
        <v>33</v>
      </c>
    </row>
    <row r="202" spans="1:11" x14ac:dyDescent="0.45">
      <c r="A202" t="s">
        <v>90</v>
      </c>
      <c r="B202" t="s">
        <v>3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2030</v>
      </c>
      <c r="J202">
        <v>1.7217500000000001</v>
      </c>
      <c r="K202" t="s">
        <v>33</v>
      </c>
    </row>
    <row r="203" spans="1:11" x14ac:dyDescent="0.45">
      <c r="A203" t="s">
        <v>90</v>
      </c>
      <c r="B203" t="s">
        <v>3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2035</v>
      </c>
      <c r="J203">
        <v>1.54745</v>
      </c>
      <c r="K203" t="s">
        <v>33</v>
      </c>
    </row>
    <row r="204" spans="1:11" x14ac:dyDescent="0.45">
      <c r="A204" t="s">
        <v>90</v>
      </c>
      <c r="B204" t="s">
        <v>3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2040</v>
      </c>
      <c r="J204">
        <v>1.4253499999999999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33</v>
      </c>
      <c r="E205" t="s">
        <v>30</v>
      </c>
      <c r="F205" t="s">
        <v>33</v>
      </c>
      <c r="G205" t="s">
        <v>31</v>
      </c>
      <c r="H205" t="s">
        <v>34</v>
      </c>
      <c r="I205">
        <v>2045</v>
      </c>
      <c r="J205">
        <v>1.4182999999999999</v>
      </c>
      <c r="K205" t="s">
        <v>33</v>
      </c>
    </row>
    <row r="206" spans="1:11" x14ac:dyDescent="0.45">
      <c r="A206" t="s">
        <v>90</v>
      </c>
      <c r="B206" t="s">
        <v>3</v>
      </c>
      <c r="C206" t="s">
        <v>84</v>
      </c>
      <c r="D206" t="s">
        <v>33</v>
      </c>
      <c r="E206" t="s">
        <v>30</v>
      </c>
      <c r="F206" t="s">
        <v>33</v>
      </c>
      <c r="G206" t="s">
        <v>31</v>
      </c>
      <c r="H206" t="s">
        <v>34</v>
      </c>
      <c r="I206">
        <v>2050</v>
      </c>
      <c r="J206">
        <v>1.5704500000000001</v>
      </c>
      <c r="K206" t="s">
        <v>33</v>
      </c>
    </row>
    <row r="207" spans="1:11" x14ac:dyDescent="0.45">
      <c r="A207" t="s">
        <v>90</v>
      </c>
      <c r="B207" t="s">
        <v>3</v>
      </c>
      <c r="C207" t="s">
        <v>84</v>
      </c>
      <c r="D207" t="s">
        <v>33</v>
      </c>
      <c r="E207" t="s">
        <v>30</v>
      </c>
      <c r="F207" t="s">
        <v>33</v>
      </c>
      <c r="G207" t="s">
        <v>31</v>
      </c>
      <c r="H207" t="s">
        <v>34</v>
      </c>
      <c r="I207">
        <v>2055</v>
      </c>
      <c r="J207">
        <v>1.3464499999999999</v>
      </c>
      <c r="K207" t="s">
        <v>33</v>
      </c>
    </row>
    <row r="208" spans="1:11" x14ac:dyDescent="0.45">
      <c r="A208" t="s">
        <v>90</v>
      </c>
      <c r="B208" t="s">
        <v>3</v>
      </c>
      <c r="C208" t="s">
        <v>84</v>
      </c>
      <c r="D208" t="s">
        <v>33</v>
      </c>
      <c r="E208" t="s">
        <v>30</v>
      </c>
      <c r="F208" t="s">
        <v>33</v>
      </c>
      <c r="G208" t="s">
        <v>31</v>
      </c>
      <c r="H208" t="s">
        <v>34</v>
      </c>
      <c r="I208">
        <v>2060</v>
      </c>
      <c r="J208">
        <v>1.9051</v>
      </c>
      <c r="K208" t="s">
        <v>33</v>
      </c>
    </row>
    <row r="209" spans="1:11" x14ac:dyDescent="0.45">
      <c r="A209" t="s">
        <v>90</v>
      </c>
      <c r="B209" t="s">
        <v>3</v>
      </c>
      <c r="C209" t="s">
        <v>84</v>
      </c>
      <c r="D209" t="s">
        <v>33</v>
      </c>
      <c r="E209" t="s">
        <v>30</v>
      </c>
      <c r="F209" t="s">
        <v>33</v>
      </c>
      <c r="G209" t="s">
        <v>31</v>
      </c>
      <c r="H209" t="s">
        <v>34</v>
      </c>
      <c r="I209">
        <v>2065</v>
      </c>
      <c r="J209">
        <v>1.8803999999999998</v>
      </c>
      <c r="K209" t="s">
        <v>33</v>
      </c>
    </row>
    <row r="210" spans="1:11" x14ac:dyDescent="0.45">
      <c r="A210" t="s">
        <v>90</v>
      </c>
      <c r="B210" t="s">
        <v>3</v>
      </c>
      <c r="C210" t="s">
        <v>84</v>
      </c>
      <c r="D210" t="s">
        <v>33</v>
      </c>
      <c r="E210" t="s">
        <v>30</v>
      </c>
      <c r="F210" t="s">
        <v>33</v>
      </c>
      <c r="G210" t="s">
        <v>31</v>
      </c>
      <c r="H210" t="s">
        <v>34</v>
      </c>
      <c r="I210">
        <v>2070</v>
      </c>
      <c r="J210">
        <v>1.8557000000000001</v>
      </c>
      <c r="K210" t="s">
        <v>33</v>
      </c>
    </row>
    <row r="211" spans="1:11" x14ac:dyDescent="0.45">
      <c r="A211" t="s">
        <v>90</v>
      </c>
      <c r="B211" t="s">
        <v>3</v>
      </c>
      <c r="C211" t="s">
        <v>84</v>
      </c>
      <c r="D211" t="s">
        <v>33</v>
      </c>
      <c r="E211" t="s">
        <v>30</v>
      </c>
      <c r="F211" t="s">
        <v>33</v>
      </c>
      <c r="G211" t="s">
        <v>31</v>
      </c>
      <c r="H211" t="s">
        <v>34</v>
      </c>
      <c r="I211">
        <v>2075</v>
      </c>
      <c r="J211">
        <v>1.85775</v>
      </c>
      <c r="K211" t="s">
        <v>33</v>
      </c>
    </row>
    <row r="212" spans="1:11" x14ac:dyDescent="0.45">
      <c r="A212" t="s">
        <v>90</v>
      </c>
      <c r="B212" t="s">
        <v>3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2080</v>
      </c>
      <c r="J212">
        <v>1.8597999999999999</v>
      </c>
      <c r="K212" t="s">
        <v>33</v>
      </c>
    </row>
    <row r="213" spans="1:11" x14ac:dyDescent="0.45">
      <c r="A213" t="s">
        <v>90</v>
      </c>
      <c r="B213" t="s">
        <v>3</v>
      </c>
      <c r="C213" t="s">
        <v>84</v>
      </c>
      <c r="D213" t="s">
        <v>33</v>
      </c>
      <c r="E213" t="s">
        <v>30</v>
      </c>
      <c r="F213" t="s">
        <v>33</v>
      </c>
      <c r="G213" t="s">
        <v>31</v>
      </c>
      <c r="H213" t="s">
        <v>34</v>
      </c>
      <c r="I213">
        <v>2085</v>
      </c>
      <c r="J213">
        <v>1.8835500000000001</v>
      </c>
      <c r="K213" t="s">
        <v>33</v>
      </c>
    </row>
    <row r="214" spans="1:11" x14ac:dyDescent="0.45">
      <c r="A214" t="s">
        <v>90</v>
      </c>
      <c r="B214" t="s">
        <v>3</v>
      </c>
      <c r="C214" t="s">
        <v>84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2090</v>
      </c>
      <c r="J214">
        <v>1.9073500000000001</v>
      </c>
      <c r="K214" t="s">
        <v>33</v>
      </c>
    </row>
    <row r="215" spans="1:11" x14ac:dyDescent="0.45">
      <c r="A215" t="s">
        <v>90</v>
      </c>
      <c r="B215" t="s">
        <v>3</v>
      </c>
      <c r="C215" t="s">
        <v>84</v>
      </c>
      <c r="D215" t="s">
        <v>33</v>
      </c>
      <c r="E215" t="s">
        <v>30</v>
      </c>
      <c r="F215" t="s">
        <v>33</v>
      </c>
      <c r="G215" t="s">
        <v>31</v>
      </c>
      <c r="H215" t="s">
        <v>34</v>
      </c>
      <c r="I215">
        <v>2095</v>
      </c>
      <c r="J215">
        <v>1.81115</v>
      </c>
      <c r="K215" t="s">
        <v>33</v>
      </c>
    </row>
    <row r="216" spans="1:11" x14ac:dyDescent="0.45">
      <c r="A216" t="s">
        <v>90</v>
      </c>
      <c r="B216" t="s">
        <v>3</v>
      </c>
      <c r="C216" t="s">
        <v>84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2100</v>
      </c>
      <c r="J216">
        <v>1.7150500000000002</v>
      </c>
      <c r="K216" t="s">
        <v>33</v>
      </c>
    </row>
    <row r="217" spans="1:11" x14ac:dyDescent="0.45">
      <c r="A217" t="s">
        <v>90</v>
      </c>
      <c r="B217" t="s">
        <v>3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9.04575</v>
      </c>
      <c r="K217" t="s">
        <v>28</v>
      </c>
    </row>
    <row r="218" spans="1:11" x14ac:dyDescent="0.45">
      <c r="A218" t="s">
        <v>90</v>
      </c>
      <c r="B218" t="s">
        <v>3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12.898900000000001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15.5434</v>
      </c>
      <c r="K219" t="s">
        <v>28</v>
      </c>
    </row>
    <row r="220" spans="1:11" x14ac:dyDescent="0.45">
      <c r="A220" t="s">
        <v>90</v>
      </c>
      <c r="B220" t="s">
        <v>3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18.293799999999997</v>
      </c>
      <c r="K220" t="s">
        <v>28</v>
      </c>
    </row>
    <row r="221" spans="1:11" x14ac:dyDescent="0.45">
      <c r="A221" t="s">
        <v>90</v>
      </c>
      <c r="B221" t="s">
        <v>3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20.058399999999999</v>
      </c>
      <c r="K221" t="s">
        <v>28</v>
      </c>
    </row>
    <row r="222" spans="1:11" x14ac:dyDescent="0.45">
      <c r="A222" t="s">
        <v>90</v>
      </c>
      <c r="B222" t="s">
        <v>3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20.57555</v>
      </c>
      <c r="K222" t="s">
        <v>28</v>
      </c>
    </row>
    <row r="223" spans="1:11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20.5288</v>
      </c>
      <c r="K223" t="s">
        <v>28</v>
      </c>
    </row>
    <row r="224" spans="1:11" x14ac:dyDescent="0.45">
      <c r="A224" t="s">
        <v>90</v>
      </c>
      <c r="B224" t="s">
        <v>3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18.965049999999998</v>
      </c>
      <c r="K224" t="s">
        <v>28</v>
      </c>
    </row>
    <row r="225" spans="1:11" x14ac:dyDescent="0.45">
      <c r="A225" t="s">
        <v>90</v>
      </c>
      <c r="B225" t="s">
        <v>3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18.141249999999999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17.462350000000001</v>
      </c>
      <c r="K226" t="s">
        <v>28</v>
      </c>
    </row>
    <row r="227" spans="1:11" x14ac:dyDescent="0.45">
      <c r="A227" t="s">
        <v>90</v>
      </c>
      <c r="B227" t="s">
        <v>3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16.788499999999999</v>
      </c>
      <c r="K227" t="s">
        <v>28</v>
      </c>
    </row>
    <row r="228" spans="1:11" x14ac:dyDescent="0.45">
      <c r="A228" t="s">
        <v>90</v>
      </c>
      <c r="B228" t="s">
        <v>3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16.546250000000001</v>
      </c>
      <c r="K228" t="s">
        <v>28</v>
      </c>
    </row>
    <row r="229" spans="1:11" x14ac:dyDescent="0.45">
      <c r="A229" t="s">
        <v>90</v>
      </c>
      <c r="B229" t="s">
        <v>3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16.307749999999999</v>
      </c>
      <c r="K229" t="s">
        <v>28</v>
      </c>
    </row>
    <row r="230" spans="1:11" x14ac:dyDescent="0.45">
      <c r="A230" t="s">
        <v>90</v>
      </c>
      <c r="B230" t="s">
        <v>3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15.7308</v>
      </c>
      <c r="K230" t="s">
        <v>28</v>
      </c>
    </row>
    <row r="231" spans="1:11" x14ac:dyDescent="0.45">
      <c r="A231" t="s">
        <v>90</v>
      </c>
      <c r="B231" t="s">
        <v>3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15.15985</v>
      </c>
      <c r="K231" t="s">
        <v>28</v>
      </c>
    </row>
    <row r="232" spans="1:11" x14ac:dyDescent="0.45">
      <c r="A232" t="s">
        <v>90</v>
      </c>
      <c r="B232" t="s">
        <v>3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14.611550000000001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14.06575</v>
      </c>
      <c r="K233" t="s">
        <v>28</v>
      </c>
    </row>
    <row r="234" spans="1:11" x14ac:dyDescent="0.45">
      <c r="A234" t="s">
        <v>90</v>
      </c>
      <c r="B234" t="s">
        <v>3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14.787800000000001</v>
      </c>
      <c r="K234" t="s">
        <v>24</v>
      </c>
    </row>
    <row r="235" spans="1:11" x14ac:dyDescent="0.45">
      <c r="A235" t="s">
        <v>90</v>
      </c>
      <c r="B235" t="s">
        <v>3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17.09515</v>
      </c>
      <c r="K235" t="s">
        <v>24</v>
      </c>
    </row>
    <row r="236" spans="1:11" x14ac:dyDescent="0.45">
      <c r="A236" t="s">
        <v>90</v>
      </c>
      <c r="B236" t="s">
        <v>3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16.977450000000001</v>
      </c>
      <c r="K236" t="s">
        <v>24</v>
      </c>
    </row>
    <row r="237" spans="1:11" x14ac:dyDescent="0.45">
      <c r="A237" t="s">
        <v>90</v>
      </c>
      <c r="B237" t="s">
        <v>3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17.243200000000002</v>
      </c>
      <c r="K237" t="s">
        <v>24</v>
      </c>
    </row>
    <row r="238" spans="1:11" x14ac:dyDescent="0.45">
      <c r="A238" t="s">
        <v>90</v>
      </c>
      <c r="B238" t="s">
        <v>3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17.437850000000001</v>
      </c>
      <c r="K238" t="s">
        <v>24</v>
      </c>
    </row>
    <row r="239" spans="1:11" x14ac:dyDescent="0.45">
      <c r="A239" t="s">
        <v>90</v>
      </c>
      <c r="B239" t="s">
        <v>3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17.035250000000001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15.982099999999999</v>
      </c>
      <c r="K240" t="s">
        <v>24</v>
      </c>
    </row>
    <row r="241" spans="1:11" x14ac:dyDescent="0.45">
      <c r="A241" t="s">
        <v>90</v>
      </c>
      <c r="B241" t="s">
        <v>3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14.84615</v>
      </c>
      <c r="K241" t="s">
        <v>24</v>
      </c>
    </row>
    <row r="242" spans="1:11" x14ac:dyDescent="0.45">
      <c r="A242" t="s">
        <v>90</v>
      </c>
      <c r="B242" t="s">
        <v>3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13.128550000000001</v>
      </c>
      <c r="K242" t="s">
        <v>24</v>
      </c>
    </row>
    <row r="243" spans="1:11" x14ac:dyDescent="0.45">
      <c r="A243" t="s">
        <v>90</v>
      </c>
      <c r="B243" t="s">
        <v>3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11.8819</v>
      </c>
      <c r="K243" t="s">
        <v>24</v>
      </c>
    </row>
    <row r="244" spans="1:11" x14ac:dyDescent="0.45">
      <c r="A244" t="s">
        <v>90</v>
      </c>
      <c r="B244" t="s">
        <v>3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10.63945</v>
      </c>
      <c r="K244" t="s">
        <v>24</v>
      </c>
    </row>
    <row r="245" spans="1:11" x14ac:dyDescent="0.45">
      <c r="A245" t="s">
        <v>90</v>
      </c>
      <c r="B245" t="s">
        <v>3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9.5965500000000006</v>
      </c>
      <c r="K245" t="s">
        <v>24</v>
      </c>
    </row>
    <row r="246" spans="1:11" x14ac:dyDescent="0.45">
      <c r="A246" t="s">
        <v>90</v>
      </c>
      <c r="B246" t="s">
        <v>3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8.5562000000000005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7.6422499999999998</v>
      </c>
      <c r="K247" t="s">
        <v>24</v>
      </c>
    </row>
    <row r="248" spans="1:11" x14ac:dyDescent="0.45">
      <c r="A248" t="s">
        <v>90</v>
      </c>
      <c r="B248" t="s">
        <v>3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6.73325</v>
      </c>
      <c r="K248" t="s">
        <v>24</v>
      </c>
    </row>
    <row r="249" spans="1:11" x14ac:dyDescent="0.45">
      <c r="A249" t="s">
        <v>90</v>
      </c>
      <c r="B249" t="s">
        <v>3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5.9962</v>
      </c>
      <c r="K249" t="s">
        <v>24</v>
      </c>
    </row>
    <row r="250" spans="1:11" x14ac:dyDescent="0.45">
      <c r="A250" t="s">
        <v>90</v>
      </c>
      <c r="B250" t="s">
        <v>3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5.2599499999999999</v>
      </c>
      <c r="K250" t="s">
        <v>24</v>
      </c>
    </row>
    <row r="251" spans="1:11" x14ac:dyDescent="0.45">
      <c r="A251" t="s">
        <v>90</v>
      </c>
      <c r="B251" t="s">
        <v>3</v>
      </c>
      <c r="C251" t="s">
        <v>84</v>
      </c>
      <c r="D251" t="s">
        <v>27</v>
      </c>
      <c r="E251" t="s">
        <v>25</v>
      </c>
      <c r="F251" t="s">
        <v>27</v>
      </c>
      <c r="G251" t="s">
        <v>26</v>
      </c>
      <c r="H251" t="s">
        <v>10</v>
      </c>
      <c r="I251">
        <v>2020</v>
      </c>
      <c r="J251">
        <v>0.23965</v>
      </c>
      <c r="K251" t="s">
        <v>27</v>
      </c>
    </row>
    <row r="252" spans="1:11" x14ac:dyDescent="0.45">
      <c r="A252" t="s">
        <v>90</v>
      </c>
      <c r="B252" t="s">
        <v>3</v>
      </c>
      <c r="C252" t="s">
        <v>84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2025</v>
      </c>
      <c r="J252">
        <v>0.66759999999999997</v>
      </c>
      <c r="K252" t="s">
        <v>27</v>
      </c>
    </row>
    <row r="253" spans="1:11" x14ac:dyDescent="0.45">
      <c r="A253" t="s">
        <v>90</v>
      </c>
      <c r="B253" t="s">
        <v>3</v>
      </c>
      <c r="C253" t="s">
        <v>84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2030</v>
      </c>
      <c r="J253">
        <v>1.5943000000000001</v>
      </c>
      <c r="K253" t="s">
        <v>27</v>
      </c>
    </row>
    <row r="254" spans="1:11" x14ac:dyDescent="0.45">
      <c r="A254" t="s">
        <v>90</v>
      </c>
      <c r="B254" t="s">
        <v>3</v>
      </c>
      <c r="C254" t="s">
        <v>84</v>
      </c>
      <c r="D254" t="s">
        <v>27</v>
      </c>
      <c r="E254" t="s">
        <v>25</v>
      </c>
      <c r="F254" t="s">
        <v>27</v>
      </c>
      <c r="G254" t="s">
        <v>26</v>
      </c>
      <c r="H254" t="s">
        <v>10</v>
      </c>
      <c r="I254">
        <v>2035</v>
      </c>
      <c r="J254">
        <v>2.6779500000000001</v>
      </c>
      <c r="K254" t="s">
        <v>27</v>
      </c>
    </row>
    <row r="255" spans="1:11" x14ac:dyDescent="0.45">
      <c r="A255" t="s">
        <v>90</v>
      </c>
      <c r="B255" t="s">
        <v>3</v>
      </c>
      <c r="C255" t="s">
        <v>84</v>
      </c>
      <c r="D255" t="s">
        <v>27</v>
      </c>
      <c r="E255" t="s">
        <v>25</v>
      </c>
      <c r="F255" t="s">
        <v>27</v>
      </c>
      <c r="G255" t="s">
        <v>26</v>
      </c>
      <c r="H255" t="s">
        <v>10</v>
      </c>
      <c r="I255">
        <v>2040</v>
      </c>
      <c r="J255">
        <v>3.4899499999999999</v>
      </c>
      <c r="K255" t="s">
        <v>27</v>
      </c>
    </row>
    <row r="256" spans="1:11" x14ac:dyDescent="0.45">
      <c r="A256" t="s">
        <v>90</v>
      </c>
      <c r="B256" t="s">
        <v>3</v>
      </c>
      <c r="C256" t="s">
        <v>84</v>
      </c>
      <c r="D256" t="s">
        <v>27</v>
      </c>
      <c r="E256" t="s">
        <v>25</v>
      </c>
      <c r="F256" t="s">
        <v>27</v>
      </c>
      <c r="G256" t="s">
        <v>26</v>
      </c>
      <c r="H256" t="s">
        <v>10</v>
      </c>
      <c r="I256">
        <v>2045</v>
      </c>
      <c r="J256">
        <v>4.0813500000000005</v>
      </c>
      <c r="K256" t="s">
        <v>27</v>
      </c>
    </row>
    <row r="257" spans="1:11" x14ac:dyDescent="0.45">
      <c r="A257" t="s">
        <v>90</v>
      </c>
      <c r="B257" t="s">
        <v>3</v>
      </c>
      <c r="C257" t="s">
        <v>84</v>
      </c>
      <c r="D257" t="s">
        <v>27</v>
      </c>
      <c r="E257" t="s">
        <v>25</v>
      </c>
      <c r="F257" t="s">
        <v>27</v>
      </c>
      <c r="G257" t="s">
        <v>26</v>
      </c>
      <c r="H257" t="s">
        <v>10</v>
      </c>
      <c r="I257">
        <v>2050</v>
      </c>
      <c r="J257">
        <v>4.4207999999999998</v>
      </c>
      <c r="K257" t="s">
        <v>27</v>
      </c>
    </row>
    <row r="258" spans="1:11" x14ac:dyDescent="0.45">
      <c r="A258" t="s">
        <v>90</v>
      </c>
      <c r="B258" t="s">
        <v>3</v>
      </c>
      <c r="C258" t="s">
        <v>84</v>
      </c>
      <c r="D258" t="s">
        <v>27</v>
      </c>
      <c r="E258" t="s">
        <v>25</v>
      </c>
      <c r="F258" t="s">
        <v>27</v>
      </c>
      <c r="G258" t="s">
        <v>26</v>
      </c>
      <c r="H258" t="s">
        <v>10</v>
      </c>
      <c r="I258">
        <v>2055</v>
      </c>
      <c r="J258">
        <v>4.4686500000000002</v>
      </c>
      <c r="K258" t="s">
        <v>27</v>
      </c>
    </row>
    <row r="259" spans="1:11" x14ac:dyDescent="0.45">
      <c r="A259" t="s">
        <v>90</v>
      </c>
      <c r="B259" t="s">
        <v>3</v>
      </c>
      <c r="C259" t="s">
        <v>84</v>
      </c>
      <c r="D259" t="s">
        <v>27</v>
      </c>
      <c r="E259" t="s">
        <v>25</v>
      </c>
      <c r="F259" t="s">
        <v>27</v>
      </c>
      <c r="G259" t="s">
        <v>26</v>
      </c>
      <c r="H259" t="s">
        <v>10</v>
      </c>
      <c r="I259">
        <v>2060</v>
      </c>
      <c r="J259">
        <v>4.5000499999999999</v>
      </c>
      <c r="K259" t="s">
        <v>27</v>
      </c>
    </row>
    <row r="260" spans="1:11" x14ac:dyDescent="0.45">
      <c r="A260" t="s">
        <v>90</v>
      </c>
      <c r="B260" t="s">
        <v>3</v>
      </c>
      <c r="C260" t="s">
        <v>84</v>
      </c>
      <c r="D260" t="s">
        <v>27</v>
      </c>
      <c r="E260" t="s">
        <v>25</v>
      </c>
      <c r="F260" t="s">
        <v>27</v>
      </c>
      <c r="G260" t="s">
        <v>26</v>
      </c>
      <c r="H260" t="s">
        <v>10</v>
      </c>
      <c r="I260">
        <v>2065</v>
      </c>
      <c r="J260">
        <v>4.4770000000000003</v>
      </c>
      <c r="K260" t="s">
        <v>27</v>
      </c>
    </row>
    <row r="261" spans="1:11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2070</v>
      </c>
      <c r="J261">
        <v>4.4538500000000001</v>
      </c>
      <c r="K261" t="s">
        <v>27</v>
      </c>
    </row>
    <row r="262" spans="1:11" x14ac:dyDescent="0.45">
      <c r="A262" t="s">
        <v>90</v>
      </c>
      <c r="B262" t="s">
        <v>3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2075</v>
      </c>
      <c r="J262">
        <v>4.4134500000000001</v>
      </c>
      <c r="K262" t="s">
        <v>27</v>
      </c>
    </row>
    <row r="263" spans="1:11" x14ac:dyDescent="0.45">
      <c r="A263" t="s">
        <v>90</v>
      </c>
      <c r="B263" t="s">
        <v>3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2080</v>
      </c>
      <c r="J263">
        <v>4.3763000000000005</v>
      </c>
      <c r="K263" t="s">
        <v>27</v>
      </c>
    </row>
    <row r="264" spans="1:11" x14ac:dyDescent="0.45">
      <c r="A264" t="s">
        <v>90</v>
      </c>
      <c r="B264" t="s">
        <v>3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2085</v>
      </c>
      <c r="J264">
        <v>4.3135500000000002</v>
      </c>
      <c r="K264" t="s">
        <v>27</v>
      </c>
    </row>
    <row r="265" spans="1:11" x14ac:dyDescent="0.45">
      <c r="A265" t="s">
        <v>90</v>
      </c>
      <c r="B265" t="s">
        <v>3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2090</v>
      </c>
      <c r="J265">
        <v>4.2594000000000003</v>
      </c>
      <c r="K265" t="s">
        <v>27</v>
      </c>
    </row>
    <row r="266" spans="1:11" x14ac:dyDescent="0.45">
      <c r="A266" t="s">
        <v>90</v>
      </c>
      <c r="B266" t="s">
        <v>3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2095</v>
      </c>
      <c r="J266">
        <v>4.2153999999999998</v>
      </c>
      <c r="K266" t="s">
        <v>27</v>
      </c>
    </row>
    <row r="267" spans="1:11" x14ac:dyDescent="0.45">
      <c r="A267" t="s">
        <v>90</v>
      </c>
      <c r="B267" t="s">
        <v>3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2100</v>
      </c>
      <c r="J267">
        <v>4.1723499999999998</v>
      </c>
      <c r="K267" t="s">
        <v>27</v>
      </c>
    </row>
    <row r="268" spans="1:11" x14ac:dyDescent="0.45">
      <c r="A268" t="s">
        <v>90</v>
      </c>
      <c r="B268" t="s">
        <v>3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3.9710999999999999</v>
      </c>
      <c r="K268" t="s">
        <v>35</v>
      </c>
    </row>
    <row r="269" spans="1:11" x14ac:dyDescent="0.45">
      <c r="A269" t="s">
        <v>90</v>
      </c>
      <c r="B269" t="s">
        <v>3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4.6235499999999998</v>
      </c>
      <c r="K269" t="s">
        <v>35</v>
      </c>
    </row>
    <row r="270" spans="1:11" x14ac:dyDescent="0.45">
      <c r="A270" t="s">
        <v>90</v>
      </c>
      <c r="B270" t="s">
        <v>3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4.5679999999999996</v>
      </c>
      <c r="K270" t="s">
        <v>35</v>
      </c>
    </row>
    <row r="271" spans="1:11" x14ac:dyDescent="0.45">
      <c r="A271" t="s">
        <v>90</v>
      </c>
      <c r="B271" t="s">
        <v>3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5.2908500000000007</v>
      </c>
      <c r="K271" t="s">
        <v>35</v>
      </c>
    </row>
    <row r="272" spans="1:11" x14ac:dyDescent="0.45">
      <c r="A272" t="s">
        <v>90</v>
      </c>
      <c r="B272" t="s">
        <v>3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5.1192500000000001</v>
      </c>
      <c r="K272" t="s">
        <v>35</v>
      </c>
    </row>
    <row r="273" spans="1:11" x14ac:dyDescent="0.45">
      <c r="A273" t="s">
        <v>90</v>
      </c>
      <c r="B273" t="s">
        <v>3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4.8432000000000004</v>
      </c>
      <c r="K273" t="s">
        <v>35</v>
      </c>
    </row>
    <row r="274" spans="1:11" x14ac:dyDescent="0.45">
      <c r="A274" t="s">
        <v>90</v>
      </c>
      <c r="B274" t="s">
        <v>3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4.8777499999999998</v>
      </c>
      <c r="K274" t="s">
        <v>35</v>
      </c>
    </row>
    <row r="275" spans="1:11" x14ac:dyDescent="0.45">
      <c r="A275" t="s">
        <v>90</v>
      </c>
      <c r="B275" t="s">
        <v>3</v>
      </c>
      <c r="C275" t="s">
        <v>84</v>
      </c>
      <c r="D275" t="s">
        <v>35</v>
      </c>
      <c r="E275" t="s">
        <v>30</v>
      </c>
      <c r="F275" t="s">
        <v>35</v>
      </c>
      <c r="G275" t="s">
        <v>31</v>
      </c>
      <c r="H275" t="s">
        <v>36</v>
      </c>
      <c r="I275">
        <v>2055</v>
      </c>
      <c r="J275">
        <v>4.5329499999999996</v>
      </c>
      <c r="K275" t="s">
        <v>35</v>
      </c>
    </row>
    <row r="276" spans="1:11" x14ac:dyDescent="0.45">
      <c r="A276" t="s">
        <v>90</v>
      </c>
      <c r="B276" t="s">
        <v>3</v>
      </c>
      <c r="C276" t="s">
        <v>84</v>
      </c>
      <c r="D276" t="s">
        <v>35</v>
      </c>
      <c r="E276" t="s">
        <v>30</v>
      </c>
      <c r="F276" t="s">
        <v>35</v>
      </c>
      <c r="G276" t="s">
        <v>31</v>
      </c>
      <c r="H276" t="s">
        <v>36</v>
      </c>
      <c r="I276">
        <v>2060</v>
      </c>
      <c r="J276">
        <v>5.8452000000000002</v>
      </c>
      <c r="K276" t="s">
        <v>35</v>
      </c>
    </row>
    <row r="277" spans="1:11" x14ac:dyDescent="0.45">
      <c r="A277" t="s">
        <v>90</v>
      </c>
      <c r="B277" t="s">
        <v>3</v>
      </c>
      <c r="C277" t="s">
        <v>84</v>
      </c>
      <c r="D277" t="s">
        <v>35</v>
      </c>
      <c r="E277" t="s">
        <v>30</v>
      </c>
      <c r="F277" t="s">
        <v>35</v>
      </c>
      <c r="G277" t="s">
        <v>31</v>
      </c>
      <c r="H277" t="s">
        <v>36</v>
      </c>
      <c r="I277">
        <v>2065</v>
      </c>
      <c r="J277">
        <v>5.5266999999999999</v>
      </c>
      <c r="K277" t="s">
        <v>35</v>
      </c>
    </row>
    <row r="278" spans="1:11" x14ac:dyDescent="0.45">
      <c r="A278" t="s">
        <v>90</v>
      </c>
      <c r="B278" t="s">
        <v>3</v>
      </c>
      <c r="C278" t="s">
        <v>84</v>
      </c>
      <c r="D278" t="s">
        <v>35</v>
      </c>
      <c r="E278" t="s">
        <v>30</v>
      </c>
      <c r="F278" t="s">
        <v>35</v>
      </c>
      <c r="G278" t="s">
        <v>31</v>
      </c>
      <c r="H278" t="s">
        <v>36</v>
      </c>
      <c r="I278">
        <v>2070</v>
      </c>
      <c r="J278">
        <v>5.2081999999999997</v>
      </c>
      <c r="K278" t="s">
        <v>35</v>
      </c>
    </row>
    <row r="279" spans="1:11" x14ac:dyDescent="0.45">
      <c r="A279" t="s">
        <v>90</v>
      </c>
      <c r="B279" t="s">
        <v>3</v>
      </c>
      <c r="C279" t="s">
        <v>84</v>
      </c>
      <c r="D279" t="s">
        <v>35</v>
      </c>
      <c r="E279" t="s">
        <v>30</v>
      </c>
      <c r="F279" t="s">
        <v>35</v>
      </c>
      <c r="G279" t="s">
        <v>31</v>
      </c>
      <c r="H279" t="s">
        <v>36</v>
      </c>
      <c r="I279">
        <v>2075</v>
      </c>
      <c r="J279">
        <v>5.0817499999999995</v>
      </c>
      <c r="K279" t="s">
        <v>35</v>
      </c>
    </row>
    <row r="280" spans="1:11" x14ac:dyDescent="0.45">
      <c r="A280" t="s">
        <v>90</v>
      </c>
      <c r="B280" t="s">
        <v>3</v>
      </c>
      <c r="C280" t="s">
        <v>84</v>
      </c>
      <c r="D280" t="s">
        <v>35</v>
      </c>
      <c r="E280" t="s">
        <v>30</v>
      </c>
      <c r="F280" t="s">
        <v>35</v>
      </c>
      <c r="G280" t="s">
        <v>31</v>
      </c>
      <c r="H280" t="s">
        <v>36</v>
      </c>
      <c r="I280">
        <v>2080</v>
      </c>
      <c r="J280">
        <v>4.9551999999999996</v>
      </c>
      <c r="K280" t="s">
        <v>35</v>
      </c>
    </row>
    <row r="281" spans="1:11" x14ac:dyDescent="0.45">
      <c r="A281" t="s">
        <v>90</v>
      </c>
      <c r="B281" t="s">
        <v>3</v>
      </c>
      <c r="C281" t="s">
        <v>84</v>
      </c>
      <c r="D281" t="s">
        <v>35</v>
      </c>
      <c r="E281" t="s">
        <v>30</v>
      </c>
      <c r="F281" t="s">
        <v>35</v>
      </c>
      <c r="G281" t="s">
        <v>31</v>
      </c>
      <c r="H281" t="s">
        <v>36</v>
      </c>
      <c r="I281">
        <v>2085</v>
      </c>
      <c r="J281">
        <v>5.0263999999999998</v>
      </c>
      <c r="K281" t="s">
        <v>35</v>
      </c>
    </row>
    <row r="282" spans="1:11" x14ac:dyDescent="0.45">
      <c r="A282" t="s">
        <v>90</v>
      </c>
      <c r="B282" t="s">
        <v>3</v>
      </c>
      <c r="C282" t="s">
        <v>84</v>
      </c>
      <c r="D282" t="s">
        <v>35</v>
      </c>
      <c r="E282" t="s">
        <v>30</v>
      </c>
      <c r="F282" t="s">
        <v>35</v>
      </c>
      <c r="G282" t="s">
        <v>31</v>
      </c>
      <c r="H282" t="s">
        <v>36</v>
      </c>
      <c r="I282">
        <v>2090</v>
      </c>
      <c r="J282">
        <v>5.0976499999999998</v>
      </c>
      <c r="K282" t="s">
        <v>35</v>
      </c>
    </row>
    <row r="283" spans="1:11" x14ac:dyDescent="0.45">
      <c r="A283" t="s">
        <v>90</v>
      </c>
      <c r="B283" t="s">
        <v>3</v>
      </c>
      <c r="C283" t="s">
        <v>84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2095</v>
      </c>
      <c r="J283">
        <v>5.0595999999999997</v>
      </c>
      <c r="K283" t="s">
        <v>35</v>
      </c>
    </row>
    <row r="284" spans="1:11" x14ac:dyDescent="0.45">
      <c r="A284" t="s">
        <v>90</v>
      </c>
      <c r="B284" t="s">
        <v>3</v>
      </c>
      <c r="C284" t="s">
        <v>84</v>
      </c>
      <c r="D284" t="s">
        <v>35</v>
      </c>
      <c r="E284" t="s">
        <v>30</v>
      </c>
      <c r="F284" t="s">
        <v>35</v>
      </c>
      <c r="G284" t="s">
        <v>31</v>
      </c>
      <c r="H284" t="s">
        <v>36</v>
      </c>
      <c r="I284">
        <v>2100</v>
      </c>
      <c r="J284">
        <v>5.0215499999999995</v>
      </c>
      <c r="K284" t="s">
        <v>35</v>
      </c>
    </row>
    <row r="285" spans="1:11" x14ac:dyDescent="0.45">
      <c r="A285" t="s">
        <v>90</v>
      </c>
      <c r="B285" t="s">
        <v>3</v>
      </c>
      <c r="C285" t="s">
        <v>84</v>
      </c>
      <c r="D285" t="s">
        <v>85</v>
      </c>
      <c r="E285" t="s">
        <v>25</v>
      </c>
      <c r="F285" t="s">
        <v>85</v>
      </c>
      <c r="G285" t="s">
        <v>26</v>
      </c>
      <c r="H285" t="s">
        <v>82</v>
      </c>
      <c r="I285">
        <v>2020</v>
      </c>
      <c r="J285">
        <v>5.1200000000000002E-2</v>
      </c>
      <c r="K285" t="s">
        <v>85</v>
      </c>
    </row>
    <row r="286" spans="1:11" x14ac:dyDescent="0.45">
      <c r="A286" t="s">
        <v>90</v>
      </c>
      <c r="B286" t="s">
        <v>3</v>
      </c>
      <c r="C286" t="s">
        <v>84</v>
      </c>
      <c r="D286" t="s">
        <v>85</v>
      </c>
      <c r="E286" t="s">
        <v>25</v>
      </c>
      <c r="F286" t="s">
        <v>85</v>
      </c>
      <c r="G286" t="s">
        <v>26</v>
      </c>
      <c r="H286" t="s">
        <v>82</v>
      </c>
      <c r="I286">
        <v>2025</v>
      </c>
      <c r="J286">
        <v>0.27190000000000003</v>
      </c>
      <c r="K286" t="s">
        <v>85</v>
      </c>
    </row>
    <row r="287" spans="1:11" x14ac:dyDescent="0.45">
      <c r="A287" t="s">
        <v>90</v>
      </c>
      <c r="B287" t="s">
        <v>3</v>
      </c>
      <c r="C287" t="s">
        <v>84</v>
      </c>
      <c r="D287" t="s">
        <v>85</v>
      </c>
      <c r="E287" t="s">
        <v>25</v>
      </c>
      <c r="F287" t="s">
        <v>85</v>
      </c>
      <c r="G287" t="s">
        <v>26</v>
      </c>
      <c r="H287" t="s">
        <v>82</v>
      </c>
      <c r="I287">
        <v>2030</v>
      </c>
      <c r="J287">
        <v>0.53449999999999998</v>
      </c>
      <c r="K287" t="s">
        <v>85</v>
      </c>
    </row>
    <row r="288" spans="1:11" x14ac:dyDescent="0.45">
      <c r="A288" t="s">
        <v>90</v>
      </c>
      <c r="B288" t="s">
        <v>3</v>
      </c>
      <c r="C288" t="s">
        <v>84</v>
      </c>
      <c r="D288" t="s">
        <v>85</v>
      </c>
      <c r="E288" t="s">
        <v>25</v>
      </c>
      <c r="F288" t="s">
        <v>85</v>
      </c>
      <c r="G288" t="s">
        <v>26</v>
      </c>
      <c r="H288" t="s">
        <v>82</v>
      </c>
      <c r="I288">
        <v>2035</v>
      </c>
      <c r="J288">
        <v>0.66785000000000005</v>
      </c>
      <c r="K288" t="s">
        <v>85</v>
      </c>
    </row>
    <row r="289" spans="1:12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2040</v>
      </c>
      <c r="J289">
        <v>0.82590000000000008</v>
      </c>
      <c r="K289" t="s">
        <v>85</v>
      </c>
    </row>
    <row r="290" spans="1:12" x14ac:dyDescent="0.45">
      <c r="A290" t="s">
        <v>90</v>
      </c>
      <c r="B290" t="s">
        <v>3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2045</v>
      </c>
      <c r="J290">
        <v>1.17265</v>
      </c>
      <c r="K290" t="s">
        <v>85</v>
      </c>
    </row>
    <row r="291" spans="1:12" x14ac:dyDescent="0.45">
      <c r="A291" t="s">
        <v>90</v>
      </c>
      <c r="B291" t="s">
        <v>3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2050</v>
      </c>
      <c r="J291">
        <v>1.7623</v>
      </c>
      <c r="K291" t="s">
        <v>85</v>
      </c>
    </row>
    <row r="292" spans="1:12" x14ac:dyDescent="0.45">
      <c r="A292" t="s">
        <v>90</v>
      </c>
      <c r="B292" t="s">
        <v>3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2055</v>
      </c>
      <c r="J292">
        <v>2.4514</v>
      </c>
      <c r="K292" t="s">
        <v>85</v>
      </c>
    </row>
    <row r="293" spans="1:12" x14ac:dyDescent="0.45">
      <c r="A293" t="s">
        <v>90</v>
      </c>
      <c r="B293" t="s">
        <v>3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2060</v>
      </c>
      <c r="J293">
        <v>3.5982000000000003</v>
      </c>
      <c r="K293" t="s">
        <v>85</v>
      </c>
    </row>
    <row r="294" spans="1:12" x14ac:dyDescent="0.45">
      <c r="A294" t="s">
        <v>90</v>
      </c>
      <c r="B294" t="s">
        <v>3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2065</v>
      </c>
      <c r="J294">
        <v>3.9713000000000003</v>
      </c>
      <c r="K294" t="s">
        <v>85</v>
      </c>
    </row>
    <row r="295" spans="1:12" x14ac:dyDescent="0.45">
      <c r="A295" t="s">
        <v>90</v>
      </c>
      <c r="B295" t="s">
        <v>3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2070</v>
      </c>
      <c r="J295">
        <v>4.2688500000000005</v>
      </c>
      <c r="K295" t="s">
        <v>85</v>
      </c>
    </row>
    <row r="296" spans="1:12" x14ac:dyDescent="0.45">
      <c r="A296" t="s">
        <v>90</v>
      </c>
      <c r="B296" t="s">
        <v>3</v>
      </c>
      <c r="C296" t="s">
        <v>84</v>
      </c>
      <c r="D296" t="s">
        <v>85</v>
      </c>
      <c r="E296" t="s">
        <v>25</v>
      </c>
      <c r="F296" t="s">
        <v>85</v>
      </c>
      <c r="G296" t="s">
        <v>26</v>
      </c>
      <c r="H296" t="s">
        <v>82</v>
      </c>
      <c r="I296">
        <v>2075</v>
      </c>
      <c r="J296">
        <v>4.3825500000000002</v>
      </c>
      <c r="K296" t="s">
        <v>85</v>
      </c>
    </row>
    <row r="297" spans="1:12" x14ac:dyDescent="0.45">
      <c r="A297" t="s">
        <v>90</v>
      </c>
      <c r="B297" t="s">
        <v>3</v>
      </c>
      <c r="C297" t="s">
        <v>84</v>
      </c>
      <c r="D297" t="s">
        <v>85</v>
      </c>
      <c r="E297" t="s">
        <v>25</v>
      </c>
      <c r="F297" t="s">
        <v>85</v>
      </c>
      <c r="G297" t="s">
        <v>26</v>
      </c>
      <c r="H297" t="s">
        <v>82</v>
      </c>
      <c r="I297">
        <v>2080</v>
      </c>
      <c r="J297">
        <v>4.4720499999999994</v>
      </c>
      <c r="K297" t="s">
        <v>85</v>
      </c>
    </row>
    <row r="298" spans="1:12" x14ac:dyDescent="0.45">
      <c r="A298" t="s">
        <v>90</v>
      </c>
      <c r="B298" t="s">
        <v>3</v>
      </c>
      <c r="C298" t="s">
        <v>84</v>
      </c>
      <c r="D298" t="s">
        <v>85</v>
      </c>
      <c r="E298" t="s">
        <v>25</v>
      </c>
      <c r="F298" t="s">
        <v>85</v>
      </c>
      <c r="G298" t="s">
        <v>26</v>
      </c>
      <c r="H298" t="s">
        <v>82</v>
      </c>
      <c r="I298">
        <v>2085</v>
      </c>
      <c r="J298">
        <v>4.4215499999999999</v>
      </c>
      <c r="K298" t="s">
        <v>85</v>
      </c>
    </row>
    <row r="299" spans="1:12" x14ac:dyDescent="0.45">
      <c r="A299" t="s">
        <v>90</v>
      </c>
      <c r="B299" t="s">
        <v>3</v>
      </c>
      <c r="C299" t="s">
        <v>84</v>
      </c>
      <c r="D299" t="s">
        <v>85</v>
      </c>
      <c r="E299" t="s">
        <v>25</v>
      </c>
      <c r="F299" t="s">
        <v>85</v>
      </c>
      <c r="G299" t="s">
        <v>26</v>
      </c>
      <c r="H299" t="s">
        <v>82</v>
      </c>
      <c r="I299">
        <v>2090</v>
      </c>
      <c r="J299">
        <v>4.3708</v>
      </c>
      <c r="K299" t="s">
        <v>85</v>
      </c>
    </row>
    <row r="300" spans="1:12" x14ac:dyDescent="0.45">
      <c r="A300" t="s">
        <v>90</v>
      </c>
      <c r="B300" t="s">
        <v>3</v>
      </c>
      <c r="C300" t="s">
        <v>84</v>
      </c>
      <c r="D300" t="s">
        <v>85</v>
      </c>
      <c r="E300" t="s">
        <v>25</v>
      </c>
      <c r="F300" t="s">
        <v>85</v>
      </c>
      <c r="G300" t="s">
        <v>26</v>
      </c>
      <c r="H300" t="s">
        <v>82</v>
      </c>
      <c r="I300">
        <v>2095</v>
      </c>
      <c r="J300">
        <v>4.1957500000000003</v>
      </c>
      <c r="K300" t="s">
        <v>85</v>
      </c>
    </row>
    <row r="301" spans="1:12" x14ac:dyDescent="0.45">
      <c r="A301" t="s">
        <v>90</v>
      </c>
      <c r="B301" t="s">
        <v>3</v>
      </c>
      <c r="C301" t="s">
        <v>84</v>
      </c>
      <c r="D301" t="s">
        <v>85</v>
      </c>
      <c r="E301" t="s">
        <v>25</v>
      </c>
      <c r="F301" t="s">
        <v>85</v>
      </c>
      <c r="G301" t="s">
        <v>26</v>
      </c>
      <c r="H301" t="s">
        <v>82</v>
      </c>
      <c r="I301">
        <v>2100</v>
      </c>
      <c r="J301">
        <v>4.0178500000000001</v>
      </c>
      <c r="K301" t="s">
        <v>85</v>
      </c>
    </row>
    <row r="302" spans="1:12" x14ac:dyDescent="0.45">
      <c r="A302" t="s">
        <v>90</v>
      </c>
      <c r="B302" t="s">
        <v>3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H302" t="s">
        <v>89</v>
      </c>
      <c r="I302">
        <v>2020</v>
      </c>
      <c r="J302">
        <v>0</v>
      </c>
      <c r="K302" t="s">
        <v>45</v>
      </c>
    </row>
    <row r="303" spans="1:12" x14ac:dyDescent="0.45">
      <c r="A303" t="s">
        <v>90</v>
      </c>
      <c r="B303" t="s">
        <v>3</v>
      </c>
      <c r="C303" t="s">
        <v>84</v>
      </c>
      <c r="D303" t="s">
        <v>52</v>
      </c>
      <c r="E303" t="s">
        <v>25</v>
      </c>
      <c r="F303" t="s">
        <v>52</v>
      </c>
      <c r="G303" t="s">
        <v>71</v>
      </c>
      <c r="H303" t="s">
        <v>89</v>
      </c>
      <c r="I303">
        <v>2020</v>
      </c>
      <c r="J303">
        <v>21.446400000000001</v>
      </c>
      <c r="K303" t="s">
        <v>52</v>
      </c>
      <c r="L303">
        <v>94</v>
      </c>
    </row>
    <row r="304" spans="1:12" x14ac:dyDescent="0.45">
      <c r="A304" t="s">
        <v>90</v>
      </c>
      <c r="B304" t="s">
        <v>3</v>
      </c>
      <c r="C304" t="s">
        <v>84</v>
      </c>
      <c r="D304" t="s">
        <v>53</v>
      </c>
      <c r="E304" t="s">
        <v>25</v>
      </c>
      <c r="F304" t="s">
        <v>53</v>
      </c>
      <c r="G304" t="s">
        <v>71</v>
      </c>
      <c r="H304" t="s">
        <v>89</v>
      </c>
      <c r="I304">
        <v>2020</v>
      </c>
      <c r="J304">
        <v>1.6335</v>
      </c>
      <c r="K304" t="s">
        <v>53</v>
      </c>
      <c r="L304">
        <v>55</v>
      </c>
    </row>
    <row r="305" spans="1:12" x14ac:dyDescent="0.45">
      <c r="A305" t="s">
        <v>90</v>
      </c>
      <c r="B305" t="s">
        <v>3</v>
      </c>
      <c r="C305" t="s">
        <v>84</v>
      </c>
      <c r="D305" t="s">
        <v>54</v>
      </c>
      <c r="E305" t="s">
        <v>25</v>
      </c>
      <c r="F305" t="s">
        <v>54</v>
      </c>
      <c r="G305" t="s">
        <v>71</v>
      </c>
      <c r="H305" t="s">
        <v>89</v>
      </c>
      <c r="I305">
        <v>2020</v>
      </c>
      <c r="J305">
        <v>4.2500000000000003E-2</v>
      </c>
      <c r="K305" t="s">
        <v>54</v>
      </c>
      <c r="L305">
        <v>70</v>
      </c>
    </row>
    <row r="306" spans="1:12" x14ac:dyDescent="0.45">
      <c r="A306" t="s">
        <v>90</v>
      </c>
      <c r="B306" t="s">
        <v>3</v>
      </c>
      <c r="C306" t="s">
        <v>84</v>
      </c>
      <c r="D306" t="s">
        <v>45</v>
      </c>
      <c r="E306" t="s">
        <v>46</v>
      </c>
      <c r="F306" t="s">
        <v>45</v>
      </c>
      <c r="G306" t="s">
        <v>47</v>
      </c>
      <c r="H306" t="s">
        <v>89</v>
      </c>
      <c r="I306">
        <v>2025</v>
      </c>
      <c r="J306">
        <v>1.7458</v>
      </c>
      <c r="K306" t="s">
        <v>45</v>
      </c>
    </row>
    <row r="307" spans="1:12" x14ac:dyDescent="0.45">
      <c r="A307" t="s">
        <v>90</v>
      </c>
      <c r="B307" t="s">
        <v>3</v>
      </c>
      <c r="C307" t="s">
        <v>84</v>
      </c>
      <c r="D307" t="s">
        <v>52</v>
      </c>
      <c r="E307" t="s">
        <v>25</v>
      </c>
      <c r="F307" t="s">
        <v>52</v>
      </c>
      <c r="G307" t="s">
        <v>71</v>
      </c>
      <c r="H307" t="s">
        <v>89</v>
      </c>
      <c r="I307">
        <v>2025</v>
      </c>
      <c r="J307">
        <v>20.525700000000001</v>
      </c>
      <c r="K307" t="s">
        <v>52</v>
      </c>
      <c r="L307">
        <v>94</v>
      </c>
    </row>
    <row r="308" spans="1:12" x14ac:dyDescent="0.45">
      <c r="A308" t="s">
        <v>90</v>
      </c>
      <c r="B308" t="s">
        <v>3</v>
      </c>
      <c r="C308" t="s">
        <v>84</v>
      </c>
      <c r="D308" t="s">
        <v>53</v>
      </c>
      <c r="E308" t="s">
        <v>25</v>
      </c>
      <c r="F308" t="s">
        <v>53</v>
      </c>
      <c r="G308" t="s">
        <v>71</v>
      </c>
      <c r="H308" t="s">
        <v>89</v>
      </c>
      <c r="I308">
        <v>2025</v>
      </c>
      <c r="J308">
        <v>1.8427</v>
      </c>
      <c r="K308" t="s">
        <v>53</v>
      </c>
      <c r="L308">
        <v>55</v>
      </c>
    </row>
    <row r="309" spans="1:12" x14ac:dyDescent="0.45">
      <c r="A309" t="s">
        <v>90</v>
      </c>
      <c r="B309" t="s">
        <v>3</v>
      </c>
      <c r="C309" t="s">
        <v>84</v>
      </c>
      <c r="D309" t="s">
        <v>54</v>
      </c>
      <c r="E309" t="s">
        <v>25</v>
      </c>
      <c r="F309" t="s">
        <v>54</v>
      </c>
      <c r="G309" t="s">
        <v>71</v>
      </c>
      <c r="H309" t="s">
        <v>89</v>
      </c>
      <c r="I309">
        <v>2025</v>
      </c>
      <c r="J309">
        <v>3.2399999999999998E-2</v>
      </c>
      <c r="K309" t="s">
        <v>54</v>
      </c>
      <c r="L309">
        <v>70</v>
      </c>
    </row>
    <row r="310" spans="1:12" x14ac:dyDescent="0.45">
      <c r="A310" t="s">
        <v>90</v>
      </c>
      <c r="B310" t="s">
        <v>3</v>
      </c>
      <c r="C310" t="s">
        <v>84</v>
      </c>
      <c r="D310" t="s">
        <v>45</v>
      </c>
      <c r="E310" t="s">
        <v>46</v>
      </c>
      <c r="F310" t="s">
        <v>45</v>
      </c>
      <c r="G310" t="s">
        <v>47</v>
      </c>
      <c r="H310" t="s">
        <v>89</v>
      </c>
      <c r="I310">
        <v>2030</v>
      </c>
      <c r="J310">
        <v>47.831900000000005</v>
      </c>
      <c r="K310" t="s">
        <v>45</v>
      </c>
    </row>
    <row r="311" spans="1:12" x14ac:dyDescent="0.45">
      <c r="A311" t="s">
        <v>90</v>
      </c>
      <c r="B311" t="s">
        <v>3</v>
      </c>
      <c r="C311" t="s">
        <v>84</v>
      </c>
      <c r="D311" t="s">
        <v>52</v>
      </c>
      <c r="E311" t="s">
        <v>25</v>
      </c>
      <c r="F311" t="s">
        <v>52</v>
      </c>
      <c r="G311" t="s">
        <v>71</v>
      </c>
      <c r="H311" t="s">
        <v>89</v>
      </c>
      <c r="I311">
        <v>2030</v>
      </c>
      <c r="J311">
        <v>10.6707</v>
      </c>
      <c r="K311" t="s">
        <v>52</v>
      </c>
      <c r="L311">
        <v>94</v>
      </c>
    </row>
    <row r="312" spans="1:12" x14ac:dyDescent="0.45">
      <c r="A312" t="s">
        <v>90</v>
      </c>
      <c r="B312" t="s">
        <v>3</v>
      </c>
      <c r="C312" t="s">
        <v>84</v>
      </c>
      <c r="D312" t="s">
        <v>53</v>
      </c>
      <c r="E312" t="s">
        <v>25</v>
      </c>
      <c r="F312" t="s">
        <v>53</v>
      </c>
      <c r="G312" t="s">
        <v>71</v>
      </c>
      <c r="H312" t="s">
        <v>89</v>
      </c>
      <c r="I312">
        <v>2030</v>
      </c>
      <c r="J312">
        <v>2.0238999999999998</v>
      </c>
      <c r="K312" t="s">
        <v>53</v>
      </c>
      <c r="L312">
        <v>55</v>
      </c>
    </row>
    <row r="313" spans="1:12" x14ac:dyDescent="0.45">
      <c r="A313" t="s">
        <v>90</v>
      </c>
      <c r="B313" t="s">
        <v>3</v>
      </c>
      <c r="C313" t="s">
        <v>84</v>
      </c>
      <c r="D313" t="s">
        <v>54</v>
      </c>
      <c r="E313" t="s">
        <v>25</v>
      </c>
      <c r="F313" t="s">
        <v>54</v>
      </c>
      <c r="G313" t="s">
        <v>71</v>
      </c>
      <c r="H313" t="s">
        <v>89</v>
      </c>
      <c r="I313">
        <v>2030</v>
      </c>
      <c r="J313">
        <v>1.41E-2</v>
      </c>
      <c r="K313" t="s">
        <v>54</v>
      </c>
      <c r="L313">
        <v>70</v>
      </c>
    </row>
    <row r="314" spans="1:12" x14ac:dyDescent="0.45">
      <c r="A314" t="s">
        <v>90</v>
      </c>
      <c r="B314" t="s">
        <v>3</v>
      </c>
      <c r="C314" t="s">
        <v>84</v>
      </c>
      <c r="D314" t="s">
        <v>45</v>
      </c>
      <c r="E314" t="s">
        <v>46</v>
      </c>
      <c r="F314" t="s">
        <v>45</v>
      </c>
      <c r="G314" t="s">
        <v>47</v>
      </c>
      <c r="H314" t="s">
        <v>89</v>
      </c>
      <c r="I314">
        <v>2035</v>
      </c>
      <c r="J314">
        <v>184.62970000000001</v>
      </c>
      <c r="K314" t="s">
        <v>45</v>
      </c>
    </row>
    <row r="315" spans="1:12" x14ac:dyDescent="0.45">
      <c r="A315" t="s">
        <v>90</v>
      </c>
      <c r="B315" t="s">
        <v>3</v>
      </c>
      <c r="C315" t="s">
        <v>84</v>
      </c>
      <c r="D315" t="s">
        <v>52</v>
      </c>
      <c r="E315" t="s">
        <v>25</v>
      </c>
      <c r="F315" t="s">
        <v>52</v>
      </c>
      <c r="G315" t="s">
        <v>71</v>
      </c>
      <c r="H315" t="s">
        <v>89</v>
      </c>
      <c r="I315">
        <v>2035</v>
      </c>
      <c r="J315">
        <v>2.4323000000000001</v>
      </c>
      <c r="K315" t="s">
        <v>52</v>
      </c>
      <c r="L315">
        <v>94</v>
      </c>
    </row>
    <row r="316" spans="1:12" x14ac:dyDescent="0.45">
      <c r="A316" t="s">
        <v>90</v>
      </c>
      <c r="B316" t="s">
        <v>3</v>
      </c>
      <c r="C316" t="s">
        <v>84</v>
      </c>
      <c r="D316" t="s">
        <v>53</v>
      </c>
      <c r="E316" t="s">
        <v>25</v>
      </c>
      <c r="F316" t="s">
        <v>53</v>
      </c>
      <c r="G316" t="s">
        <v>71</v>
      </c>
      <c r="H316" t="s">
        <v>89</v>
      </c>
      <c r="I316">
        <v>2035</v>
      </c>
      <c r="J316">
        <v>1.9679</v>
      </c>
      <c r="K316" t="s">
        <v>53</v>
      </c>
      <c r="L316">
        <v>55</v>
      </c>
    </row>
    <row r="317" spans="1:12" x14ac:dyDescent="0.45">
      <c r="A317" t="s">
        <v>90</v>
      </c>
      <c r="B317" t="s">
        <v>3</v>
      </c>
      <c r="C317" t="s">
        <v>84</v>
      </c>
      <c r="D317" t="s">
        <v>54</v>
      </c>
      <c r="E317" t="s">
        <v>25</v>
      </c>
      <c r="F317" t="s">
        <v>54</v>
      </c>
      <c r="G317" t="s">
        <v>71</v>
      </c>
      <c r="H317" t="s">
        <v>89</v>
      </c>
      <c r="I317">
        <v>2035</v>
      </c>
      <c r="J317">
        <v>0</v>
      </c>
      <c r="K317" t="s">
        <v>54</v>
      </c>
      <c r="L317">
        <v>70</v>
      </c>
    </row>
    <row r="318" spans="1:12" x14ac:dyDescent="0.45">
      <c r="A318" t="s">
        <v>90</v>
      </c>
      <c r="B318" t="s">
        <v>3</v>
      </c>
      <c r="C318" t="s">
        <v>84</v>
      </c>
      <c r="D318" t="s">
        <v>45</v>
      </c>
      <c r="E318" t="s">
        <v>46</v>
      </c>
      <c r="F318" t="s">
        <v>45</v>
      </c>
      <c r="G318" t="s">
        <v>47</v>
      </c>
      <c r="H318" t="s">
        <v>89</v>
      </c>
      <c r="I318">
        <v>2040</v>
      </c>
      <c r="J318">
        <v>410.48099999999999</v>
      </c>
      <c r="K318" t="s">
        <v>45</v>
      </c>
    </row>
    <row r="319" spans="1:12" x14ac:dyDescent="0.45">
      <c r="A319" t="s">
        <v>90</v>
      </c>
      <c r="B319" t="s">
        <v>3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2040</v>
      </c>
      <c r="J319">
        <v>0.45379999999999998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84</v>
      </c>
      <c r="D320" t="s">
        <v>53</v>
      </c>
      <c r="E320" t="s">
        <v>25</v>
      </c>
      <c r="F320" t="s">
        <v>53</v>
      </c>
      <c r="G320" t="s">
        <v>71</v>
      </c>
      <c r="H320" t="s">
        <v>89</v>
      </c>
      <c r="I320">
        <v>2040</v>
      </c>
      <c r="J320">
        <v>1.3794</v>
      </c>
      <c r="K320" t="s">
        <v>53</v>
      </c>
      <c r="L320">
        <v>55</v>
      </c>
    </row>
    <row r="321" spans="1:12" x14ac:dyDescent="0.45">
      <c r="A321" t="s">
        <v>90</v>
      </c>
      <c r="B321" t="s">
        <v>3</v>
      </c>
      <c r="C321" t="s">
        <v>84</v>
      </c>
      <c r="D321" t="s">
        <v>54</v>
      </c>
      <c r="E321" t="s">
        <v>25</v>
      </c>
      <c r="F321" t="s">
        <v>54</v>
      </c>
      <c r="G321" t="s">
        <v>71</v>
      </c>
      <c r="H321" t="s">
        <v>89</v>
      </c>
      <c r="I321">
        <v>2040</v>
      </c>
      <c r="J321">
        <v>0</v>
      </c>
      <c r="K321" t="s">
        <v>54</v>
      </c>
      <c r="L321">
        <v>70</v>
      </c>
    </row>
    <row r="322" spans="1:12" x14ac:dyDescent="0.45">
      <c r="A322" t="s">
        <v>90</v>
      </c>
      <c r="B322" t="s">
        <v>3</v>
      </c>
      <c r="C322" t="s">
        <v>84</v>
      </c>
      <c r="D322" t="s">
        <v>45</v>
      </c>
      <c r="E322" t="s">
        <v>46</v>
      </c>
      <c r="F322" t="s">
        <v>45</v>
      </c>
      <c r="G322" t="s">
        <v>47</v>
      </c>
      <c r="H322" t="s">
        <v>89</v>
      </c>
      <c r="I322">
        <v>2045</v>
      </c>
      <c r="J322">
        <v>600.21710000000007</v>
      </c>
      <c r="K322" t="s">
        <v>45</v>
      </c>
    </row>
    <row r="323" spans="1:12" x14ac:dyDescent="0.45">
      <c r="A323" t="s">
        <v>90</v>
      </c>
      <c r="B323" t="s">
        <v>3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2045</v>
      </c>
      <c r="J323">
        <v>1.3599999999999999E-2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2045</v>
      </c>
      <c r="J324">
        <v>0.89339999999999997</v>
      </c>
      <c r="K324" t="s">
        <v>53</v>
      </c>
      <c r="L324">
        <v>55</v>
      </c>
    </row>
    <row r="325" spans="1:12" x14ac:dyDescent="0.45">
      <c r="A325" t="s">
        <v>90</v>
      </c>
      <c r="B325" t="s">
        <v>3</v>
      </c>
      <c r="C325" t="s">
        <v>84</v>
      </c>
      <c r="D325" t="s">
        <v>54</v>
      </c>
      <c r="E325" t="s">
        <v>25</v>
      </c>
      <c r="F325" t="s">
        <v>54</v>
      </c>
      <c r="G325" t="s">
        <v>71</v>
      </c>
      <c r="H325" t="s">
        <v>89</v>
      </c>
      <c r="I325">
        <v>2045</v>
      </c>
      <c r="J325">
        <v>0</v>
      </c>
      <c r="K325" t="s">
        <v>54</v>
      </c>
      <c r="L325">
        <v>70</v>
      </c>
    </row>
    <row r="326" spans="1:12" x14ac:dyDescent="0.45">
      <c r="A326" t="s">
        <v>90</v>
      </c>
      <c r="B326" t="s">
        <v>3</v>
      </c>
      <c r="C326" t="s">
        <v>84</v>
      </c>
      <c r="D326" t="s">
        <v>45</v>
      </c>
      <c r="E326" t="s">
        <v>46</v>
      </c>
      <c r="F326" t="s">
        <v>45</v>
      </c>
      <c r="G326" t="s">
        <v>47</v>
      </c>
      <c r="H326" t="s">
        <v>89</v>
      </c>
      <c r="I326">
        <v>2050</v>
      </c>
      <c r="J326">
        <v>668.42105000000004</v>
      </c>
      <c r="K326" t="s">
        <v>45</v>
      </c>
    </row>
    <row r="327" spans="1:12" x14ac:dyDescent="0.45">
      <c r="A327" t="s">
        <v>90</v>
      </c>
      <c r="B327" t="s">
        <v>3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2050</v>
      </c>
      <c r="J327">
        <v>2.9999999999999997E-4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2050</v>
      </c>
      <c r="J328">
        <v>0.64890000000000003</v>
      </c>
      <c r="K328" t="s">
        <v>53</v>
      </c>
      <c r="L328">
        <v>55</v>
      </c>
    </row>
    <row r="329" spans="1:12" x14ac:dyDescent="0.45">
      <c r="A329" t="s">
        <v>90</v>
      </c>
      <c r="B329" t="s">
        <v>3</v>
      </c>
      <c r="C329" t="s">
        <v>84</v>
      </c>
      <c r="D329" t="s">
        <v>54</v>
      </c>
      <c r="E329" t="s">
        <v>25</v>
      </c>
      <c r="F329" t="s">
        <v>54</v>
      </c>
      <c r="G329" t="s">
        <v>71</v>
      </c>
      <c r="H329" t="s">
        <v>89</v>
      </c>
      <c r="I329">
        <v>2050</v>
      </c>
      <c r="J329">
        <v>0</v>
      </c>
      <c r="K329" t="s">
        <v>54</v>
      </c>
      <c r="L329">
        <v>70</v>
      </c>
    </row>
    <row r="330" spans="1:12" x14ac:dyDescent="0.45">
      <c r="A330" t="s">
        <v>90</v>
      </c>
      <c r="B330" t="s">
        <v>3</v>
      </c>
      <c r="C330" t="s">
        <v>84</v>
      </c>
      <c r="D330" t="s">
        <v>45</v>
      </c>
      <c r="E330" t="s">
        <v>46</v>
      </c>
      <c r="F330" t="s">
        <v>45</v>
      </c>
      <c r="G330" t="s">
        <v>47</v>
      </c>
      <c r="H330" t="s">
        <v>89</v>
      </c>
      <c r="I330">
        <v>2055</v>
      </c>
      <c r="J330">
        <v>721.84134999999992</v>
      </c>
      <c r="K330" t="s">
        <v>45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52</v>
      </c>
      <c r="E331" t="s">
        <v>25</v>
      </c>
      <c r="F331" t="s">
        <v>52</v>
      </c>
      <c r="G331" t="s">
        <v>71</v>
      </c>
      <c r="H331" t="s">
        <v>89</v>
      </c>
      <c r="I331">
        <v>2055</v>
      </c>
      <c r="J331">
        <v>2.0000000000000001E-4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84</v>
      </c>
      <c r="D332" t="s">
        <v>53</v>
      </c>
      <c r="E332" t="s">
        <v>25</v>
      </c>
      <c r="F332" t="s">
        <v>53</v>
      </c>
      <c r="G332" t="s">
        <v>71</v>
      </c>
      <c r="H332" t="s">
        <v>89</v>
      </c>
      <c r="I332">
        <v>2055</v>
      </c>
      <c r="J332">
        <v>0.48925000000000002</v>
      </c>
      <c r="K332" t="s">
        <v>53</v>
      </c>
      <c r="L332">
        <v>55</v>
      </c>
    </row>
    <row r="333" spans="1:12" x14ac:dyDescent="0.45">
      <c r="A333" t="s">
        <v>90</v>
      </c>
      <c r="B333" t="s">
        <v>3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2055</v>
      </c>
      <c r="J333">
        <v>0</v>
      </c>
      <c r="K333" t="s">
        <v>54</v>
      </c>
      <c r="L333">
        <v>70</v>
      </c>
    </row>
    <row r="334" spans="1:12" x14ac:dyDescent="0.45">
      <c r="A334" t="s">
        <v>90</v>
      </c>
      <c r="B334" t="s">
        <v>3</v>
      </c>
      <c r="C334" t="s">
        <v>84</v>
      </c>
      <c r="D334" t="s">
        <v>45</v>
      </c>
      <c r="E334" t="s">
        <v>46</v>
      </c>
      <c r="F334" t="s">
        <v>45</v>
      </c>
      <c r="G334" t="s">
        <v>47</v>
      </c>
      <c r="H334" t="s">
        <v>89</v>
      </c>
      <c r="I334">
        <v>2060</v>
      </c>
      <c r="J334">
        <v>754.39740000000006</v>
      </c>
      <c r="K334" t="s">
        <v>45</v>
      </c>
    </row>
    <row r="335" spans="1:12" x14ac:dyDescent="0.45">
      <c r="A335" t="s">
        <v>90</v>
      </c>
      <c r="B335" t="s">
        <v>3</v>
      </c>
      <c r="C335" t="s">
        <v>84</v>
      </c>
      <c r="D335" t="s">
        <v>52</v>
      </c>
      <c r="E335" t="s">
        <v>25</v>
      </c>
      <c r="F335" t="s">
        <v>52</v>
      </c>
      <c r="G335" t="s">
        <v>71</v>
      </c>
      <c r="H335" t="s">
        <v>89</v>
      </c>
      <c r="I335">
        <v>2060</v>
      </c>
      <c r="J335">
        <v>1.5000000000000001E-4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2060</v>
      </c>
      <c r="J336">
        <v>0.44840000000000002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2060</v>
      </c>
      <c r="J337">
        <v>0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45</v>
      </c>
      <c r="E338" t="s">
        <v>46</v>
      </c>
      <c r="F338" t="s">
        <v>45</v>
      </c>
      <c r="G338" t="s">
        <v>47</v>
      </c>
      <c r="H338" t="s">
        <v>89</v>
      </c>
      <c r="I338">
        <v>2065</v>
      </c>
      <c r="J338">
        <v>717.08400000000006</v>
      </c>
      <c r="K338" t="s">
        <v>45</v>
      </c>
    </row>
    <row r="339" spans="1:12" x14ac:dyDescent="0.45">
      <c r="A339" t="s">
        <v>90</v>
      </c>
      <c r="B339" t="s">
        <v>3</v>
      </c>
      <c r="C339" t="s">
        <v>84</v>
      </c>
      <c r="D339" t="s">
        <v>52</v>
      </c>
      <c r="E339" t="s">
        <v>25</v>
      </c>
      <c r="F339" t="s">
        <v>52</v>
      </c>
      <c r="G339" t="s">
        <v>71</v>
      </c>
      <c r="H339" t="s">
        <v>89</v>
      </c>
      <c r="I339">
        <v>2065</v>
      </c>
      <c r="J339">
        <v>1E-4</v>
      </c>
      <c r="K339" t="s">
        <v>52</v>
      </c>
      <c r="L339">
        <v>94</v>
      </c>
    </row>
    <row r="340" spans="1:12" x14ac:dyDescent="0.45">
      <c r="A340" t="s">
        <v>90</v>
      </c>
      <c r="B340" t="s">
        <v>3</v>
      </c>
      <c r="C340" t="s">
        <v>84</v>
      </c>
      <c r="D340" t="s">
        <v>53</v>
      </c>
      <c r="E340" t="s">
        <v>25</v>
      </c>
      <c r="F340" t="s">
        <v>53</v>
      </c>
      <c r="G340" t="s">
        <v>71</v>
      </c>
      <c r="H340" t="s">
        <v>89</v>
      </c>
      <c r="I340">
        <v>2065</v>
      </c>
      <c r="J340">
        <v>0.35389999999999999</v>
      </c>
      <c r="K340" t="s">
        <v>53</v>
      </c>
      <c r="L340">
        <v>55</v>
      </c>
    </row>
    <row r="341" spans="1:12" x14ac:dyDescent="0.45">
      <c r="A341" t="s">
        <v>90</v>
      </c>
      <c r="B341" t="s">
        <v>3</v>
      </c>
      <c r="C341" t="s">
        <v>84</v>
      </c>
      <c r="D341" t="s">
        <v>54</v>
      </c>
      <c r="E341" t="s">
        <v>25</v>
      </c>
      <c r="F341" t="s">
        <v>54</v>
      </c>
      <c r="G341" t="s">
        <v>71</v>
      </c>
      <c r="H341" t="s">
        <v>89</v>
      </c>
      <c r="I341">
        <v>2065</v>
      </c>
      <c r="J341">
        <v>0</v>
      </c>
      <c r="K341" t="s">
        <v>54</v>
      </c>
      <c r="L341">
        <v>70</v>
      </c>
    </row>
    <row r="342" spans="1:12" x14ac:dyDescent="0.45">
      <c r="A342" t="s">
        <v>90</v>
      </c>
      <c r="B342" t="s">
        <v>3</v>
      </c>
      <c r="C342" t="s">
        <v>84</v>
      </c>
      <c r="D342" t="s">
        <v>45</v>
      </c>
      <c r="E342" t="s">
        <v>46</v>
      </c>
      <c r="F342" t="s">
        <v>45</v>
      </c>
      <c r="G342" t="s">
        <v>47</v>
      </c>
      <c r="H342" t="s">
        <v>89</v>
      </c>
      <c r="I342">
        <v>2070</v>
      </c>
      <c r="J342">
        <v>679.21820000000002</v>
      </c>
      <c r="K342" t="s">
        <v>45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52</v>
      </c>
      <c r="E343" t="s">
        <v>25</v>
      </c>
      <c r="F343" t="s">
        <v>52</v>
      </c>
      <c r="G343" t="s">
        <v>71</v>
      </c>
      <c r="H343" t="s">
        <v>89</v>
      </c>
      <c r="I343">
        <v>2070</v>
      </c>
      <c r="J343">
        <v>0</v>
      </c>
      <c r="K343" t="s">
        <v>52</v>
      </c>
      <c r="L343">
        <v>94</v>
      </c>
    </row>
    <row r="344" spans="1:12" x14ac:dyDescent="0.45">
      <c r="A344" t="s">
        <v>90</v>
      </c>
      <c r="B344" t="s">
        <v>3</v>
      </c>
      <c r="C344" t="s">
        <v>84</v>
      </c>
      <c r="D344" t="s">
        <v>53</v>
      </c>
      <c r="E344" t="s">
        <v>25</v>
      </c>
      <c r="F344" t="s">
        <v>53</v>
      </c>
      <c r="G344" t="s">
        <v>71</v>
      </c>
      <c r="H344" t="s">
        <v>89</v>
      </c>
      <c r="I344">
        <v>2070</v>
      </c>
      <c r="J344">
        <v>0.2596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84</v>
      </c>
      <c r="D345" t="s">
        <v>54</v>
      </c>
      <c r="E345" t="s">
        <v>25</v>
      </c>
      <c r="F345" t="s">
        <v>54</v>
      </c>
      <c r="G345" t="s">
        <v>71</v>
      </c>
      <c r="H345" t="s">
        <v>89</v>
      </c>
      <c r="I345">
        <v>2070</v>
      </c>
      <c r="J345">
        <v>0</v>
      </c>
      <c r="K345" t="s">
        <v>54</v>
      </c>
      <c r="L345">
        <v>70</v>
      </c>
    </row>
    <row r="346" spans="1:12" x14ac:dyDescent="0.45">
      <c r="A346" t="s">
        <v>90</v>
      </c>
      <c r="B346" t="s">
        <v>3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2075</v>
      </c>
      <c r="J346">
        <v>658.72815000000003</v>
      </c>
      <c r="K346" t="s">
        <v>45</v>
      </c>
    </row>
    <row r="347" spans="1:12" x14ac:dyDescent="0.45">
      <c r="A347" t="s">
        <v>90</v>
      </c>
      <c r="B347" t="s">
        <v>3</v>
      </c>
      <c r="C347" t="s">
        <v>84</v>
      </c>
      <c r="D347" t="s">
        <v>52</v>
      </c>
      <c r="E347" t="s">
        <v>25</v>
      </c>
      <c r="F347" t="s">
        <v>52</v>
      </c>
      <c r="G347" t="s">
        <v>71</v>
      </c>
      <c r="H347" t="s">
        <v>89</v>
      </c>
      <c r="I347">
        <v>2075</v>
      </c>
      <c r="J347">
        <v>0</v>
      </c>
      <c r="K347" t="s">
        <v>52</v>
      </c>
      <c r="L347">
        <v>94</v>
      </c>
    </row>
    <row r="348" spans="1:12" x14ac:dyDescent="0.45">
      <c r="A348" t="s">
        <v>90</v>
      </c>
      <c r="B348" t="s">
        <v>3</v>
      </c>
      <c r="C348" t="s">
        <v>84</v>
      </c>
      <c r="D348" t="s">
        <v>53</v>
      </c>
      <c r="E348" t="s">
        <v>25</v>
      </c>
      <c r="F348" t="s">
        <v>53</v>
      </c>
      <c r="G348" t="s">
        <v>71</v>
      </c>
      <c r="H348" t="s">
        <v>89</v>
      </c>
      <c r="I348">
        <v>2075</v>
      </c>
      <c r="J348">
        <v>0.18985000000000002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84</v>
      </c>
      <c r="D349" t="s">
        <v>54</v>
      </c>
      <c r="E349" t="s">
        <v>25</v>
      </c>
      <c r="F349" t="s">
        <v>54</v>
      </c>
      <c r="G349" t="s">
        <v>71</v>
      </c>
      <c r="H349" t="s">
        <v>89</v>
      </c>
      <c r="I349">
        <v>2075</v>
      </c>
      <c r="J349">
        <v>0</v>
      </c>
      <c r="K349" t="s">
        <v>54</v>
      </c>
      <c r="L349">
        <v>70</v>
      </c>
    </row>
    <row r="350" spans="1:12" x14ac:dyDescent="0.45">
      <c r="A350" t="s">
        <v>90</v>
      </c>
      <c r="B350" t="s">
        <v>3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2080</v>
      </c>
      <c r="J350">
        <v>638.28414999999995</v>
      </c>
      <c r="K350" t="s">
        <v>45</v>
      </c>
    </row>
    <row r="351" spans="1:12" x14ac:dyDescent="0.45">
      <c r="A351" t="s">
        <v>90</v>
      </c>
      <c r="B351" t="s">
        <v>3</v>
      </c>
      <c r="C351" t="s">
        <v>84</v>
      </c>
      <c r="D351" t="s">
        <v>52</v>
      </c>
      <c r="E351" t="s">
        <v>25</v>
      </c>
      <c r="F351" t="s">
        <v>52</v>
      </c>
      <c r="G351" t="s">
        <v>71</v>
      </c>
      <c r="H351" t="s">
        <v>89</v>
      </c>
      <c r="I351">
        <v>2080</v>
      </c>
      <c r="J351">
        <v>0</v>
      </c>
      <c r="K351" t="s">
        <v>52</v>
      </c>
      <c r="L351">
        <v>94</v>
      </c>
    </row>
    <row r="352" spans="1:12" x14ac:dyDescent="0.45">
      <c r="A352" t="s">
        <v>90</v>
      </c>
      <c r="B352" t="s">
        <v>3</v>
      </c>
      <c r="C352" t="s">
        <v>84</v>
      </c>
      <c r="D352" t="s">
        <v>53</v>
      </c>
      <c r="E352" t="s">
        <v>25</v>
      </c>
      <c r="F352" t="s">
        <v>53</v>
      </c>
      <c r="G352" t="s">
        <v>71</v>
      </c>
      <c r="H352" t="s">
        <v>89</v>
      </c>
      <c r="I352">
        <v>2080</v>
      </c>
      <c r="J352">
        <v>0.12029999999999999</v>
      </c>
      <c r="K352" t="s">
        <v>53</v>
      </c>
      <c r="L352">
        <v>55</v>
      </c>
    </row>
    <row r="353" spans="1:12" x14ac:dyDescent="0.45">
      <c r="A353" t="s">
        <v>90</v>
      </c>
      <c r="B353" t="s">
        <v>3</v>
      </c>
      <c r="C353" t="s">
        <v>84</v>
      </c>
      <c r="D353" t="s">
        <v>54</v>
      </c>
      <c r="E353" t="s">
        <v>25</v>
      </c>
      <c r="F353" t="s">
        <v>54</v>
      </c>
      <c r="G353" t="s">
        <v>71</v>
      </c>
      <c r="H353" t="s">
        <v>89</v>
      </c>
      <c r="I353">
        <v>2080</v>
      </c>
      <c r="J353">
        <v>0</v>
      </c>
      <c r="K353" t="s">
        <v>54</v>
      </c>
      <c r="L353">
        <v>70</v>
      </c>
    </row>
    <row r="354" spans="1:12" x14ac:dyDescent="0.45">
      <c r="A354" t="s">
        <v>90</v>
      </c>
      <c r="B354" t="s">
        <v>3</v>
      </c>
      <c r="C354" t="s">
        <v>84</v>
      </c>
      <c r="D354" t="s">
        <v>45</v>
      </c>
      <c r="E354" t="s">
        <v>46</v>
      </c>
      <c r="F354" t="s">
        <v>45</v>
      </c>
      <c r="G354" t="s">
        <v>47</v>
      </c>
      <c r="H354" t="s">
        <v>89</v>
      </c>
      <c r="I354">
        <v>2085</v>
      </c>
      <c r="J354">
        <v>597.61424999999997</v>
      </c>
      <c r="K354" t="s">
        <v>45</v>
      </c>
    </row>
    <row r="355" spans="1:12" x14ac:dyDescent="0.45">
      <c r="A355" t="s">
        <v>90</v>
      </c>
      <c r="B355" t="s">
        <v>3</v>
      </c>
      <c r="C355" t="s">
        <v>84</v>
      </c>
      <c r="D355" t="s">
        <v>52</v>
      </c>
      <c r="E355" t="s">
        <v>25</v>
      </c>
      <c r="F355" t="s">
        <v>52</v>
      </c>
      <c r="G355" t="s">
        <v>71</v>
      </c>
      <c r="H355" t="s">
        <v>89</v>
      </c>
      <c r="I355">
        <v>2085</v>
      </c>
      <c r="J355">
        <v>0</v>
      </c>
      <c r="K355" t="s">
        <v>52</v>
      </c>
      <c r="L355">
        <v>94</v>
      </c>
    </row>
    <row r="356" spans="1:12" x14ac:dyDescent="0.45">
      <c r="A356" t="s">
        <v>90</v>
      </c>
      <c r="B356" t="s">
        <v>3</v>
      </c>
      <c r="C356" t="s">
        <v>84</v>
      </c>
      <c r="D356" t="s">
        <v>53</v>
      </c>
      <c r="E356" t="s">
        <v>25</v>
      </c>
      <c r="F356" t="s">
        <v>53</v>
      </c>
      <c r="G356" t="s">
        <v>71</v>
      </c>
      <c r="H356" t="s">
        <v>89</v>
      </c>
      <c r="I356">
        <v>2085</v>
      </c>
      <c r="J356">
        <v>8.6199999999999999E-2</v>
      </c>
      <c r="K356" t="s">
        <v>53</v>
      </c>
      <c r="L356">
        <v>55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2085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45</v>
      </c>
      <c r="E358" t="s">
        <v>46</v>
      </c>
      <c r="F358" t="s">
        <v>45</v>
      </c>
      <c r="G358" t="s">
        <v>47</v>
      </c>
      <c r="H358" t="s">
        <v>89</v>
      </c>
      <c r="I358">
        <v>2090</v>
      </c>
      <c r="J358">
        <v>557.42499999999995</v>
      </c>
      <c r="K358" t="s">
        <v>45</v>
      </c>
    </row>
    <row r="359" spans="1:12" x14ac:dyDescent="0.45">
      <c r="A359" t="s">
        <v>90</v>
      </c>
      <c r="B359" t="s">
        <v>3</v>
      </c>
      <c r="C359" t="s">
        <v>84</v>
      </c>
      <c r="D359" t="s">
        <v>52</v>
      </c>
      <c r="E359" t="s">
        <v>25</v>
      </c>
      <c r="F359" t="s">
        <v>52</v>
      </c>
      <c r="G359" t="s">
        <v>71</v>
      </c>
      <c r="H359" t="s">
        <v>89</v>
      </c>
      <c r="I359">
        <v>2090</v>
      </c>
      <c r="J359">
        <v>0</v>
      </c>
      <c r="K359" t="s">
        <v>52</v>
      </c>
      <c r="L359">
        <v>94</v>
      </c>
    </row>
    <row r="360" spans="1:12" x14ac:dyDescent="0.45">
      <c r="A360" t="s">
        <v>90</v>
      </c>
      <c r="B360" t="s">
        <v>3</v>
      </c>
      <c r="C360" t="s">
        <v>84</v>
      </c>
      <c r="D360" t="s">
        <v>53</v>
      </c>
      <c r="E360" t="s">
        <v>25</v>
      </c>
      <c r="F360" t="s">
        <v>53</v>
      </c>
      <c r="G360" t="s">
        <v>71</v>
      </c>
      <c r="H360" t="s">
        <v>89</v>
      </c>
      <c r="I360">
        <v>2090</v>
      </c>
      <c r="J360">
        <v>5.2049999999999999E-2</v>
      </c>
      <c r="K360" t="s">
        <v>53</v>
      </c>
      <c r="L360">
        <v>55</v>
      </c>
    </row>
    <row r="361" spans="1:12" x14ac:dyDescent="0.45">
      <c r="A361" t="s">
        <v>90</v>
      </c>
      <c r="B361" t="s">
        <v>3</v>
      </c>
      <c r="C361" t="s">
        <v>84</v>
      </c>
      <c r="D361" t="s">
        <v>54</v>
      </c>
      <c r="E361" t="s">
        <v>25</v>
      </c>
      <c r="F361" t="s">
        <v>54</v>
      </c>
      <c r="G361" t="s">
        <v>71</v>
      </c>
      <c r="H361" t="s">
        <v>89</v>
      </c>
      <c r="I361">
        <v>2090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3</v>
      </c>
      <c r="C362" t="s">
        <v>84</v>
      </c>
      <c r="D362" t="s">
        <v>45</v>
      </c>
      <c r="E362" t="s">
        <v>46</v>
      </c>
      <c r="F362" t="s">
        <v>45</v>
      </c>
      <c r="G362" t="s">
        <v>47</v>
      </c>
      <c r="H362" t="s">
        <v>89</v>
      </c>
      <c r="I362">
        <v>2095</v>
      </c>
      <c r="J362">
        <v>503.81219999999996</v>
      </c>
      <c r="K362" t="s">
        <v>45</v>
      </c>
    </row>
    <row r="363" spans="1:12" x14ac:dyDescent="0.45">
      <c r="A363" t="s">
        <v>90</v>
      </c>
      <c r="B363" t="s">
        <v>3</v>
      </c>
      <c r="C363" t="s">
        <v>84</v>
      </c>
      <c r="D363" t="s">
        <v>52</v>
      </c>
      <c r="E363" t="s">
        <v>25</v>
      </c>
      <c r="F363" t="s">
        <v>52</v>
      </c>
      <c r="G363" t="s">
        <v>71</v>
      </c>
      <c r="H363" t="s">
        <v>89</v>
      </c>
      <c r="I363">
        <v>2095</v>
      </c>
      <c r="J363">
        <v>0</v>
      </c>
      <c r="K363" t="s">
        <v>52</v>
      </c>
      <c r="L363">
        <v>94</v>
      </c>
    </row>
    <row r="364" spans="1:12" x14ac:dyDescent="0.45">
      <c r="A364" t="s">
        <v>90</v>
      </c>
      <c r="B364" t="s">
        <v>3</v>
      </c>
      <c r="C364" t="s">
        <v>84</v>
      </c>
      <c r="D364" t="s">
        <v>53</v>
      </c>
      <c r="E364" t="s">
        <v>25</v>
      </c>
      <c r="F364" t="s">
        <v>53</v>
      </c>
      <c r="G364" t="s">
        <v>71</v>
      </c>
      <c r="H364" t="s">
        <v>89</v>
      </c>
      <c r="I364">
        <v>2095</v>
      </c>
      <c r="J364">
        <v>3.2549999999999996E-2</v>
      </c>
      <c r="K364" t="s">
        <v>53</v>
      </c>
      <c r="L364">
        <v>55</v>
      </c>
    </row>
    <row r="365" spans="1:12" x14ac:dyDescent="0.45">
      <c r="A365" t="s">
        <v>90</v>
      </c>
      <c r="B365" t="s">
        <v>3</v>
      </c>
      <c r="C365" t="s">
        <v>84</v>
      </c>
      <c r="D365" t="s">
        <v>54</v>
      </c>
      <c r="E365" t="s">
        <v>25</v>
      </c>
      <c r="F365" t="s">
        <v>54</v>
      </c>
      <c r="G365" t="s">
        <v>71</v>
      </c>
      <c r="H365" t="s">
        <v>89</v>
      </c>
      <c r="I365">
        <v>2095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3</v>
      </c>
      <c r="C366" t="s">
        <v>84</v>
      </c>
      <c r="D366" t="s">
        <v>45</v>
      </c>
      <c r="E366" t="s">
        <v>46</v>
      </c>
      <c r="F366" t="s">
        <v>45</v>
      </c>
      <c r="G366" t="s">
        <v>47</v>
      </c>
      <c r="H366" t="s">
        <v>89</v>
      </c>
      <c r="I366">
        <v>2100</v>
      </c>
      <c r="J366">
        <v>450.18110000000001</v>
      </c>
      <c r="K366" t="s">
        <v>45</v>
      </c>
    </row>
    <row r="367" spans="1:12" x14ac:dyDescent="0.45">
      <c r="A367" t="s">
        <v>90</v>
      </c>
      <c r="B367" t="s">
        <v>3</v>
      </c>
      <c r="C367" t="s">
        <v>84</v>
      </c>
      <c r="D367" t="s">
        <v>52</v>
      </c>
      <c r="E367" t="s">
        <v>25</v>
      </c>
      <c r="F367" t="s">
        <v>52</v>
      </c>
      <c r="G367" t="s">
        <v>71</v>
      </c>
      <c r="H367" t="s">
        <v>89</v>
      </c>
      <c r="I367">
        <v>2100</v>
      </c>
      <c r="J367">
        <v>0</v>
      </c>
      <c r="K367" t="s">
        <v>52</v>
      </c>
      <c r="L367">
        <v>94</v>
      </c>
    </row>
    <row r="368" spans="1:12" x14ac:dyDescent="0.45">
      <c r="A368" t="s">
        <v>90</v>
      </c>
      <c r="B368" t="s">
        <v>3</v>
      </c>
      <c r="C368" t="s">
        <v>84</v>
      </c>
      <c r="D368" t="s">
        <v>53</v>
      </c>
      <c r="E368" t="s">
        <v>25</v>
      </c>
      <c r="F368" t="s">
        <v>53</v>
      </c>
      <c r="G368" t="s">
        <v>71</v>
      </c>
      <c r="H368" t="s">
        <v>89</v>
      </c>
      <c r="I368">
        <v>2100</v>
      </c>
      <c r="J368">
        <v>1.515E-2</v>
      </c>
      <c r="K368" t="s">
        <v>53</v>
      </c>
      <c r="L368">
        <v>55</v>
      </c>
    </row>
    <row r="369" spans="1:12" x14ac:dyDescent="0.45">
      <c r="A369" t="s">
        <v>90</v>
      </c>
      <c r="B369" t="s">
        <v>3</v>
      </c>
      <c r="C369" t="s">
        <v>84</v>
      </c>
      <c r="D369" t="s">
        <v>54</v>
      </c>
      <c r="E369" t="s">
        <v>25</v>
      </c>
      <c r="F369" t="s">
        <v>54</v>
      </c>
      <c r="G369" t="s">
        <v>71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84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2020</v>
      </c>
      <c r="J370">
        <v>79.124200000000002</v>
      </c>
      <c r="K370" t="s">
        <v>37</v>
      </c>
    </row>
    <row r="371" spans="1:12" x14ac:dyDescent="0.45">
      <c r="A371" t="s">
        <v>90</v>
      </c>
      <c r="B371" t="s">
        <v>3</v>
      </c>
      <c r="C371" t="s">
        <v>84</v>
      </c>
      <c r="D371" t="s">
        <v>37</v>
      </c>
      <c r="E371" t="s">
        <v>30</v>
      </c>
      <c r="F371" t="s">
        <v>37</v>
      </c>
      <c r="G371" t="s">
        <v>31</v>
      </c>
      <c r="H371" t="s">
        <v>38</v>
      </c>
      <c r="I371">
        <v>2025</v>
      </c>
      <c r="J371">
        <v>72.560850000000002</v>
      </c>
      <c r="K371" t="s">
        <v>37</v>
      </c>
    </row>
    <row r="372" spans="1:12" x14ac:dyDescent="0.45">
      <c r="A372" t="s">
        <v>90</v>
      </c>
      <c r="B372" t="s">
        <v>3</v>
      </c>
      <c r="C372" t="s">
        <v>84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88.002600000000001</v>
      </c>
      <c r="K372" t="s">
        <v>37</v>
      </c>
    </row>
    <row r="373" spans="1:12" x14ac:dyDescent="0.45">
      <c r="A373" t="s">
        <v>90</v>
      </c>
      <c r="B373" t="s">
        <v>3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2035</v>
      </c>
      <c r="J373">
        <v>85.349899999999991</v>
      </c>
      <c r="K373" t="s">
        <v>37</v>
      </c>
    </row>
    <row r="374" spans="1:12" x14ac:dyDescent="0.45">
      <c r="A374" t="s">
        <v>90</v>
      </c>
      <c r="B374" t="s">
        <v>3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2040</v>
      </c>
      <c r="J374">
        <v>89.240049999999997</v>
      </c>
      <c r="K374" t="s">
        <v>37</v>
      </c>
    </row>
    <row r="375" spans="1:12" x14ac:dyDescent="0.45">
      <c r="A375" t="s">
        <v>90</v>
      </c>
      <c r="B375" t="s">
        <v>3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2045</v>
      </c>
      <c r="J375">
        <v>95.604550000000003</v>
      </c>
      <c r="K375" t="s">
        <v>37</v>
      </c>
    </row>
    <row r="376" spans="1:12" x14ac:dyDescent="0.45">
      <c r="A376" t="s">
        <v>90</v>
      </c>
      <c r="B376" t="s">
        <v>3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2050</v>
      </c>
      <c r="J376">
        <v>123.25069999999999</v>
      </c>
      <c r="K376" t="s">
        <v>37</v>
      </c>
    </row>
    <row r="377" spans="1:12" x14ac:dyDescent="0.45">
      <c r="A377" t="s">
        <v>90</v>
      </c>
      <c r="B377" t="s">
        <v>3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2055</v>
      </c>
      <c r="J377">
        <v>115.6429</v>
      </c>
      <c r="K377" t="s">
        <v>37</v>
      </c>
    </row>
    <row r="378" spans="1:12" x14ac:dyDescent="0.45">
      <c r="A378" t="s">
        <v>90</v>
      </c>
      <c r="B378" t="s">
        <v>3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2060</v>
      </c>
      <c r="J378">
        <v>199.60694999999998</v>
      </c>
      <c r="K378" t="s">
        <v>37</v>
      </c>
    </row>
    <row r="379" spans="1:12" x14ac:dyDescent="0.45">
      <c r="A379" t="s">
        <v>90</v>
      </c>
      <c r="B379" t="s">
        <v>3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2065</v>
      </c>
      <c r="J379">
        <v>254.14249999999998</v>
      </c>
      <c r="K379" t="s">
        <v>37</v>
      </c>
    </row>
    <row r="380" spans="1:12" x14ac:dyDescent="0.45">
      <c r="A380" t="s">
        <v>90</v>
      </c>
      <c r="B380" t="s">
        <v>3</v>
      </c>
      <c r="C380" t="s">
        <v>84</v>
      </c>
      <c r="D380" t="s">
        <v>37</v>
      </c>
      <c r="E380" t="s">
        <v>30</v>
      </c>
      <c r="F380" t="s">
        <v>37</v>
      </c>
      <c r="G380" t="s">
        <v>31</v>
      </c>
      <c r="H380" t="s">
        <v>38</v>
      </c>
      <c r="I380">
        <v>2070</v>
      </c>
      <c r="J380">
        <v>308.67809999999997</v>
      </c>
      <c r="K380" t="s">
        <v>37</v>
      </c>
    </row>
    <row r="381" spans="1:12" x14ac:dyDescent="0.45">
      <c r="A381" t="s">
        <v>90</v>
      </c>
      <c r="B381" t="s">
        <v>3</v>
      </c>
      <c r="C381" t="s">
        <v>84</v>
      </c>
      <c r="D381" t="s">
        <v>37</v>
      </c>
      <c r="E381" t="s">
        <v>30</v>
      </c>
      <c r="F381" t="s">
        <v>37</v>
      </c>
      <c r="G381" t="s">
        <v>31</v>
      </c>
      <c r="H381" t="s">
        <v>38</v>
      </c>
      <c r="I381">
        <v>2075</v>
      </c>
      <c r="J381">
        <v>299.06219999999996</v>
      </c>
      <c r="K381" t="s">
        <v>37</v>
      </c>
    </row>
    <row r="382" spans="1:12" x14ac:dyDescent="0.45">
      <c r="A382" t="s">
        <v>90</v>
      </c>
      <c r="B382" t="s">
        <v>3</v>
      </c>
      <c r="C382" t="s">
        <v>84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2080</v>
      </c>
      <c r="J382">
        <v>289.44629999999995</v>
      </c>
      <c r="K382" t="s">
        <v>37</v>
      </c>
    </row>
    <row r="383" spans="1:12" x14ac:dyDescent="0.45">
      <c r="A383" t="s">
        <v>90</v>
      </c>
      <c r="B383" t="s">
        <v>3</v>
      </c>
      <c r="C383" t="s">
        <v>84</v>
      </c>
      <c r="D383" t="s">
        <v>37</v>
      </c>
      <c r="E383" t="s">
        <v>30</v>
      </c>
      <c r="F383" t="s">
        <v>37</v>
      </c>
      <c r="G383" t="s">
        <v>31</v>
      </c>
      <c r="H383" t="s">
        <v>38</v>
      </c>
      <c r="I383">
        <v>2085</v>
      </c>
      <c r="J383">
        <v>282.56349999999998</v>
      </c>
      <c r="K383" t="s">
        <v>37</v>
      </c>
    </row>
    <row r="384" spans="1:12" x14ac:dyDescent="0.45">
      <c r="A384" t="s">
        <v>90</v>
      </c>
      <c r="B384" t="s">
        <v>3</v>
      </c>
      <c r="C384" t="s">
        <v>84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2090</v>
      </c>
      <c r="J384">
        <v>275.68074999999999</v>
      </c>
      <c r="K384" t="s">
        <v>37</v>
      </c>
    </row>
    <row r="385" spans="1:11" x14ac:dyDescent="0.45">
      <c r="A385" t="s">
        <v>90</v>
      </c>
      <c r="B385" t="s">
        <v>3</v>
      </c>
      <c r="C385" t="s">
        <v>84</v>
      </c>
      <c r="D385" t="s">
        <v>37</v>
      </c>
      <c r="E385" t="s">
        <v>30</v>
      </c>
      <c r="F385" t="s">
        <v>37</v>
      </c>
      <c r="G385" t="s">
        <v>31</v>
      </c>
      <c r="H385" t="s">
        <v>38</v>
      </c>
      <c r="I385">
        <v>2095</v>
      </c>
      <c r="J385">
        <v>307.47120000000001</v>
      </c>
      <c r="K385" t="s">
        <v>37</v>
      </c>
    </row>
    <row r="386" spans="1:11" x14ac:dyDescent="0.45">
      <c r="A386" t="s">
        <v>90</v>
      </c>
      <c r="B386" t="s">
        <v>3</v>
      </c>
      <c r="C386" t="s">
        <v>84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339.26170000000002</v>
      </c>
      <c r="K386" t="s">
        <v>37</v>
      </c>
    </row>
    <row r="387" spans="1:11" x14ac:dyDescent="0.45">
      <c r="A387" t="s">
        <v>90</v>
      </c>
      <c r="B387" t="s">
        <v>4</v>
      </c>
      <c r="C387" t="s">
        <v>84</v>
      </c>
      <c r="D387" t="s">
        <v>48</v>
      </c>
      <c r="E387" t="s">
        <v>46</v>
      </c>
      <c r="F387" t="s">
        <v>48</v>
      </c>
      <c r="G387" t="s">
        <v>49</v>
      </c>
      <c r="H387" t="s">
        <v>50</v>
      </c>
      <c r="I387">
        <v>2020</v>
      </c>
      <c r="J387">
        <v>10725.389349999999</v>
      </c>
      <c r="K387" t="s">
        <v>48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10476.977350000001</v>
      </c>
      <c r="K388" t="s">
        <v>51</v>
      </c>
    </row>
    <row r="389" spans="1:11" x14ac:dyDescent="0.45">
      <c r="A389" t="s">
        <v>90</v>
      </c>
      <c r="B389" t="s">
        <v>4</v>
      </c>
      <c r="C389" t="s">
        <v>84</v>
      </c>
      <c r="D389" t="s">
        <v>48</v>
      </c>
      <c r="E389" t="s">
        <v>46</v>
      </c>
      <c r="F389" t="s">
        <v>48</v>
      </c>
      <c r="G389" t="s">
        <v>49</v>
      </c>
      <c r="H389" t="s">
        <v>50</v>
      </c>
      <c r="I389">
        <v>2025</v>
      </c>
      <c r="J389">
        <v>10852.31105</v>
      </c>
      <c r="K389" t="s">
        <v>48</v>
      </c>
    </row>
    <row r="390" spans="1:11" x14ac:dyDescent="0.45">
      <c r="A390" t="s">
        <v>90</v>
      </c>
      <c r="B390" t="s">
        <v>4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2025</v>
      </c>
      <c r="J390">
        <v>10691.33985</v>
      </c>
      <c r="K390" t="s">
        <v>51</v>
      </c>
    </row>
    <row r="391" spans="1:11" x14ac:dyDescent="0.45">
      <c r="A391" t="s">
        <v>90</v>
      </c>
      <c r="B391" t="s">
        <v>4</v>
      </c>
      <c r="C391" t="s">
        <v>84</v>
      </c>
      <c r="D391" t="s">
        <v>48</v>
      </c>
      <c r="E391" t="s">
        <v>46</v>
      </c>
      <c r="F391" t="s">
        <v>48</v>
      </c>
      <c r="G391" t="s">
        <v>49</v>
      </c>
      <c r="H391" t="s">
        <v>50</v>
      </c>
      <c r="I391">
        <v>2030</v>
      </c>
      <c r="J391">
        <v>10402.5224</v>
      </c>
      <c r="K391" t="s">
        <v>48</v>
      </c>
    </row>
    <row r="392" spans="1:11" x14ac:dyDescent="0.45">
      <c r="A392" t="s">
        <v>90</v>
      </c>
      <c r="B392" t="s">
        <v>4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2030</v>
      </c>
      <c r="J392">
        <v>10359.513300000001</v>
      </c>
      <c r="K392" t="s">
        <v>51</v>
      </c>
    </row>
    <row r="393" spans="1:11" x14ac:dyDescent="0.45">
      <c r="A393" t="s">
        <v>90</v>
      </c>
      <c r="B393" t="s">
        <v>4</v>
      </c>
      <c r="C393" t="s">
        <v>84</v>
      </c>
      <c r="D393" t="s">
        <v>48</v>
      </c>
      <c r="E393" t="s">
        <v>46</v>
      </c>
      <c r="F393" t="s">
        <v>48</v>
      </c>
      <c r="G393" t="s">
        <v>49</v>
      </c>
      <c r="H393" t="s">
        <v>50</v>
      </c>
      <c r="I393">
        <v>2035</v>
      </c>
      <c r="J393">
        <v>9574.1271500000003</v>
      </c>
      <c r="K393" t="s">
        <v>48</v>
      </c>
    </row>
    <row r="394" spans="1:11" x14ac:dyDescent="0.45">
      <c r="A394" t="s">
        <v>90</v>
      </c>
      <c r="B394" t="s">
        <v>4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2035</v>
      </c>
      <c r="J394">
        <v>9687.6320500000002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48</v>
      </c>
      <c r="E395" t="s">
        <v>46</v>
      </c>
      <c r="F395" t="s">
        <v>48</v>
      </c>
      <c r="G395" t="s">
        <v>49</v>
      </c>
      <c r="H395" t="s">
        <v>50</v>
      </c>
      <c r="I395">
        <v>2040</v>
      </c>
      <c r="J395">
        <v>8332.8891499999991</v>
      </c>
      <c r="K395" t="s">
        <v>48</v>
      </c>
    </row>
    <row r="396" spans="1:11" x14ac:dyDescent="0.45">
      <c r="A396" t="s">
        <v>90</v>
      </c>
      <c r="B396" t="s">
        <v>4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2040</v>
      </c>
      <c r="J396">
        <v>8605.0756000000001</v>
      </c>
      <c r="K396" t="s">
        <v>51</v>
      </c>
    </row>
    <row r="397" spans="1:11" x14ac:dyDescent="0.45">
      <c r="A397" t="s">
        <v>90</v>
      </c>
      <c r="B397" t="s">
        <v>4</v>
      </c>
      <c r="C397" t="s">
        <v>84</v>
      </c>
      <c r="D397" t="s">
        <v>48</v>
      </c>
      <c r="E397" t="s">
        <v>46</v>
      </c>
      <c r="F397" t="s">
        <v>48</v>
      </c>
      <c r="G397" t="s">
        <v>49</v>
      </c>
      <c r="H397" t="s">
        <v>50</v>
      </c>
      <c r="I397">
        <v>2045</v>
      </c>
      <c r="J397">
        <v>7076.7283000000007</v>
      </c>
      <c r="K397" t="s">
        <v>48</v>
      </c>
    </row>
    <row r="398" spans="1:11" x14ac:dyDescent="0.45">
      <c r="A398" t="s">
        <v>90</v>
      </c>
      <c r="B398" t="s">
        <v>4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2045</v>
      </c>
      <c r="J398">
        <v>7515.74395</v>
      </c>
      <c r="K398" t="s">
        <v>51</v>
      </c>
    </row>
    <row r="399" spans="1:11" x14ac:dyDescent="0.45">
      <c r="A399" t="s">
        <v>90</v>
      </c>
      <c r="B399" t="s">
        <v>4</v>
      </c>
      <c r="C399" t="s">
        <v>84</v>
      </c>
      <c r="D399" t="s">
        <v>48</v>
      </c>
      <c r="E399" t="s">
        <v>46</v>
      </c>
      <c r="F399" t="s">
        <v>48</v>
      </c>
      <c r="G399" t="s">
        <v>49</v>
      </c>
      <c r="H399" t="s">
        <v>50</v>
      </c>
      <c r="I399">
        <v>2050</v>
      </c>
      <c r="J399">
        <v>5889.8696500000005</v>
      </c>
      <c r="K399" t="s">
        <v>48</v>
      </c>
    </row>
    <row r="400" spans="1:11" x14ac:dyDescent="0.45">
      <c r="A400" t="s">
        <v>90</v>
      </c>
      <c r="B400" t="s">
        <v>4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2050</v>
      </c>
      <c r="J400">
        <v>6336.0886</v>
      </c>
      <c r="K400" t="s">
        <v>51</v>
      </c>
    </row>
    <row r="401" spans="1:11" x14ac:dyDescent="0.45">
      <c r="A401" t="s">
        <v>90</v>
      </c>
      <c r="B401" t="s">
        <v>4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2055</v>
      </c>
      <c r="J401">
        <v>5115.4055500000004</v>
      </c>
      <c r="K401" t="s">
        <v>48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2055</v>
      </c>
      <c r="J402">
        <v>5646.6972999999998</v>
      </c>
      <c r="K402" t="s">
        <v>51</v>
      </c>
    </row>
    <row r="403" spans="1:11" x14ac:dyDescent="0.45">
      <c r="A403" t="s">
        <v>90</v>
      </c>
      <c r="B403" t="s">
        <v>4</v>
      </c>
      <c r="C403" t="s">
        <v>84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2060</v>
      </c>
      <c r="J403">
        <v>4335.4436499999993</v>
      </c>
      <c r="K403" t="s">
        <v>48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2060</v>
      </c>
      <c r="J404">
        <v>4944.6764499999999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2065</v>
      </c>
      <c r="J405">
        <v>4000.6266000000001</v>
      </c>
      <c r="K405" t="s">
        <v>48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2065</v>
      </c>
      <c r="J406">
        <v>4606.9449500000001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2070</v>
      </c>
      <c r="J407">
        <v>3666.6440499999999</v>
      </c>
      <c r="K407" t="s">
        <v>48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2070</v>
      </c>
      <c r="J408">
        <v>4269.87565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2075</v>
      </c>
      <c r="J409">
        <v>3222.4297000000001</v>
      </c>
      <c r="K409" t="s">
        <v>48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2075</v>
      </c>
      <c r="J410">
        <v>3867.2188999999998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2080</v>
      </c>
      <c r="J411">
        <v>2763.4859999999999</v>
      </c>
      <c r="K411" t="s">
        <v>48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2080</v>
      </c>
      <c r="J412">
        <v>3449.7547000000004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2085</v>
      </c>
      <c r="J413">
        <v>2426.9126999999999</v>
      </c>
      <c r="K413" t="s">
        <v>48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2085</v>
      </c>
      <c r="J414">
        <v>3096.0218500000001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2090</v>
      </c>
      <c r="J415">
        <v>2091.85925</v>
      </c>
      <c r="K415" t="s">
        <v>48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2090</v>
      </c>
      <c r="J416">
        <v>2743.7583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2095</v>
      </c>
      <c r="J417">
        <v>1668.4997499999999</v>
      </c>
      <c r="K417" t="s">
        <v>48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2095</v>
      </c>
      <c r="J418">
        <v>2366.60635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2100</v>
      </c>
      <c r="J419">
        <v>1246.0862999999999</v>
      </c>
      <c r="K419" t="s">
        <v>48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1990.4097999999999</v>
      </c>
      <c r="K420" t="s">
        <v>51</v>
      </c>
    </row>
    <row r="421" spans="1:11" x14ac:dyDescent="0.45">
      <c r="A421" t="s">
        <v>90</v>
      </c>
      <c r="B421" t="s">
        <v>4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4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5.5946499999999997</v>
      </c>
      <c r="K423" t="s">
        <v>29</v>
      </c>
    </row>
    <row r="424" spans="1:11" x14ac:dyDescent="0.45">
      <c r="A424" t="s">
        <v>90</v>
      </c>
      <c r="B424" t="s">
        <v>4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4.5601500000000001</v>
      </c>
      <c r="K424" t="s">
        <v>29</v>
      </c>
    </row>
    <row r="425" spans="1:11" x14ac:dyDescent="0.45">
      <c r="A425" t="s">
        <v>90</v>
      </c>
      <c r="B425" t="s">
        <v>4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2.1816000000000004</v>
      </c>
      <c r="K425" t="s">
        <v>29</v>
      </c>
    </row>
    <row r="426" spans="1:11" x14ac:dyDescent="0.45">
      <c r="A426" t="s">
        <v>90</v>
      </c>
      <c r="B426" t="s">
        <v>4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2.3449</v>
      </c>
      <c r="K426" t="s">
        <v>29</v>
      </c>
    </row>
    <row r="427" spans="1:11" x14ac:dyDescent="0.45">
      <c r="A427" t="s">
        <v>90</v>
      </c>
      <c r="B427" t="s">
        <v>4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3.6767000000000003</v>
      </c>
      <c r="K427" t="s">
        <v>29</v>
      </c>
    </row>
    <row r="428" spans="1:11" x14ac:dyDescent="0.45">
      <c r="A428" t="s">
        <v>90</v>
      </c>
      <c r="B428" t="s">
        <v>4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4.1312499999999996</v>
      </c>
      <c r="K428" t="s">
        <v>29</v>
      </c>
    </row>
    <row r="429" spans="1:11" x14ac:dyDescent="0.45">
      <c r="A429" t="s">
        <v>90</v>
      </c>
      <c r="B429" t="s">
        <v>4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5.2963500000000003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6.2115499999999999</v>
      </c>
      <c r="K430" t="s">
        <v>29</v>
      </c>
    </row>
    <row r="431" spans="1:11" x14ac:dyDescent="0.45">
      <c r="A431" t="s">
        <v>90</v>
      </c>
      <c r="B431" t="s">
        <v>4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7.1266999999999996</v>
      </c>
      <c r="K431" t="s">
        <v>29</v>
      </c>
    </row>
    <row r="432" spans="1:11" x14ac:dyDescent="0.45">
      <c r="A432" t="s">
        <v>90</v>
      </c>
      <c r="B432" t="s">
        <v>4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7.1797500000000003</v>
      </c>
      <c r="K432" t="s">
        <v>29</v>
      </c>
    </row>
    <row r="433" spans="1:11" x14ac:dyDescent="0.45">
      <c r="A433" t="s">
        <v>90</v>
      </c>
      <c r="B433" t="s">
        <v>4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7.2326999999999995</v>
      </c>
      <c r="K433" t="s">
        <v>29</v>
      </c>
    </row>
    <row r="434" spans="1:11" x14ac:dyDescent="0.45">
      <c r="A434" t="s">
        <v>90</v>
      </c>
      <c r="B434" t="s">
        <v>4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7.1741000000000001</v>
      </c>
      <c r="K434" t="s">
        <v>29</v>
      </c>
    </row>
    <row r="435" spans="1:11" x14ac:dyDescent="0.45">
      <c r="A435" t="s">
        <v>90</v>
      </c>
      <c r="B435" t="s">
        <v>4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7.1154500000000001</v>
      </c>
      <c r="K435" t="s">
        <v>29</v>
      </c>
    </row>
    <row r="436" spans="1:11" x14ac:dyDescent="0.45">
      <c r="A436" t="s">
        <v>90</v>
      </c>
      <c r="B436" t="s">
        <v>4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7.3076499999999998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7.4998000000000005</v>
      </c>
      <c r="K437" t="s">
        <v>29</v>
      </c>
    </row>
    <row r="438" spans="1:11" x14ac:dyDescent="0.45">
      <c r="A438" t="s">
        <v>90</v>
      </c>
      <c r="B438" t="s">
        <v>4</v>
      </c>
      <c r="C438" t="s">
        <v>84</v>
      </c>
      <c r="D438" t="s">
        <v>33</v>
      </c>
      <c r="E438" t="s">
        <v>30</v>
      </c>
      <c r="F438" t="s">
        <v>33</v>
      </c>
      <c r="G438" t="s">
        <v>31</v>
      </c>
      <c r="H438" t="s">
        <v>34</v>
      </c>
      <c r="I438">
        <v>2020</v>
      </c>
      <c r="J438">
        <v>2.0344000000000002</v>
      </c>
      <c r="K438" t="s">
        <v>33</v>
      </c>
    </row>
    <row r="439" spans="1:11" x14ac:dyDescent="0.45">
      <c r="A439" t="s">
        <v>90</v>
      </c>
      <c r="B439" t="s">
        <v>4</v>
      </c>
      <c r="C439" t="s">
        <v>84</v>
      </c>
      <c r="D439" t="s">
        <v>33</v>
      </c>
      <c r="E439" t="s">
        <v>30</v>
      </c>
      <c r="F439" t="s">
        <v>33</v>
      </c>
      <c r="G439" t="s">
        <v>31</v>
      </c>
      <c r="H439" t="s">
        <v>34</v>
      </c>
      <c r="I439">
        <v>2025</v>
      </c>
      <c r="J439">
        <v>2.2243500000000003</v>
      </c>
      <c r="K439" t="s">
        <v>33</v>
      </c>
    </row>
    <row r="440" spans="1:11" x14ac:dyDescent="0.45">
      <c r="A440" t="s">
        <v>90</v>
      </c>
      <c r="B440" t="s">
        <v>4</v>
      </c>
      <c r="C440" t="s">
        <v>84</v>
      </c>
      <c r="D440" t="s">
        <v>33</v>
      </c>
      <c r="E440" t="s">
        <v>30</v>
      </c>
      <c r="F440" t="s">
        <v>33</v>
      </c>
      <c r="G440" t="s">
        <v>31</v>
      </c>
      <c r="H440" t="s">
        <v>34</v>
      </c>
      <c r="I440">
        <v>2030</v>
      </c>
      <c r="J440">
        <v>2.2640500000000001</v>
      </c>
      <c r="K440" t="s">
        <v>33</v>
      </c>
    </row>
    <row r="441" spans="1:11" x14ac:dyDescent="0.45">
      <c r="A441" t="s">
        <v>90</v>
      </c>
      <c r="B441" t="s">
        <v>4</v>
      </c>
      <c r="C441" t="s">
        <v>84</v>
      </c>
      <c r="D441" t="s">
        <v>33</v>
      </c>
      <c r="E441" t="s">
        <v>30</v>
      </c>
      <c r="F441" t="s">
        <v>33</v>
      </c>
      <c r="G441" t="s">
        <v>31</v>
      </c>
      <c r="H441" t="s">
        <v>34</v>
      </c>
      <c r="I441">
        <v>2035</v>
      </c>
      <c r="J441">
        <v>2.3101000000000003</v>
      </c>
      <c r="K441" t="s">
        <v>33</v>
      </c>
    </row>
    <row r="442" spans="1:11" x14ac:dyDescent="0.45">
      <c r="A442" t="s">
        <v>90</v>
      </c>
      <c r="B442" t="s">
        <v>4</v>
      </c>
      <c r="C442" t="s">
        <v>84</v>
      </c>
      <c r="D442" t="s">
        <v>33</v>
      </c>
      <c r="E442" t="s">
        <v>30</v>
      </c>
      <c r="F442" t="s">
        <v>33</v>
      </c>
      <c r="G442" t="s">
        <v>31</v>
      </c>
      <c r="H442" t="s">
        <v>34</v>
      </c>
      <c r="I442">
        <v>2040</v>
      </c>
      <c r="J442">
        <v>2.37805</v>
      </c>
      <c r="K442" t="s">
        <v>33</v>
      </c>
    </row>
    <row r="443" spans="1:11" x14ac:dyDescent="0.45">
      <c r="A443" t="s">
        <v>90</v>
      </c>
      <c r="B443" t="s">
        <v>4</v>
      </c>
      <c r="C443" t="s">
        <v>84</v>
      </c>
      <c r="D443" t="s">
        <v>33</v>
      </c>
      <c r="E443" t="s">
        <v>30</v>
      </c>
      <c r="F443" t="s">
        <v>33</v>
      </c>
      <c r="G443" t="s">
        <v>31</v>
      </c>
      <c r="H443" t="s">
        <v>34</v>
      </c>
      <c r="I443">
        <v>2045</v>
      </c>
      <c r="J443">
        <v>2.49315</v>
      </c>
      <c r="K443" t="s">
        <v>33</v>
      </c>
    </row>
    <row r="444" spans="1:11" x14ac:dyDescent="0.45">
      <c r="A444" t="s">
        <v>90</v>
      </c>
      <c r="B444" t="s">
        <v>4</v>
      </c>
      <c r="C444" t="s">
        <v>84</v>
      </c>
      <c r="D444" t="s">
        <v>33</v>
      </c>
      <c r="E444" t="s">
        <v>30</v>
      </c>
      <c r="F444" t="s">
        <v>33</v>
      </c>
      <c r="G444" t="s">
        <v>31</v>
      </c>
      <c r="H444" t="s">
        <v>34</v>
      </c>
      <c r="I444">
        <v>2050</v>
      </c>
      <c r="J444">
        <v>2.7322500000000001</v>
      </c>
      <c r="K444" t="s">
        <v>33</v>
      </c>
    </row>
    <row r="445" spans="1:11" x14ac:dyDescent="0.45">
      <c r="A445" t="s">
        <v>90</v>
      </c>
      <c r="B445" t="s">
        <v>4</v>
      </c>
      <c r="C445" t="s">
        <v>84</v>
      </c>
      <c r="D445" t="s">
        <v>33</v>
      </c>
      <c r="E445" t="s">
        <v>30</v>
      </c>
      <c r="F445" t="s">
        <v>33</v>
      </c>
      <c r="G445" t="s">
        <v>31</v>
      </c>
      <c r="H445" t="s">
        <v>34</v>
      </c>
      <c r="I445">
        <v>2055</v>
      </c>
      <c r="J445">
        <v>2.6589499999999999</v>
      </c>
      <c r="K445" t="s">
        <v>33</v>
      </c>
    </row>
    <row r="446" spans="1:11" x14ac:dyDescent="0.45">
      <c r="A446" t="s">
        <v>90</v>
      </c>
      <c r="B446" t="s">
        <v>4</v>
      </c>
      <c r="C446" t="s">
        <v>84</v>
      </c>
      <c r="D446" t="s">
        <v>33</v>
      </c>
      <c r="E446" t="s">
        <v>30</v>
      </c>
      <c r="F446" t="s">
        <v>33</v>
      </c>
      <c r="G446" t="s">
        <v>31</v>
      </c>
      <c r="H446" t="s">
        <v>34</v>
      </c>
      <c r="I446">
        <v>2060</v>
      </c>
      <c r="J446">
        <v>3.4098000000000002</v>
      </c>
      <c r="K446" t="s">
        <v>33</v>
      </c>
    </row>
    <row r="447" spans="1:11" x14ac:dyDescent="0.45">
      <c r="A447" t="s">
        <v>90</v>
      </c>
      <c r="B447" t="s">
        <v>4</v>
      </c>
      <c r="C447" t="s">
        <v>84</v>
      </c>
      <c r="D447" t="s">
        <v>33</v>
      </c>
      <c r="E447" t="s">
        <v>30</v>
      </c>
      <c r="F447" t="s">
        <v>33</v>
      </c>
      <c r="G447" t="s">
        <v>31</v>
      </c>
      <c r="H447" t="s">
        <v>34</v>
      </c>
      <c r="I447">
        <v>2065</v>
      </c>
      <c r="J447">
        <v>3.5568999999999997</v>
      </c>
      <c r="K447" t="s">
        <v>33</v>
      </c>
    </row>
    <row r="448" spans="1:11" x14ac:dyDescent="0.45">
      <c r="A448" t="s">
        <v>90</v>
      </c>
      <c r="B448" t="s">
        <v>4</v>
      </c>
      <c r="C448" t="s">
        <v>84</v>
      </c>
      <c r="D448" t="s">
        <v>33</v>
      </c>
      <c r="E448" t="s">
        <v>30</v>
      </c>
      <c r="F448" t="s">
        <v>33</v>
      </c>
      <c r="G448" t="s">
        <v>31</v>
      </c>
      <c r="H448" t="s">
        <v>34</v>
      </c>
      <c r="I448">
        <v>2070</v>
      </c>
      <c r="J448">
        <v>3.7039</v>
      </c>
      <c r="K448" t="s">
        <v>33</v>
      </c>
    </row>
    <row r="449" spans="1:11" x14ac:dyDescent="0.45">
      <c r="A449" t="s">
        <v>90</v>
      </c>
      <c r="B449" t="s">
        <v>4</v>
      </c>
      <c r="C449" t="s">
        <v>84</v>
      </c>
      <c r="D449" t="s">
        <v>33</v>
      </c>
      <c r="E449" t="s">
        <v>30</v>
      </c>
      <c r="F449" t="s">
        <v>33</v>
      </c>
      <c r="G449" t="s">
        <v>31</v>
      </c>
      <c r="H449" t="s">
        <v>34</v>
      </c>
      <c r="I449">
        <v>2075</v>
      </c>
      <c r="J449">
        <v>3.8219000000000003</v>
      </c>
      <c r="K449" t="s">
        <v>33</v>
      </c>
    </row>
    <row r="450" spans="1:11" x14ac:dyDescent="0.45">
      <c r="A450" t="s">
        <v>90</v>
      </c>
      <c r="B450" t="s">
        <v>4</v>
      </c>
      <c r="C450" t="s">
        <v>84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2080</v>
      </c>
      <c r="J450">
        <v>3.9399000000000002</v>
      </c>
      <c r="K450" t="s">
        <v>33</v>
      </c>
    </row>
    <row r="451" spans="1:11" x14ac:dyDescent="0.45">
      <c r="A451" t="s">
        <v>90</v>
      </c>
      <c r="B451" t="s">
        <v>4</v>
      </c>
      <c r="C451" t="s">
        <v>84</v>
      </c>
      <c r="D451" t="s">
        <v>33</v>
      </c>
      <c r="E451" t="s">
        <v>30</v>
      </c>
      <c r="F451" t="s">
        <v>33</v>
      </c>
      <c r="G451" t="s">
        <v>31</v>
      </c>
      <c r="H451" t="s">
        <v>34</v>
      </c>
      <c r="I451">
        <v>2085</v>
      </c>
      <c r="J451">
        <v>4.0999499999999998</v>
      </c>
      <c r="K451" t="s">
        <v>33</v>
      </c>
    </row>
    <row r="452" spans="1:11" x14ac:dyDescent="0.45">
      <c r="A452" t="s">
        <v>90</v>
      </c>
      <c r="B452" t="s">
        <v>4</v>
      </c>
      <c r="C452" t="s">
        <v>84</v>
      </c>
      <c r="D452" t="s">
        <v>33</v>
      </c>
      <c r="E452" t="s">
        <v>30</v>
      </c>
      <c r="F452" t="s">
        <v>33</v>
      </c>
      <c r="G452" t="s">
        <v>31</v>
      </c>
      <c r="H452" t="s">
        <v>34</v>
      </c>
      <c r="I452">
        <v>2090</v>
      </c>
      <c r="J452">
        <v>4.2600999999999996</v>
      </c>
      <c r="K452" t="s">
        <v>33</v>
      </c>
    </row>
    <row r="453" spans="1:11" x14ac:dyDescent="0.45">
      <c r="A453" t="s">
        <v>90</v>
      </c>
      <c r="B453" t="s">
        <v>4</v>
      </c>
      <c r="C453" t="s">
        <v>84</v>
      </c>
      <c r="D453" t="s">
        <v>33</v>
      </c>
      <c r="E453" t="s">
        <v>30</v>
      </c>
      <c r="F453" t="s">
        <v>33</v>
      </c>
      <c r="G453" t="s">
        <v>31</v>
      </c>
      <c r="H453" t="s">
        <v>34</v>
      </c>
      <c r="I453">
        <v>2095</v>
      </c>
      <c r="J453">
        <v>4.2486499999999996</v>
      </c>
      <c r="K453" t="s">
        <v>33</v>
      </c>
    </row>
    <row r="454" spans="1:11" x14ac:dyDescent="0.45">
      <c r="A454" t="s">
        <v>90</v>
      </c>
      <c r="B454" t="s">
        <v>4</v>
      </c>
      <c r="C454" t="s">
        <v>84</v>
      </c>
      <c r="D454" t="s">
        <v>33</v>
      </c>
      <c r="E454" t="s">
        <v>30</v>
      </c>
      <c r="F454" t="s">
        <v>33</v>
      </c>
      <c r="G454" t="s">
        <v>31</v>
      </c>
      <c r="H454" t="s">
        <v>34</v>
      </c>
      <c r="I454">
        <v>2100</v>
      </c>
      <c r="J454">
        <v>4.2371499999999997</v>
      </c>
      <c r="K454" t="s">
        <v>33</v>
      </c>
    </row>
    <row r="455" spans="1:11" x14ac:dyDescent="0.45">
      <c r="A455" t="s">
        <v>90</v>
      </c>
      <c r="B455" t="s">
        <v>4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9.0489999999999995</v>
      </c>
      <c r="K455" t="s">
        <v>28</v>
      </c>
    </row>
    <row r="456" spans="1:11" x14ac:dyDescent="0.45">
      <c r="A456" t="s">
        <v>90</v>
      </c>
      <c r="B456" t="s">
        <v>4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12.711500000000001</v>
      </c>
      <c r="K456" t="s">
        <v>28</v>
      </c>
    </row>
    <row r="457" spans="1:11" x14ac:dyDescent="0.45">
      <c r="A457" t="s">
        <v>90</v>
      </c>
      <c r="B457" t="s">
        <v>4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16.345100000000002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19.255949999999999</v>
      </c>
      <c r="K458" t="s">
        <v>28</v>
      </c>
    </row>
    <row r="459" spans="1:11" x14ac:dyDescent="0.45">
      <c r="A459" t="s">
        <v>90</v>
      </c>
      <c r="B459" t="s">
        <v>4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19.979599999999998</v>
      </c>
      <c r="K459" t="s">
        <v>28</v>
      </c>
    </row>
    <row r="460" spans="1:11" x14ac:dyDescent="0.45">
      <c r="A460" t="s">
        <v>90</v>
      </c>
      <c r="B460" t="s">
        <v>4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19.318300000000001</v>
      </c>
      <c r="K460" t="s">
        <v>28</v>
      </c>
    </row>
    <row r="461" spans="1:11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18.045999999999999</v>
      </c>
      <c r="K461" t="s">
        <v>28</v>
      </c>
    </row>
    <row r="462" spans="1:11" x14ac:dyDescent="0.45">
      <c r="A462" t="s">
        <v>90</v>
      </c>
      <c r="B462" t="s">
        <v>4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17.532299999999999</v>
      </c>
      <c r="K462" t="s">
        <v>28</v>
      </c>
    </row>
    <row r="463" spans="1:11" x14ac:dyDescent="0.45">
      <c r="A463" t="s">
        <v>90</v>
      </c>
      <c r="B463" t="s">
        <v>4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17.065149999999999</v>
      </c>
      <c r="K463" t="s">
        <v>28</v>
      </c>
    </row>
    <row r="464" spans="1:11" x14ac:dyDescent="0.45">
      <c r="A464" t="s">
        <v>90</v>
      </c>
      <c r="B464" t="s">
        <v>4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16.660449999999997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16.260199999999998</v>
      </c>
      <c r="K465" t="s">
        <v>28</v>
      </c>
    </row>
    <row r="466" spans="1:11" x14ac:dyDescent="0.45">
      <c r="A466" t="s">
        <v>90</v>
      </c>
      <c r="B466" t="s">
        <v>4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15.764100000000001</v>
      </c>
      <c r="K466" t="s">
        <v>28</v>
      </c>
    </row>
    <row r="467" spans="1:11" x14ac:dyDescent="0.45">
      <c r="A467" t="s">
        <v>90</v>
      </c>
      <c r="B467" t="s">
        <v>4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15.273099999999999</v>
      </c>
      <c r="K467" t="s">
        <v>28</v>
      </c>
    </row>
    <row r="468" spans="1:11" x14ac:dyDescent="0.45">
      <c r="A468" t="s">
        <v>90</v>
      </c>
      <c r="B468" t="s">
        <v>4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14.822050000000001</v>
      </c>
      <c r="K468" t="s">
        <v>28</v>
      </c>
    </row>
    <row r="469" spans="1:11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14.3767</v>
      </c>
      <c r="K469" t="s">
        <v>28</v>
      </c>
    </row>
    <row r="470" spans="1:11" x14ac:dyDescent="0.45">
      <c r="A470" t="s">
        <v>90</v>
      </c>
      <c r="B470" t="s">
        <v>4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13.912599999999999</v>
      </c>
      <c r="K470" t="s">
        <v>28</v>
      </c>
    </row>
    <row r="471" spans="1:11" x14ac:dyDescent="0.45">
      <c r="A471" t="s">
        <v>90</v>
      </c>
      <c r="B471" t="s">
        <v>4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13.4498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14.791</v>
      </c>
      <c r="K472" t="s">
        <v>24</v>
      </c>
    </row>
    <row r="473" spans="1:11" x14ac:dyDescent="0.45">
      <c r="A473" t="s">
        <v>90</v>
      </c>
      <c r="B473" t="s">
        <v>4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16.689</v>
      </c>
      <c r="K473" t="s">
        <v>24</v>
      </c>
    </row>
    <row r="474" spans="1:11" x14ac:dyDescent="0.45">
      <c r="A474" t="s">
        <v>90</v>
      </c>
      <c r="B474" t="s">
        <v>4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17.68685</v>
      </c>
      <c r="K474" t="s">
        <v>24</v>
      </c>
    </row>
    <row r="475" spans="1:11" x14ac:dyDescent="0.45">
      <c r="A475" t="s">
        <v>90</v>
      </c>
      <c r="B475" t="s">
        <v>4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17.8523</v>
      </c>
      <c r="K475" t="s">
        <v>24</v>
      </c>
    </row>
    <row r="476" spans="1:11" x14ac:dyDescent="0.45">
      <c r="A476" t="s">
        <v>90</v>
      </c>
      <c r="B476" t="s">
        <v>4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16.957100000000001</v>
      </c>
      <c r="K476" t="s">
        <v>24</v>
      </c>
    </row>
    <row r="477" spans="1:11" x14ac:dyDescent="0.45">
      <c r="A477" t="s">
        <v>90</v>
      </c>
      <c r="B477" t="s">
        <v>4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15.70125</v>
      </c>
      <c r="K477" t="s">
        <v>24</v>
      </c>
    </row>
    <row r="478" spans="1:11" x14ac:dyDescent="0.45">
      <c r="A478" t="s">
        <v>90</v>
      </c>
      <c r="B478" t="s">
        <v>4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14.2683</v>
      </c>
      <c r="K478" t="s">
        <v>24</v>
      </c>
    </row>
    <row r="479" spans="1:11" x14ac:dyDescent="0.45">
      <c r="A479" t="s">
        <v>90</v>
      </c>
      <c r="B479" t="s">
        <v>4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13.47565</v>
      </c>
      <c r="K479" t="s">
        <v>24</v>
      </c>
    </row>
    <row r="480" spans="1:11" x14ac:dyDescent="0.45">
      <c r="A480" t="s">
        <v>90</v>
      </c>
      <c r="B480" t="s">
        <v>4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12.002050000000001</v>
      </c>
      <c r="K480" t="s">
        <v>24</v>
      </c>
    </row>
    <row r="481" spans="1:11" x14ac:dyDescent="0.45">
      <c r="A481" t="s">
        <v>90</v>
      </c>
      <c r="B481" t="s">
        <v>4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10.911149999999999</v>
      </c>
      <c r="K481" t="s">
        <v>24</v>
      </c>
    </row>
    <row r="482" spans="1:11" x14ac:dyDescent="0.45">
      <c r="A482" t="s">
        <v>90</v>
      </c>
      <c r="B482" t="s">
        <v>4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9.8241000000000014</v>
      </c>
      <c r="K482" t="s">
        <v>24</v>
      </c>
    </row>
    <row r="483" spans="1:11" x14ac:dyDescent="0.45">
      <c r="A483" t="s">
        <v>90</v>
      </c>
      <c r="B483" t="s">
        <v>4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8.7302</v>
      </c>
      <c r="K483" t="s">
        <v>24</v>
      </c>
    </row>
    <row r="484" spans="1:11" x14ac:dyDescent="0.45">
      <c r="A484" t="s">
        <v>90</v>
      </c>
      <c r="B484" t="s">
        <v>4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7.6391499999999999</v>
      </c>
      <c r="K484" t="s">
        <v>24</v>
      </c>
    </row>
    <row r="485" spans="1:11" x14ac:dyDescent="0.45">
      <c r="A485" t="s">
        <v>90</v>
      </c>
      <c r="B485" t="s">
        <v>4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6.7523</v>
      </c>
      <c r="K485" t="s">
        <v>24</v>
      </c>
    </row>
    <row r="486" spans="1:11" x14ac:dyDescent="0.45">
      <c r="A486" t="s">
        <v>90</v>
      </c>
      <c r="B486" t="s">
        <v>4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5.8696000000000002</v>
      </c>
      <c r="K486" t="s">
        <v>24</v>
      </c>
    </row>
    <row r="487" spans="1:11" x14ac:dyDescent="0.45">
      <c r="A487" t="s">
        <v>90</v>
      </c>
      <c r="B487" t="s">
        <v>4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5.1954500000000001</v>
      </c>
      <c r="K487" t="s">
        <v>24</v>
      </c>
    </row>
    <row r="488" spans="1:11" x14ac:dyDescent="0.45">
      <c r="A488" t="s">
        <v>90</v>
      </c>
      <c r="B488" t="s">
        <v>4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4.5216000000000003</v>
      </c>
      <c r="K488" t="s">
        <v>24</v>
      </c>
    </row>
    <row r="489" spans="1:11" x14ac:dyDescent="0.45">
      <c r="A489" t="s">
        <v>90</v>
      </c>
      <c r="B489" t="s">
        <v>4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0.2399</v>
      </c>
      <c r="K489" t="s">
        <v>27</v>
      </c>
    </row>
    <row r="490" spans="1:11" x14ac:dyDescent="0.45">
      <c r="A490" t="s">
        <v>90</v>
      </c>
      <c r="B490" t="s">
        <v>4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0.67110000000000003</v>
      </c>
      <c r="K490" t="s">
        <v>27</v>
      </c>
    </row>
    <row r="491" spans="1:11" x14ac:dyDescent="0.45">
      <c r="A491" t="s">
        <v>90</v>
      </c>
      <c r="B491" t="s">
        <v>4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1.5916999999999999</v>
      </c>
      <c r="K491" t="s">
        <v>27</v>
      </c>
    </row>
    <row r="492" spans="1:11" x14ac:dyDescent="0.45">
      <c r="A492" t="s">
        <v>90</v>
      </c>
      <c r="B492" t="s">
        <v>4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2.5747999999999998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3.2040999999999999</v>
      </c>
      <c r="K493" t="s">
        <v>27</v>
      </c>
    </row>
    <row r="494" spans="1:11" x14ac:dyDescent="0.45">
      <c r="A494" t="s">
        <v>90</v>
      </c>
      <c r="B494" t="s">
        <v>4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3.5637499999999998</v>
      </c>
      <c r="K494" t="s">
        <v>27</v>
      </c>
    </row>
    <row r="495" spans="1:11" x14ac:dyDescent="0.45">
      <c r="A495" t="s">
        <v>90</v>
      </c>
      <c r="B495" t="s">
        <v>4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3.73285</v>
      </c>
      <c r="K495" t="s">
        <v>27</v>
      </c>
    </row>
    <row r="496" spans="1:11" x14ac:dyDescent="0.45">
      <c r="A496" t="s">
        <v>90</v>
      </c>
      <c r="B496" t="s">
        <v>4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3.8807499999999999</v>
      </c>
      <c r="K496" t="s">
        <v>27</v>
      </c>
    </row>
    <row r="497" spans="1:11" x14ac:dyDescent="0.45">
      <c r="A497" t="s">
        <v>90</v>
      </c>
      <c r="B497" t="s">
        <v>4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3.9628000000000001</v>
      </c>
      <c r="K497" t="s">
        <v>27</v>
      </c>
    </row>
    <row r="498" spans="1:11" x14ac:dyDescent="0.45">
      <c r="A498" t="s">
        <v>90</v>
      </c>
      <c r="B498" t="s">
        <v>4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3.9788999999999999</v>
      </c>
      <c r="K498" t="s">
        <v>27</v>
      </c>
    </row>
    <row r="499" spans="1:11" x14ac:dyDescent="0.45">
      <c r="A499" t="s">
        <v>90</v>
      </c>
      <c r="B499" t="s">
        <v>4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3.9947999999999997</v>
      </c>
      <c r="K499" t="s">
        <v>27</v>
      </c>
    </row>
    <row r="500" spans="1:11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3.9517499999999997</v>
      </c>
      <c r="K500" t="s">
        <v>27</v>
      </c>
    </row>
    <row r="501" spans="1:11" x14ac:dyDescent="0.45">
      <c r="A501" t="s">
        <v>90</v>
      </c>
      <c r="B501" t="s">
        <v>4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3.9121499999999996</v>
      </c>
      <c r="K501" t="s">
        <v>27</v>
      </c>
    </row>
    <row r="502" spans="1:11" x14ac:dyDescent="0.45">
      <c r="A502" t="s">
        <v>90</v>
      </c>
      <c r="B502" t="s">
        <v>4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3.8631500000000001</v>
      </c>
      <c r="K502" t="s">
        <v>27</v>
      </c>
    </row>
    <row r="503" spans="1:11" x14ac:dyDescent="0.45">
      <c r="A503" t="s">
        <v>90</v>
      </c>
      <c r="B503" t="s">
        <v>4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3.8231000000000002</v>
      </c>
      <c r="K503" t="s">
        <v>27</v>
      </c>
    </row>
    <row r="504" spans="1:11" x14ac:dyDescent="0.45">
      <c r="A504" t="s">
        <v>90</v>
      </c>
      <c r="B504" t="s">
        <v>4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3.782</v>
      </c>
      <c r="K504" t="s">
        <v>27</v>
      </c>
    </row>
    <row r="505" spans="1:11" x14ac:dyDescent="0.45">
      <c r="A505" t="s">
        <v>90</v>
      </c>
      <c r="B505" t="s">
        <v>4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3.7415000000000003</v>
      </c>
      <c r="K505" t="s">
        <v>27</v>
      </c>
    </row>
    <row r="506" spans="1:11" x14ac:dyDescent="0.45">
      <c r="A506" t="s">
        <v>90</v>
      </c>
      <c r="B506" t="s">
        <v>4</v>
      </c>
      <c r="C506" t="s">
        <v>84</v>
      </c>
      <c r="D506" t="s">
        <v>35</v>
      </c>
      <c r="E506" t="s">
        <v>30</v>
      </c>
      <c r="F506" t="s">
        <v>35</v>
      </c>
      <c r="G506" t="s">
        <v>31</v>
      </c>
      <c r="H506" t="s">
        <v>36</v>
      </c>
      <c r="I506">
        <v>2020</v>
      </c>
      <c r="J506">
        <v>3.9710999999999999</v>
      </c>
      <c r="K506" t="s">
        <v>35</v>
      </c>
    </row>
    <row r="507" spans="1:11" x14ac:dyDescent="0.45">
      <c r="A507" t="s">
        <v>90</v>
      </c>
      <c r="B507" t="s">
        <v>4</v>
      </c>
      <c r="C507" t="s">
        <v>84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2025</v>
      </c>
      <c r="J507">
        <v>4.6684000000000001</v>
      </c>
      <c r="K507" t="s">
        <v>35</v>
      </c>
    </row>
    <row r="508" spans="1:11" x14ac:dyDescent="0.45">
      <c r="A508" t="s">
        <v>90</v>
      </c>
      <c r="B508" t="s">
        <v>4</v>
      </c>
      <c r="C508" t="s">
        <v>84</v>
      </c>
      <c r="D508" t="s">
        <v>35</v>
      </c>
      <c r="E508" t="s">
        <v>30</v>
      </c>
      <c r="F508" t="s">
        <v>35</v>
      </c>
      <c r="G508" t="s">
        <v>31</v>
      </c>
      <c r="H508" t="s">
        <v>36</v>
      </c>
      <c r="I508">
        <v>2030</v>
      </c>
      <c r="J508">
        <v>4.6098499999999998</v>
      </c>
      <c r="K508" t="s">
        <v>35</v>
      </c>
    </row>
    <row r="509" spans="1:11" x14ac:dyDescent="0.45">
      <c r="A509" t="s">
        <v>90</v>
      </c>
      <c r="B509" t="s">
        <v>4</v>
      </c>
      <c r="C509" t="s">
        <v>84</v>
      </c>
      <c r="D509" t="s">
        <v>35</v>
      </c>
      <c r="E509" t="s">
        <v>30</v>
      </c>
      <c r="F509" t="s">
        <v>35</v>
      </c>
      <c r="G509" t="s">
        <v>31</v>
      </c>
      <c r="H509" t="s">
        <v>36</v>
      </c>
      <c r="I509">
        <v>2035</v>
      </c>
      <c r="J509">
        <v>4.9910999999999994</v>
      </c>
      <c r="K509" t="s">
        <v>35</v>
      </c>
    </row>
    <row r="510" spans="1:11" x14ac:dyDescent="0.45">
      <c r="A510" t="s">
        <v>90</v>
      </c>
      <c r="B510" t="s">
        <v>4</v>
      </c>
      <c r="C510" t="s">
        <v>84</v>
      </c>
      <c r="D510" t="s">
        <v>35</v>
      </c>
      <c r="E510" t="s">
        <v>30</v>
      </c>
      <c r="F510" t="s">
        <v>35</v>
      </c>
      <c r="G510" t="s">
        <v>31</v>
      </c>
      <c r="H510" t="s">
        <v>36</v>
      </c>
      <c r="I510">
        <v>2040</v>
      </c>
      <c r="J510">
        <v>5.2395999999999994</v>
      </c>
      <c r="K510" t="s">
        <v>35</v>
      </c>
    </row>
    <row r="511" spans="1:11" x14ac:dyDescent="0.45">
      <c r="A511" t="s">
        <v>90</v>
      </c>
      <c r="B511" t="s">
        <v>4</v>
      </c>
      <c r="C511" t="s">
        <v>84</v>
      </c>
      <c r="D511" t="s">
        <v>35</v>
      </c>
      <c r="E511" t="s">
        <v>30</v>
      </c>
      <c r="F511" t="s">
        <v>35</v>
      </c>
      <c r="G511" t="s">
        <v>31</v>
      </c>
      <c r="H511" t="s">
        <v>36</v>
      </c>
      <c r="I511">
        <v>2045</v>
      </c>
      <c r="J511">
        <v>5.4906499999999996</v>
      </c>
      <c r="K511" t="s">
        <v>35</v>
      </c>
    </row>
    <row r="512" spans="1:11" x14ac:dyDescent="0.45">
      <c r="A512" t="s">
        <v>90</v>
      </c>
      <c r="B512" t="s">
        <v>4</v>
      </c>
      <c r="C512" t="s">
        <v>84</v>
      </c>
      <c r="D512" t="s">
        <v>35</v>
      </c>
      <c r="E512" t="s">
        <v>30</v>
      </c>
      <c r="F512" t="s">
        <v>35</v>
      </c>
      <c r="G512" t="s">
        <v>31</v>
      </c>
      <c r="H512" t="s">
        <v>36</v>
      </c>
      <c r="I512">
        <v>2050</v>
      </c>
      <c r="J512">
        <v>5.6541999999999994</v>
      </c>
      <c r="K512" t="s">
        <v>35</v>
      </c>
    </row>
    <row r="513" spans="1:11" x14ac:dyDescent="0.45">
      <c r="A513" t="s">
        <v>90</v>
      </c>
      <c r="B513" t="s">
        <v>4</v>
      </c>
      <c r="C513" t="s">
        <v>84</v>
      </c>
      <c r="D513" t="s">
        <v>35</v>
      </c>
      <c r="E513" t="s">
        <v>30</v>
      </c>
      <c r="F513" t="s">
        <v>35</v>
      </c>
      <c r="G513" t="s">
        <v>31</v>
      </c>
      <c r="H513" t="s">
        <v>36</v>
      </c>
      <c r="I513">
        <v>2055</v>
      </c>
      <c r="J513">
        <v>5.6654</v>
      </c>
      <c r="K513" t="s">
        <v>35</v>
      </c>
    </row>
    <row r="514" spans="1:11" x14ac:dyDescent="0.45">
      <c r="A514" t="s">
        <v>90</v>
      </c>
      <c r="B514" t="s">
        <v>4</v>
      </c>
      <c r="C514" t="s">
        <v>84</v>
      </c>
      <c r="D514" t="s">
        <v>35</v>
      </c>
      <c r="E514" t="s">
        <v>30</v>
      </c>
      <c r="F514" t="s">
        <v>35</v>
      </c>
      <c r="G514" t="s">
        <v>31</v>
      </c>
      <c r="H514" t="s">
        <v>36</v>
      </c>
      <c r="I514">
        <v>2060</v>
      </c>
      <c r="J514">
        <v>6.6663999999999994</v>
      </c>
      <c r="K514" t="s">
        <v>35</v>
      </c>
    </row>
    <row r="515" spans="1:11" x14ac:dyDescent="0.45">
      <c r="A515" t="s">
        <v>90</v>
      </c>
      <c r="B515" t="s">
        <v>4</v>
      </c>
      <c r="C515" t="s">
        <v>84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2065</v>
      </c>
      <c r="J515">
        <v>6.5385</v>
      </c>
      <c r="K515" t="s">
        <v>35</v>
      </c>
    </row>
    <row r="516" spans="1:11" x14ac:dyDescent="0.45">
      <c r="A516" t="s">
        <v>90</v>
      </c>
      <c r="B516" t="s">
        <v>4</v>
      </c>
      <c r="C516" t="s">
        <v>84</v>
      </c>
      <c r="D516" t="s">
        <v>35</v>
      </c>
      <c r="E516" t="s">
        <v>30</v>
      </c>
      <c r="F516" t="s">
        <v>35</v>
      </c>
      <c r="G516" t="s">
        <v>31</v>
      </c>
      <c r="H516" t="s">
        <v>36</v>
      </c>
      <c r="I516">
        <v>2070</v>
      </c>
      <c r="J516">
        <v>6.4105500000000006</v>
      </c>
      <c r="K516" t="s">
        <v>35</v>
      </c>
    </row>
    <row r="517" spans="1:11" x14ac:dyDescent="0.45">
      <c r="A517" t="s">
        <v>90</v>
      </c>
      <c r="B517" t="s">
        <v>4</v>
      </c>
      <c r="C517" t="s">
        <v>84</v>
      </c>
      <c r="D517" t="s">
        <v>35</v>
      </c>
      <c r="E517" t="s">
        <v>30</v>
      </c>
      <c r="F517" t="s">
        <v>35</v>
      </c>
      <c r="G517" t="s">
        <v>31</v>
      </c>
      <c r="H517" t="s">
        <v>36</v>
      </c>
      <c r="I517">
        <v>2075</v>
      </c>
      <c r="J517">
        <v>6.6208</v>
      </c>
      <c r="K517" t="s">
        <v>35</v>
      </c>
    </row>
    <row r="518" spans="1:11" x14ac:dyDescent="0.45">
      <c r="A518" t="s">
        <v>90</v>
      </c>
      <c r="B518" t="s">
        <v>4</v>
      </c>
      <c r="C518" t="s">
        <v>84</v>
      </c>
      <c r="D518" t="s">
        <v>35</v>
      </c>
      <c r="E518" t="s">
        <v>30</v>
      </c>
      <c r="F518" t="s">
        <v>35</v>
      </c>
      <c r="G518" t="s">
        <v>31</v>
      </c>
      <c r="H518" t="s">
        <v>36</v>
      </c>
      <c r="I518">
        <v>2080</v>
      </c>
      <c r="J518">
        <v>6.8310500000000003</v>
      </c>
      <c r="K518" t="s">
        <v>35</v>
      </c>
    </row>
    <row r="519" spans="1:11" x14ac:dyDescent="0.45">
      <c r="A519" t="s">
        <v>90</v>
      </c>
      <c r="B519" t="s">
        <v>4</v>
      </c>
      <c r="C519" t="s">
        <v>84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2085</v>
      </c>
      <c r="J519">
        <v>7.0742500000000001</v>
      </c>
      <c r="K519" t="s">
        <v>35</v>
      </c>
    </row>
    <row r="520" spans="1:11" x14ac:dyDescent="0.45">
      <c r="A520" t="s">
        <v>90</v>
      </c>
      <c r="B520" t="s">
        <v>4</v>
      </c>
      <c r="C520" t="s">
        <v>84</v>
      </c>
      <c r="D520" t="s">
        <v>35</v>
      </c>
      <c r="E520" t="s">
        <v>30</v>
      </c>
      <c r="F520" t="s">
        <v>35</v>
      </c>
      <c r="G520" t="s">
        <v>31</v>
      </c>
      <c r="H520" t="s">
        <v>36</v>
      </c>
      <c r="I520">
        <v>2090</v>
      </c>
      <c r="J520">
        <v>7.31745</v>
      </c>
      <c r="K520" t="s">
        <v>35</v>
      </c>
    </row>
    <row r="521" spans="1:11" x14ac:dyDescent="0.45">
      <c r="A521" t="s">
        <v>90</v>
      </c>
      <c r="B521" t="s">
        <v>4</v>
      </c>
      <c r="C521" t="s">
        <v>84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2095</v>
      </c>
      <c r="J521">
        <v>7.4690499999999993</v>
      </c>
      <c r="K521" t="s">
        <v>35</v>
      </c>
    </row>
    <row r="522" spans="1:11" x14ac:dyDescent="0.45">
      <c r="A522" t="s">
        <v>90</v>
      </c>
      <c r="B522" t="s">
        <v>4</v>
      </c>
      <c r="C522" t="s">
        <v>84</v>
      </c>
      <c r="D522" t="s">
        <v>35</v>
      </c>
      <c r="E522" t="s">
        <v>30</v>
      </c>
      <c r="F522" t="s">
        <v>35</v>
      </c>
      <c r="G522" t="s">
        <v>31</v>
      </c>
      <c r="H522" t="s">
        <v>36</v>
      </c>
      <c r="I522">
        <v>2100</v>
      </c>
      <c r="J522">
        <v>7.6207000000000003</v>
      </c>
      <c r="K522" t="s">
        <v>35</v>
      </c>
    </row>
    <row r="523" spans="1:11" x14ac:dyDescent="0.45">
      <c r="A523" t="s">
        <v>90</v>
      </c>
      <c r="B523" t="s">
        <v>4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2020</v>
      </c>
      <c r="J523">
        <v>5.1200000000000002E-2</v>
      </c>
      <c r="K523" t="s">
        <v>85</v>
      </c>
    </row>
    <row r="524" spans="1:11" x14ac:dyDescent="0.45">
      <c r="A524" t="s">
        <v>90</v>
      </c>
      <c r="B524" t="s">
        <v>4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2025</v>
      </c>
      <c r="J524">
        <v>0.30445</v>
      </c>
      <c r="K524" t="s">
        <v>85</v>
      </c>
    </row>
    <row r="525" spans="1:11" x14ac:dyDescent="0.45">
      <c r="A525" t="s">
        <v>90</v>
      </c>
      <c r="B525" t="s">
        <v>4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0.65085000000000004</v>
      </c>
      <c r="K525" t="s">
        <v>85</v>
      </c>
    </row>
    <row r="526" spans="1:11" x14ac:dyDescent="0.45">
      <c r="A526" t="s">
        <v>90</v>
      </c>
      <c r="B526" t="s">
        <v>4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0.95799999999999996</v>
      </c>
      <c r="K526" t="s">
        <v>85</v>
      </c>
    </row>
    <row r="527" spans="1:11" x14ac:dyDescent="0.45">
      <c r="A527" t="s">
        <v>90</v>
      </c>
      <c r="B527" t="s">
        <v>4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2040</v>
      </c>
      <c r="J527">
        <v>1.1911499999999999</v>
      </c>
      <c r="K527" t="s">
        <v>85</v>
      </c>
    </row>
    <row r="528" spans="1:11" x14ac:dyDescent="0.45">
      <c r="A528" t="s">
        <v>90</v>
      </c>
      <c r="B528" t="s">
        <v>4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2045</v>
      </c>
      <c r="J528">
        <v>1.3549500000000001</v>
      </c>
      <c r="K528" t="s">
        <v>85</v>
      </c>
    </row>
    <row r="529" spans="1:12" x14ac:dyDescent="0.45">
      <c r="A529" t="s">
        <v>90</v>
      </c>
      <c r="B529" t="s">
        <v>4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2050</v>
      </c>
      <c r="J529">
        <v>1.4492</v>
      </c>
      <c r="K529" t="s">
        <v>85</v>
      </c>
    </row>
    <row r="530" spans="1:12" x14ac:dyDescent="0.45">
      <c r="A530" t="s">
        <v>90</v>
      </c>
      <c r="B530" t="s">
        <v>4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2055</v>
      </c>
      <c r="J530">
        <v>1.4172</v>
      </c>
      <c r="K530" t="s">
        <v>85</v>
      </c>
    </row>
    <row r="531" spans="1:12" x14ac:dyDescent="0.45">
      <c r="A531" t="s">
        <v>90</v>
      </c>
      <c r="B531" t="s">
        <v>4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2060</v>
      </c>
      <c r="J531">
        <v>1.34795</v>
      </c>
      <c r="K531" t="s">
        <v>85</v>
      </c>
    </row>
    <row r="532" spans="1:12" x14ac:dyDescent="0.45">
      <c r="A532" t="s">
        <v>90</v>
      </c>
      <c r="B532" t="s">
        <v>4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2065</v>
      </c>
      <c r="J532">
        <v>1.3568</v>
      </c>
      <c r="K532" t="s">
        <v>85</v>
      </c>
    </row>
    <row r="533" spans="1:12" x14ac:dyDescent="0.45">
      <c r="A533" t="s">
        <v>90</v>
      </c>
      <c r="B533" t="s">
        <v>4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2070</v>
      </c>
      <c r="J533">
        <v>1.3646</v>
      </c>
      <c r="K533" t="s">
        <v>85</v>
      </c>
    </row>
    <row r="534" spans="1:12" x14ac:dyDescent="0.45">
      <c r="A534" t="s">
        <v>90</v>
      </c>
      <c r="B534" t="s">
        <v>4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2075</v>
      </c>
      <c r="J534">
        <v>1.3191999999999999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2080</v>
      </c>
      <c r="J535">
        <v>1.2701</v>
      </c>
      <c r="K535" t="s">
        <v>85</v>
      </c>
    </row>
    <row r="536" spans="1:12" x14ac:dyDescent="0.45">
      <c r="A536" t="s">
        <v>90</v>
      </c>
      <c r="B536" t="s">
        <v>4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2085</v>
      </c>
      <c r="J536">
        <v>1.3574999999999999</v>
      </c>
      <c r="K536" t="s">
        <v>85</v>
      </c>
    </row>
    <row r="537" spans="1:12" x14ac:dyDescent="0.45">
      <c r="A537" t="s">
        <v>90</v>
      </c>
      <c r="B537" t="s">
        <v>4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2090</v>
      </c>
      <c r="J537">
        <v>1.4447000000000001</v>
      </c>
      <c r="K537" t="s">
        <v>85</v>
      </c>
    </row>
    <row r="538" spans="1:12" x14ac:dyDescent="0.45">
      <c r="A538" t="s">
        <v>90</v>
      </c>
      <c r="B538" t="s">
        <v>4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2095</v>
      </c>
      <c r="J538">
        <v>1.6653500000000001</v>
      </c>
      <c r="K538" t="s">
        <v>85</v>
      </c>
    </row>
    <row r="539" spans="1:12" x14ac:dyDescent="0.45">
      <c r="A539" t="s">
        <v>90</v>
      </c>
      <c r="B539" t="s">
        <v>4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2100</v>
      </c>
      <c r="J539">
        <v>1.8755500000000001</v>
      </c>
      <c r="K539" t="s">
        <v>85</v>
      </c>
    </row>
    <row r="540" spans="1:12" x14ac:dyDescent="0.45">
      <c r="A540" t="s">
        <v>90</v>
      </c>
      <c r="B540" t="s">
        <v>4</v>
      </c>
      <c r="C540" t="s">
        <v>84</v>
      </c>
      <c r="D540" t="s">
        <v>45</v>
      </c>
      <c r="E540" t="s">
        <v>46</v>
      </c>
      <c r="F540" t="s">
        <v>45</v>
      </c>
      <c r="G540" t="s">
        <v>47</v>
      </c>
      <c r="H540" t="s">
        <v>89</v>
      </c>
      <c r="I540">
        <v>2020</v>
      </c>
      <c r="J540">
        <v>0</v>
      </c>
      <c r="K540" t="s">
        <v>45</v>
      </c>
    </row>
    <row r="541" spans="1:12" x14ac:dyDescent="0.45">
      <c r="A541" t="s">
        <v>90</v>
      </c>
      <c r="B541" t="s">
        <v>4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2020</v>
      </c>
      <c r="J541">
        <v>21.447600000000001</v>
      </c>
      <c r="K541" t="s">
        <v>52</v>
      </c>
      <c r="L541">
        <v>94</v>
      </c>
    </row>
    <row r="542" spans="1:12" x14ac:dyDescent="0.45">
      <c r="A542" t="s">
        <v>90</v>
      </c>
      <c r="B542" t="s">
        <v>4</v>
      </c>
      <c r="C542" t="s">
        <v>84</v>
      </c>
      <c r="D542" t="s">
        <v>53</v>
      </c>
      <c r="E542" t="s">
        <v>25</v>
      </c>
      <c r="F542" t="s">
        <v>53</v>
      </c>
      <c r="G542" t="s">
        <v>71</v>
      </c>
      <c r="H542" t="s">
        <v>89</v>
      </c>
      <c r="I542">
        <v>2020</v>
      </c>
      <c r="J542">
        <v>1.6335999999999999</v>
      </c>
      <c r="K542" t="s">
        <v>53</v>
      </c>
      <c r="L542">
        <v>55</v>
      </c>
    </row>
    <row r="543" spans="1:12" x14ac:dyDescent="0.45">
      <c r="A543" t="s">
        <v>90</v>
      </c>
      <c r="B543" t="s">
        <v>4</v>
      </c>
      <c r="C543" t="s">
        <v>84</v>
      </c>
      <c r="D543" t="s">
        <v>54</v>
      </c>
      <c r="E543" t="s">
        <v>25</v>
      </c>
      <c r="F543" t="s">
        <v>54</v>
      </c>
      <c r="G543" t="s">
        <v>71</v>
      </c>
      <c r="H543" t="s">
        <v>89</v>
      </c>
      <c r="I543">
        <v>2020</v>
      </c>
      <c r="J543">
        <v>4.2500000000000003E-2</v>
      </c>
      <c r="K543" t="s">
        <v>54</v>
      </c>
      <c r="L543">
        <v>70</v>
      </c>
    </row>
    <row r="544" spans="1:12" x14ac:dyDescent="0.45">
      <c r="A544" t="s">
        <v>90</v>
      </c>
      <c r="B544" t="s">
        <v>4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2025</v>
      </c>
      <c r="J544">
        <v>0</v>
      </c>
      <c r="K544" t="s">
        <v>45</v>
      </c>
    </row>
    <row r="545" spans="1:12" x14ac:dyDescent="0.45">
      <c r="A545" t="s">
        <v>90</v>
      </c>
      <c r="B545" t="s">
        <v>4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2025</v>
      </c>
      <c r="J545">
        <v>21.2805</v>
      </c>
      <c r="K545" t="s">
        <v>52</v>
      </c>
      <c r="L545">
        <v>94</v>
      </c>
    </row>
    <row r="546" spans="1:12" x14ac:dyDescent="0.45">
      <c r="A546" t="s">
        <v>90</v>
      </c>
      <c r="B546" t="s">
        <v>4</v>
      </c>
      <c r="C546" t="s">
        <v>84</v>
      </c>
      <c r="D546" t="s">
        <v>53</v>
      </c>
      <c r="E546" t="s">
        <v>25</v>
      </c>
      <c r="F546" t="s">
        <v>53</v>
      </c>
      <c r="G546" t="s">
        <v>71</v>
      </c>
      <c r="H546" t="s">
        <v>89</v>
      </c>
      <c r="I546">
        <v>2025</v>
      </c>
      <c r="J546">
        <v>1.9468000000000001</v>
      </c>
      <c r="K546" t="s">
        <v>53</v>
      </c>
      <c r="L546">
        <v>55</v>
      </c>
    </row>
    <row r="547" spans="1:12" x14ac:dyDescent="0.45">
      <c r="A547" t="s">
        <v>90</v>
      </c>
      <c r="B547" t="s">
        <v>4</v>
      </c>
      <c r="C547" t="s">
        <v>84</v>
      </c>
      <c r="D547" t="s">
        <v>54</v>
      </c>
      <c r="E547" t="s">
        <v>25</v>
      </c>
      <c r="F547" t="s">
        <v>54</v>
      </c>
      <c r="G547" t="s">
        <v>71</v>
      </c>
      <c r="H547" t="s">
        <v>89</v>
      </c>
      <c r="I547">
        <v>2025</v>
      </c>
      <c r="J547">
        <v>3.2300000000000002E-2</v>
      </c>
      <c r="K547" t="s">
        <v>54</v>
      </c>
      <c r="L547">
        <v>70</v>
      </c>
    </row>
    <row r="548" spans="1:12" x14ac:dyDescent="0.45">
      <c r="A548" t="s">
        <v>90</v>
      </c>
      <c r="B548" t="s">
        <v>4</v>
      </c>
      <c r="C548" t="s">
        <v>84</v>
      </c>
      <c r="D548" t="s">
        <v>45</v>
      </c>
      <c r="E548" t="s">
        <v>46</v>
      </c>
      <c r="F548" t="s">
        <v>45</v>
      </c>
      <c r="G548" t="s">
        <v>47</v>
      </c>
      <c r="H548" t="s">
        <v>89</v>
      </c>
      <c r="I548">
        <v>2030</v>
      </c>
      <c r="J548">
        <v>0</v>
      </c>
      <c r="K548" t="s">
        <v>45</v>
      </c>
    </row>
    <row r="549" spans="1:12" x14ac:dyDescent="0.45">
      <c r="A549" t="s">
        <v>90</v>
      </c>
      <c r="B549" t="s">
        <v>4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2030</v>
      </c>
      <c r="J549">
        <v>20.122399999999999</v>
      </c>
      <c r="K549" t="s">
        <v>52</v>
      </c>
      <c r="L549">
        <v>94</v>
      </c>
    </row>
    <row r="550" spans="1:12" x14ac:dyDescent="0.45">
      <c r="A550" t="s">
        <v>90</v>
      </c>
      <c r="B550" t="s">
        <v>4</v>
      </c>
      <c r="C550" t="s">
        <v>84</v>
      </c>
      <c r="D550" t="s">
        <v>53</v>
      </c>
      <c r="E550" t="s">
        <v>25</v>
      </c>
      <c r="F550" t="s">
        <v>53</v>
      </c>
      <c r="G550" t="s">
        <v>71</v>
      </c>
      <c r="H550" t="s">
        <v>89</v>
      </c>
      <c r="I550">
        <v>2030</v>
      </c>
      <c r="J550">
        <v>1.8293999999999999</v>
      </c>
      <c r="K550" t="s">
        <v>53</v>
      </c>
      <c r="L550">
        <v>55</v>
      </c>
    </row>
    <row r="551" spans="1:12" x14ac:dyDescent="0.45">
      <c r="A551" t="s">
        <v>90</v>
      </c>
      <c r="B551" t="s">
        <v>4</v>
      </c>
      <c r="C551" t="s">
        <v>84</v>
      </c>
      <c r="D551" t="s">
        <v>54</v>
      </c>
      <c r="E551" t="s">
        <v>25</v>
      </c>
      <c r="F551" t="s">
        <v>54</v>
      </c>
      <c r="G551" t="s">
        <v>71</v>
      </c>
      <c r="H551" t="s">
        <v>89</v>
      </c>
      <c r="I551">
        <v>2030</v>
      </c>
      <c r="J551">
        <v>1.4E-2</v>
      </c>
      <c r="K551" t="s">
        <v>54</v>
      </c>
      <c r="L551">
        <v>70</v>
      </c>
    </row>
    <row r="552" spans="1:12" x14ac:dyDescent="0.45">
      <c r="A552" t="s">
        <v>90</v>
      </c>
      <c r="B552" t="s">
        <v>4</v>
      </c>
      <c r="C552" t="s">
        <v>84</v>
      </c>
      <c r="D552" t="s">
        <v>45</v>
      </c>
      <c r="E552" t="s">
        <v>46</v>
      </c>
      <c r="F552" t="s">
        <v>45</v>
      </c>
      <c r="G552" t="s">
        <v>47</v>
      </c>
      <c r="H552" t="s">
        <v>89</v>
      </c>
      <c r="I552">
        <v>2035</v>
      </c>
      <c r="J552">
        <v>0</v>
      </c>
      <c r="K552" t="s">
        <v>45</v>
      </c>
    </row>
    <row r="553" spans="1:12" x14ac:dyDescent="0.45">
      <c r="A553" t="s">
        <v>90</v>
      </c>
      <c r="B553" t="s">
        <v>4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2035</v>
      </c>
      <c r="J553">
        <v>17.6127</v>
      </c>
      <c r="K553" t="s">
        <v>52</v>
      </c>
      <c r="L553">
        <v>94</v>
      </c>
    </row>
    <row r="554" spans="1:12" x14ac:dyDescent="0.45">
      <c r="A554" t="s">
        <v>90</v>
      </c>
      <c r="B554" t="s">
        <v>4</v>
      </c>
      <c r="C554" t="s">
        <v>84</v>
      </c>
      <c r="D554" t="s">
        <v>53</v>
      </c>
      <c r="E554" t="s">
        <v>25</v>
      </c>
      <c r="F554" t="s">
        <v>53</v>
      </c>
      <c r="G554" t="s">
        <v>71</v>
      </c>
      <c r="H554" t="s">
        <v>89</v>
      </c>
      <c r="I554">
        <v>2035</v>
      </c>
      <c r="J554">
        <v>1.7036</v>
      </c>
      <c r="K554" t="s">
        <v>53</v>
      </c>
      <c r="L554">
        <v>55</v>
      </c>
    </row>
    <row r="555" spans="1:12" x14ac:dyDescent="0.45">
      <c r="A555" t="s">
        <v>90</v>
      </c>
      <c r="B555" t="s">
        <v>4</v>
      </c>
      <c r="C555" t="s">
        <v>84</v>
      </c>
      <c r="D555" t="s">
        <v>54</v>
      </c>
      <c r="E555" t="s">
        <v>25</v>
      </c>
      <c r="F555" t="s">
        <v>54</v>
      </c>
      <c r="G555" t="s">
        <v>71</v>
      </c>
      <c r="H555" t="s">
        <v>89</v>
      </c>
      <c r="I555">
        <v>2035</v>
      </c>
      <c r="J555">
        <v>0</v>
      </c>
      <c r="K555" t="s">
        <v>54</v>
      </c>
      <c r="L555">
        <v>70</v>
      </c>
    </row>
    <row r="556" spans="1:12" x14ac:dyDescent="0.45">
      <c r="A556" t="s">
        <v>90</v>
      </c>
      <c r="B556" t="s">
        <v>4</v>
      </c>
      <c r="C556" t="s">
        <v>84</v>
      </c>
      <c r="D556" t="s">
        <v>45</v>
      </c>
      <c r="E556" t="s">
        <v>46</v>
      </c>
      <c r="F556" t="s">
        <v>45</v>
      </c>
      <c r="G556" t="s">
        <v>47</v>
      </c>
      <c r="H556" t="s">
        <v>89</v>
      </c>
      <c r="I556">
        <v>2040</v>
      </c>
      <c r="J556">
        <v>0</v>
      </c>
      <c r="K556" t="s">
        <v>45</v>
      </c>
    </row>
    <row r="557" spans="1:12" x14ac:dyDescent="0.45">
      <c r="A557" t="s">
        <v>90</v>
      </c>
      <c r="B557" t="s">
        <v>4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2040</v>
      </c>
      <c r="J557">
        <v>13.5587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84</v>
      </c>
      <c r="D558" t="s">
        <v>53</v>
      </c>
      <c r="E558" t="s">
        <v>25</v>
      </c>
      <c r="F558" t="s">
        <v>53</v>
      </c>
      <c r="G558" t="s">
        <v>71</v>
      </c>
      <c r="H558" t="s">
        <v>89</v>
      </c>
      <c r="I558">
        <v>2040</v>
      </c>
      <c r="J558">
        <v>1.3097000000000001</v>
      </c>
      <c r="K558" t="s">
        <v>53</v>
      </c>
      <c r="L558">
        <v>55</v>
      </c>
    </row>
    <row r="559" spans="1:12" x14ac:dyDescent="0.45">
      <c r="A559" t="s">
        <v>90</v>
      </c>
      <c r="B559" t="s">
        <v>4</v>
      </c>
      <c r="C559" t="s">
        <v>84</v>
      </c>
      <c r="D559" t="s">
        <v>54</v>
      </c>
      <c r="E559" t="s">
        <v>25</v>
      </c>
      <c r="F559" t="s">
        <v>54</v>
      </c>
      <c r="G559" t="s">
        <v>71</v>
      </c>
      <c r="H559" t="s">
        <v>89</v>
      </c>
      <c r="I559">
        <v>2040</v>
      </c>
      <c r="J559">
        <v>0</v>
      </c>
      <c r="K559" t="s">
        <v>54</v>
      </c>
      <c r="L559">
        <v>70</v>
      </c>
    </row>
    <row r="560" spans="1:12" x14ac:dyDescent="0.45">
      <c r="A560" t="s">
        <v>90</v>
      </c>
      <c r="B560" t="s">
        <v>4</v>
      </c>
      <c r="C560" t="s">
        <v>84</v>
      </c>
      <c r="D560" t="s">
        <v>45</v>
      </c>
      <c r="E560" t="s">
        <v>46</v>
      </c>
      <c r="F560" t="s">
        <v>45</v>
      </c>
      <c r="G560" t="s">
        <v>47</v>
      </c>
      <c r="H560" t="s">
        <v>89</v>
      </c>
      <c r="I560">
        <v>2045</v>
      </c>
      <c r="J560">
        <v>0</v>
      </c>
      <c r="K560" t="s">
        <v>45</v>
      </c>
    </row>
    <row r="561" spans="1:12" x14ac:dyDescent="0.45">
      <c r="A561" t="s">
        <v>90</v>
      </c>
      <c r="B561" t="s">
        <v>4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2045</v>
      </c>
      <c r="J561">
        <v>8.7264999999999997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84</v>
      </c>
      <c r="D562" t="s">
        <v>53</v>
      </c>
      <c r="E562" t="s">
        <v>25</v>
      </c>
      <c r="F562" t="s">
        <v>53</v>
      </c>
      <c r="G562" t="s">
        <v>71</v>
      </c>
      <c r="H562" t="s">
        <v>89</v>
      </c>
      <c r="I562">
        <v>2045</v>
      </c>
      <c r="J562">
        <v>0.94850000000000001</v>
      </c>
      <c r="K562" t="s">
        <v>53</v>
      </c>
      <c r="L562">
        <v>55</v>
      </c>
    </row>
    <row r="563" spans="1:12" x14ac:dyDescent="0.45">
      <c r="A563" t="s">
        <v>90</v>
      </c>
      <c r="B563" t="s">
        <v>4</v>
      </c>
      <c r="C563" t="s">
        <v>84</v>
      </c>
      <c r="D563" t="s">
        <v>54</v>
      </c>
      <c r="E563" t="s">
        <v>25</v>
      </c>
      <c r="F563" t="s">
        <v>54</v>
      </c>
      <c r="G563" t="s">
        <v>71</v>
      </c>
      <c r="H563" t="s">
        <v>89</v>
      </c>
      <c r="I563">
        <v>2045</v>
      </c>
      <c r="J563">
        <v>0</v>
      </c>
      <c r="K563" t="s">
        <v>54</v>
      </c>
      <c r="L563">
        <v>70</v>
      </c>
    </row>
    <row r="564" spans="1:12" x14ac:dyDescent="0.45">
      <c r="A564" t="s">
        <v>90</v>
      </c>
      <c r="B564" t="s">
        <v>4</v>
      </c>
      <c r="C564" t="s">
        <v>84</v>
      </c>
      <c r="D564" t="s">
        <v>45</v>
      </c>
      <c r="E564" t="s">
        <v>46</v>
      </c>
      <c r="F564" t="s">
        <v>45</v>
      </c>
      <c r="G564" t="s">
        <v>47</v>
      </c>
      <c r="H564" t="s">
        <v>89</v>
      </c>
      <c r="I564">
        <v>2050</v>
      </c>
      <c r="J564">
        <v>0</v>
      </c>
      <c r="K564" t="s">
        <v>45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2050</v>
      </c>
      <c r="J565">
        <v>4.3483999999999998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53</v>
      </c>
      <c r="E566" t="s">
        <v>25</v>
      </c>
      <c r="F566" t="s">
        <v>53</v>
      </c>
      <c r="G566" t="s">
        <v>71</v>
      </c>
      <c r="H566" t="s">
        <v>89</v>
      </c>
      <c r="I566">
        <v>2050</v>
      </c>
      <c r="J566">
        <v>0.74260000000000004</v>
      </c>
      <c r="K566" t="s">
        <v>53</v>
      </c>
      <c r="L566">
        <v>55</v>
      </c>
    </row>
    <row r="567" spans="1:12" x14ac:dyDescent="0.45">
      <c r="A567" t="s">
        <v>90</v>
      </c>
      <c r="B567" t="s">
        <v>4</v>
      </c>
      <c r="C567" t="s">
        <v>84</v>
      </c>
      <c r="D567" t="s">
        <v>54</v>
      </c>
      <c r="E567" t="s">
        <v>25</v>
      </c>
      <c r="F567" t="s">
        <v>54</v>
      </c>
      <c r="G567" t="s">
        <v>71</v>
      </c>
      <c r="H567" t="s">
        <v>89</v>
      </c>
      <c r="I567">
        <v>2050</v>
      </c>
      <c r="J567">
        <v>0</v>
      </c>
      <c r="K567" t="s">
        <v>54</v>
      </c>
      <c r="L567">
        <v>70</v>
      </c>
    </row>
    <row r="568" spans="1:12" x14ac:dyDescent="0.45">
      <c r="A568" t="s">
        <v>90</v>
      </c>
      <c r="B568" t="s">
        <v>4</v>
      </c>
      <c r="C568" t="s">
        <v>84</v>
      </c>
      <c r="D568" t="s">
        <v>45</v>
      </c>
      <c r="E568" t="s">
        <v>46</v>
      </c>
      <c r="F568" t="s">
        <v>45</v>
      </c>
      <c r="G568" t="s">
        <v>47</v>
      </c>
      <c r="H568" t="s">
        <v>89</v>
      </c>
      <c r="I568">
        <v>2055</v>
      </c>
      <c r="J568">
        <v>0</v>
      </c>
      <c r="K568" t="s">
        <v>45</v>
      </c>
    </row>
    <row r="569" spans="1:12" x14ac:dyDescent="0.45">
      <c r="A569" t="s">
        <v>90</v>
      </c>
      <c r="B569" t="s">
        <v>4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2055</v>
      </c>
      <c r="J569">
        <v>2.8459000000000003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53</v>
      </c>
      <c r="E570" t="s">
        <v>25</v>
      </c>
      <c r="F570" t="s">
        <v>53</v>
      </c>
      <c r="G570" t="s">
        <v>71</v>
      </c>
      <c r="H570" t="s">
        <v>89</v>
      </c>
      <c r="I570">
        <v>2055</v>
      </c>
      <c r="J570">
        <v>0.56065000000000009</v>
      </c>
      <c r="K570" t="s">
        <v>53</v>
      </c>
      <c r="L570">
        <v>55</v>
      </c>
    </row>
    <row r="571" spans="1:12" x14ac:dyDescent="0.45">
      <c r="A571" t="s">
        <v>90</v>
      </c>
      <c r="B571" t="s">
        <v>4</v>
      </c>
      <c r="C571" t="s">
        <v>84</v>
      </c>
      <c r="D571" t="s">
        <v>54</v>
      </c>
      <c r="E571" t="s">
        <v>25</v>
      </c>
      <c r="F571" t="s">
        <v>54</v>
      </c>
      <c r="G571" t="s">
        <v>71</v>
      </c>
      <c r="H571" t="s">
        <v>89</v>
      </c>
      <c r="I571">
        <v>2055</v>
      </c>
      <c r="J571">
        <v>0</v>
      </c>
      <c r="K571" t="s">
        <v>54</v>
      </c>
      <c r="L571">
        <v>70</v>
      </c>
    </row>
    <row r="572" spans="1:12" x14ac:dyDescent="0.45">
      <c r="A572" t="s">
        <v>90</v>
      </c>
      <c r="B572" t="s">
        <v>4</v>
      </c>
      <c r="C572" t="s">
        <v>84</v>
      </c>
      <c r="D572" t="s">
        <v>45</v>
      </c>
      <c r="E572" t="s">
        <v>46</v>
      </c>
      <c r="F572" t="s">
        <v>45</v>
      </c>
      <c r="G572" t="s">
        <v>47</v>
      </c>
      <c r="H572" t="s">
        <v>89</v>
      </c>
      <c r="I572">
        <v>2060</v>
      </c>
      <c r="J572">
        <v>0</v>
      </c>
      <c r="K572" t="s">
        <v>45</v>
      </c>
    </row>
    <row r="573" spans="1:12" x14ac:dyDescent="0.45">
      <c r="A573" t="s">
        <v>90</v>
      </c>
      <c r="B573" t="s">
        <v>4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2060</v>
      </c>
      <c r="J573">
        <v>0.46614999999999995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2060</v>
      </c>
      <c r="J574">
        <v>0.3705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84</v>
      </c>
      <c r="D575" t="s">
        <v>54</v>
      </c>
      <c r="E575" t="s">
        <v>25</v>
      </c>
      <c r="F575" t="s">
        <v>54</v>
      </c>
      <c r="G575" t="s">
        <v>71</v>
      </c>
      <c r="H575" t="s">
        <v>89</v>
      </c>
      <c r="I575">
        <v>2060</v>
      </c>
      <c r="J575">
        <v>0</v>
      </c>
      <c r="K575" t="s">
        <v>54</v>
      </c>
      <c r="L575">
        <v>70</v>
      </c>
    </row>
    <row r="576" spans="1:12" x14ac:dyDescent="0.45">
      <c r="A576" t="s">
        <v>90</v>
      </c>
      <c r="B576" t="s">
        <v>4</v>
      </c>
      <c r="C576" t="s">
        <v>84</v>
      </c>
      <c r="D576" t="s">
        <v>45</v>
      </c>
      <c r="E576" t="s">
        <v>46</v>
      </c>
      <c r="F576" t="s">
        <v>45</v>
      </c>
      <c r="G576" t="s">
        <v>47</v>
      </c>
      <c r="H576" t="s">
        <v>89</v>
      </c>
      <c r="I576">
        <v>2065</v>
      </c>
      <c r="J576">
        <v>0</v>
      </c>
      <c r="K576" t="s">
        <v>45</v>
      </c>
    </row>
    <row r="577" spans="1:12" x14ac:dyDescent="0.45">
      <c r="A577" t="s">
        <v>90</v>
      </c>
      <c r="B577" t="s">
        <v>4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2065</v>
      </c>
      <c r="J577">
        <v>0.37359999999999999</v>
      </c>
      <c r="K577" t="s">
        <v>52</v>
      </c>
      <c r="L577">
        <v>94</v>
      </c>
    </row>
    <row r="578" spans="1:12" x14ac:dyDescent="0.45">
      <c r="A578" t="s">
        <v>90</v>
      </c>
      <c r="B578" t="s">
        <v>4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2065</v>
      </c>
      <c r="J578">
        <v>0.31915000000000004</v>
      </c>
      <c r="K578" t="s">
        <v>53</v>
      </c>
      <c r="L578">
        <v>55</v>
      </c>
    </row>
    <row r="579" spans="1:12" x14ac:dyDescent="0.45">
      <c r="A579" t="s">
        <v>90</v>
      </c>
      <c r="B579" t="s">
        <v>4</v>
      </c>
      <c r="C579" t="s">
        <v>84</v>
      </c>
      <c r="D579" t="s">
        <v>54</v>
      </c>
      <c r="E579" t="s">
        <v>25</v>
      </c>
      <c r="F579" t="s">
        <v>54</v>
      </c>
      <c r="G579" t="s">
        <v>71</v>
      </c>
      <c r="H579" t="s">
        <v>89</v>
      </c>
      <c r="I579">
        <v>2065</v>
      </c>
      <c r="J579">
        <v>0</v>
      </c>
      <c r="K579" t="s">
        <v>54</v>
      </c>
      <c r="L579">
        <v>70</v>
      </c>
    </row>
    <row r="580" spans="1:12" x14ac:dyDescent="0.45">
      <c r="A580" t="s">
        <v>90</v>
      </c>
      <c r="B580" t="s">
        <v>4</v>
      </c>
      <c r="C580" t="s">
        <v>84</v>
      </c>
      <c r="D580" t="s">
        <v>45</v>
      </c>
      <c r="E580" t="s">
        <v>46</v>
      </c>
      <c r="F580" t="s">
        <v>45</v>
      </c>
      <c r="G580" t="s">
        <v>47</v>
      </c>
      <c r="H580" t="s">
        <v>89</v>
      </c>
      <c r="I580">
        <v>2070</v>
      </c>
      <c r="J580">
        <v>0</v>
      </c>
      <c r="K580" t="s">
        <v>45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2070</v>
      </c>
      <c r="J581">
        <v>0.28110000000000002</v>
      </c>
      <c r="K581" t="s">
        <v>52</v>
      </c>
      <c r="L581">
        <v>94</v>
      </c>
    </row>
    <row r="582" spans="1:12" x14ac:dyDescent="0.45">
      <c r="A582" t="s">
        <v>90</v>
      </c>
      <c r="B582" t="s">
        <v>4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2070</v>
      </c>
      <c r="J582">
        <v>0.26780000000000004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84</v>
      </c>
      <c r="D583" t="s">
        <v>54</v>
      </c>
      <c r="E583" t="s">
        <v>25</v>
      </c>
      <c r="F583" t="s">
        <v>54</v>
      </c>
      <c r="G583" t="s">
        <v>71</v>
      </c>
      <c r="H583" t="s">
        <v>89</v>
      </c>
      <c r="I583">
        <v>2070</v>
      </c>
      <c r="J583">
        <v>0</v>
      </c>
      <c r="K583" t="s">
        <v>54</v>
      </c>
      <c r="L583">
        <v>70</v>
      </c>
    </row>
    <row r="584" spans="1:12" x14ac:dyDescent="0.45">
      <c r="A584" t="s">
        <v>90</v>
      </c>
      <c r="B584" t="s">
        <v>4</v>
      </c>
      <c r="C584" t="s">
        <v>84</v>
      </c>
      <c r="D584" t="s">
        <v>45</v>
      </c>
      <c r="E584" t="s">
        <v>46</v>
      </c>
      <c r="F584" t="s">
        <v>45</v>
      </c>
      <c r="G584" t="s">
        <v>47</v>
      </c>
      <c r="H584" t="s">
        <v>89</v>
      </c>
      <c r="I584">
        <v>2075</v>
      </c>
      <c r="J584">
        <v>0</v>
      </c>
      <c r="K584" t="s">
        <v>45</v>
      </c>
    </row>
    <row r="585" spans="1:12" x14ac:dyDescent="0.45">
      <c r="A585" t="s">
        <v>90</v>
      </c>
      <c r="B585" t="s">
        <v>4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0.17204999999999998</v>
      </c>
      <c r="K585" t="s">
        <v>52</v>
      </c>
      <c r="L585">
        <v>94</v>
      </c>
    </row>
    <row r="586" spans="1:12" x14ac:dyDescent="0.45">
      <c r="A586" t="s">
        <v>90</v>
      </c>
      <c r="B586" t="s">
        <v>4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2075</v>
      </c>
      <c r="J586">
        <v>0.26139999999999997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84</v>
      </c>
      <c r="D587" t="s">
        <v>54</v>
      </c>
      <c r="E587" t="s">
        <v>25</v>
      </c>
      <c r="F587" t="s">
        <v>54</v>
      </c>
      <c r="G587" t="s">
        <v>71</v>
      </c>
      <c r="H587" t="s">
        <v>89</v>
      </c>
      <c r="I587">
        <v>2075</v>
      </c>
      <c r="J587">
        <v>0</v>
      </c>
      <c r="K587" t="s">
        <v>54</v>
      </c>
      <c r="L587">
        <v>70</v>
      </c>
    </row>
    <row r="588" spans="1:12" x14ac:dyDescent="0.45">
      <c r="A588" t="s">
        <v>90</v>
      </c>
      <c r="B588" t="s">
        <v>4</v>
      </c>
      <c r="C588" t="s">
        <v>84</v>
      </c>
      <c r="D588" t="s">
        <v>45</v>
      </c>
      <c r="E588" t="s">
        <v>46</v>
      </c>
      <c r="F588" t="s">
        <v>45</v>
      </c>
      <c r="G588" t="s">
        <v>47</v>
      </c>
      <c r="H588" t="s">
        <v>89</v>
      </c>
      <c r="I588">
        <v>2080</v>
      </c>
      <c r="J588">
        <v>0</v>
      </c>
      <c r="K588" t="s">
        <v>45</v>
      </c>
    </row>
    <row r="589" spans="1:12" x14ac:dyDescent="0.45">
      <c r="A589" t="s">
        <v>90</v>
      </c>
      <c r="B589" t="s">
        <v>4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2080</v>
      </c>
      <c r="J589">
        <v>2.5049999999999999E-2</v>
      </c>
      <c r="K589" t="s">
        <v>52</v>
      </c>
      <c r="L589">
        <v>94</v>
      </c>
    </row>
    <row r="590" spans="1:12" x14ac:dyDescent="0.45">
      <c r="A590" t="s">
        <v>90</v>
      </c>
      <c r="B590" t="s">
        <v>4</v>
      </c>
      <c r="C590" t="s">
        <v>84</v>
      </c>
      <c r="D590" t="s">
        <v>53</v>
      </c>
      <c r="E590" t="s">
        <v>25</v>
      </c>
      <c r="F590" t="s">
        <v>53</v>
      </c>
      <c r="G590" t="s">
        <v>71</v>
      </c>
      <c r="H590" t="s">
        <v>89</v>
      </c>
      <c r="I590">
        <v>2080</v>
      </c>
      <c r="J590">
        <v>0.25540000000000002</v>
      </c>
      <c r="K590" t="s">
        <v>53</v>
      </c>
      <c r="L590">
        <v>55</v>
      </c>
    </row>
    <row r="591" spans="1:12" x14ac:dyDescent="0.45">
      <c r="A591" t="s">
        <v>90</v>
      </c>
      <c r="B591" t="s">
        <v>4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2080</v>
      </c>
      <c r="J591">
        <v>0</v>
      </c>
      <c r="K591" t="s">
        <v>54</v>
      </c>
      <c r="L591">
        <v>70</v>
      </c>
    </row>
    <row r="592" spans="1:12" x14ac:dyDescent="0.45">
      <c r="A592" t="s">
        <v>90</v>
      </c>
      <c r="B592" t="s">
        <v>4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H592" t="s">
        <v>89</v>
      </c>
      <c r="I592">
        <v>2085</v>
      </c>
      <c r="J592">
        <v>0</v>
      </c>
      <c r="K592" t="s">
        <v>45</v>
      </c>
    </row>
    <row r="593" spans="1:12" x14ac:dyDescent="0.45">
      <c r="A593" t="s">
        <v>90</v>
      </c>
      <c r="B593" t="s">
        <v>4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2085</v>
      </c>
      <c r="J593">
        <v>1.14E-2</v>
      </c>
      <c r="K593" t="s">
        <v>52</v>
      </c>
      <c r="L593">
        <v>94</v>
      </c>
    </row>
    <row r="594" spans="1:12" x14ac:dyDescent="0.45">
      <c r="A594" t="s">
        <v>90</v>
      </c>
      <c r="B594" t="s">
        <v>4</v>
      </c>
      <c r="C594" t="s">
        <v>84</v>
      </c>
      <c r="D594" t="s">
        <v>53</v>
      </c>
      <c r="E594" t="s">
        <v>25</v>
      </c>
      <c r="F594" t="s">
        <v>53</v>
      </c>
      <c r="G594" t="s">
        <v>71</v>
      </c>
      <c r="H594" t="s">
        <v>89</v>
      </c>
      <c r="I594">
        <v>2085</v>
      </c>
      <c r="J594">
        <v>0.24545</v>
      </c>
      <c r="K594" t="s">
        <v>53</v>
      </c>
      <c r="L594">
        <v>55</v>
      </c>
    </row>
    <row r="595" spans="1:12" x14ac:dyDescent="0.45">
      <c r="A595" t="s">
        <v>90</v>
      </c>
      <c r="B595" t="s">
        <v>4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2085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H596" t="s">
        <v>89</v>
      </c>
      <c r="I596">
        <v>2090</v>
      </c>
      <c r="J596">
        <v>0</v>
      </c>
      <c r="K596" t="s">
        <v>45</v>
      </c>
    </row>
    <row r="597" spans="1:12" x14ac:dyDescent="0.45">
      <c r="A597" t="s">
        <v>90</v>
      </c>
      <c r="B597" t="s">
        <v>4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2090</v>
      </c>
      <c r="J597">
        <v>1E-4</v>
      </c>
      <c r="K597" t="s">
        <v>52</v>
      </c>
      <c r="L597">
        <v>94</v>
      </c>
    </row>
    <row r="598" spans="1:12" x14ac:dyDescent="0.45">
      <c r="A598" t="s">
        <v>90</v>
      </c>
      <c r="B598" t="s">
        <v>4</v>
      </c>
      <c r="C598" t="s">
        <v>84</v>
      </c>
      <c r="D598" t="s">
        <v>53</v>
      </c>
      <c r="E598" t="s">
        <v>25</v>
      </c>
      <c r="F598" t="s">
        <v>53</v>
      </c>
      <c r="G598" t="s">
        <v>71</v>
      </c>
      <c r="H598" t="s">
        <v>89</v>
      </c>
      <c r="I598">
        <v>2090</v>
      </c>
      <c r="J598">
        <v>0.23554999999999998</v>
      </c>
      <c r="K598" t="s">
        <v>53</v>
      </c>
      <c r="L598">
        <v>55</v>
      </c>
    </row>
    <row r="599" spans="1:12" x14ac:dyDescent="0.45">
      <c r="A599" t="s">
        <v>90</v>
      </c>
      <c r="B599" t="s">
        <v>4</v>
      </c>
      <c r="C599" t="s">
        <v>84</v>
      </c>
      <c r="D599" t="s">
        <v>54</v>
      </c>
      <c r="E599" t="s">
        <v>25</v>
      </c>
      <c r="F599" t="s">
        <v>54</v>
      </c>
      <c r="G599" t="s">
        <v>71</v>
      </c>
      <c r="H599" t="s">
        <v>89</v>
      </c>
      <c r="I599">
        <v>2090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4</v>
      </c>
      <c r="C600" t="s">
        <v>84</v>
      </c>
      <c r="D600" t="s">
        <v>45</v>
      </c>
      <c r="E600" t="s">
        <v>46</v>
      </c>
      <c r="F600" t="s">
        <v>45</v>
      </c>
      <c r="G600" t="s">
        <v>47</v>
      </c>
      <c r="H600" t="s">
        <v>89</v>
      </c>
      <c r="I600">
        <v>2095</v>
      </c>
      <c r="J600">
        <v>0</v>
      </c>
      <c r="K600" t="s">
        <v>45</v>
      </c>
    </row>
    <row r="601" spans="1:12" x14ac:dyDescent="0.45">
      <c r="A601" t="s">
        <v>90</v>
      </c>
      <c r="B601" t="s">
        <v>4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2095</v>
      </c>
      <c r="J601">
        <v>4.0000000000000002E-4</v>
      </c>
      <c r="K601" t="s">
        <v>52</v>
      </c>
      <c r="L601">
        <v>94</v>
      </c>
    </row>
    <row r="602" spans="1:12" x14ac:dyDescent="0.45">
      <c r="A602" t="s">
        <v>90</v>
      </c>
      <c r="B602" t="s">
        <v>4</v>
      </c>
      <c r="C602" t="s">
        <v>84</v>
      </c>
      <c r="D602" t="s">
        <v>53</v>
      </c>
      <c r="E602" t="s">
        <v>25</v>
      </c>
      <c r="F602" t="s">
        <v>53</v>
      </c>
      <c r="G602" t="s">
        <v>71</v>
      </c>
      <c r="H602" t="s">
        <v>89</v>
      </c>
      <c r="I602">
        <v>2095</v>
      </c>
      <c r="J602">
        <v>0.21149999999999999</v>
      </c>
      <c r="K602" t="s">
        <v>53</v>
      </c>
      <c r="L602">
        <v>55</v>
      </c>
    </row>
    <row r="603" spans="1:12" x14ac:dyDescent="0.45">
      <c r="A603" t="s">
        <v>90</v>
      </c>
      <c r="B603" t="s">
        <v>4</v>
      </c>
      <c r="C603" t="s">
        <v>84</v>
      </c>
      <c r="D603" t="s">
        <v>54</v>
      </c>
      <c r="E603" t="s">
        <v>25</v>
      </c>
      <c r="F603" t="s">
        <v>54</v>
      </c>
      <c r="G603" t="s">
        <v>71</v>
      </c>
      <c r="H603" t="s">
        <v>89</v>
      </c>
      <c r="I603">
        <v>2095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4</v>
      </c>
      <c r="C604" t="s">
        <v>84</v>
      </c>
      <c r="D604" t="s">
        <v>45</v>
      </c>
      <c r="E604" t="s">
        <v>46</v>
      </c>
      <c r="F604" t="s">
        <v>45</v>
      </c>
      <c r="G604" t="s">
        <v>47</v>
      </c>
      <c r="H604" t="s">
        <v>89</v>
      </c>
      <c r="I604">
        <v>2100</v>
      </c>
      <c r="J604">
        <v>0</v>
      </c>
      <c r="K604" t="s">
        <v>45</v>
      </c>
    </row>
    <row r="605" spans="1:12" x14ac:dyDescent="0.45">
      <c r="A605" t="s">
        <v>90</v>
      </c>
      <c r="B605" t="s">
        <v>4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2100</v>
      </c>
      <c r="J605">
        <v>6.9999999999999999E-4</v>
      </c>
      <c r="K605" t="s">
        <v>52</v>
      </c>
      <c r="L605">
        <v>94</v>
      </c>
    </row>
    <row r="606" spans="1:12" x14ac:dyDescent="0.45">
      <c r="A606" t="s">
        <v>90</v>
      </c>
      <c r="B606" t="s">
        <v>4</v>
      </c>
      <c r="C606" t="s">
        <v>84</v>
      </c>
      <c r="D606" t="s">
        <v>53</v>
      </c>
      <c r="E606" t="s">
        <v>25</v>
      </c>
      <c r="F606" t="s">
        <v>53</v>
      </c>
      <c r="G606" t="s">
        <v>71</v>
      </c>
      <c r="H606" t="s">
        <v>89</v>
      </c>
      <c r="I606">
        <v>2100</v>
      </c>
      <c r="J606">
        <v>0.1875</v>
      </c>
      <c r="K606" t="s">
        <v>53</v>
      </c>
      <c r="L606">
        <v>55</v>
      </c>
    </row>
    <row r="607" spans="1:12" x14ac:dyDescent="0.45">
      <c r="A607" t="s">
        <v>90</v>
      </c>
      <c r="B607" t="s">
        <v>4</v>
      </c>
      <c r="C607" t="s">
        <v>84</v>
      </c>
      <c r="D607" t="s">
        <v>54</v>
      </c>
      <c r="E607" t="s">
        <v>25</v>
      </c>
      <c r="F607" t="s">
        <v>54</v>
      </c>
      <c r="G607" t="s">
        <v>71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2020</v>
      </c>
      <c r="J608">
        <v>79.124200000000002</v>
      </c>
      <c r="K608" t="s">
        <v>37</v>
      </c>
    </row>
    <row r="609" spans="1:11" x14ac:dyDescent="0.45">
      <c r="A609" t="s">
        <v>90</v>
      </c>
      <c r="B609" t="s">
        <v>4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2025</v>
      </c>
      <c r="J609">
        <v>82.617149999999995</v>
      </c>
      <c r="K609" t="s">
        <v>37</v>
      </c>
    </row>
    <row r="610" spans="1:11" x14ac:dyDescent="0.45">
      <c r="A610" t="s">
        <v>90</v>
      </c>
      <c r="B610" t="s">
        <v>4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2030</v>
      </c>
      <c r="J610">
        <v>86.955299999999994</v>
      </c>
      <c r="K610" t="s">
        <v>37</v>
      </c>
    </row>
    <row r="611" spans="1:11" x14ac:dyDescent="0.45">
      <c r="A611" t="s">
        <v>90</v>
      </c>
      <c r="B611" t="s">
        <v>4</v>
      </c>
      <c r="C611" t="s">
        <v>84</v>
      </c>
      <c r="D611" t="s">
        <v>37</v>
      </c>
      <c r="E611" t="s">
        <v>30</v>
      </c>
      <c r="F611" t="s">
        <v>37</v>
      </c>
      <c r="G611" t="s">
        <v>31</v>
      </c>
      <c r="H611" t="s">
        <v>38</v>
      </c>
      <c r="I611">
        <v>2035</v>
      </c>
      <c r="J611">
        <v>87.877849999999995</v>
      </c>
      <c r="K611" t="s">
        <v>37</v>
      </c>
    </row>
    <row r="612" spans="1:11" x14ac:dyDescent="0.45">
      <c r="A612" t="s">
        <v>90</v>
      </c>
      <c r="B612" t="s">
        <v>4</v>
      </c>
      <c r="C612" t="s">
        <v>84</v>
      </c>
      <c r="D612" t="s">
        <v>37</v>
      </c>
      <c r="E612" t="s">
        <v>30</v>
      </c>
      <c r="F612" t="s">
        <v>37</v>
      </c>
      <c r="G612" t="s">
        <v>31</v>
      </c>
      <c r="H612" t="s">
        <v>38</v>
      </c>
      <c r="I612">
        <v>2040</v>
      </c>
      <c r="J612">
        <v>95.349150000000009</v>
      </c>
      <c r="K612" t="s">
        <v>37</v>
      </c>
    </row>
    <row r="613" spans="1:11" x14ac:dyDescent="0.45">
      <c r="A613" t="s">
        <v>90</v>
      </c>
      <c r="B613" t="s">
        <v>4</v>
      </c>
      <c r="C613" t="s">
        <v>84</v>
      </c>
      <c r="D613" t="s">
        <v>37</v>
      </c>
      <c r="E613" t="s">
        <v>30</v>
      </c>
      <c r="F613" t="s">
        <v>37</v>
      </c>
      <c r="G613" t="s">
        <v>31</v>
      </c>
      <c r="H613" t="s">
        <v>38</v>
      </c>
      <c r="I613">
        <v>2045</v>
      </c>
      <c r="J613">
        <v>107.2422</v>
      </c>
      <c r="K613" t="s">
        <v>37</v>
      </c>
    </row>
    <row r="614" spans="1:11" x14ac:dyDescent="0.45">
      <c r="A614" t="s">
        <v>90</v>
      </c>
      <c r="B614" t="s">
        <v>4</v>
      </c>
      <c r="C614" t="s">
        <v>84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2050</v>
      </c>
      <c r="J614">
        <v>129.72190000000001</v>
      </c>
      <c r="K614" t="s">
        <v>37</v>
      </c>
    </row>
    <row r="615" spans="1:11" x14ac:dyDescent="0.45">
      <c r="A615" t="s">
        <v>90</v>
      </c>
      <c r="B615" t="s">
        <v>4</v>
      </c>
      <c r="C615" t="s">
        <v>84</v>
      </c>
      <c r="D615" t="s">
        <v>37</v>
      </c>
      <c r="E615" t="s">
        <v>30</v>
      </c>
      <c r="F615" t="s">
        <v>37</v>
      </c>
      <c r="G615" t="s">
        <v>31</v>
      </c>
      <c r="H615" t="s">
        <v>38</v>
      </c>
      <c r="I615">
        <v>2055</v>
      </c>
      <c r="J615">
        <v>124.49015</v>
      </c>
      <c r="K615" t="s">
        <v>37</v>
      </c>
    </row>
    <row r="616" spans="1:11" x14ac:dyDescent="0.45">
      <c r="A616" t="s">
        <v>90</v>
      </c>
      <c r="B616" t="s">
        <v>4</v>
      </c>
      <c r="C616" t="s">
        <v>84</v>
      </c>
      <c r="D616" t="s">
        <v>37</v>
      </c>
      <c r="E616" t="s">
        <v>30</v>
      </c>
      <c r="F616" t="s">
        <v>37</v>
      </c>
      <c r="G616" t="s">
        <v>31</v>
      </c>
      <c r="H616" t="s">
        <v>38</v>
      </c>
      <c r="I616">
        <v>2060</v>
      </c>
      <c r="J616">
        <v>201.94055</v>
      </c>
      <c r="K616" t="s">
        <v>37</v>
      </c>
    </row>
    <row r="617" spans="1:11" x14ac:dyDescent="0.45">
      <c r="A617" t="s">
        <v>90</v>
      </c>
      <c r="B617" t="s">
        <v>4</v>
      </c>
      <c r="C617" t="s">
        <v>84</v>
      </c>
      <c r="D617" t="s">
        <v>37</v>
      </c>
      <c r="E617" t="s">
        <v>30</v>
      </c>
      <c r="F617" t="s">
        <v>37</v>
      </c>
      <c r="G617" t="s">
        <v>31</v>
      </c>
      <c r="H617" t="s">
        <v>38</v>
      </c>
      <c r="I617">
        <v>2065</v>
      </c>
      <c r="J617">
        <v>241.46960000000001</v>
      </c>
      <c r="K617" t="s">
        <v>37</v>
      </c>
    </row>
    <row r="618" spans="1:11" x14ac:dyDescent="0.45">
      <c r="A618" t="s">
        <v>90</v>
      </c>
      <c r="B618" t="s">
        <v>4</v>
      </c>
      <c r="C618" t="s">
        <v>84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2070</v>
      </c>
      <c r="J618">
        <v>280.99869999999999</v>
      </c>
      <c r="K618" t="s">
        <v>37</v>
      </c>
    </row>
    <row r="619" spans="1:11" x14ac:dyDescent="0.45">
      <c r="A619" t="s">
        <v>90</v>
      </c>
      <c r="B619" t="s">
        <v>4</v>
      </c>
      <c r="C619" t="s">
        <v>84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2075</v>
      </c>
      <c r="J619">
        <v>283.70349999999996</v>
      </c>
      <c r="K619" t="s">
        <v>37</v>
      </c>
    </row>
    <row r="620" spans="1:11" x14ac:dyDescent="0.45">
      <c r="A620" t="s">
        <v>90</v>
      </c>
      <c r="B620" t="s">
        <v>4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2080</v>
      </c>
      <c r="J620">
        <v>286.4083</v>
      </c>
      <c r="K620" t="s">
        <v>37</v>
      </c>
    </row>
    <row r="621" spans="1:11" x14ac:dyDescent="0.45">
      <c r="A621" t="s">
        <v>90</v>
      </c>
      <c r="B621" t="s">
        <v>4</v>
      </c>
      <c r="C621" t="s">
        <v>84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2085</v>
      </c>
      <c r="J621">
        <v>282.47569999999996</v>
      </c>
      <c r="K621" t="s">
        <v>37</v>
      </c>
    </row>
    <row r="622" spans="1:11" x14ac:dyDescent="0.45">
      <c r="A622" t="s">
        <v>90</v>
      </c>
      <c r="B622" t="s">
        <v>4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2090</v>
      </c>
      <c r="J622">
        <v>278.54309999999998</v>
      </c>
      <c r="K622" t="s">
        <v>37</v>
      </c>
    </row>
    <row r="623" spans="1:11" x14ac:dyDescent="0.45">
      <c r="A623" t="s">
        <v>90</v>
      </c>
      <c r="B623" t="s">
        <v>4</v>
      </c>
      <c r="C623" t="s">
        <v>84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2095</v>
      </c>
      <c r="J623">
        <v>299.20984999999996</v>
      </c>
      <c r="K623" t="s">
        <v>37</v>
      </c>
    </row>
    <row r="624" spans="1:11" x14ac:dyDescent="0.45">
      <c r="A624" t="s">
        <v>90</v>
      </c>
      <c r="B624" t="s">
        <v>4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319.87665000000004</v>
      </c>
      <c r="K624" t="s">
        <v>37</v>
      </c>
    </row>
    <row r="625" spans="1:11" x14ac:dyDescent="0.45">
      <c r="A625" t="s">
        <v>90</v>
      </c>
      <c r="B625" t="s">
        <v>0</v>
      </c>
      <c r="C625" t="s">
        <v>84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2020</v>
      </c>
      <c r="J625">
        <v>10725.9512</v>
      </c>
      <c r="K625" t="s">
        <v>48</v>
      </c>
    </row>
    <row r="626" spans="1:11" x14ac:dyDescent="0.45">
      <c r="A626" t="s">
        <v>90</v>
      </c>
      <c r="B626" t="s">
        <v>0</v>
      </c>
      <c r="C626" t="s">
        <v>84</v>
      </c>
      <c r="D626" t="s">
        <v>51</v>
      </c>
      <c r="E626" t="s">
        <v>46</v>
      </c>
      <c r="F626" t="s">
        <v>51</v>
      </c>
      <c r="G626" t="s">
        <v>49</v>
      </c>
      <c r="H626" t="s">
        <v>50</v>
      </c>
      <c r="I626">
        <v>2020</v>
      </c>
      <c r="J626">
        <v>10477.3377</v>
      </c>
      <c r="K626" t="s">
        <v>51</v>
      </c>
    </row>
    <row r="627" spans="1:11" x14ac:dyDescent="0.45">
      <c r="A627" t="s">
        <v>90</v>
      </c>
      <c r="B627" t="s">
        <v>0</v>
      </c>
      <c r="C627" t="s">
        <v>84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2025</v>
      </c>
      <c r="J627">
        <v>10878.05</v>
      </c>
      <c r="K627" t="s">
        <v>48</v>
      </c>
    </row>
    <row r="628" spans="1:11" x14ac:dyDescent="0.45">
      <c r="A628" t="s">
        <v>90</v>
      </c>
      <c r="B628" t="s">
        <v>0</v>
      </c>
      <c r="C628" t="s">
        <v>84</v>
      </c>
      <c r="D628" t="s">
        <v>51</v>
      </c>
      <c r="E628" t="s">
        <v>46</v>
      </c>
      <c r="F628" t="s">
        <v>51</v>
      </c>
      <c r="G628" t="s">
        <v>49</v>
      </c>
      <c r="H628" t="s">
        <v>50</v>
      </c>
      <c r="I628">
        <v>2025</v>
      </c>
      <c r="J628">
        <v>10691.50935</v>
      </c>
      <c r="K628" t="s">
        <v>51</v>
      </c>
    </row>
    <row r="629" spans="1:11" x14ac:dyDescent="0.45">
      <c r="A629" t="s">
        <v>90</v>
      </c>
      <c r="B629" t="s">
        <v>0</v>
      </c>
      <c r="C629" t="s">
        <v>84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2030</v>
      </c>
      <c r="J629">
        <v>10451.6021</v>
      </c>
      <c r="K629" t="s">
        <v>48</v>
      </c>
    </row>
    <row r="630" spans="1:11" x14ac:dyDescent="0.45">
      <c r="A630" t="s">
        <v>90</v>
      </c>
      <c r="B630" t="s">
        <v>0</v>
      </c>
      <c r="C630" t="s">
        <v>84</v>
      </c>
      <c r="D630" t="s">
        <v>51</v>
      </c>
      <c r="E630" t="s">
        <v>46</v>
      </c>
      <c r="F630" t="s">
        <v>51</v>
      </c>
      <c r="G630" t="s">
        <v>49</v>
      </c>
      <c r="H630" t="s">
        <v>50</v>
      </c>
      <c r="I630">
        <v>2030</v>
      </c>
      <c r="J630">
        <v>10357.6757</v>
      </c>
      <c r="K630" t="s">
        <v>51</v>
      </c>
    </row>
    <row r="631" spans="1:11" x14ac:dyDescent="0.45">
      <c r="A631" t="s">
        <v>90</v>
      </c>
      <c r="B631" t="s">
        <v>0</v>
      </c>
      <c r="C631" t="s">
        <v>84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2035</v>
      </c>
      <c r="J631">
        <v>8812.6040499999999</v>
      </c>
      <c r="K631" t="s">
        <v>48</v>
      </c>
    </row>
    <row r="632" spans="1:11" x14ac:dyDescent="0.45">
      <c r="A632" t="s">
        <v>90</v>
      </c>
      <c r="B632" t="s">
        <v>0</v>
      </c>
      <c r="C632" t="s">
        <v>84</v>
      </c>
      <c r="D632" t="s">
        <v>51</v>
      </c>
      <c r="E632" t="s">
        <v>46</v>
      </c>
      <c r="F632" t="s">
        <v>51</v>
      </c>
      <c r="G632" t="s">
        <v>49</v>
      </c>
      <c r="H632" t="s">
        <v>50</v>
      </c>
      <c r="I632">
        <v>2035</v>
      </c>
      <c r="J632">
        <v>8899.5145499999999</v>
      </c>
      <c r="K632" t="s">
        <v>51</v>
      </c>
    </row>
    <row r="633" spans="1:11" x14ac:dyDescent="0.45">
      <c r="A633" t="s">
        <v>90</v>
      </c>
      <c r="B633" t="s">
        <v>0</v>
      </c>
      <c r="C633" t="s">
        <v>84</v>
      </c>
      <c r="D633" t="s">
        <v>48</v>
      </c>
      <c r="E633" t="s">
        <v>46</v>
      </c>
      <c r="F633" t="s">
        <v>48</v>
      </c>
      <c r="G633" t="s">
        <v>49</v>
      </c>
      <c r="H633" t="s">
        <v>50</v>
      </c>
      <c r="I633">
        <v>2040</v>
      </c>
      <c r="J633">
        <v>3693.9953500000001</v>
      </c>
      <c r="K633" t="s">
        <v>48</v>
      </c>
    </row>
    <row r="634" spans="1:11" x14ac:dyDescent="0.45">
      <c r="A634" t="s">
        <v>90</v>
      </c>
      <c r="B634" t="s">
        <v>0</v>
      </c>
      <c r="C634" t="s">
        <v>84</v>
      </c>
      <c r="D634" t="s">
        <v>51</v>
      </c>
      <c r="E634" t="s">
        <v>46</v>
      </c>
      <c r="F634" t="s">
        <v>51</v>
      </c>
      <c r="G634" t="s">
        <v>49</v>
      </c>
      <c r="H634" t="s">
        <v>50</v>
      </c>
      <c r="I634">
        <v>2040</v>
      </c>
      <c r="J634">
        <v>4164.0653499999999</v>
      </c>
      <c r="K634" t="s">
        <v>51</v>
      </c>
    </row>
    <row r="635" spans="1:11" x14ac:dyDescent="0.45">
      <c r="A635" t="s">
        <v>90</v>
      </c>
      <c r="B635" t="s">
        <v>0</v>
      </c>
      <c r="C635" t="s">
        <v>84</v>
      </c>
      <c r="D635" t="s">
        <v>48</v>
      </c>
      <c r="E635" t="s">
        <v>46</v>
      </c>
      <c r="F635" t="s">
        <v>48</v>
      </c>
      <c r="G635" t="s">
        <v>49</v>
      </c>
      <c r="H635" t="s">
        <v>50</v>
      </c>
      <c r="I635">
        <v>2045</v>
      </c>
      <c r="J635">
        <v>424.79489999999998</v>
      </c>
      <c r="K635" t="s">
        <v>48</v>
      </c>
    </row>
    <row r="636" spans="1:11" x14ac:dyDescent="0.45">
      <c r="A636" t="s">
        <v>90</v>
      </c>
      <c r="B636" t="s">
        <v>0</v>
      </c>
      <c r="C636" t="s">
        <v>84</v>
      </c>
      <c r="D636" t="s">
        <v>51</v>
      </c>
      <c r="E636" t="s">
        <v>46</v>
      </c>
      <c r="F636" t="s">
        <v>51</v>
      </c>
      <c r="G636" t="s">
        <v>49</v>
      </c>
      <c r="H636" t="s">
        <v>50</v>
      </c>
      <c r="I636">
        <v>2045</v>
      </c>
      <c r="J636">
        <v>1033.3534</v>
      </c>
      <c r="K636" t="s">
        <v>51</v>
      </c>
    </row>
    <row r="637" spans="1:11" x14ac:dyDescent="0.45">
      <c r="A637" t="s">
        <v>90</v>
      </c>
      <c r="B637" t="s">
        <v>0</v>
      </c>
      <c r="C637" t="s">
        <v>84</v>
      </c>
      <c r="D637" t="s">
        <v>48</v>
      </c>
      <c r="E637" t="s">
        <v>46</v>
      </c>
      <c r="F637" t="s">
        <v>48</v>
      </c>
      <c r="G637" t="s">
        <v>49</v>
      </c>
      <c r="H637" t="s">
        <v>50</v>
      </c>
      <c r="I637">
        <v>2050</v>
      </c>
      <c r="J637">
        <v>-482.27</v>
      </c>
      <c r="K637" t="s">
        <v>48</v>
      </c>
    </row>
    <row r="638" spans="1:11" x14ac:dyDescent="0.45">
      <c r="A638" t="s">
        <v>90</v>
      </c>
      <c r="B638" t="s">
        <v>0</v>
      </c>
      <c r="C638" t="s">
        <v>84</v>
      </c>
      <c r="D638" t="s">
        <v>51</v>
      </c>
      <c r="E638" t="s">
        <v>46</v>
      </c>
      <c r="F638" t="s">
        <v>51</v>
      </c>
      <c r="G638" t="s">
        <v>49</v>
      </c>
      <c r="H638" t="s">
        <v>50</v>
      </c>
      <c r="I638">
        <v>2050</v>
      </c>
      <c r="J638">
        <v>184.62844999999999</v>
      </c>
      <c r="K638" t="s">
        <v>51</v>
      </c>
    </row>
    <row r="639" spans="1:11" x14ac:dyDescent="0.45">
      <c r="A639" t="s">
        <v>90</v>
      </c>
      <c r="B639" t="s">
        <v>0</v>
      </c>
      <c r="C639" t="s">
        <v>84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2055</v>
      </c>
      <c r="J639">
        <v>-959.88030000000003</v>
      </c>
      <c r="K639" t="s">
        <v>48</v>
      </c>
    </row>
    <row r="640" spans="1:11" x14ac:dyDescent="0.45">
      <c r="A640" t="s">
        <v>90</v>
      </c>
      <c r="B640" t="s">
        <v>0</v>
      </c>
      <c r="C640" t="s">
        <v>84</v>
      </c>
      <c r="D640" t="s">
        <v>51</v>
      </c>
      <c r="E640" t="s">
        <v>46</v>
      </c>
      <c r="F640" t="s">
        <v>51</v>
      </c>
      <c r="G640" t="s">
        <v>49</v>
      </c>
      <c r="H640" t="s">
        <v>50</v>
      </c>
      <c r="I640">
        <v>2055</v>
      </c>
      <c r="J640">
        <v>-161.96325000000002</v>
      </c>
      <c r="K640" t="s">
        <v>51</v>
      </c>
    </row>
    <row r="641" spans="1:11" x14ac:dyDescent="0.45">
      <c r="A641" t="s">
        <v>90</v>
      </c>
      <c r="B641" t="s">
        <v>0</v>
      </c>
      <c r="C641" t="s">
        <v>84</v>
      </c>
      <c r="D641" t="s">
        <v>48</v>
      </c>
      <c r="E641" t="s">
        <v>46</v>
      </c>
      <c r="F641" t="s">
        <v>48</v>
      </c>
      <c r="G641" t="s">
        <v>49</v>
      </c>
      <c r="H641" t="s">
        <v>50</v>
      </c>
      <c r="I641">
        <v>2060</v>
      </c>
      <c r="J641">
        <v>-1519.8776</v>
      </c>
      <c r="K641" t="s">
        <v>48</v>
      </c>
    </row>
    <row r="642" spans="1:11" x14ac:dyDescent="0.45">
      <c r="A642" t="s">
        <v>90</v>
      </c>
      <c r="B642" t="s">
        <v>0</v>
      </c>
      <c r="C642" t="s">
        <v>84</v>
      </c>
      <c r="D642" t="s">
        <v>51</v>
      </c>
      <c r="E642" t="s">
        <v>46</v>
      </c>
      <c r="F642" t="s">
        <v>51</v>
      </c>
      <c r="G642" t="s">
        <v>49</v>
      </c>
      <c r="H642" t="s">
        <v>50</v>
      </c>
      <c r="I642">
        <v>2060</v>
      </c>
      <c r="J642">
        <v>-639.02864999999997</v>
      </c>
      <c r="K642" t="s">
        <v>51</v>
      </c>
    </row>
    <row r="643" spans="1:11" x14ac:dyDescent="0.45">
      <c r="A643" t="s">
        <v>90</v>
      </c>
      <c r="B643" t="s">
        <v>0</v>
      </c>
      <c r="C643" t="s">
        <v>84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2065</v>
      </c>
      <c r="J643">
        <v>-1796.56845</v>
      </c>
      <c r="K643" t="s">
        <v>48</v>
      </c>
    </row>
    <row r="644" spans="1:11" x14ac:dyDescent="0.45">
      <c r="A644" t="s">
        <v>90</v>
      </c>
      <c r="B644" t="s">
        <v>0</v>
      </c>
      <c r="C644" t="s">
        <v>84</v>
      </c>
      <c r="D644" t="s">
        <v>51</v>
      </c>
      <c r="E644" t="s">
        <v>46</v>
      </c>
      <c r="F644" t="s">
        <v>51</v>
      </c>
      <c r="G644" t="s">
        <v>49</v>
      </c>
      <c r="H644" t="s">
        <v>50</v>
      </c>
      <c r="I644">
        <v>2065</v>
      </c>
      <c r="J644">
        <v>-900.30915000000005</v>
      </c>
      <c r="K644" t="s">
        <v>51</v>
      </c>
    </row>
    <row r="645" spans="1:11" x14ac:dyDescent="0.45">
      <c r="A645" t="s">
        <v>90</v>
      </c>
      <c r="B645" t="s">
        <v>0</v>
      </c>
      <c r="C645" t="s">
        <v>84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2070</v>
      </c>
      <c r="J645">
        <v>-2073.7440999999999</v>
      </c>
      <c r="K645" t="s">
        <v>48</v>
      </c>
    </row>
    <row r="646" spans="1:11" x14ac:dyDescent="0.45">
      <c r="A646" t="s">
        <v>90</v>
      </c>
      <c r="B646" t="s">
        <v>0</v>
      </c>
      <c r="C646" t="s">
        <v>84</v>
      </c>
      <c r="D646" t="s">
        <v>51</v>
      </c>
      <c r="E646" t="s">
        <v>46</v>
      </c>
      <c r="F646" t="s">
        <v>51</v>
      </c>
      <c r="G646" t="s">
        <v>49</v>
      </c>
      <c r="H646" t="s">
        <v>50</v>
      </c>
      <c r="I646">
        <v>2070</v>
      </c>
      <c r="J646">
        <v>-1162.1392000000001</v>
      </c>
      <c r="K646" t="s">
        <v>51</v>
      </c>
    </row>
    <row r="647" spans="1:11" x14ac:dyDescent="0.45">
      <c r="A647" t="s">
        <v>90</v>
      </c>
      <c r="B647" t="s">
        <v>0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2075</v>
      </c>
      <c r="J647">
        <v>-2252.5559499999999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2075</v>
      </c>
      <c r="J648">
        <v>-1293.4578000000001</v>
      </c>
      <c r="K648" t="s">
        <v>51</v>
      </c>
    </row>
    <row r="649" spans="1:11" x14ac:dyDescent="0.45">
      <c r="A649" t="s">
        <v>90</v>
      </c>
      <c r="B649" t="s">
        <v>0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2080</v>
      </c>
      <c r="J649">
        <v>-2432.2110000000002</v>
      </c>
      <c r="K649" t="s">
        <v>48</v>
      </c>
    </row>
    <row r="650" spans="1:11" x14ac:dyDescent="0.45">
      <c r="A650" t="s">
        <v>90</v>
      </c>
      <c r="B650" t="s">
        <v>0</v>
      </c>
      <c r="C650" t="s">
        <v>84</v>
      </c>
      <c r="D650" t="s">
        <v>51</v>
      </c>
      <c r="E650" t="s">
        <v>46</v>
      </c>
      <c r="F650" t="s">
        <v>51</v>
      </c>
      <c r="G650" t="s">
        <v>49</v>
      </c>
      <c r="H650" t="s">
        <v>50</v>
      </c>
      <c r="I650">
        <v>2080</v>
      </c>
      <c r="J650">
        <v>-1425.6046000000001</v>
      </c>
      <c r="K650" t="s">
        <v>51</v>
      </c>
    </row>
    <row r="651" spans="1:11" x14ac:dyDescent="0.45">
      <c r="A651" t="s">
        <v>90</v>
      </c>
      <c r="B651" t="s">
        <v>0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2085</v>
      </c>
      <c r="J651">
        <v>-2494.0605500000001</v>
      </c>
      <c r="K651" t="s">
        <v>48</v>
      </c>
    </row>
    <row r="652" spans="1:11" x14ac:dyDescent="0.45">
      <c r="A652" t="s">
        <v>90</v>
      </c>
      <c r="B652" t="s">
        <v>0</v>
      </c>
      <c r="C652" t="s">
        <v>84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2085</v>
      </c>
      <c r="J652">
        <v>-1500.10195</v>
      </c>
      <c r="K652" t="s">
        <v>51</v>
      </c>
    </row>
    <row r="653" spans="1:11" x14ac:dyDescent="0.45">
      <c r="A653" t="s">
        <v>90</v>
      </c>
      <c r="B653" t="s">
        <v>0</v>
      </c>
      <c r="C653" t="s">
        <v>84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2090</v>
      </c>
      <c r="J653">
        <v>-2557.6174500000002</v>
      </c>
      <c r="K653" t="s">
        <v>48</v>
      </c>
    </row>
    <row r="654" spans="1:11" x14ac:dyDescent="0.45">
      <c r="A654" t="s">
        <v>90</v>
      </c>
      <c r="B654" t="s">
        <v>0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2090</v>
      </c>
      <c r="J654">
        <v>-1576.2818000000002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2095</v>
      </c>
      <c r="J655">
        <v>-2591.6451999999999</v>
      </c>
      <c r="K655" t="s">
        <v>48</v>
      </c>
    </row>
    <row r="656" spans="1:11" x14ac:dyDescent="0.45">
      <c r="A656" t="s">
        <v>90</v>
      </c>
      <c r="B656" t="s">
        <v>0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2095</v>
      </c>
      <c r="J656">
        <v>-1556.20065</v>
      </c>
      <c r="K656" t="s">
        <v>51</v>
      </c>
    </row>
    <row r="657" spans="1:11" x14ac:dyDescent="0.45">
      <c r="A657" t="s">
        <v>90</v>
      </c>
      <c r="B657" t="s">
        <v>0</v>
      </c>
      <c r="C657" t="s">
        <v>84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2100</v>
      </c>
      <c r="J657">
        <v>-2626.03685</v>
      </c>
      <c r="K657" t="s">
        <v>48</v>
      </c>
    </row>
    <row r="658" spans="1:11" x14ac:dyDescent="0.45">
      <c r="A658" t="s">
        <v>90</v>
      </c>
      <c r="B658" t="s">
        <v>0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2100</v>
      </c>
      <c r="J658">
        <v>-1536.4611</v>
      </c>
      <c r="K658" t="s">
        <v>51</v>
      </c>
    </row>
    <row r="659" spans="1:11" x14ac:dyDescent="0.45">
      <c r="A659" t="s">
        <v>90</v>
      </c>
      <c r="B659" t="s">
        <v>0</v>
      </c>
      <c r="C659" t="s">
        <v>84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2020</v>
      </c>
      <c r="J659">
        <v>5.3799000000000001</v>
      </c>
      <c r="K659" t="s">
        <v>29</v>
      </c>
    </row>
    <row r="660" spans="1:11" x14ac:dyDescent="0.45">
      <c r="A660" t="s">
        <v>90</v>
      </c>
      <c r="B660" t="s">
        <v>0</v>
      </c>
      <c r="C660" t="s">
        <v>84</v>
      </c>
      <c r="D660" t="s">
        <v>29</v>
      </c>
      <c r="E660" t="s">
        <v>30</v>
      </c>
      <c r="F660" t="s">
        <v>29</v>
      </c>
      <c r="G660" t="s">
        <v>31</v>
      </c>
      <c r="H660" t="s">
        <v>32</v>
      </c>
      <c r="I660">
        <v>2025</v>
      </c>
      <c r="J660">
        <v>5.7637999999999998</v>
      </c>
      <c r="K660" t="s">
        <v>29</v>
      </c>
    </row>
    <row r="661" spans="1:11" x14ac:dyDescent="0.45">
      <c r="A661" t="s">
        <v>90</v>
      </c>
      <c r="B661" t="s">
        <v>0</v>
      </c>
      <c r="C661" t="s">
        <v>84</v>
      </c>
      <c r="D661" t="s">
        <v>29</v>
      </c>
      <c r="E661" t="s">
        <v>30</v>
      </c>
      <c r="F661" t="s">
        <v>29</v>
      </c>
      <c r="G661" t="s">
        <v>31</v>
      </c>
      <c r="H661" t="s">
        <v>32</v>
      </c>
      <c r="I661">
        <v>2030</v>
      </c>
      <c r="J661">
        <v>5.5946499999999997</v>
      </c>
      <c r="K661" t="s">
        <v>29</v>
      </c>
    </row>
    <row r="662" spans="1:11" x14ac:dyDescent="0.45">
      <c r="A662" t="s">
        <v>90</v>
      </c>
      <c r="B662" t="s">
        <v>0</v>
      </c>
      <c r="C662" t="s">
        <v>84</v>
      </c>
      <c r="D662" t="s">
        <v>29</v>
      </c>
      <c r="E662" t="s">
        <v>30</v>
      </c>
      <c r="F662" t="s">
        <v>29</v>
      </c>
      <c r="G662" t="s">
        <v>31</v>
      </c>
      <c r="H662" t="s">
        <v>32</v>
      </c>
      <c r="I662">
        <v>2035</v>
      </c>
      <c r="J662">
        <v>2.1764999999999999</v>
      </c>
      <c r="K662" t="s">
        <v>29</v>
      </c>
    </row>
    <row r="663" spans="1:11" x14ac:dyDescent="0.45">
      <c r="A663" t="s">
        <v>90</v>
      </c>
      <c r="B663" t="s">
        <v>0</v>
      </c>
      <c r="C663" t="s">
        <v>84</v>
      </c>
      <c r="D663" t="s">
        <v>29</v>
      </c>
      <c r="E663" t="s">
        <v>30</v>
      </c>
      <c r="F663" t="s">
        <v>29</v>
      </c>
      <c r="G663" t="s">
        <v>31</v>
      </c>
      <c r="H663" t="s">
        <v>32</v>
      </c>
      <c r="I663">
        <v>2040</v>
      </c>
      <c r="J663">
        <v>5.5442</v>
      </c>
      <c r="K663" t="s">
        <v>29</v>
      </c>
    </row>
    <row r="664" spans="1:11" x14ac:dyDescent="0.45">
      <c r="A664" t="s">
        <v>90</v>
      </c>
      <c r="B664" t="s">
        <v>0</v>
      </c>
      <c r="C664" t="s">
        <v>84</v>
      </c>
      <c r="D664" t="s">
        <v>29</v>
      </c>
      <c r="E664" t="s">
        <v>30</v>
      </c>
      <c r="F664" t="s">
        <v>29</v>
      </c>
      <c r="G664" t="s">
        <v>31</v>
      </c>
      <c r="H664" t="s">
        <v>32</v>
      </c>
      <c r="I664">
        <v>2045</v>
      </c>
      <c r="J664">
        <v>9.43215</v>
      </c>
      <c r="K664" t="s">
        <v>29</v>
      </c>
    </row>
    <row r="665" spans="1:11" x14ac:dyDescent="0.45">
      <c r="A665" t="s">
        <v>90</v>
      </c>
      <c r="B665" t="s">
        <v>0</v>
      </c>
      <c r="C665" t="s">
        <v>84</v>
      </c>
      <c r="D665" t="s">
        <v>29</v>
      </c>
      <c r="E665" t="s">
        <v>30</v>
      </c>
      <c r="F665" t="s">
        <v>29</v>
      </c>
      <c r="G665" t="s">
        <v>31</v>
      </c>
      <c r="H665" t="s">
        <v>32</v>
      </c>
      <c r="I665">
        <v>2050</v>
      </c>
      <c r="J665">
        <v>17.657350000000001</v>
      </c>
      <c r="K665" t="s">
        <v>29</v>
      </c>
    </row>
    <row r="666" spans="1:11" x14ac:dyDescent="0.45">
      <c r="A666" t="s">
        <v>90</v>
      </c>
      <c r="B666" t="s">
        <v>0</v>
      </c>
      <c r="C666" t="s">
        <v>84</v>
      </c>
      <c r="D666" t="s">
        <v>29</v>
      </c>
      <c r="E666" t="s">
        <v>30</v>
      </c>
      <c r="F666" t="s">
        <v>29</v>
      </c>
      <c r="G666" t="s">
        <v>31</v>
      </c>
      <c r="H666" t="s">
        <v>32</v>
      </c>
      <c r="I666">
        <v>2055</v>
      </c>
      <c r="J666">
        <v>20.9406</v>
      </c>
      <c r="K666" t="s">
        <v>29</v>
      </c>
    </row>
    <row r="667" spans="1:11" x14ac:dyDescent="0.45">
      <c r="A667" t="s">
        <v>90</v>
      </c>
      <c r="B667" t="s">
        <v>0</v>
      </c>
      <c r="C667" t="s">
        <v>84</v>
      </c>
      <c r="D667" t="s">
        <v>29</v>
      </c>
      <c r="E667" t="s">
        <v>30</v>
      </c>
      <c r="F667" t="s">
        <v>29</v>
      </c>
      <c r="G667" t="s">
        <v>31</v>
      </c>
      <c r="H667" t="s">
        <v>32</v>
      </c>
      <c r="I667">
        <v>2060</v>
      </c>
      <c r="J667">
        <v>28.955849999999998</v>
      </c>
      <c r="K667" t="s">
        <v>29</v>
      </c>
    </row>
    <row r="668" spans="1:11" x14ac:dyDescent="0.45">
      <c r="A668" t="s">
        <v>90</v>
      </c>
      <c r="B668" t="s">
        <v>0</v>
      </c>
      <c r="C668" t="s">
        <v>84</v>
      </c>
      <c r="D668" t="s">
        <v>29</v>
      </c>
      <c r="E668" t="s">
        <v>30</v>
      </c>
      <c r="F668" t="s">
        <v>29</v>
      </c>
      <c r="G668" t="s">
        <v>31</v>
      </c>
      <c r="H668" t="s">
        <v>32</v>
      </c>
      <c r="I668">
        <v>2065</v>
      </c>
      <c r="J668">
        <v>25.764299999999999</v>
      </c>
      <c r="K668" t="s">
        <v>29</v>
      </c>
    </row>
    <row r="669" spans="1:11" x14ac:dyDescent="0.45">
      <c r="A669" t="s">
        <v>90</v>
      </c>
      <c r="B669" t="s">
        <v>0</v>
      </c>
      <c r="C669" t="s">
        <v>84</v>
      </c>
      <c r="D669" t="s">
        <v>29</v>
      </c>
      <c r="E669" t="s">
        <v>30</v>
      </c>
      <c r="F669" t="s">
        <v>29</v>
      </c>
      <c r="G669" t="s">
        <v>31</v>
      </c>
      <c r="H669" t="s">
        <v>32</v>
      </c>
      <c r="I669">
        <v>2070</v>
      </c>
      <c r="J669">
        <v>22.572700000000001</v>
      </c>
      <c r="K669" t="s">
        <v>29</v>
      </c>
    </row>
    <row r="670" spans="1:11" x14ac:dyDescent="0.45">
      <c r="A670" t="s">
        <v>90</v>
      </c>
      <c r="B670" t="s">
        <v>0</v>
      </c>
      <c r="C670" t="s">
        <v>84</v>
      </c>
      <c r="D670" t="s">
        <v>29</v>
      </c>
      <c r="E670" t="s">
        <v>30</v>
      </c>
      <c r="F670" t="s">
        <v>29</v>
      </c>
      <c r="G670" t="s">
        <v>31</v>
      </c>
      <c r="H670" t="s">
        <v>32</v>
      </c>
      <c r="I670">
        <v>2075</v>
      </c>
      <c r="J670">
        <v>23.83595</v>
      </c>
      <c r="K670" t="s">
        <v>29</v>
      </c>
    </row>
    <row r="671" spans="1:11" x14ac:dyDescent="0.45">
      <c r="A671" t="s">
        <v>90</v>
      </c>
      <c r="B671" t="s">
        <v>0</v>
      </c>
      <c r="C671" t="s">
        <v>84</v>
      </c>
      <c r="D671" t="s">
        <v>29</v>
      </c>
      <c r="E671" t="s">
        <v>30</v>
      </c>
      <c r="F671" t="s">
        <v>29</v>
      </c>
      <c r="G671" t="s">
        <v>31</v>
      </c>
      <c r="H671" t="s">
        <v>32</v>
      </c>
      <c r="I671">
        <v>2080</v>
      </c>
      <c r="J671">
        <v>25.099249999999998</v>
      </c>
      <c r="K671" t="s">
        <v>29</v>
      </c>
    </row>
    <row r="672" spans="1:11" x14ac:dyDescent="0.45">
      <c r="A672" t="s">
        <v>90</v>
      </c>
      <c r="B672" t="s">
        <v>0</v>
      </c>
      <c r="C672" t="s">
        <v>84</v>
      </c>
      <c r="D672" t="s">
        <v>29</v>
      </c>
      <c r="E672" t="s">
        <v>30</v>
      </c>
      <c r="F672" t="s">
        <v>29</v>
      </c>
      <c r="G672" t="s">
        <v>31</v>
      </c>
      <c r="H672" t="s">
        <v>32</v>
      </c>
      <c r="I672">
        <v>2085</v>
      </c>
      <c r="J672">
        <v>23.323250000000002</v>
      </c>
      <c r="K672" t="s">
        <v>29</v>
      </c>
    </row>
    <row r="673" spans="1:11" x14ac:dyDescent="0.45">
      <c r="A673" t="s">
        <v>90</v>
      </c>
      <c r="B673" t="s">
        <v>0</v>
      </c>
      <c r="C673" t="s">
        <v>84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2090</v>
      </c>
      <c r="J673">
        <v>21.547249999999998</v>
      </c>
      <c r="K673" t="s">
        <v>29</v>
      </c>
    </row>
    <row r="674" spans="1:11" x14ac:dyDescent="0.45">
      <c r="A674" t="s">
        <v>90</v>
      </c>
      <c r="B674" t="s">
        <v>0</v>
      </c>
      <c r="C674" t="s">
        <v>84</v>
      </c>
      <c r="D674" t="s">
        <v>29</v>
      </c>
      <c r="E674" t="s">
        <v>30</v>
      </c>
      <c r="F674" t="s">
        <v>29</v>
      </c>
      <c r="G674" t="s">
        <v>31</v>
      </c>
      <c r="H674" t="s">
        <v>32</v>
      </c>
      <c r="I674">
        <v>2095</v>
      </c>
      <c r="J674">
        <v>22.268699999999999</v>
      </c>
      <c r="K674" t="s">
        <v>29</v>
      </c>
    </row>
    <row r="675" spans="1:11" x14ac:dyDescent="0.45">
      <c r="A675" t="s">
        <v>90</v>
      </c>
      <c r="B675" t="s">
        <v>0</v>
      </c>
      <c r="C675" t="s">
        <v>84</v>
      </c>
      <c r="D675" t="s">
        <v>29</v>
      </c>
      <c r="E675" t="s">
        <v>30</v>
      </c>
      <c r="F675" t="s">
        <v>29</v>
      </c>
      <c r="G675" t="s">
        <v>31</v>
      </c>
      <c r="H675" t="s">
        <v>32</v>
      </c>
      <c r="I675">
        <v>2100</v>
      </c>
      <c r="J675">
        <v>22.99005</v>
      </c>
      <c r="K675" t="s">
        <v>29</v>
      </c>
    </row>
    <row r="676" spans="1:11" x14ac:dyDescent="0.45">
      <c r="A676" t="s">
        <v>90</v>
      </c>
      <c r="B676" t="s">
        <v>0</v>
      </c>
      <c r="C676" t="s">
        <v>84</v>
      </c>
      <c r="D676" t="s">
        <v>33</v>
      </c>
      <c r="E676" t="s">
        <v>30</v>
      </c>
      <c r="F676" t="s">
        <v>33</v>
      </c>
      <c r="G676" t="s">
        <v>31</v>
      </c>
      <c r="H676" t="s">
        <v>34</v>
      </c>
      <c r="I676">
        <v>2020</v>
      </c>
      <c r="J676">
        <v>2.0344000000000002</v>
      </c>
      <c r="K676" t="s">
        <v>33</v>
      </c>
    </row>
    <row r="677" spans="1:11" x14ac:dyDescent="0.45">
      <c r="A677" t="s">
        <v>90</v>
      </c>
      <c r="B677" t="s">
        <v>0</v>
      </c>
      <c r="C677" t="s">
        <v>84</v>
      </c>
      <c r="D677" t="s">
        <v>33</v>
      </c>
      <c r="E677" t="s">
        <v>30</v>
      </c>
      <c r="F677" t="s">
        <v>33</v>
      </c>
      <c r="G677" t="s">
        <v>31</v>
      </c>
      <c r="H677" t="s">
        <v>34</v>
      </c>
      <c r="I677">
        <v>2025</v>
      </c>
      <c r="J677">
        <v>2.2243500000000003</v>
      </c>
      <c r="K677" t="s">
        <v>33</v>
      </c>
    </row>
    <row r="678" spans="1:11" x14ac:dyDescent="0.45">
      <c r="A678" t="s">
        <v>90</v>
      </c>
      <c r="B678" t="s">
        <v>0</v>
      </c>
      <c r="C678" t="s">
        <v>84</v>
      </c>
      <c r="D678" t="s">
        <v>33</v>
      </c>
      <c r="E678" t="s">
        <v>30</v>
      </c>
      <c r="F678" t="s">
        <v>33</v>
      </c>
      <c r="G678" t="s">
        <v>31</v>
      </c>
      <c r="H678" t="s">
        <v>34</v>
      </c>
      <c r="I678">
        <v>2030</v>
      </c>
      <c r="J678">
        <v>2.2640500000000001</v>
      </c>
      <c r="K678" t="s">
        <v>33</v>
      </c>
    </row>
    <row r="679" spans="1:11" x14ac:dyDescent="0.45">
      <c r="A679" t="s">
        <v>90</v>
      </c>
      <c r="B679" t="s">
        <v>0</v>
      </c>
      <c r="C679" t="s">
        <v>84</v>
      </c>
      <c r="D679" t="s">
        <v>33</v>
      </c>
      <c r="E679" t="s">
        <v>30</v>
      </c>
      <c r="F679" t="s">
        <v>33</v>
      </c>
      <c r="G679" t="s">
        <v>31</v>
      </c>
      <c r="H679" t="s">
        <v>34</v>
      </c>
      <c r="I679">
        <v>2035</v>
      </c>
      <c r="J679">
        <v>2.2969999999999997</v>
      </c>
      <c r="K679" t="s">
        <v>33</v>
      </c>
    </row>
    <row r="680" spans="1:11" x14ac:dyDescent="0.45">
      <c r="A680" t="s">
        <v>90</v>
      </c>
      <c r="B680" t="s">
        <v>0</v>
      </c>
      <c r="C680" t="s">
        <v>84</v>
      </c>
      <c r="D680" t="s">
        <v>33</v>
      </c>
      <c r="E680" t="s">
        <v>30</v>
      </c>
      <c r="F680" t="s">
        <v>33</v>
      </c>
      <c r="G680" t="s">
        <v>31</v>
      </c>
      <c r="H680" t="s">
        <v>34</v>
      </c>
      <c r="I680">
        <v>2040</v>
      </c>
      <c r="J680">
        <v>1.87825</v>
      </c>
      <c r="K680" t="s">
        <v>33</v>
      </c>
    </row>
    <row r="681" spans="1:11" x14ac:dyDescent="0.45">
      <c r="A681" t="s">
        <v>90</v>
      </c>
      <c r="B681" t="s">
        <v>0</v>
      </c>
      <c r="C681" t="s">
        <v>84</v>
      </c>
      <c r="D681" t="s">
        <v>33</v>
      </c>
      <c r="E681" t="s">
        <v>30</v>
      </c>
      <c r="F681" t="s">
        <v>33</v>
      </c>
      <c r="G681" t="s">
        <v>31</v>
      </c>
      <c r="H681" t="s">
        <v>34</v>
      </c>
      <c r="I681">
        <v>2045</v>
      </c>
      <c r="J681">
        <v>1.4248000000000001</v>
      </c>
      <c r="K681" t="s">
        <v>33</v>
      </c>
    </row>
    <row r="682" spans="1:11" x14ac:dyDescent="0.45">
      <c r="A682" t="s">
        <v>90</v>
      </c>
      <c r="B682" t="s">
        <v>0</v>
      </c>
      <c r="C682" t="s">
        <v>84</v>
      </c>
      <c r="D682" t="s">
        <v>33</v>
      </c>
      <c r="E682" t="s">
        <v>30</v>
      </c>
      <c r="F682" t="s">
        <v>33</v>
      </c>
      <c r="G682" t="s">
        <v>31</v>
      </c>
      <c r="H682" t="s">
        <v>34</v>
      </c>
      <c r="I682">
        <v>2050</v>
      </c>
      <c r="J682">
        <v>1.53165</v>
      </c>
      <c r="K682" t="s">
        <v>33</v>
      </c>
    </row>
    <row r="683" spans="1:11" x14ac:dyDescent="0.45">
      <c r="A683" t="s">
        <v>90</v>
      </c>
      <c r="B683" t="s">
        <v>0</v>
      </c>
      <c r="C683" t="s">
        <v>84</v>
      </c>
      <c r="D683" t="s">
        <v>33</v>
      </c>
      <c r="E683" t="s">
        <v>30</v>
      </c>
      <c r="F683" t="s">
        <v>33</v>
      </c>
      <c r="G683" t="s">
        <v>31</v>
      </c>
      <c r="H683" t="s">
        <v>34</v>
      </c>
      <c r="I683">
        <v>2055</v>
      </c>
      <c r="J683">
        <v>1.57935</v>
      </c>
      <c r="K683" t="s">
        <v>33</v>
      </c>
    </row>
    <row r="684" spans="1:11" x14ac:dyDescent="0.45">
      <c r="A684" t="s">
        <v>90</v>
      </c>
      <c r="B684" t="s">
        <v>0</v>
      </c>
      <c r="C684" t="s">
        <v>84</v>
      </c>
      <c r="D684" t="s">
        <v>33</v>
      </c>
      <c r="E684" t="s">
        <v>30</v>
      </c>
      <c r="F684" t="s">
        <v>33</v>
      </c>
      <c r="G684" t="s">
        <v>31</v>
      </c>
      <c r="H684" t="s">
        <v>34</v>
      </c>
      <c r="I684">
        <v>2060</v>
      </c>
      <c r="J684">
        <v>2.1811500000000001</v>
      </c>
      <c r="K684" t="s">
        <v>33</v>
      </c>
    </row>
    <row r="685" spans="1:11" x14ac:dyDescent="0.45">
      <c r="A685" t="s">
        <v>90</v>
      </c>
      <c r="B685" t="s">
        <v>0</v>
      </c>
      <c r="C685" t="s">
        <v>84</v>
      </c>
      <c r="D685" t="s">
        <v>33</v>
      </c>
      <c r="E685" t="s">
        <v>30</v>
      </c>
      <c r="F685" t="s">
        <v>33</v>
      </c>
      <c r="G685" t="s">
        <v>31</v>
      </c>
      <c r="H685" t="s">
        <v>34</v>
      </c>
      <c r="I685">
        <v>2065</v>
      </c>
      <c r="J685">
        <v>2.1503000000000001</v>
      </c>
      <c r="K685" t="s">
        <v>33</v>
      </c>
    </row>
    <row r="686" spans="1:11" x14ac:dyDescent="0.45">
      <c r="A686" t="s">
        <v>90</v>
      </c>
      <c r="B686" t="s">
        <v>0</v>
      </c>
      <c r="C686" t="s">
        <v>84</v>
      </c>
      <c r="D686" t="s">
        <v>33</v>
      </c>
      <c r="E686" t="s">
        <v>30</v>
      </c>
      <c r="F686" t="s">
        <v>33</v>
      </c>
      <c r="G686" t="s">
        <v>31</v>
      </c>
      <c r="H686" t="s">
        <v>34</v>
      </c>
      <c r="I686">
        <v>2070</v>
      </c>
      <c r="J686">
        <v>2.1193999999999997</v>
      </c>
      <c r="K686" t="s">
        <v>33</v>
      </c>
    </row>
    <row r="687" spans="1:11" x14ac:dyDescent="0.45">
      <c r="A687" t="s">
        <v>90</v>
      </c>
      <c r="B687" t="s">
        <v>0</v>
      </c>
      <c r="C687" t="s">
        <v>84</v>
      </c>
      <c r="D687" t="s">
        <v>33</v>
      </c>
      <c r="E687" t="s">
        <v>30</v>
      </c>
      <c r="F687" t="s">
        <v>33</v>
      </c>
      <c r="G687" t="s">
        <v>31</v>
      </c>
      <c r="H687" t="s">
        <v>34</v>
      </c>
      <c r="I687">
        <v>2075</v>
      </c>
      <c r="J687">
        <v>2.0685000000000002</v>
      </c>
      <c r="K687" t="s">
        <v>33</v>
      </c>
    </row>
    <row r="688" spans="1:11" x14ac:dyDescent="0.45">
      <c r="A688" t="s">
        <v>90</v>
      </c>
      <c r="B688" t="s">
        <v>0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2080</v>
      </c>
      <c r="J688">
        <v>2.0176500000000002</v>
      </c>
      <c r="K688" t="s">
        <v>33</v>
      </c>
    </row>
    <row r="689" spans="1:11" x14ac:dyDescent="0.45">
      <c r="A689" t="s">
        <v>90</v>
      </c>
      <c r="B689" t="s">
        <v>0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2085</v>
      </c>
      <c r="J689">
        <v>2.0796000000000001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2090</v>
      </c>
      <c r="J690">
        <v>2.1415499999999996</v>
      </c>
      <c r="K690" t="s">
        <v>33</v>
      </c>
    </row>
    <row r="691" spans="1:11" x14ac:dyDescent="0.45">
      <c r="A691" t="s">
        <v>90</v>
      </c>
      <c r="B691" t="s">
        <v>0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2095</v>
      </c>
      <c r="J691">
        <v>1.9457</v>
      </c>
      <c r="K691" t="s">
        <v>33</v>
      </c>
    </row>
    <row r="692" spans="1:11" x14ac:dyDescent="0.45">
      <c r="A692" t="s">
        <v>90</v>
      </c>
      <c r="B692" t="s">
        <v>0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2100</v>
      </c>
      <c r="J692">
        <v>1.7498</v>
      </c>
      <c r="K692" t="s">
        <v>33</v>
      </c>
    </row>
    <row r="693" spans="1:11" x14ac:dyDescent="0.45">
      <c r="A693" t="s">
        <v>90</v>
      </c>
      <c r="B693" t="s">
        <v>0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9.041599999999999</v>
      </c>
      <c r="K693" t="s">
        <v>28</v>
      </c>
    </row>
    <row r="694" spans="1:11" x14ac:dyDescent="0.45">
      <c r="A694" t="s">
        <v>90</v>
      </c>
      <c r="B694" t="s">
        <v>0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12.70185</v>
      </c>
      <c r="K694" t="s">
        <v>28</v>
      </c>
    </row>
    <row r="695" spans="1:11" x14ac:dyDescent="0.45">
      <c r="A695" t="s">
        <v>90</v>
      </c>
      <c r="B695" t="s">
        <v>0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16.332549999999998</v>
      </c>
      <c r="K695" t="s">
        <v>28</v>
      </c>
    </row>
    <row r="696" spans="1:11" x14ac:dyDescent="0.45">
      <c r="A696" t="s">
        <v>90</v>
      </c>
      <c r="B696" t="s">
        <v>0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19.254950000000001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19.661749999999998</v>
      </c>
      <c r="K697" t="s">
        <v>28</v>
      </c>
    </row>
    <row r="698" spans="1:11" x14ac:dyDescent="0.45">
      <c r="A698" t="s">
        <v>90</v>
      </c>
      <c r="B698" t="s">
        <v>0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18.878350000000001</v>
      </c>
      <c r="K698" t="s">
        <v>28</v>
      </c>
    </row>
    <row r="699" spans="1:11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19.954000000000001</v>
      </c>
      <c r="K699" t="s">
        <v>28</v>
      </c>
    </row>
    <row r="700" spans="1:11" x14ac:dyDescent="0.45">
      <c r="A700" t="s">
        <v>90</v>
      </c>
      <c r="B700" t="s">
        <v>0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19.215449999999997</v>
      </c>
      <c r="K700" t="s">
        <v>28</v>
      </c>
    </row>
    <row r="701" spans="1:11" x14ac:dyDescent="0.45">
      <c r="A701" t="s">
        <v>90</v>
      </c>
      <c r="B701" t="s">
        <v>0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18.195149999999998</v>
      </c>
      <c r="K701" t="s">
        <v>28</v>
      </c>
    </row>
    <row r="702" spans="1:11" x14ac:dyDescent="0.45">
      <c r="A702" t="s">
        <v>90</v>
      </c>
      <c r="B702" t="s">
        <v>0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17.691050000000001</v>
      </c>
      <c r="K702" t="s">
        <v>28</v>
      </c>
    </row>
    <row r="703" spans="1:11" x14ac:dyDescent="0.45">
      <c r="A703" t="s">
        <v>90</v>
      </c>
      <c r="B703" t="s">
        <v>0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17.19275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16.761699999999998</v>
      </c>
      <c r="K704" t="s">
        <v>28</v>
      </c>
    </row>
    <row r="705" spans="1:11" x14ac:dyDescent="0.45">
      <c r="A705" t="s">
        <v>90</v>
      </c>
      <c r="B705" t="s">
        <v>0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16.336549999999999</v>
      </c>
      <c r="K705" t="s">
        <v>28</v>
      </c>
    </row>
    <row r="706" spans="1:11" x14ac:dyDescent="0.45">
      <c r="A706" t="s">
        <v>90</v>
      </c>
      <c r="B706" t="s">
        <v>0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15.916499999999999</v>
      </c>
      <c r="K706" t="s">
        <v>28</v>
      </c>
    </row>
    <row r="707" spans="1:11" x14ac:dyDescent="0.45">
      <c r="A707" t="s">
        <v>90</v>
      </c>
      <c r="B707" t="s">
        <v>0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15.504999999999999</v>
      </c>
      <c r="K707" t="s">
        <v>28</v>
      </c>
    </row>
    <row r="708" spans="1:11" x14ac:dyDescent="0.45">
      <c r="A708" t="s">
        <v>90</v>
      </c>
      <c r="B708" t="s">
        <v>0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14.71175</v>
      </c>
      <c r="K708" t="s">
        <v>28</v>
      </c>
    </row>
    <row r="709" spans="1:11" x14ac:dyDescent="0.45">
      <c r="A709" t="s">
        <v>90</v>
      </c>
      <c r="B709" t="s">
        <v>0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13.92165</v>
      </c>
      <c r="K709" t="s">
        <v>28</v>
      </c>
    </row>
    <row r="710" spans="1:11" x14ac:dyDescent="0.45">
      <c r="A710" t="s">
        <v>90</v>
      </c>
      <c r="B710" t="s">
        <v>0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2020</v>
      </c>
      <c r="J710">
        <v>14.7849</v>
      </c>
      <c r="K710" t="s">
        <v>24</v>
      </c>
    </row>
    <row r="711" spans="1:11" x14ac:dyDescent="0.45">
      <c r="A711" t="s">
        <v>90</v>
      </c>
      <c r="B711" t="s">
        <v>0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2025</v>
      </c>
      <c r="J711">
        <v>16.6844</v>
      </c>
      <c r="K711" t="s">
        <v>24</v>
      </c>
    </row>
    <row r="712" spans="1:11" x14ac:dyDescent="0.45">
      <c r="A712" t="s">
        <v>90</v>
      </c>
      <c r="B712" t="s">
        <v>0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2030</v>
      </c>
      <c r="J712">
        <v>17.6782</v>
      </c>
      <c r="K712" t="s">
        <v>24</v>
      </c>
    </row>
    <row r="713" spans="1:11" x14ac:dyDescent="0.45">
      <c r="A713" t="s">
        <v>90</v>
      </c>
      <c r="B713" t="s">
        <v>0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2035</v>
      </c>
      <c r="J713">
        <v>18.075499999999998</v>
      </c>
      <c r="K713" t="s">
        <v>24</v>
      </c>
    </row>
    <row r="714" spans="1:11" x14ac:dyDescent="0.45">
      <c r="A714" t="s">
        <v>90</v>
      </c>
      <c r="B714" t="s">
        <v>0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2040</v>
      </c>
      <c r="J714">
        <v>17.4041</v>
      </c>
      <c r="K714" t="s">
        <v>24</v>
      </c>
    </row>
    <row r="715" spans="1:11" x14ac:dyDescent="0.45">
      <c r="A715" t="s">
        <v>90</v>
      </c>
      <c r="B715" t="s">
        <v>0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2045</v>
      </c>
      <c r="J715">
        <v>16.257100000000001</v>
      </c>
      <c r="K715" t="s">
        <v>24</v>
      </c>
    </row>
    <row r="716" spans="1:11" x14ac:dyDescent="0.45">
      <c r="A716" t="s">
        <v>90</v>
      </c>
      <c r="B716" t="s">
        <v>0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2050</v>
      </c>
      <c r="J716">
        <v>16.08925</v>
      </c>
      <c r="K716" t="s">
        <v>24</v>
      </c>
    </row>
    <row r="717" spans="1:11" x14ac:dyDescent="0.45">
      <c r="A717" t="s">
        <v>90</v>
      </c>
      <c r="B717" t="s">
        <v>0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2055</v>
      </c>
      <c r="J717">
        <v>15.139600000000002</v>
      </c>
      <c r="K717" t="s">
        <v>24</v>
      </c>
    </row>
    <row r="718" spans="1:11" x14ac:dyDescent="0.45">
      <c r="A718" t="s">
        <v>90</v>
      </c>
      <c r="B718" t="s">
        <v>0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2060</v>
      </c>
      <c r="J718">
        <v>13.568950000000001</v>
      </c>
      <c r="K718" t="s">
        <v>24</v>
      </c>
    </row>
    <row r="719" spans="1:11" x14ac:dyDescent="0.45">
      <c r="A719" t="s">
        <v>90</v>
      </c>
      <c r="B719" t="s">
        <v>0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2065</v>
      </c>
      <c r="J719">
        <v>12.30555</v>
      </c>
      <c r="K719" t="s">
        <v>24</v>
      </c>
    </row>
    <row r="720" spans="1:11" x14ac:dyDescent="0.45">
      <c r="A720" t="s">
        <v>90</v>
      </c>
      <c r="B720" t="s">
        <v>0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2070</v>
      </c>
      <c r="J720">
        <v>11.047049999999999</v>
      </c>
      <c r="K720" t="s">
        <v>24</v>
      </c>
    </row>
    <row r="721" spans="1:11" x14ac:dyDescent="0.45">
      <c r="A721" t="s">
        <v>90</v>
      </c>
      <c r="B721" t="s">
        <v>0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2075</v>
      </c>
      <c r="J721">
        <v>9.9459499999999998</v>
      </c>
      <c r="K721" t="s">
        <v>24</v>
      </c>
    </row>
    <row r="722" spans="1:11" x14ac:dyDescent="0.45">
      <c r="A722" t="s">
        <v>90</v>
      </c>
      <c r="B722" t="s">
        <v>0</v>
      </c>
      <c r="C722" t="s">
        <v>84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2080</v>
      </c>
      <c r="J722">
        <v>8.8476999999999997</v>
      </c>
      <c r="K722" t="s">
        <v>24</v>
      </c>
    </row>
    <row r="723" spans="1:11" x14ac:dyDescent="0.45">
      <c r="A723" t="s">
        <v>90</v>
      </c>
      <c r="B723" t="s">
        <v>0</v>
      </c>
      <c r="C723" t="s">
        <v>84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2085</v>
      </c>
      <c r="J723">
        <v>8.0150500000000005</v>
      </c>
      <c r="K723" t="s">
        <v>24</v>
      </c>
    </row>
    <row r="724" spans="1:11" x14ac:dyDescent="0.45">
      <c r="A724" t="s">
        <v>90</v>
      </c>
      <c r="B724" t="s">
        <v>0</v>
      </c>
      <c r="C724" t="s">
        <v>84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2090</v>
      </c>
      <c r="J724">
        <v>7.1876999999999995</v>
      </c>
      <c r="K724" t="s">
        <v>24</v>
      </c>
    </row>
    <row r="725" spans="1:11" x14ac:dyDescent="0.45">
      <c r="A725" t="s">
        <v>90</v>
      </c>
      <c r="B725" t="s">
        <v>0</v>
      </c>
      <c r="C725" t="s">
        <v>84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2095</v>
      </c>
      <c r="J725">
        <v>6.3334000000000001</v>
      </c>
      <c r="K725" t="s">
        <v>24</v>
      </c>
    </row>
    <row r="726" spans="1:11" x14ac:dyDescent="0.45">
      <c r="A726" t="s">
        <v>90</v>
      </c>
      <c r="B726" t="s">
        <v>0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2100</v>
      </c>
      <c r="J726">
        <v>5.4809000000000001</v>
      </c>
      <c r="K726" t="s">
        <v>24</v>
      </c>
    </row>
    <row r="727" spans="1:11" x14ac:dyDescent="0.45">
      <c r="A727" t="s">
        <v>90</v>
      </c>
      <c r="B727" t="s">
        <v>0</v>
      </c>
      <c r="C727" t="s">
        <v>84</v>
      </c>
      <c r="D727" t="s">
        <v>27</v>
      </c>
      <c r="E727" t="s">
        <v>25</v>
      </c>
      <c r="F727" t="s">
        <v>27</v>
      </c>
      <c r="G727" t="s">
        <v>26</v>
      </c>
      <c r="H727" t="s">
        <v>10</v>
      </c>
      <c r="I727">
        <v>2020</v>
      </c>
      <c r="J727">
        <v>0.24004999999999999</v>
      </c>
      <c r="K727" t="s">
        <v>27</v>
      </c>
    </row>
    <row r="728" spans="1:11" x14ac:dyDescent="0.45">
      <c r="A728" t="s">
        <v>90</v>
      </c>
      <c r="B728" t="s">
        <v>0</v>
      </c>
      <c r="C728" t="s">
        <v>84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2025</v>
      </c>
      <c r="J728">
        <v>0.67120000000000002</v>
      </c>
      <c r="K728" t="s">
        <v>27</v>
      </c>
    </row>
    <row r="729" spans="1:11" x14ac:dyDescent="0.45">
      <c r="A729" t="s">
        <v>90</v>
      </c>
      <c r="B729" t="s">
        <v>0</v>
      </c>
      <c r="C729" t="s">
        <v>84</v>
      </c>
      <c r="D729" t="s">
        <v>27</v>
      </c>
      <c r="E729" t="s">
        <v>25</v>
      </c>
      <c r="F729" t="s">
        <v>27</v>
      </c>
      <c r="G729" t="s">
        <v>26</v>
      </c>
      <c r="H729" t="s">
        <v>10</v>
      </c>
      <c r="I729">
        <v>2030</v>
      </c>
      <c r="J729">
        <v>1.5922000000000001</v>
      </c>
      <c r="K729" t="s">
        <v>27</v>
      </c>
    </row>
    <row r="730" spans="1:11" x14ac:dyDescent="0.45">
      <c r="A730" t="s">
        <v>90</v>
      </c>
      <c r="B730" t="s">
        <v>0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2035</v>
      </c>
      <c r="J730">
        <v>2.6787000000000001</v>
      </c>
      <c r="K730" t="s">
        <v>27</v>
      </c>
    </row>
    <row r="731" spans="1:11" x14ac:dyDescent="0.45">
      <c r="A731" t="s">
        <v>90</v>
      </c>
      <c r="B731" t="s">
        <v>0</v>
      </c>
      <c r="C731" t="s">
        <v>84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2040</v>
      </c>
      <c r="J731">
        <v>3.3399000000000001</v>
      </c>
      <c r="K731" t="s">
        <v>27</v>
      </c>
    </row>
    <row r="732" spans="1:11" x14ac:dyDescent="0.45">
      <c r="A732" t="s">
        <v>90</v>
      </c>
      <c r="B732" t="s">
        <v>0</v>
      </c>
      <c r="C732" t="s">
        <v>84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2045</v>
      </c>
      <c r="J732">
        <v>3.7549000000000001</v>
      </c>
      <c r="K732" t="s">
        <v>27</v>
      </c>
    </row>
    <row r="733" spans="1:11" x14ac:dyDescent="0.45">
      <c r="A733" t="s">
        <v>90</v>
      </c>
      <c r="B733" t="s">
        <v>0</v>
      </c>
      <c r="C733" t="s">
        <v>84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2050</v>
      </c>
      <c r="J733">
        <v>4.0823499999999999</v>
      </c>
      <c r="K733" t="s">
        <v>27</v>
      </c>
    </row>
    <row r="734" spans="1:11" x14ac:dyDescent="0.45">
      <c r="A734" t="s">
        <v>90</v>
      </c>
      <c r="B734" t="s">
        <v>0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2055</v>
      </c>
      <c r="J734">
        <v>4.2491500000000002</v>
      </c>
      <c r="K734" t="s">
        <v>27</v>
      </c>
    </row>
    <row r="735" spans="1:11" x14ac:dyDescent="0.45">
      <c r="A735" t="s">
        <v>90</v>
      </c>
      <c r="B735" t="s">
        <v>0</v>
      </c>
      <c r="C735" t="s">
        <v>84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2060</v>
      </c>
      <c r="J735">
        <v>4.3046500000000005</v>
      </c>
      <c r="K735" t="s">
        <v>27</v>
      </c>
    </row>
    <row r="736" spans="1:11" x14ac:dyDescent="0.45">
      <c r="A736" t="s">
        <v>90</v>
      </c>
      <c r="B736" t="s">
        <v>0</v>
      </c>
      <c r="C736" t="s">
        <v>84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2065</v>
      </c>
      <c r="J736">
        <v>4.3307000000000002</v>
      </c>
      <c r="K736" t="s">
        <v>27</v>
      </c>
    </row>
    <row r="737" spans="1:11" x14ac:dyDescent="0.45">
      <c r="A737" t="s">
        <v>90</v>
      </c>
      <c r="B737" t="s">
        <v>0</v>
      </c>
      <c r="C737" t="s">
        <v>84</v>
      </c>
      <c r="D737" t="s">
        <v>27</v>
      </c>
      <c r="E737" t="s">
        <v>25</v>
      </c>
      <c r="F737" t="s">
        <v>27</v>
      </c>
      <c r="G737" t="s">
        <v>26</v>
      </c>
      <c r="H737" t="s">
        <v>10</v>
      </c>
      <c r="I737">
        <v>2070</v>
      </c>
      <c r="J737">
        <v>4.3567999999999998</v>
      </c>
      <c r="K737" t="s">
        <v>27</v>
      </c>
    </row>
    <row r="738" spans="1:11" x14ac:dyDescent="0.45">
      <c r="A738" t="s">
        <v>90</v>
      </c>
      <c r="B738" t="s">
        <v>0</v>
      </c>
      <c r="C738" t="s">
        <v>84</v>
      </c>
      <c r="D738" t="s">
        <v>27</v>
      </c>
      <c r="E738" t="s">
        <v>25</v>
      </c>
      <c r="F738" t="s">
        <v>27</v>
      </c>
      <c r="G738" t="s">
        <v>26</v>
      </c>
      <c r="H738" t="s">
        <v>10</v>
      </c>
      <c r="I738">
        <v>2075</v>
      </c>
      <c r="J738">
        <v>4.3079999999999998</v>
      </c>
      <c r="K738" t="s">
        <v>27</v>
      </c>
    </row>
    <row r="739" spans="1:11" x14ac:dyDescent="0.45">
      <c r="A739" t="s">
        <v>90</v>
      </c>
      <c r="B739" t="s">
        <v>0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2080</v>
      </c>
      <c r="J739">
        <v>4.2630499999999998</v>
      </c>
      <c r="K739" t="s">
        <v>27</v>
      </c>
    </row>
    <row r="740" spans="1:11" x14ac:dyDescent="0.45">
      <c r="A740" t="s">
        <v>90</v>
      </c>
      <c r="B740" t="s">
        <v>0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2085</v>
      </c>
      <c r="J740">
        <v>4.2047999999999996</v>
      </c>
      <c r="K740" t="s">
        <v>27</v>
      </c>
    </row>
    <row r="741" spans="1:11" x14ac:dyDescent="0.45">
      <c r="A741" t="s">
        <v>90</v>
      </c>
      <c r="B741" t="s">
        <v>0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2090</v>
      </c>
      <c r="J741">
        <v>4.1573500000000001</v>
      </c>
      <c r="K741" t="s">
        <v>27</v>
      </c>
    </row>
    <row r="742" spans="1:11" x14ac:dyDescent="0.45">
      <c r="A742" t="s">
        <v>90</v>
      </c>
      <c r="B742" t="s">
        <v>0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2095</v>
      </c>
      <c r="J742">
        <v>4.1104000000000003</v>
      </c>
      <c r="K742" t="s">
        <v>27</v>
      </c>
    </row>
    <row r="743" spans="1:11" x14ac:dyDescent="0.45">
      <c r="A743" t="s">
        <v>90</v>
      </c>
      <c r="B743" t="s">
        <v>0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2100</v>
      </c>
      <c r="J743">
        <v>4.0643500000000001</v>
      </c>
      <c r="K743" t="s">
        <v>27</v>
      </c>
    </row>
    <row r="744" spans="1:11" x14ac:dyDescent="0.45">
      <c r="A744" t="s">
        <v>90</v>
      </c>
      <c r="B744" t="s">
        <v>0</v>
      </c>
      <c r="C744" t="s">
        <v>84</v>
      </c>
      <c r="D744" t="s">
        <v>35</v>
      </c>
      <c r="E744" t="s">
        <v>30</v>
      </c>
      <c r="F744" t="s">
        <v>35</v>
      </c>
      <c r="G744" t="s">
        <v>31</v>
      </c>
      <c r="H744" t="s">
        <v>36</v>
      </c>
      <c r="I744">
        <v>2020</v>
      </c>
      <c r="J744">
        <v>3.9710999999999999</v>
      </c>
      <c r="K744" t="s">
        <v>35</v>
      </c>
    </row>
    <row r="745" spans="1:11" x14ac:dyDescent="0.45">
      <c r="A745" t="s">
        <v>90</v>
      </c>
      <c r="B745" t="s">
        <v>0</v>
      </c>
      <c r="C745" t="s">
        <v>84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2025</v>
      </c>
      <c r="J745">
        <v>4.6684000000000001</v>
      </c>
      <c r="K745" t="s">
        <v>35</v>
      </c>
    </row>
    <row r="746" spans="1:11" x14ac:dyDescent="0.45">
      <c r="A746" t="s">
        <v>90</v>
      </c>
      <c r="B746" t="s">
        <v>0</v>
      </c>
      <c r="C746" t="s">
        <v>84</v>
      </c>
      <c r="D746" t="s">
        <v>35</v>
      </c>
      <c r="E746" t="s">
        <v>30</v>
      </c>
      <c r="F746" t="s">
        <v>35</v>
      </c>
      <c r="G746" t="s">
        <v>31</v>
      </c>
      <c r="H746" t="s">
        <v>36</v>
      </c>
      <c r="I746">
        <v>2030</v>
      </c>
      <c r="J746">
        <v>4.6098499999999998</v>
      </c>
      <c r="K746" t="s">
        <v>35</v>
      </c>
    </row>
    <row r="747" spans="1:11" x14ac:dyDescent="0.45">
      <c r="A747" t="s">
        <v>90</v>
      </c>
      <c r="B747" t="s">
        <v>0</v>
      </c>
      <c r="C747" t="s">
        <v>84</v>
      </c>
      <c r="D747" t="s">
        <v>35</v>
      </c>
      <c r="E747" t="s">
        <v>30</v>
      </c>
      <c r="F747" t="s">
        <v>35</v>
      </c>
      <c r="G747" t="s">
        <v>31</v>
      </c>
      <c r="H747" t="s">
        <v>36</v>
      </c>
      <c r="I747">
        <v>2035</v>
      </c>
      <c r="J747">
        <v>5.7725000000000009</v>
      </c>
      <c r="K747" t="s">
        <v>35</v>
      </c>
    </row>
    <row r="748" spans="1:11" x14ac:dyDescent="0.45">
      <c r="A748" t="s">
        <v>90</v>
      </c>
      <c r="B748" t="s">
        <v>0</v>
      </c>
      <c r="C748" t="s">
        <v>84</v>
      </c>
      <c r="D748" t="s">
        <v>35</v>
      </c>
      <c r="E748" t="s">
        <v>30</v>
      </c>
      <c r="F748" t="s">
        <v>35</v>
      </c>
      <c r="G748" t="s">
        <v>31</v>
      </c>
      <c r="H748" t="s">
        <v>36</v>
      </c>
      <c r="I748">
        <v>2040</v>
      </c>
      <c r="J748">
        <v>5.3309499999999996</v>
      </c>
      <c r="K748" t="s">
        <v>35</v>
      </c>
    </row>
    <row r="749" spans="1:11" x14ac:dyDescent="0.45">
      <c r="A749" t="s">
        <v>90</v>
      </c>
      <c r="B749" t="s">
        <v>0</v>
      </c>
      <c r="C749" t="s">
        <v>84</v>
      </c>
      <c r="D749" t="s">
        <v>35</v>
      </c>
      <c r="E749" t="s">
        <v>30</v>
      </c>
      <c r="F749" t="s">
        <v>35</v>
      </c>
      <c r="G749" t="s">
        <v>31</v>
      </c>
      <c r="H749" t="s">
        <v>36</v>
      </c>
      <c r="I749">
        <v>2045</v>
      </c>
      <c r="J749">
        <v>4.7379999999999995</v>
      </c>
      <c r="K749" t="s">
        <v>35</v>
      </c>
    </row>
    <row r="750" spans="1:11" x14ac:dyDescent="0.45">
      <c r="A750" t="s">
        <v>90</v>
      </c>
      <c r="B750" t="s">
        <v>0</v>
      </c>
      <c r="C750" t="s">
        <v>84</v>
      </c>
      <c r="D750" t="s">
        <v>35</v>
      </c>
      <c r="E750" t="s">
        <v>30</v>
      </c>
      <c r="F750" t="s">
        <v>35</v>
      </c>
      <c r="G750" t="s">
        <v>31</v>
      </c>
      <c r="H750" t="s">
        <v>36</v>
      </c>
      <c r="I750">
        <v>2050</v>
      </c>
      <c r="J750">
        <v>4.1950500000000002</v>
      </c>
      <c r="K750" t="s">
        <v>35</v>
      </c>
    </row>
    <row r="751" spans="1:11" x14ac:dyDescent="0.45">
      <c r="A751" t="s">
        <v>90</v>
      </c>
      <c r="B751" t="s">
        <v>0</v>
      </c>
      <c r="C751" t="s">
        <v>84</v>
      </c>
      <c r="D751" t="s">
        <v>35</v>
      </c>
      <c r="E751" t="s">
        <v>30</v>
      </c>
      <c r="F751" t="s">
        <v>35</v>
      </c>
      <c r="G751" t="s">
        <v>31</v>
      </c>
      <c r="H751" t="s">
        <v>36</v>
      </c>
      <c r="I751">
        <v>2055</v>
      </c>
      <c r="J751">
        <v>4.3904499999999995</v>
      </c>
      <c r="K751" t="s">
        <v>35</v>
      </c>
    </row>
    <row r="752" spans="1:11" x14ac:dyDescent="0.45">
      <c r="A752" t="s">
        <v>90</v>
      </c>
      <c r="B752" t="s">
        <v>0</v>
      </c>
      <c r="C752" t="s">
        <v>84</v>
      </c>
      <c r="D752" t="s">
        <v>35</v>
      </c>
      <c r="E752" t="s">
        <v>30</v>
      </c>
      <c r="F752" t="s">
        <v>35</v>
      </c>
      <c r="G752" t="s">
        <v>31</v>
      </c>
      <c r="H752" t="s">
        <v>36</v>
      </c>
      <c r="I752">
        <v>2060</v>
      </c>
      <c r="J752">
        <v>5.1861999999999995</v>
      </c>
      <c r="K752" t="s">
        <v>35</v>
      </c>
    </row>
    <row r="753" spans="1:11" x14ac:dyDescent="0.45">
      <c r="A753" t="s">
        <v>90</v>
      </c>
      <c r="B753" t="s">
        <v>0</v>
      </c>
      <c r="C753" t="s">
        <v>84</v>
      </c>
      <c r="D753" t="s">
        <v>35</v>
      </c>
      <c r="E753" t="s">
        <v>30</v>
      </c>
      <c r="F753" t="s">
        <v>35</v>
      </c>
      <c r="G753" t="s">
        <v>31</v>
      </c>
      <c r="H753" t="s">
        <v>36</v>
      </c>
      <c r="I753">
        <v>2065</v>
      </c>
      <c r="J753">
        <v>5.0748999999999995</v>
      </c>
      <c r="K753" t="s">
        <v>35</v>
      </c>
    </row>
    <row r="754" spans="1:11" x14ac:dyDescent="0.45">
      <c r="A754" t="s">
        <v>90</v>
      </c>
      <c r="B754" t="s">
        <v>0</v>
      </c>
      <c r="C754" t="s">
        <v>84</v>
      </c>
      <c r="D754" t="s">
        <v>35</v>
      </c>
      <c r="E754" t="s">
        <v>30</v>
      </c>
      <c r="F754" t="s">
        <v>35</v>
      </c>
      <c r="G754" t="s">
        <v>31</v>
      </c>
      <c r="H754" t="s">
        <v>36</v>
      </c>
      <c r="I754">
        <v>2070</v>
      </c>
      <c r="J754">
        <v>4.9635999999999996</v>
      </c>
      <c r="K754" t="s">
        <v>35</v>
      </c>
    </row>
    <row r="755" spans="1:11" x14ac:dyDescent="0.45">
      <c r="A755" t="s">
        <v>90</v>
      </c>
      <c r="B755" t="s">
        <v>0</v>
      </c>
      <c r="C755" t="s">
        <v>84</v>
      </c>
      <c r="D755" t="s">
        <v>35</v>
      </c>
      <c r="E755" t="s">
        <v>30</v>
      </c>
      <c r="F755" t="s">
        <v>35</v>
      </c>
      <c r="G755" t="s">
        <v>31</v>
      </c>
      <c r="H755" t="s">
        <v>36</v>
      </c>
      <c r="I755">
        <v>2075</v>
      </c>
      <c r="J755">
        <v>5.0854999999999997</v>
      </c>
      <c r="K755" t="s">
        <v>35</v>
      </c>
    </row>
    <row r="756" spans="1:11" x14ac:dyDescent="0.45">
      <c r="A756" t="s">
        <v>90</v>
      </c>
      <c r="B756" t="s">
        <v>0</v>
      </c>
      <c r="C756" t="s">
        <v>84</v>
      </c>
      <c r="D756" t="s">
        <v>35</v>
      </c>
      <c r="E756" t="s">
        <v>30</v>
      </c>
      <c r="F756" t="s">
        <v>35</v>
      </c>
      <c r="G756" t="s">
        <v>31</v>
      </c>
      <c r="H756" t="s">
        <v>36</v>
      </c>
      <c r="I756">
        <v>2080</v>
      </c>
      <c r="J756">
        <v>5.2074499999999997</v>
      </c>
      <c r="K756" t="s">
        <v>35</v>
      </c>
    </row>
    <row r="757" spans="1:11" x14ac:dyDescent="0.45">
      <c r="A757" t="s">
        <v>90</v>
      </c>
      <c r="B757" t="s">
        <v>0</v>
      </c>
      <c r="C757" t="s">
        <v>84</v>
      </c>
      <c r="D757" t="s">
        <v>35</v>
      </c>
      <c r="E757" t="s">
        <v>30</v>
      </c>
      <c r="F757" t="s">
        <v>35</v>
      </c>
      <c r="G757" t="s">
        <v>31</v>
      </c>
      <c r="H757" t="s">
        <v>36</v>
      </c>
      <c r="I757">
        <v>2085</v>
      </c>
      <c r="J757">
        <v>5.1766000000000005</v>
      </c>
      <c r="K757" t="s">
        <v>35</v>
      </c>
    </row>
    <row r="758" spans="1:11" x14ac:dyDescent="0.45">
      <c r="A758" t="s">
        <v>90</v>
      </c>
      <c r="B758" t="s">
        <v>0</v>
      </c>
      <c r="C758" t="s">
        <v>84</v>
      </c>
      <c r="D758" t="s">
        <v>35</v>
      </c>
      <c r="E758" t="s">
        <v>30</v>
      </c>
      <c r="F758" t="s">
        <v>35</v>
      </c>
      <c r="G758" t="s">
        <v>31</v>
      </c>
      <c r="H758" t="s">
        <v>36</v>
      </c>
      <c r="I758">
        <v>2090</v>
      </c>
      <c r="J758">
        <v>5.1458000000000004</v>
      </c>
      <c r="K758" t="s">
        <v>35</v>
      </c>
    </row>
    <row r="759" spans="1:11" x14ac:dyDescent="0.45">
      <c r="A759" t="s">
        <v>90</v>
      </c>
      <c r="B759" t="s">
        <v>0</v>
      </c>
      <c r="C759" t="s">
        <v>84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2095</v>
      </c>
      <c r="J759">
        <v>5.0733999999999995</v>
      </c>
      <c r="K759" t="s">
        <v>35</v>
      </c>
    </row>
    <row r="760" spans="1:11" x14ac:dyDescent="0.45">
      <c r="A760" t="s">
        <v>90</v>
      </c>
      <c r="B760" t="s">
        <v>0</v>
      </c>
      <c r="C760" t="s">
        <v>84</v>
      </c>
      <c r="D760" t="s">
        <v>35</v>
      </c>
      <c r="E760" t="s">
        <v>30</v>
      </c>
      <c r="F760" t="s">
        <v>35</v>
      </c>
      <c r="G760" t="s">
        <v>31</v>
      </c>
      <c r="H760" t="s">
        <v>36</v>
      </c>
      <c r="I760">
        <v>2100</v>
      </c>
      <c r="J760">
        <v>5.0011000000000001</v>
      </c>
      <c r="K760" t="s">
        <v>35</v>
      </c>
    </row>
    <row r="761" spans="1:11" x14ac:dyDescent="0.45">
      <c r="A761" t="s">
        <v>90</v>
      </c>
      <c r="B761" t="s">
        <v>0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2020</v>
      </c>
      <c r="J761">
        <v>5.1200000000000002E-2</v>
      </c>
      <c r="K761" t="s">
        <v>85</v>
      </c>
    </row>
    <row r="762" spans="1:11" x14ac:dyDescent="0.45">
      <c r="A762" t="s">
        <v>90</v>
      </c>
      <c r="B762" t="s">
        <v>0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2025</v>
      </c>
      <c r="J762">
        <v>0.30449999999999999</v>
      </c>
      <c r="K762" t="s">
        <v>85</v>
      </c>
    </row>
    <row r="763" spans="1:11" x14ac:dyDescent="0.45">
      <c r="A763" t="s">
        <v>90</v>
      </c>
      <c r="B763" t="s">
        <v>0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2030</v>
      </c>
      <c r="J763">
        <v>0.65105000000000002</v>
      </c>
      <c r="K763" t="s">
        <v>85</v>
      </c>
    </row>
    <row r="764" spans="1:11" x14ac:dyDescent="0.45">
      <c r="A764" t="s">
        <v>90</v>
      </c>
      <c r="B764" t="s">
        <v>0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2035</v>
      </c>
      <c r="J764">
        <v>0.86149999999999993</v>
      </c>
      <c r="K764" t="s">
        <v>85</v>
      </c>
    </row>
    <row r="765" spans="1:11" x14ac:dyDescent="0.45">
      <c r="A765" t="s">
        <v>90</v>
      </c>
      <c r="B765" t="s">
        <v>0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2040</v>
      </c>
      <c r="J765">
        <v>0.98445000000000005</v>
      </c>
      <c r="K765" t="s">
        <v>85</v>
      </c>
    </row>
    <row r="766" spans="1:11" x14ac:dyDescent="0.45">
      <c r="A766" t="s">
        <v>90</v>
      </c>
      <c r="B766" t="s">
        <v>0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2045</v>
      </c>
      <c r="J766">
        <v>1.4660500000000001</v>
      </c>
      <c r="K766" t="s">
        <v>85</v>
      </c>
    </row>
    <row r="767" spans="1:11" x14ac:dyDescent="0.45">
      <c r="A767" t="s">
        <v>90</v>
      </c>
      <c r="B767" t="s">
        <v>0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2050</v>
      </c>
      <c r="J767">
        <v>2.3812499999999996</v>
      </c>
      <c r="K767" t="s">
        <v>85</v>
      </c>
    </row>
    <row r="768" spans="1:11" x14ac:dyDescent="0.45">
      <c r="A768" t="s">
        <v>90</v>
      </c>
      <c r="B768" t="s">
        <v>0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2055</v>
      </c>
      <c r="J768">
        <v>3.5351499999999998</v>
      </c>
      <c r="K768" t="s">
        <v>85</v>
      </c>
    </row>
    <row r="769" spans="1:12" x14ac:dyDescent="0.45">
      <c r="A769" t="s">
        <v>90</v>
      </c>
      <c r="B769" t="s">
        <v>0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2060</v>
      </c>
      <c r="J769">
        <v>5.1310000000000002</v>
      </c>
      <c r="K769" t="s">
        <v>85</v>
      </c>
    </row>
    <row r="770" spans="1:12" x14ac:dyDescent="0.45">
      <c r="A770" t="s">
        <v>90</v>
      </c>
      <c r="B770" t="s">
        <v>0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2065</v>
      </c>
      <c r="J770">
        <v>5.6575000000000006</v>
      </c>
      <c r="K770" t="s">
        <v>85</v>
      </c>
    </row>
    <row r="771" spans="1:12" x14ac:dyDescent="0.45">
      <c r="A771" t="s">
        <v>90</v>
      </c>
      <c r="B771" t="s">
        <v>0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2070</v>
      </c>
      <c r="J771">
        <v>6.2071000000000005</v>
      </c>
      <c r="K771" t="s">
        <v>85</v>
      </c>
    </row>
    <row r="772" spans="1:12" x14ac:dyDescent="0.45">
      <c r="A772" t="s">
        <v>90</v>
      </c>
      <c r="B772" t="s">
        <v>0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2075</v>
      </c>
      <c r="J772">
        <v>6.3779500000000002</v>
      </c>
      <c r="K772" t="s">
        <v>85</v>
      </c>
    </row>
    <row r="773" spans="1:12" x14ac:dyDescent="0.45">
      <c r="A773" t="s">
        <v>90</v>
      </c>
      <c r="B773" t="s">
        <v>0</v>
      </c>
      <c r="C773" t="s">
        <v>84</v>
      </c>
      <c r="D773" t="s">
        <v>85</v>
      </c>
      <c r="E773" t="s">
        <v>25</v>
      </c>
      <c r="F773" t="s">
        <v>85</v>
      </c>
      <c r="G773" t="s">
        <v>26</v>
      </c>
      <c r="H773" t="s">
        <v>82</v>
      </c>
      <c r="I773">
        <v>2080</v>
      </c>
      <c r="J773">
        <v>6.5653500000000005</v>
      </c>
      <c r="K773" t="s">
        <v>85</v>
      </c>
    </row>
    <row r="774" spans="1:12" x14ac:dyDescent="0.45">
      <c r="A774" t="s">
        <v>90</v>
      </c>
      <c r="B774" t="s">
        <v>0</v>
      </c>
      <c r="C774" t="s">
        <v>84</v>
      </c>
      <c r="D774" t="s">
        <v>85</v>
      </c>
      <c r="E774" t="s">
        <v>25</v>
      </c>
      <c r="F774" t="s">
        <v>85</v>
      </c>
      <c r="G774" t="s">
        <v>26</v>
      </c>
      <c r="H774" t="s">
        <v>82</v>
      </c>
      <c r="I774">
        <v>2085</v>
      </c>
      <c r="J774">
        <v>6.7443</v>
      </c>
      <c r="K774" t="s">
        <v>85</v>
      </c>
    </row>
    <row r="775" spans="1:12" x14ac:dyDescent="0.45">
      <c r="A775" t="s">
        <v>90</v>
      </c>
      <c r="B775" t="s">
        <v>0</v>
      </c>
      <c r="C775" t="s">
        <v>84</v>
      </c>
      <c r="D775" t="s">
        <v>85</v>
      </c>
      <c r="E775" t="s">
        <v>25</v>
      </c>
      <c r="F775" t="s">
        <v>85</v>
      </c>
      <c r="G775" t="s">
        <v>26</v>
      </c>
      <c r="H775" t="s">
        <v>82</v>
      </c>
      <c r="I775">
        <v>2090</v>
      </c>
      <c r="J775">
        <v>6.9390000000000001</v>
      </c>
      <c r="K775" t="s">
        <v>85</v>
      </c>
    </row>
    <row r="776" spans="1:12" x14ac:dyDescent="0.45">
      <c r="A776" t="s">
        <v>90</v>
      </c>
      <c r="B776" t="s">
        <v>0</v>
      </c>
      <c r="C776" t="s">
        <v>84</v>
      </c>
      <c r="D776" t="s">
        <v>85</v>
      </c>
      <c r="E776" t="s">
        <v>25</v>
      </c>
      <c r="F776" t="s">
        <v>85</v>
      </c>
      <c r="G776" t="s">
        <v>26</v>
      </c>
      <c r="H776" t="s">
        <v>82</v>
      </c>
      <c r="I776">
        <v>2095</v>
      </c>
      <c r="J776">
        <v>7.1439000000000004</v>
      </c>
      <c r="K776" t="s">
        <v>85</v>
      </c>
    </row>
    <row r="777" spans="1:12" x14ac:dyDescent="0.45">
      <c r="A777" t="s">
        <v>90</v>
      </c>
      <c r="B777" t="s">
        <v>0</v>
      </c>
      <c r="C777" t="s">
        <v>84</v>
      </c>
      <c r="D777" t="s">
        <v>85</v>
      </c>
      <c r="E777" t="s">
        <v>25</v>
      </c>
      <c r="F777" t="s">
        <v>85</v>
      </c>
      <c r="G777" t="s">
        <v>26</v>
      </c>
      <c r="H777" t="s">
        <v>82</v>
      </c>
      <c r="I777">
        <v>2100</v>
      </c>
      <c r="J777">
        <v>7.3648500000000006</v>
      </c>
      <c r="K777" t="s">
        <v>85</v>
      </c>
    </row>
    <row r="778" spans="1:12" x14ac:dyDescent="0.45">
      <c r="A778" t="s">
        <v>90</v>
      </c>
      <c r="B778" t="s">
        <v>0</v>
      </c>
      <c r="C778" t="s">
        <v>84</v>
      </c>
      <c r="D778" t="s">
        <v>45</v>
      </c>
      <c r="E778" t="s">
        <v>46</v>
      </c>
      <c r="F778" t="s">
        <v>45</v>
      </c>
      <c r="G778" t="s">
        <v>47</v>
      </c>
      <c r="H778" t="s">
        <v>89</v>
      </c>
      <c r="I778">
        <v>2020</v>
      </c>
      <c r="J778">
        <v>0</v>
      </c>
      <c r="K778" t="s">
        <v>45</v>
      </c>
    </row>
    <row r="779" spans="1:12" x14ac:dyDescent="0.45">
      <c r="A779" t="s">
        <v>90</v>
      </c>
      <c r="B779" t="s">
        <v>0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2020</v>
      </c>
      <c r="J779">
        <v>21.444400000000002</v>
      </c>
      <c r="K779" t="s">
        <v>52</v>
      </c>
      <c r="L779">
        <v>94</v>
      </c>
    </row>
    <row r="780" spans="1:12" x14ac:dyDescent="0.45">
      <c r="A780" t="s">
        <v>90</v>
      </c>
      <c r="B780" t="s">
        <v>0</v>
      </c>
      <c r="C780" t="s">
        <v>84</v>
      </c>
      <c r="D780" t="s">
        <v>53</v>
      </c>
      <c r="E780" t="s">
        <v>25</v>
      </c>
      <c r="F780" t="s">
        <v>53</v>
      </c>
      <c r="G780" t="s">
        <v>71</v>
      </c>
      <c r="H780" t="s">
        <v>89</v>
      </c>
      <c r="I780">
        <v>2020</v>
      </c>
      <c r="J780">
        <v>1.6334</v>
      </c>
      <c r="K780" t="s">
        <v>53</v>
      </c>
      <c r="L780">
        <v>55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2020</v>
      </c>
      <c r="J781">
        <v>4.2500000000000003E-2</v>
      </c>
      <c r="K781" t="s">
        <v>54</v>
      </c>
      <c r="L781">
        <v>70</v>
      </c>
    </row>
    <row r="782" spans="1:12" x14ac:dyDescent="0.45">
      <c r="A782" t="s">
        <v>90</v>
      </c>
      <c r="B782" t="s">
        <v>0</v>
      </c>
      <c r="C782" t="s">
        <v>84</v>
      </c>
      <c r="D782" t="s">
        <v>45</v>
      </c>
      <c r="E782" t="s">
        <v>46</v>
      </c>
      <c r="F782" t="s">
        <v>45</v>
      </c>
      <c r="G782" t="s">
        <v>47</v>
      </c>
      <c r="H782" t="s">
        <v>89</v>
      </c>
      <c r="I782">
        <v>2025</v>
      </c>
      <c r="J782">
        <v>0</v>
      </c>
      <c r="K782" t="s">
        <v>45</v>
      </c>
    </row>
    <row r="783" spans="1:12" x14ac:dyDescent="0.45">
      <c r="A783" t="s">
        <v>90</v>
      </c>
      <c r="B783" t="s">
        <v>0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2025</v>
      </c>
      <c r="J783">
        <v>21.2758</v>
      </c>
      <c r="K783" t="s">
        <v>52</v>
      </c>
      <c r="L783">
        <v>94</v>
      </c>
    </row>
    <row r="784" spans="1:12" x14ac:dyDescent="0.45">
      <c r="A784" t="s">
        <v>90</v>
      </c>
      <c r="B784" t="s">
        <v>0</v>
      </c>
      <c r="C784" t="s">
        <v>84</v>
      </c>
      <c r="D784" t="s">
        <v>53</v>
      </c>
      <c r="E784" t="s">
        <v>25</v>
      </c>
      <c r="F784" t="s">
        <v>53</v>
      </c>
      <c r="G784" t="s">
        <v>71</v>
      </c>
      <c r="H784" t="s">
        <v>89</v>
      </c>
      <c r="I784">
        <v>2025</v>
      </c>
      <c r="J784">
        <v>1.9477</v>
      </c>
      <c r="K784" t="s">
        <v>53</v>
      </c>
      <c r="L784">
        <v>55</v>
      </c>
    </row>
    <row r="785" spans="1:12" x14ac:dyDescent="0.45">
      <c r="A785" t="s">
        <v>90</v>
      </c>
      <c r="B785" t="s">
        <v>0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2025</v>
      </c>
      <c r="J785">
        <v>3.2300000000000002E-2</v>
      </c>
      <c r="K785" t="s">
        <v>54</v>
      </c>
      <c r="L785">
        <v>70</v>
      </c>
    </row>
    <row r="786" spans="1:12" x14ac:dyDescent="0.45">
      <c r="A786" t="s">
        <v>90</v>
      </c>
      <c r="B786" t="s">
        <v>0</v>
      </c>
      <c r="C786" t="s">
        <v>84</v>
      </c>
      <c r="D786" t="s">
        <v>45</v>
      </c>
      <c r="E786" t="s">
        <v>46</v>
      </c>
      <c r="F786" t="s">
        <v>45</v>
      </c>
      <c r="G786" t="s">
        <v>47</v>
      </c>
      <c r="H786" t="s">
        <v>89</v>
      </c>
      <c r="I786">
        <v>2030</v>
      </c>
      <c r="J786">
        <v>0</v>
      </c>
      <c r="K786" t="s">
        <v>45</v>
      </c>
    </row>
    <row r="787" spans="1:12" x14ac:dyDescent="0.45">
      <c r="A787" t="s">
        <v>90</v>
      </c>
      <c r="B787" t="s">
        <v>0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2030</v>
      </c>
      <c r="J787">
        <v>20.116900000000001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53</v>
      </c>
      <c r="E788" t="s">
        <v>25</v>
      </c>
      <c r="F788" t="s">
        <v>53</v>
      </c>
      <c r="G788" t="s">
        <v>71</v>
      </c>
      <c r="H788" t="s">
        <v>89</v>
      </c>
      <c r="I788">
        <v>2030</v>
      </c>
      <c r="J788">
        <v>1.8289</v>
      </c>
      <c r="K788" t="s">
        <v>53</v>
      </c>
      <c r="L788">
        <v>55</v>
      </c>
    </row>
    <row r="789" spans="1:12" x14ac:dyDescent="0.45">
      <c r="A789" t="s">
        <v>90</v>
      </c>
      <c r="B789" t="s">
        <v>0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2030</v>
      </c>
      <c r="J789">
        <v>1.4E-2</v>
      </c>
      <c r="K789" t="s">
        <v>54</v>
      </c>
      <c r="L789">
        <v>70</v>
      </c>
    </row>
    <row r="790" spans="1:12" x14ac:dyDescent="0.45">
      <c r="A790" t="s">
        <v>90</v>
      </c>
      <c r="B790" t="s">
        <v>0</v>
      </c>
      <c r="C790" t="s">
        <v>84</v>
      </c>
      <c r="D790" t="s">
        <v>45</v>
      </c>
      <c r="E790" t="s">
        <v>46</v>
      </c>
      <c r="F790" t="s">
        <v>45</v>
      </c>
      <c r="G790" t="s">
        <v>47</v>
      </c>
      <c r="H790" t="s">
        <v>89</v>
      </c>
      <c r="I790">
        <v>2035</v>
      </c>
      <c r="J790">
        <v>7.0491000000000001</v>
      </c>
      <c r="K790" t="s">
        <v>45</v>
      </c>
    </row>
    <row r="791" spans="1:12" x14ac:dyDescent="0.45">
      <c r="A791" t="s">
        <v>90</v>
      </c>
      <c r="B791" t="s">
        <v>0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2035</v>
      </c>
      <c r="J791">
        <v>16.1508</v>
      </c>
      <c r="K791" t="s">
        <v>52</v>
      </c>
      <c r="L791">
        <v>94</v>
      </c>
    </row>
    <row r="792" spans="1:12" x14ac:dyDescent="0.45">
      <c r="A792" t="s">
        <v>90</v>
      </c>
      <c r="B792" t="s">
        <v>0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H792" t="s">
        <v>89</v>
      </c>
      <c r="I792">
        <v>2035</v>
      </c>
      <c r="J792">
        <v>1.5141</v>
      </c>
      <c r="K792" t="s">
        <v>53</v>
      </c>
      <c r="L792">
        <v>55</v>
      </c>
    </row>
    <row r="793" spans="1:12" x14ac:dyDescent="0.45">
      <c r="A793" t="s">
        <v>90</v>
      </c>
      <c r="B793" t="s">
        <v>0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2035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0</v>
      </c>
      <c r="C794" t="s">
        <v>84</v>
      </c>
      <c r="D794" t="s">
        <v>45</v>
      </c>
      <c r="E794" t="s">
        <v>46</v>
      </c>
      <c r="F794" t="s">
        <v>45</v>
      </c>
      <c r="G794" t="s">
        <v>47</v>
      </c>
      <c r="H794" t="s">
        <v>89</v>
      </c>
      <c r="I794">
        <v>2040</v>
      </c>
      <c r="J794">
        <v>246.52125000000001</v>
      </c>
      <c r="K794" t="s">
        <v>45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2040</v>
      </c>
      <c r="J795">
        <v>7.3640999999999996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2040</v>
      </c>
      <c r="J796">
        <v>0.8518</v>
      </c>
      <c r="K796" t="s">
        <v>53</v>
      </c>
      <c r="L796">
        <v>55</v>
      </c>
    </row>
    <row r="797" spans="1:12" x14ac:dyDescent="0.45">
      <c r="A797" t="s">
        <v>90</v>
      </c>
      <c r="B797" t="s">
        <v>0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2040</v>
      </c>
      <c r="J797">
        <v>0</v>
      </c>
      <c r="K797" t="s">
        <v>54</v>
      </c>
      <c r="L797">
        <v>70</v>
      </c>
    </row>
    <row r="798" spans="1:12" x14ac:dyDescent="0.45">
      <c r="A798" t="s">
        <v>90</v>
      </c>
      <c r="B798" t="s">
        <v>0</v>
      </c>
      <c r="C798" t="s">
        <v>84</v>
      </c>
      <c r="D798" t="s">
        <v>45</v>
      </c>
      <c r="E798" t="s">
        <v>46</v>
      </c>
      <c r="F798" t="s">
        <v>45</v>
      </c>
      <c r="G798" t="s">
        <v>47</v>
      </c>
      <c r="H798" t="s">
        <v>89</v>
      </c>
      <c r="I798">
        <v>2045</v>
      </c>
      <c r="J798">
        <v>603.15069999999992</v>
      </c>
      <c r="K798" t="s">
        <v>45</v>
      </c>
    </row>
    <row r="799" spans="1:12" x14ac:dyDescent="0.45">
      <c r="A799" t="s">
        <v>90</v>
      </c>
      <c r="B799" t="s">
        <v>0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2045</v>
      </c>
      <c r="J799">
        <v>0.32129999999999997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H800" t="s">
        <v>89</v>
      </c>
      <c r="I800">
        <v>2045</v>
      </c>
      <c r="J800">
        <v>0.33339999999999997</v>
      </c>
      <c r="K800" t="s">
        <v>53</v>
      </c>
      <c r="L800">
        <v>55</v>
      </c>
    </row>
    <row r="801" spans="1:12" x14ac:dyDescent="0.45">
      <c r="A801" t="s">
        <v>90</v>
      </c>
      <c r="B801" t="s">
        <v>0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2045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84</v>
      </c>
      <c r="D802" t="s">
        <v>45</v>
      </c>
      <c r="E802" t="s">
        <v>46</v>
      </c>
      <c r="F802" t="s">
        <v>45</v>
      </c>
      <c r="G802" t="s">
        <v>47</v>
      </c>
      <c r="H802" t="s">
        <v>89</v>
      </c>
      <c r="I802">
        <v>2050</v>
      </c>
      <c r="J802">
        <v>805.04020000000003</v>
      </c>
      <c r="K802" t="s">
        <v>45</v>
      </c>
    </row>
    <row r="803" spans="1:12" x14ac:dyDescent="0.45">
      <c r="A803" t="s">
        <v>90</v>
      </c>
      <c r="B803" t="s">
        <v>0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2050</v>
      </c>
      <c r="J803">
        <v>9.9000000000000008E-3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2050</v>
      </c>
      <c r="J804">
        <v>0.14680000000000001</v>
      </c>
      <c r="K804" t="s">
        <v>53</v>
      </c>
      <c r="L804">
        <v>55</v>
      </c>
    </row>
    <row r="805" spans="1:12" x14ac:dyDescent="0.45">
      <c r="A805" t="s">
        <v>90</v>
      </c>
      <c r="B805" t="s">
        <v>0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2050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0</v>
      </c>
      <c r="C806" t="s">
        <v>84</v>
      </c>
      <c r="D806" t="s">
        <v>45</v>
      </c>
      <c r="E806" t="s">
        <v>46</v>
      </c>
      <c r="F806" t="s">
        <v>45</v>
      </c>
      <c r="G806" t="s">
        <v>47</v>
      </c>
      <c r="H806" t="s">
        <v>89</v>
      </c>
      <c r="I806">
        <v>2055</v>
      </c>
      <c r="J806">
        <v>966.72164999999995</v>
      </c>
      <c r="K806" t="s">
        <v>45</v>
      </c>
    </row>
    <row r="807" spans="1:12" x14ac:dyDescent="0.45">
      <c r="A807" t="s">
        <v>90</v>
      </c>
      <c r="B807" t="s">
        <v>0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2055</v>
      </c>
      <c r="J807">
        <v>2.0000000000000001E-4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84</v>
      </c>
      <c r="D808" t="s">
        <v>53</v>
      </c>
      <c r="E808" t="s">
        <v>25</v>
      </c>
      <c r="F808" t="s">
        <v>53</v>
      </c>
      <c r="G808" t="s">
        <v>71</v>
      </c>
      <c r="H808" t="s">
        <v>89</v>
      </c>
      <c r="I808">
        <v>2055</v>
      </c>
      <c r="J808">
        <v>9.3549999999999994E-2</v>
      </c>
      <c r="K808" t="s">
        <v>53</v>
      </c>
      <c r="L808">
        <v>55</v>
      </c>
    </row>
    <row r="809" spans="1:12" x14ac:dyDescent="0.45">
      <c r="A809" t="s">
        <v>90</v>
      </c>
      <c r="B809" t="s">
        <v>0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2055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0</v>
      </c>
      <c r="C810" t="s">
        <v>84</v>
      </c>
      <c r="D810" t="s">
        <v>45</v>
      </c>
      <c r="E810" t="s">
        <v>46</v>
      </c>
      <c r="F810" t="s">
        <v>45</v>
      </c>
      <c r="G810" t="s">
        <v>47</v>
      </c>
      <c r="H810" t="s">
        <v>89</v>
      </c>
      <c r="I810">
        <v>2060</v>
      </c>
      <c r="J810">
        <v>1056.31945</v>
      </c>
      <c r="K810" t="s">
        <v>45</v>
      </c>
    </row>
    <row r="811" spans="1:12" x14ac:dyDescent="0.45">
      <c r="A811" t="s">
        <v>90</v>
      </c>
      <c r="B811" t="s">
        <v>0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2060</v>
      </c>
      <c r="J811">
        <v>1E-4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2060</v>
      </c>
      <c r="J812">
        <v>1.21E-2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2060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0</v>
      </c>
      <c r="C814" t="s">
        <v>84</v>
      </c>
      <c r="D814" t="s">
        <v>45</v>
      </c>
      <c r="E814" t="s">
        <v>46</v>
      </c>
      <c r="F814" t="s">
        <v>45</v>
      </c>
      <c r="G814" t="s">
        <v>47</v>
      </c>
      <c r="H814" t="s">
        <v>89</v>
      </c>
      <c r="I814">
        <v>2065</v>
      </c>
      <c r="J814">
        <v>1201.4317500000002</v>
      </c>
      <c r="K814" t="s">
        <v>45</v>
      </c>
    </row>
    <row r="815" spans="1:12" x14ac:dyDescent="0.45">
      <c r="A815" t="s">
        <v>90</v>
      </c>
      <c r="B815" t="s">
        <v>0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2065</v>
      </c>
      <c r="J815">
        <v>1E-4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2065</v>
      </c>
      <c r="J816">
        <v>6.5000000000000006E-3</v>
      </c>
      <c r="K816" t="s">
        <v>53</v>
      </c>
      <c r="L816">
        <v>55</v>
      </c>
    </row>
    <row r="817" spans="1:12" x14ac:dyDescent="0.45">
      <c r="A817" t="s">
        <v>90</v>
      </c>
      <c r="B817" t="s">
        <v>0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2065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0</v>
      </c>
      <c r="C818" t="s">
        <v>84</v>
      </c>
      <c r="D818" t="s">
        <v>45</v>
      </c>
      <c r="E818" t="s">
        <v>46</v>
      </c>
      <c r="F818" t="s">
        <v>45</v>
      </c>
      <c r="G818" t="s">
        <v>47</v>
      </c>
      <c r="H818" t="s">
        <v>89</v>
      </c>
      <c r="I818">
        <v>2070</v>
      </c>
      <c r="J818">
        <v>1347.5781999999999</v>
      </c>
      <c r="K818" t="s">
        <v>45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2070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0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2070</v>
      </c>
      <c r="J820">
        <v>6.4999999999999997E-4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2070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0</v>
      </c>
      <c r="C822" t="s">
        <v>84</v>
      </c>
      <c r="D822" t="s">
        <v>45</v>
      </c>
      <c r="E822" t="s">
        <v>46</v>
      </c>
      <c r="F822" t="s">
        <v>45</v>
      </c>
      <c r="G822" t="s">
        <v>47</v>
      </c>
      <c r="H822" t="s">
        <v>89</v>
      </c>
      <c r="I822">
        <v>2075</v>
      </c>
      <c r="J822">
        <v>1436.9038</v>
      </c>
      <c r="K822" t="s">
        <v>45</v>
      </c>
    </row>
    <row r="823" spans="1:12" x14ac:dyDescent="0.45">
      <c r="A823" t="s">
        <v>90</v>
      </c>
      <c r="B823" t="s">
        <v>0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0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2075</v>
      </c>
      <c r="J824">
        <v>2.9999999999999997E-4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2075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0</v>
      </c>
      <c r="C826" t="s">
        <v>84</v>
      </c>
      <c r="D826" t="s">
        <v>45</v>
      </c>
      <c r="E826" t="s">
        <v>46</v>
      </c>
      <c r="F826" t="s">
        <v>45</v>
      </c>
      <c r="G826" t="s">
        <v>47</v>
      </c>
      <c r="H826" t="s">
        <v>89</v>
      </c>
      <c r="I826">
        <v>2080</v>
      </c>
      <c r="J826">
        <v>1527.32395</v>
      </c>
      <c r="K826" t="s">
        <v>45</v>
      </c>
    </row>
    <row r="827" spans="1:12" x14ac:dyDescent="0.45">
      <c r="A827" t="s">
        <v>90</v>
      </c>
      <c r="B827" t="s">
        <v>0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2080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0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2080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0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2080</v>
      </c>
      <c r="J829">
        <v>0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45</v>
      </c>
      <c r="E830" t="s">
        <v>46</v>
      </c>
      <c r="F830" t="s">
        <v>45</v>
      </c>
      <c r="G830" t="s">
        <v>47</v>
      </c>
      <c r="H830" t="s">
        <v>89</v>
      </c>
      <c r="I830">
        <v>2085</v>
      </c>
      <c r="J830">
        <v>1583.75</v>
      </c>
      <c r="K830" t="s">
        <v>45</v>
      </c>
    </row>
    <row r="831" spans="1:12" x14ac:dyDescent="0.45">
      <c r="A831" t="s">
        <v>90</v>
      </c>
      <c r="B831" t="s">
        <v>0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2085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0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2085</v>
      </c>
      <c r="J832">
        <v>0</v>
      </c>
      <c r="K832" t="s">
        <v>53</v>
      </c>
      <c r="L832">
        <v>55</v>
      </c>
    </row>
    <row r="833" spans="1:12" x14ac:dyDescent="0.45">
      <c r="A833" t="s">
        <v>90</v>
      </c>
      <c r="B833" t="s">
        <v>0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2085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45</v>
      </c>
      <c r="E834" t="s">
        <v>46</v>
      </c>
      <c r="F834" t="s">
        <v>45</v>
      </c>
      <c r="G834" t="s">
        <v>47</v>
      </c>
      <c r="H834" t="s">
        <v>89</v>
      </c>
      <c r="I834">
        <v>2090</v>
      </c>
      <c r="J834">
        <v>1641.8137000000002</v>
      </c>
      <c r="K834" t="s">
        <v>45</v>
      </c>
    </row>
    <row r="835" spans="1:12" x14ac:dyDescent="0.45">
      <c r="A835" t="s">
        <v>90</v>
      </c>
      <c r="B835" t="s">
        <v>0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2090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0</v>
      </c>
      <c r="C836" t="s">
        <v>84</v>
      </c>
      <c r="D836" t="s">
        <v>53</v>
      </c>
      <c r="E836" t="s">
        <v>25</v>
      </c>
      <c r="F836" t="s">
        <v>53</v>
      </c>
      <c r="G836" t="s">
        <v>71</v>
      </c>
      <c r="H836" t="s">
        <v>89</v>
      </c>
      <c r="I836">
        <v>2090</v>
      </c>
      <c r="J836">
        <v>0</v>
      </c>
      <c r="K836" t="s">
        <v>53</v>
      </c>
      <c r="L836">
        <v>55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2090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0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2095</v>
      </c>
      <c r="J838">
        <v>1590.5268999999998</v>
      </c>
      <c r="K838" t="s">
        <v>45</v>
      </c>
    </row>
    <row r="839" spans="1:12" x14ac:dyDescent="0.45">
      <c r="A839" t="s">
        <v>90</v>
      </c>
      <c r="B839" t="s">
        <v>0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2095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0</v>
      </c>
      <c r="C840" t="s">
        <v>84</v>
      </c>
      <c r="D840" t="s">
        <v>53</v>
      </c>
      <c r="E840" t="s">
        <v>25</v>
      </c>
      <c r="F840" t="s">
        <v>53</v>
      </c>
      <c r="G840" t="s">
        <v>71</v>
      </c>
      <c r="H840" t="s">
        <v>89</v>
      </c>
      <c r="I840">
        <v>2095</v>
      </c>
      <c r="J840">
        <v>0</v>
      </c>
      <c r="K840" t="s">
        <v>53</v>
      </c>
      <c r="L840">
        <v>55</v>
      </c>
    </row>
    <row r="841" spans="1:12" x14ac:dyDescent="0.45">
      <c r="A841" t="s">
        <v>90</v>
      </c>
      <c r="B841" t="s">
        <v>0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2095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0</v>
      </c>
      <c r="C842" t="s">
        <v>84</v>
      </c>
      <c r="D842" t="s">
        <v>45</v>
      </c>
      <c r="E842" t="s">
        <v>46</v>
      </c>
      <c r="F842" t="s">
        <v>45</v>
      </c>
      <c r="G842" t="s">
        <v>47</v>
      </c>
      <c r="H842" t="s">
        <v>89</v>
      </c>
      <c r="I842">
        <v>2100</v>
      </c>
      <c r="J842">
        <v>1539.42795</v>
      </c>
      <c r="K842" t="s">
        <v>45</v>
      </c>
    </row>
    <row r="843" spans="1:12" x14ac:dyDescent="0.45">
      <c r="A843" t="s">
        <v>90</v>
      </c>
      <c r="B843" t="s">
        <v>0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2100</v>
      </c>
      <c r="J843">
        <v>0</v>
      </c>
      <c r="K843" t="s">
        <v>52</v>
      </c>
      <c r="L843">
        <v>94</v>
      </c>
    </row>
    <row r="844" spans="1:12" x14ac:dyDescent="0.45">
      <c r="A844" t="s">
        <v>90</v>
      </c>
      <c r="B844" t="s">
        <v>0</v>
      </c>
      <c r="C844" t="s">
        <v>84</v>
      </c>
      <c r="D844" t="s">
        <v>53</v>
      </c>
      <c r="E844" t="s">
        <v>25</v>
      </c>
      <c r="F844" t="s">
        <v>53</v>
      </c>
      <c r="G844" t="s">
        <v>71</v>
      </c>
      <c r="H844" t="s">
        <v>89</v>
      </c>
      <c r="I844">
        <v>2100</v>
      </c>
      <c r="J844">
        <v>0</v>
      </c>
      <c r="K844" t="s">
        <v>53</v>
      </c>
      <c r="L844">
        <v>55</v>
      </c>
    </row>
    <row r="845" spans="1:12" x14ac:dyDescent="0.45">
      <c r="A845" t="s">
        <v>90</v>
      </c>
      <c r="B845" t="s">
        <v>0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84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2020</v>
      </c>
      <c r="J846">
        <v>79.124200000000002</v>
      </c>
      <c r="K846" t="s">
        <v>37</v>
      </c>
    </row>
    <row r="847" spans="1:12" x14ac:dyDescent="0.45">
      <c r="A847" t="s">
        <v>90</v>
      </c>
      <c r="B847" t="s">
        <v>0</v>
      </c>
      <c r="C847" t="s">
        <v>84</v>
      </c>
      <c r="D847" t="s">
        <v>37</v>
      </c>
      <c r="E847" t="s">
        <v>30</v>
      </c>
      <c r="F847" t="s">
        <v>37</v>
      </c>
      <c r="G847" t="s">
        <v>31</v>
      </c>
      <c r="H847" t="s">
        <v>38</v>
      </c>
      <c r="I847">
        <v>2025</v>
      </c>
      <c r="J847">
        <v>82.617149999999995</v>
      </c>
      <c r="K847" t="s">
        <v>37</v>
      </c>
    </row>
    <row r="848" spans="1:12" x14ac:dyDescent="0.45">
      <c r="A848" t="s">
        <v>90</v>
      </c>
      <c r="B848" t="s">
        <v>0</v>
      </c>
      <c r="C848" t="s">
        <v>84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2030</v>
      </c>
      <c r="J848">
        <v>86.955299999999994</v>
      </c>
      <c r="K848" t="s">
        <v>37</v>
      </c>
    </row>
    <row r="849" spans="1:11" x14ac:dyDescent="0.45">
      <c r="A849" t="s">
        <v>90</v>
      </c>
      <c r="B849" t="s">
        <v>0</v>
      </c>
      <c r="C849" t="s">
        <v>84</v>
      </c>
      <c r="D849" t="s">
        <v>37</v>
      </c>
      <c r="E849" t="s">
        <v>30</v>
      </c>
      <c r="F849" t="s">
        <v>37</v>
      </c>
      <c r="G849" t="s">
        <v>31</v>
      </c>
      <c r="H849" t="s">
        <v>38</v>
      </c>
      <c r="I849">
        <v>2035</v>
      </c>
      <c r="J849">
        <v>65.853800000000007</v>
      </c>
      <c r="K849" t="s">
        <v>37</v>
      </c>
    </row>
    <row r="850" spans="1:11" x14ac:dyDescent="0.45">
      <c r="A850" t="s">
        <v>90</v>
      </c>
      <c r="B850" t="s">
        <v>0</v>
      </c>
      <c r="C850" t="s">
        <v>84</v>
      </c>
      <c r="D850" t="s">
        <v>37</v>
      </c>
      <c r="E850" t="s">
        <v>30</v>
      </c>
      <c r="F850" t="s">
        <v>37</v>
      </c>
      <c r="G850" t="s">
        <v>31</v>
      </c>
      <c r="H850" t="s">
        <v>38</v>
      </c>
      <c r="I850">
        <v>2040</v>
      </c>
      <c r="J850">
        <v>94.001100000000008</v>
      </c>
      <c r="K850" t="s">
        <v>37</v>
      </c>
    </row>
    <row r="851" spans="1:11" x14ac:dyDescent="0.45">
      <c r="A851" t="s">
        <v>90</v>
      </c>
      <c r="B851" t="s">
        <v>0</v>
      </c>
      <c r="C851" t="s">
        <v>84</v>
      </c>
      <c r="D851" t="s">
        <v>37</v>
      </c>
      <c r="E851" t="s">
        <v>30</v>
      </c>
      <c r="F851" t="s">
        <v>37</v>
      </c>
      <c r="G851" t="s">
        <v>31</v>
      </c>
      <c r="H851" t="s">
        <v>38</v>
      </c>
      <c r="I851">
        <v>2045</v>
      </c>
      <c r="J851">
        <v>108.72985</v>
      </c>
      <c r="K851" t="s">
        <v>37</v>
      </c>
    </row>
    <row r="852" spans="1:11" x14ac:dyDescent="0.45">
      <c r="A852" t="s">
        <v>90</v>
      </c>
      <c r="B852" t="s">
        <v>0</v>
      </c>
      <c r="C852" t="s">
        <v>84</v>
      </c>
      <c r="D852" t="s">
        <v>37</v>
      </c>
      <c r="E852" t="s">
        <v>30</v>
      </c>
      <c r="F852" t="s">
        <v>37</v>
      </c>
      <c r="G852" t="s">
        <v>31</v>
      </c>
      <c r="H852" t="s">
        <v>38</v>
      </c>
      <c r="I852">
        <v>2050</v>
      </c>
      <c r="J852">
        <v>128.94715000000002</v>
      </c>
      <c r="K852" t="s">
        <v>37</v>
      </c>
    </row>
    <row r="853" spans="1:11" x14ac:dyDescent="0.45">
      <c r="A853" t="s">
        <v>90</v>
      </c>
      <c r="B853" t="s">
        <v>0</v>
      </c>
      <c r="C853" t="s">
        <v>84</v>
      </c>
      <c r="D853" t="s">
        <v>37</v>
      </c>
      <c r="E853" t="s">
        <v>30</v>
      </c>
      <c r="F853" t="s">
        <v>37</v>
      </c>
      <c r="G853" t="s">
        <v>31</v>
      </c>
      <c r="H853" t="s">
        <v>38</v>
      </c>
      <c r="I853">
        <v>2055</v>
      </c>
      <c r="J853">
        <v>132.67475000000002</v>
      </c>
      <c r="K853" t="s">
        <v>37</v>
      </c>
    </row>
    <row r="854" spans="1:11" x14ac:dyDescent="0.45">
      <c r="A854" t="s">
        <v>90</v>
      </c>
      <c r="B854" t="s">
        <v>0</v>
      </c>
      <c r="C854" t="s">
        <v>84</v>
      </c>
      <c r="D854" t="s">
        <v>37</v>
      </c>
      <c r="E854" t="s">
        <v>30</v>
      </c>
      <c r="F854" t="s">
        <v>37</v>
      </c>
      <c r="G854" t="s">
        <v>31</v>
      </c>
      <c r="H854" t="s">
        <v>38</v>
      </c>
      <c r="I854">
        <v>2060</v>
      </c>
      <c r="J854">
        <v>259.67160000000001</v>
      </c>
      <c r="K854" t="s">
        <v>37</v>
      </c>
    </row>
    <row r="855" spans="1:11" x14ac:dyDescent="0.45">
      <c r="A855" t="s">
        <v>90</v>
      </c>
      <c r="B855" t="s">
        <v>0</v>
      </c>
      <c r="C855" t="s">
        <v>84</v>
      </c>
      <c r="D855" t="s">
        <v>37</v>
      </c>
      <c r="E855" t="s">
        <v>30</v>
      </c>
      <c r="F855" t="s">
        <v>37</v>
      </c>
      <c r="G855" t="s">
        <v>31</v>
      </c>
      <c r="H855" t="s">
        <v>38</v>
      </c>
      <c r="I855">
        <v>2065</v>
      </c>
      <c r="J855">
        <v>342.82069999999999</v>
      </c>
      <c r="K855" t="s">
        <v>37</v>
      </c>
    </row>
    <row r="856" spans="1:11" x14ac:dyDescent="0.45">
      <c r="A856" t="s">
        <v>90</v>
      </c>
      <c r="B856" t="s">
        <v>0</v>
      </c>
      <c r="C856" t="s">
        <v>84</v>
      </c>
      <c r="D856" t="s">
        <v>37</v>
      </c>
      <c r="E856" t="s">
        <v>30</v>
      </c>
      <c r="F856" t="s">
        <v>37</v>
      </c>
      <c r="G856" t="s">
        <v>31</v>
      </c>
      <c r="H856" t="s">
        <v>38</v>
      </c>
      <c r="I856">
        <v>2070</v>
      </c>
      <c r="J856">
        <v>425.96985000000001</v>
      </c>
      <c r="K856" t="s">
        <v>37</v>
      </c>
    </row>
    <row r="857" spans="1:11" x14ac:dyDescent="0.45">
      <c r="A857" t="s">
        <v>90</v>
      </c>
      <c r="B857" t="s">
        <v>0</v>
      </c>
      <c r="C857" t="s">
        <v>84</v>
      </c>
      <c r="D857" t="s">
        <v>37</v>
      </c>
      <c r="E857" t="s">
        <v>30</v>
      </c>
      <c r="F857" t="s">
        <v>37</v>
      </c>
      <c r="G857" t="s">
        <v>31</v>
      </c>
      <c r="H857" t="s">
        <v>38</v>
      </c>
      <c r="I857">
        <v>2075</v>
      </c>
      <c r="J857">
        <v>441.03724999999997</v>
      </c>
      <c r="K857" t="s">
        <v>37</v>
      </c>
    </row>
    <row r="858" spans="1:11" x14ac:dyDescent="0.45">
      <c r="A858" t="s">
        <v>90</v>
      </c>
      <c r="B858" t="s">
        <v>0</v>
      </c>
      <c r="C858" t="s">
        <v>84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2080</v>
      </c>
      <c r="J858">
        <v>456.10455000000002</v>
      </c>
      <c r="K858" t="s">
        <v>37</v>
      </c>
    </row>
    <row r="859" spans="1:11" x14ac:dyDescent="0.45">
      <c r="A859" t="s">
        <v>90</v>
      </c>
      <c r="B859" t="s">
        <v>0</v>
      </c>
      <c r="C859" t="s">
        <v>84</v>
      </c>
      <c r="D859" t="s">
        <v>37</v>
      </c>
      <c r="E859" t="s">
        <v>30</v>
      </c>
      <c r="F859" t="s">
        <v>37</v>
      </c>
      <c r="G859" t="s">
        <v>31</v>
      </c>
      <c r="H859" t="s">
        <v>38</v>
      </c>
      <c r="I859">
        <v>2085</v>
      </c>
      <c r="J859">
        <v>456.45085</v>
      </c>
      <c r="K859" t="s">
        <v>37</v>
      </c>
    </row>
    <row r="860" spans="1:11" x14ac:dyDescent="0.45">
      <c r="A860" t="s">
        <v>90</v>
      </c>
      <c r="B860" t="s">
        <v>0</v>
      </c>
      <c r="C860" t="s">
        <v>84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2090</v>
      </c>
      <c r="J860">
        <v>456.79714999999999</v>
      </c>
      <c r="K860" t="s">
        <v>37</v>
      </c>
    </row>
    <row r="861" spans="1:11" x14ac:dyDescent="0.45">
      <c r="A861" t="s">
        <v>90</v>
      </c>
      <c r="B861" t="s">
        <v>0</v>
      </c>
      <c r="C861" t="s">
        <v>84</v>
      </c>
      <c r="D861" t="s">
        <v>37</v>
      </c>
      <c r="E861" t="s">
        <v>30</v>
      </c>
      <c r="F861" t="s">
        <v>37</v>
      </c>
      <c r="G861" t="s">
        <v>31</v>
      </c>
      <c r="H861" t="s">
        <v>38</v>
      </c>
      <c r="I861">
        <v>2095</v>
      </c>
      <c r="J861">
        <v>476.88299999999998</v>
      </c>
      <c r="K861" t="s">
        <v>37</v>
      </c>
    </row>
    <row r="862" spans="1:11" x14ac:dyDescent="0.45">
      <c r="A862" t="s">
        <v>90</v>
      </c>
      <c r="B862" t="s">
        <v>0</v>
      </c>
      <c r="C862" t="s">
        <v>84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496.96889999999996</v>
      </c>
      <c r="K862" t="s">
        <v>37</v>
      </c>
    </row>
    <row r="863" spans="1:11" x14ac:dyDescent="0.45">
      <c r="A863" t="s">
        <v>90</v>
      </c>
      <c r="B863" t="s">
        <v>6</v>
      </c>
      <c r="C863" t="s">
        <v>84</v>
      </c>
      <c r="D863" t="s">
        <v>48</v>
      </c>
      <c r="E863" t="s">
        <v>46</v>
      </c>
      <c r="F863" t="s">
        <v>48</v>
      </c>
      <c r="G863" t="s">
        <v>49</v>
      </c>
      <c r="H863" t="s">
        <v>50</v>
      </c>
      <c r="I863">
        <v>2020</v>
      </c>
      <c r="J863">
        <v>10725.94015</v>
      </c>
      <c r="K863" t="s">
        <v>48</v>
      </c>
    </row>
    <row r="864" spans="1:11" x14ac:dyDescent="0.45">
      <c r="A864" t="s">
        <v>90</v>
      </c>
      <c r="B864" t="s">
        <v>6</v>
      </c>
      <c r="C864" t="s">
        <v>84</v>
      </c>
      <c r="D864" t="s">
        <v>51</v>
      </c>
      <c r="E864" t="s">
        <v>46</v>
      </c>
      <c r="F864" t="s">
        <v>51</v>
      </c>
      <c r="G864" t="s">
        <v>49</v>
      </c>
      <c r="H864" t="s">
        <v>50</v>
      </c>
      <c r="I864">
        <v>2020</v>
      </c>
      <c r="J864">
        <v>10477.40035</v>
      </c>
      <c r="K864" t="s">
        <v>51</v>
      </c>
    </row>
    <row r="865" spans="1:11" x14ac:dyDescent="0.45">
      <c r="A865" t="s">
        <v>90</v>
      </c>
      <c r="B865" t="s">
        <v>6</v>
      </c>
      <c r="C865" t="s">
        <v>84</v>
      </c>
      <c r="D865" t="s">
        <v>48</v>
      </c>
      <c r="E865" t="s">
        <v>46</v>
      </c>
      <c r="F865" t="s">
        <v>48</v>
      </c>
      <c r="G865" t="s">
        <v>49</v>
      </c>
      <c r="H865" t="s">
        <v>50</v>
      </c>
      <c r="I865">
        <v>2025</v>
      </c>
      <c r="J865">
        <v>10869.1361</v>
      </c>
      <c r="K865" t="s">
        <v>48</v>
      </c>
    </row>
    <row r="866" spans="1:11" x14ac:dyDescent="0.45">
      <c r="A866" t="s">
        <v>90</v>
      </c>
      <c r="B866" t="s">
        <v>6</v>
      </c>
      <c r="C866" t="s">
        <v>84</v>
      </c>
      <c r="D866" t="s">
        <v>51</v>
      </c>
      <c r="E866" t="s">
        <v>46</v>
      </c>
      <c r="F866" t="s">
        <v>51</v>
      </c>
      <c r="G866" t="s">
        <v>49</v>
      </c>
      <c r="H866" t="s">
        <v>50</v>
      </c>
      <c r="I866">
        <v>2025</v>
      </c>
      <c r="J866">
        <v>10691.557349999999</v>
      </c>
      <c r="K866" t="s">
        <v>51</v>
      </c>
    </row>
    <row r="867" spans="1:11" x14ac:dyDescent="0.45">
      <c r="A867" t="s">
        <v>90</v>
      </c>
      <c r="B867" t="s">
        <v>6</v>
      </c>
      <c r="C867" t="s">
        <v>84</v>
      </c>
      <c r="D867" t="s">
        <v>48</v>
      </c>
      <c r="E867" t="s">
        <v>46</v>
      </c>
      <c r="F867" t="s">
        <v>48</v>
      </c>
      <c r="G867" t="s">
        <v>49</v>
      </c>
      <c r="H867" t="s">
        <v>50</v>
      </c>
      <c r="I867">
        <v>2030</v>
      </c>
      <c r="J867">
        <v>10434.63775</v>
      </c>
      <c r="K867" t="s">
        <v>48</v>
      </c>
    </row>
    <row r="868" spans="1:11" x14ac:dyDescent="0.45">
      <c r="A868" t="s">
        <v>90</v>
      </c>
      <c r="B868" t="s">
        <v>6</v>
      </c>
      <c r="C868" t="s">
        <v>84</v>
      </c>
      <c r="D868" t="s">
        <v>51</v>
      </c>
      <c r="E868" t="s">
        <v>46</v>
      </c>
      <c r="F868" t="s">
        <v>51</v>
      </c>
      <c r="G868" t="s">
        <v>49</v>
      </c>
      <c r="H868" t="s">
        <v>50</v>
      </c>
      <c r="I868">
        <v>2030</v>
      </c>
      <c r="J868">
        <v>10358.554899999999</v>
      </c>
      <c r="K868" t="s">
        <v>51</v>
      </c>
    </row>
    <row r="869" spans="1:11" x14ac:dyDescent="0.45">
      <c r="A869" t="s">
        <v>90</v>
      </c>
      <c r="B869" t="s">
        <v>6</v>
      </c>
      <c r="C869" t="s">
        <v>84</v>
      </c>
      <c r="D869" t="s">
        <v>48</v>
      </c>
      <c r="E869" t="s">
        <v>46</v>
      </c>
      <c r="F869" t="s">
        <v>48</v>
      </c>
      <c r="G869" t="s">
        <v>49</v>
      </c>
      <c r="H869" t="s">
        <v>50</v>
      </c>
      <c r="I869">
        <v>2035</v>
      </c>
      <c r="J869">
        <v>9166.8055500000009</v>
      </c>
      <c r="K869" t="s">
        <v>48</v>
      </c>
    </row>
    <row r="870" spans="1:11" x14ac:dyDescent="0.45">
      <c r="A870" t="s">
        <v>90</v>
      </c>
      <c r="B870" t="s">
        <v>6</v>
      </c>
      <c r="C870" t="s">
        <v>84</v>
      </c>
      <c r="D870" t="s">
        <v>51</v>
      </c>
      <c r="E870" t="s">
        <v>46</v>
      </c>
      <c r="F870" t="s">
        <v>51</v>
      </c>
      <c r="G870" t="s">
        <v>49</v>
      </c>
      <c r="H870" t="s">
        <v>50</v>
      </c>
      <c r="I870">
        <v>2035</v>
      </c>
      <c r="J870">
        <v>9286.1412500000006</v>
      </c>
      <c r="K870" t="s">
        <v>51</v>
      </c>
    </row>
    <row r="871" spans="1:11" x14ac:dyDescent="0.45">
      <c r="A871" t="s">
        <v>90</v>
      </c>
      <c r="B871" t="s">
        <v>6</v>
      </c>
      <c r="C871" t="s">
        <v>84</v>
      </c>
      <c r="D871" t="s">
        <v>48</v>
      </c>
      <c r="E871" t="s">
        <v>46</v>
      </c>
      <c r="F871" t="s">
        <v>48</v>
      </c>
      <c r="G871" t="s">
        <v>49</v>
      </c>
      <c r="H871" t="s">
        <v>50</v>
      </c>
      <c r="I871">
        <v>2040</v>
      </c>
      <c r="J871">
        <v>6183.98855</v>
      </c>
      <c r="K871" t="s">
        <v>48</v>
      </c>
    </row>
    <row r="872" spans="1:11" x14ac:dyDescent="0.45">
      <c r="A872" t="s">
        <v>90</v>
      </c>
      <c r="B872" t="s">
        <v>6</v>
      </c>
      <c r="C872" t="s">
        <v>84</v>
      </c>
      <c r="D872" t="s">
        <v>51</v>
      </c>
      <c r="E872" t="s">
        <v>46</v>
      </c>
      <c r="F872" t="s">
        <v>51</v>
      </c>
      <c r="G872" t="s">
        <v>49</v>
      </c>
      <c r="H872" t="s">
        <v>50</v>
      </c>
      <c r="I872">
        <v>2040</v>
      </c>
      <c r="J872">
        <v>6535.6823000000004</v>
      </c>
      <c r="K872" t="s">
        <v>51</v>
      </c>
    </row>
    <row r="873" spans="1:11" x14ac:dyDescent="0.45">
      <c r="A873" t="s">
        <v>90</v>
      </c>
      <c r="B873" t="s">
        <v>6</v>
      </c>
      <c r="C873" t="s">
        <v>84</v>
      </c>
      <c r="D873" t="s">
        <v>48</v>
      </c>
      <c r="E873" t="s">
        <v>46</v>
      </c>
      <c r="F873" t="s">
        <v>48</v>
      </c>
      <c r="G873" t="s">
        <v>49</v>
      </c>
      <c r="H873" t="s">
        <v>50</v>
      </c>
      <c r="I873">
        <v>2045</v>
      </c>
      <c r="J873">
        <v>3611.0050000000001</v>
      </c>
      <c r="K873" t="s">
        <v>48</v>
      </c>
    </row>
    <row r="874" spans="1:11" x14ac:dyDescent="0.45">
      <c r="A874" t="s">
        <v>90</v>
      </c>
      <c r="B874" t="s">
        <v>6</v>
      </c>
      <c r="C874" t="s">
        <v>84</v>
      </c>
      <c r="D874" t="s">
        <v>51</v>
      </c>
      <c r="E874" t="s">
        <v>46</v>
      </c>
      <c r="F874" t="s">
        <v>51</v>
      </c>
      <c r="G874" t="s">
        <v>49</v>
      </c>
      <c r="H874" t="s">
        <v>50</v>
      </c>
      <c r="I874">
        <v>2045</v>
      </c>
      <c r="J874">
        <v>4081.3293999999996</v>
      </c>
      <c r="K874" t="s">
        <v>51</v>
      </c>
    </row>
    <row r="875" spans="1:11" x14ac:dyDescent="0.45">
      <c r="A875" t="s">
        <v>90</v>
      </c>
      <c r="B875" t="s">
        <v>6</v>
      </c>
      <c r="C875" t="s">
        <v>84</v>
      </c>
      <c r="D875" t="s">
        <v>48</v>
      </c>
      <c r="E875" t="s">
        <v>46</v>
      </c>
      <c r="F875" t="s">
        <v>48</v>
      </c>
      <c r="G875" t="s">
        <v>49</v>
      </c>
      <c r="H875" t="s">
        <v>50</v>
      </c>
      <c r="I875">
        <v>2050</v>
      </c>
      <c r="J875">
        <v>2273.6581999999999</v>
      </c>
      <c r="K875" t="s">
        <v>48</v>
      </c>
    </row>
    <row r="876" spans="1:11" x14ac:dyDescent="0.45">
      <c r="A876" t="s">
        <v>90</v>
      </c>
      <c r="B876" t="s">
        <v>6</v>
      </c>
      <c r="C876" t="s">
        <v>84</v>
      </c>
      <c r="D876" t="s">
        <v>51</v>
      </c>
      <c r="E876" t="s">
        <v>46</v>
      </c>
      <c r="F876" t="s">
        <v>51</v>
      </c>
      <c r="G876" t="s">
        <v>49</v>
      </c>
      <c r="H876" t="s">
        <v>50</v>
      </c>
      <c r="I876">
        <v>2050</v>
      </c>
      <c r="J876">
        <v>2818.1634999999997</v>
      </c>
      <c r="K876" t="s">
        <v>51</v>
      </c>
    </row>
    <row r="877" spans="1:11" x14ac:dyDescent="0.45">
      <c r="A877" t="s">
        <v>90</v>
      </c>
      <c r="B877" t="s">
        <v>6</v>
      </c>
      <c r="C877" t="s">
        <v>84</v>
      </c>
      <c r="D877" t="s">
        <v>48</v>
      </c>
      <c r="E877" t="s">
        <v>46</v>
      </c>
      <c r="F877" t="s">
        <v>48</v>
      </c>
      <c r="G877" t="s">
        <v>49</v>
      </c>
      <c r="H877" t="s">
        <v>50</v>
      </c>
      <c r="I877">
        <v>2055</v>
      </c>
      <c r="J877">
        <v>682.899</v>
      </c>
      <c r="K877" t="s">
        <v>48</v>
      </c>
    </row>
    <row r="878" spans="1:11" x14ac:dyDescent="0.45">
      <c r="A878" t="s">
        <v>90</v>
      </c>
      <c r="B878" t="s">
        <v>6</v>
      </c>
      <c r="C878" t="s">
        <v>84</v>
      </c>
      <c r="D878" t="s">
        <v>51</v>
      </c>
      <c r="E878" t="s">
        <v>46</v>
      </c>
      <c r="F878" t="s">
        <v>51</v>
      </c>
      <c r="G878" t="s">
        <v>49</v>
      </c>
      <c r="H878" t="s">
        <v>50</v>
      </c>
      <c r="I878">
        <v>2055</v>
      </c>
      <c r="J878">
        <v>1378.8611999999998</v>
      </c>
      <c r="K878" t="s">
        <v>51</v>
      </c>
    </row>
    <row r="879" spans="1:11" x14ac:dyDescent="0.45">
      <c r="A879" t="s">
        <v>90</v>
      </c>
      <c r="B879" t="s">
        <v>6</v>
      </c>
      <c r="C879" t="s">
        <v>84</v>
      </c>
      <c r="D879" t="s">
        <v>48</v>
      </c>
      <c r="E879" t="s">
        <v>46</v>
      </c>
      <c r="F879" t="s">
        <v>48</v>
      </c>
      <c r="G879" t="s">
        <v>49</v>
      </c>
      <c r="H879" t="s">
        <v>50</v>
      </c>
      <c r="I879">
        <v>2060</v>
      </c>
      <c r="J879">
        <v>170.2561</v>
      </c>
      <c r="K879" t="s">
        <v>48</v>
      </c>
    </row>
    <row r="880" spans="1:11" x14ac:dyDescent="0.45">
      <c r="A880" t="s">
        <v>90</v>
      </c>
      <c r="B880" t="s">
        <v>6</v>
      </c>
      <c r="C880" t="s">
        <v>84</v>
      </c>
      <c r="D880" t="s">
        <v>51</v>
      </c>
      <c r="E880" t="s">
        <v>46</v>
      </c>
      <c r="F880" t="s">
        <v>51</v>
      </c>
      <c r="G880" t="s">
        <v>49</v>
      </c>
      <c r="H880" t="s">
        <v>50</v>
      </c>
      <c r="I880">
        <v>2060</v>
      </c>
      <c r="J880">
        <v>931.899</v>
      </c>
      <c r="K880" t="s">
        <v>51</v>
      </c>
    </row>
    <row r="881" spans="1:11" x14ac:dyDescent="0.45">
      <c r="A881" t="s">
        <v>90</v>
      </c>
      <c r="B881" t="s">
        <v>6</v>
      </c>
      <c r="C881" t="s">
        <v>84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2065</v>
      </c>
      <c r="J881">
        <v>-64.305149999999969</v>
      </c>
      <c r="K881" t="s">
        <v>48</v>
      </c>
    </row>
    <row r="882" spans="1:11" x14ac:dyDescent="0.45">
      <c r="A882" t="s">
        <v>90</v>
      </c>
      <c r="B882" t="s">
        <v>6</v>
      </c>
      <c r="C882" t="s">
        <v>84</v>
      </c>
      <c r="D882" t="s">
        <v>51</v>
      </c>
      <c r="E882" t="s">
        <v>46</v>
      </c>
      <c r="F882" t="s">
        <v>51</v>
      </c>
      <c r="G882" t="s">
        <v>49</v>
      </c>
      <c r="H882" t="s">
        <v>50</v>
      </c>
      <c r="I882">
        <v>2065</v>
      </c>
      <c r="J882">
        <v>688.69590000000005</v>
      </c>
      <c r="K882" t="s">
        <v>51</v>
      </c>
    </row>
    <row r="883" spans="1:11" x14ac:dyDescent="0.45">
      <c r="A883" t="s">
        <v>90</v>
      </c>
      <c r="B883" t="s">
        <v>6</v>
      </c>
      <c r="C883" t="s">
        <v>84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2070</v>
      </c>
      <c r="J883">
        <v>-298.45895000000002</v>
      </c>
      <c r="K883" t="s">
        <v>48</v>
      </c>
    </row>
    <row r="884" spans="1:11" x14ac:dyDescent="0.45">
      <c r="A884" t="s">
        <v>90</v>
      </c>
      <c r="B884" t="s">
        <v>6</v>
      </c>
      <c r="C884" t="s">
        <v>84</v>
      </c>
      <c r="D884" t="s">
        <v>51</v>
      </c>
      <c r="E884" t="s">
        <v>46</v>
      </c>
      <c r="F884" t="s">
        <v>51</v>
      </c>
      <c r="G884" t="s">
        <v>49</v>
      </c>
      <c r="H884" t="s">
        <v>50</v>
      </c>
      <c r="I884">
        <v>2070</v>
      </c>
      <c r="J884">
        <v>445.79444999999998</v>
      </c>
      <c r="K884" t="s">
        <v>51</v>
      </c>
    </row>
    <row r="885" spans="1:11" x14ac:dyDescent="0.45">
      <c r="A885" t="s">
        <v>90</v>
      </c>
      <c r="B885" t="s">
        <v>6</v>
      </c>
      <c r="C885" t="s">
        <v>84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2075</v>
      </c>
      <c r="J885">
        <v>-554.43309999999997</v>
      </c>
      <c r="K885" t="s">
        <v>48</v>
      </c>
    </row>
    <row r="886" spans="1:11" x14ac:dyDescent="0.45">
      <c r="A886" t="s">
        <v>90</v>
      </c>
      <c r="B886" t="s">
        <v>6</v>
      </c>
      <c r="C886" t="s">
        <v>84</v>
      </c>
      <c r="D886" t="s">
        <v>51</v>
      </c>
      <c r="E886" t="s">
        <v>46</v>
      </c>
      <c r="F886" t="s">
        <v>51</v>
      </c>
      <c r="G886" t="s">
        <v>49</v>
      </c>
      <c r="H886" t="s">
        <v>50</v>
      </c>
      <c r="I886">
        <v>2075</v>
      </c>
      <c r="J886">
        <v>311.50755000000004</v>
      </c>
      <c r="K886" t="s">
        <v>51</v>
      </c>
    </row>
    <row r="887" spans="1:11" x14ac:dyDescent="0.45">
      <c r="A887" t="s">
        <v>90</v>
      </c>
      <c r="B887" t="s">
        <v>6</v>
      </c>
      <c r="C887" t="s">
        <v>84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2080</v>
      </c>
      <c r="J887">
        <v>-809.64965000000007</v>
      </c>
      <c r="K887" t="s">
        <v>48</v>
      </c>
    </row>
    <row r="888" spans="1:11" x14ac:dyDescent="0.45">
      <c r="A888" t="s">
        <v>90</v>
      </c>
      <c r="B888" t="s">
        <v>6</v>
      </c>
      <c r="C888" t="s">
        <v>84</v>
      </c>
      <c r="D888" t="s">
        <v>51</v>
      </c>
      <c r="E888" t="s">
        <v>46</v>
      </c>
      <c r="F888" t="s">
        <v>51</v>
      </c>
      <c r="G888" t="s">
        <v>49</v>
      </c>
      <c r="H888" t="s">
        <v>50</v>
      </c>
      <c r="I888">
        <v>2080</v>
      </c>
      <c r="J888">
        <v>177.96394999999998</v>
      </c>
      <c r="K888" t="s">
        <v>51</v>
      </c>
    </row>
    <row r="889" spans="1:11" x14ac:dyDescent="0.45">
      <c r="A889" t="s">
        <v>90</v>
      </c>
      <c r="B889" t="s">
        <v>6</v>
      </c>
      <c r="C889" t="s">
        <v>84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2085</v>
      </c>
      <c r="J889">
        <v>-884.98834999999997</v>
      </c>
      <c r="K889" t="s">
        <v>48</v>
      </c>
    </row>
    <row r="890" spans="1:11" x14ac:dyDescent="0.45">
      <c r="A890" t="s">
        <v>90</v>
      </c>
      <c r="B890" t="s">
        <v>6</v>
      </c>
      <c r="C890" t="s">
        <v>84</v>
      </c>
      <c r="D890" t="s">
        <v>51</v>
      </c>
      <c r="E890" t="s">
        <v>46</v>
      </c>
      <c r="F890" t="s">
        <v>51</v>
      </c>
      <c r="G890" t="s">
        <v>49</v>
      </c>
      <c r="H890" t="s">
        <v>50</v>
      </c>
      <c r="I890">
        <v>2085</v>
      </c>
      <c r="J890">
        <v>101.28359999999999</v>
      </c>
      <c r="K890" t="s">
        <v>51</v>
      </c>
    </row>
    <row r="891" spans="1:11" x14ac:dyDescent="0.45">
      <c r="A891" t="s">
        <v>90</v>
      </c>
      <c r="B891" t="s">
        <v>6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2090</v>
      </c>
      <c r="J891">
        <v>-960.15779999999995</v>
      </c>
      <c r="K891" t="s">
        <v>48</v>
      </c>
    </row>
    <row r="892" spans="1:11" x14ac:dyDescent="0.45">
      <c r="A892" t="s">
        <v>90</v>
      </c>
      <c r="B892" t="s">
        <v>6</v>
      </c>
      <c r="C892" t="s">
        <v>84</v>
      </c>
      <c r="D892" t="s">
        <v>51</v>
      </c>
      <c r="E892" t="s">
        <v>46</v>
      </c>
      <c r="F892" t="s">
        <v>51</v>
      </c>
      <c r="G892" t="s">
        <v>49</v>
      </c>
      <c r="H892" t="s">
        <v>50</v>
      </c>
      <c r="I892">
        <v>2090</v>
      </c>
      <c r="J892">
        <v>24.755200000000002</v>
      </c>
      <c r="K892" t="s">
        <v>51</v>
      </c>
    </row>
    <row r="893" spans="1:11" x14ac:dyDescent="0.45">
      <c r="A893" t="s">
        <v>90</v>
      </c>
      <c r="B893" t="s">
        <v>6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2095</v>
      </c>
      <c r="J893">
        <v>-972.26729999999998</v>
      </c>
      <c r="K893" t="s">
        <v>48</v>
      </c>
    </row>
    <row r="894" spans="1:11" x14ac:dyDescent="0.45">
      <c r="A894" t="s">
        <v>90</v>
      </c>
      <c r="B894" t="s">
        <v>6</v>
      </c>
      <c r="C894" t="s">
        <v>84</v>
      </c>
      <c r="D894" t="s">
        <v>51</v>
      </c>
      <c r="E894" t="s">
        <v>46</v>
      </c>
      <c r="F894" t="s">
        <v>51</v>
      </c>
      <c r="G894" t="s">
        <v>49</v>
      </c>
      <c r="H894" t="s">
        <v>50</v>
      </c>
      <c r="I894">
        <v>2095</v>
      </c>
      <c r="J894">
        <v>40.588150000000006</v>
      </c>
      <c r="K894" t="s">
        <v>51</v>
      </c>
    </row>
    <row r="895" spans="1:11" x14ac:dyDescent="0.45">
      <c r="A895" t="s">
        <v>90</v>
      </c>
      <c r="B895" t="s">
        <v>6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2100</v>
      </c>
      <c r="J895">
        <v>-984.36750000000006</v>
      </c>
      <c r="K895" t="s">
        <v>48</v>
      </c>
    </row>
    <row r="896" spans="1:11" x14ac:dyDescent="0.45">
      <c r="A896" t="s">
        <v>90</v>
      </c>
      <c r="B896" t="s">
        <v>6</v>
      </c>
      <c r="C896" t="s">
        <v>84</v>
      </c>
      <c r="D896" t="s">
        <v>51</v>
      </c>
      <c r="E896" t="s">
        <v>46</v>
      </c>
      <c r="F896" t="s">
        <v>51</v>
      </c>
      <c r="G896" t="s">
        <v>49</v>
      </c>
      <c r="H896" t="s">
        <v>50</v>
      </c>
      <c r="I896">
        <v>2100</v>
      </c>
      <c r="J896">
        <v>56.454450000000001</v>
      </c>
      <c r="K896" t="s">
        <v>51</v>
      </c>
    </row>
    <row r="897" spans="1:11" x14ac:dyDescent="0.45">
      <c r="A897" t="s">
        <v>90</v>
      </c>
      <c r="B897" t="s">
        <v>6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6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6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5.5946499999999997</v>
      </c>
      <c r="K899" t="s">
        <v>29</v>
      </c>
    </row>
    <row r="900" spans="1:11" x14ac:dyDescent="0.45">
      <c r="A900" t="s">
        <v>90</v>
      </c>
      <c r="B900" t="s">
        <v>6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4.7282500000000001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5.6577500000000001</v>
      </c>
      <c r="K901" t="s">
        <v>29</v>
      </c>
    </row>
    <row r="902" spans="1:11" x14ac:dyDescent="0.45">
      <c r="A902" t="s">
        <v>90</v>
      </c>
      <c r="B902" t="s">
        <v>6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6.7579000000000002</v>
      </c>
      <c r="K902" t="s">
        <v>29</v>
      </c>
    </row>
    <row r="903" spans="1:11" x14ac:dyDescent="0.45">
      <c r="A903" t="s">
        <v>90</v>
      </c>
      <c r="B903" t="s">
        <v>6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8.1373999999999995</v>
      </c>
      <c r="K903" t="s">
        <v>29</v>
      </c>
    </row>
    <row r="904" spans="1:11" x14ac:dyDescent="0.45">
      <c r="A904" t="s">
        <v>90</v>
      </c>
      <c r="B904" t="s">
        <v>6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9.2483499999999985</v>
      </c>
      <c r="K904" t="s">
        <v>29</v>
      </c>
    </row>
    <row r="905" spans="1:11" x14ac:dyDescent="0.45">
      <c r="A905" t="s">
        <v>90</v>
      </c>
      <c r="B905" t="s">
        <v>6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14.686199999999999</v>
      </c>
      <c r="K905" t="s">
        <v>29</v>
      </c>
    </row>
    <row r="906" spans="1:11" x14ac:dyDescent="0.45">
      <c r="A906" t="s">
        <v>90</v>
      </c>
      <c r="B906" t="s">
        <v>6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15.117049999999999</v>
      </c>
      <c r="K906" t="s">
        <v>29</v>
      </c>
    </row>
    <row r="907" spans="1:11" x14ac:dyDescent="0.45">
      <c r="A907" t="s">
        <v>90</v>
      </c>
      <c r="B907" t="s">
        <v>6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15.547899999999998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15.43695</v>
      </c>
      <c r="K908" t="s">
        <v>29</v>
      </c>
    </row>
    <row r="909" spans="1:11" x14ac:dyDescent="0.45">
      <c r="A909" t="s">
        <v>90</v>
      </c>
      <c r="B909" t="s">
        <v>6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15.325950000000001</v>
      </c>
      <c r="K909" t="s">
        <v>29</v>
      </c>
    </row>
    <row r="910" spans="1:11" x14ac:dyDescent="0.45">
      <c r="A910" t="s">
        <v>90</v>
      </c>
      <c r="B910" t="s">
        <v>6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15.232099999999999</v>
      </c>
      <c r="K910" t="s">
        <v>29</v>
      </c>
    </row>
    <row r="911" spans="1:11" x14ac:dyDescent="0.45">
      <c r="A911" t="s">
        <v>90</v>
      </c>
      <c r="B911" t="s">
        <v>6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15.138300000000001</v>
      </c>
      <c r="K911" t="s">
        <v>29</v>
      </c>
    </row>
    <row r="912" spans="1:11" x14ac:dyDescent="0.45">
      <c r="A912" t="s">
        <v>90</v>
      </c>
      <c r="B912" t="s">
        <v>6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15.0703</v>
      </c>
      <c r="K912" t="s">
        <v>29</v>
      </c>
    </row>
    <row r="913" spans="1:11" x14ac:dyDescent="0.45">
      <c r="A913" t="s">
        <v>90</v>
      </c>
      <c r="B913" t="s">
        <v>6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15.00235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2020</v>
      </c>
      <c r="J914">
        <v>2.0344000000000002</v>
      </c>
      <c r="K914" t="s">
        <v>33</v>
      </c>
    </row>
    <row r="915" spans="1:11" x14ac:dyDescent="0.45">
      <c r="A915" t="s">
        <v>90</v>
      </c>
      <c r="B915" t="s">
        <v>6</v>
      </c>
      <c r="C915" t="s">
        <v>84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2025</v>
      </c>
      <c r="J915">
        <v>2.2243500000000003</v>
      </c>
      <c r="K915" t="s">
        <v>33</v>
      </c>
    </row>
    <row r="916" spans="1:11" x14ac:dyDescent="0.45">
      <c r="A916" t="s">
        <v>90</v>
      </c>
      <c r="B916" t="s">
        <v>6</v>
      </c>
      <c r="C916" t="s">
        <v>84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2030</v>
      </c>
      <c r="J916">
        <v>2.2640500000000001</v>
      </c>
      <c r="K916" t="s">
        <v>33</v>
      </c>
    </row>
    <row r="917" spans="1:11" x14ac:dyDescent="0.45">
      <c r="A917" t="s">
        <v>90</v>
      </c>
      <c r="B917" t="s">
        <v>6</v>
      </c>
      <c r="C917" t="s">
        <v>84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2035</v>
      </c>
      <c r="J917">
        <v>2.2480000000000002</v>
      </c>
      <c r="K917" t="s">
        <v>33</v>
      </c>
    </row>
    <row r="918" spans="1:11" x14ac:dyDescent="0.45">
      <c r="A918" t="s">
        <v>90</v>
      </c>
      <c r="B918" t="s">
        <v>6</v>
      </c>
      <c r="C918" t="s">
        <v>84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2040</v>
      </c>
      <c r="J918">
        <v>1.94885</v>
      </c>
      <c r="K918" t="s">
        <v>33</v>
      </c>
    </row>
    <row r="919" spans="1:11" x14ac:dyDescent="0.45">
      <c r="A919" t="s">
        <v>90</v>
      </c>
      <c r="B919" t="s">
        <v>6</v>
      </c>
      <c r="C919" t="s">
        <v>84</v>
      </c>
      <c r="D919" t="s">
        <v>33</v>
      </c>
      <c r="E919" t="s">
        <v>30</v>
      </c>
      <c r="F919" t="s">
        <v>33</v>
      </c>
      <c r="G919" t="s">
        <v>31</v>
      </c>
      <c r="H919" t="s">
        <v>34</v>
      </c>
      <c r="I919">
        <v>2045</v>
      </c>
      <c r="J919">
        <v>1.82115</v>
      </c>
      <c r="K919" t="s">
        <v>33</v>
      </c>
    </row>
    <row r="920" spans="1:11" x14ac:dyDescent="0.45">
      <c r="A920" t="s">
        <v>90</v>
      </c>
      <c r="B920" t="s">
        <v>6</v>
      </c>
      <c r="C920" t="s">
        <v>84</v>
      </c>
      <c r="D920" t="s">
        <v>33</v>
      </c>
      <c r="E920" t="s">
        <v>30</v>
      </c>
      <c r="F920" t="s">
        <v>33</v>
      </c>
      <c r="G920" t="s">
        <v>31</v>
      </c>
      <c r="H920" t="s">
        <v>34</v>
      </c>
      <c r="I920">
        <v>2050</v>
      </c>
      <c r="J920">
        <v>2.1814</v>
      </c>
      <c r="K920" t="s">
        <v>33</v>
      </c>
    </row>
    <row r="921" spans="1:11" x14ac:dyDescent="0.45">
      <c r="A921" t="s">
        <v>90</v>
      </c>
      <c r="B921" t="s">
        <v>6</v>
      </c>
      <c r="C921" t="s">
        <v>84</v>
      </c>
      <c r="D921" t="s">
        <v>33</v>
      </c>
      <c r="E921" t="s">
        <v>30</v>
      </c>
      <c r="F921" t="s">
        <v>33</v>
      </c>
      <c r="G921" t="s">
        <v>31</v>
      </c>
      <c r="H921" t="s">
        <v>34</v>
      </c>
      <c r="I921">
        <v>2055</v>
      </c>
      <c r="J921">
        <v>1.5321500000000001</v>
      </c>
      <c r="K921" t="s">
        <v>33</v>
      </c>
    </row>
    <row r="922" spans="1:11" x14ac:dyDescent="0.45">
      <c r="A922" t="s">
        <v>90</v>
      </c>
      <c r="B922" t="s">
        <v>6</v>
      </c>
      <c r="C922" t="s">
        <v>84</v>
      </c>
      <c r="D922" t="s">
        <v>33</v>
      </c>
      <c r="E922" t="s">
        <v>30</v>
      </c>
      <c r="F922" t="s">
        <v>33</v>
      </c>
      <c r="G922" t="s">
        <v>31</v>
      </c>
      <c r="H922" t="s">
        <v>34</v>
      </c>
      <c r="I922">
        <v>2060</v>
      </c>
      <c r="J922">
        <v>2.2842500000000001</v>
      </c>
      <c r="K922" t="s">
        <v>33</v>
      </c>
    </row>
    <row r="923" spans="1:11" x14ac:dyDescent="0.45">
      <c r="A923" t="s">
        <v>90</v>
      </c>
      <c r="B923" t="s">
        <v>6</v>
      </c>
      <c r="C923" t="s">
        <v>84</v>
      </c>
      <c r="D923" t="s">
        <v>33</v>
      </c>
      <c r="E923" t="s">
        <v>30</v>
      </c>
      <c r="F923" t="s">
        <v>33</v>
      </c>
      <c r="G923" t="s">
        <v>31</v>
      </c>
      <c r="H923" t="s">
        <v>34</v>
      </c>
      <c r="I923">
        <v>2065</v>
      </c>
      <c r="J923">
        <v>2.2705000000000002</v>
      </c>
      <c r="K923" t="s">
        <v>33</v>
      </c>
    </row>
    <row r="924" spans="1:11" x14ac:dyDescent="0.45">
      <c r="A924" t="s">
        <v>90</v>
      </c>
      <c r="B924" t="s">
        <v>6</v>
      </c>
      <c r="C924" t="s">
        <v>84</v>
      </c>
      <c r="D924" t="s">
        <v>33</v>
      </c>
      <c r="E924" t="s">
        <v>30</v>
      </c>
      <c r="F924" t="s">
        <v>33</v>
      </c>
      <c r="G924" t="s">
        <v>31</v>
      </c>
      <c r="H924" t="s">
        <v>34</v>
      </c>
      <c r="I924">
        <v>2070</v>
      </c>
      <c r="J924">
        <v>2.2568000000000001</v>
      </c>
      <c r="K924" t="s">
        <v>33</v>
      </c>
    </row>
    <row r="925" spans="1:11" x14ac:dyDescent="0.45">
      <c r="A925" t="s">
        <v>90</v>
      </c>
      <c r="B925" t="s">
        <v>6</v>
      </c>
      <c r="C925" t="s">
        <v>84</v>
      </c>
      <c r="D925" t="s">
        <v>33</v>
      </c>
      <c r="E925" t="s">
        <v>30</v>
      </c>
      <c r="F925" t="s">
        <v>33</v>
      </c>
      <c r="G925" t="s">
        <v>31</v>
      </c>
      <c r="H925" t="s">
        <v>34</v>
      </c>
      <c r="I925">
        <v>2075</v>
      </c>
      <c r="J925">
        <v>2.2270000000000003</v>
      </c>
      <c r="K925" t="s">
        <v>33</v>
      </c>
    </row>
    <row r="926" spans="1:11" x14ac:dyDescent="0.45">
      <c r="A926" t="s">
        <v>90</v>
      </c>
      <c r="B926" t="s">
        <v>6</v>
      </c>
      <c r="C926" t="s">
        <v>84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2080</v>
      </c>
      <c r="J926">
        <v>2.1972499999999999</v>
      </c>
      <c r="K926" t="s">
        <v>33</v>
      </c>
    </row>
    <row r="927" spans="1:11" x14ac:dyDescent="0.45">
      <c r="A927" t="s">
        <v>90</v>
      </c>
      <c r="B927" t="s">
        <v>6</v>
      </c>
      <c r="C927" t="s">
        <v>84</v>
      </c>
      <c r="D927" t="s">
        <v>33</v>
      </c>
      <c r="E927" t="s">
        <v>30</v>
      </c>
      <c r="F927" t="s">
        <v>33</v>
      </c>
      <c r="G927" t="s">
        <v>31</v>
      </c>
      <c r="H927" t="s">
        <v>34</v>
      </c>
      <c r="I927">
        <v>2085</v>
      </c>
      <c r="J927">
        <v>2.1886000000000001</v>
      </c>
      <c r="K927" t="s">
        <v>33</v>
      </c>
    </row>
    <row r="928" spans="1:11" x14ac:dyDescent="0.45">
      <c r="A928" t="s">
        <v>90</v>
      </c>
      <c r="B928" t="s">
        <v>6</v>
      </c>
      <c r="C928" t="s">
        <v>84</v>
      </c>
      <c r="D928" t="s">
        <v>33</v>
      </c>
      <c r="E928" t="s">
        <v>30</v>
      </c>
      <c r="F928" t="s">
        <v>33</v>
      </c>
      <c r="G928" t="s">
        <v>31</v>
      </c>
      <c r="H928" t="s">
        <v>34</v>
      </c>
      <c r="I928">
        <v>2090</v>
      </c>
      <c r="J928">
        <v>2.1798999999999999</v>
      </c>
      <c r="K928" t="s">
        <v>33</v>
      </c>
    </row>
    <row r="929" spans="1:11" x14ac:dyDescent="0.45">
      <c r="A929" t="s">
        <v>90</v>
      </c>
      <c r="B929" t="s">
        <v>6</v>
      </c>
      <c r="C929" t="s">
        <v>84</v>
      </c>
      <c r="D929" t="s">
        <v>33</v>
      </c>
      <c r="E929" t="s">
        <v>30</v>
      </c>
      <c r="F929" t="s">
        <v>33</v>
      </c>
      <c r="G929" t="s">
        <v>31</v>
      </c>
      <c r="H929" t="s">
        <v>34</v>
      </c>
      <c r="I929">
        <v>2095</v>
      </c>
      <c r="J929">
        <v>2.117</v>
      </c>
      <c r="K929" t="s">
        <v>33</v>
      </c>
    </row>
    <row r="930" spans="1:11" x14ac:dyDescent="0.45">
      <c r="A930" t="s">
        <v>90</v>
      </c>
      <c r="B930" t="s">
        <v>6</v>
      </c>
      <c r="C930" t="s">
        <v>84</v>
      </c>
      <c r="D930" t="s">
        <v>33</v>
      </c>
      <c r="E930" t="s">
        <v>30</v>
      </c>
      <c r="F930" t="s">
        <v>33</v>
      </c>
      <c r="G930" t="s">
        <v>31</v>
      </c>
      <c r="H930" t="s">
        <v>34</v>
      </c>
      <c r="I930">
        <v>2100</v>
      </c>
      <c r="J930">
        <v>2.0540000000000003</v>
      </c>
      <c r="K930" t="s">
        <v>33</v>
      </c>
    </row>
    <row r="931" spans="1:11" x14ac:dyDescent="0.45">
      <c r="A931" t="s">
        <v>90</v>
      </c>
      <c r="B931" t="s">
        <v>6</v>
      </c>
      <c r="C931" t="s">
        <v>84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9.0470000000000006</v>
      </c>
      <c r="K931" t="s">
        <v>28</v>
      </c>
    </row>
    <row r="932" spans="1:11" x14ac:dyDescent="0.45">
      <c r="A932" t="s">
        <v>90</v>
      </c>
      <c r="B932" t="s">
        <v>6</v>
      </c>
      <c r="C932" t="s">
        <v>84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12.70975</v>
      </c>
      <c r="K932" t="s">
        <v>28</v>
      </c>
    </row>
    <row r="933" spans="1:11" x14ac:dyDescent="0.45">
      <c r="A933" t="s">
        <v>90</v>
      </c>
      <c r="B933" t="s">
        <v>6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16.341950000000001</v>
      </c>
      <c r="K933" t="s">
        <v>28</v>
      </c>
    </row>
    <row r="934" spans="1:11" x14ac:dyDescent="0.45">
      <c r="A934" t="s">
        <v>90</v>
      </c>
      <c r="B934" t="s">
        <v>6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19.768250000000002</v>
      </c>
      <c r="K934" t="s">
        <v>28</v>
      </c>
    </row>
    <row r="935" spans="1:11" x14ac:dyDescent="0.45">
      <c r="A935" t="s">
        <v>90</v>
      </c>
      <c r="B935" t="s">
        <v>6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19.6128</v>
      </c>
      <c r="K935" t="s">
        <v>28</v>
      </c>
    </row>
    <row r="936" spans="1:11" x14ac:dyDescent="0.45">
      <c r="A936" t="s">
        <v>90</v>
      </c>
      <c r="B936" t="s">
        <v>6</v>
      </c>
      <c r="C936" t="s">
        <v>84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18.872350000000001</v>
      </c>
      <c r="K936" t="s">
        <v>28</v>
      </c>
    </row>
    <row r="937" spans="1:11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18.701050000000002</v>
      </c>
      <c r="K937" t="s">
        <v>28</v>
      </c>
    </row>
    <row r="938" spans="1:11" x14ac:dyDescent="0.45">
      <c r="A938" t="s">
        <v>90</v>
      </c>
      <c r="B938" t="s">
        <v>6</v>
      </c>
      <c r="C938" t="s">
        <v>84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18.241149999999998</v>
      </c>
      <c r="K938" t="s">
        <v>28</v>
      </c>
    </row>
    <row r="939" spans="1:11" x14ac:dyDescent="0.45">
      <c r="A939" t="s">
        <v>90</v>
      </c>
      <c r="B939" t="s">
        <v>6</v>
      </c>
      <c r="C939" t="s">
        <v>84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17.864449999999998</v>
      </c>
      <c r="K939" t="s">
        <v>28</v>
      </c>
    </row>
    <row r="940" spans="1:11" x14ac:dyDescent="0.45">
      <c r="A940" t="s">
        <v>90</v>
      </c>
      <c r="B940" t="s">
        <v>6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17.386099999999999</v>
      </c>
      <c r="K940" t="s">
        <v>28</v>
      </c>
    </row>
    <row r="941" spans="1:11" x14ac:dyDescent="0.45">
      <c r="A941" t="s">
        <v>90</v>
      </c>
      <c r="B941" t="s">
        <v>6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16.911799999999999</v>
      </c>
      <c r="K941" t="s">
        <v>28</v>
      </c>
    </row>
    <row r="942" spans="1:11" x14ac:dyDescent="0.45">
      <c r="A942" t="s">
        <v>90</v>
      </c>
      <c r="B942" t="s">
        <v>6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16.458449999999999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16.009650000000001</v>
      </c>
      <c r="K943" t="s">
        <v>28</v>
      </c>
    </row>
    <row r="944" spans="1:11" x14ac:dyDescent="0.45">
      <c r="A944" t="s">
        <v>90</v>
      </c>
      <c r="B944" t="s">
        <v>6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15.4634</v>
      </c>
      <c r="K944" t="s">
        <v>28</v>
      </c>
    </row>
    <row r="945" spans="1:11" x14ac:dyDescent="0.45">
      <c r="A945" t="s">
        <v>90</v>
      </c>
      <c r="B945" t="s">
        <v>6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14.923349999999999</v>
      </c>
      <c r="K945" t="s">
        <v>28</v>
      </c>
    </row>
    <row r="946" spans="1:11" x14ac:dyDescent="0.45">
      <c r="A946" t="s">
        <v>90</v>
      </c>
      <c r="B946" t="s">
        <v>6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14.3306</v>
      </c>
      <c r="K946" t="s">
        <v>28</v>
      </c>
    </row>
    <row r="947" spans="1:11" x14ac:dyDescent="0.45">
      <c r="A947" t="s">
        <v>90</v>
      </c>
      <c r="B947" t="s">
        <v>6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13.739699999999999</v>
      </c>
      <c r="K947" t="s">
        <v>28</v>
      </c>
    </row>
    <row r="948" spans="1:11" x14ac:dyDescent="0.45">
      <c r="A948" t="s">
        <v>90</v>
      </c>
      <c r="B948" t="s">
        <v>6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2020</v>
      </c>
      <c r="J948">
        <v>14.787700000000001</v>
      </c>
      <c r="K948" t="s">
        <v>24</v>
      </c>
    </row>
    <row r="949" spans="1:11" x14ac:dyDescent="0.45">
      <c r="A949" t="s">
        <v>90</v>
      </c>
      <c r="B949" t="s">
        <v>6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2025</v>
      </c>
      <c r="J949">
        <v>16.685649999999999</v>
      </c>
      <c r="K949" t="s">
        <v>24</v>
      </c>
    </row>
    <row r="950" spans="1:11" x14ac:dyDescent="0.45">
      <c r="A950" t="s">
        <v>90</v>
      </c>
      <c r="B950" t="s">
        <v>6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2030</v>
      </c>
      <c r="J950">
        <v>17.683700000000002</v>
      </c>
      <c r="K950" t="s">
        <v>24</v>
      </c>
    </row>
    <row r="951" spans="1:11" x14ac:dyDescent="0.45">
      <c r="A951" t="s">
        <v>90</v>
      </c>
      <c r="B951" t="s">
        <v>6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2035</v>
      </c>
      <c r="J951">
        <v>17.510449999999999</v>
      </c>
      <c r="K951" t="s">
        <v>24</v>
      </c>
    </row>
    <row r="952" spans="1:11" x14ac:dyDescent="0.45">
      <c r="A952" t="s">
        <v>90</v>
      </c>
      <c r="B952" t="s">
        <v>6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2040</v>
      </c>
      <c r="J952">
        <v>16.643149999999999</v>
      </c>
      <c r="K952" t="s">
        <v>24</v>
      </c>
    </row>
    <row r="953" spans="1:11" x14ac:dyDescent="0.45">
      <c r="A953" t="s">
        <v>90</v>
      </c>
      <c r="B953" t="s">
        <v>6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2045</v>
      </c>
      <c r="J953">
        <v>15.472000000000001</v>
      </c>
      <c r="K953" t="s">
        <v>24</v>
      </c>
    </row>
    <row r="954" spans="1:11" x14ac:dyDescent="0.45">
      <c r="A954" t="s">
        <v>90</v>
      </c>
      <c r="B954" t="s">
        <v>6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2050</v>
      </c>
      <c r="J954">
        <v>14.550699999999999</v>
      </c>
      <c r="K954" t="s">
        <v>24</v>
      </c>
    </row>
    <row r="955" spans="1:11" x14ac:dyDescent="0.45">
      <c r="A955" t="s">
        <v>90</v>
      </c>
      <c r="B955" t="s">
        <v>6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2055</v>
      </c>
      <c r="J955">
        <v>13.927099999999999</v>
      </c>
      <c r="K955" t="s">
        <v>24</v>
      </c>
    </row>
    <row r="956" spans="1:11" x14ac:dyDescent="0.45">
      <c r="A956" t="s">
        <v>90</v>
      </c>
      <c r="B956" t="s">
        <v>6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12.801600000000001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2065</v>
      </c>
      <c r="J957">
        <v>11.658999999999999</v>
      </c>
      <c r="K957" t="s">
        <v>24</v>
      </c>
    </row>
    <row r="958" spans="1:11" x14ac:dyDescent="0.45">
      <c r="A958" t="s">
        <v>90</v>
      </c>
      <c r="B958" t="s">
        <v>6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2070</v>
      </c>
      <c r="J958">
        <v>10.5205</v>
      </c>
      <c r="K958" t="s">
        <v>24</v>
      </c>
    </row>
    <row r="959" spans="1:11" x14ac:dyDescent="0.45">
      <c r="A959" t="s">
        <v>90</v>
      </c>
      <c r="B959" t="s">
        <v>6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2075</v>
      </c>
      <c r="J959">
        <v>9.4424500000000009</v>
      </c>
      <c r="K959" t="s">
        <v>24</v>
      </c>
    </row>
    <row r="960" spans="1:11" x14ac:dyDescent="0.45">
      <c r="A960" t="s">
        <v>90</v>
      </c>
      <c r="B960" t="s">
        <v>6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2080</v>
      </c>
      <c r="J960">
        <v>8.367049999999999</v>
      </c>
      <c r="K960" t="s">
        <v>24</v>
      </c>
    </row>
    <row r="961" spans="1:11" x14ac:dyDescent="0.45">
      <c r="A961" t="s">
        <v>90</v>
      </c>
      <c r="B961" t="s">
        <v>6</v>
      </c>
      <c r="C961" t="s">
        <v>84</v>
      </c>
      <c r="D961" t="s">
        <v>24</v>
      </c>
      <c r="E961" t="s">
        <v>25</v>
      </c>
      <c r="F961" t="s">
        <v>24</v>
      </c>
      <c r="G961" t="s">
        <v>26</v>
      </c>
      <c r="H961" t="s">
        <v>13</v>
      </c>
      <c r="I961">
        <v>2085</v>
      </c>
      <c r="J961">
        <v>7.4849999999999994</v>
      </c>
      <c r="K961" t="s">
        <v>24</v>
      </c>
    </row>
    <row r="962" spans="1:11" x14ac:dyDescent="0.45">
      <c r="A962" t="s">
        <v>90</v>
      </c>
      <c r="B962" t="s">
        <v>6</v>
      </c>
      <c r="C962" t="s">
        <v>84</v>
      </c>
      <c r="D962" t="s">
        <v>24</v>
      </c>
      <c r="E962" t="s">
        <v>25</v>
      </c>
      <c r="F962" t="s">
        <v>24</v>
      </c>
      <c r="G962" t="s">
        <v>26</v>
      </c>
      <c r="H962" t="s">
        <v>13</v>
      </c>
      <c r="I962">
        <v>2090</v>
      </c>
      <c r="J962">
        <v>6.6071499999999999</v>
      </c>
      <c r="K962" t="s">
        <v>24</v>
      </c>
    </row>
    <row r="963" spans="1:11" x14ac:dyDescent="0.45">
      <c r="A963" t="s">
        <v>90</v>
      </c>
      <c r="B963" t="s">
        <v>6</v>
      </c>
      <c r="C963" t="s">
        <v>84</v>
      </c>
      <c r="D963" t="s">
        <v>24</v>
      </c>
      <c r="E963" t="s">
        <v>25</v>
      </c>
      <c r="F963" t="s">
        <v>24</v>
      </c>
      <c r="G963" t="s">
        <v>26</v>
      </c>
      <c r="H963" t="s">
        <v>13</v>
      </c>
      <c r="I963">
        <v>2095</v>
      </c>
      <c r="J963">
        <v>5.859</v>
      </c>
      <c r="K963" t="s">
        <v>24</v>
      </c>
    </row>
    <row r="964" spans="1:11" x14ac:dyDescent="0.45">
      <c r="A964" t="s">
        <v>90</v>
      </c>
      <c r="B964" t="s">
        <v>6</v>
      </c>
      <c r="C964" t="s">
        <v>84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2100</v>
      </c>
      <c r="J964">
        <v>5.1115999999999993</v>
      </c>
      <c r="K964" t="s">
        <v>24</v>
      </c>
    </row>
    <row r="965" spans="1:11" x14ac:dyDescent="0.45">
      <c r="A965" t="s">
        <v>90</v>
      </c>
      <c r="B965" t="s">
        <v>6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0.24015</v>
      </c>
      <c r="K965" t="s">
        <v>27</v>
      </c>
    </row>
    <row r="966" spans="1:11" x14ac:dyDescent="0.45">
      <c r="A966" t="s">
        <v>90</v>
      </c>
      <c r="B966" t="s">
        <v>6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0.67159999999999997</v>
      </c>
      <c r="K966" t="s">
        <v>27</v>
      </c>
    </row>
    <row r="967" spans="1:11" x14ac:dyDescent="0.45">
      <c r="A967" t="s">
        <v>90</v>
      </c>
      <c r="B967" t="s">
        <v>6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1.5924</v>
      </c>
      <c r="K967" t="s">
        <v>27</v>
      </c>
    </row>
    <row r="968" spans="1:11" x14ac:dyDescent="0.45">
      <c r="A968" t="s">
        <v>90</v>
      </c>
      <c r="B968" t="s">
        <v>6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2.6692</v>
      </c>
      <c r="K968" t="s">
        <v>27</v>
      </c>
    </row>
    <row r="969" spans="1:11" x14ac:dyDescent="0.45">
      <c r="A969" t="s">
        <v>90</v>
      </c>
      <c r="B969" t="s">
        <v>6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3.2989999999999999</v>
      </c>
      <c r="K969" t="s">
        <v>27</v>
      </c>
    </row>
    <row r="970" spans="1:11" x14ac:dyDescent="0.45">
      <c r="A970" t="s">
        <v>90</v>
      </c>
      <c r="B970" t="s">
        <v>6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3.6662999999999997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3.93405</v>
      </c>
      <c r="K971" t="s">
        <v>27</v>
      </c>
    </row>
    <row r="972" spans="1:11" x14ac:dyDescent="0.45">
      <c r="A972" t="s">
        <v>90</v>
      </c>
      <c r="B972" t="s">
        <v>6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4.0736499999999998</v>
      </c>
      <c r="K972" t="s">
        <v>27</v>
      </c>
    </row>
    <row r="973" spans="1:11" x14ac:dyDescent="0.45">
      <c r="A973" t="s">
        <v>90</v>
      </c>
      <c r="B973" t="s">
        <v>6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4.1354000000000006</v>
      </c>
      <c r="K973" t="s">
        <v>27</v>
      </c>
    </row>
    <row r="974" spans="1:11" x14ac:dyDescent="0.45">
      <c r="A974" t="s">
        <v>90</v>
      </c>
      <c r="B974" t="s">
        <v>6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4.10175</v>
      </c>
      <c r="K974" t="s">
        <v>27</v>
      </c>
    </row>
    <row r="975" spans="1:11" x14ac:dyDescent="0.45">
      <c r="A975" t="s">
        <v>90</v>
      </c>
      <c r="B975" t="s">
        <v>6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4.0681500000000002</v>
      </c>
      <c r="K975" t="s">
        <v>27</v>
      </c>
    </row>
    <row r="976" spans="1:11" x14ac:dyDescent="0.45">
      <c r="A976" t="s">
        <v>90</v>
      </c>
      <c r="B976" t="s">
        <v>6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4.0215499999999995</v>
      </c>
      <c r="K976" t="s">
        <v>27</v>
      </c>
    </row>
    <row r="977" spans="1:11" x14ac:dyDescent="0.45">
      <c r="A977" t="s">
        <v>90</v>
      </c>
      <c r="B977" t="s">
        <v>6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3.9783499999999998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3.9471499999999997</v>
      </c>
      <c r="K978" t="s">
        <v>27</v>
      </c>
    </row>
    <row r="979" spans="1:11" x14ac:dyDescent="0.45">
      <c r="A979" t="s">
        <v>90</v>
      </c>
      <c r="B979" t="s">
        <v>6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3.9247000000000001</v>
      </c>
      <c r="K979" t="s">
        <v>27</v>
      </c>
    </row>
    <row r="980" spans="1:11" x14ac:dyDescent="0.45">
      <c r="A980" t="s">
        <v>90</v>
      </c>
      <c r="B980" t="s">
        <v>6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3.9095500000000003</v>
      </c>
      <c r="K980" t="s">
        <v>27</v>
      </c>
    </row>
    <row r="981" spans="1:11" x14ac:dyDescent="0.45">
      <c r="A981" t="s">
        <v>90</v>
      </c>
      <c r="B981" t="s">
        <v>6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3.8948499999999999</v>
      </c>
      <c r="K981" t="s">
        <v>27</v>
      </c>
    </row>
    <row r="982" spans="1:11" x14ac:dyDescent="0.45">
      <c r="A982" t="s">
        <v>90</v>
      </c>
      <c r="B982" t="s">
        <v>6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6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4.6684000000000001</v>
      </c>
      <c r="K983" t="s">
        <v>35</v>
      </c>
    </row>
    <row r="984" spans="1:11" x14ac:dyDescent="0.45">
      <c r="A984" t="s">
        <v>90</v>
      </c>
      <c r="B984" t="s">
        <v>6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4.6098499999999998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5.0424499999999997</v>
      </c>
      <c r="K985" t="s">
        <v>35</v>
      </c>
    </row>
    <row r="986" spans="1:11" x14ac:dyDescent="0.45">
      <c r="A986" t="s">
        <v>90</v>
      </c>
      <c r="B986" t="s">
        <v>6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5.21265</v>
      </c>
      <c r="K986" t="s">
        <v>35</v>
      </c>
    </row>
    <row r="987" spans="1:11" x14ac:dyDescent="0.45">
      <c r="A987" t="s">
        <v>90</v>
      </c>
      <c r="B987" t="s">
        <v>6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5.3776000000000002</v>
      </c>
      <c r="K987" t="s">
        <v>35</v>
      </c>
    </row>
    <row r="988" spans="1:11" x14ac:dyDescent="0.45">
      <c r="A988" t="s">
        <v>90</v>
      </c>
      <c r="B988" t="s">
        <v>6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5.4856999999999996</v>
      </c>
      <c r="K988" t="s">
        <v>35</v>
      </c>
    </row>
    <row r="989" spans="1:11" x14ac:dyDescent="0.45">
      <c r="A989" t="s">
        <v>90</v>
      </c>
      <c r="B989" t="s">
        <v>6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4.8427000000000007</v>
      </c>
      <c r="K989" t="s">
        <v>35</v>
      </c>
    </row>
    <row r="990" spans="1:11" x14ac:dyDescent="0.45">
      <c r="A990" t="s">
        <v>90</v>
      </c>
      <c r="B990" t="s">
        <v>6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5.8754</v>
      </c>
      <c r="K990" t="s">
        <v>35</v>
      </c>
    </row>
    <row r="991" spans="1:11" x14ac:dyDescent="0.45">
      <c r="A991" t="s">
        <v>90</v>
      </c>
      <c r="B991" t="s">
        <v>6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5.65855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5.4417</v>
      </c>
      <c r="K992" t="s">
        <v>35</v>
      </c>
    </row>
    <row r="993" spans="1:11" x14ac:dyDescent="0.45">
      <c r="A993" t="s">
        <v>90</v>
      </c>
      <c r="B993" t="s">
        <v>6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5.4064499999999995</v>
      </c>
      <c r="K993" t="s">
        <v>35</v>
      </c>
    </row>
    <row r="994" spans="1:11" x14ac:dyDescent="0.45">
      <c r="A994" t="s">
        <v>90</v>
      </c>
      <c r="B994" t="s">
        <v>6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5.3712499999999999</v>
      </c>
      <c r="K994" t="s">
        <v>35</v>
      </c>
    </row>
    <row r="995" spans="1:11" x14ac:dyDescent="0.45">
      <c r="A995" t="s">
        <v>90</v>
      </c>
      <c r="B995" t="s">
        <v>6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5.36965</v>
      </c>
      <c r="K995" t="s">
        <v>35</v>
      </c>
    </row>
    <row r="996" spans="1:11" x14ac:dyDescent="0.45">
      <c r="A996" t="s">
        <v>90</v>
      </c>
      <c r="B996" t="s">
        <v>6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5.3680500000000002</v>
      </c>
      <c r="K996" t="s">
        <v>35</v>
      </c>
    </row>
    <row r="997" spans="1:11" x14ac:dyDescent="0.45">
      <c r="A997" t="s">
        <v>90</v>
      </c>
      <c r="B997" t="s">
        <v>6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5.4055999999999997</v>
      </c>
      <c r="K997" t="s">
        <v>35</v>
      </c>
    </row>
    <row r="998" spans="1:11" x14ac:dyDescent="0.45">
      <c r="A998" t="s">
        <v>90</v>
      </c>
      <c r="B998" t="s">
        <v>6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5.4432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2020</v>
      </c>
      <c r="J999">
        <v>5.1200000000000002E-2</v>
      </c>
      <c r="K999" t="s">
        <v>85</v>
      </c>
    </row>
    <row r="1000" spans="1:11" x14ac:dyDescent="0.45">
      <c r="A1000" t="s">
        <v>90</v>
      </c>
      <c r="B1000" t="s">
        <v>6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2025</v>
      </c>
      <c r="J1000">
        <v>0.30454999999999999</v>
      </c>
      <c r="K1000" t="s">
        <v>85</v>
      </c>
    </row>
    <row r="1001" spans="1:11" x14ac:dyDescent="0.45">
      <c r="A1001" t="s">
        <v>90</v>
      </c>
      <c r="B1001" t="s">
        <v>6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2030</v>
      </c>
      <c r="J1001">
        <v>0.65100000000000002</v>
      </c>
      <c r="K1001" t="s">
        <v>85</v>
      </c>
    </row>
    <row r="1002" spans="1:11" x14ac:dyDescent="0.45">
      <c r="A1002" t="s">
        <v>90</v>
      </c>
      <c r="B1002" t="s">
        <v>6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2035</v>
      </c>
      <c r="J1002">
        <v>0.89105000000000001</v>
      </c>
      <c r="K1002" t="s">
        <v>85</v>
      </c>
    </row>
    <row r="1003" spans="1:11" x14ac:dyDescent="0.45">
      <c r="A1003" t="s">
        <v>90</v>
      </c>
      <c r="B1003" t="s">
        <v>6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2040</v>
      </c>
      <c r="J1003">
        <v>0.99009999999999998</v>
      </c>
      <c r="K1003" t="s">
        <v>85</v>
      </c>
    </row>
    <row r="1004" spans="1:11" x14ac:dyDescent="0.45">
      <c r="A1004" t="s">
        <v>90</v>
      </c>
      <c r="B1004" t="s">
        <v>6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2045</v>
      </c>
      <c r="J1004">
        <v>1.0968499999999999</v>
      </c>
      <c r="K1004" t="s">
        <v>85</v>
      </c>
    </row>
    <row r="1005" spans="1:11" x14ac:dyDescent="0.45">
      <c r="A1005" t="s">
        <v>90</v>
      </c>
      <c r="B1005" t="s">
        <v>6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2050</v>
      </c>
      <c r="J1005">
        <v>1.3602000000000001</v>
      </c>
      <c r="K1005" t="s">
        <v>85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2055</v>
      </c>
      <c r="J1006">
        <v>2.4757499999999997</v>
      </c>
      <c r="K1006" t="s">
        <v>85</v>
      </c>
    </row>
    <row r="1007" spans="1:11" x14ac:dyDescent="0.45">
      <c r="A1007" t="s">
        <v>90</v>
      </c>
      <c r="B1007" t="s">
        <v>6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2060</v>
      </c>
      <c r="J1007">
        <v>3.6385000000000001</v>
      </c>
      <c r="K1007" t="s">
        <v>85</v>
      </c>
    </row>
    <row r="1008" spans="1:11" x14ac:dyDescent="0.45">
      <c r="A1008" t="s">
        <v>90</v>
      </c>
      <c r="B1008" t="s">
        <v>6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2065</v>
      </c>
      <c r="J1008">
        <v>3.88625</v>
      </c>
      <c r="K1008" t="s">
        <v>85</v>
      </c>
    </row>
    <row r="1009" spans="1:12" x14ac:dyDescent="0.45">
      <c r="A1009" t="s">
        <v>90</v>
      </c>
      <c r="B1009" t="s">
        <v>6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2070</v>
      </c>
      <c r="J1009">
        <v>4.0822000000000003</v>
      </c>
      <c r="K1009" t="s">
        <v>85</v>
      </c>
    </row>
    <row r="1010" spans="1:12" x14ac:dyDescent="0.45">
      <c r="A1010" t="s">
        <v>90</v>
      </c>
      <c r="B1010" t="s">
        <v>6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2075</v>
      </c>
      <c r="J1010">
        <v>4.3483000000000001</v>
      </c>
      <c r="K1010" t="s">
        <v>85</v>
      </c>
    </row>
    <row r="1011" spans="1:12" x14ac:dyDescent="0.45">
      <c r="A1011" t="s">
        <v>90</v>
      </c>
      <c r="B1011" t="s">
        <v>6</v>
      </c>
      <c r="C1011" t="s">
        <v>84</v>
      </c>
      <c r="D1011" t="s">
        <v>85</v>
      </c>
      <c r="E1011" t="s">
        <v>25</v>
      </c>
      <c r="F1011" t="s">
        <v>85</v>
      </c>
      <c r="G1011" t="s">
        <v>26</v>
      </c>
      <c r="H1011" t="s">
        <v>82</v>
      </c>
      <c r="I1011">
        <v>2080</v>
      </c>
      <c r="J1011">
        <v>4.5445499999999992</v>
      </c>
      <c r="K1011" t="s">
        <v>85</v>
      </c>
    </row>
    <row r="1012" spans="1:12" x14ac:dyDescent="0.45">
      <c r="A1012" t="s">
        <v>90</v>
      </c>
      <c r="B1012" t="s">
        <v>6</v>
      </c>
      <c r="C1012" t="s">
        <v>84</v>
      </c>
      <c r="D1012" t="s">
        <v>85</v>
      </c>
      <c r="E1012" t="s">
        <v>25</v>
      </c>
      <c r="F1012" t="s">
        <v>85</v>
      </c>
      <c r="G1012" t="s">
        <v>26</v>
      </c>
      <c r="H1012" t="s">
        <v>82</v>
      </c>
      <c r="I1012">
        <v>2085</v>
      </c>
      <c r="J1012">
        <v>4.6942500000000003</v>
      </c>
      <c r="K1012" t="s">
        <v>85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85</v>
      </c>
      <c r="E1013" t="s">
        <v>25</v>
      </c>
      <c r="F1013" t="s">
        <v>85</v>
      </c>
      <c r="G1013" t="s">
        <v>26</v>
      </c>
      <c r="H1013" t="s">
        <v>82</v>
      </c>
      <c r="I1013">
        <v>2090</v>
      </c>
      <c r="J1013">
        <v>4.7600499999999997</v>
      </c>
      <c r="K1013" t="s">
        <v>85</v>
      </c>
    </row>
    <row r="1014" spans="1:12" x14ac:dyDescent="0.45">
      <c r="A1014" t="s">
        <v>90</v>
      </c>
      <c r="B1014" t="s">
        <v>6</v>
      </c>
      <c r="C1014" t="s">
        <v>84</v>
      </c>
      <c r="D1014" t="s">
        <v>85</v>
      </c>
      <c r="E1014" t="s">
        <v>25</v>
      </c>
      <c r="F1014" t="s">
        <v>85</v>
      </c>
      <c r="G1014" t="s">
        <v>26</v>
      </c>
      <c r="H1014" t="s">
        <v>82</v>
      </c>
      <c r="I1014">
        <v>2095</v>
      </c>
      <c r="J1014">
        <v>4.6622000000000003</v>
      </c>
      <c r="K1014" t="s">
        <v>85</v>
      </c>
    </row>
    <row r="1015" spans="1:12" x14ac:dyDescent="0.45">
      <c r="A1015" t="s">
        <v>90</v>
      </c>
      <c r="B1015" t="s">
        <v>6</v>
      </c>
      <c r="C1015" t="s">
        <v>84</v>
      </c>
      <c r="D1015" t="s">
        <v>85</v>
      </c>
      <c r="E1015" t="s">
        <v>25</v>
      </c>
      <c r="F1015" t="s">
        <v>85</v>
      </c>
      <c r="G1015" t="s">
        <v>26</v>
      </c>
      <c r="H1015" t="s">
        <v>82</v>
      </c>
      <c r="I1015">
        <v>2100</v>
      </c>
      <c r="J1015">
        <v>4.5513499999999993</v>
      </c>
      <c r="K1015" t="s">
        <v>85</v>
      </c>
    </row>
    <row r="1016" spans="1:12" x14ac:dyDescent="0.45">
      <c r="A1016" t="s">
        <v>90</v>
      </c>
      <c r="B1016" t="s">
        <v>6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2" x14ac:dyDescent="0.45">
      <c r="A1017" t="s">
        <v>90</v>
      </c>
      <c r="B1017" t="s">
        <v>6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H1017" t="s">
        <v>89</v>
      </c>
      <c r="I1017">
        <v>2020</v>
      </c>
      <c r="J1017">
        <v>21.446999999999999</v>
      </c>
      <c r="K1017" t="s">
        <v>52</v>
      </c>
      <c r="L1017">
        <v>94</v>
      </c>
    </row>
    <row r="1018" spans="1:12" x14ac:dyDescent="0.45">
      <c r="A1018" t="s">
        <v>90</v>
      </c>
      <c r="B1018" t="s">
        <v>6</v>
      </c>
      <c r="C1018" t="s">
        <v>84</v>
      </c>
      <c r="D1018" t="s">
        <v>53</v>
      </c>
      <c r="E1018" t="s">
        <v>25</v>
      </c>
      <c r="F1018" t="s">
        <v>53</v>
      </c>
      <c r="G1018" t="s">
        <v>71</v>
      </c>
      <c r="H1018" t="s">
        <v>89</v>
      </c>
      <c r="I1018">
        <v>2020</v>
      </c>
      <c r="J1018">
        <v>1.6335999999999999</v>
      </c>
      <c r="K1018" t="s">
        <v>53</v>
      </c>
      <c r="L1018">
        <v>55</v>
      </c>
    </row>
    <row r="1019" spans="1:12" x14ac:dyDescent="0.45">
      <c r="A1019" t="s">
        <v>90</v>
      </c>
      <c r="B1019" t="s">
        <v>6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2020</v>
      </c>
      <c r="J1019">
        <v>4.2500000000000003E-2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2025</v>
      </c>
      <c r="J1020">
        <v>0</v>
      </c>
      <c r="K1020" t="s">
        <v>45</v>
      </c>
    </row>
    <row r="1021" spans="1:12" x14ac:dyDescent="0.45">
      <c r="A1021" t="s">
        <v>90</v>
      </c>
      <c r="B1021" t="s">
        <v>6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H1021" t="s">
        <v>89</v>
      </c>
      <c r="I1021">
        <v>2025</v>
      </c>
      <c r="J1021">
        <v>21.279699999999998</v>
      </c>
      <c r="K1021" t="s">
        <v>52</v>
      </c>
      <c r="L1021">
        <v>94</v>
      </c>
    </row>
    <row r="1022" spans="1:12" x14ac:dyDescent="0.45">
      <c r="A1022" t="s">
        <v>90</v>
      </c>
      <c r="B1022" t="s">
        <v>6</v>
      </c>
      <c r="C1022" t="s">
        <v>84</v>
      </c>
      <c r="D1022" t="s">
        <v>53</v>
      </c>
      <c r="E1022" t="s">
        <v>25</v>
      </c>
      <c r="F1022" t="s">
        <v>53</v>
      </c>
      <c r="G1022" t="s">
        <v>71</v>
      </c>
      <c r="H1022" t="s">
        <v>89</v>
      </c>
      <c r="I1022">
        <v>2025</v>
      </c>
      <c r="J1022">
        <v>1.9475</v>
      </c>
      <c r="K1022" t="s">
        <v>53</v>
      </c>
      <c r="L1022">
        <v>55</v>
      </c>
    </row>
    <row r="1023" spans="1:12" x14ac:dyDescent="0.45">
      <c r="A1023" t="s">
        <v>90</v>
      </c>
      <c r="B1023" t="s">
        <v>6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2025</v>
      </c>
      <c r="J1023">
        <v>3.2300000000000002E-2</v>
      </c>
      <c r="K1023" t="s">
        <v>54</v>
      </c>
      <c r="L1023">
        <v>70</v>
      </c>
    </row>
    <row r="1024" spans="1:12" x14ac:dyDescent="0.45">
      <c r="A1024" t="s">
        <v>90</v>
      </c>
      <c r="B1024" t="s">
        <v>6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2030</v>
      </c>
      <c r="J1024">
        <v>0</v>
      </c>
      <c r="K1024" t="s">
        <v>45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H1025" t="s">
        <v>89</v>
      </c>
      <c r="I1025">
        <v>2030</v>
      </c>
      <c r="J1025">
        <v>20.120899999999999</v>
      </c>
      <c r="K1025" t="s">
        <v>52</v>
      </c>
      <c r="L1025">
        <v>94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53</v>
      </c>
      <c r="E1026" t="s">
        <v>25</v>
      </c>
      <c r="F1026" t="s">
        <v>53</v>
      </c>
      <c r="G1026" t="s">
        <v>71</v>
      </c>
      <c r="H1026" t="s">
        <v>89</v>
      </c>
      <c r="I1026">
        <v>2030</v>
      </c>
      <c r="J1026">
        <v>1.8292999999999999</v>
      </c>
      <c r="K1026" t="s">
        <v>53</v>
      </c>
      <c r="L1026">
        <v>55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2030</v>
      </c>
      <c r="J1027">
        <v>1.4E-2</v>
      </c>
      <c r="K1027" t="s">
        <v>54</v>
      </c>
      <c r="L1027">
        <v>70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2035</v>
      </c>
      <c r="J1028">
        <v>1.41465</v>
      </c>
      <c r="K1028" t="s">
        <v>45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52</v>
      </c>
      <c r="E1029" t="s">
        <v>25</v>
      </c>
      <c r="F1029" t="s">
        <v>52</v>
      </c>
      <c r="G1029" t="s">
        <v>71</v>
      </c>
      <c r="H1029" t="s">
        <v>89</v>
      </c>
      <c r="I1029">
        <v>2035</v>
      </c>
      <c r="J1029">
        <v>17.254300000000001</v>
      </c>
      <c r="K1029" t="s">
        <v>52</v>
      </c>
      <c r="L1029">
        <v>94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H1030" t="s">
        <v>89</v>
      </c>
      <c r="I1030">
        <v>2035</v>
      </c>
      <c r="J1030">
        <v>1.694</v>
      </c>
      <c r="K1030" t="s">
        <v>53</v>
      </c>
      <c r="L1030">
        <v>55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2035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2040</v>
      </c>
      <c r="J1032">
        <v>7.3361499999999999</v>
      </c>
      <c r="K1032" t="s">
        <v>45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52</v>
      </c>
      <c r="E1033" t="s">
        <v>25</v>
      </c>
      <c r="F1033" t="s">
        <v>52</v>
      </c>
      <c r="G1033" t="s">
        <v>71</v>
      </c>
      <c r="H1033" t="s">
        <v>89</v>
      </c>
      <c r="I1033">
        <v>2040</v>
      </c>
      <c r="J1033">
        <v>8.7378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H1034" t="s">
        <v>89</v>
      </c>
      <c r="I1034">
        <v>2040</v>
      </c>
      <c r="J1034">
        <v>1.5306</v>
      </c>
      <c r="K1034" t="s">
        <v>53</v>
      </c>
      <c r="L1034">
        <v>55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2040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2045</v>
      </c>
      <c r="J1036">
        <v>20.935949999999998</v>
      </c>
      <c r="K1036" t="s">
        <v>45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52</v>
      </c>
      <c r="E1037" t="s">
        <v>25</v>
      </c>
      <c r="F1037" t="s">
        <v>52</v>
      </c>
      <c r="G1037" t="s">
        <v>71</v>
      </c>
      <c r="H1037" t="s">
        <v>89</v>
      </c>
      <c r="I1037">
        <v>2045</v>
      </c>
      <c r="J1037">
        <v>1.7383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H1038" t="s">
        <v>89</v>
      </c>
      <c r="I1038">
        <v>2045</v>
      </c>
      <c r="J1038">
        <v>1.3613999999999999</v>
      </c>
      <c r="K1038" t="s">
        <v>53</v>
      </c>
      <c r="L1038">
        <v>55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2045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2050</v>
      </c>
      <c r="J1040">
        <v>50.663350000000001</v>
      </c>
      <c r="K1040" t="s">
        <v>45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2050</v>
      </c>
      <c r="J1041">
        <v>0.26840000000000003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H1042" t="s">
        <v>89</v>
      </c>
      <c r="I1042">
        <v>2050</v>
      </c>
      <c r="J1042">
        <v>0.87290000000000001</v>
      </c>
      <c r="K1042" t="s">
        <v>53</v>
      </c>
      <c r="L1042">
        <v>55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2050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2055</v>
      </c>
      <c r="J1044">
        <v>303.78285</v>
      </c>
      <c r="K1044" t="s">
        <v>45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52</v>
      </c>
      <c r="E1045" t="s">
        <v>25</v>
      </c>
      <c r="F1045" t="s">
        <v>52</v>
      </c>
      <c r="G1045" t="s">
        <v>71</v>
      </c>
      <c r="H1045" t="s">
        <v>89</v>
      </c>
      <c r="I1045">
        <v>2055</v>
      </c>
      <c r="J1045">
        <v>5.0000000000000001E-3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53</v>
      </c>
      <c r="E1046" t="s">
        <v>25</v>
      </c>
      <c r="F1046" t="s">
        <v>53</v>
      </c>
      <c r="G1046" t="s">
        <v>71</v>
      </c>
      <c r="H1046" t="s">
        <v>89</v>
      </c>
      <c r="I1046">
        <v>2055</v>
      </c>
      <c r="J1046">
        <v>0.55630000000000002</v>
      </c>
      <c r="K1046" t="s">
        <v>53</v>
      </c>
      <c r="L1046">
        <v>55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2055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2060</v>
      </c>
      <c r="J1048">
        <v>335.04930000000002</v>
      </c>
      <c r="K1048" t="s">
        <v>45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52</v>
      </c>
      <c r="E1049" t="s">
        <v>25</v>
      </c>
      <c r="F1049" t="s">
        <v>52</v>
      </c>
      <c r="G1049" t="s">
        <v>71</v>
      </c>
      <c r="H1049" t="s">
        <v>89</v>
      </c>
      <c r="I1049">
        <v>2060</v>
      </c>
      <c r="J1049">
        <v>3.0000000000000003E-4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2060</v>
      </c>
      <c r="J1050">
        <v>0.48940000000000006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2060</v>
      </c>
      <c r="J1051">
        <v>0</v>
      </c>
      <c r="K1051" t="s">
        <v>54</v>
      </c>
      <c r="L1051">
        <v>70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2065</v>
      </c>
      <c r="J1052">
        <v>334.98990000000003</v>
      </c>
      <c r="K1052" t="s">
        <v>45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52</v>
      </c>
      <c r="E1053" t="s">
        <v>25</v>
      </c>
      <c r="F1053" t="s">
        <v>52</v>
      </c>
      <c r="G1053" t="s">
        <v>71</v>
      </c>
      <c r="H1053" t="s">
        <v>89</v>
      </c>
      <c r="I1053">
        <v>2065</v>
      </c>
      <c r="J1053">
        <v>1.5000000000000001E-4</v>
      </c>
      <c r="K1053" t="s">
        <v>52</v>
      </c>
      <c r="L1053">
        <v>94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53</v>
      </c>
      <c r="E1054" t="s">
        <v>25</v>
      </c>
      <c r="F1054" t="s">
        <v>53</v>
      </c>
      <c r="G1054" t="s">
        <v>71</v>
      </c>
      <c r="H1054" t="s">
        <v>89</v>
      </c>
      <c r="I1054">
        <v>2065</v>
      </c>
      <c r="J1054">
        <v>0.43589999999999995</v>
      </c>
      <c r="K1054" t="s">
        <v>53</v>
      </c>
      <c r="L1054">
        <v>55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2065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2070</v>
      </c>
      <c r="J1056">
        <v>334.5675</v>
      </c>
      <c r="K1056" t="s">
        <v>45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52</v>
      </c>
      <c r="E1057" t="s">
        <v>25</v>
      </c>
      <c r="F1057" t="s">
        <v>52</v>
      </c>
      <c r="G1057" t="s">
        <v>71</v>
      </c>
      <c r="H1057" t="s">
        <v>89</v>
      </c>
      <c r="I1057">
        <v>2070</v>
      </c>
      <c r="J1057">
        <v>1E-4</v>
      </c>
      <c r="K1057" t="s">
        <v>52</v>
      </c>
      <c r="L1057">
        <v>94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53</v>
      </c>
      <c r="E1058" t="s">
        <v>25</v>
      </c>
      <c r="F1058" t="s">
        <v>53</v>
      </c>
      <c r="G1058" t="s">
        <v>71</v>
      </c>
      <c r="H1058" t="s">
        <v>89</v>
      </c>
      <c r="I1058">
        <v>2070</v>
      </c>
      <c r="J1058">
        <v>0.38245000000000001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2070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2075</v>
      </c>
      <c r="J1060">
        <v>345.31540000000001</v>
      </c>
      <c r="K1060" t="s">
        <v>45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52</v>
      </c>
      <c r="E1061" t="s">
        <v>25</v>
      </c>
      <c r="F1061" t="s">
        <v>52</v>
      </c>
      <c r="G1061" t="s">
        <v>71</v>
      </c>
      <c r="H1061" t="s">
        <v>89</v>
      </c>
      <c r="I1061">
        <v>2075</v>
      </c>
      <c r="J1061">
        <v>5.0000000000000002E-5</v>
      </c>
      <c r="K1061" t="s">
        <v>52</v>
      </c>
      <c r="L1061">
        <v>94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53</v>
      </c>
      <c r="E1062" t="s">
        <v>25</v>
      </c>
      <c r="F1062" t="s">
        <v>53</v>
      </c>
      <c r="G1062" t="s">
        <v>71</v>
      </c>
      <c r="H1062" t="s">
        <v>89</v>
      </c>
      <c r="I1062">
        <v>2075</v>
      </c>
      <c r="J1062">
        <v>0.34620000000000001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2075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2080</v>
      </c>
      <c r="J1064">
        <v>356.12149999999997</v>
      </c>
      <c r="K1064" t="s">
        <v>45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52</v>
      </c>
      <c r="E1065" t="s">
        <v>25</v>
      </c>
      <c r="F1065" t="s">
        <v>52</v>
      </c>
      <c r="G1065" t="s">
        <v>71</v>
      </c>
      <c r="H1065" t="s">
        <v>89</v>
      </c>
      <c r="I1065">
        <v>2080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2080</v>
      </c>
      <c r="J1066">
        <v>0.31</v>
      </c>
      <c r="K1066" t="s">
        <v>53</v>
      </c>
      <c r="L1066">
        <v>55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2080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2085</v>
      </c>
      <c r="J1068">
        <v>317.66239999999999</v>
      </c>
      <c r="K1068" t="s">
        <v>45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52</v>
      </c>
      <c r="E1069" t="s">
        <v>25</v>
      </c>
      <c r="F1069" t="s">
        <v>52</v>
      </c>
      <c r="G1069" t="s">
        <v>71</v>
      </c>
      <c r="H1069" t="s">
        <v>89</v>
      </c>
      <c r="I1069">
        <v>2085</v>
      </c>
      <c r="J1069">
        <v>0</v>
      </c>
      <c r="K1069" t="s">
        <v>52</v>
      </c>
      <c r="L1069">
        <v>94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2085</v>
      </c>
      <c r="J1070">
        <v>0.2571</v>
      </c>
      <c r="K1070" t="s">
        <v>53</v>
      </c>
      <c r="L1070">
        <v>55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2085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2090</v>
      </c>
      <c r="J1072">
        <v>279.48165</v>
      </c>
      <c r="K1072" t="s">
        <v>45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52</v>
      </c>
      <c r="E1073" t="s">
        <v>25</v>
      </c>
      <c r="F1073" t="s">
        <v>52</v>
      </c>
      <c r="G1073" t="s">
        <v>71</v>
      </c>
      <c r="H1073" t="s">
        <v>89</v>
      </c>
      <c r="I1073">
        <v>2090</v>
      </c>
      <c r="J1073">
        <v>0</v>
      </c>
      <c r="K1073" t="s">
        <v>52</v>
      </c>
      <c r="L1073">
        <v>94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53</v>
      </c>
      <c r="E1074" t="s">
        <v>25</v>
      </c>
      <c r="F1074" t="s">
        <v>53</v>
      </c>
      <c r="G1074" t="s">
        <v>71</v>
      </c>
      <c r="H1074" t="s">
        <v>89</v>
      </c>
      <c r="I1074">
        <v>2090</v>
      </c>
      <c r="J1074">
        <v>0.20425000000000001</v>
      </c>
      <c r="K1074" t="s">
        <v>53</v>
      </c>
      <c r="L1074">
        <v>55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2090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2095</v>
      </c>
      <c r="J1076">
        <v>241.66634999999999</v>
      </c>
      <c r="K1076" t="s">
        <v>45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52</v>
      </c>
      <c r="E1077" t="s">
        <v>25</v>
      </c>
      <c r="F1077" t="s">
        <v>52</v>
      </c>
      <c r="G1077" t="s">
        <v>71</v>
      </c>
      <c r="H1077" t="s">
        <v>89</v>
      </c>
      <c r="I1077">
        <v>2095</v>
      </c>
      <c r="J1077">
        <v>0</v>
      </c>
      <c r="K1077" t="s">
        <v>52</v>
      </c>
      <c r="L1077">
        <v>94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53</v>
      </c>
      <c r="E1078" t="s">
        <v>25</v>
      </c>
      <c r="F1078" t="s">
        <v>53</v>
      </c>
      <c r="G1078" t="s">
        <v>71</v>
      </c>
      <c r="H1078" t="s">
        <v>89</v>
      </c>
      <c r="I1078">
        <v>2095</v>
      </c>
      <c r="J1078">
        <v>0.16740000000000002</v>
      </c>
      <c r="K1078" t="s">
        <v>53</v>
      </c>
      <c r="L1078">
        <v>55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2095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2100</v>
      </c>
      <c r="J1080">
        <v>203.88265000000001</v>
      </c>
      <c r="K1080" t="s">
        <v>45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52</v>
      </c>
      <c r="E1081" t="s">
        <v>25</v>
      </c>
      <c r="F1081" t="s">
        <v>52</v>
      </c>
      <c r="G1081" t="s">
        <v>71</v>
      </c>
      <c r="H1081" t="s">
        <v>89</v>
      </c>
      <c r="I1081">
        <v>2100</v>
      </c>
      <c r="J1081">
        <v>0</v>
      </c>
      <c r="K1081" t="s">
        <v>52</v>
      </c>
      <c r="L1081">
        <v>94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53</v>
      </c>
      <c r="E1082" t="s">
        <v>25</v>
      </c>
      <c r="F1082" t="s">
        <v>53</v>
      </c>
      <c r="G1082" t="s">
        <v>71</v>
      </c>
      <c r="H1082" t="s">
        <v>89</v>
      </c>
      <c r="I1082">
        <v>2100</v>
      </c>
      <c r="J1082">
        <v>0.1305</v>
      </c>
      <c r="K1082" t="s">
        <v>53</v>
      </c>
      <c r="L1082">
        <v>55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2020</v>
      </c>
      <c r="J1084">
        <v>79.124200000000002</v>
      </c>
      <c r="K1084" t="s">
        <v>37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37</v>
      </c>
      <c r="E1085" t="s">
        <v>30</v>
      </c>
      <c r="F1085" t="s">
        <v>37</v>
      </c>
      <c r="G1085" t="s">
        <v>31</v>
      </c>
      <c r="H1085" t="s">
        <v>38</v>
      </c>
      <c r="I1085">
        <v>2025</v>
      </c>
      <c r="J1085">
        <v>82.617149999999995</v>
      </c>
      <c r="K1085" t="s">
        <v>37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2030</v>
      </c>
      <c r="J1086">
        <v>86.955299999999994</v>
      </c>
      <c r="K1086" t="s">
        <v>37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37</v>
      </c>
      <c r="E1087" t="s">
        <v>30</v>
      </c>
      <c r="F1087" t="s">
        <v>37</v>
      </c>
      <c r="G1087" t="s">
        <v>31</v>
      </c>
      <c r="H1087" t="s">
        <v>38</v>
      </c>
      <c r="I1087">
        <v>2035</v>
      </c>
      <c r="J1087">
        <v>70.034549999999996</v>
      </c>
      <c r="K1087" t="s">
        <v>37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37</v>
      </c>
      <c r="E1088" t="s">
        <v>30</v>
      </c>
      <c r="F1088" t="s">
        <v>37</v>
      </c>
      <c r="G1088" t="s">
        <v>31</v>
      </c>
      <c r="H1088" t="s">
        <v>38</v>
      </c>
      <c r="I1088">
        <v>2040</v>
      </c>
      <c r="J1088">
        <v>88.087800000000001</v>
      </c>
      <c r="K1088" t="s">
        <v>37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37</v>
      </c>
      <c r="E1089" t="s">
        <v>30</v>
      </c>
      <c r="F1089" t="s">
        <v>37</v>
      </c>
      <c r="G1089" t="s">
        <v>31</v>
      </c>
      <c r="H1089" t="s">
        <v>38</v>
      </c>
      <c r="I1089">
        <v>2045</v>
      </c>
      <c r="J1089">
        <v>103.48349999999999</v>
      </c>
      <c r="K1089" t="s">
        <v>37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37</v>
      </c>
      <c r="E1090" t="s">
        <v>30</v>
      </c>
      <c r="F1090" t="s">
        <v>37</v>
      </c>
      <c r="G1090" t="s">
        <v>31</v>
      </c>
      <c r="H1090" t="s">
        <v>38</v>
      </c>
      <c r="I1090">
        <v>2050</v>
      </c>
      <c r="J1090">
        <v>126.86465</v>
      </c>
      <c r="K1090" t="s">
        <v>37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37</v>
      </c>
      <c r="E1091" t="s">
        <v>30</v>
      </c>
      <c r="F1091" t="s">
        <v>37</v>
      </c>
      <c r="G1091" t="s">
        <v>31</v>
      </c>
      <c r="H1091" t="s">
        <v>38</v>
      </c>
      <c r="I1091">
        <v>2055</v>
      </c>
      <c r="J1091">
        <v>120.13460000000001</v>
      </c>
      <c r="K1091" t="s">
        <v>37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37</v>
      </c>
      <c r="E1092" t="s">
        <v>30</v>
      </c>
      <c r="F1092" t="s">
        <v>37</v>
      </c>
      <c r="G1092" t="s">
        <v>31</v>
      </c>
      <c r="H1092" t="s">
        <v>38</v>
      </c>
      <c r="I1092">
        <v>2060</v>
      </c>
      <c r="J1092">
        <v>200.62524999999999</v>
      </c>
      <c r="K1092" t="s">
        <v>37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37</v>
      </c>
      <c r="E1093" t="s">
        <v>30</v>
      </c>
      <c r="F1093" t="s">
        <v>37</v>
      </c>
      <c r="G1093" t="s">
        <v>31</v>
      </c>
      <c r="H1093" t="s">
        <v>38</v>
      </c>
      <c r="I1093">
        <v>2065</v>
      </c>
      <c r="J1093">
        <v>252.99539999999999</v>
      </c>
      <c r="K1093" t="s">
        <v>37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2070</v>
      </c>
      <c r="J1094">
        <v>305.36554999999998</v>
      </c>
      <c r="K1094" t="s">
        <v>37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2075</v>
      </c>
      <c r="J1095">
        <v>298.39639999999997</v>
      </c>
      <c r="K1095" t="s">
        <v>37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2080</v>
      </c>
      <c r="J1096">
        <v>291.42724999999996</v>
      </c>
      <c r="K1096" t="s">
        <v>37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2085</v>
      </c>
      <c r="J1097">
        <v>294.10804999999999</v>
      </c>
      <c r="K1097" t="s">
        <v>37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2090</v>
      </c>
      <c r="J1098">
        <v>296.78879999999998</v>
      </c>
      <c r="K1098" t="s">
        <v>37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2095</v>
      </c>
      <c r="J1099">
        <v>312.99759999999998</v>
      </c>
      <c r="K1099" t="s">
        <v>37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329.20640000000003</v>
      </c>
      <c r="K1100" t="s">
        <v>37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10725.867099999999</v>
      </c>
      <c r="K1101" t="s">
        <v>48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2020</v>
      </c>
      <c r="J1102">
        <v>10477.038500000001</v>
      </c>
      <c r="K1102" t="s">
        <v>51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2025</v>
      </c>
      <c r="J1103">
        <v>10262.67805</v>
      </c>
      <c r="K1103" t="s">
        <v>48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2025</v>
      </c>
      <c r="J1104">
        <v>9864.0028500000008</v>
      </c>
      <c r="K1104" t="s">
        <v>51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2030</v>
      </c>
      <c r="J1105">
        <v>5009.5637999999999</v>
      </c>
      <c r="K1105" t="s">
        <v>48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2030</v>
      </c>
      <c r="J1106">
        <v>4954.2237000000005</v>
      </c>
      <c r="K1106" t="s">
        <v>51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2035</v>
      </c>
      <c r="J1107">
        <v>1997.3950500000001</v>
      </c>
      <c r="K1107" t="s">
        <v>48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51</v>
      </c>
      <c r="E1108" t="s">
        <v>46</v>
      </c>
      <c r="F1108" t="s">
        <v>51</v>
      </c>
      <c r="G1108" t="s">
        <v>49</v>
      </c>
      <c r="H1108" t="s">
        <v>50</v>
      </c>
      <c r="I1108">
        <v>2035</v>
      </c>
      <c r="J1108">
        <v>2287.7161999999998</v>
      </c>
      <c r="K1108" t="s">
        <v>51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2040</v>
      </c>
      <c r="J1109">
        <v>676.86030000000005</v>
      </c>
      <c r="K1109" t="s">
        <v>48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2040</v>
      </c>
      <c r="J1110">
        <v>1200.6727000000001</v>
      </c>
      <c r="K1110" t="s">
        <v>51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2045</v>
      </c>
      <c r="J1111">
        <v>-226.75794999999999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51</v>
      </c>
      <c r="E1112" t="s">
        <v>46</v>
      </c>
      <c r="F1112" t="s">
        <v>51</v>
      </c>
      <c r="G1112" t="s">
        <v>49</v>
      </c>
      <c r="H1112" t="s">
        <v>50</v>
      </c>
      <c r="I1112">
        <v>2045</v>
      </c>
      <c r="J1112">
        <v>421.30865</v>
      </c>
      <c r="K1112" t="s">
        <v>51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2050</v>
      </c>
      <c r="J1113">
        <v>-603.52954999999997</v>
      </c>
      <c r="K1113" t="s">
        <v>48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2050</v>
      </c>
      <c r="J1114">
        <v>124.39755</v>
      </c>
      <c r="K1114" t="s">
        <v>51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2055</v>
      </c>
      <c r="J1115">
        <v>-912.65090000000009</v>
      </c>
      <c r="K1115" t="s">
        <v>48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2055</v>
      </c>
      <c r="J1116">
        <v>-62.414149999999999</v>
      </c>
      <c r="K1116" t="s">
        <v>51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2060</v>
      </c>
      <c r="J1117">
        <v>-1194.4449500000001</v>
      </c>
      <c r="K1117" t="s">
        <v>48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2060</v>
      </c>
      <c r="J1118">
        <v>-287.76330000000002</v>
      </c>
      <c r="K1118" t="s">
        <v>51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2065</v>
      </c>
      <c r="J1119">
        <v>-1264.0059999999999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2065</v>
      </c>
      <c r="J1120">
        <v>-381.04300000000001</v>
      </c>
      <c r="K1120" t="s">
        <v>51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2070</v>
      </c>
      <c r="J1121">
        <v>-1335.83295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2070</v>
      </c>
      <c r="J1122">
        <v>-476.62080000000003</v>
      </c>
      <c r="K1122" t="s">
        <v>51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2075</v>
      </c>
      <c r="J1123">
        <v>-1474.7478000000001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2075</v>
      </c>
      <c r="J1124">
        <v>-551.95254999999997</v>
      </c>
      <c r="K1124" t="s">
        <v>51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2080</v>
      </c>
      <c r="J1125">
        <v>-1613.62925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2080</v>
      </c>
      <c r="J1126">
        <v>-627.27970000000005</v>
      </c>
      <c r="K1126" t="s">
        <v>51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2085</v>
      </c>
      <c r="J1127">
        <v>-1608.1071000000002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2085</v>
      </c>
      <c r="J1128">
        <v>-666.73260000000005</v>
      </c>
      <c r="K1128" t="s">
        <v>51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2090</v>
      </c>
      <c r="J1129">
        <v>-1602.74335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2090</v>
      </c>
      <c r="J1130">
        <v>-706.36329999999998</v>
      </c>
      <c r="K1130" t="s">
        <v>51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2095</v>
      </c>
      <c r="J1131">
        <v>-1626.6012999999998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2095</v>
      </c>
      <c r="J1132">
        <v>-694.79349999999999</v>
      </c>
      <c r="K1132" t="s">
        <v>51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2100</v>
      </c>
      <c r="J1133">
        <v>-1650.2428500000001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-683.04245000000003</v>
      </c>
      <c r="K1134" t="s">
        <v>51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5.3708</v>
      </c>
      <c r="K1136" t="s">
        <v>29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5.2363499999999998</v>
      </c>
      <c r="K1137" t="s">
        <v>29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7.9557000000000002</v>
      </c>
      <c r="K1138" t="s">
        <v>29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8.9328500000000002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12.79175</v>
      </c>
      <c r="K1141" t="s">
        <v>29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10.578399999999998</v>
      </c>
      <c r="K1142" t="s">
        <v>29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21.462600000000002</v>
      </c>
      <c r="K1143" t="s">
        <v>29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19.187899999999999</v>
      </c>
      <c r="K1144" t="s">
        <v>29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16.913249999999998</v>
      </c>
      <c r="K1145" t="s">
        <v>29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16.574300000000001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16.235250000000001</v>
      </c>
      <c r="K1147" t="s">
        <v>29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16.323450000000001</v>
      </c>
      <c r="K1148" t="s">
        <v>29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16.411549999999998</v>
      </c>
      <c r="K1149" t="s">
        <v>29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16.4863</v>
      </c>
      <c r="K1150" t="s">
        <v>29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16.561</v>
      </c>
      <c r="K1151" t="s">
        <v>29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2020</v>
      </c>
      <c r="J1152">
        <v>2.0344000000000002</v>
      </c>
      <c r="K1152" t="s">
        <v>33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33</v>
      </c>
      <c r="E1153" t="s">
        <v>30</v>
      </c>
      <c r="F1153" t="s">
        <v>33</v>
      </c>
      <c r="G1153" t="s">
        <v>31</v>
      </c>
      <c r="H1153" t="s">
        <v>34</v>
      </c>
      <c r="I1153">
        <v>2025</v>
      </c>
      <c r="J1153">
        <v>2.3917000000000002</v>
      </c>
      <c r="K1153" t="s">
        <v>33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2030</v>
      </c>
      <c r="J1154">
        <v>1.62375</v>
      </c>
      <c r="K1154" t="s">
        <v>33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33</v>
      </c>
      <c r="E1155" t="s">
        <v>30</v>
      </c>
      <c r="F1155" t="s">
        <v>33</v>
      </c>
      <c r="G1155" t="s">
        <v>31</v>
      </c>
      <c r="H1155" t="s">
        <v>34</v>
      </c>
      <c r="I1155">
        <v>2035</v>
      </c>
      <c r="J1155">
        <v>1.2301500000000001</v>
      </c>
      <c r="K1155" t="s">
        <v>33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33</v>
      </c>
      <c r="E1156" t="s">
        <v>30</v>
      </c>
      <c r="F1156" t="s">
        <v>33</v>
      </c>
      <c r="G1156" t="s">
        <v>31</v>
      </c>
      <c r="H1156" t="s">
        <v>34</v>
      </c>
      <c r="I1156">
        <v>2040</v>
      </c>
      <c r="J1156">
        <v>1.33395</v>
      </c>
      <c r="K1156" t="s">
        <v>33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33</v>
      </c>
      <c r="E1157" t="s">
        <v>30</v>
      </c>
      <c r="F1157" t="s">
        <v>33</v>
      </c>
      <c r="G1157" t="s">
        <v>31</v>
      </c>
      <c r="H1157" t="s">
        <v>34</v>
      </c>
      <c r="I1157">
        <v>2045</v>
      </c>
      <c r="J1157">
        <v>1.2519499999999999</v>
      </c>
      <c r="K1157" t="s">
        <v>33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33</v>
      </c>
      <c r="E1158" t="s">
        <v>30</v>
      </c>
      <c r="F1158" t="s">
        <v>33</v>
      </c>
      <c r="G1158" t="s">
        <v>31</v>
      </c>
      <c r="H1158" t="s">
        <v>34</v>
      </c>
      <c r="I1158">
        <v>2050</v>
      </c>
      <c r="J1158">
        <v>1.59405</v>
      </c>
      <c r="K1158" t="s">
        <v>33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33</v>
      </c>
      <c r="E1159" t="s">
        <v>30</v>
      </c>
      <c r="F1159" t="s">
        <v>33</v>
      </c>
      <c r="G1159" t="s">
        <v>31</v>
      </c>
      <c r="H1159" t="s">
        <v>34</v>
      </c>
      <c r="I1159">
        <v>2055</v>
      </c>
      <c r="J1159">
        <v>1.51485</v>
      </c>
      <c r="K1159" t="s">
        <v>33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33</v>
      </c>
      <c r="E1160" t="s">
        <v>30</v>
      </c>
      <c r="F1160" t="s">
        <v>33</v>
      </c>
      <c r="G1160" t="s">
        <v>31</v>
      </c>
      <c r="H1160" t="s">
        <v>34</v>
      </c>
      <c r="I1160">
        <v>2060</v>
      </c>
      <c r="J1160">
        <v>1.5146000000000002</v>
      </c>
      <c r="K1160" t="s">
        <v>33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33</v>
      </c>
      <c r="E1161" t="s">
        <v>30</v>
      </c>
      <c r="F1161" t="s">
        <v>33</v>
      </c>
      <c r="G1161" t="s">
        <v>31</v>
      </c>
      <c r="H1161" t="s">
        <v>34</v>
      </c>
      <c r="I1161">
        <v>2065</v>
      </c>
      <c r="J1161">
        <v>1.63405</v>
      </c>
      <c r="K1161" t="s">
        <v>33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33</v>
      </c>
      <c r="E1162" t="s">
        <v>30</v>
      </c>
      <c r="F1162" t="s">
        <v>33</v>
      </c>
      <c r="G1162" t="s">
        <v>31</v>
      </c>
      <c r="H1162" t="s">
        <v>34</v>
      </c>
      <c r="I1162">
        <v>2070</v>
      </c>
      <c r="J1162">
        <v>1.7535500000000002</v>
      </c>
      <c r="K1162" t="s">
        <v>33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33</v>
      </c>
      <c r="E1163" t="s">
        <v>30</v>
      </c>
      <c r="F1163" t="s">
        <v>33</v>
      </c>
      <c r="G1163" t="s">
        <v>31</v>
      </c>
      <c r="H1163" t="s">
        <v>34</v>
      </c>
      <c r="I1163">
        <v>2075</v>
      </c>
      <c r="J1163">
        <v>1.8342499999999999</v>
      </c>
      <c r="K1163" t="s">
        <v>33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2080</v>
      </c>
      <c r="J1164">
        <v>1.9149500000000002</v>
      </c>
      <c r="K1164" t="s">
        <v>33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2085</v>
      </c>
      <c r="J1165">
        <v>1.8938000000000001</v>
      </c>
      <c r="K1165" t="s">
        <v>33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2090</v>
      </c>
      <c r="J1166">
        <v>1.8727</v>
      </c>
      <c r="K1166" t="s">
        <v>33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2095</v>
      </c>
      <c r="J1167">
        <v>1.7038500000000001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2100</v>
      </c>
      <c r="J1168">
        <v>1.53505</v>
      </c>
      <c r="K1168" t="s">
        <v>33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9.0416500000000006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14.35225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15.330449999999999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17.610050000000001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18.906749999999999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18.8782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19.090249999999997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17.642200000000003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17.490650000000002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16.626200000000001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15.767050000000001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15.371549999999999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14.98155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14.713950000000001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14.452500000000001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14.102799999999998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13.754899999999999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2020</v>
      </c>
      <c r="J1186">
        <v>14.790749999999999</v>
      </c>
      <c r="K1186" t="s">
        <v>24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2025</v>
      </c>
      <c r="J1187">
        <v>13.841950000000001</v>
      </c>
      <c r="K1187" t="s">
        <v>24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2030</v>
      </c>
      <c r="J1188">
        <v>11.773849999999999</v>
      </c>
      <c r="K1188" t="s">
        <v>24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2035</v>
      </c>
      <c r="J1189">
        <v>10.995650000000001</v>
      </c>
      <c r="K1189" t="s">
        <v>24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2040</v>
      </c>
      <c r="J1190">
        <v>10.8323</v>
      </c>
      <c r="K1190" t="s">
        <v>24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2045</v>
      </c>
      <c r="J1191">
        <v>10.67995</v>
      </c>
      <c r="K1191" t="s">
        <v>24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2050</v>
      </c>
      <c r="J1192">
        <v>10.195350000000001</v>
      </c>
      <c r="K1192" t="s">
        <v>24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2055</v>
      </c>
      <c r="J1193">
        <v>9.5291999999999994</v>
      </c>
      <c r="K1193" t="s">
        <v>24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2060</v>
      </c>
      <c r="J1194">
        <v>8.7373000000000012</v>
      </c>
      <c r="K1194" t="s">
        <v>24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2065</v>
      </c>
      <c r="J1195">
        <v>7.9760999999999997</v>
      </c>
      <c r="K1195" t="s">
        <v>24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2070</v>
      </c>
      <c r="J1196">
        <v>7.2178000000000004</v>
      </c>
      <c r="K1196" t="s">
        <v>24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2075</v>
      </c>
      <c r="J1197">
        <v>6.5857999999999999</v>
      </c>
      <c r="K1197" t="s">
        <v>24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24</v>
      </c>
      <c r="E1198" t="s">
        <v>25</v>
      </c>
      <c r="F1198" t="s">
        <v>24</v>
      </c>
      <c r="G1198" t="s">
        <v>26</v>
      </c>
      <c r="H1198" t="s">
        <v>13</v>
      </c>
      <c r="I1198">
        <v>2080</v>
      </c>
      <c r="J1198">
        <v>5.9556500000000003</v>
      </c>
      <c r="K1198" t="s">
        <v>24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24</v>
      </c>
      <c r="E1199" t="s">
        <v>25</v>
      </c>
      <c r="F1199" t="s">
        <v>24</v>
      </c>
      <c r="G1199" t="s">
        <v>26</v>
      </c>
      <c r="H1199" t="s">
        <v>13</v>
      </c>
      <c r="I1199">
        <v>2085</v>
      </c>
      <c r="J1199">
        <v>5.5446499999999999</v>
      </c>
      <c r="K1199" t="s">
        <v>24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24</v>
      </c>
      <c r="E1200" t="s">
        <v>25</v>
      </c>
      <c r="F1200" t="s">
        <v>24</v>
      </c>
      <c r="G1200" t="s">
        <v>26</v>
      </c>
      <c r="H1200" t="s">
        <v>13</v>
      </c>
      <c r="I1200">
        <v>2090</v>
      </c>
      <c r="J1200">
        <v>5.1369500000000006</v>
      </c>
      <c r="K1200" t="s">
        <v>24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24</v>
      </c>
      <c r="E1201" t="s">
        <v>25</v>
      </c>
      <c r="F1201" t="s">
        <v>24</v>
      </c>
      <c r="G1201" t="s">
        <v>26</v>
      </c>
      <c r="H1201" t="s">
        <v>13</v>
      </c>
      <c r="I1201">
        <v>2095</v>
      </c>
      <c r="J1201">
        <v>4.7792000000000003</v>
      </c>
      <c r="K1201" t="s">
        <v>24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2100</v>
      </c>
      <c r="J1202">
        <v>4.4214500000000001</v>
      </c>
      <c r="K1202" t="s">
        <v>24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27</v>
      </c>
      <c r="E1203" t="s">
        <v>25</v>
      </c>
      <c r="F1203" t="s">
        <v>27</v>
      </c>
      <c r="G1203" t="s">
        <v>26</v>
      </c>
      <c r="H1203" t="s">
        <v>10</v>
      </c>
      <c r="I1203">
        <v>2020</v>
      </c>
      <c r="J1203">
        <v>0.23985000000000001</v>
      </c>
      <c r="K1203" t="s">
        <v>27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2025</v>
      </c>
      <c r="J1204">
        <v>0.7128000000000001</v>
      </c>
      <c r="K1204" t="s">
        <v>27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27</v>
      </c>
      <c r="E1205" t="s">
        <v>25</v>
      </c>
      <c r="F1205" t="s">
        <v>27</v>
      </c>
      <c r="G1205" t="s">
        <v>26</v>
      </c>
      <c r="H1205" t="s">
        <v>10</v>
      </c>
      <c r="I1205">
        <v>2030</v>
      </c>
      <c r="J1205">
        <v>1.5426500000000001</v>
      </c>
      <c r="K1205" t="s">
        <v>27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27</v>
      </c>
      <c r="E1206" t="s">
        <v>25</v>
      </c>
      <c r="F1206" t="s">
        <v>27</v>
      </c>
      <c r="G1206" t="s">
        <v>26</v>
      </c>
      <c r="H1206" t="s">
        <v>10</v>
      </c>
      <c r="I1206">
        <v>2035</v>
      </c>
      <c r="J1206">
        <v>2.4288499999999997</v>
      </c>
      <c r="K1206" t="s">
        <v>27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27</v>
      </c>
      <c r="E1207" t="s">
        <v>25</v>
      </c>
      <c r="F1207" t="s">
        <v>27</v>
      </c>
      <c r="G1207" t="s">
        <v>26</v>
      </c>
      <c r="H1207" t="s">
        <v>10</v>
      </c>
      <c r="I1207">
        <v>2040</v>
      </c>
      <c r="J1207">
        <v>3.1262999999999996</v>
      </c>
      <c r="K1207" t="s">
        <v>27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27</v>
      </c>
      <c r="E1208" t="s">
        <v>25</v>
      </c>
      <c r="F1208" t="s">
        <v>27</v>
      </c>
      <c r="G1208" t="s">
        <v>26</v>
      </c>
      <c r="H1208" t="s">
        <v>10</v>
      </c>
      <c r="I1208">
        <v>2045</v>
      </c>
      <c r="J1208">
        <v>3.5109000000000004</v>
      </c>
      <c r="K1208" t="s">
        <v>27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27</v>
      </c>
      <c r="E1209" t="s">
        <v>25</v>
      </c>
      <c r="F1209" t="s">
        <v>27</v>
      </c>
      <c r="G1209" t="s">
        <v>26</v>
      </c>
      <c r="H1209" t="s">
        <v>10</v>
      </c>
      <c r="I1209">
        <v>2050</v>
      </c>
      <c r="J1209">
        <v>3.4429499999999997</v>
      </c>
      <c r="K1209" t="s">
        <v>27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27</v>
      </c>
      <c r="E1210" t="s">
        <v>25</v>
      </c>
      <c r="F1210" t="s">
        <v>27</v>
      </c>
      <c r="G1210" t="s">
        <v>26</v>
      </c>
      <c r="H1210" t="s">
        <v>10</v>
      </c>
      <c r="I1210">
        <v>2055</v>
      </c>
      <c r="J1210">
        <v>3.8530500000000001</v>
      </c>
      <c r="K1210" t="s">
        <v>27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27</v>
      </c>
      <c r="E1211" t="s">
        <v>25</v>
      </c>
      <c r="F1211" t="s">
        <v>27</v>
      </c>
      <c r="G1211" t="s">
        <v>26</v>
      </c>
      <c r="H1211" t="s">
        <v>10</v>
      </c>
      <c r="I1211">
        <v>2060</v>
      </c>
      <c r="J1211">
        <v>3.8861499999999998</v>
      </c>
      <c r="K1211" t="s">
        <v>27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27</v>
      </c>
      <c r="E1212" t="s">
        <v>25</v>
      </c>
      <c r="F1212" t="s">
        <v>27</v>
      </c>
      <c r="G1212" t="s">
        <v>26</v>
      </c>
      <c r="H1212" t="s">
        <v>10</v>
      </c>
      <c r="I1212">
        <v>2065</v>
      </c>
      <c r="J1212">
        <v>3.8357000000000001</v>
      </c>
      <c r="K1212" t="s">
        <v>27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27</v>
      </c>
      <c r="E1213" t="s">
        <v>25</v>
      </c>
      <c r="F1213" t="s">
        <v>27</v>
      </c>
      <c r="G1213" t="s">
        <v>26</v>
      </c>
      <c r="H1213" t="s">
        <v>10</v>
      </c>
      <c r="I1213">
        <v>2070</v>
      </c>
      <c r="J1213">
        <v>3.78355</v>
      </c>
      <c r="K1213" t="s">
        <v>27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27</v>
      </c>
      <c r="E1214" t="s">
        <v>25</v>
      </c>
      <c r="F1214" t="s">
        <v>27</v>
      </c>
      <c r="G1214" t="s">
        <v>26</v>
      </c>
      <c r="H1214" t="s">
        <v>10</v>
      </c>
      <c r="I1214">
        <v>2075</v>
      </c>
      <c r="J1214">
        <v>3.74675</v>
      </c>
      <c r="K1214" t="s">
        <v>27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2080</v>
      </c>
      <c r="J1215">
        <v>3.7137500000000001</v>
      </c>
      <c r="K1215" t="s">
        <v>27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2085</v>
      </c>
      <c r="J1216">
        <v>3.6570999999999998</v>
      </c>
      <c r="K1216" t="s">
        <v>27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2090</v>
      </c>
      <c r="J1217">
        <v>3.6105</v>
      </c>
      <c r="K1217" t="s">
        <v>27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2095</v>
      </c>
      <c r="J1218">
        <v>3.5631499999999998</v>
      </c>
      <c r="K1218" t="s">
        <v>27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2100</v>
      </c>
      <c r="J1219">
        <v>3.5158</v>
      </c>
      <c r="K1219" t="s">
        <v>27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35</v>
      </c>
      <c r="E1220" t="s">
        <v>30</v>
      </c>
      <c r="F1220" t="s">
        <v>35</v>
      </c>
      <c r="G1220" t="s">
        <v>31</v>
      </c>
      <c r="H1220" t="s">
        <v>36</v>
      </c>
      <c r="I1220">
        <v>2020</v>
      </c>
      <c r="J1220">
        <v>3.9710999999999999</v>
      </c>
      <c r="K1220" t="s">
        <v>35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2025</v>
      </c>
      <c r="J1221">
        <v>4.6830999999999996</v>
      </c>
      <c r="K1221" t="s">
        <v>35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35</v>
      </c>
      <c r="E1222" t="s">
        <v>30</v>
      </c>
      <c r="F1222" t="s">
        <v>35</v>
      </c>
      <c r="G1222" t="s">
        <v>31</v>
      </c>
      <c r="H1222" t="s">
        <v>36</v>
      </c>
      <c r="I1222">
        <v>2030</v>
      </c>
      <c r="J1222">
        <v>4.4539</v>
      </c>
      <c r="K1222" t="s">
        <v>35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2035</v>
      </c>
      <c r="J1223">
        <v>5.21875</v>
      </c>
      <c r="K1223" t="s">
        <v>35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35</v>
      </c>
      <c r="E1224" t="s">
        <v>30</v>
      </c>
      <c r="F1224" t="s">
        <v>35</v>
      </c>
      <c r="G1224" t="s">
        <v>31</v>
      </c>
      <c r="H1224" t="s">
        <v>36</v>
      </c>
      <c r="I1224">
        <v>2040</v>
      </c>
      <c r="J1224">
        <v>4.6133500000000005</v>
      </c>
      <c r="K1224" t="s">
        <v>35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35</v>
      </c>
      <c r="E1225" t="s">
        <v>30</v>
      </c>
      <c r="F1225" t="s">
        <v>35</v>
      </c>
      <c r="G1225" t="s">
        <v>31</v>
      </c>
      <c r="H1225" t="s">
        <v>36</v>
      </c>
      <c r="I1225">
        <v>2045</v>
      </c>
      <c r="J1225">
        <v>4.0944000000000003</v>
      </c>
      <c r="K1225" t="s">
        <v>35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35</v>
      </c>
      <c r="E1226" t="s">
        <v>30</v>
      </c>
      <c r="F1226" t="s">
        <v>35</v>
      </c>
      <c r="G1226" t="s">
        <v>31</v>
      </c>
      <c r="H1226" t="s">
        <v>36</v>
      </c>
      <c r="I1226">
        <v>2050</v>
      </c>
      <c r="J1226">
        <v>4.16275</v>
      </c>
      <c r="K1226" t="s">
        <v>35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2055</v>
      </c>
      <c r="J1227">
        <v>4.0207499999999996</v>
      </c>
      <c r="K1227" t="s">
        <v>35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2060</v>
      </c>
      <c r="J1228">
        <v>5.0639500000000002</v>
      </c>
      <c r="K1228" t="s">
        <v>35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2065</v>
      </c>
      <c r="J1229">
        <v>5.1820000000000004</v>
      </c>
      <c r="K1229" t="s">
        <v>35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2070</v>
      </c>
      <c r="J1230">
        <v>5.3000500000000006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2075</v>
      </c>
      <c r="J1231">
        <v>5.1056999999999997</v>
      </c>
      <c r="K1231" t="s">
        <v>35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2080</v>
      </c>
      <c r="J1232">
        <v>4.9113500000000005</v>
      </c>
      <c r="K1232" t="s">
        <v>35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2085</v>
      </c>
      <c r="J1233">
        <v>4.8847000000000005</v>
      </c>
      <c r="K1233" t="s">
        <v>35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35</v>
      </c>
      <c r="E1234" t="s">
        <v>30</v>
      </c>
      <c r="F1234" t="s">
        <v>35</v>
      </c>
      <c r="G1234" t="s">
        <v>31</v>
      </c>
      <c r="H1234" t="s">
        <v>36</v>
      </c>
      <c r="I1234">
        <v>2090</v>
      </c>
      <c r="J1234">
        <v>4.8580500000000004</v>
      </c>
      <c r="K1234" t="s">
        <v>35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2095</v>
      </c>
      <c r="J1235">
        <v>4.3528500000000001</v>
      </c>
      <c r="K1235" t="s">
        <v>35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35</v>
      </c>
      <c r="E1236" t="s">
        <v>30</v>
      </c>
      <c r="F1236" t="s">
        <v>35</v>
      </c>
      <c r="G1236" t="s">
        <v>31</v>
      </c>
      <c r="H1236" t="s">
        <v>36</v>
      </c>
      <c r="I1236">
        <v>2100</v>
      </c>
      <c r="J1236">
        <v>3.8476499999999998</v>
      </c>
      <c r="K1236" t="s">
        <v>35</v>
      </c>
    </row>
    <row r="1237" spans="1:11" x14ac:dyDescent="0.45">
      <c r="A1237" t="s">
        <v>90</v>
      </c>
      <c r="B1237" t="s">
        <v>5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2020</v>
      </c>
      <c r="J1237">
        <v>5.1200000000000002E-2</v>
      </c>
      <c r="K1237" t="s">
        <v>85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2025</v>
      </c>
      <c r="J1238">
        <v>0.22499999999999998</v>
      </c>
      <c r="K1238" t="s">
        <v>85</v>
      </c>
    </row>
    <row r="1239" spans="1:11" x14ac:dyDescent="0.45">
      <c r="A1239" t="s">
        <v>90</v>
      </c>
      <c r="B1239" t="s">
        <v>5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2030</v>
      </c>
      <c r="J1239">
        <v>0.32395000000000002</v>
      </c>
      <c r="K1239" t="s">
        <v>85</v>
      </c>
    </row>
    <row r="1240" spans="1:11" x14ac:dyDescent="0.45">
      <c r="A1240" t="s">
        <v>90</v>
      </c>
      <c r="B1240" t="s">
        <v>5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2035</v>
      </c>
      <c r="J1240">
        <v>0.38455</v>
      </c>
      <c r="K1240" t="s">
        <v>85</v>
      </c>
    </row>
    <row r="1241" spans="1:11" x14ac:dyDescent="0.45">
      <c r="A1241" t="s">
        <v>90</v>
      </c>
      <c r="B1241" t="s">
        <v>5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2040</v>
      </c>
      <c r="J1241">
        <v>0.57969999999999999</v>
      </c>
      <c r="K1241" t="s">
        <v>85</v>
      </c>
    </row>
    <row r="1242" spans="1:11" x14ac:dyDescent="0.45">
      <c r="A1242" t="s">
        <v>90</v>
      </c>
      <c r="B1242" t="s">
        <v>5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2045</v>
      </c>
      <c r="J1242">
        <v>0.82730000000000004</v>
      </c>
      <c r="K1242" t="s">
        <v>85</v>
      </c>
    </row>
    <row r="1243" spans="1:11" x14ac:dyDescent="0.45">
      <c r="A1243" t="s">
        <v>90</v>
      </c>
      <c r="B1243" t="s">
        <v>5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2050</v>
      </c>
      <c r="J1243">
        <v>1.0489999999999999</v>
      </c>
      <c r="K1243" t="s">
        <v>85</v>
      </c>
    </row>
    <row r="1244" spans="1:11" x14ac:dyDescent="0.45">
      <c r="A1244" t="s">
        <v>90</v>
      </c>
      <c r="B1244" t="s">
        <v>5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2055</v>
      </c>
      <c r="J1244">
        <v>1.11805</v>
      </c>
      <c r="K1244" t="s">
        <v>85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2060</v>
      </c>
      <c r="J1245">
        <v>1.2404000000000002</v>
      </c>
      <c r="K1245" t="s">
        <v>85</v>
      </c>
    </row>
    <row r="1246" spans="1:11" x14ac:dyDescent="0.45">
      <c r="A1246" t="s">
        <v>90</v>
      </c>
      <c r="B1246" t="s">
        <v>5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2065</v>
      </c>
      <c r="J1246">
        <v>1.25335</v>
      </c>
      <c r="K1246" t="s">
        <v>85</v>
      </c>
    </row>
    <row r="1247" spans="1:11" x14ac:dyDescent="0.45">
      <c r="A1247" t="s">
        <v>90</v>
      </c>
      <c r="B1247" t="s">
        <v>5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2070</v>
      </c>
      <c r="J1247">
        <v>1.2624499999999999</v>
      </c>
      <c r="K1247" t="s">
        <v>85</v>
      </c>
    </row>
    <row r="1248" spans="1:11" x14ac:dyDescent="0.45">
      <c r="A1248" t="s">
        <v>90</v>
      </c>
      <c r="B1248" t="s">
        <v>5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2075</v>
      </c>
      <c r="J1248">
        <v>1.2423500000000001</v>
      </c>
      <c r="K1248" t="s">
        <v>85</v>
      </c>
    </row>
    <row r="1249" spans="1:12" x14ac:dyDescent="0.45">
      <c r="A1249" t="s">
        <v>90</v>
      </c>
      <c r="B1249" t="s">
        <v>5</v>
      </c>
      <c r="C1249" t="s">
        <v>84</v>
      </c>
      <c r="D1249" t="s">
        <v>85</v>
      </c>
      <c r="E1249" t="s">
        <v>25</v>
      </c>
      <c r="F1249" t="s">
        <v>85</v>
      </c>
      <c r="G1249" t="s">
        <v>26</v>
      </c>
      <c r="H1249" t="s">
        <v>82</v>
      </c>
      <c r="I1249">
        <v>2080</v>
      </c>
      <c r="J1249">
        <v>1.2214499999999999</v>
      </c>
      <c r="K1249" t="s">
        <v>85</v>
      </c>
    </row>
    <row r="1250" spans="1:12" x14ac:dyDescent="0.45">
      <c r="A1250" t="s">
        <v>90</v>
      </c>
      <c r="B1250" t="s">
        <v>5</v>
      </c>
      <c r="C1250" t="s">
        <v>84</v>
      </c>
      <c r="D1250" t="s">
        <v>85</v>
      </c>
      <c r="E1250" t="s">
        <v>25</v>
      </c>
      <c r="F1250" t="s">
        <v>85</v>
      </c>
      <c r="G1250" t="s">
        <v>26</v>
      </c>
      <c r="H1250" t="s">
        <v>82</v>
      </c>
      <c r="I1250">
        <v>2085</v>
      </c>
      <c r="J1250">
        <v>1.1537000000000002</v>
      </c>
      <c r="K1250" t="s">
        <v>85</v>
      </c>
    </row>
    <row r="1251" spans="1:12" x14ac:dyDescent="0.45">
      <c r="A1251" t="s">
        <v>90</v>
      </c>
      <c r="B1251" t="s">
        <v>5</v>
      </c>
      <c r="C1251" t="s">
        <v>84</v>
      </c>
      <c r="D1251" t="s">
        <v>85</v>
      </c>
      <c r="E1251" t="s">
        <v>25</v>
      </c>
      <c r="F1251" t="s">
        <v>85</v>
      </c>
      <c r="G1251" t="s">
        <v>26</v>
      </c>
      <c r="H1251" t="s">
        <v>82</v>
      </c>
      <c r="I1251">
        <v>2090</v>
      </c>
      <c r="J1251">
        <v>1.08755</v>
      </c>
      <c r="K1251" t="s">
        <v>85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85</v>
      </c>
      <c r="E1252" t="s">
        <v>25</v>
      </c>
      <c r="F1252" t="s">
        <v>85</v>
      </c>
      <c r="G1252" t="s">
        <v>26</v>
      </c>
      <c r="H1252" t="s">
        <v>82</v>
      </c>
      <c r="I1252">
        <v>2095</v>
      </c>
      <c r="J1252">
        <v>1.27955</v>
      </c>
      <c r="K1252" t="s">
        <v>85</v>
      </c>
    </row>
    <row r="1253" spans="1:12" x14ac:dyDescent="0.45">
      <c r="A1253" t="s">
        <v>90</v>
      </c>
      <c r="B1253" t="s">
        <v>5</v>
      </c>
      <c r="C1253" t="s">
        <v>84</v>
      </c>
      <c r="D1253" t="s">
        <v>85</v>
      </c>
      <c r="E1253" t="s">
        <v>25</v>
      </c>
      <c r="F1253" t="s">
        <v>85</v>
      </c>
      <c r="G1253" t="s">
        <v>26</v>
      </c>
      <c r="H1253" t="s">
        <v>82</v>
      </c>
      <c r="I1253">
        <v>2100</v>
      </c>
      <c r="J1253">
        <v>1.4527000000000001</v>
      </c>
      <c r="K1253" t="s">
        <v>85</v>
      </c>
    </row>
    <row r="1254" spans="1:12" x14ac:dyDescent="0.45">
      <c r="A1254" t="s">
        <v>90</v>
      </c>
      <c r="B1254" t="s">
        <v>5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2" x14ac:dyDescent="0.45">
      <c r="A1255" t="s">
        <v>90</v>
      </c>
      <c r="B1255" t="s">
        <v>5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H1255" t="s">
        <v>89</v>
      </c>
      <c r="I1255">
        <v>2020</v>
      </c>
      <c r="J1255">
        <v>21.4466</v>
      </c>
      <c r="K1255" t="s">
        <v>52</v>
      </c>
      <c r="L1255">
        <v>94</v>
      </c>
    </row>
    <row r="1256" spans="1:12" x14ac:dyDescent="0.45">
      <c r="A1256" t="s">
        <v>90</v>
      </c>
      <c r="B1256" t="s">
        <v>5</v>
      </c>
      <c r="C1256" t="s">
        <v>84</v>
      </c>
      <c r="D1256" t="s">
        <v>53</v>
      </c>
      <c r="E1256" t="s">
        <v>25</v>
      </c>
      <c r="F1256" t="s">
        <v>53</v>
      </c>
      <c r="G1256" t="s">
        <v>71</v>
      </c>
      <c r="H1256" t="s">
        <v>89</v>
      </c>
      <c r="I1256">
        <v>2020</v>
      </c>
      <c r="J1256">
        <v>1.6335</v>
      </c>
      <c r="K1256" t="s">
        <v>53</v>
      </c>
      <c r="L1256">
        <v>55</v>
      </c>
    </row>
    <row r="1257" spans="1:12" x14ac:dyDescent="0.45">
      <c r="A1257" t="s">
        <v>90</v>
      </c>
      <c r="B1257" t="s">
        <v>5</v>
      </c>
      <c r="C1257" t="s">
        <v>84</v>
      </c>
      <c r="D1257" t="s">
        <v>54</v>
      </c>
      <c r="E1257" t="s">
        <v>25</v>
      </c>
      <c r="F1257" t="s">
        <v>54</v>
      </c>
      <c r="G1257" t="s">
        <v>71</v>
      </c>
      <c r="H1257" t="s">
        <v>89</v>
      </c>
      <c r="I1257">
        <v>2020</v>
      </c>
      <c r="J1257">
        <v>4.2500000000000003E-2</v>
      </c>
      <c r="K1257" t="s">
        <v>54</v>
      </c>
      <c r="L1257">
        <v>70</v>
      </c>
    </row>
    <row r="1258" spans="1:12" x14ac:dyDescent="0.45">
      <c r="A1258" t="s">
        <v>90</v>
      </c>
      <c r="B1258" t="s">
        <v>5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2025</v>
      </c>
      <c r="J1258">
        <v>4.67605</v>
      </c>
      <c r="K1258" t="s">
        <v>45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H1259" t="s">
        <v>89</v>
      </c>
      <c r="I1259">
        <v>2025</v>
      </c>
      <c r="J1259">
        <v>19.650099999999998</v>
      </c>
      <c r="K1259" t="s">
        <v>52</v>
      </c>
      <c r="L1259">
        <v>94</v>
      </c>
    </row>
    <row r="1260" spans="1:12" x14ac:dyDescent="0.45">
      <c r="A1260" t="s">
        <v>90</v>
      </c>
      <c r="B1260" t="s">
        <v>5</v>
      </c>
      <c r="C1260" t="s">
        <v>84</v>
      </c>
      <c r="D1260" t="s">
        <v>53</v>
      </c>
      <c r="E1260" t="s">
        <v>25</v>
      </c>
      <c r="F1260" t="s">
        <v>53</v>
      </c>
      <c r="G1260" t="s">
        <v>71</v>
      </c>
      <c r="H1260" t="s">
        <v>89</v>
      </c>
      <c r="I1260">
        <v>2025</v>
      </c>
      <c r="J1260">
        <v>1.6531</v>
      </c>
      <c r="K1260" t="s">
        <v>53</v>
      </c>
      <c r="L1260">
        <v>55</v>
      </c>
    </row>
    <row r="1261" spans="1:12" x14ac:dyDescent="0.45">
      <c r="A1261" t="s">
        <v>90</v>
      </c>
      <c r="B1261" t="s">
        <v>5</v>
      </c>
      <c r="C1261" t="s">
        <v>84</v>
      </c>
      <c r="D1261" t="s">
        <v>54</v>
      </c>
      <c r="E1261" t="s">
        <v>25</v>
      </c>
      <c r="F1261" t="s">
        <v>54</v>
      </c>
      <c r="G1261" t="s">
        <v>71</v>
      </c>
      <c r="H1261" t="s">
        <v>89</v>
      </c>
      <c r="I1261">
        <v>2025</v>
      </c>
      <c r="J1261">
        <v>3.2300000000000002E-2</v>
      </c>
      <c r="K1261" t="s">
        <v>54</v>
      </c>
      <c r="L1261">
        <v>70</v>
      </c>
    </row>
    <row r="1262" spans="1:12" x14ac:dyDescent="0.45">
      <c r="A1262" t="s">
        <v>90</v>
      </c>
      <c r="B1262" t="s">
        <v>5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2030</v>
      </c>
      <c r="J1262">
        <v>121.0119</v>
      </c>
      <c r="K1262" t="s">
        <v>45</v>
      </c>
    </row>
    <row r="1263" spans="1:12" x14ac:dyDescent="0.45">
      <c r="A1263" t="s">
        <v>90</v>
      </c>
      <c r="B1263" t="s">
        <v>5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H1263" t="s">
        <v>89</v>
      </c>
      <c r="I1263">
        <v>2030</v>
      </c>
      <c r="J1263">
        <v>7.1037999999999997</v>
      </c>
      <c r="K1263" t="s">
        <v>52</v>
      </c>
      <c r="L1263">
        <v>94</v>
      </c>
    </row>
    <row r="1264" spans="1:12" x14ac:dyDescent="0.45">
      <c r="A1264" t="s">
        <v>90</v>
      </c>
      <c r="B1264" t="s">
        <v>5</v>
      </c>
      <c r="C1264" t="s">
        <v>84</v>
      </c>
      <c r="D1264" t="s">
        <v>53</v>
      </c>
      <c r="E1264" t="s">
        <v>25</v>
      </c>
      <c r="F1264" t="s">
        <v>53</v>
      </c>
      <c r="G1264" t="s">
        <v>71</v>
      </c>
      <c r="H1264" t="s">
        <v>89</v>
      </c>
      <c r="I1264">
        <v>2030</v>
      </c>
      <c r="J1264">
        <v>1.5045999999999999</v>
      </c>
      <c r="K1264" t="s">
        <v>53</v>
      </c>
      <c r="L1264">
        <v>55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54</v>
      </c>
      <c r="E1265" t="s">
        <v>25</v>
      </c>
      <c r="F1265" t="s">
        <v>54</v>
      </c>
      <c r="G1265" t="s">
        <v>71</v>
      </c>
      <c r="H1265" t="s">
        <v>89</v>
      </c>
      <c r="I1265">
        <v>2030</v>
      </c>
      <c r="J1265">
        <v>1.41E-2</v>
      </c>
      <c r="K1265" t="s">
        <v>54</v>
      </c>
      <c r="L1265">
        <v>70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2035</v>
      </c>
      <c r="J1266">
        <v>382.08580000000001</v>
      </c>
      <c r="K1266" t="s">
        <v>45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52</v>
      </c>
      <c r="E1267" t="s">
        <v>25</v>
      </c>
      <c r="F1267" t="s">
        <v>52</v>
      </c>
      <c r="G1267" t="s">
        <v>71</v>
      </c>
      <c r="H1267" t="s">
        <v>89</v>
      </c>
      <c r="I1267">
        <v>2035</v>
      </c>
      <c r="J1267">
        <v>0.9093</v>
      </c>
      <c r="K1267" t="s">
        <v>52</v>
      </c>
      <c r="L1267">
        <v>94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H1268" t="s">
        <v>89</v>
      </c>
      <c r="I1268">
        <v>2035</v>
      </c>
      <c r="J1268">
        <v>1.1033999999999999</v>
      </c>
      <c r="K1268" t="s">
        <v>53</v>
      </c>
      <c r="L1268">
        <v>55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54</v>
      </c>
      <c r="E1269" t="s">
        <v>25</v>
      </c>
      <c r="F1269" t="s">
        <v>54</v>
      </c>
      <c r="G1269" t="s">
        <v>71</v>
      </c>
      <c r="H1269" t="s">
        <v>89</v>
      </c>
      <c r="I1269">
        <v>2035</v>
      </c>
      <c r="J1269">
        <v>0</v>
      </c>
      <c r="K1269" t="s">
        <v>54</v>
      </c>
      <c r="L1269">
        <v>70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2040</v>
      </c>
      <c r="J1270">
        <v>515.92589999999996</v>
      </c>
      <c r="K1270" t="s">
        <v>45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52</v>
      </c>
      <c r="E1271" t="s">
        <v>25</v>
      </c>
      <c r="F1271" t="s">
        <v>52</v>
      </c>
      <c r="G1271" t="s">
        <v>71</v>
      </c>
      <c r="H1271" t="s">
        <v>89</v>
      </c>
      <c r="I1271">
        <v>2040</v>
      </c>
      <c r="J1271">
        <v>0.31469999999999998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H1272" t="s">
        <v>89</v>
      </c>
      <c r="I1272">
        <v>2040</v>
      </c>
      <c r="J1272">
        <v>0.5917</v>
      </c>
      <c r="K1272" t="s">
        <v>53</v>
      </c>
      <c r="L1272">
        <v>55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54</v>
      </c>
      <c r="E1273" t="s">
        <v>25</v>
      </c>
      <c r="F1273" t="s">
        <v>54</v>
      </c>
      <c r="G1273" t="s">
        <v>71</v>
      </c>
      <c r="H1273" t="s">
        <v>89</v>
      </c>
      <c r="I1273">
        <v>2040</v>
      </c>
      <c r="J1273">
        <v>0</v>
      </c>
      <c r="K1273" t="s">
        <v>54</v>
      </c>
      <c r="L1273">
        <v>70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2045</v>
      </c>
      <c r="J1274">
        <v>661.46379999999999</v>
      </c>
      <c r="K1274" t="s">
        <v>45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52</v>
      </c>
      <c r="E1275" t="s">
        <v>25</v>
      </c>
      <c r="F1275" t="s">
        <v>52</v>
      </c>
      <c r="G1275" t="s">
        <v>71</v>
      </c>
      <c r="H1275" t="s">
        <v>89</v>
      </c>
      <c r="I1275">
        <v>2045</v>
      </c>
      <c r="J1275">
        <v>2.9999999999999997E-4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H1276" t="s">
        <v>89</v>
      </c>
      <c r="I1276">
        <v>2045</v>
      </c>
      <c r="J1276">
        <v>0.32869999999999999</v>
      </c>
      <c r="K1276" t="s">
        <v>53</v>
      </c>
      <c r="L1276">
        <v>55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54</v>
      </c>
      <c r="E1277" t="s">
        <v>25</v>
      </c>
      <c r="F1277" t="s">
        <v>54</v>
      </c>
      <c r="G1277" t="s">
        <v>71</v>
      </c>
      <c r="H1277" t="s">
        <v>89</v>
      </c>
      <c r="I1277">
        <v>2045</v>
      </c>
      <c r="J1277">
        <v>0</v>
      </c>
      <c r="K1277" t="s">
        <v>54</v>
      </c>
      <c r="L1277">
        <v>70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2050</v>
      </c>
      <c r="J1278">
        <v>791.81934999999999</v>
      </c>
      <c r="K1278" t="s">
        <v>45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2050</v>
      </c>
      <c r="J1279">
        <v>1E-4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H1280" t="s">
        <v>89</v>
      </c>
      <c r="I1280">
        <v>2050</v>
      </c>
      <c r="J1280">
        <v>0.253</v>
      </c>
      <c r="K1280" t="s">
        <v>53</v>
      </c>
      <c r="L1280">
        <v>55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54</v>
      </c>
      <c r="E1281" t="s">
        <v>25</v>
      </c>
      <c r="F1281" t="s">
        <v>54</v>
      </c>
      <c r="G1281" t="s">
        <v>71</v>
      </c>
      <c r="H1281" t="s">
        <v>89</v>
      </c>
      <c r="I1281">
        <v>2050</v>
      </c>
      <c r="J1281">
        <v>0</v>
      </c>
      <c r="K1281" t="s">
        <v>54</v>
      </c>
      <c r="L1281">
        <v>70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2055</v>
      </c>
      <c r="J1282">
        <v>901.35784999999998</v>
      </c>
      <c r="K1282" t="s">
        <v>45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2055</v>
      </c>
      <c r="J1283">
        <v>1E-4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53</v>
      </c>
      <c r="E1284" t="s">
        <v>25</v>
      </c>
      <c r="F1284" t="s">
        <v>53</v>
      </c>
      <c r="G1284" t="s">
        <v>71</v>
      </c>
      <c r="H1284" t="s">
        <v>89</v>
      </c>
      <c r="I1284">
        <v>2055</v>
      </c>
      <c r="J1284">
        <v>0.21429999999999999</v>
      </c>
      <c r="K1284" t="s">
        <v>53</v>
      </c>
      <c r="L1284">
        <v>55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H1285" t="s">
        <v>89</v>
      </c>
      <c r="I1285">
        <v>2055</v>
      </c>
      <c r="J1285">
        <v>0</v>
      </c>
      <c r="K1285" t="s">
        <v>54</v>
      </c>
      <c r="L1285">
        <v>70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2060</v>
      </c>
      <c r="J1286">
        <v>1066.4737500000001</v>
      </c>
      <c r="K1286" t="s">
        <v>45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2060</v>
      </c>
      <c r="J1287">
        <v>1E-4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53</v>
      </c>
      <c r="E1288" t="s">
        <v>25</v>
      </c>
      <c r="F1288" t="s">
        <v>53</v>
      </c>
      <c r="G1288" t="s">
        <v>71</v>
      </c>
      <c r="H1288" t="s">
        <v>89</v>
      </c>
      <c r="I1288">
        <v>2060</v>
      </c>
      <c r="J1288">
        <v>0.16134999999999999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H1289" t="s">
        <v>89</v>
      </c>
      <c r="I1289">
        <v>2060</v>
      </c>
      <c r="J1289">
        <v>0</v>
      </c>
      <c r="K1289" t="s">
        <v>54</v>
      </c>
      <c r="L1289">
        <v>70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2065</v>
      </c>
      <c r="J1290">
        <v>1126.7512999999999</v>
      </c>
      <c r="K1290" t="s">
        <v>45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52</v>
      </c>
      <c r="E1291" t="s">
        <v>25</v>
      </c>
      <c r="F1291" t="s">
        <v>52</v>
      </c>
      <c r="G1291" t="s">
        <v>71</v>
      </c>
      <c r="H1291" t="s">
        <v>89</v>
      </c>
      <c r="I1291">
        <v>2065</v>
      </c>
      <c r="J1291">
        <v>0</v>
      </c>
      <c r="K1291" t="s">
        <v>52</v>
      </c>
      <c r="L1291">
        <v>94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53</v>
      </c>
      <c r="E1292" t="s">
        <v>25</v>
      </c>
      <c r="F1292" t="s">
        <v>53</v>
      </c>
      <c r="G1292" t="s">
        <v>71</v>
      </c>
      <c r="H1292" t="s">
        <v>89</v>
      </c>
      <c r="I1292">
        <v>2065</v>
      </c>
      <c r="J1292">
        <v>9.6549999999999997E-2</v>
      </c>
      <c r="K1292" t="s">
        <v>53</v>
      </c>
      <c r="L1292">
        <v>55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H1293" t="s">
        <v>89</v>
      </c>
      <c r="I1293">
        <v>2065</v>
      </c>
      <c r="J1293">
        <v>0</v>
      </c>
      <c r="K1293" t="s">
        <v>54</v>
      </c>
      <c r="L1293">
        <v>70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1186.9504499999998</v>
      </c>
      <c r="K1294" t="s">
        <v>45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52</v>
      </c>
      <c r="E1295" t="s">
        <v>25</v>
      </c>
      <c r="F1295" t="s">
        <v>52</v>
      </c>
      <c r="G1295" t="s">
        <v>71</v>
      </c>
      <c r="H1295" t="s">
        <v>89</v>
      </c>
      <c r="I1295">
        <v>2070</v>
      </c>
      <c r="J1295">
        <v>0</v>
      </c>
      <c r="K1295" t="s">
        <v>52</v>
      </c>
      <c r="L1295">
        <v>94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53</v>
      </c>
      <c r="E1296" t="s">
        <v>25</v>
      </c>
      <c r="F1296" t="s">
        <v>53</v>
      </c>
      <c r="G1296" t="s">
        <v>71</v>
      </c>
      <c r="H1296" t="s">
        <v>89</v>
      </c>
      <c r="I1296">
        <v>2070</v>
      </c>
      <c r="J1296">
        <v>1.0200000000000001E-2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H1297" t="s">
        <v>89</v>
      </c>
      <c r="I1297">
        <v>2070</v>
      </c>
      <c r="J1297">
        <v>0</v>
      </c>
      <c r="K1297" t="s">
        <v>54</v>
      </c>
      <c r="L1297">
        <v>70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1217.3533499999999</v>
      </c>
      <c r="K1298" t="s">
        <v>45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53</v>
      </c>
      <c r="E1300" t="s">
        <v>25</v>
      </c>
      <c r="F1300" t="s">
        <v>53</v>
      </c>
      <c r="G1300" t="s">
        <v>71</v>
      </c>
      <c r="H1300" t="s">
        <v>89</v>
      </c>
      <c r="I1300">
        <v>2075</v>
      </c>
      <c r="J1300">
        <v>5.3500000000000006E-3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54</v>
      </c>
      <c r="E1301" t="s">
        <v>25</v>
      </c>
      <c r="F1301" t="s">
        <v>54</v>
      </c>
      <c r="G1301" t="s">
        <v>71</v>
      </c>
      <c r="H1301" t="s">
        <v>89</v>
      </c>
      <c r="I1301">
        <v>2075</v>
      </c>
      <c r="J1301">
        <v>0</v>
      </c>
      <c r="K1301" t="s">
        <v>54</v>
      </c>
      <c r="L1301">
        <v>70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2080</v>
      </c>
      <c r="J1302">
        <v>1247.7110499999999</v>
      </c>
      <c r="K1302" t="s">
        <v>45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2080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2080</v>
      </c>
      <c r="J1304">
        <v>1.5000000000000001E-4</v>
      </c>
      <c r="K1304" t="s">
        <v>53</v>
      </c>
      <c r="L1304">
        <v>55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54</v>
      </c>
      <c r="E1305" t="s">
        <v>25</v>
      </c>
      <c r="F1305" t="s">
        <v>54</v>
      </c>
      <c r="G1305" t="s">
        <v>71</v>
      </c>
      <c r="H1305" t="s">
        <v>89</v>
      </c>
      <c r="I1305">
        <v>2080</v>
      </c>
      <c r="J1305">
        <v>0</v>
      </c>
      <c r="K1305" t="s">
        <v>54</v>
      </c>
      <c r="L1305">
        <v>70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2085</v>
      </c>
      <c r="J1306">
        <v>1238.3643499999998</v>
      </c>
      <c r="K1306" t="s">
        <v>45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52</v>
      </c>
      <c r="E1307" t="s">
        <v>25</v>
      </c>
      <c r="F1307" t="s">
        <v>52</v>
      </c>
      <c r="G1307" t="s">
        <v>71</v>
      </c>
      <c r="H1307" t="s">
        <v>89</v>
      </c>
      <c r="I1307">
        <v>2085</v>
      </c>
      <c r="J1307">
        <v>0</v>
      </c>
      <c r="K1307" t="s">
        <v>52</v>
      </c>
      <c r="L1307">
        <v>94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2085</v>
      </c>
      <c r="J1308">
        <v>1E-4</v>
      </c>
      <c r="K1308" t="s">
        <v>53</v>
      </c>
      <c r="L1308">
        <v>55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2085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2090</v>
      </c>
      <c r="J1310">
        <v>1229.3609499999998</v>
      </c>
      <c r="K1310" t="s">
        <v>45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52</v>
      </c>
      <c r="E1311" t="s">
        <v>25</v>
      </c>
      <c r="F1311" t="s">
        <v>52</v>
      </c>
      <c r="G1311" t="s">
        <v>71</v>
      </c>
      <c r="H1311" t="s">
        <v>89</v>
      </c>
      <c r="I1311">
        <v>2090</v>
      </c>
      <c r="J1311">
        <v>0</v>
      </c>
      <c r="K1311" t="s">
        <v>52</v>
      </c>
      <c r="L1311">
        <v>94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53</v>
      </c>
      <c r="E1312" t="s">
        <v>25</v>
      </c>
      <c r="F1312" t="s">
        <v>53</v>
      </c>
      <c r="G1312" t="s">
        <v>71</v>
      </c>
      <c r="H1312" t="s">
        <v>89</v>
      </c>
      <c r="I1312">
        <v>2090</v>
      </c>
      <c r="J1312">
        <v>0</v>
      </c>
      <c r="K1312" t="s">
        <v>53</v>
      </c>
      <c r="L1312">
        <v>55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2090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2095</v>
      </c>
      <c r="J1314">
        <v>1153.00315</v>
      </c>
      <c r="K1314" t="s">
        <v>45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52</v>
      </c>
      <c r="E1315" t="s">
        <v>25</v>
      </c>
      <c r="F1315" t="s">
        <v>52</v>
      </c>
      <c r="G1315" t="s">
        <v>71</v>
      </c>
      <c r="H1315" t="s">
        <v>89</v>
      </c>
      <c r="I1315">
        <v>2095</v>
      </c>
      <c r="J1315">
        <v>0</v>
      </c>
      <c r="K1315" t="s">
        <v>52</v>
      </c>
      <c r="L1315">
        <v>94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53</v>
      </c>
      <c r="E1316" t="s">
        <v>25</v>
      </c>
      <c r="F1316" t="s">
        <v>53</v>
      </c>
      <c r="G1316" t="s">
        <v>71</v>
      </c>
      <c r="H1316" t="s">
        <v>89</v>
      </c>
      <c r="I1316">
        <v>2095</v>
      </c>
      <c r="J1316">
        <v>0</v>
      </c>
      <c r="K1316" t="s">
        <v>53</v>
      </c>
      <c r="L1316">
        <v>55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2095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2100</v>
      </c>
      <c r="J1318">
        <v>1076.0804000000001</v>
      </c>
      <c r="K1318" t="s">
        <v>45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52</v>
      </c>
      <c r="E1319" t="s">
        <v>25</v>
      </c>
      <c r="F1319" t="s">
        <v>52</v>
      </c>
      <c r="G1319" t="s">
        <v>71</v>
      </c>
      <c r="H1319" t="s">
        <v>89</v>
      </c>
      <c r="I1319">
        <v>2100</v>
      </c>
      <c r="J1319">
        <v>0</v>
      </c>
      <c r="K1319" t="s">
        <v>52</v>
      </c>
      <c r="L1319">
        <v>94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53</v>
      </c>
      <c r="E1320" t="s">
        <v>25</v>
      </c>
      <c r="F1320" t="s">
        <v>53</v>
      </c>
      <c r="G1320" t="s">
        <v>71</v>
      </c>
      <c r="H1320" t="s">
        <v>89</v>
      </c>
      <c r="I1320">
        <v>2100</v>
      </c>
      <c r="J1320">
        <v>0</v>
      </c>
      <c r="K1320" t="s">
        <v>53</v>
      </c>
      <c r="L1320">
        <v>55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54</v>
      </c>
      <c r="E1321" t="s">
        <v>25</v>
      </c>
      <c r="F1321" t="s">
        <v>54</v>
      </c>
      <c r="G1321" t="s">
        <v>71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79.124200000000002</v>
      </c>
      <c r="K1322" t="s">
        <v>37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45.994250000000001</v>
      </c>
      <c r="K1323" t="s">
        <v>37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71.795700000000011</v>
      </c>
      <c r="K1324" t="s">
        <v>37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74.848350000000011</v>
      </c>
      <c r="K1325" t="s">
        <v>37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80.974699999999999</v>
      </c>
      <c r="K1326" t="s">
        <v>37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86.125100000000003</v>
      </c>
      <c r="K1327" t="s">
        <v>37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85.009749999999997</v>
      </c>
      <c r="K1328" t="s">
        <v>37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131.44409999999999</v>
      </c>
      <c r="K1329" t="s">
        <v>37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171.22615000000002</v>
      </c>
      <c r="K1330" t="s">
        <v>37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223.90159999999997</v>
      </c>
      <c r="K1331" t="s">
        <v>37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276.57704999999999</v>
      </c>
      <c r="K1332" t="s">
        <v>37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275.3304</v>
      </c>
      <c r="K1333" t="s">
        <v>37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274.08375000000001</v>
      </c>
      <c r="K1334" t="s">
        <v>37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300.07944999999995</v>
      </c>
      <c r="K1335" t="s">
        <v>37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326.07515000000001</v>
      </c>
      <c r="K1336" t="s">
        <v>37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290.52420000000001</v>
      </c>
      <c r="K1337" t="s">
        <v>37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254.97325000000001</v>
      </c>
      <c r="K1338" t="s">
        <v>37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48</v>
      </c>
      <c r="E1339" t="s">
        <v>46</v>
      </c>
      <c r="F1339" t="s">
        <v>48</v>
      </c>
      <c r="G1339" t="s">
        <v>49</v>
      </c>
      <c r="H1339" t="s">
        <v>50</v>
      </c>
      <c r="I1339">
        <v>2020</v>
      </c>
      <c r="J1339">
        <v>10725.5581</v>
      </c>
      <c r="K1339" t="s">
        <v>48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2020</v>
      </c>
      <c r="J1340">
        <v>10477.0699</v>
      </c>
      <c r="K1340" t="s">
        <v>51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48</v>
      </c>
      <c r="E1341" t="s">
        <v>46</v>
      </c>
      <c r="F1341" t="s">
        <v>48</v>
      </c>
      <c r="G1341" t="s">
        <v>49</v>
      </c>
      <c r="H1341" t="s">
        <v>50</v>
      </c>
      <c r="I1341">
        <v>2025</v>
      </c>
      <c r="J1341">
        <v>11023.01175</v>
      </c>
      <c r="K1341" t="s">
        <v>48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2025</v>
      </c>
      <c r="J1342">
        <v>10671.279</v>
      </c>
      <c r="K1342" t="s">
        <v>51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48</v>
      </c>
      <c r="E1343" t="s">
        <v>46</v>
      </c>
      <c r="F1343" t="s">
        <v>48</v>
      </c>
      <c r="G1343" t="s">
        <v>49</v>
      </c>
      <c r="H1343" t="s">
        <v>50</v>
      </c>
      <c r="I1343">
        <v>2030</v>
      </c>
      <c r="J1343">
        <v>10355.562249999999</v>
      </c>
      <c r="K1343" t="s">
        <v>48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2030</v>
      </c>
      <c r="J1344">
        <v>10185.79175</v>
      </c>
      <c r="K1344" t="s">
        <v>51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48</v>
      </c>
      <c r="E1345" t="s">
        <v>46</v>
      </c>
      <c r="F1345" t="s">
        <v>48</v>
      </c>
      <c r="G1345" t="s">
        <v>49</v>
      </c>
      <c r="H1345" t="s">
        <v>50</v>
      </c>
      <c r="I1345">
        <v>2035</v>
      </c>
      <c r="J1345">
        <v>8880.1307500000003</v>
      </c>
      <c r="K1345" t="s">
        <v>48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51</v>
      </c>
      <c r="E1346" t="s">
        <v>46</v>
      </c>
      <c r="F1346" t="s">
        <v>51</v>
      </c>
      <c r="G1346" t="s">
        <v>49</v>
      </c>
      <c r="H1346" t="s">
        <v>50</v>
      </c>
      <c r="I1346">
        <v>2035</v>
      </c>
      <c r="J1346">
        <v>8977.5620500000005</v>
      </c>
      <c r="K1346" t="s">
        <v>51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48</v>
      </c>
      <c r="E1347" t="s">
        <v>46</v>
      </c>
      <c r="F1347" t="s">
        <v>48</v>
      </c>
      <c r="G1347" t="s">
        <v>49</v>
      </c>
      <c r="H1347" t="s">
        <v>50</v>
      </c>
      <c r="I1347">
        <v>2040</v>
      </c>
      <c r="J1347">
        <v>6615.9130499999992</v>
      </c>
      <c r="K1347" t="s">
        <v>48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51</v>
      </c>
      <c r="E1348" t="s">
        <v>46</v>
      </c>
      <c r="F1348" t="s">
        <v>51</v>
      </c>
      <c r="G1348" t="s">
        <v>49</v>
      </c>
      <c r="H1348" t="s">
        <v>50</v>
      </c>
      <c r="I1348">
        <v>2040</v>
      </c>
      <c r="J1348">
        <v>6937.9429999999993</v>
      </c>
      <c r="K1348" t="s">
        <v>51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48</v>
      </c>
      <c r="E1349" t="s">
        <v>46</v>
      </c>
      <c r="F1349" t="s">
        <v>48</v>
      </c>
      <c r="G1349" t="s">
        <v>49</v>
      </c>
      <c r="H1349" t="s">
        <v>50</v>
      </c>
      <c r="I1349">
        <v>2045</v>
      </c>
      <c r="J1349">
        <v>4642.9871999999996</v>
      </c>
      <c r="K1349" t="s">
        <v>48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51</v>
      </c>
      <c r="E1350" t="s">
        <v>46</v>
      </c>
      <c r="F1350" t="s">
        <v>51</v>
      </c>
      <c r="G1350" t="s">
        <v>49</v>
      </c>
      <c r="H1350" t="s">
        <v>50</v>
      </c>
      <c r="I1350">
        <v>2045</v>
      </c>
      <c r="J1350">
        <v>5076.8261499999999</v>
      </c>
      <c r="K1350" t="s">
        <v>51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48</v>
      </c>
      <c r="E1351" t="s">
        <v>46</v>
      </c>
      <c r="F1351" t="s">
        <v>48</v>
      </c>
      <c r="G1351" t="s">
        <v>49</v>
      </c>
      <c r="H1351" t="s">
        <v>50</v>
      </c>
      <c r="I1351">
        <v>2050</v>
      </c>
      <c r="J1351">
        <v>3274.7281000000003</v>
      </c>
      <c r="K1351" t="s">
        <v>48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51</v>
      </c>
      <c r="E1352" t="s">
        <v>46</v>
      </c>
      <c r="F1352" t="s">
        <v>51</v>
      </c>
      <c r="G1352" t="s">
        <v>49</v>
      </c>
      <c r="H1352" t="s">
        <v>50</v>
      </c>
      <c r="I1352">
        <v>2050</v>
      </c>
      <c r="J1352">
        <v>3780.8168999999998</v>
      </c>
      <c r="K1352" t="s">
        <v>51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48</v>
      </c>
      <c r="E1353" t="s">
        <v>46</v>
      </c>
      <c r="F1353" t="s">
        <v>48</v>
      </c>
      <c r="G1353" t="s">
        <v>49</v>
      </c>
      <c r="H1353" t="s">
        <v>50</v>
      </c>
      <c r="I1353">
        <v>2055</v>
      </c>
      <c r="J1353">
        <v>2505.8757000000001</v>
      </c>
      <c r="K1353" t="s">
        <v>48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51</v>
      </c>
      <c r="E1354" t="s">
        <v>46</v>
      </c>
      <c r="F1354" t="s">
        <v>51</v>
      </c>
      <c r="G1354" t="s">
        <v>49</v>
      </c>
      <c r="H1354" t="s">
        <v>50</v>
      </c>
      <c r="I1354">
        <v>2055</v>
      </c>
      <c r="J1354">
        <v>3054.78595</v>
      </c>
      <c r="K1354" t="s">
        <v>51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48</v>
      </c>
      <c r="E1355" t="s">
        <v>46</v>
      </c>
      <c r="F1355" t="s">
        <v>48</v>
      </c>
      <c r="G1355" t="s">
        <v>49</v>
      </c>
      <c r="H1355" t="s">
        <v>50</v>
      </c>
      <c r="I1355">
        <v>2060</v>
      </c>
      <c r="J1355">
        <v>1898.4159500000001</v>
      </c>
      <c r="K1355" t="s">
        <v>48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51</v>
      </c>
      <c r="E1356" t="s">
        <v>46</v>
      </c>
      <c r="F1356" t="s">
        <v>51</v>
      </c>
      <c r="G1356" t="s">
        <v>49</v>
      </c>
      <c r="H1356" t="s">
        <v>50</v>
      </c>
      <c r="I1356">
        <v>2060</v>
      </c>
      <c r="J1356">
        <v>2497.1031499999999</v>
      </c>
      <c r="K1356" t="s">
        <v>51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2065</v>
      </c>
      <c r="J1357">
        <v>1352.7718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51</v>
      </c>
      <c r="E1358" t="s">
        <v>46</v>
      </c>
      <c r="F1358" t="s">
        <v>51</v>
      </c>
      <c r="G1358" t="s">
        <v>49</v>
      </c>
      <c r="H1358" t="s">
        <v>50</v>
      </c>
      <c r="I1358">
        <v>2065</v>
      </c>
      <c r="J1358">
        <v>1953.7419</v>
      </c>
      <c r="K1358" t="s">
        <v>51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2070</v>
      </c>
      <c r="J1359">
        <v>808.42769999999996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51</v>
      </c>
      <c r="E1360" t="s">
        <v>46</v>
      </c>
      <c r="F1360" t="s">
        <v>51</v>
      </c>
      <c r="G1360" t="s">
        <v>49</v>
      </c>
      <c r="H1360" t="s">
        <v>50</v>
      </c>
      <c r="I1360">
        <v>2070</v>
      </c>
      <c r="J1360">
        <v>1411.4055499999999</v>
      </c>
      <c r="K1360" t="s">
        <v>51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2075</v>
      </c>
      <c r="J1361">
        <v>360.13114999999999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51</v>
      </c>
      <c r="E1362" t="s">
        <v>46</v>
      </c>
      <c r="F1362" t="s">
        <v>51</v>
      </c>
      <c r="G1362" t="s">
        <v>49</v>
      </c>
      <c r="H1362" t="s">
        <v>50</v>
      </c>
      <c r="I1362">
        <v>2075</v>
      </c>
      <c r="J1362">
        <v>1029.5448999999999</v>
      </c>
      <c r="K1362" t="s">
        <v>51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2080</v>
      </c>
      <c r="J1363">
        <v>-89.243449999999996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51</v>
      </c>
      <c r="E1364" t="s">
        <v>46</v>
      </c>
      <c r="F1364" t="s">
        <v>51</v>
      </c>
      <c r="G1364" t="s">
        <v>49</v>
      </c>
      <c r="H1364" t="s">
        <v>50</v>
      </c>
      <c r="I1364">
        <v>2080</v>
      </c>
      <c r="J1364">
        <v>646.55115000000001</v>
      </c>
      <c r="K1364" t="s">
        <v>51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2085</v>
      </c>
      <c r="J1365">
        <v>-265.53140000000002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51</v>
      </c>
      <c r="E1366" t="s">
        <v>46</v>
      </c>
      <c r="F1366" t="s">
        <v>51</v>
      </c>
      <c r="G1366" t="s">
        <v>49</v>
      </c>
      <c r="H1366" t="s">
        <v>50</v>
      </c>
      <c r="I1366">
        <v>2085</v>
      </c>
      <c r="J1366">
        <v>451.44439999999997</v>
      </c>
      <c r="K1366" t="s">
        <v>51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2090</v>
      </c>
      <c r="J1367">
        <v>-441.28985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51</v>
      </c>
      <c r="E1368" t="s">
        <v>46</v>
      </c>
      <c r="F1368" t="s">
        <v>51</v>
      </c>
      <c r="G1368" t="s">
        <v>49</v>
      </c>
      <c r="H1368" t="s">
        <v>50</v>
      </c>
      <c r="I1368">
        <v>2090</v>
      </c>
      <c r="J1368">
        <v>256.84539999999998</v>
      </c>
      <c r="K1368" t="s">
        <v>51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2095</v>
      </c>
      <c r="J1369">
        <v>-550.07815000000005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51</v>
      </c>
      <c r="E1370" t="s">
        <v>46</v>
      </c>
      <c r="F1370" t="s">
        <v>51</v>
      </c>
      <c r="G1370" t="s">
        <v>49</v>
      </c>
      <c r="H1370" t="s">
        <v>50</v>
      </c>
      <c r="I1370">
        <v>2095</v>
      </c>
      <c r="J1370">
        <v>189.01670000000001</v>
      </c>
      <c r="K1370" t="s">
        <v>51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2100</v>
      </c>
      <c r="J1371">
        <v>-658.79224999999997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51</v>
      </c>
      <c r="E1372" t="s">
        <v>46</v>
      </c>
      <c r="F1372" t="s">
        <v>51</v>
      </c>
      <c r="G1372" t="s">
        <v>49</v>
      </c>
      <c r="H1372" t="s">
        <v>50</v>
      </c>
      <c r="I1372">
        <v>2100</v>
      </c>
      <c r="J1372">
        <v>121.28995</v>
      </c>
      <c r="K1372" t="s">
        <v>51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5.6462000000000003</v>
      </c>
      <c r="K1374" t="s">
        <v>29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5.6435499999999994</v>
      </c>
      <c r="K1375" t="s">
        <v>29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5.8456999999999999</v>
      </c>
      <c r="K1376" t="s">
        <v>29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5.91425</v>
      </c>
      <c r="K1377" t="s">
        <v>29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6.5330500000000002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7.6464999999999996</v>
      </c>
      <c r="K1379" t="s">
        <v>29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6.8690999999999995</v>
      </c>
      <c r="K1380" t="s">
        <v>29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13.05955</v>
      </c>
      <c r="K1381" t="s">
        <v>29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12.338899999999999</v>
      </c>
      <c r="K1382" t="s">
        <v>29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11.61825</v>
      </c>
      <c r="K1383" t="s">
        <v>29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11.212400000000001</v>
      </c>
      <c r="K1384" t="s">
        <v>29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10.8065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10.06185</v>
      </c>
      <c r="K1386" t="s">
        <v>29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9.3171999999999997</v>
      </c>
      <c r="K1387" t="s">
        <v>29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10.18595</v>
      </c>
      <c r="K1388" t="s">
        <v>29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11.05475</v>
      </c>
      <c r="K1389" t="s">
        <v>29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2.1265499999999999</v>
      </c>
      <c r="K1391" t="s">
        <v>33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2.0844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2.0721499999999997</v>
      </c>
      <c r="K1393" t="s">
        <v>33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1.9391</v>
      </c>
      <c r="K1394" t="s">
        <v>33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1.8263</v>
      </c>
      <c r="K1395" t="s">
        <v>33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1.9153500000000001</v>
      </c>
      <c r="K1396" t="s">
        <v>33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1.8517000000000001</v>
      </c>
      <c r="K1397" t="s">
        <v>33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2.3400499999999997</v>
      </c>
      <c r="K1398" t="s">
        <v>33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2.2040999999999999</v>
      </c>
      <c r="K1399" t="s">
        <v>33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2.0681500000000002</v>
      </c>
      <c r="K1400" t="s">
        <v>33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2.1757499999999999</v>
      </c>
      <c r="K1401" t="s">
        <v>33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2.28335</v>
      </c>
      <c r="K1402" t="s">
        <v>33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2.29</v>
      </c>
      <c r="K1403" t="s">
        <v>33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2.2967</v>
      </c>
      <c r="K1404" t="s">
        <v>33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2.3285</v>
      </c>
      <c r="K1405" t="s">
        <v>33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2.3602499999999997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9.0448500000000003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12.7882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84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16.6892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19.895099999999999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84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19.898499999999999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84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19.1568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18.4192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18.25235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84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18.754849999999998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84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17.522199999999998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84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16.296799999999998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84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16.05265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84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15.8126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84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15.32715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14.84765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84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14.24775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84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13.649550000000001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2020</v>
      </c>
      <c r="J1424">
        <v>14.78735</v>
      </c>
      <c r="K1424" t="s">
        <v>24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2025</v>
      </c>
      <c r="J1425">
        <v>16.810700000000001</v>
      </c>
      <c r="K1425" t="s">
        <v>24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2030</v>
      </c>
      <c r="J1426">
        <v>18.007649999999998</v>
      </c>
      <c r="K1426" t="s">
        <v>24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2035</v>
      </c>
      <c r="J1427">
        <v>18.336600000000001</v>
      </c>
      <c r="K1427" t="s">
        <v>24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2040</v>
      </c>
      <c r="J1428">
        <v>17.11835</v>
      </c>
      <c r="K1428" t="s">
        <v>24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2045</v>
      </c>
      <c r="J1429">
        <v>15.9428</v>
      </c>
      <c r="K1429" t="s">
        <v>24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2050</v>
      </c>
      <c r="J1430">
        <v>14.866150000000001</v>
      </c>
      <c r="K1430" t="s">
        <v>24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2055</v>
      </c>
      <c r="J1431">
        <v>14.296749999999999</v>
      </c>
      <c r="K1431" t="s">
        <v>24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2060</v>
      </c>
      <c r="J1432">
        <v>13.38955</v>
      </c>
      <c r="K1432" t="s">
        <v>24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2065</v>
      </c>
      <c r="J1433">
        <v>11.8522</v>
      </c>
      <c r="K1433" t="s">
        <v>24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2070</v>
      </c>
      <c r="J1434">
        <v>10.32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2075</v>
      </c>
      <c r="J1435">
        <v>9.3223999999999982</v>
      </c>
      <c r="K1435" t="s">
        <v>24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2080</v>
      </c>
      <c r="J1436">
        <v>8.327300000000001</v>
      </c>
      <c r="K1436" t="s">
        <v>24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24</v>
      </c>
      <c r="E1437" t="s">
        <v>25</v>
      </c>
      <c r="F1437" t="s">
        <v>24</v>
      </c>
      <c r="G1437" t="s">
        <v>26</v>
      </c>
      <c r="H1437" t="s">
        <v>13</v>
      </c>
      <c r="I1437">
        <v>2085</v>
      </c>
      <c r="J1437">
        <v>7.4444999999999997</v>
      </c>
      <c r="K1437" t="s">
        <v>24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24</v>
      </c>
      <c r="E1438" t="s">
        <v>25</v>
      </c>
      <c r="F1438" t="s">
        <v>24</v>
      </c>
      <c r="G1438" t="s">
        <v>26</v>
      </c>
      <c r="H1438" t="s">
        <v>13</v>
      </c>
      <c r="I1438">
        <v>2090</v>
      </c>
      <c r="J1438">
        <v>6.56595</v>
      </c>
      <c r="K1438" t="s">
        <v>24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24</v>
      </c>
      <c r="E1439" t="s">
        <v>25</v>
      </c>
      <c r="F1439" t="s">
        <v>24</v>
      </c>
      <c r="G1439" t="s">
        <v>26</v>
      </c>
      <c r="H1439" t="s">
        <v>13</v>
      </c>
      <c r="I1439">
        <v>2095</v>
      </c>
      <c r="J1439">
        <v>5.8375000000000004</v>
      </c>
      <c r="K1439" t="s">
        <v>24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2100</v>
      </c>
      <c r="J1440">
        <v>5.1096500000000002</v>
      </c>
      <c r="K1440" t="s">
        <v>24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2020</v>
      </c>
      <c r="J1441">
        <v>0.2397</v>
      </c>
      <c r="K1441" t="s">
        <v>27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2025</v>
      </c>
      <c r="J1442">
        <v>0.71775</v>
      </c>
      <c r="K1442" t="s">
        <v>27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2030</v>
      </c>
      <c r="J1443">
        <v>1.6686999999999999</v>
      </c>
      <c r="K1443" t="s">
        <v>27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27</v>
      </c>
      <c r="E1444" t="s">
        <v>25</v>
      </c>
      <c r="F1444" t="s">
        <v>27</v>
      </c>
      <c r="G1444" t="s">
        <v>26</v>
      </c>
      <c r="H1444" t="s">
        <v>10</v>
      </c>
      <c r="I1444">
        <v>2035</v>
      </c>
      <c r="J1444">
        <v>2.6183500000000004</v>
      </c>
      <c r="K1444" t="s">
        <v>27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27</v>
      </c>
      <c r="E1445" t="s">
        <v>25</v>
      </c>
      <c r="F1445" t="s">
        <v>27</v>
      </c>
      <c r="G1445" t="s">
        <v>26</v>
      </c>
      <c r="H1445" t="s">
        <v>10</v>
      </c>
      <c r="I1445">
        <v>2040</v>
      </c>
      <c r="J1445">
        <v>3.2118500000000001</v>
      </c>
      <c r="K1445" t="s">
        <v>27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2045</v>
      </c>
      <c r="J1446">
        <v>3.5571000000000002</v>
      </c>
      <c r="K1446" t="s">
        <v>27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27</v>
      </c>
      <c r="E1447" t="s">
        <v>25</v>
      </c>
      <c r="F1447" t="s">
        <v>27</v>
      </c>
      <c r="G1447" t="s">
        <v>26</v>
      </c>
      <c r="H1447" t="s">
        <v>10</v>
      </c>
      <c r="I1447">
        <v>2050</v>
      </c>
      <c r="J1447">
        <v>3.8304499999999999</v>
      </c>
      <c r="K1447" t="s">
        <v>27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27</v>
      </c>
      <c r="E1448" t="s">
        <v>25</v>
      </c>
      <c r="F1448" t="s">
        <v>27</v>
      </c>
      <c r="G1448" t="s">
        <v>26</v>
      </c>
      <c r="H1448" t="s">
        <v>10</v>
      </c>
      <c r="I1448">
        <v>2055</v>
      </c>
      <c r="J1448">
        <v>3.9449500000000004</v>
      </c>
      <c r="K1448" t="s">
        <v>27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27</v>
      </c>
      <c r="E1449" t="s">
        <v>25</v>
      </c>
      <c r="F1449" t="s">
        <v>27</v>
      </c>
      <c r="G1449" t="s">
        <v>26</v>
      </c>
      <c r="H1449" t="s">
        <v>10</v>
      </c>
      <c r="I1449">
        <v>2060</v>
      </c>
      <c r="J1449">
        <v>4.0539500000000004</v>
      </c>
      <c r="K1449" t="s">
        <v>27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27</v>
      </c>
      <c r="E1450" t="s">
        <v>25</v>
      </c>
      <c r="F1450" t="s">
        <v>27</v>
      </c>
      <c r="G1450" t="s">
        <v>26</v>
      </c>
      <c r="H1450" t="s">
        <v>10</v>
      </c>
      <c r="I1450">
        <v>2065</v>
      </c>
      <c r="J1450">
        <v>4.0402500000000003</v>
      </c>
      <c r="K1450" t="s">
        <v>27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27</v>
      </c>
      <c r="E1451" t="s">
        <v>25</v>
      </c>
      <c r="F1451" t="s">
        <v>27</v>
      </c>
      <c r="G1451" t="s">
        <v>26</v>
      </c>
      <c r="H1451" t="s">
        <v>10</v>
      </c>
      <c r="I1451">
        <v>2070</v>
      </c>
      <c r="J1451">
        <v>4.0266000000000002</v>
      </c>
      <c r="K1451" t="s">
        <v>27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27</v>
      </c>
      <c r="E1452" t="s">
        <v>25</v>
      </c>
      <c r="F1452" t="s">
        <v>27</v>
      </c>
      <c r="G1452" t="s">
        <v>26</v>
      </c>
      <c r="H1452" t="s">
        <v>10</v>
      </c>
      <c r="I1452">
        <v>2075</v>
      </c>
      <c r="J1452">
        <v>3.9907000000000004</v>
      </c>
      <c r="K1452" t="s">
        <v>27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2080</v>
      </c>
      <c r="J1453">
        <v>3.9583000000000004</v>
      </c>
      <c r="K1453" t="s">
        <v>27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2085</v>
      </c>
      <c r="J1454">
        <v>3.9186000000000001</v>
      </c>
      <c r="K1454" t="s">
        <v>27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2090</v>
      </c>
      <c r="J1455">
        <v>3.8878500000000003</v>
      </c>
      <c r="K1455" t="s">
        <v>27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2095</v>
      </c>
      <c r="J1456">
        <v>3.8446500000000001</v>
      </c>
      <c r="K1456" t="s">
        <v>27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2100</v>
      </c>
      <c r="J1457">
        <v>3.8021500000000001</v>
      </c>
      <c r="K1457" t="s">
        <v>27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35</v>
      </c>
      <c r="E1458" t="s">
        <v>30</v>
      </c>
      <c r="F1458" t="s">
        <v>35</v>
      </c>
      <c r="G1458" t="s">
        <v>31</v>
      </c>
      <c r="H1458" t="s">
        <v>36</v>
      </c>
      <c r="I1458">
        <v>2020</v>
      </c>
      <c r="J1458">
        <v>3.9710999999999999</v>
      </c>
      <c r="K1458" t="s">
        <v>35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2025</v>
      </c>
      <c r="J1459">
        <v>4.5302500000000006</v>
      </c>
      <c r="K1459" t="s">
        <v>35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35</v>
      </c>
      <c r="E1460" t="s">
        <v>30</v>
      </c>
      <c r="F1460" t="s">
        <v>35</v>
      </c>
      <c r="G1460" t="s">
        <v>31</v>
      </c>
      <c r="H1460" t="s">
        <v>36</v>
      </c>
      <c r="I1460">
        <v>2030</v>
      </c>
      <c r="J1460">
        <v>4.2876500000000002</v>
      </c>
      <c r="K1460" t="s">
        <v>35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2035</v>
      </c>
      <c r="J1461">
        <v>4.73515</v>
      </c>
      <c r="K1461" t="s">
        <v>35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35</v>
      </c>
      <c r="E1462" t="s">
        <v>30</v>
      </c>
      <c r="F1462" t="s">
        <v>35</v>
      </c>
      <c r="G1462" t="s">
        <v>31</v>
      </c>
      <c r="H1462" t="s">
        <v>36</v>
      </c>
      <c r="I1462">
        <v>2040</v>
      </c>
      <c r="J1462">
        <v>5.0600500000000004</v>
      </c>
      <c r="K1462" t="s">
        <v>35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2045</v>
      </c>
      <c r="J1463">
        <v>5.3989500000000001</v>
      </c>
      <c r="K1463" t="s">
        <v>35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35</v>
      </c>
      <c r="E1464" t="s">
        <v>30</v>
      </c>
      <c r="F1464" t="s">
        <v>35</v>
      </c>
      <c r="G1464" t="s">
        <v>31</v>
      </c>
      <c r="H1464" t="s">
        <v>36</v>
      </c>
      <c r="I1464">
        <v>2050</v>
      </c>
      <c r="J1464">
        <v>5.3637499999999996</v>
      </c>
      <c r="K1464" t="s">
        <v>35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2055</v>
      </c>
      <c r="J1465">
        <v>5.03695</v>
      </c>
      <c r="K1465" t="s">
        <v>35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2060</v>
      </c>
      <c r="J1466">
        <v>6.1361500000000007</v>
      </c>
      <c r="K1466" t="s">
        <v>35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2065</v>
      </c>
      <c r="J1467">
        <v>5.9593500000000006</v>
      </c>
      <c r="K1467" t="s">
        <v>35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2070</v>
      </c>
      <c r="J1468">
        <v>5.7826500000000003</v>
      </c>
      <c r="K1468" t="s">
        <v>35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2075</v>
      </c>
      <c r="J1469">
        <v>5.7862499999999999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2080</v>
      </c>
      <c r="J1470">
        <v>5.7898499999999995</v>
      </c>
      <c r="K1470" t="s">
        <v>35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2085</v>
      </c>
      <c r="J1471">
        <v>5.8544</v>
      </c>
      <c r="K1471" t="s">
        <v>35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2090</v>
      </c>
      <c r="J1472">
        <v>5.9189499999999997</v>
      </c>
      <c r="K1472" t="s">
        <v>35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2095</v>
      </c>
      <c r="J1473">
        <v>5.9424000000000001</v>
      </c>
      <c r="K1473" t="s">
        <v>35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35</v>
      </c>
      <c r="E1474" t="s">
        <v>30</v>
      </c>
      <c r="F1474" t="s">
        <v>35</v>
      </c>
      <c r="G1474" t="s">
        <v>31</v>
      </c>
      <c r="H1474" t="s">
        <v>36</v>
      </c>
      <c r="I1474">
        <v>2100</v>
      </c>
      <c r="J1474">
        <v>5.9658999999999995</v>
      </c>
      <c r="K1474" t="s">
        <v>35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2020</v>
      </c>
      <c r="J1475">
        <v>5.1200000000000002E-2</v>
      </c>
      <c r="K1475" t="s">
        <v>85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2025</v>
      </c>
      <c r="J1476">
        <v>0.30495000000000005</v>
      </c>
      <c r="K1476" t="s">
        <v>85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2030</v>
      </c>
      <c r="J1477">
        <v>0.63424999999999998</v>
      </c>
      <c r="K1477" t="s">
        <v>85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2035</v>
      </c>
      <c r="J1478">
        <v>0.84845000000000004</v>
      </c>
      <c r="K1478" t="s">
        <v>85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2040</v>
      </c>
      <c r="J1479">
        <v>0.95384999999999998</v>
      </c>
      <c r="K1479" t="s">
        <v>85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2045</v>
      </c>
      <c r="J1480">
        <v>1.1372499999999999</v>
      </c>
      <c r="K1480" t="s">
        <v>85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2050</v>
      </c>
      <c r="J1481">
        <v>1.43665</v>
      </c>
      <c r="K1481" t="s">
        <v>85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2055</v>
      </c>
      <c r="J1482">
        <v>1.5850499999999998</v>
      </c>
      <c r="K1482" t="s">
        <v>85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2060</v>
      </c>
      <c r="J1483">
        <v>2.13</v>
      </c>
      <c r="K1483" t="s">
        <v>85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2065</v>
      </c>
      <c r="J1484">
        <v>3.35025</v>
      </c>
      <c r="K1484" t="s">
        <v>85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2070</v>
      </c>
      <c r="J1485">
        <v>4.3850999999999996</v>
      </c>
      <c r="K1485" t="s">
        <v>85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2075</v>
      </c>
      <c r="J1486">
        <v>4.7743000000000002</v>
      </c>
      <c r="K1486" t="s">
        <v>85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85</v>
      </c>
      <c r="E1487" t="s">
        <v>25</v>
      </c>
      <c r="F1487" t="s">
        <v>85</v>
      </c>
      <c r="G1487" t="s">
        <v>26</v>
      </c>
      <c r="H1487" t="s">
        <v>82</v>
      </c>
      <c r="I1487">
        <v>2080</v>
      </c>
      <c r="J1487">
        <v>5.1055000000000001</v>
      </c>
      <c r="K1487" t="s">
        <v>85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85</v>
      </c>
      <c r="E1488" t="s">
        <v>25</v>
      </c>
      <c r="F1488" t="s">
        <v>85</v>
      </c>
      <c r="G1488" t="s">
        <v>26</v>
      </c>
      <c r="H1488" t="s">
        <v>82</v>
      </c>
      <c r="I1488">
        <v>2085</v>
      </c>
      <c r="J1488">
        <v>5.3015000000000008</v>
      </c>
      <c r="K1488" t="s">
        <v>85</v>
      </c>
    </row>
    <row r="1489" spans="1:12" x14ac:dyDescent="0.45">
      <c r="A1489" t="s">
        <v>90</v>
      </c>
      <c r="B1489" t="s">
        <v>2</v>
      </c>
      <c r="C1489" t="s">
        <v>84</v>
      </c>
      <c r="D1489" t="s">
        <v>85</v>
      </c>
      <c r="E1489" t="s">
        <v>25</v>
      </c>
      <c r="F1489" t="s">
        <v>85</v>
      </c>
      <c r="G1489" t="s">
        <v>26</v>
      </c>
      <c r="H1489" t="s">
        <v>82</v>
      </c>
      <c r="I1489">
        <v>2090</v>
      </c>
      <c r="J1489">
        <v>5.4737500000000008</v>
      </c>
      <c r="K1489" t="s">
        <v>85</v>
      </c>
    </row>
    <row r="1490" spans="1:12" x14ac:dyDescent="0.45">
      <c r="A1490" t="s">
        <v>90</v>
      </c>
      <c r="B1490" t="s">
        <v>2</v>
      </c>
      <c r="C1490" t="s">
        <v>84</v>
      </c>
      <c r="D1490" t="s">
        <v>85</v>
      </c>
      <c r="E1490" t="s">
        <v>25</v>
      </c>
      <c r="F1490" t="s">
        <v>85</v>
      </c>
      <c r="G1490" t="s">
        <v>26</v>
      </c>
      <c r="H1490" t="s">
        <v>82</v>
      </c>
      <c r="I1490">
        <v>2095</v>
      </c>
      <c r="J1490">
        <v>5.3938500000000005</v>
      </c>
      <c r="K1490" t="s">
        <v>85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85</v>
      </c>
      <c r="E1491" t="s">
        <v>25</v>
      </c>
      <c r="F1491" t="s">
        <v>85</v>
      </c>
      <c r="G1491" t="s">
        <v>26</v>
      </c>
      <c r="H1491" t="s">
        <v>82</v>
      </c>
      <c r="I1491">
        <v>2100</v>
      </c>
      <c r="J1491">
        <v>5.3020499999999995</v>
      </c>
      <c r="K1491" t="s">
        <v>85</v>
      </c>
    </row>
    <row r="1492" spans="1:12" x14ac:dyDescent="0.45">
      <c r="A1492" t="s">
        <v>90</v>
      </c>
      <c r="B1492" t="s">
        <v>2</v>
      </c>
      <c r="C1492" t="s">
        <v>84</v>
      </c>
      <c r="D1492" t="s">
        <v>45</v>
      </c>
      <c r="E1492" t="s">
        <v>46</v>
      </c>
      <c r="F1492" t="s">
        <v>45</v>
      </c>
      <c r="G1492" t="s">
        <v>47</v>
      </c>
      <c r="H1492" t="s">
        <v>89</v>
      </c>
      <c r="I1492">
        <v>2020</v>
      </c>
      <c r="J1492">
        <v>0</v>
      </c>
      <c r="K1492" t="s">
        <v>45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2020</v>
      </c>
      <c r="J1493">
        <v>21.446000000000002</v>
      </c>
      <c r="K1493" t="s">
        <v>52</v>
      </c>
      <c r="L1493">
        <v>94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2020</v>
      </c>
      <c r="J1494">
        <v>1.6335</v>
      </c>
      <c r="K1494" t="s">
        <v>53</v>
      </c>
      <c r="L1494">
        <v>55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54</v>
      </c>
      <c r="E1495" t="s">
        <v>25</v>
      </c>
      <c r="F1495" t="s">
        <v>54</v>
      </c>
      <c r="G1495" t="s">
        <v>71</v>
      </c>
      <c r="H1495" t="s">
        <v>89</v>
      </c>
      <c r="I1495">
        <v>2020</v>
      </c>
      <c r="J1495">
        <v>4.2500000000000003E-2</v>
      </c>
      <c r="K1495" t="s">
        <v>54</v>
      </c>
      <c r="L1495">
        <v>70</v>
      </c>
    </row>
    <row r="1496" spans="1:12" x14ac:dyDescent="0.45">
      <c r="A1496" t="s">
        <v>90</v>
      </c>
      <c r="B1496" t="s">
        <v>2</v>
      </c>
      <c r="C1496" t="s">
        <v>84</v>
      </c>
      <c r="D1496" t="s">
        <v>45</v>
      </c>
      <c r="E1496" t="s">
        <v>46</v>
      </c>
      <c r="F1496" t="s">
        <v>45</v>
      </c>
      <c r="G1496" t="s">
        <v>47</v>
      </c>
      <c r="H1496" t="s">
        <v>89</v>
      </c>
      <c r="I1496">
        <v>2025</v>
      </c>
      <c r="J1496">
        <v>0</v>
      </c>
      <c r="K1496" t="s">
        <v>45</v>
      </c>
    </row>
    <row r="1497" spans="1:12" x14ac:dyDescent="0.45">
      <c r="A1497" t="s">
        <v>90</v>
      </c>
      <c r="B1497" t="s">
        <v>2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2025</v>
      </c>
      <c r="J1497">
        <v>21.123999999999999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2025</v>
      </c>
      <c r="J1498">
        <v>1.8747</v>
      </c>
      <c r="K1498" t="s">
        <v>53</v>
      </c>
      <c r="L1498">
        <v>55</v>
      </c>
    </row>
    <row r="1499" spans="1:12" x14ac:dyDescent="0.45">
      <c r="A1499" t="s">
        <v>90</v>
      </c>
      <c r="B1499" t="s">
        <v>2</v>
      </c>
      <c r="C1499" t="s">
        <v>84</v>
      </c>
      <c r="D1499" t="s">
        <v>54</v>
      </c>
      <c r="E1499" t="s">
        <v>25</v>
      </c>
      <c r="F1499" t="s">
        <v>54</v>
      </c>
      <c r="G1499" t="s">
        <v>71</v>
      </c>
      <c r="H1499" t="s">
        <v>89</v>
      </c>
      <c r="I1499">
        <v>2025</v>
      </c>
      <c r="J1499">
        <v>3.2399999999999998E-2</v>
      </c>
      <c r="K1499" t="s">
        <v>54</v>
      </c>
      <c r="L1499">
        <v>70</v>
      </c>
    </row>
    <row r="1500" spans="1:12" x14ac:dyDescent="0.45">
      <c r="A1500" t="s">
        <v>90</v>
      </c>
      <c r="B1500" t="s">
        <v>2</v>
      </c>
      <c r="C1500" t="s">
        <v>84</v>
      </c>
      <c r="D1500" t="s">
        <v>45</v>
      </c>
      <c r="E1500" t="s">
        <v>46</v>
      </c>
      <c r="F1500" t="s">
        <v>45</v>
      </c>
      <c r="G1500" t="s">
        <v>47</v>
      </c>
      <c r="H1500" t="s">
        <v>89</v>
      </c>
      <c r="I1500">
        <v>2030</v>
      </c>
      <c r="J1500">
        <v>0</v>
      </c>
      <c r="K1500" t="s">
        <v>45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H1501" t="s">
        <v>89</v>
      </c>
      <c r="I1501">
        <v>2030</v>
      </c>
      <c r="J1501">
        <v>18.888200000000001</v>
      </c>
      <c r="K1501" t="s">
        <v>52</v>
      </c>
      <c r="L1501">
        <v>94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2030</v>
      </c>
      <c r="J1502">
        <v>1.8048999999999999</v>
      </c>
      <c r="K1502" t="s">
        <v>53</v>
      </c>
      <c r="L1502">
        <v>55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54</v>
      </c>
      <c r="E1503" t="s">
        <v>25</v>
      </c>
      <c r="F1503" t="s">
        <v>54</v>
      </c>
      <c r="G1503" t="s">
        <v>71</v>
      </c>
      <c r="H1503" t="s">
        <v>89</v>
      </c>
      <c r="I1503">
        <v>2030</v>
      </c>
      <c r="J1503">
        <v>1.4E-2</v>
      </c>
      <c r="K1503" t="s">
        <v>54</v>
      </c>
      <c r="L1503">
        <v>70</v>
      </c>
    </row>
    <row r="1504" spans="1:12" x14ac:dyDescent="0.45">
      <c r="A1504" t="s">
        <v>90</v>
      </c>
      <c r="B1504" t="s">
        <v>2</v>
      </c>
      <c r="C1504" t="s">
        <v>84</v>
      </c>
      <c r="D1504" t="s">
        <v>45</v>
      </c>
      <c r="E1504" t="s">
        <v>46</v>
      </c>
      <c r="F1504" t="s">
        <v>45</v>
      </c>
      <c r="G1504" t="s">
        <v>47</v>
      </c>
      <c r="H1504" t="s">
        <v>89</v>
      </c>
      <c r="I1504">
        <v>2035</v>
      </c>
      <c r="J1504">
        <v>2.7000000000000001E-3</v>
      </c>
      <c r="K1504" t="s">
        <v>45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52</v>
      </c>
      <c r="E1505" t="s">
        <v>25</v>
      </c>
      <c r="F1505" t="s">
        <v>52</v>
      </c>
      <c r="G1505" t="s">
        <v>71</v>
      </c>
      <c r="H1505" t="s">
        <v>89</v>
      </c>
      <c r="I1505">
        <v>2035</v>
      </c>
      <c r="J1505">
        <v>15.234</v>
      </c>
      <c r="K1505" t="s">
        <v>52</v>
      </c>
      <c r="L1505">
        <v>94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2035</v>
      </c>
      <c r="J1506">
        <v>1.373</v>
      </c>
      <c r="K1506" t="s">
        <v>53</v>
      </c>
      <c r="L1506">
        <v>55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2035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45</v>
      </c>
      <c r="E1508" t="s">
        <v>46</v>
      </c>
      <c r="F1508" t="s">
        <v>45</v>
      </c>
      <c r="G1508" t="s">
        <v>47</v>
      </c>
      <c r="H1508" t="s">
        <v>89</v>
      </c>
      <c r="I1508">
        <v>2040</v>
      </c>
      <c r="J1508">
        <v>0.70435000000000003</v>
      </c>
      <c r="K1508" t="s">
        <v>45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52</v>
      </c>
      <c r="E1509" t="s">
        <v>25</v>
      </c>
      <c r="F1509" t="s">
        <v>52</v>
      </c>
      <c r="G1509" t="s">
        <v>71</v>
      </c>
      <c r="H1509" t="s">
        <v>89</v>
      </c>
      <c r="I1509">
        <v>2040</v>
      </c>
      <c r="J1509">
        <v>8.1175999999999995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2040</v>
      </c>
      <c r="J1510">
        <v>1.1712</v>
      </c>
      <c r="K1510" t="s">
        <v>53</v>
      </c>
      <c r="L1510">
        <v>55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2040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45</v>
      </c>
      <c r="E1512" t="s">
        <v>46</v>
      </c>
      <c r="F1512" t="s">
        <v>45</v>
      </c>
      <c r="G1512" t="s">
        <v>47</v>
      </c>
      <c r="H1512" t="s">
        <v>89</v>
      </c>
      <c r="I1512">
        <v>2045</v>
      </c>
      <c r="J1512">
        <v>0.70979999999999999</v>
      </c>
      <c r="K1512" t="s">
        <v>45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52</v>
      </c>
      <c r="E1513" t="s">
        <v>25</v>
      </c>
      <c r="F1513" t="s">
        <v>52</v>
      </c>
      <c r="G1513" t="s">
        <v>71</v>
      </c>
      <c r="H1513" t="s">
        <v>89</v>
      </c>
      <c r="I1513">
        <v>2045</v>
      </c>
      <c r="J1513">
        <v>2.7187999999999999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1.0699000000000001</v>
      </c>
      <c r="K1514" t="s">
        <v>53</v>
      </c>
      <c r="L1514">
        <v>55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54</v>
      </c>
      <c r="E1515" t="s">
        <v>25</v>
      </c>
      <c r="F1515" t="s">
        <v>54</v>
      </c>
      <c r="G1515" t="s">
        <v>71</v>
      </c>
      <c r="H1515" t="s">
        <v>89</v>
      </c>
      <c r="I1515">
        <v>2045</v>
      </c>
      <c r="J1515">
        <v>0</v>
      </c>
      <c r="K1515" t="s">
        <v>54</v>
      </c>
      <c r="L1515">
        <v>70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45</v>
      </c>
      <c r="E1516" t="s">
        <v>46</v>
      </c>
      <c r="F1516" t="s">
        <v>45</v>
      </c>
      <c r="G1516" t="s">
        <v>47</v>
      </c>
      <c r="H1516" t="s">
        <v>89</v>
      </c>
      <c r="I1516">
        <v>2050</v>
      </c>
      <c r="J1516">
        <v>0.71700000000000008</v>
      </c>
      <c r="K1516" t="s">
        <v>45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2050</v>
      </c>
      <c r="J1517">
        <v>0.20219999999999999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2050</v>
      </c>
      <c r="J1518">
        <v>0.6885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54</v>
      </c>
      <c r="E1519" t="s">
        <v>25</v>
      </c>
      <c r="F1519" t="s">
        <v>54</v>
      </c>
      <c r="G1519" t="s">
        <v>71</v>
      </c>
      <c r="H1519" t="s">
        <v>89</v>
      </c>
      <c r="I1519">
        <v>2050</v>
      </c>
      <c r="J1519">
        <v>0</v>
      </c>
      <c r="K1519" t="s">
        <v>54</v>
      </c>
      <c r="L1519">
        <v>70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45</v>
      </c>
      <c r="E1520" t="s">
        <v>46</v>
      </c>
      <c r="F1520" t="s">
        <v>45</v>
      </c>
      <c r="G1520" t="s">
        <v>47</v>
      </c>
      <c r="H1520" t="s">
        <v>89</v>
      </c>
      <c r="I1520">
        <v>2055</v>
      </c>
      <c r="J1520">
        <v>1.0392999999999999</v>
      </c>
      <c r="K1520" t="s">
        <v>45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52</v>
      </c>
      <c r="E1521" t="s">
        <v>25</v>
      </c>
      <c r="F1521" t="s">
        <v>52</v>
      </c>
      <c r="G1521" t="s">
        <v>71</v>
      </c>
      <c r="H1521" t="s">
        <v>89</v>
      </c>
      <c r="I1521">
        <v>2055</v>
      </c>
      <c r="J1521">
        <v>7.6899999999999996E-2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2055</v>
      </c>
      <c r="J1522">
        <v>0.52469999999999994</v>
      </c>
      <c r="K1522" t="s">
        <v>53</v>
      </c>
      <c r="L1522">
        <v>55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H1523" t="s">
        <v>89</v>
      </c>
      <c r="I1523">
        <v>2055</v>
      </c>
      <c r="J1523">
        <v>0</v>
      </c>
      <c r="K1523" t="s">
        <v>54</v>
      </c>
      <c r="L1523">
        <v>70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2060</v>
      </c>
      <c r="J1524">
        <v>1.0242</v>
      </c>
      <c r="K1524" t="s">
        <v>45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52</v>
      </c>
      <c r="E1525" t="s">
        <v>25</v>
      </c>
      <c r="F1525" t="s">
        <v>52</v>
      </c>
      <c r="G1525" t="s">
        <v>71</v>
      </c>
      <c r="H1525" t="s">
        <v>89</v>
      </c>
      <c r="I1525">
        <v>2060</v>
      </c>
      <c r="J1525">
        <v>4.0000000000000002E-4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2060</v>
      </c>
      <c r="J1526">
        <v>0.44750000000000001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H1527" t="s">
        <v>89</v>
      </c>
      <c r="I1527">
        <v>2060</v>
      </c>
      <c r="J1527">
        <v>0</v>
      </c>
      <c r="K1527" t="s">
        <v>54</v>
      </c>
      <c r="L1527">
        <v>70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45</v>
      </c>
      <c r="E1528" t="s">
        <v>46</v>
      </c>
      <c r="F1528" t="s">
        <v>45</v>
      </c>
      <c r="G1528" t="s">
        <v>47</v>
      </c>
      <c r="H1528" t="s">
        <v>89</v>
      </c>
      <c r="I1528">
        <v>2065</v>
      </c>
      <c r="J1528">
        <v>107.11035000000001</v>
      </c>
      <c r="K1528" t="s">
        <v>45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52</v>
      </c>
      <c r="E1529" t="s">
        <v>25</v>
      </c>
      <c r="F1529" t="s">
        <v>52</v>
      </c>
      <c r="G1529" t="s">
        <v>71</v>
      </c>
      <c r="H1529" t="s">
        <v>89</v>
      </c>
      <c r="I1529">
        <v>2065</v>
      </c>
      <c r="J1529">
        <v>2.9999999999999997E-4</v>
      </c>
      <c r="K1529" t="s">
        <v>52</v>
      </c>
      <c r="L1529">
        <v>94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2065</v>
      </c>
      <c r="J1530">
        <v>0.44979999999999998</v>
      </c>
      <c r="K1530" t="s">
        <v>53</v>
      </c>
      <c r="L1530">
        <v>55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H1531" t="s">
        <v>89</v>
      </c>
      <c r="I1531">
        <v>2065</v>
      </c>
      <c r="J1531">
        <v>0</v>
      </c>
      <c r="K1531" t="s">
        <v>54</v>
      </c>
      <c r="L1531">
        <v>70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45</v>
      </c>
      <c r="E1532" t="s">
        <v>46</v>
      </c>
      <c r="F1532" t="s">
        <v>45</v>
      </c>
      <c r="G1532" t="s">
        <v>47</v>
      </c>
      <c r="H1532" t="s">
        <v>89</v>
      </c>
      <c r="I1532">
        <v>2070</v>
      </c>
      <c r="J1532">
        <v>212.87774999999999</v>
      </c>
      <c r="K1532" t="s">
        <v>45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52</v>
      </c>
      <c r="E1533" t="s">
        <v>25</v>
      </c>
      <c r="F1533" t="s">
        <v>52</v>
      </c>
      <c r="G1533" t="s">
        <v>71</v>
      </c>
      <c r="H1533" t="s">
        <v>89</v>
      </c>
      <c r="I1533">
        <v>2070</v>
      </c>
      <c r="J1533">
        <v>1E-4</v>
      </c>
      <c r="K1533" t="s">
        <v>52</v>
      </c>
      <c r="L1533">
        <v>94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0.45205000000000001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H1535" t="s">
        <v>89</v>
      </c>
      <c r="I1535">
        <v>2070</v>
      </c>
      <c r="J1535">
        <v>0</v>
      </c>
      <c r="K1535" t="s">
        <v>54</v>
      </c>
      <c r="L1535">
        <v>70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45</v>
      </c>
      <c r="E1536" t="s">
        <v>46</v>
      </c>
      <c r="F1536" t="s">
        <v>45</v>
      </c>
      <c r="G1536" t="s">
        <v>47</v>
      </c>
      <c r="H1536" t="s">
        <v>89</v>
      </c>
      <c r="I1536">
        <v>2075</v>
      </c>
      <c r="J1536">
        <v>204.42725000000002</v>
      </c>
      <c r="K1536" t="s">
        <v>45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52</v>
      </c>
      <c r="E1537" t="s">
        <v>25</v>
      </c>
      <c r="F1537" t="s">
        <v>52</v>
      </c>
      <c r="G1537" t="s">
        <v>71</v>
      </c>
      <c r="H1537" t="s">
        <v>89</v>
      </c>
      <c r="I1537">
        <v>2075</v>
      </c>
      <c r="J1537">
        <v>1E-4</v>
      </c>
      <c r="K1537" t="s">
        <v>52</v>
      </c>
      <c r="L1537">
        <v>94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0.40544999999999998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54</v>
      </c>
      <c r="E1539" t="s">
        <v>25</v>
      </c>
      <c r="F1539" t="s">
        <v>54</v>
      </c>
      <c r="G1539" t="s">
        <v>71</v>
      </c>
      <c r="H1539" t="s">
        <v>89</v>
      </c>
      <c r="I1539">
        <v>2075</v>
      </c>
      <c r="J1539">
        <v>0</v>
      </c>
      <c r="K1539" t="s">
        <v>54</v>
      </c>
      <c r="L1539">
        <v>70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45</v>
      </c>
      <c r="E1540" t="s">
        <v>46</v>
      </c>
      <c r="F1540" t="s">
        <v>45</v>
      </c>
      <c r="G1540" t="s">
        <v>47</v>
      </c>
      <c r="H1540" t="s">
        <v>89</v>
      </c>
      <c r="I1540">
        <v>2080</v>
      </c>
      <c r="J1540">
        <v>197.77724999999998</v>
      </c>
      <c r="K1540" t="s">
        <v>45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52</v>
      </c>
      <c r="E1541" t="s">
        <v>25</v>
      </c>
      <c r="F1541" t="s">
        <v>52</v>
      </c>
      <c r="G1541" t="s">
        <v>71</v>
      </c>
      <c r="H1541" t="s">
        <v>89</v>
      </c>
      <c r="I1541">
        <v>2080</v>
      </c>
      <c r="J1541">
        <v>0</v>
      </c>
      <c r="K1541" t="s">
        <v>52</v>
      </c>
      <c r="L1541">
        <v>94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0.3589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54</v>
      </c>
      <c r="E1543" t="s">
        <v>25</v>
      </c>
      <c r="F1543" t="s">
        <v>54</v>
      </c>
      <c r="G1543" t="s">
        <v>71</v>
      </c>
      <c r="H1543" t="s">
        <v>89</v>
      </c>
      <c r="I1543">
        <v>2080</v>
      </c>
      <c r="J1543">
        <v>0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45</v>
      </c>
      <c r="E1544" t="s">
        <v>46</v>
      </c>
      <c r="F1544" t="s">
        <v>45</v>
      </c>
      <c r="G1544" t="s">
        <v>47</v>
      </c>
      <c r="H1544" t="s">
        <v>89</v>
      </c>
      <c r="I1544">
        <v>2085</v>
      </c>
      <c r="J1544">
        <v>211.86045000000001</v>
      </c>
      <c r="K1544" t="s">
        <v>45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52</v>
      </c>
      <c r="E1545" t="s">
        <v>25</v>
      </c>
      <c r="F1545" t="s">
        <v>52</v>
      </c>
      <c r="G1545" t="s">
        <v>71</v>
      </c>
      <c r="H1545" t="s">
        <v>89</v>
      </c>
      <c r="I1545">
        <v>2085</v>
      </c>
      <c r="J1545">
        <v>0</v>
      </c>
      <c r="K1545" t="s">
        <v>52</v>
      </c>
      <c r="L1545">
        <v>94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2085</v>
      </c>
      <c r="J1546">
        <v>0.29705000000000004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2085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45</v>
      </c>
      <c r="E1548" t="s">
        <v>46</v>
      </c>
      <c r="F1548" t="s">
        <v>45</v>
      </c>
      <c r="G1548" t="s">
        <v>47</v>
      </c>
      <c r="H1548" t="s">
        <v>89</v>
      </c>
      <c r="I1548">
        <v>2090</v>
      </c>
      <c r="J1548">
        <v>226.02789999999999</v>
      </c>
      <c r="K1548" t="s">
        <v>45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52</v>
      </c>
      <c r="E1549" t="s">
        <v>25</v>
      </c>
      <c r="F1549" t="s">
        <v>52</v>
      </c>
      <c r="G1549" t="s">
        <v>71</v>
      </c>
      <c r="H1549" t="s">
        <v>89</v>
      </c>
      <c r="I1549">
        <v>2090</v>
      </c>
      <c r="J1549">
        <v>0</v>
      </c>
      <c r="K1549" t="s">
        <v>52</v>
      </c>
      <c r="L1549">
        <v>94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2090</v>
      </c>
      <c r="J1550">
        <v>0.23535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2090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45</v>
      </c>
      <c r="E1552" t="s">
        <v>46</v>
      </c>
      <c r="F1552" t="s">
        <v>45</v>
      </c>
      <c r="G1552" t="s">
        <v>47</v>
      </c>
      <c r="H1552" t="s">
        <v>89</v>
      </c>
      <c r="I1552">
        <v>2095</v>
      </c>
      <c r="J1552">
        <v>232.75375000000003</v>
      </c>
      <c r="K1552" t="s">
        <v>45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52</v>
      </c>
      <c r="E1553" t="s">
        <v>25</v>
      </c>
      <c r="F1553" t="s">
        <v>52</v>
      </c>
      <c r="G1553" t="s">
        <v>71</v>
      </c>
      <c r="H1553" t="s">
        <v>89</v>
      </c>
      <c r="I1553">
        <v>2095</v>
      </c>
      <c r="J1553">
        <v>0</v>
      </c>
      <c r="K1553" t="s">
        <v>52</v>
      </c>
      <c r="L1553">
        <v>94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2095</v>
      </c>
      <c r="J1554">
        <v>0.1807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2095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45</v>
      </c>
      <c r="E1556" t="s">
        <v>46</v>
      </c>
      <c r="F1556" t="s">
        <v>45</v>
      </c>
      <c r="G1556" t="s">
        <v>47</v>
      </c>
      <c r="H1556" t="s">
        <v>89</v>
      </c>
      <c r="I1556">
        <v>2100</v>
      </c>
      <c r="J1556">
        <v>239.55914999999999</v>
      </c>
      <c r="K1556" t="s">
        <v>45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52</v>
      </c>
      <c r="E1557" t="s">
        <v>25</v>
      </c>
      <c r="F1557" t="s">
        <v>52</v>
      </c>
      <c r="G1557" t="s">
        <v>71</v>
      </c>
      <c r="H1557" t="s">
        <v>89</v>
      </c>
      <c r="I1557">
        <v>2100</v>
      </c>
      <c r="J1557">
        <v>0</v>
      </c>
      <c r="K1557" t="s">
        <v>52</v>
      </c>
      <c r="L1557">
        <v>94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2100</v>
      </c>
      <c r="J1558">
        <v>0.12620000000000001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79.124200000000002</v>
      </c>
      <c r="K1560" t="s">
        <v>37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81.650599999999997</v>
      </c>
      <c r="K1561" t="s">
        <v>37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85.389949999999999</v>
      </c>
      <c r="K1562" t="s">
        <v>37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85.15485000000001</v>
      </c>
      <c r="K1563" t="s">
        <v>37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93.721399999999988</v>
      </c>
      <c r="K1564" t="s">
        <v>37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104.84415</v>
      </c>
      <c r="K1565" t="s">
        <v>37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124.86799999999999</v>
      </c>
      <c r="K1566" t="s">
        <v>37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123.87389999999999</v>
      </c>
      <c r="K1567" t="s">
        <v>37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206.61349999999999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240.83544999999998</v>
      </c>
      <c r="K1569" t="s">
        <v>37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275.05730000000005</v>
      </c>
      <c r="K1570" t="s">
        <v>37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288.96654999999998</v>
      </c>
      <c r="K1571" t="s">
        <v>37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302.87585000000001</v>
      </c>
      <c r="K1572" t="s">
        <v>37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286.30865</v>
      </c>
      <c r="K1573" t="s">
        <v>37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269.7414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291.04075</v>
      </c>
      <c r="K1575" t="s">
        <v>37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312.34005000000002</v>
      </c>
      <c r="K1576" t="s">
        <v>37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10724.963749999999</v>
      </c>
      <c r="K1577" t="s">
        <v>48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51</v>
      </c>
      <c r="E1578" t="s">
        <v>46</v>
      </c>
      <c r="F1578" t="s">
        <v>51</v>
      </c>
      <c r="G1578" t="s">
        <v>49</v>
      </c>
      <c r="H1578" t="s">
        <v>50</v>
      </c>
      <c r="I1578">
        <v>2020</v>
      </c>
      <c r="J1578">
        <v>10476.027699999999</v>
      </c>
      <c r="K1578" t="s">
        <v>51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2025</v>
      </c>
      <c r="J1579">
        <v>10303.084849999999</v>
      </c>
      <c r="K1579" t="s">
        <v>48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51</v>
      </c>
      <c r="E1580" t="s">
        <v>46</v>
      </c>
      <c r="F1580" t="s">
        <v>51</v>
      </c>
      <c r="G1580" t="s">
        <v>49</v>
      </c>
      <c r="H1580" t="s">
        <v>50</v>
      </c>
      <c r="I1580">
        <v>2025</v>
      </c>
      <c r="J1580">
        <v>9874.2897499999999</v>
      </c>
      <c r="K1580" t="s">
        <v>51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2030</v>
      </c>
      <c r="J1581">
        <v>5306.9562499999993</v>
      </c>
      <c r="K1581" t="s">
        <v>48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51</v>
      </c>
      <c r="E1582" t="s">
        <v>46</v>
      </c>
      <c r="F1582" t="s">
        <v>51</v>
      </c>
      <c r="G1582" t="s">
        <v>49</v>
      </c>
      <c r="H1582" t="s">
        <v>50</v>
      </c>
      <c r="I1582">
        <v>2030</v>
      </c>
      <c r="J1582">
        <v>5293.4823500000002</v>
      </c>
      <c r="K1582" t="s">
        <v>51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2035</v>
      </c>
      <c r="J1583">
        <v>2097.9813000000004</v>
      </c>
      <c r="K1583" t="s">
        <v>48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2035</v>
      </c>
      <c r="J1584">
        <v>2342.7583999999997</v>
      </c>
      <c r="K1584" t="s">
        <v>51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2040</v>
      </c>
      <c r="J1585">
        <v>579.97154999999998</v>
      </c>
      <c r="K1585" t="s">
        <v>48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2040</v>
      </c>
      <c r="J1586">
        <v>1013.6854000000001</v>
      </c>
      <c r="K1586" t="s">
        <v>51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2045</v>
      </c>
      <c r="J1587">
        <v>-407.476</v>
      </c>
      <c r="K1587" t="s">
        <v>48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2045</v>
      </c>
      <c r="J1588">
        <v>117.05125</v>
      </c>
      <c r="K1588" t="s">
        <v>51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2050</v>
      </c>
      <c r="J1589">
        <v>-864.12315000000001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2050</v>
      </c>
      <c r="J1590">
        <v>-263.25700000000001</v>
      </c>
      <c r="K1590" t="s">
        <v>51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2055</v>
      </c>
      <c r="J1591">
        <v>-1218.8532500000001</v>
      </c>
      <c r="K1591" t="s">
        <v>48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51</v>
      </c>
      <c r="E1592" t="s">
        <v>46</v>
      </c>
      <c r="F1592" t="s">
        <v>51</v>
      </c>
      <c r="G1592" t="s">
        <v>49</v>
      </c>
      <c r="H1592" t="s">
        <v>50</v>
      </c>
      <c r="I1592">
        <v>2055</v>
      </c>
      <c r="J1592">
        <v>-486.68610000000001</v>
      </c>
      <c r="K1592" t="s">
        <v>51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2060</v>
      </c>
      <c r="J1593">
        <v>-1485.3866499999999</v>
      </c>
      <c r="K1593" t="s">
        <v>48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2060</v>
      </c>
      <c r="J1594">
        <v>-658.09114999999997</v>
      </c>
      <c r="K1594" t="s">
        <v>51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2065</v>
      </c>
      <c r="J1595">
        <v>-1770.0075000000002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2065</v>
      </c>
      <c r="J1596">
        <v>-929.08825000000002</v>
      </c>
      <c r="K1596" t="s">
        <v>51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2070</v>
      </c>
      <c r="J1597">
        <v>-2052.0418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2070</v>
      </c>
      <c r="J1598">
        <v>-1197.5418</v>
      </c>
      <c r="K1598" t="s">
        <v>51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2075</v>
      </c>
      <c r="J1599">
        <v>-2254.8971499999998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2075</v>
      </c>
      <c r="J1600">
        <v>-1319.4913000000001</v>
      </c>
      <c r="K1600" t="s">
        <v>51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2080</v>
      </c>
      <c r="J1601">
        <v>-2455.2669999999998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2080</v>
      </c>
      <c r="J1602">
        <v>-1438.9131499999999</v>
      </c>
      <c r="K1602" t="s">
        <v>51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2085</v>
      </c>
      <c r="J1603">
        <v>-2448.2033499999998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2085</v>
      </c>
      <c r="J1604">
        <v>-1474.6509000000001</v>
      </c>
      <c r="K1604" t="s">
        <v>51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2090</v>
      </c>
      <c r="J1605">
        <v>-2443.7574500000001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2090</v>
      </c>
      <c r="J1606">
        <v>-1512.9909</v>
      </c>
      <c r="K1606" t="s">
        <v>51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2095</v>
      </c>
      <c r="J1607">
        <v>-2434.4369999999999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2095</v>
      </c>
      <c r="J1608">
        <v>-1459.2156</v>
      </c>
      <c r="K1608" t="s">
        <v>51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2100</v>
      </c>
      <c r="J1609">
        <v>-2424.8253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-1405.1203999999998</v>
      </c>
      <c r="K1610" t="s">
        <v>51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5.2343000000000002</v>
      </c>
      <c r="K1612" t="s">
        <v>29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6.0677500000000002</v>
      </c>
      <c r="K1613" t="s">
        <v>29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8.3306499999999986</v>
      </c>
      <c r="K1614" t="s">
        <v>29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16.86035</v>
      </c>
      <c r="K1615" t="s">
        <v>29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22.537300000000002</v>
      </c>
      <c r="K1616" t="s">
        <v>29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21.625300000000003</v>
      </c>
      <c r="K1617" t="s">
        <v>29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20.022300000000001</v>
      </c>
      <c r="K1618" t="s">
        <v>29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34.522100000000002</v>
      </c>
      <c r="K1619" t="s">
        <v>29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34.848349999999996</v>
      </c>
      <c r="K1620" t="s">
        <v>29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35.174599999999998</v>
      </c>
      <c r="K1621" t="s">
        <v>29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34.450149999999994</v>
      </c>
      <c r="K1622" t="s">
        <v>29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33.725650000000002</v>
      </c>
      <c r="K1623" t="s">
        <v>29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35.534049999999993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37.342399999999998</v>
      </c>
      <c r="K1625" t="s">
        <v>29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41.003249999999994</v>
      </c>
      <c r="K1626" t="s">
        <v>29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44.664050000000003</v>
      </c>
      <c r="K1627" t="s">
        <v>29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2.6320999999999999</v>
      </c>
      <c r="K1629" t="s">
        <v>33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1.7697500000000002</v>
      </c>
      <c r="K1630" t="s">
        <v>33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1.43615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1.3690500000000001</v>
      </c>
      <c r="K1632" t="s">
        <v>33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1.4416</v>
      </c>
      <c r="K1633" t="s">
        <v>33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1.7387999999999999</v>
      </c>
      <c r="K1634" t="s">
        <v>33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1.66615</v>
      </c>
      <c r="K1635" t="s">
        <v>33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1.8959000000000001</v>
      </c>
      <c r="K1636" t="s">
        <v>33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1.9075500000000001</v>
      </c>
      <c r="K1637" t="s">
        <v>33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1.9191499999999999</v>
      </c>
      <c r="K1638" t="s">
        <v>33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2.0170500000000002</v>
      </c>
      <c r="K1639" t="s">
        <v>33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2.1149</v>
      </c>
      <c r="K1640" t="s">
        <v>33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2.0994000000000002</v>
      </c>
      <c r="K1641" t="s">
        <v>33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2.0839499999999997</v>
      </c>
      <c r="K1642" t="s">
        <v>33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1.94255</v>
      </c>
      <c r="K1643" t="s">
        <v>33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1.8012000000000001</v>
      </c>
      <c r="K1644" t="s">
        <v>33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9.0282499999999999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12.706199999999999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15.1571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18.893799999999999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21.135849999999998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21.611599999999999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21.124849999999999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18.925049999999999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18.183950000000003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84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17.764850000000003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17.351150000000001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84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17.0244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84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16.70205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84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16.21255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15.72925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15.0519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84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14.376950000000001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2020</v>
      </c>
      <c r="J1662">
        <v>14.780749999999999</v>
      </c>
      <c r="K1662" t="s">
        <v>24</v>
      </c>
    </row>
    <row r="1663" spans="1:11" x14ac:dyDescent="0.45">
      <c r="A1663" t="s">
        <v>90</v>
      </c>
      <c r="B1663" t="s">
        <v>1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2025</v>
      </c>
      <c r="J1663">
        <v>17.02835</v>
      </c>
      <c r="K1663" t="s">
        <v>24</v>
      </c>
    </row>
    <row r="1664" spans="1:11" x14ac:dyDescent="0.45">
      <c r="A1664" t="s">
        <v>90</v>
      </c>
      <c r="B1664" t="s">
        <v>1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2030</v>
      </c>
      <c r="J1664">
        <v>16.345399999999998</v>
      </c>
      <c r="K1664" t="s">
        <v>24</v>
      </c>
    </row>
    <row r="1665" spans="1:11" x14ac:dyDescent="0.45">
      <c r="A1665" t="s">
        <v>90</v>
      </c>
      <c r="B1665" t="s">
        <v>1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2035</v>
      </c>
      <c r="J1665">
        <v>17.44135</v>
      </c>
      <c r="K1665" t="s">
        <v>24</v>
      </c>
    </row>
    <row r="1666" spans="1:11" x14ac:dyDescent="0.45">
      <c r="A1666" t="s">
        <v>90</v>
      </c>
      <c r="B1666" t="s">
        <v>1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2040</v>
      </c>
      <c r="J1666">
        <v>18.732849999999999</v>
      </c>
      <c r="K1666" t="s">
        <v>24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2045</v>
      </c>
      <c r="J1667">
        <v>18.214550000000003</v>
      </c>
      <c r="K1667" t="s">
        <v>24</v>
      </c>
    </row>
    <row r="1668" spans="1:11" x14ac:dyDescent="0.45">
      <c r="A1668" t="s">
        <v>90</v>
      </c>
      <c r="B1668" t="s">
        <v>1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2050</v>
      </c>
      <c r="J1668">
        <v>16.683</v>
      </c>
      <c r="K1668" t="s">
        <v>24</v>
      </c>
    </row>
    <row r="1669" spans="1:11" x14ac:dyDescent="0.45">
      <c r="A1669" t="s">
        <v>90</v>
      </c>
      <c r="B1669" t="s">
        <v>1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2055</v>
      </c>
      <c r="J1669">
        <v>15.223800000000001</v>
      </c>
      <c r="K1669" t="s">
        <v>24</v>
      </c>
    </row>
    <row r="1670" spans="1:11" x14ac:dyDescent="0.45">
      <c r="A1670" t="s">
        <v>90</v>
      </c>
      <c r="B1670" t="s">
        <v>1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2060</v>
      </c>
      <c r="J1670">
        <v>13.634550000000001</v>
      </c>
      <c r="K1670" t="s">
        <v>24</v>
      </c>
    </row>
    <row r="1671" spans="1:11" x14ac:dyDescent="0.45">
      <c r="A1671" t="s">
        <v>90</v>
      </c>
      <c r="B1671" t="s">
        <v>1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2065</v>
      </c>
      <c r="J1671">
        <v>12.449349999999999</v>
      </c>
      <c r="K1671" t="s">
        <v>24</v>
      </c>
    </row>
    <row r="1672" spans="1:11" x14ac:dyDescent="0.45">
      <c r="A1672" t="s">
        <v>90</v>
      </c>
      <c r="B1672" t="s">
        <v>1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2070</v>
      </c>
      <c r="J1672">
        <v>11.26965</v>
      </c>
      <c r="K1672" t="s">
        <v>24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2075</v>
      </c>
      <c r="J1673">
        <v>10.2188</v>
      </c>
      <c r="K1673" t="s">
        <v>24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24</v>
      </c>
      <c r="E1674" t="s">
        <v>25</v>
      </c>
      <c r="F1674" t="s">
        <v>24</v>
      </c>
      <c r="G1674" t="s">
        <v>26</v>
      </c>
      <c r="H1674" t="s">
        <v>13</v>
      </c>
      <c r="I1674">
        <v>2080</v>
      </c>
      <c r="J1674">
        <v>9.1701999999999995</v>
      </c>
      <c r="K1674" t="s">
        <v>24</v>
      </c>
    </row>
    <row r="1675" spans="1:11" x14ac:dyDescent="0.45">
      <c r="A1675" t="s">
        <v>90</v>
      </c>
      <c r="B1675" t="s">
        <v>1</v>
      </c>
      <c r="C1675" t="s">
        <v>84</v>
      </c>
      <c r="D1675" t="s">
        <v>24</v>
      </c>
      <c r="E1675" t="s">
        <v>25</v>
      </c>
      <c r="F1675" t="s">
        <v>24</v>
      </c>
      <c r="G1675" t="s">
        <v>26</v>
      </c>
      <c r="H1675" t="s">
        <v>13</v>
      </c>
      <c r="I1675">
        <v>2085</v>
      </c>
      <c r="J1675">
        <v>8.3274000000000008</v>
      </c>
      <c r="K1675" t="s">
        <v>24</v>
      </c>
    </row>
    <row r="1676" spans="1:11" x14ac:dyDescent="0.45">
      <c r="A1676" t="s">
        <v>90</v>
      </c>
      <c r="B1676" t="s">
        <v>1</v>
      </c>
      <c r="C1676" t="s">
        <v>84</v>
      </c>
      <c r="D1676" t="s">
        <v>24</v>
      </c>
      <c r="E1676" t="s">
        <v>25</v>
      </c>
      <c r="F1676" t="s">
        <v>24</v>
      </c>
      <c r="G1676" t="s">
        <v>26</v>
      </c>
      <c r="H1676" t="s">
        <v>13</v>
      </c>
      <c r="I1676">
        <v>2090</v>
      </c>
      <c r="J1676">
        <v>7.4890500000000007</v>
      </c>
      <c r="K1676" t="s">
        <v>24</v>
      </c>
    </row>
    <row r="1677" spans="1:11" x14ac:dyDescent="0.45">
      <c r="A1677" t="s">
        <v>90</v>
      </c>
      <c r="B1677" t="s">
        <v>1</v>
      </c>
      <c r="C1677" t="s">
        <v>84</v>
      </c>
      <c r="D1677" t="s">
        <v>24</v>
      </c>
      <c r="E1677" t="s">
        <v>25</v>
      </c>
      <c r="F1677" t="s">
        <v>24</v>
      </c>
      <c r="G1677" t="s">
        <v>26</v>
      </c>
      <c r="H1677" t="s">
        <v>13</v>
      </c>
      <c r="I1677">
        <v>2095</v>
      </c>
      <c r="J1677">
        <v>6.5945499999999999</v>
      </c>
      <c r="K1677" t="s">
        <v>24</v>
      </c>
    </row>
    <row r="1678" spans="1:11" x14ac:dyDescent="0.45">
      <c r="A1678" t="s">
        <v>90</v>
      </c>
      <c r="B1678" t="s">
        <v>1</v>
      </c>
      <c r="C1678" t="s">
        <v>84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2100</v>
      </c>
      <c r="J1678">
        <v>5.7022500000000003</v>
      </c>
      <c r="K1678" t="s">
        <v>24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27</v>
      </c>
      <c r="E1679" t="s">
        <v>25</v>
      </c>
      <c r="F1679" t="s">
        <v>27</v>
      </c>
      <c r="G1679" t="s">
        <v>26</v>
      </c>
      <c r="H1679" t="s">
        <v>10</v>
      </c>
      <c r="I1679">
        <v>2020</v>
      </c>
      <c r="J1679">
        <v>0.23830000000000001</v>
      </c>
      <c r="K1679" t="s">
        <v>27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2025</v>
      </c>
      <c r="J1680">
        <v>0.65615000000000001</v>
      </c>
      <c r="K1680" t="s">
        <v>27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27</v>
      </c>
      <c r="E1681" t="s">
        <v>25</v>
      </c>
      <c r="F1681" t="s">
        <v>27</v>
      </c>
      <c r="G1681" t="s">
        <v>26</v>
      </c>
      <c r="H1681" t="s">
        <v>10</v>
      </c>
      <c r="I1681">
        <v>2030</v>
      </c>
      <c r="J1681">
        <v>1.6204000000000001</v>
      </c>
      <c r="K1681" t="s">
        <v>27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27</v>
      </c>
      <c r="E1682" t="s">
        <v>25</v>
      </c>
      <c r="F1682" t="s">
        <v>27</v>
      </c>
      <c r="G1682" t="s">
        <v>26</v>
      </c>
      <c r="H1682" t="s">
        <v>10</v>
      </c>
      <c r="I1682">
        <v>2035</v>
      </c>
      <c r="J1682">
        <v>2.8084499999999997</v>
      </c>
      <c r="K1682" t="s">
        <v>27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27</v>
      </c>
      <c r="E1683" t="s">
        <v>25</v>
      </c>
      <c r="F1683" t="s">
        <v>27</v>
      </c>
      <c r="G1683" t="s">
        <v>26</v>
      </c>
      <c r="H1683" t="s">
        <v>10</v>
      </c>
      <c r="I1683">
        <v>2040</v>
      </c>
      <c r="J1683">
        <v>3.7965499999999999</v>
      </c>
      <c r="K1683" t="s">
        <v>27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27</v>
      </c>
      <c r="E1684" t="s">
        <v>25</v>
      </c>
      <c r="F1684" t="s">
        <v>27</v>
      </c>
      <c r="G1684" t="s">
        <v>26</v>
      </c>
      <c r="H1684" t="s">
        <v>10</v>
      </c>
      <c r="I1684">
        <v>2045</v>
      </c>
      <c r="J1684">
        <v>4.3487499999999999</v>
      </c>
      <c r="K1684" t="s">
        <v>27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27</v>
      </c>
      <c r="E1685" t="s">
        <v>25</v>
      </c>
      <c r="F1685" t="s">
        <v>27</v>
      </c>
      <c r="G1685" t="s">
        <v>26</v>
      </c>
      <c r="H1685" t="s">
        <v>10</v>
      </c>
      <c r="I1685">
        <v>2050</v>
      </c>
      <c r="J1685">
        <v>4.5755499999999998</v>
      </c>
      <c r="K1685" t="s">
        <v>27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27</v>
      </c>
      <c r="E1686" t="s">
        <v>25</v>
      </c>
      <c r="F1686" t="s">
        <v>27</v>
      </c>
      <c r="G1686" t="s">
        <v>26</v>
      </c>
      <c r="H1686" t="s">
        <v>10</v>
      </c>
      <c r="I1686">
        <v>2055</v>
      </c>
      <c r="J1686">
        <v>4.6480999999999995</v>
      </c>
      <c r="K1686" t="s">
        <v>27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27</v>
      </c>
      <c r="E1687" t="s">
        <v>25</v>
      </c>
      <c r="F1687" t="s">
        <v>27</v>
      </c>
      <c r="G1687" t="s">
        <v>26</v>
      </c>
      <c r="H1687" t="s">
        <v>10</v>
      </c>
      <c r="I1687">
        <v>2060</v>
      </c>
      <c r="J1687">
        <v>4.6698000000000004</v>
      </c>
      <c r="K1687" t="s">
        <v>27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27</v>
      </c>
      <c r="E1688" t="s">
        <v>25</v>
      </c>
      <c r="F1688" t="s">
        <v>27</v>
      </c>
      <c r="G1688" t="s">
        <v>26</v>
      </c>
      <c r="H1688" t="s">
        <v>10</v>
      </c>
      <c r="I1688">
        <v>2065</v>
      </c>
      <c r="J1688">
        <v>4.6661000000000001</v>
      </c>
      <c r="K1688" t="s">
        <v>27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27</v>
      </c>
      <c r="E1689" t="s">
        <v>25</v>
      </c>
      <c r="F1689" t="s">
        <v>27</v>
      </c>
      <c r="G1689" t="s">
        <v>26</v>
      </c>
      <c r="H1689" t="s">
        <v>10</v>
      </c>
      <c r="I1689">
        <v>2070</v>
      </c>
      <c r="J1689">
        <v>4.6624499999999998</v>
      </c>
      <c r="K1689" t="s">
        <v>27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27</v>
      </c>
      <c r="E1690" t="s">
        <v>25</v>
      </c>
      <c r="F1690" t="s">
        <v>27</v>
      </c>
      <c r="G1690" t="s">
        <v>26</v>
      </c>
      <c r="H1690" t="s">
        <v>10</v>
      </c>
      <c r="I1690">
        <v>2075</v>
      </c>
      <c r="J1690">
        <v>4.6278500000000005</v>
      </c>
      <c r="K1690" t="s">
        <v>27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2080</v>
      </c>
      <c r="J1691">
        <v>4.5974000000000004</v>
      </c>
      <c r="K1691" t="s">
        <v>27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2085</v>
      </c>
      <c r="J1692">
        <v>4.53925</v>
      </c>
      <c r="K1692" t="s">
        <v>27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2090</v>
      </c>
      <c r="J1693">
        <v>4.4890500000000007</v>
      </c>
      <c r="K1693" t="s">
        <v>27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2095</v>
      </c>
      <c r="J1694">
        <v>4.4427000000000003</v>
      </c>
      <c r="K1694" t="s">
        <v>27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2100</v>
      </c>
      <c r="J1695">
        <v>4.3961500000000004</v>
      </c>
      <c r="K1695" t="s">
        <v>27</v>
      </c>
    </row>
    <row r="1696" spans="1:11" x14ac:dyDescent="0.45">
      <c r="A1696" t="s">
        <v>90</v>
      </c>
      <c r="B1696" t="s">
        <v>1</v>
      </c>
      <c r="C1696" t="s">
        <v>84</v>
      </c>
      <c r="D1696" t="s">
        <v>35</v>
      </c>
      <c r="E1696" t="s">
        <v>30</v>
      </c>
      <c r="F1696" t="s">
        <v>35</v>
      </c>
      <c r="G1696" t="s">
        <v>31</v>
      </c>
      <c r="H1696" t="s">
        <v>36</v>
      </c>
      <c r="I1696">
        <v>2020</v>
      </c>
      <c r="J1696">
        <v>3.9710999999999999</v>
      </c>
      <c r="K1696" t="s">
        <v>35</v>
      </c>
    </row>
    <row r="1697" spans="1:11" x14ac:dyDescent="0.45">
      <c r="A1697" t="s">
        <v>90</v>
      </c>
      <c r="B1697" t="s">
        <v>1</v>
      </c>
      <c r="C1697" t="s">
        <v>84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2025</v>
      </c>
      <c r="J1697">
        <v>5.1760999999999999</v>
      </c>
      <c r="K1697" t="s">
        <v>35</v>
      </c>
    </row>
    <row r="1698" spans="1:11" x14ac:dyDescent="0.45">
      <c r="A1698" t="s">
        <v>90</v>
      </c>
      <c r="B1698" t="s">
        <v>1</v>
      </c>
      <c r="C1698" t="s">
        <v>84</v>
      </c>
      <c r="D1698" t="s">
        <v>35</v>
      </c>
      <c r="E1698" t="s">
        <v>30</v>
      </c>
      <c r="F1698" t="s">
        <v>35</v>
      </c>
      <c r="G1698" t="s">
        <v>31</v>
      </c>
      <c r="H1698" t="s">
        <v>36</v>
      </c>
      <c r="I1698">
        <v>2030</v>
      </c>
      <c r="J1698">
        <v>5.5630500000000005</v>
      </c>
      <c r="K1698" t="s">
        <v>35</v>
      </c>
    </row>
    <row r="1699" spans="1:11" x14ac:dyDescent="0.45">
      <c r="A1699" t="s">
        <v>90</v>
      </c>
      <c r="B1699" t="s">
        <v>1</v>
      </c>
      <c r="C1699" t="s">
        <v>84</v>
      </c>
      <c r="D1699" t="s">
        <v>35</v>
      </c>
      <c r="E1699" t="s">
        <v>30</v>
      </c>
      <c r="F1699" t="s">
        <v>35</v>
      </c>
      <c r="G1699" t="s">
        <v>31</v>
      </c>
      <c r="H1699" t="s">
        <v>36</v>
      </c>
      <c r="I1699">
        <v>2035</v>
      </c>
      <c r="J1699">
        <v>5.8599999999999994</v>
      </c>
      <c r="K1699" t="s">
        <v>35</v>
      </c>
    </row>
    <row r="1700" spans="1:11" x14ac:dyDescent="0.45">
      <c r="A1700" t="s">
        <v>90</v>
      </c>
      <c r="B1700" t="s">
        <v>1</v>
      </c>
      <c r="C1700" t="s">
        <v>84</v>
      </c>
      <c r="D1700" t="s">
        <v>35</v>
      </c>
      <c r="E1700" t="s">
        <v>30</v>
      </c>
      <c r="F1700" t="s">
        <v>35</v>
      </c>
      <c r="G1700" t="s">
        <v>31</v>
      </c>
      <c r="H1700" t="s">
        <v>36</v>
      </c>
      <c r="I1700">
        <v>2040</v>
      </c>
      <c r="J1700">
        <v>5.8657500000000002</v>
      </c>
      <c r="K1700" t="s">
        <v>35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35</v>
      </c>
      <c r="E1701" t="s">
        <v>30</v>
      </c>
      <c r="F1701" t="s">
        <v>35</v>
      </c>
      <c r="G1701" t="s">
        <v>31</v>
      </c>
      <c r="H1701" t="s">
        <v>36</v>
      </c>
      <c r="I1701">
        <v>2045</v>
      </c>
      <c r="J1701">
        <v>4.9245999999999999</v>
      </c>
      <c r="K1701" t="s">
        <v>35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35</v>
      </c>
      <c r="E1702" t="s">
        <v>30</v>
      </c>
      <c r="F1702" t="s">
        <v>35</v>
      </c>
      <c r="G1702" t="s">
        <v>31</v>
      </c>
      <c r="H1702" t="s">
        <v>36</v>
      </c>
      <c r="I1702">
        <v>2050</v>
      </c>
      <c r="J1702">
        <v>4.3302999999999994</v>
      </c>
      <c r="K1702" t="s">
        <v>35</v>
      </c>
    </row>
    <row r="1703" spans="1:11" x14ac:dyDescent="0.45">
      <c r="A1703" t="s">
        <v>90</v>
      </c>
      <c r="B1703" t="s">
        <v>1</v>
      </c>
      <c r="C1703" t="s">
        <v>84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2055</v>
      </c>
      <c r="J1703">
        <v>4.5674000000000001</v>
      </c>
      <c r="K1703" t="s">
        <v>35</v>
      </c>
    </row>
    <row r="1704" spans="1:11" x14ac:dyDescent="0.45">
      <c r="A1704" t="s">
        <v>90</v>
      </c>
      <c r="B1704" t="s">
        <v>1</v>
      </c>
      <c r="C1704" t="s">
        <v>84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2060</v>
      </c>
      <c r="J1704">
        <v>5.5579999999999998</v>
      </c>
      <c r="K1704" t="s">
        <v>35</v>
      </c>
    </row>
    <row r="1705" spans="1:11" x14ac:dyDescent="0.45">
      <c r="A1705" t="s">
        <v>90</v>
      </c>
      <c r="B1705" t="s">
        <v>1</v>
      </c>
      <c r="C1705" t="s">
        <v>84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2065</v>
      </c>
      <c r="J1705">
        <v>5.8658999999999999</v>
      </c>
      <c r="K1705" t="s">
        <v>35</v>
      </c>
    </row>
    <row r="1706" spans="1:11" x14ac:dyDescent="0.45">
      <c r="A1706" t="s">
        <v>90</v>
      </c>
      <c r="B1706" t="s">
        <v>1</v>
      </c>
      <c r="C1706" t="s">
        <v>84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2070</v>
      </c>
      <c r="J1706">
        <v>6.1738</v>
      </c>
      <c r="K1706" t="s">
        <v>35</v>
      </c>
    </row>
    <row r="1707" spans="1:11" x14ac:dyDescent="0.45">
      <c r="A1707" t="s">
        <v>90</v>
      </c>
      <c r="B1707" t="s">
        <v>1</v>
      </c>
      <c r="C1707" t="s">
        <v>84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2075</v>
      </c>
      <c r="J1707">
        <v>6.0717999999999996</v>
      </c>
      <c r="K1707" t="s">
        <v>35</v>
      </c>
    </row>
    <row r="1708" spans="1:11" x14ac:dyDescent="0.45">
      <c r="A1708" t="s">
        <v>90</v>
      </c>
      <c r="B1708" t="s">
        <v>1</v>
      </c>
      <c r="C1708" t="s">
        <v>84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2080</v>
      </c>
      <c r="J1708">
        <v>5.9697999999999993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2085</v>
      </c>
      <c r="J1709">
        <v>5.8603500000000004</v>
      </c>
      <c r="K1709" t="s">
        <v>35</v>
      </c>
    </row>
    <row r="1710" spans="1:11" x14ac:dyDescent="0.45">
      <c r="A1710" t="s">
        <v>90</v>
      </c>
      <c r="B1710" t="s">
        <v>1</v>
      </c>
      <c r="C1710" t="s">
        <v>84</v>
      </c>
      <c r="D1710" t="s">
        <v>35</v>
      </c>
      <c r="E1710" t="s">
        <v>30</v>
      </c>
      <c r="F1710" t="s">
        <v>35</v>
      </c>
      <c r="G1710" t="s">
        <v>31</v>
      </c>
      <c r="H1710" t="s">
        <v>36</v>
      </c>
      <c r="I1710">
        <v>2090</v>
      </c>
      <c r="J1710">
        <v>5.7508499999999998</v>
      </c>
      <c r="K1710" t="s">
        <v>35</v>
      </c>
    </row>
    <row r="1711" spans="1:11" x14ac:dyDescent="0.45">
      <c r="A1711" t="s">
        <v>90</v>
      </c>
      <c r="B1711" t="s">
        <v>1</v>
      </c>
      <c r="C1711" t="s">
        <v>84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2095</v>
      </c>
      <c r="J1711">
        <v>5.3330500000000001</v>
      </c>
      <c r="K1711" t="s">
        <v>35</v>
      </c>
    </row>
    <row r="1712" spans="1:11" x14ac:dyDescent="0.45">
      <c r="A1712" t="s">
        <v>90</v>
      </c>
      <c r="B1712" t="s">
        <v>1</v>
      </c>
      <c r="C1712" t="s">
        <v>84</v>
      </c>
      <c r="D1712" t="s">
        <v>35</v>
      </c>
      <c r="E1712" t="s">
        <v>30</v>
      </c>
      <c r="F1712" t="s">
        <v>35</v>
      </c>
      <c r="G1712" t="s">
        <v>31</v>
      </c>
      <c r="H1712" t="s">
        <v>36</v>
      </c>
      <c r="I1712">
        <v>2100</v>
      </c>
      <c r="J1712">
        <v>4.9152500000000003</v>
      </c>
      <c r="K1712" t="s">
        <v>35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5.1200000000000002E-2</v>
      </c>
      <c r="K1713" t="s">
        <v>85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0.24845</v>
      </c>
      <c r="K1714" t="s">
        <v>85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0.43515000000000004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0.87955000000000005</v>
      </c>
      <c r="K1716" t="s">
        <v>85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1.53555</v>
      </c>
      <c r="K1717" t="s">
        <v>85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2.3081500000000004</v>
      </c>
      <c r="K1718" t="s">
        <v>85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3.3518999999999997</v>
      </c>
      <c r="K1719" t="s">
        <v>85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4.2943499999999997</v>
      </c>
      <c r="K1720" t="s">
        <v>85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5.1773500000000006</v>
      </c>
      <c r="K1721" t="s">
        <v>85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5.6785999999999994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6.1896500000000003</v>
      </c>
      <c r="K1723" t="s">
        <v>85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6.3461499999999997</v>
      </c>
      <c r="K1724" t="s">
        <v>85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6.5044500000000003</v>
      </c>
      <c r="K1725" t="s">
        <v>85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6.4083000000000006</v>
      </c>
      <c r="K1726" t="s">
        <v>85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6.3220499999999999</v>
      </c>
      <c r="K1727" t="s">
        <v>85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6.3787500000000001</v>
      </c>
      <c r="K1728" t="s">
        <v>85</v>
      </c>
    </row>
    <row r="1729" spans="1:12" x14ac:dyDescent="0.45">
      <c r="A1729" t="s">
        <v>90</v>
      </c>
      <c r="B1729" t="s">
        <v>1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6.4337999999999997</v>
      </c>
      <c r="K1729" t="s">
        <v>85</v>
      </c>
    </row>
    <row r="1730" spans="1:12" x14ac:dyDescent="0.45">
      <c r="A1730" t="s">
        <v>90</v>
      </c>
      <c r="B1730" t="s">
        <v>1</v>
      </c>
      <c r="C1730" t="s">
        <v>84</v>
      </c>
      <c r="D1730" t="s">
        <v>45</v>
      </c>
      <c r="E1730" t="s">
        <v>46</v>
      </c>
      <c r="F1730" t="s">
        <v>45</v>
      </c>
      <c r="G1730" t="s">
        <v>47</v>
      </c>
      <c r="H1730" t="s">
        <v>89</v>
      </c>
      <c r="I1730">
        <v>2020</v>
      </c>
      <c r="J1730">
        <v>0</v>
      </c>
      <c r="K1730" t="s">
        <v>45</v>
      </c>
    </row>
    <row r="1731" spans="1:12" x14ac:dyDescent="0.45">
      <c r="A1731" t="s">
        <v>90</v>
      </c>
      <c r="B1731" t="s">
        <v>1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H1731" t="s">
        <v>89</v>
      </c>
      <c r="I1731">
        <v>2020</v>
      </c>
      <c r="J1731">
        <v>21.436299999999999</v>
      </c>
      <c r="K1731" t="s">
        <v>52</v>
      </c>
      <c r="L1731">
        <v>94</v>
      </c>
    </row>
    <row r="1732" spans="1:12" x14ac:dyDescent="0.45">
      <c r="A1732" t="s">
        <v>90</v>
      </c>
      <c r="B1732" t="s">
        <v>1</v>
      </c>
      <c r="C1732" t="s">
        <v>84</v>
      </c>
      <c r="D1732" t="s">
        <v>53</v>
      </c>
      <c r="E1732" t="s">
        <v>25</v>
      </c>
      <c r="F1732" t="s">
        <v>53</v>
      </c>
      <c r="G1732" t="s">
        <v>71</v>
      </c>
      <c r="H1732" t="s">
        <v>89</v>
      </c>
      <c r="I1732">
        <v>2020</v>
      </c>
      <c r="J1732">
        <v>1.6325000000000001</v>
      </c>
      <c r="K1732" t="s">
        <v>53</v>
      </c>
      <c r="L1732">
        <v>55</v>
      </c>
    </row>
    <row r="1733" spans="1:12" x14ac:dyDescent="0.45">
      <c r="A1733" t="s">
        <v>90</v>
      </c>
      <c r="B1733" t="s">
        <v>1</v>
      </c>
      <c r="C1733" t="s">
        <v>84</v>
      </c>
      <c r="D1733" t="s">
        <v>54</v>
      </c>
      <c r="E1733" t="s">
        <v>25</v>
      </c>
      <c r="F1733" t="s">
        <v>54</v>
      </c>
      <c r="G1733" t="s">
        <v>71</v>
      </c>
      <c r="H1733" t="s">
        <v>89</v>
      </c>
      <c r="I1733">
        <v>2020</v>
      </c>
      <c r="J1733">
        <v>4.2500000000000003E-2</v>
      </c>
      <c r="K1733" t="s">
        <v>54</v>
      </c>
      <c r="L1733">
        <v>70</v>
      </c>
    </row>
    <row r="1734" spans="1:12" x14ac:dyDescent="0.45">
      <c r="A1734" t="s">
        <v>90</v>
      </c>
      <c r="B1734" t="s">
        <v>1</v>
      </c>
      <c r="C1734" t="s">
        <v>84</v>
      </c>
      <c r="D1734" t="s">
        <v>45</v>
      </c>
      <c r="E1734" t="s">
        <v>46</v>
      </c>
      <c r="F1734" t="s">
        <v>45</v>
      </c>
      <c r="G1734" t="s">
        <v>47</v>
      </c>
      <c r="H1734" t="s">
        <v>89</v>
      </c>
      <c r="I1734">
        <v>2025</v>
      </c>
      <c r="J1734">
        <v>5.0922000000000001</v>
      </c>
      <c r="K1734" t="s">
        <v>45</v>
      </c>
    </row>
    <row r="1735" spans="1:12" x14ac:dyDescent="0.45">
      <c r="A1735" t="s">
        <v>90</v>
      </c>
      <c r="B1735" t="s">
        <v>1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H1735" t="s">
        <v>89</v>
      </c>
      <c r="I1735">
        <v>2025</v>
      </c>
      <c r="J1735">
        <v>19.391400000000001</v>
      </c>
      <c r="K1735" t="s">
        <v>52</v>
      </c>
      <c r="L1735">
        <v>94</v>
      </c>
    </row>
    <row r="1736" spans="1:12" x14ac:dyDescent="0.45">
      <c r="A1736" t="s">
        <v>90</v>
      </c>
      <c r="B1736" t="s">
        <v>1</v>
      </c>
      <c r="C1736" t="s">
        <v>84</v>
      </c>
      <c r="D1736" t="s">
        <v>53</v>
      </c>
      <c r="E1736" t="s">
        <v>25</v>
      </c>
      <c r="F1736" t="s">
        <v>53</v>
      </c>
      <c r="G1736" t="s">
        <v>71</v>
      </c>
      <c r="H1736" t="s">
        <v>89</v>
      </c>
      <c r="I1736">
        <v>2025</v>
      </c>
      <c r="J1736">
        <v>1.7585</v>
      </c>
      <c r="K1736" t="s">
        <v>53</v>
      </c>
      <c r="L1736">
        <v>55</v>
      </c>
    </row>
    <row r="1737" spans="1:12" x14ac:dyDescent="0.45">
      <c r="A1737" t="s">
        <v>90</v>
      </c>
      <c r="B1737" t="s">
        <v>1</v>
      </c>
      <c r="C1737" t="s">
        <v>84</v>
      </c>
      <c r="D1737" t="s">
        <v>54</v>
      </c>
      <c r="E1737" t="s">
        <v>25</v>
      </c>
      <c r="F1737" t="s">
        <v>54</v>
      </c>
      <c r="G1737" t="s">
        <v>71</v>
      </c>
      <c r="H1737" t="s">
        <v>89</v>
      </c>
      <c r="I1737">
        <v>2025</v>
      </c>
      <c r="J1737">
        <v>3.2399999999999998E-2</v>
      </c>
      <c r="K1737" t="s">
        <v>54</v>
      </c>
      <c r="L1737">
        <v>70</v>
      </c>
    </row>
    <row r="1738" spans="1:12" x14ac:dyDescent="0.45">
      <c r="A1738" t="s">
        <v>90</v>
      </c>
      <c r="B1738" t="s">
        <v>1</v>
      </c>
      <c r="C1738" t="s">
        <v>84</v>
      </c>
      <c r="D1738" t="s">
        <v>45</v>
      </c>
      <c r="E1738" t="s">
        <v>46</v>
      </c>
      <c r="F1738" t="s">
        <v>45</v>
      </c>
      <c r="G1738" t="s">
        <v>47</v>
      </c>
      <c r="H1738" t="s">
        <v>89</v>
      </c>
      <c r="I1738">
        <v>2030</v>
      </c>
      <c r="J1738">
        <v>223.25465000000003</v>
      </c>
      <c r="K1738" t="s">
        <v>45</v>
      </c>
    </row>
    <row r="1739" spans="1:12" x14ac:dyDescent="0.45">
      <c r="A1739" t="s">
        <v>90</v>
      </c>
      <c r="B1739" t="s">
        <v>1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H1739" t="s">
        <v>89</v>
      </c>
      <c r="I1739">
        <v>2030</v>
      </c>
      <c r="J1739">
        <v>6.0274999999999999</v>
      </c>
      <c r="K1739" t="s">
        <v>52</v>
      </c>
      <c r="L1739">
        <v>94</v>
      </c>
    </row>
    <row r="1740" spans="1:12" x14ac:dyDescent="0.45">
      <c r="A1740" t="s">
        <v>90</v>
      </c>
      <c r="B1740" t="s">
        <v>1</v>
      </c>
      <c r="C1740" t="s">
        <v>84</v>
      </c>
      <c r="D1740" t="s">
        <v>53</v>
      </c>
      <c r="E1740" t="s">
        <v>25</v>
      </c>
      <c r="F1740" t="s">
        <v>53</v>
      </c>
      <c r="G1740" t="s">
        <v>71</v>
      </c>
      <c r="H1740" t="s">
        <v>89</v>
      </c>
      <c r="I1740">
        <v>2030</v>
      </c>
      <c r="J1740">
        <v>1.6117999999999999</v>
      </c>
      <c r="K1740" t="s">
        <v>53</v>
      </c>
      <c r="L1740">
        <v>55</v>
      </c>
    </row>
    <row r="1741" spans="1:12" x14ac:dyDescent="0.45">
      <c r="A1741" t="s">
        <v>90</v>
      </c>
      <c r="B1741" t="s">
        <v>1</v>
      </c>
      <c r="C1741" t="s">
        <v>84</v>
      </c>
      <c r="D1741" t="s">
        <v>54</v>
      </c>
      <c r="E1741" t="s">
        <v>25</v>
      </c>
      <c r="F1741" t="s">
        <v>54</v>
      </c>
      <c r="G1741" t="s">
        <v>71</v>
      </c>
      <c r="H1741" t="s">
        <v>89</v>
      </c>
      <c r="I1741">
        <v>2030</v>
      </c>
      <c r="J1741">
        <v>1.41E-2</v>
      </c>
      <c r="K1741" t="s">
        <v>54</v>
      </c>
      <c r="L1741">
        <v>70</v>
      </c>
    </row>
    <row r="1742" spans="1:12" x14ac:dyDescent="0.45">
      <c r="A1742" t="s">
        <v>90</v>
      </c>
      <c r="B1742" t="s">
        <v>1</v>
      </c>
      <c r="C1742" t="s">
        <v>84</v>
      </c>
      <c r="D1742" t="s">
        <v>45</v>
      </c>
      <c r="E1742" t="s">
        <v>46</v>
      </c>
      <c r="F1742" t="s">
        <v>45</v>
      </c>
      <c r="G1742" t="s">
        <v>47</v>
      </c>
      <c r="H1742" t="s">
        <v>89</v>
      </c>
      <c r="I1742">
        <v>2035</v>
      </c>
      <c r="J1742">
        <v>825.81770000000006</v>
      </c>
      <c r="K1742" t="s">
        <v>45</v>
      </c>
    </row>
    <row r="1743" spans="1:12" x14ac:dyDescent="0.45">
      <c r="A1743" t="s">
        <v>90</v>
      </c>
      <c r="B1743" t="s">
        <v>1</v>
      </c>
      <c r="C1743" t="s">
        <v>84</v>
      </c>
      <c r="D1743" t="s">
        <v>52</v>
      </c>
      <c r="E1743" t="s">
        <v>25</v>
      </c>
      <c r="F1743" t="s">
        <v>52</v>
      </c>
      <c r="G1743" t="s">
        <v>71</v>
      </c>
      <c r="H1743" t="s">
        <v>89</v>
      </c>
      <c r="I1743">
        <v>2035</v>
      </c>
      <c r="J1743">
        <v>0.81420000000000003</v>
      </c>
      <c r="K1743" t="s">
        <v>52</v>
      </c>
      <c r="L1743">
        <v>94</v>
      </c>
    </row>
    <row r="1744" spans="1:12" x14ac:dyDescent="0.45">
      <c r="A1744" t="s">
        <v>90</v>
      </c>
      <c r="B1744" t="s">
        <v>1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H1744" t="s">
        <v>89</v>
      </c>
      <c r="I1744">
        <v>2035</v>
      </c>
      <c r="J1744">
        <v>1.0107999999999999</v>
      </c>
      <c r="K1744" t="s">
        <v>53</v>
      </c>
      <c r="L1744">
        <v>55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54</v>
      </c>
      <c r="E1745" t="s">
        <v>25</v>
      </c>
      <c r="F1745" t="s">
        <v>54</v>
      </c>
      <c r="G1745" t="s">
        <v>71</v>
      </c>
      <c r="H1745" t="s">
        <v>89</v>
      </c>
      <c r="I1745">
        <v>2035</v>
      </c>
      <c r="J1745">
        <v>0</v>
      </c>
      <c r="K1745" t="s">
        <v>54</v>
      </c>
      <c r="L1745">
        <v>70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45</v>
      </c>
      <c r="E1746" t="s">
        <v>46</v>
      </c>
      <c r="F1746" t="s">
        <v>45</v>
      </c>
      <c r="G1746" t="s">
        <v>47</v>
      </c>
      <c r="H1746" t="s">
        <v>89</v>
      </c>
      <c r="I1746">
        <v>2040</v>
      </c>
      <c r="J1746">
        <v>904.26154999999994</v>
      </c>
      <c r="K1746" t="s">
        <v>45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52</v>
      </c>
      <c r="E1747" t="s">
        <v>25</v>
      </c>
      <c r="F1747" t="s">
        <v>52</v>
      </c>
      <c r="G1747" t="s">
        <v>71</v>
      </c>
      <c r="H1747" t="s">
        <v>89</v>
      </c>
      <c r="I1747">
        <v>2040</v>
      </c>
      <c r="J1747">
        <v>0.24360000000000001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H1748" t="s">
        <v>89</v>
      </c>
      <c r="I1748">
        <v>2040</v>
      </c>
      <c r="J1748">
        <v>0.50170000000000003</v>
      </c>
      <c r="K1748" t="s">
        <v>53</v>
      </c>
      <c r="L1748">
        <v>55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54</v>
      </c>
      <c r="E1749" t="s">
        <v>25</v>
      </c>
      <c r="F1749" t="s">
        <v>54</v>
      </c>
      <c r="G1749" t="s">
        <v>71</v>
      </c>
      <c r="H1749" t="s">
        <v>89</v>
      </c>
      <c r="I1749">
        <v>2040</v>
      </c>
      <c r="J1749">
        <v>0</v>
      </c>
      <c r="K1749" t="s">
        <v>54</v>
      </c>
      <c r="L1749">
        <v>70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45</v>
      </c>
      <c r="E1750" t="s">
        <v>46</v>
      </c>
      <c r="F1750" t="s">
        <v>45</v>
      </c>
      <c r="G1750" t="s">
        <v>47</v>
      </c>
      <c r="H1750" t="s">
        <v>89</v>
      </c>
      <c r="I1750">
        <v>2045</v>
      </c>
      <c r="J1750">
        <v>962.01315</v>
      </c>
      <c r="K1750" t="s">
        <v>45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52</v>
      </c>
      <c r="E1751" t="s">
        <v>25</v>
      </c>
      <c r="F1751" t="s">
        <v>52</v>
      </c>
      <c r="G1751" t="s">
        <v>71</v>
      </c>
      <c r="H1751" t="s">
        <v>89</v>
      </c>
      <c r="I1751">
        <v>2045</v>
      </c>
      <c r="J1751">
        <v>2.0000000000000001E-4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H1752" t="s">
        <v>89</v>
      </c>
      <c r="I1752">
        <v>2045</v>
      </c>
      <c r="J1752">
        <v>0.1278</v>
      </c>
      <c r="K1752" t="s">
        <v>53</v>
      </c>
      <c r="L1752">
        <v>55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54</v>
      </c>
      <c r="E1753" t="s">
        <v>25</v>
      </c>
      <c r="F1753" t="s">
        <v>54</v>
      </c>
      <c r="G1753" t="s">
        <v>71</v>
      </c>
      <c r="H1753" t="s">
        <v>89</v>
      </c>
      <c r="I1753">
        <v>2045</v>
      </c>
      <c r="J1753">
        <v>0</v>
      </c>
      <c r="K1753" t="s">
        <v>54</v>
      </c>
      <c r="L1753">
        <v>70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45</v>
      </c>
      <c r="E1754" t="s">
        <v>46</v>
      </c>
      <c r="F1754" t="s">
        <v>45</v>
      </c>
      <c r="G1754" t="s">
        <v>47</v>
      </c>
      <c r="H1754" t="s">
        <v>89</v>
      </c>
      <c r="I1754">
        <v>2050</v>
      </c>
      <c r="J1754">
        <v>969.33680000000004</v>
      </c>
      <c r="K1754" t="s">
        <v>45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2050</v>
      </c>
      <c r="J1755">
        <v>1E-4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H1756" t="s">
        <v>89</v>
      </c>
      <c r="I1756">
        <v>2050</v>
      </c>
      <c r="J1756">
        <v>8.09E-2</v>
      </c>
      <c r="K1756" t="s">
        <v>53</v>
      </c>
      <c r="L1756">
        <v>55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54</v>
      </c>
      <c r="E1757" t="s">
        <v>25</v>
      </c>
      <c r="F1757" t="s">
        <v>54</v>
      </c>
      <c r="G1757" t="s">
        <v>71</v>
      </c>
      <c r="H1757" t="s">
        <v>89</v>
      </c>
      <c r="I1757">
        <v>2050</v>
      </c>
      <c r="J1757">
        <v>0</v>
      </c>
      <c r="K1757" t="s">
        <v>54</v>
      </c>
      <c r="L1757">
        <v>70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45</v>
      </c>
      <c r="E1758" t="s">
        <v>46</v>
      </c>
      <c r="F1758" t="s">
        <v>45</v>
      </c>
      <c r="G1758" t="s">
        <v>47</v>
      </c>
      <c r="H1758" t="s">
        <v>89</v>
      </c>
      <c r="I1758">
        <v>2055</v>
      </c>
      <c r="J1758">
        <v>1017.4673</v>
      </c>
      <c r="K1758" t="s">
        <v>45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52</v>
      </c>
      <c r="E1759" t="s">
        <v>25</v>
      </c>
      <c r="F1759" t="s">
        <v>52</v>
      </c>
      <c r="G1759" t="s">
        <v>71</v>
      </c>
      <c r="H1759" t="s">
        <v>89</v>
      </c>
      <c r="I1759">
        <v>2055</v>
      </c>
      <c r="J1759">
        <v>1E-4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53</v>
      </c>
      <c r="E1760" t="s">
        <v>25</v>
      </c>
      <c r="F1760" t="s">
        <v>53</v>
      </c>
      <c r="G1760" t="s">
        <v>71</v>
      </c>
      <c r="H1760" t="s">
        <v>89</v>
      </c>
      <c r="I1760">
        <v>2055</v>
      </c>
      <c r="J1760">
        <v>1.205E-2</v>
      </c>
      <c r="K1760" t="s">
        <v>53</v>
      </c>
      <c r="L1760">
        <v>55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H1761" t="s">
        <v>89</v>
      </c>
      <c r="I1761">
        <v>2055</v>
      </c>
      <c r="J1761">
        <v>0</v>
      </c>
      <c r="K1761" t="s">
        <v>54</v>
      </c>
      <c r="L1761">
        <v>70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45</v>
      </c>
      <c r="E1762" t="s">
        <v>46</v>
      </c>
      <c r="F1762" t="s">
        <v>45</v>
      </c>
      <c r="G1762" t="s">
        <v>47</v>
      </c>
      <c r="H1762" t="s">
        <v>89</v>
      </c>
      <c r="I1762">
        <v>2060</v>
      </c>
      <c r="J1762">
        <v>1064.7817500000001</v>
      </c>
      <c r="K1762" t="s">
        <v>45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52</v>
      </c>
      <c r="E1763" t="s">
        <v>25</v>
      </c>
      <c r="F1763" t="s">
        <v>52</v>
      </c>
      <c r="G1763" t="s">
        <v>71</v>
      </c>
      <c r="H1763" t="s">
        <v>89</v>
      </c>
      <c r="I1763">
        <v>2060</v>
      </c>
      <c r="J1763">
        <v>5.0000000000000002E-5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53</v>
      </c>
      <c r="E1764" t="s">
        <v>25</v>
      </c>
      <c r="F1764" t="s">
        <v>53</v>
      </c>
      <c r="G1764" t="s">
        <v>71</v>
      </c>
      <c r="H1764" t="s">
        <v>89</v>
      </c>
      <c r="I1764">
        <v>2060</v>
      </c>
      <c r="J1764">
        <v>5.1500000000000001E-3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H1765" t="s">
        <v>89</v>
      </c>
      <c r="I1765">
        <v>2060</v>
      </c>
      <c r="J1765">
        <v>0</v>
      </c>
      <c r="K1765" t="s">
        <v>54</v>
      </c>
      <c r="L1765">
        <v>70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45</v>
      </c>
      <c r="E1766" t="s">
        <v>46</v>
      </c>
      <c r="F1766" t="s">
        <v>45</v>
      </c>
      <c r="G1766" t="s">
        <v>47</v>
      </c>
      <c r="H1766" t="s">
        <v>89</v>
      </c>
      <c r="I1766">
        <v>2065</v>
      </c>
      <c r="J1766">
        <v>1202.1959999999999</v>
      </c>
      <c r="K1766" t="s">
        <v>45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52</v>
      </c>
      <c r="E1767" t="s">
        <v>25</v>
      </c>
      <c r="F1767" t="s">
        <v>52</v>
      </c>
      <c r="G1767" t="s">
        <v>71</v>
      </c>
      <c r="H1767" t="s">
        <v>89</v>
      </c>
      <c r="I1767">
        <v>2065</v>
      </c>
      <c r="J1767">
        <v>0</v>
      </c>
      <c r="K1767" t="s">
        <v>52</v>
      </c>
      <c r="L1767">
        <v>94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53</v>
      </c>
      <c r="E1768" t="s">
        <v>25</v>
      </c>
      <c r="F1768" t="s">
        <v>53</v>
      </c>
      <c r="G1768" t="s">
        <v>71</v>
      </c>
      <c r="H1768" t="s">
        <v>89</v>
      </c>
      <c r="I1768">
        <v>2065</v>
      </c>
      <c r="J1768">
        <v>2.7499999999999998E-3</v>
      </c>
      <c r="K1768" t="s">
        <v>53</v>
      </c>
      <c r="L1768">
        <v>55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H1769" t="s">
        <v>89</v>
      </c>
      <c r="I1769">
        <v>2065</v>
      </c>
      <c r="J1769">
        <v>0</v>
      </c>
      <c r="K1769" t="s">
        <v>54</v>
      </c>
      <c r="L1769">
        <v>70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45</v>
      </c>
      <c r="E1770" t="s">
        <v>46</v>
      </c>
      <c r="F1770" t="s">
        <v>45</v>
      </c>
      <c r="G1770" t="s">
        <v>47</v>
      </c>
      <c r="H1770" t="s">
        <v>89</v>
      </c>
      <c r="I1770">
        <v>2070</v>
      </c>
      <c r="J1770">
        <v>1337.8511000000001</v>
      </c>
      <c r="K1770" t="s">
        <v>45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52</v>
      </c>
      <c r="E1771" t="s">
        <v>25</v>
      </c>
      <c r="F1771" t="s">
        <v>52</v>
      </c>
      <c r="G1771" t="s">
        <v>71</v>
      </c>
      <c r="H1771" t="s">
        <v>89</v>
      </c>
      <c r="I1771">
        <v>2070</v>
      </c>
      <c r="J1771">
        <v>0</v>
      </c>
      <c r="K1771" t="s">
        <v>52</v>
      </c>
      <c r="L1771">
        <v>94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53</v>
      </c>
      <c r="E1772" t="s">
        <v>25</v>
      </c>
      <c r="F1772" t="s">
        <v>53</v>
      </c>
      <c r="G1772" t="s">
        <v>71</v>
      </c>
      <c r="H1772" t="s">
        <v>89</v>
      </c>
      <c r="I1772">
        <v>2070</v>
      </c>
      <c r="J1772">
        <v>0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H1773" t="s">
        <v>89</v>
      </c>
      <c r="I1773">
        <v>2070</v>
      </c>
      <c r="J1773">
        <v>0</v>
      </c>
      <c r="K1773" t="s">
        <v>54</v>
      </c>
      <c r="L1773">
        <v>70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45</v>
      </c>
      <c r="E1774" t="s">
        <v>46</v>
      </c>
      <c r="F1774" t="s">
        <v>45</v>
      </c>
      <c r="G1774" t="s">
        <v>47</v>
      </c>
      <c r="H1774" t="s">
        <v>89</v>
      </c>
      <c r="I1774">
        <v>2075</v>
      </c>
      <c r="J1774">
        <v>1429.55655</v>
      </c>
      <c r="K1774" t="s">
        <v>45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52</v>
      </c>
      <c r="E1775" t="s">
        <v>25</v>
      </c>
      <c r="F1775" t="s">
        <v>52</v>
      </c>
      <c r="G1775" t="s">
        <v>71</v>
      </c>
      <c r="H1775" t="s">
        <v>89</v>
      </c>
      <c r="I1775">
        <v>2075</v>
      </c>
      <c r="J1775">
        <v>0</v>
      </c>
      <c r="K1775" t="s">
        <v>52</v>
      </c>
      <c r="L1775">
        <v>94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53</v>
      </c>
      <c r="E1776" t="s">
        <v>25</v>
      </c>
      <c r="F1776" t="s">
        <v>53</v>
      </c>
      <c r="G1776" t="s">
        <v>71</v>
      </c>
      <c r="H1776" t="s">
        <v>89</v>
      </c>
      <c r="I1776">
        <v>2075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54</v>
      </c>
      <c r="E1777" t="s">
        <v>25</v>
      </c>
      <c r="F1777" t="s">
        <v>54</v>
      </c>
      <c r="G1777" t="s">
        <v>71</v>
      </c>
      <c r="H1777" t="s">
        <v>89</v>
      </c>
      <c r="I1777">
        <v>2075</v>
      </c>
      <c r="J1777">
        <v>0</v>
      </c>
      <c r="K1777" t="s">
        <v>54</v>
      </c>
      <c r="L1777">
        <v>70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45</v>
      </c>
      <c r="E1778" t="s">
        <v>46</v>
      </c>
      <c r="F1778" t="s">
        <v>45</v>
      </c>
      <c r="G1778" t="s">
        <v>47</v>
      </c>
      <c r="H1778" t="s">
        <v>89</v>
      </c>
      <c r="I1778">
        <v>2080</v>
      </c>
      <c r="J1778">
        <v>1518.84275</v>
      </c>
      <c r="K1778" t="s">
        <v>45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52</v>
      </c>
      <c r="E1779" t="s">
        <v>25</v>
      </c>
      <c r="F1779" t="s">
        <v>52</v>
      </c>
      <c r="G1779" t="s">
        <v>71</v>
      </c>
      <c r="H1779" t="s">
        <v>89</v>
      </c>
      <c r="I1779">
        <v>2080</v>
      </c>
      <c r="J1779">
        <v>0</v>
      </c>
      <c r="K1779" t="s">
        <v>52</v>
      </c>
      <c r="L1779">
        <v>94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53</v>
      </c>
      <c r="E1780" t="s">
        <v>25</v>
      </c>
      <c r="F1780" t="s">
        <v>53</v>
      </c>
      <c r="G1780" t="s">
        <v>71</v>
      </c>
      <c r="H1780" t="s">
        <v>89</v>
      </c>
      <c r="I1780">
        <v>2080</v>
      </c>
      <c r="J1780">
        <v>0</v>
      </c>
      <c r="K1780" t="s">
        <v>53</v>
      </c>
      <c r="L1780">
        <v>55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54</v>
      </c>
      <c r="E1781" t="s">
        <v>25</v>
      </c>
      <c r="F1781" t="s">
        <v>54</v>
      </c>
      <c r="G1781" t="s">
        <v>71</v>
      </c>
      <c r="H1781" t="s">
        <v>89</v>
      </c>
      <c r="I1781">
        <v>2080</v>
      </c>
      <c r="J1781">
        <v>0</v>
      </c>
      <c r="K1781" t="s">
        <v>54</v>
      </c>
      <c r="L1781">
        <v>70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45</v>
      </c>
      <c r="E1782" t="s">
        <v>46</v>
      </c>
      <c r="F1782" t="s">
        <v>45</v>
      </c>
      <c r="G1782" t="s">
        <v>47</v>
      </c>
      <c r="H1782" t="s">
        <v>89</v>
      </c>
      <c r="I1782">
        <v>2085</v>
      </c>
      <c r="J1782">
        <v>1537.1067</v>
      </c>
      <c r="K1782" t="s">
        <v>45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52</v>
      </c>
      <c r="E1783" t="s">
        <v>25</v>
      </c>
      <c r="F1783" t="s">
        <v>52</v>
      </c>
      <c r="G1783" t="s">
        <v>71</v>
      </c>
      <c r="H1783" t="s">
        <v>89</v>
      </c>
      <c r="I1783">
        <v>2085</v>
      </c>
      <c r="J1783">
        <v>0</v>
      </c>
      <c r="K1783" t="s">
        <v>52</v>
      </c>
      <c r="L1783">
        <v>94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53</v>
      </c>
      <c r="E1784" t="s">
        <v>25</v>
      </c>
      <c r="F1784" t="s">
        <v>53</v>
      </c>
      <c r="G1784" t="s">
        <v>71</v>
      </c>
      <c r="H1784" t="s">
        <v>89</v>
      </c>
      <c r="I1784">
        <v>2085</v>
      </c>
      <c r="J1784">
        <v>0</v>
      </c>
      <c r="K1784" t="s">
        <v>53</v>
      </c>
      <c r="L1784">
        <v>55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2085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45</v>
      </c>
      <c r="E1786" t="s">
        <v>46</v>
      </c>
      <c r="F1786" t="s">
        <v>45</v>
      </c>
      <c r="G1786" t="s">
        <v>47</v>
      </c>
      <c r="H1786" t="s">
        <v>89</v>
      </c>
      <c r="I1786">
        <v>2090</v>
      </c>
      <c r="J1786">
        <v>1557.9566500000001</v>
      </c>
      <c r="K1786" t="s">
        <v>45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2090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53</v>
      </c>
      <c r="E1788" t="s">
        <v>25</v>
      </c>
      <c r="F1788" t="s">
        <v>53</v>
      </c>
      <c r="G1788" t="s">
        <v>71</v>
      </c>
      <c r="H1788" t="s">
        <v>89</v>
      </c>
      <c r="I1788">
        <v>2090</v>
      </c>
      <c r="J1788">
        <v>0</v>
      </c>
      <c r="K1788" t="s">
        <v>53</v>
      </c>
      <c r="L1788">
        <v>55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54</v>
      </c>
      <c r="E1789" t="s">
        <v>25</v>
      </c>
      <c r="F1789" t="s">
        <v>54</v>
      </c>
      <c r="G1789" t="s">
        <v>71</v>
      </c>
      <c r="H1789" t="s">
        <v>89</v>
      </c>
      <c r="I1789">
        <v>2090</v>
      </c>
      <c r="J1789">
        <v>0</v>
      </c>
      <c r="K1789" t="s">
        <v>54</v>
      </c>
      <c r="L1789">
        <v>70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45</v>
      </c>
      <c r="E1790" t="s">
        <v>46</v>
      </c>
      <c r="F1790" t="s">
        <v>45</v>
      </c>
      <c r="G1790" t="s">
        <v>47</v>
      </c>
      <c r="H1790" t="s">
        <v>89</v>
      </c>
      <c r="I1790">
        <v>2095</v>
      </c>
      <c r="J1790">
        <v>1469.2538</v>
      </c>
      <c r="K1790" t="s">
        <v>45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2095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53</v>
      </c>
      <c r="E1792" t="s">
        <v>25</v>
      </c>
      <c r="F1792" t="s">
        <v>53</v>
      </c>
      <c r="G1792" t="s">
        <v>71</v>
      </c>
      <c r="H1792" t="s">
        <v>89</v>
      </c>
      <c r="I1792">
        <v>2095</v>
      </c>
      <c r="J1792">
        <v>0</v>
      </c>
      <c r="K1792" t="s">
        <v>53</v>
      </c>
      <c r="L1792">
        <v>55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54</v>
      </c>
      <c r="E1793" t="s">
        <v>25</v>
      </c>
      <c r="F1793" t="s">
        <v>54</v>
      </c>
      <c r="G1793" t="s">
        <v>71</v>
      </c>
      <c r="H1793" t="s">
        <v>89</v>
      </c>
      <c r="I1793">
        <v>2095</v>
      </c>
      <c r="J1793">
        <v>0</v>
      </c>
      <c r="K1793" t="s">
        <v>54</v>
      </c>
      <c r="L1793">
        <v>70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45</v>
      </c>
      <c r="E1794" t="s">
        <v>46</v>
      </c>
      <c r="F1794" t="s">
        <v>45</v>
      </c>
      <c r="G1794" t="s">
        <v>47</v>
      </c>
      <c r="H1794" t="s">
        <v>89</v>
      </c>
      <c r="I1794">
        <v>2100</v>
      </c>
      <c r="J1794">
        <v>1380.0985499999999</v>
      </c>
      <c r="K1794" t="s">
        <v>45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52</v>
      </c>
      <c r="E1795" t="s">
        <v>25</v>
      </c>
      <c r="F1795" t="s">
        <v>52</v>
      </c>
      <c r="G1795" t="s">
        <v>71</v>
      </c>
      <c r="H1795" t="s">
        <v>89</v>
      </c>
      <c r="I1795">
        <v>2100</v>
      </c>
      <c r="J1795">
        <v>0</v>
      </c>
      <c r="K1795" t="s">
        <v>52</v>
      </c>
      <c r="L1795">
        <v>94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54</v>
      </c>
      <c r="E1797" t="s">
        <v>25</v>
      </c>
      <c r="F1797" t="s">
        <v>54</v>
      </c>
      <c r="G1797" t="s">
        <v>71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79.124200000000002</v>
      </c>
      <c r="K1798" t="s">
        <v>37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63.622700000000002</v>
      </c>
      <c r="K1799" t="s">
        <v>37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88.634749999999997</v>
      </c>
      <c r="K1800" t="s">
        <v>37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87.889150000000001</v>
      </c>
      <c r="K1801" t="s">
        <v>37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92.145849999999996</v>
      </c>
      <c r="K1802" t="s">
        <v>37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100.008</v>
      </c>
      <c r="K1803" t="s">
        <v>37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118.5467</v>
      </c>
      <c r="K1804" t="s">
        <v>37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113.54195</v>
      </c>
      <c r="K1805" t="s">
        <v>37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200.04169999999999</v>
      </c>
      <c r="K1806" t="s">
        <v>37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282.61704999999995</v>
      </c>
      <c r="K1807" t="s">
        <v>37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365.19245000000001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439.1465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513.10044999999991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537.07510000000002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561.04975000000002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578.22170000000006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595.39369999999997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19.613700000000001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40.921999999999997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158.15020000000001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278.5009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422.01400000000001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11.470800000000001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11.5444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11.8786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11.3467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10.574199999999999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10.220599999999999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10.0733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7.9051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9.1140000000000008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10.042199999999999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11.780900000000001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12.6037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14.7835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17.186399999999999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0.68730000000000002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0.86160000000000003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1.3915999999999999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2.17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3.3056000000000001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4.9457000000000004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5.2910000000000004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2.5000000000000001E-3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6.88E-2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0.1787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0.34810000000000002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0.76429999999999998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1591.6173999999999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1226.9914000000001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448.81240000000003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277.36579999999998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164.35899999999998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0.26319999999999999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129.899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121.5665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256.06900000000002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240.85599999999999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218.72399999999999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204.22049999999999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173.4975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72.146100000000004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2.7907000000000002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6.0197000000000003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9.0236999999999998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7.8150000000000004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2.4476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2.4510000000000001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1.7163999999999999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1.9879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2.3100999999999998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2.0733000000000001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3.7006999999999999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4.5202999999999998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5.3853999999999997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5.7606999999999999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5.8669000000000002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5.3545999999999996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4.2690999999999999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4.4496000000000002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4.2976999999999999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4.8775000000000004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5.2263999999999999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5.0313999999999997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5.9287999999999998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10230.150900000001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9678.2605999999996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7414.6673000000001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6091.3667999999998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4950.1782000000003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3523.1475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2761.3249000000001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9915.1329999999998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9373.6597999999994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7330.3703999999998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6249.3380999999999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5389.2936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4150.5380999999998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3568.3476999999998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11.4719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11.3169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12.0253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11.590400000000001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11.3514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10.812799999999999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9.7348999999999997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7.9100999999999999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9.0626999999999995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10.351800000000001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11.8322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12.988200000000001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13.730499999999999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14.4589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0.68700000000000006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0.8609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1.0013000000000001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1.1354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1.4424999999999999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2.2713999999999999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3.4727999999999999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1591.7678000000001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1254.0257999999999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1328.7934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1244.1276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1087.0912000000001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989.67899999999997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874.00260000000003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129.91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151.77799999999999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142.80199999999999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80.657499999999999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126.258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146.0085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191.1635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72.146100000000004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2.5011999999999999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5.8300999999999998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4.0876999999999999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2.4476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2.4510000000000001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2.4864999999999999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2.5644999999999998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2.569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2.6587999999999998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3.6707999999999998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3.8130000000000002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4.2506000000000004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4.6909000000000001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5.1477000000000004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5.5685000000000002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4.2690999999999999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4.3883999999999999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5.0143000000000004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5.0956000000000001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5.7992999999999997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6.7878999999999996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10228.214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9715.2564999999995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9838.3001999999997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8849.2443000000003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7824.3051999999998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7032.5733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6355.5956999999999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9913.2216000000008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9432.7559999999994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9751.0794999999998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9030.2535000000007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8308.8413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7736.3779999999997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7268.0812999999998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25.614000000000001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106.7157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224.7253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325.71269999999998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11.472899999999999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11.318199999999999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12.0273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11.1837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10.995200000000001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10.638999999999999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10.282500000000001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7.9097999999999997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9.0615000000000006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10.3497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11.9086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13.5494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16.073599999999999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19.0273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0.68740000000000001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0.86129999999999995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1.0018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1.8873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3.4253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5.1185999999999998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5.2548000000000004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6.7500000000000004E-2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0.1915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0.46679999999999999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0.93200000000000005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1591.8430000000001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1254.1197999999999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1328.9156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430.31319999999999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4.7E-2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0.29139999999999999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0.65800000000000003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129.9375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151.81100000000001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142.82400000000001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248.72650000000002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196.988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154.8965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126.45599999999999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72.146100000000004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2.5011999999999999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5.8300999999999998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7.9802999999999997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10.284000000000001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2.4476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2.4510000000000001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2.4864999999999999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2.0387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2.0851999999999999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2.3784000000000001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2.4424999999999999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3.6707999999999998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3.8130000000000002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6.6144999999999996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6.1231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4.8061999999999996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5.4287999999999998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4.2690999999999999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4.3883999999999999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5.0143000000000004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5.3524000000000003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5.5152000000000001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4.1001000000000003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5.5732999999999997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10228.525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9741.0005000000001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9889.5535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6785.6875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4614.3293000000003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3340.7718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2598.0052000000001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9913.4881999999998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9433.1438999999991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9751.6586000000007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6888.2723999999998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4984.0739000000003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3918.9841000000001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3376.1619000000001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4.6185999999999998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9.6203000000000003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53.0518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11.4725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11.3179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12.026899999999999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12.1312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12.4108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12.878500000000001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12.5543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7.9082999999999997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9.0595999999999997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10.3474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11.680199999999999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12.6631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13.3627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14.0754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0.68740000000000001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0.86129999999999995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1.0018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1.1268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1.665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2.5907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3.9308000000000001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1591.7866000000001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1254.0634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1328.8498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1133.8561999999999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912.3922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572.43179999999995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472.81059999999997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129.9375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151.80549999999999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142.8185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126.95650000000001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189.2055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303.78149999999999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350.83949999999999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4.0600000000000005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7.1120000000000001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72.146100000000004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2.5011999999999999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5.8300999999999998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11.630100000000001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2.4476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2.4510000000000001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2.4864999999999999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2.7785000000000002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2.6312000000000002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2.5592000000000001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2.8256000000000001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3.6707999999999998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3.8130000000000002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4.9269999999999996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5.4710000000000001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5.2457000000000003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5.6590999999999996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4.2690999999999999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4.3883999999999999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5.0143000000000004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5.6631999999999998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5.6896000000000004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5.7740999999999998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6.3362999999999996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10229.7158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9733.6244000000006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9873.3981999999996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8695.3628000000008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7757.5006999999996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6735.6341000000002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5994.6180000000004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9914.6926999999996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9434.6322999999993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9753.2132000000001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8808.4740999999995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8144.6868000000004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7332.2452000000003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6796.7102000000004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37.531500000000001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139.48089999999999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483.99290000000002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910.30449999999996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1008.43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11.468999999999999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11.541700000000001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9.7697000000000003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9.0893999999999995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8.7441999999999993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8.9074000000000009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8.5360999999999994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7.9126000000000003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9.1239000000000008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9.7703000000000007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10.838699999999999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11.880699999999999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11.5253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10.478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0.68520000000000003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0.85929999999999995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1.5423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2.7768000000000002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4.6943999999999999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5.8235000000000001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6.3677999999999999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0.18090000000000001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0.44779999999999998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0.8619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1.5615000000000001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2.4281000000000001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1591.6268000000002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1226.9725999999998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0.22559999999999997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0.64859999999999995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1.2125999999999999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2.0209999999999999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1.9081999999999999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129.8605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121.52249999999999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108.4545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27.918000000000003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45.160500000000006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43.422499999999999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35.2605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72.146100000000004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2.7907000000000002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5.6025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8.5777999999999999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14.9198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2.4476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2.4510000000000001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2.9887000000000001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2.8071999999999999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3.7477999999999998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3.8645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5.0298999999999996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3.7006999999999999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6.1029999999999998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2.4689999999999999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4.1719999999999997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4.2827999999999999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4.7671999999999999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4.2690999999999999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4.4496000000000002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3.3912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3.3239999999999998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4.7450999999999999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9.1552000000000007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2.7324000000000002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10227.5646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9698.1538999999993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4911.8355000000001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3554.6968000000002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2374.0936999999999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1561.3644999999999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906.15160000000003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9912.5928999999996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9369.6272000000008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4835.7227999999996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3652.636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2886.3103999999998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2485.3622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2028.6883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11.4717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11.545199999999999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12.6747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12.0344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11.0969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10.291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9.3284000000000002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7.9096000000000002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9.1196999999999999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10.458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11.904999999999999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12.870799999999999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13.5303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14.135899999999999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0.68700000000000006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0.86180000000000001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1.0036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1.1944999999999999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1.9059999999999999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2.9367000000000001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4.4275000000000002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1591.7583999999999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1227.1512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1030.2494000000002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1001.2692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679.59180000000003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352.80079999999998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264.72280000000001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129.91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121.5775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193.4845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175.142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230.80199999999999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316.29949999999997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371.50299999999999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72.146100000000004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2.7907000000000002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2.4476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2.4510000000000001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2.4864999999999999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2.6562000000000001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1.8531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2.5148999999999999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3.7006999999999999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3.9361999999999999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4.6444999999999999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5.4989999999999997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5.4185999999999996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5.6753999999999998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4.2690999999999999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4.4496000000000002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4.8902000000000001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5.1627999999999998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5.8461999999999996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5.5483000000000002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5.8647999999999998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10228.8073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9667.0987000000005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9282.7538999999997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8431.7502000000004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7103.1379999999999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5934.6531999999997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5264.2978000000003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9913.848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9371.4328000000005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9165.0159000000003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8577.3848999999991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7550.5851000000002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6634.4569000000001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6201.5185000000001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416.1293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926.08320000000003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829.69439999999997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826.25059999999996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850.23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11.466699999999999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11.539300000000001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12.091200000000001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13.6778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14.003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13.6645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13.331200000000001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7.9005999999999998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9.1097999999999999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9.4080999999999992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11.476000000000001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14.0563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17.314399999999999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19.846800000000002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0.6865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0.86019999999999996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1.6295999999999999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2.9636999999999998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4.1284000000000001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4.1410999999999998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4.2249999999999996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0.1867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0.45169999999999999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0.87129999999999996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1.6014999999999999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2.6764999999999999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1591.3824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1226.7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28.265800000000002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15.7074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2.6132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4.1829999999999998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129.84950000000001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121.506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175.26850000000002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27.131500000000003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2.585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72.146100000000004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2.7907000000000002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39.523099999999999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34.517699999999998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43.849699999999999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43.201599999999999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2.4476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2.4510000000000001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5.4402999999999997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4.8661000000000003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6.4162999999999997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7.0266000000000002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8.8595000000000006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3.7006999999999999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13.258599999999999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1.3454999999999999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6.7442000000000002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6.5579000000000001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2.9588000000000001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4.2690999999999999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4.4496000000000002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6.3014999999999999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6.3631000000000002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9.6502999999999997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3.9264999999999999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3.2511999999999999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10229.245999999999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9701.1969000000008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5281.4273999999996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3558.2779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2474.8026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1560.4792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846.7962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9914.2720000000008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9372.6962000000003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5438.8031000000001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4294.7727000000004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3359.6358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2563.4542000000001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1961.9585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4.7172000000000001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122.17789999999999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402.16520000000003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603.58240000000001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667.84159999999997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696.95240000000001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738.2654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747.76589999999999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711.93309999999997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675.71389999999997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661.79960000000005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647.95820000000003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613.11699999999996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578.67449999999997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531.83519999999999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484.95749999999998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14.7887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17.180299999999999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16.712900000000001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17.13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17.426400000000001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16.909600000000001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15.8283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14.6783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12.976800000000001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11.7386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10.5046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9.4568999999999992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8.4117999999999995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7.5080999999999998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6.6093999999999999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5.8974000000000002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5.1860999999999997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9.0469000000000008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12.9039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15.3337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18.242799999999999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20.275700000000001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20.491700000000002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20.36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18.685099999999998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17.934200000000001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17.239999999999998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16.550899999999999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16.2562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15.9655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15.385300000000001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14.811500000000001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14.3131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13.8171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0.2397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0.66080000000000005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2.6768000000000001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3.4849999999999999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4.0155000000000003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4.2930000000000001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4.4071999999999996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4.4353999999999996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4.4097999999999997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4.3841999999999999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4.3353000000000002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4.2896999999999998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4.2256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4.1702000000000004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4.1284000000000001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4.0876000000000001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5.1200000000000002E-2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0.2661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0.51880000000000004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0.63770000000000004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0.82010000000000005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1.1694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1.7419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2.4146000000000001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3.4817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3.8523999999999998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4.1532999999999998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4.2798999999999996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4.3811999999999998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4.3353000000000002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4.2904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4.1033999999999997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3.9134000000000002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21.4467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20.267299999999999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7.98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1.0971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0.41920000000000002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7.7999999999999996E-3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2.9999999999999997E-4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2.0000000000000001E-4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1.6335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1.8771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2.2302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2.1947000000000001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1.4695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0.87490000000000001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0.63549999999999995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0.48270000000000002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0.4536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0.37319999999999998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0.29289999999999999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0.22650000000000001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0.1603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0.1216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8.3000000000000004E-2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5.6099999999999997E-2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2.9100000000000001E-2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4.2500000000000003E-2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3.2399999999999998E-2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79.124200000000002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71.934700000000007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90.412000000000006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85.004599999999996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87.915999999999997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94.918400000000005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124.1026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114.31489999999999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197.7089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251.02379999999999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304.33870000000002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296.4606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288.58249999999998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279.92919999999998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271.27600000000001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305.09550000000002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338.91500000000002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10726.023800000001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10782.036899999999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6467.9759999999997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3394.8332999999998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1821.3149000000001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974.04930000000002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461.48099999999999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15.267099999999999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-299.63380000000001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-576.14089999999999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-852.17550000000006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-999.63549999999998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-1147.0999999999999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-1155.4521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-1164.0706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-1224.8438000000001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-1285.5826999999999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10477.4737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10270.4728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6274.3490000000002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3600.0862000000002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2303.4634000000001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1546.2061000000001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1077.9737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715.80280000000005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445.09390000000002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199.00129999999999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-46.689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-118.6986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-190.72710000000001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-189.96449999999999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-189.49039999999999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-191.06360000000001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-192.5762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14.791600000000001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16.6538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17.676500000000001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17.863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16.852399999999999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15.591200000000001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14.1462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13.2867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11.8405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10.712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9.5874000000000006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8.4661000000000008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7.3476999999999997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6.4842000000000004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5.6247999999999996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4.9824000000000002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4.3402000000000003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9.0492000000000008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12.6965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16.3386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19.2852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19.855599999999999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19.2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17.918500000000002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17.322700000000001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16.872199999999999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16.397099999999998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15.9267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15.3338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14.746499999999999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14.273099999999999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13.8055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13.383699999999999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12.962999999999999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0.2399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0.75860000000000005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1.732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2.6021000000000001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3.2105999999999999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3.5392999999999999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3.6888000000000001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3.8239000000000001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3.8940999999999999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3.8952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3.8961999999999999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3.8351999999999999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3.7776999999999998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3.7183000000000002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3.6678999999999999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3.6251000000000002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3.5829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5.1200000000000002E-2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0.30759999999999998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0.65090000000000003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0.95530000000000004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1.1841999999999999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1.3402000000000001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1.4247000000000001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1.3936999999999999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1.329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1.3310999999999999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1.3326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1.2379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1.1408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1.1551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1.1696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1.2637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1.3551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21.447600000000001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21.2805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20.061499999999999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17.530100000000001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12.9399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8.1730999999999998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3.9053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2.6008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0.45629999999999998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0.36549999999999999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0.2747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0.16639999999999999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2.0799999999999999E-2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1.0699999999999999E-2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1.6335999999999999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1.9593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1.8228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1.6952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1.2955000000000001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0.93359999999999999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0.73150000000000004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0.55700000000000005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0.36309999999999998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0.30930000000000002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0.2555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0.24640000000000001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0.23769999999999999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0.22600000000000001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0.21440000000000001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0.1991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0.18379999999999999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4.2500000000000003E-2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3.2300000000000002E-2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79.124200000000002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81.882499999999993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86.649699999999996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87.948499999999996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95.218299999999999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106.84229999999999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129.26140000000001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123.37260000000001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200.6114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238.4923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276.3732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278.30149999999998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280.22980000000001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277.06169999999997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273.89359999999999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296.61329999999998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319.33300000000003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10725.552299999999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10846.583199999999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10382.9071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9551.0869000000002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8254.9750000000004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6975.4728999999998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5705.0091000000002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5060.7057000000004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4366.6864999999998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4008.3108999999999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3650.7912999999999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3210.1554000000001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2754.7692000000002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2399.3685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2044.3762999999999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1623.2942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1203.1077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10477.1338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10685.6482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10339.9871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9665.0674999999992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8529.9923999999992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7338.1907000000001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6163.6646000000001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5597.2008999999998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4981.6163999999999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4620.6940000000004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4260.4526999999998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3861.5311999999999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3447.7791000000002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3074.8391000000001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2702.2543999999998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2326.4411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1951.5364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7.1555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277.49400000000003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687.15179999999998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858.09299999999996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1010.1568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1092.0201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1252.7813000000001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1414.7457999999999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1499.3878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1585.1612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1617.6606999999999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1651.6793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1597.74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1543.9693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14.7852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16.645700000000001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17.667999999999999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18.1755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17.346900000000002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16.192799999999998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15.910500000000001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14.941800000000001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13.4175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12.142200000000001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10.872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9.7718000000000007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8.6745000000000001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7.8663999999999996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7.0636000000000001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6.2328000000000001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5.4036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9.0419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12.686400000000001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16.326699999999999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19.1632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19.578199999999999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18.802600000000002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19.798100000000002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18.957699999999999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17.969799999999999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17.447500000000002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16.931000000000001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16.4725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16.020099999999999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15.5914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15.1714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14.4091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13.649800000000001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0.23949999999999999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0.75729999999999997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1.7295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2.6554000000000002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3.2831999999999999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3.6865000000000001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3.9523999999999999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4.1856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4.2282000000000002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4.2522000000000002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4.2763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4.1676000000000002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4.1083999999999996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4.0601000000000003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4.0156999999999998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3.9722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5.1200000000000002E-2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0.30769999999999997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0.65110000000000001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0.85570000000000002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0.97709999999999997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1.4426000000000001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2.3561999999999999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3.5004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5.0603999999999996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5.6558000000000002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6.2839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6.4303999999999997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6.5928000000000004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6.6847000000000003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6.7892000000000001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6.9867999999999997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7.1989000000000001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21.444400000000002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21.2758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20.0565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15.831799999999999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7.0827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0.32129999999999997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9.9000000000000008E-3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1.6334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1.9590000000000001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1.8224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1.4777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0.81120000000000003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0.29870000000000002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0.1452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9.2399999999999996E-2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1.1900000000000001E-2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5.9999999999999995E-4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2.9999999999999997E-4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4.2500000000000003E-2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3.2300000000000002E-2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79.124200000000002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81.882499999999993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86.649699999999996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62.3645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94.359899999999996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108.77209999999999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129.0095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131.27430000000001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262.4957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343.59679999999997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424.6979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435.16559999999998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445.63319999999999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448.9633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452.29340000000002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474.50639999999999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496.71940000000001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10726.015100000001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10872.3323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10431.952799999999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8699.0527999999995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3386.8670000000002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257.48079999999999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-544.60659999999996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-981.18820000000005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-1509.1784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-1822.8785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-2137.1675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-2319.2945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-2502.2386000000001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-2541.5990999999999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-2582.5563000000002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-2612.7811999999999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-2643.4018999999998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10477.3966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10685.8233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10338.1103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8816.4614000000001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3883.2271999999998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903.15009999999995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145.50630000000001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-188.50040000000001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-636.05359999999996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-928.91930000000002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-1222.4393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-1355.2908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-1488.9454000000001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-1540.7665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-1594.1590000000001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-1571.2742000000001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-1548.7607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6.68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186.6808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567.15679999999998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553.96310000000005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565.89269999999999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512.9597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519.23720000000003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524.67229999999995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511.39640000000003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498.1789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448.7346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399.6388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345.20359999999999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290.83789999999999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14.789400000000001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16.651199999999999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17.6738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17.388999999999999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16.6829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15.5159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14.3438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13.748200000000001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12.809100000000001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11.6013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10.397600000000001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9.3261000000000003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8.2571999999999992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7.3860999999999999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6.5191999999999997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5.7889999999999997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5.0595999999999997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9.0475999999999992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12.694699999999999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16.3367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20.019300000000001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19.6752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18.934000000000001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18.734400000000001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17.8812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18.0139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17.278500000000001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16.548100000000002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16.1524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15.760999999999999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15.230399999999999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14.7059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14.0992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13.494400000000001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0.2399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0.75860000000000005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1.7323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2.7019000000000002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3.3956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3.7370999999999999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3.9373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4.0507999999999997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4.1078000000000001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4.0570000000000004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4.0061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3.9577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3.9125999999999999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3.8801000000000001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3.8563000000000001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3.8431000000000002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3.8302999999999998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5.1200000000000002E-2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0.30780000000000002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0.65110000000000001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0.87219999999999998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0.97560000000000002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1.3090999999999999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2.5528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3.3517999999999999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4.1768000000000001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4.4173999999999998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4.5987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4.6356000000000002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4.6517999999999997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4.5938999999999997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4.5185000000000004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4.3249000000000004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4.1250999999999998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21.446999999999999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21.279699999999998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20.0609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16.508700000000001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7.7785000000000002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0.61350000000000005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1.24E-2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2.9999999999999997E-4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2.0000000000000001E-4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1.6335999999999999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1.9593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1.8228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1.5611999999999999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1.0710999999999999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0.96079999999999999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0.60489999999999999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0.51800000000000002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0.50260000000000005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0.41899999999999998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0.33550000000000002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0.2414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0.14749999999999999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8.9300000000000004E-2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3.1099999999999999E-2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1.5900000000000001E-2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5.0000000000000001E-4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4.2500000000000003E-2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3.2300000000000002E-2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79.124200000000002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81.882499999999993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86.649699999999996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62.368600000000001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85.276700000000005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101.6382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126.3729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113.9431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204.09139999999999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261.84519999999998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319.59910000000002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308.20409999999998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296.80919999999998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296.45569999999998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296.10219999999998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319.95659999999998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343.81110000000001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10726.3889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10863.9753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10415.452499999999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8924.0370999999996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4278.4360999999999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996.44719999999995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295.411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-160.11420000000001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-505.35469999999998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-708.57069999999999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-911.67610000000002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-1045.7953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-1179.9799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-1166.2239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-1152.6821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-1146.4356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-1140.2008000000001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10477.823200000001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10686.3976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10339.4157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9076.8353000000006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4806.9925999999996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1678.8407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1027.1536000000001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645.28179999999998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351.11799999999999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130.71459999999999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-89.636600000000001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-123.2171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-156.87119999999999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-153.51230000000001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-150.38319999999999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-120.92319999999999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-91.466999999999999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4.9046000000000003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156.34780000000001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511.20949999999999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586.00170000000003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679.66369999999995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802.89639999999997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936.77959999999996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1085.3825999999999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1150.3338000000001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1215.7031999999999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1247.6035999999999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1279.4358999999999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1280.5454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1281.9931999999999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1200.0759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1117.5985000000001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14.7911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13.810600000000001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11.731999999999999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10.9787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10.7819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10.5791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10.092700000000001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9.4274000000000004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8.6166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7.8605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7.1063000000000001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6.4825999999999997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5.8606999999999996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5.4584000000000001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5.0593000000000004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4.7022000000000004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4.3449999999999998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9.0460999999999991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14.3139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15.266999999999999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17.6112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18.812999999999999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18.793800000000001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18.9696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17.478400000000001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17.328900000000001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16.434000000000001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15.543200000000001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15.135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14.7324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14.4762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14.226000000000001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13.895799999999999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13.5672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0.2399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0.73960000000000004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1.5813999999999999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2.4346999999999999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3.1015999999999999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3.4289999999999998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3.3567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3.8054000000000001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3.8306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3.7785000000000002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3.7246999999999999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3.6884999999999999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3.6560999999999999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3.6004999999999998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3.5548000000000002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3.5074999999999998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3.4601999999999999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5.1200000000000002E-2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0.22459999999999999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0.32040000000000002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0.37709999999999999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0.57120000000000004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0.80500000000000005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1.0012000000000001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1.1081000000000001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1.2318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1.2406999999999999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1.2467999999999999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1.222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1.1967000000000001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1.1463000000000001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1.097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1.3109999999999999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1.5051000000000001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21.446999999999999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19.422999999999998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6.6779000000000002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0.87439999999999996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0.28849999999999998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1.6335999999999999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1.6552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1.4891000000000001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1.0889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0.58289999999999997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0.32819999999999999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0.25309999999999999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0.21440000000000001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0.1615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9.6799999999999997E-2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1.03E-2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5.4000000000000003E-3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2.0000000000000001E-4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1E-4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4.2500000000000003E-2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3.2399999999999998E-2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79.124200000000002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45.646599999999999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73.077399999999997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75.436499999999995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81.585700000000003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84.160799999999995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89.684100000000001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126.5548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182.6232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229.24959999999999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275.87599999999998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277.42559999999997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278.97519999999997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287.98469999999998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296.99419999999998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309.65120000000002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322.30829999999997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10726.5244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10206.156800000001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4825.7948999999999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1711.5554999999999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513.97249999999997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-311.83879999999999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-646.98710000000005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-922.15110000000004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-1177.3359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-1245.9023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-1316.9513999999999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-1465.923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-1614.8502000000001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-1643.0143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-1671.3362999999999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-1696.2249999999999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-1720.8866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10477.868200000001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9804.5759999999991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4857.0798000000004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2068.2029000000002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1100.4838999999999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401.1619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121.46939999999999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-63.969299999999997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-292.67660000000001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-396.37290000000002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-502.5881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-588.36559999999997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-674.12900000000002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-735.92690000000005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-797.90409999999997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-772.49180000000001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-746.88840000000005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2.7000000000000001E-3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0.88260000000000005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0.88970000000000005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0.89900000000000002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0.89849999999999997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0.88529999999999998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115.38720000000001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229.53639999999999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217.64449999999999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207.58439999999999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219.95689999999999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232.3913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235.87870000000001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239.44149999999999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14.7872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16.804400000000001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18.047000000000001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18.302600000000002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17.016200000000001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15.835699999999999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14.7582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14.1546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13.204800000000001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11.676399999999999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10.1531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9.1489999999999991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8.1475000000000009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7.2828999999999997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6.4226000000000001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5.7150999999999996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5.0082000000000004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9.0443999999999996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12.7864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16.7211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19.8552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19.7835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19.0458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18.3078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18.077400000000001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18.4924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17.2379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15.9908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15.695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15.403499999999999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14.906499999999999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14.4154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13.847899999999999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13.2819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0.2397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0.75990000000000002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1.7589999999999999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2.6297000000000001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3.2101000000000002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3.5295000000000001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3.7193999999999998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3.8896999999999999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3.9819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3.9569000000000001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3.9319999999999999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3.8908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3.8531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3.7778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3.7341000000000002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3.6911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5.1200000000000002E-2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0.30620000000000003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0.63439999999999996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0.84450000000000003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0.94450000000000001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1.1289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1.4131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1.5449999999999999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2.0590000000000002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3.1924999999999999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4.1679000000000004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4.5274000000000001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4.8444000000000003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5.0475000000000003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5.2262000000000004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5.1718000000000002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5.1025999999999998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21.445699999999999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21.113900000000001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18.8231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14.83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7.5736999999999997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2.4556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0.192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7.2800000000000004E-2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4.0000000000000002E-4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2.9999999999999997E-4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1E-4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1.6335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1.8755999999999999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1.8079000000000001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1.3781000000000001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1.1880999999999999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1.0581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0.66949999999999998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0.51680000000000004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0.43530000000000002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0.43319999999999997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0.43099999999999999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0.3952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0.35949999999999999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0.30070000000000002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0.24199999999999999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0.18959999999999999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0.13739999999999999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4.2500000000000003E-2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3.2399999999999998E-2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79.124200000000002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80.779600000000002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85.148099999999999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85.180700000000002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93.588099999999997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104.37179999999999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124.137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122.9663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204.68600000000001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240.07249999999999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275.45890000000003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287.97590000000002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300.49290000000002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286.23899999999998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271.98509999999999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291.8229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311.66070000000002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10725.552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10980.9265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10298.478300000001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8798.7140999999992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6416.0146999999997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4479.1163999999999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3129.1718999999998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2414.0435000000002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1800.9846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1270.0521000000001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740.4171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305.1601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-131.22710000000001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-302.46960000000001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-473.1472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-573.7269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-674.24239999999998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10477.0622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10665.6656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10162.743200000001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8920.7834999999995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6759.9274999999998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4927.5528999999997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3650.2076000000002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2967.7593999999999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2405.5245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1878.1673000000001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1351.8200999999999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983.46820000000002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613.93060000000003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423.15410000000003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232.92089999999999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173.12309999999999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113.4181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5.1227999999999998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222.99180000000001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818.72760000000005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901.47760000000005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968.71299999999997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978.44989999999996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1036.3759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1069.4242999999999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1207.0274999999999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1343.1626000000001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1430.5183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1516.1210000000001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1536.1094000000001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1558.4623999999999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1471.1196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1383.7221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14.783300000000001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17.0214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16.3201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17.3613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18.5016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18.0166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16.575500000000002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15.0863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13.4194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12.2631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11.112500000000001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10.0723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9.0344999999999995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8.1968999999999994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7.3647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6.4980000000000002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5.6332000000000004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9.0396999999999998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12.7035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15.1402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18.828399999999998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21.009399999999999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21.430599999999998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21.026499999999999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18.8062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17.945900000000002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17.485600000000002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17.030100000000001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16.695900000000002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16.3672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15.9076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15.4565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14.8241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14.194599999999999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0.2392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0.68169999999999997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1.6458999999999999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2.7911000000000001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3.7282000000000002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4.3052000000000001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4.5202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4.5846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4.5843999999999996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4.5726000000000004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4.5591999999999997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4.5217999999999998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4.4884000000000004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4.4314999999999998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4.3856000000000002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4.3403999999999998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4.2957999999999998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5.1200000000000002E-2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0.247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0.43230000000000002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0.86370000000000002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1.4956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2.2406000000000001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3.2505999999999999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4.133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5.0792000000000002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5.5960999999999999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6.12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6.2881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6.4625000000000004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6.3909000000000002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6.3293999999999997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6.3944000000000001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6.4588999999999999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21.443300000000001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19.338100000000001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5.9330999999999996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0.81420000000000003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0.24360000000000001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1.6334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1.7332000000000001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1.6005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1.0107999999999999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0.50329999999999997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0.13650000000000001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8.7599999999999997E-2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1.14E-2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4.8999999999999998E-3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2.5999999999999999E-3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4.2500000000000003E-2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3.2399999999999998E-2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79.124200000000002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62.726399999999998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88.372399999999999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87.974800000000002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91.606700000000004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101.21639999999999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117.3514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111.96680000000001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195.06030000000001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273.56279999999998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352.06540000000001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429.10390000000001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506.14229999999998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528.827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551.51160000000004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567.13310000000001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582.75459999999998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10725.9995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10250.9305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5248.2723999999998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2079.0828000000001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582.42759999999998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-400.42809999999997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-864.96839999999997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-1192.001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-1451.2032999999999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-1749.4335000000001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-2045.3498999999999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-2248.6941000000002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-2450.0329000000002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-2446.0738999999999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-2444.4861999999998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-2437.1993000000002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-2429.9938999999999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10477.3863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9845.9375999999993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5217.2766000000001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2327.0342000000001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1021.4332000000001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131.78139999999999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-258.26780000000002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-440.09219999999999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-608.88739999999996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-897.43550000000005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-1183.7433000000001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-1308.8096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-1431.8534999999999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-1469.8605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-1510.2320999999999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-1458.4467999999999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-1406.7186999999999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3.4916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76.0501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281.01949999999999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467.34530000000001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617.16690000000006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658.97320000000002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705.41729999999995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761.02890000000002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722.23490000000004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682.72249999999997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655.6567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628.61009999999999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582.11149999999998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536.17550000000006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475.78919999999999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415.40469999999999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14.7881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17.1221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17.242000000000001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17.356400000000001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17.4818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17.160900000000002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16.135899999999999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15.013999999999999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13.2803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12.0252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10.7743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9.7362000000000002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8.7005999999999997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7.7763999999999998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6.8571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6.0949999999999998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5.3338000000000001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9.0460999999999991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12.9147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15.7531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18.344799999999999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20.147600000000001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20.659400000000002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20.697600000000001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19.245000000000001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18.348299999999998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17.684699999999999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17.0261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16.836300000000001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16.649999999999999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16.0763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15.5082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14.91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14.314399999999999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0.23960000000000001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0.58860000000000001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1.5786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2.6791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3.4948999999999999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4.0670000000000002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4.3948999999999998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4.5301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4.5647000000000002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4.5442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4.5235000000000003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4.4916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4.4629000000000003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4.4015000000000004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4.3486000000000002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4.3023999999999996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4.2571000000000003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5.1200000000000002E-2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0.27929999999999999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0.55020000000000002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0.69799999999999995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0.83169999999999999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1.1758999999999999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1.7827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2.4882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3.7147000000000001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4.0902000000000003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4.3844000000000003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4.4851999999999999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4.5629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4.5077999999999996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4.4512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4.2881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4.1223000000000001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21.446400000000001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20.525700000000001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10.6707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2.4323000000000001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0.45379999999999998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1.3599999999999999E-2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4.0000000000000002E-4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2.0000000000000001E-4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1.6335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1.8361000000000001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2.0238999999999998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1.9679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1.3794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0.89339999999999997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0.65859999999999996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0.49580000000000002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0.44319999999999998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0.33460000000000001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0.2263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0.1532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8.0299999999999996E-2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5.0799999999999998E-2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2.1100000000000001E-2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8.9999999999999993E-3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1.1999999999999999E-3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4.2500000000000003E-2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3.2399999999999998E-2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79.124200000000002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73.883499999999998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88.408100000000005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85.6952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90.564099999999996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96.290700000000001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124.32210000000001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116.9709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201.505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257.26119999999997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313.01749999999998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301.66379999999998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290.31009999999998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285.19779999999997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280.08550000000002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309.84690000000001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339.60840000000002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10725.919400000001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10877.293299999999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7364.1890000000003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4219.0572000000002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2309.3175999999999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1145.6871000000001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575.53539999999998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69.199299999999994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-387.40859999999998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-598.86760000000004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-810.28599999999994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-969.25130000000001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-1128.0705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-1124.6862000000001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-1121.5929000000001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-1151.7454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-1181.5320999999999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10477.376899999999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10400.280500000001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7161.4543000000003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4327.616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2736.1959000000002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1671.7945999999999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1149.9614999999999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728.49519999999995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334.46420000000001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153.24440000000001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-28.0063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-109.2894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-190.43539999999999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-178.3168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-166.53299999999999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-143.4863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-120.0547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14.7912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16.734000000000002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17.697199999999999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17.8416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17.061800000000002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15.811299999999999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14.3904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13.6646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12.163600000000001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11.110300000000001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10.0608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8.9943000000000008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7.9306000000000001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7.0204000000000004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6.1143999999999998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5.4085000000000001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4.7030000000000003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9.0494000000000003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12.7287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16.351600000000001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19.2441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20.1036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19.436599999999999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18.173500000000001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17.741900000000001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17.258099999999999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16.9238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16.593699999999998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16.194400000000002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15.7997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15.371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14.947900000000001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14.4415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13.9366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0.2399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0.53139999999999998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1.5731999999999999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2.5663999999999998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3.1976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3.5882000000000001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3.7768999999999999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3.9376000000000002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4.0315000000000003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4.0625999999999998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4.0933999999999999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4.0682999999999998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4.0465999999999998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4.008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3.9782999999999999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3.9388999999999998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3.9001000000000001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5.1200000000000002E-2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0.3044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0.65080000000000005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0.9607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1.1980999999999999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1.3696999999999999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1.4737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1.4407000000000001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1.3669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1.3825000000000001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1.3966000000000001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1.4005000000000001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1.3994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1.5599000000000001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1.7198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2.0670000000000002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2.3959999999999999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21.447600000000001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21.278600000000001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20.122399999999999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17.6127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13.5587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8.7264999999999997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4.3483999999999998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3.0910000000000002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0.47599999999999998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0.38169999999999998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0.28749999999999998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0.1777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1.21E-2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6.9999999999999999E-4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1.4E-3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1.6335999999999999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1.9391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1.8293999999999999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1.7036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1.3097000000000001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0.94850000000000001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0.74260000000000004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0.56430000000000002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0.37790000000000001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0.32900000000000001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0.28010000000000002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0.27639999999999998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0.27310000000000001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0.26490000000000002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0.25669999999999998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0.22389999999999999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0.19120000000000001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4.2500000000000003E-2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3.2300000000000002E-2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79.124200000000002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83.351799999999997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87.260900000000007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87.807199999999995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95.48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107.6421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130.333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125.60769999999999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203.2697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244.4469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285.62419999999997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289.10550000000001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292.58679999999998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287.8897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283.19260000000003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301.8064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320.4203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10725.413399999999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10858.0389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10422.137699999999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9597.1674000000003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8410.8032999999996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7120.8833000000004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5828.2583000000004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5170.1054000000004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4304.2007999999996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3992.9423000000002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3682.4967999999999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3234.7040000000002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2772.2028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2454.4569000000001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2139.3422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1713.7053000000001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1289.0649000000001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10476.998900000001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10697.031499999999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10379.039500000001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9710.1965999999993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8680.1587999999992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7476.5384999999997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6277.9315999999999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5696.1936999999998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4907.7365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4593.1958999999997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4279.2986000000001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3872.9065999999998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3451.7303000000002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3117.2046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2785.2622000000001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2406.7716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2029.2832000000001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6.9427000000000003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246.68690000000001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595.41049999999996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791.13390000000004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923.28650000000005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1020.6188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1150.0822000000001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1280.4105999999999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1374.4197999999999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1469.4866999999999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1549.8393000000001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1631.9481000000001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1583.3137999999999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1534.8866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14.784599999999999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16.7255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17.688400000000001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18.050599999999999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17.461300000000001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16.321400000000001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16.268000000000001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15.337400000000001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13.7204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12.4689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11.222099999999999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10.120100000000001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9.0208999999999993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8.1637000000000004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7.3117999999999999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6.4340000000000002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5.5582000000000003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9.0412999999999997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12.7173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16.3384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19.346699999999998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19.7453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18.9541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20.1099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19.473199999999999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18.420500000000001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17.9346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17.454499999999999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17.050899999999999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16.652999999999999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16.241599999999998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15.8386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15.0144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14.1935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0.23930000000000001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0.53029999999999999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1.5704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2.702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3.3203999999999998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3.7368999999999999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4.0528000000000004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4.3127000000000004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4.3811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4.4092000000000002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4.4372999999999996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4.3959999999999999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4.3585000000000003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4.3011999999999997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4.2545999999999999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4.2050999999999998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4.1565000000000003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5.1200000000000002E-2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0.30449999999999999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0.65100000000000002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0.86729999999999996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0.99180000000000001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1.4895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2.4062999999999999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3.5699000000000001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5.2016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5.6592000000000002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6.1303000000000001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6.3254999999999999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6.5378999999999996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6.8038999999999996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7.0888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7.3010000000000002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7.5308000000000002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21.443999999999999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21.273599999999998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20.116900000000001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16.1508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7.3640999999999996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0.32129999999999997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0.01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1.6334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1.9387000000000001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1.8289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1.5141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0.8518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0.33339999999999997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0.1477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9.4700000000000006E-2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1.23E-2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6.6E-3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6.9999999999999999E-4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2.9999999999999997E-4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4.2500000000000003E-2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3.2300000000000002E-2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79.124200000000002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83.351799999999997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87.260900000000007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69.343100000000007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93.996899999999997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108.8068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128.88480000000001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134.0752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256.84750000000003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342.0446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427.24180000000001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446.90890000000002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466.57589999999999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463.9384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461.30090000000001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479.25959999999998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497.21839999999997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10725.8873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10883.7677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10471.251399999999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8926.1553000000004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3655.0081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409.6431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-491.75540000000001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-938.57240000000002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-1530.5768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-1770.2583999999999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-2010.3207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-2185.8173999999999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-2362.1833999999999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-2446.5219999999999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-2532.6786000000002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-2570.5092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-2608.6718000000001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10477.2788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10697.195400000001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10377.241099999999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8982.5676999999996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4129.4674999999997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1029.7720999999999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202.7166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-135.42609999999999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-642.00369999999998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-871.69899999999996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-1101.8390999999999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-1231.6248000000001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-1362.2637999999999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-1459.4374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-1558.4046000000001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-1541.1270999999999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-1524.1614999999999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1.4722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6.5157999999999996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16.922799999999999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25.568300000000001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41.673000000000002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157.13890000000001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150.74260000000001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144.46270000000001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179.23439999999999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214.0641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186.59020000000001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159.3245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138.12909999999999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116.92740000000001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14.788399999999999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16.730599999999999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17.6936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17.631900000000002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16.603400000000001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15.428100000000001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14.816599999999999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14.106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12.7941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11.716699999999999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10.6434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9.5587999999999997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8.4769000000000005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7.5838999999999999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6.6951000000000001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5.9290000000000003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5.1635999999999997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9.0464000000000002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12.7248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16.347200000000001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19.865600000000001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19.5504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18.810700000000001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18.933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18.601099999999999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17.715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17.4937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17.275500000000001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16.764500000000002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16.258299999999998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15.696400000000001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15.1408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14.561999999999999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13.984999999999999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0.2397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0.53120000000000001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1.5726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2.6800999999999999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3.3111999999999999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3.6617999999999999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3.9211999999999998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4.0964999999999998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4.1630000000000003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4.1464999999999996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4.1302000000000003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4.0853999999999999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4.0441000000000003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4.0141999999999998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3.9931000000000001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3.976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3.9594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5.1200000000000002E-2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0.30449999999999999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0.65090000000000003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0.90990000000000004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1.0045999999999999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1.0680000000000001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1.2333000000000001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1.5996999999999999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3.1002000000000001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3.3551000000000002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3.5657000000000001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4.0609999999999999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4.4372999999999996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4.7946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5.0015999999999998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4.9995000000000003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4.9775999999999998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21.4465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21.277100000000001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20.120899999999999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17.254300000000001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8.7378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1.7383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0.26840000000000003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9.7000000000000003E-3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4.0000000000000002E-4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2.0000000000000001E-4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1.6335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1.9389000000000001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1.8292999999999999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1.694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1.5306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1.3632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0.87290000000000001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0.59460000000000002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0.47620000000000001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0.45279999999999998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0.4294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0.45100000000000001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0.47249999999999998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0.4249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0.37740000000000001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0.31890000000000002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0.26050000000000001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4.2500000000000003E-2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3.2300000000000002E-2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79.124200000000002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83.351799999999997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87.260900000000007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77.700500000000005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90.898899999999998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105.3288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127.35639999999999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126.3261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197.1591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244.1456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291.13200000000001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288.58870000000002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286.0453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291.7604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297.47539999999998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306.03859999999997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314.60169999999999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10725.491400000001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10874.296899999999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10453.823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9409.5740000000005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5644.7377999999999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3249.1377000000002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2190.6244000000002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1525.9122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845.86689999999999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579.96040000000005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314.75819999999999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-63.070900000000002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-439.31939999999997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-603.75279999999998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-767.63350000000003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-798.09900000000005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-828.53420000000006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10476.977500000001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10696.7171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10377.694100000001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9495.4472000000005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6012.5276000000003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3733.1484999999998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2741.0837999999999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2112.4405999999999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1512.68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1246.6772000000001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981.22550000000001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746.23220000000003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512.79909999999995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356.0795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199.89359999999999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202.09950000000001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204.3759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4.7587000000000002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140.2398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457.09039999999999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527.47439999999995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617.82770000000005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747.58699999999999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865.93610000000001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1047.5649000000001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1103.1687999999999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1158.1976999999999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1187.1031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1215.9862000000001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1196.1832999999999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1176.7286999999999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1105.9304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1034.5623000000001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14.7904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13.8926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11.8157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11.012600000000001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10.8827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10.780799999999999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10.298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9.6310000000000002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8.8580000000000005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8.0916999999999994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7.3292999999999999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6.6890000000000001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6.0506000000000002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5.6308999999999996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5.2145999999999999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4.8562000000000003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4.4978999999999996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9.0451999999999995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14.390599999999999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15.3939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17.608899999999998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19.000499999999999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18.962599999999998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19.210899999999999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17.806000000000001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17.6524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16.8184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15.9909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15.6081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15.230700000000001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14.951700000000001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14.679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14.309799999999999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13.942600000000001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0.23980000000000001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0.61080000000000001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1.5014000000000001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2.4148000000000001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3.1118999999999999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3.4908000000000001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3.4211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3.9007000000000001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3.9417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3.8929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3.8424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3.8050000000000002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3.7713999999999999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3.7136999999999998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3.6661999999999999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3.6187999999999998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3.5714000000000001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5.1200000000000002E-2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0.22589999999999999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0.32769999999999999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0.36670000000000003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0.55389999999999995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0.80349999999999999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1.0258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1.1279999999999999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1.2490000000000001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1.266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1.2781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1.2626999999999999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1.2462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1.1611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1.0781000000000001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1.2481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1.4003000000000001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21.4466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19.650099999999998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7.1037999999999997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0.9093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0.31469999999999998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2.9999999999999997E-4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1.6335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1.6531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1.5329999999999999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1.1353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0.63139999999999996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0.36699999999999999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0.253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0.2142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0.16120000000000001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9.6299999999999997E-2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1.01E-2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5.3E-3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1E-4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1E-4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4.2500000000000003E-2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3.2300000000000002E-2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79.124200000000002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47.673200000000001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71.897000000000006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75.079300000000003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80.750399999999999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89.187399999999997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83.613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136.33340000000001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159.82910000000001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218.55359999999999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277.27809999999999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273.23520000000002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269.19229999999999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312.17419999999998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355.15609999999998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271.3972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187.63820000000001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10726.464099999999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10319.1993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5107.2920999999997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1895.1341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650.03110000000004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-242.3486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-615.29650000000004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-903.15070000000003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-1211.5540000000001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-1282.1097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-1354.7145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-1483.5726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-1612.4083000000001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-1573.1999000000001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-1534.1504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-1556.9775999999999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-1579.5990999999999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10477.810600000001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9923.4297000000006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5051.3675999999996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2202.0841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1201.5521000000001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441.4554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127.3257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-60.859000000000002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-282.85000000000002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-365.7131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-450.65350000000001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-515.53949999999998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-580.43039999999996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-597.53830000000005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-614.82249999999999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-617.09519999999998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-619.19650000000001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2.7000000000000001E-3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1.1596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1.1687000000000001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1.1808000000000001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1.1800999999999999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1.1631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98.833500000000001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196.2191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191.21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187.9701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203.76400000000001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219.6645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229.62880000000001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239.67679999999999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14.787800000000001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16.839600000000001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18.011099999999999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18.3706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17.220500000000001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16.049900000000001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14.9741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14.4389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13.574299999999999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12.028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10.4869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9.4957999999999991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8.5070999999999994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7.6060999999999996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6.7092999999999998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5.9599000000000002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5.2111000000000001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9.0455000000000005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12.797599999999999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16.692499999999999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19.934999999999999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20.013500000000001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19.267800000000001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18.5306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18.427299999999999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19.017299999999999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17.8065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16.602799999999998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16.410299999999999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16.221699999999998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15.7478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15.2799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14.647600000000001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14.017200000000001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0.2397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0.59089999999999998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1.6295999999999999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2.6070000000000002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3.2136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3.5847000000000002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3.8077999999999999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4.0002000000000004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4.1260000000000003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4.1235999999999997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4.1212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4.0906000000000002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4.0635000000000003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4.0262000000000002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3.9979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3.9552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3.9131999999999998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5.1200000000000002E-2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0.30370000000000003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0.6341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0.85240000000000005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0.96319999999999995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1.1456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1.4601999999999999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1.6251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2.2010000000000001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3.508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4.6022999999999996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5.0212000000000003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5.3666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5.5555000000000003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5.7213000000000003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5.6158999999999999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5.5015000000000001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21.446100000000001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21.123999999999999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18.888200000000001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15.234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8.1175999999999995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2.7187999999999999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0.20219999999999999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8.1000000000000003E-2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4.0000000000000002E-4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2.9999999999999997E-4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1E-4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1.6335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1.8676999999999999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1.7722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1.3495999999999999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1.1535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1.0699000000000001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0.6885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0.53259999999999996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0.4597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0.46639999999999998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0.47310000000000002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0.41570000000000001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0.35830000000000001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0.29339999999999999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0.22869999999999999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0.17180000000000001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0.115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4.2500000000000003E-2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3.2399999999999998E-2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79.124200000000002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82.521600000000007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85.756500000000003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85.129000000000005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93.910899999999998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105.3165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125.599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124.78149999999999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208.541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241.5984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274.65570000000002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289.9572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305.25880000000001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286.37830000000002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267.49770000000001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290.2586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313.01940000000002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10725.617200000001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11065.097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10420.337600000001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8961.5473999999995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6580.0429999999997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4606.6325999999999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3258.5871999999999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2597.7078999999999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1995.8472999999999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1435.4915000000001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876.43830000000003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415.10219999999998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-47.259799999999998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-228.5932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-409.4325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-526.42939999999999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-643.34209999999996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10477.1229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10676.892400000001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10208.8403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9034.3405999999995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6902.4089999999997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5045.6782999999996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3770.6451999999999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3141.8125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2588.6817999999998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2029.3164999999999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1470.991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1075.6215999999999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679.17169999999999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479.73469999999998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280.76990000000001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204.91030000000001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129.1618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5.1021000000000001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223.51750000000001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826.40359999999998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912.18640000000005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962.66690000000006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966.23469999999998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998.55870000000004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1060.1392000000001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1197.3644999999999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1332.5396000000001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1428.5948000000001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1521.5645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1538.104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1557.4509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1467.3879999999999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1376.4749999999999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14.7807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17.035299999999999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16.370699999999999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17.546500000000002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18.964099999999998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18.412500000000001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16.790500000000002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15.3613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13.8497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12.6356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11.4268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10.3653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9.3058999999999994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8.4579000000000004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7.6134000000000004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6.6910999999999996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5.7713000000000001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9.0282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12.7089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15.173999999999999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18.959199999999999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21.2623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21.7926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21.223199999999999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19.043900000000001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18.422000000000001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18.0441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17.6722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17.352900000000002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17.036899999999999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16.517499999999998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16.001999999999999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15.2797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14.5593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0.23730000000000001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0.59370000000000001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1.5833999999999999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2.8048999999999999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3.7898999999999998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4.3922999999999996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4.6308999999999996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4.7115999999999998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4.7552000000000003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4.7595999999999998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4.7656999999999998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4.7339000000000002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4.7064000000000004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4.6470000000000002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4.5925000000000002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4.5449999999999999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4.4965000000000002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5.1200000000000002E-2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0.25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0.438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0.90100000000000002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1.6049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2.4603999999999999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3.6200999999999999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4.4557000000000002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5.2755000000000001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5.7610999999999999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6.2592999999999996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6.4042000000000003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6.5464000000000002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6.4257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6.3147000000000002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6.3631000000000002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6.4086999999999996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21.4361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19.391400000000001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6.0274999999999999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0.81210000000000004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0.24229999999999999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1.6325000000000001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1.7615000000000001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1.6117999999999999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1.0066999999999999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0.49780000000000002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0.12770000000000001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8.0699999999999994E-2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1.2699999999999999E-2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5.4000000000000003E-3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2.8999999999999998E-3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4.2500000000000003E-2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3.2399999999999998E-2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79.124200000000002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64.519000000000005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88.929299999999998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87.8035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92.703800000000001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98.799599999999998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123.7799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115.11709999999999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205.0231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291.67129999999997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378.31950000000001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449.1891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520.05859999999996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545.32320000000004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570.58789999999999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589.31029999999998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608.03279999999995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10725.007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10355.2392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5332.4850999999999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2063.0684999999999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524.40970000000004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-447.59070000000003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-864.35789999999997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-1245.7055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-1519.57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-1790.5815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-2058.7337000000002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-2261.1001999999999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-2460.5011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-2450.3328000000001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-2443.0286999999998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-2431.6747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-2419.6567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10476.0656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9902.6419000000005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5229.8427000000001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2310.1817000000001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963.58529999999996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72.291600000000003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-289.41250000000002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-533.28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-707.29489999999998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-960.74099999999999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-1211.3403000000001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-1330.173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-1445.9728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-1479.4413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-1515.7497000000001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-1459.9844000000001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-1403.5220999999999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10.9297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88.239900000000006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353.61669999999998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583.26729999999998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677.86890000000005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14.7875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17.068200000000001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17.538399999999999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17.54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17.449300000000001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17.214700000000001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16.286100000000001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9.0454000000000008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12.8939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16.013100000000001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18.633900000000001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19.969200000000001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20.7319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20.840299999999999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0.23960000000000001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0.6744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1.6600999999999999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2.7042999999999999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3.5108999999999999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4.0956999999999999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4.4466999999999999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5.1200000000000002E-2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0.2777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0.56510000000000005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0.73419999999999996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0.8478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1.2036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1.8392999999999999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21.446000000000002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20.675599999999999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12.2829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3.8746999999999998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0.51890000000000003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1.6400000000000001E-2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2.9999999999999997E-4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1.6335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1.8427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1.9387000000000001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1.9178999999999999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1.3688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0.90280000000000005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0.64890000000000003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4.2500000000000003E-2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3.2399999999999998E-2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79.124200000000002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73.186999999999998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87.597099999999998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87.086699999999993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90.703699999999998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98.073599999999999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122.39879999999999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10725.8202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10929.047399999999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7899.6669000000002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4974.9156999999996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2487.2754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1165.3273999999999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507.40100000000001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10477.2773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10451.6186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7690.0024999999996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5082.6697999999997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2907.2012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1684.4856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1075.4195999999999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14.790800000000001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16.7242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17.717400000000001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17.876100000000001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17.174900000000001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15.9297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14.566700000000001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9.0488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12.7265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16.367599999999999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19.267800000000001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20.231999999999999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19.559999999999999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18.385000000000002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0.2399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0.58360000000000001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1.6102000000000001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2.5832000000000002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3.2265000000000001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3.6208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3.8264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5.1200000000000002E-2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0.30449999999999999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0.6512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0.96360000000000001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1.2044999999999999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1.3835999999999999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1.4984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21.447299999999998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21.325399999999998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20.197600000000001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17.691700000000001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13.8279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8.9379000000000008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4.6189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1.6335999999999999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1.9468000000000001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1.8531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1.7236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1.3260000000000001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0.95960000000000001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0.75119999999999998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4.2500000000000003E-2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3.2300000000000002E-2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79.124200000000002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83.395600000000002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87.388300000000001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88.193700000000007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95.679000000000002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107.9585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130.1824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10725.365299999999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10881.2183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10442.238799999999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9622.1985999999997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8487.7394000000004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7203.5833000000002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5951.4809999999998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10476.9558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10707.0795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10393.094999999999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9732.5411000000004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8753.6625999999997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7554.9494000000004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6394.2456000000002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6.9217000000000004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246.35560000000001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610.89089999999999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818.94650000000001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14.7897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16.723099999999999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17.716799999999999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18.1004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17.539100000000001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16.4313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16.4633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9.0513999999999992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12.730399999999999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16.371600000000001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19.404699999999998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19.831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19.086200000000002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20.308199999999999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0.24060000000000001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0.58509999999999995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1.6140000000000001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2.7330000000000001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3.3593999999999999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3.7728999999999999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4.1119000000000003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5.1200000000000002E-2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0.30449999999999999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0.65139999999999998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0.87019999999999997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1.0006999999999999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1.5223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2.4893999999999998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21.450900000000001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21.331600000000002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20.2058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16.286200000000001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7.4562999999999997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0.32140000000000002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8.8999999999999999E-3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1.6339999999999999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1.9477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1.8541000000000001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1.5410999999999999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0.86970000000000003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0.34379999999999999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0.14680000000000001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4.2500000000000003E-2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3.2300000000000002E-2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79.124200000000002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83.395600000000002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87.388300000000001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70.5518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94.005300000000005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108.6876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129.0421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10726.4385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10908.460300000001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10495.6427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8977.5923999999995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3732.9825999999998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439.94670000000002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-472.78460000000001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10478.1343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10709.2382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10396.2315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9039.2209999999995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4198.6632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1036.9347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166.5403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1.3571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8.1564999999999994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24.949100000000001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48.274900000000002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14.787000000000001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16.720099999999999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17.714200000000002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17.9344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16.739699999999999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15.5885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14.7576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9.0487000000000002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12.726900000000001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16.367999999999999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19.6709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19.701799999999999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18.935500000000001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18.6677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0.2404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0.58460000000000001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1.6122000000000001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2.6583000000000001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3.2867999999999999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3.6707999999999998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3.9397000000000002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5.1200000000000002E-2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0.30459999999999998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0.65149999999999997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0.91790000000000005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1.0265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1.1256999999999999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1.4871000000000001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21.4497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21.330100000000002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20.204000000000001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17.564800000000002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9.6326999999999998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2.7847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0.28050000000000003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1.6339999999999999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1.9475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1.8539000000000001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1.6990000000000001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1.5366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1.3613999999999999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0.94389999999999996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4.2500000000000003E-2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3.2300000000000002E-2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79.124200000000002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83.395600000000002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87.388300000000001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84.899000000000001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94.757999999999996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108.7022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130.7945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10726.393899999999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10899.331700000001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10476.119199999999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9540.3148000000001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6723.2393000000002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3972.8723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2356.692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10478.0139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10708.845300000001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10394.2574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9632.9256999999998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7058.8370000000004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4429.5102999999999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2895.2431999999999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4.5933999999999999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101.78400000000001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307.08120000000002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504.37740000000002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643.26390000000004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780.7423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14.792999999999999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13.8733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11.824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11.055899999999999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10.9948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10.9053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10.4213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9.0381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14.418799999999999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15.4198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17.668800000000001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19.084499999999998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19.093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19.413799999999998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0.23849999999999999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0.68600000000000005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1.5429999999999999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2.423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3.1406999999999998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3.5310000000000001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3.4647999999999999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5.1200000000000002E-2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0.22539999999999999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0.32750000000000001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0.39200000000000002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0.58819999999999995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0.84960000000000002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1.0722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21.440999999999999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19.760400000000001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7.1616999999999997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0.9234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0.32550000000000001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2.9999999999999997E-4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1.6328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1.6467000000000001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1.5045999999999999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1.1033999999999999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0.5917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0.32869999999999999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0.2321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4.2500000000000003E-2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3.2300000000000002E-2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79.124200000000002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46.341900000000003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71.694400000000002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74.617400000000004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81.198999999999998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88.089399999999998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86.406499999999994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10725.2701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10319.2021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5189.9592000000002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2099.6559999999999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703.68949999999995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-211.16730000000001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-591.76260000000002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10476.2664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9944.8642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5130.4264999999996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2373.3483000000001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1199.7933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394.78100000000001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71.058000000000007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3.3500000000000002E-2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0.52610000000000001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0.52990000000000004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0.53500000000000003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14.7875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16.817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18.004200000000001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18.420100000000001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17.332000000000001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16.1675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15.089499999999999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9.0452999999999992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12.79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16.6859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19.975999999999999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20.134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19.381900000000002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18.663699999999999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0.2397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0.67559999999999998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1.7078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2.6351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3.2456999999999998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3.62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3.8531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5.1200000000000002E-2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0.30640000000000001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0.63949999999999996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0.86070000000000002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0.97489999999999999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1.1548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1.4764999999999999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21.446000000000002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21.174499999999998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18.959599999999998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15.383900000000001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8.3519000000000005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2.8269000000000002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0.20760000000000001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1.6335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1.8747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1.8048999999999999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1.373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1.1712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1.0817000000000001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0.69840000000000002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4.2500000000000003E-2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3.2399999999999998E-2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79.124200000000002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83.176199999999994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85.631799999999998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85.689099999999996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93.854699999999994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105.8783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126.32510000000001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10725.564200000001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11081.9962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10412.646199999999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8974.7839000000004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6651.7830999999996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4679.3418000000001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3290.8690000000001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10477.077600000001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10692.1849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10219.8585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9063.1677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6973.4769999999999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5107.9740000000002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3790.9886000000001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5.0823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219.1917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825.23180000000002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907.04549999999995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961.35940000000005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972.43889999999999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14.780799999999999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17.064399999999999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16.418600000000001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17.5214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18.978899999999999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18.539899999999999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17.014500000000002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9.0282999999999998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12.728899999999999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15.2256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18.982399999999998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21.328499999999998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21.923200000000001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21.530999999999999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0.2374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0.63060000000000005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1.6112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2.8119999999999998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3.8031999999999999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4.4290000000000003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4.6790000000000003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5.1200000000000002E-2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0.24990000000000001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0.4395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0.89539999999999997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1.5754999999999999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2.3757000000000001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3.4531999999999998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21.436299999999999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19.5441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6.2488999999999999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0.83140000000000003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0.25659999999999999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1.6325000000000001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1.7585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1.6914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1.0762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0.50170000000000003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0.1278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8.09E-2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4.2500000000000003E-2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3.2399999999999998E-2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79.124200000000002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64.825999999999993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88.897099999999995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88.188999999999993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92.685000000000002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101.6964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119.742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10724.9205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10389.774299999999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5406.1683999999996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2116.8798000000002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577.51549999999997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-414.52390000000003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-863.88840000000005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10475.989799999999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9945.0666999999994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5357.1220000000003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2358.4825999999998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1005.9376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102.3211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-268.24619999999999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2025-09-20T13:53:38Z</dcterms:modified>
</cp:coreProperties>
</file>