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3D324EC7-76FC-4B18-A65E-1CBCADF6A4F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<sst xmlns="http://schemas.openxmlformats.org/spreadsheetml/2006/main" count="13148" uniqueCount="470">
  <si>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</si>
  <si>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</si>
  <si>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</si>
  <si>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</si>
  <si>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</si>
  <si>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</si>
  <si>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</si>
  <si>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</si>
  <si>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</si>
  <si>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</si>
  <si>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</si>
  <si>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</si>
  <si>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</si>
  <si>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</si>
  <si>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</si>
  <si>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</si>
  <si>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</si>
  <si>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</si>
  <si>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</si>
  <si>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</si>
  <si>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</si>
  <si>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</si>
  <si>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</si>
  <si>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</si>
  <si>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</si>
  <si>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</si>
  <si>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</si>
  <si>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</si>
  <si>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</si>
  <si>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</si>
  <si>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</si>
  <si>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</si>
  <si>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</si>
  <si>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</si>
  <si>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</si>
  <si>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</si>
  <si>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</si>
  <si>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</si>
  <si>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</si>
  <si>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</si>
  <si>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</si>
  <si>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</si>
  <si>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</si>
  <si>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</si>
  <si>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</si>
  <si>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</si>
  <si>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</si>
  <si>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</si>
  <si>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</si>
  <si>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</si>
  <si>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</si>
  <si>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</si>
  <si>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</si>
  <si>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</si>
  <si>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</si>
  <si>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</si>
  <si>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</si>
  <si>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</si>
  <si>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</si>
  <si>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</si>
  <si>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</si>
  <si>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</si>
  <si>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</si>
  <si>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</si>
  <si>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</si>
  <si>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</si>
  <si>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</si>
  <si>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</si>
  <si>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</si>
  <si>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</si>
  <si>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</si>
  <si>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</si>
  <si>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</si>
  <si>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</si>
  <si>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</si>
  <si>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</si>
  <si>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</si>
  <si>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</si>
  <si>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</si>
  <si>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</si>
  <si>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</si>
  <si>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</si>
  <si>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</si>
  <si>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</si>
  <si>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</si>
  <si>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</si>
  <si>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</si>
  <si>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</si>
  <si>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</si>
  <si>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</si>
  <si>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</si>
  <si>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</si>
  <si>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</si>
  <si>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</si>
  <si>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</si>
  <si>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</si>
  <si>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</si>
  <si>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</si>
  <si>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</si>
  <si>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</si>
  <si>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</si>
  <si>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</si>
  <si>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</si>
  <si>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</si>
  <si>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</si>
  <si>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</si>
  <si>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</si>
  <si>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</si>
  <si>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</si>
  <si>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</si>
  <si>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</si>
  <si>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</si>
  <si>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</si>
  <si>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</si>
  <si>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</si>
  <si>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</si>
  <si>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</si>
  <si>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</si>
  <si>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</si>
  <si>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</si>
  <si>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</si>
  <si>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</si>
  <si>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</si>
  <si>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</si>
  <si>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</si>
  <si>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</si>
  <si>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</si>
  <si>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</si>
  <si>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</si>
  <si>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</si>
  <si>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</si>
  <si>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</si>
  <si>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</si>
  <si>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</si>
  <si>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</si>
  <si>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</si>
  <si>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</si>
  <si>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</si>
  <si>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</si>
  <si>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</si>
  <si>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</si>
  <si>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</si>
  <si>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</si>
  <si>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CHN</t>
  </si>
  <si>
    <t>R10CHINA+</t>
  </si>
  <si>
    <t>LNG imports expensive, domestic coal cheap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</si>
  <si>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</si>
  <si>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</si>
  <si>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</si>
  <si>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</si>
  <si>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</si>
  <si>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</si>
  <si>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</si>
  <si>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</si>
  <si>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</si>
  <si>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</si>
  <si>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</si>
  <si>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</si>
  <si>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</si>
  <si>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</si>
  <si>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</si>
  <si>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</si>
  <si>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</si>
  <si>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</si>
  <si>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</si>
  <si>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</si>
  <si>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</si>
  <si>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</si>
  <si>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</si>
  <si>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</si>
  <si>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</si>
  <si>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</si>
  <si>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</si>
  <si>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</si>
  <si>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</si>
  <si>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</si>
  <si>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</si>
  <si>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</si>
  <si>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</si>
  <si>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</si>
  <si>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</si>
  <si>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</si>
  <si>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</si>
  <si>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</si>
  <si>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</si>
  <si>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</si>
  <si>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</si>
  <si>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</si>
  <si>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</si>
  <si>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</si>
  <si>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</si>
  <si>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</si>
  <si>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</si>
  <si>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</si>
  <si>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</si>
  <si>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</si>
  <si>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</si>
  <si>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</si>
  <si>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</si>
  <si>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</si>
  <si>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</si>
  <si>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</si>
  <si>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</si>
  <si>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</si>
  <si>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</si>
  <si>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</si>
  <si>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</si>
  <si>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</si>
  <si>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</si>
  <si>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</si>
  <si>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</si>
  <si>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</si>
  <si>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</si>
  <si>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</si>
  <si>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</si>
  <si>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</si>
  <si>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</si>
  <si>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</si>
  <si>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</si>
  <si>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</si>
  <si>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</si>
  <si>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</si>
  <si>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</si>
  <si>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</si>
  <si>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</si>
  <si>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</si>
  <si>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</si>
  <si>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</si>
  <si>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</si>
  <si>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</si>
  <si>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</si>
  <si>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</si>
  <si>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</si>
  <si>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</si>
  <si>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</si>
  <si>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</si>
  <si>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</si>
  <si>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</si>
  <si>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</si>
  <si>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</si>
  <si>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</si>
  <si>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</si>
  <si>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</si>
  <si>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</si>
  <si>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</si>
  <si>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</si>
  <si>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</si>
  <si>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</si>
  <si>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</si>
  <si>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</si>
  <si>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</si>
  <si>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</si>
  <si>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</si>
  <si>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</si>
  <si>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</si>
  <si>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</si>
  <si>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</si>
  <si>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</si>
  <si>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</si>
  <si>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</si>
  <si>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</si>
  <si>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</si>
  <si>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</si>
  <si>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</si>
  <si>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</si>
  <si>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</si>
  <si>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</si>
  <si>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</si>
  <si>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</si>
  <si>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</si>
  <si>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</si>
  <si>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</si>
  <si>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</si>
  <si>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</si>
  <si>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</si>
  <si>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</si>
  <si>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</si>
  <si>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</si>
  <si>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</si>
  <si>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</si>
  <si>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</si>
  <si>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</si>
  <si>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</si>
  <si>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</si>
  <si>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</si>
  <si>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</si>
  <si>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</si>
  <si>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</si>
  <si>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</si>
  <si>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</si>
  <si>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</si>
  <si>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</si>
  <si>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</si>
  <si>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</si>
  <si>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</si>
  <si>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</si>
  <si>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</si>
  <si>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</si>
  <si>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</si>
  <si>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</si>
  <si>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</si>
  <si>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</si>
  <si>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</si>
  <si>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</si>
  <si>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</si>
  <si>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</si>
  <si>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</si>
  <si>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</si>
  <si>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</si>
  <si>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</si>
  <si>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</si>
  <si>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</si>
  <si>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</si>
  <si>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</si>
  <si>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</si>
  <si>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</si>
  <si>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</si>
  <si>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</si>
  <si>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</si>
  <si>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</si>
  <si>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</si>
  <si>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</si>
  <si>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</si>
  <si>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</si>
  <si>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</si>
  <si>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</si>
  <si>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</si>
  <si>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</si>
  <si>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</si>
  <si>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</si>
  <si>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</si>
  <si>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</si>
  <si>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</si>
  <si>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</si>
  <si>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</si>
  <si>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</si>
  <si>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</si>
  <si>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</si>
  <si>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</si>
  <si>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</si>
  <si>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</si>
  <si>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</si>
  <si>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</si>
  <si>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</si>
  <si>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</si>
  <si>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</si>
  <si>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</si>
  <si>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</si>
  <si>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</si>
  <si>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</si>
  <si>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</si>
  <si>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</si>
  <si>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</si>
  <si>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</si>
  <si>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</si>
  <si>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</si>
  <si>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</si>
  <si>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</si>
  <si>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</si>
  <si>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</si>
  <si>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</si>
  <si>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</si>
  <si>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</si>
  <si>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</si>
  <si>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</si>
  <si>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</si>
  <si>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</si>
  <si>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</si>
  <si>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</si>
  <si>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</si>
  <si>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</si>
  <si>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</si>
  <si>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</si>
  <si>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</si>
  <si>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</si>
  <si>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</si>
  <si>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</si>
  <si>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</si>
  <si>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</si>
  <si>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</si>
  <si>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</si>
  <si>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</si>
  <si>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</si>
  <si>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</si>
  <si>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</si>
  <si>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</si>
  <si>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</si>
  <si>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</si>
  <si>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</si>
  <si>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</si>
  <si>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</si>
  <si>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</si>
  <si>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</si>
  <si>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</si>
  <si>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</si>
  <si>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</si>
  <si>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</si>
  <si>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</si>
  <si>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</si>
  <si>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</si>
  <si>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</si>
  <si>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</si>
  <si>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</si>
  <si>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</si>
  <si>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</si>
  <si>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</si>
  <si>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</si>
  <si>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</si>
  <si>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</si>
  <si>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</si>
  <si>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</si>
  <si>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</si>
  <si>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</si>
  <si>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</si>
  <si>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</si>
  <si>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</si>
  <si>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</si>
  <si>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</si>
  <si>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</si>
  <si>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</si>
  <si>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</si>
  <si>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</si>
  <si>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</si>
  <si>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</si>
  <si>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</si>
  <si>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</si>
  <si>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</si>
  <si>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</si>
  <si>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</si>
  <si>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</si>
  <si>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</si>
  <si>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</si>
  <si>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</si>
  <si>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</si>
  <si>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</si>
  <si>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</si>
  <si>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</si>
  <si>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</si>
  <si>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</si>
  <si>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</si>
  <si>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</si>
  <si>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</si>
  <si>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</si>
  <si>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</si>
  <si>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</si>
  <si>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</si>
  <si>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</si>
  <si>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</si>
  <si>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</si>
  <si>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</si>
  <si>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</si>
  <si>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</si>
  <si>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</si>
  <si>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</si>
  <si>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</si>
  <si>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</si>
  <si>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</si>
  <si>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</si>
  <si>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</si>
  <si>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</si>
  <si>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</si>
  <si>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</si>
  <si>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</si>
  <si>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</si>
  <si>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</si>
  <si>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</si>
  <si>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</si>
  <si>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</si>
  <si>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WaP,WaD,FaP,SaP,FaD,RaD,SaD,RaP</t>
  </si>
  <si>
    <t>SaN,WaN,RaN,FaN,WaP,RaP,FaP,SaP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</si>
</sst>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8898.34</c:v>
                </c:pt>
                <c:pt idx="1">
                  <c:v>10500.0412</c:v>
                </c:pt>
                <c:pt idx="2">
                  <c:v>12012.759000000002</c:v>
                </c:pt>
                <c:pt idx="3">
                  <c:v>13525.4768</c:v>
                </c:pt>
                <c:pt idx="4">
                  <c:v>14415.310800000001</c:v>
                </c:pt>
                <c:pt idx="5">
                  <c:v>16105.995400000002</c:v>
                </c:pt>
                <c:pt idx="6">
                  <c:v>17173.796200000001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8898.34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8898.34</v>
      </c>
      <c r="U14" s="8">
        <f t="shared" ref="U14:Z14" si="3">$S$12*J15</f>
        <v>10500.0412</v>
      </c>
      <c r="V14" s="8">
        <f t="shared" si="3"/>
        <v>12012.759000000002</v>
      </c>
      <c r="W14" s="8">
        <f t="shared" si="3"/>
        <v>13525.4768</v>
      </c>
      <c r="X14" s="8">
        <f t="shared" si="3"/>
        <v>14415.310800000001</v>
      </c>
      <c r="Y14" s="8">
        <f t="shared" si="3"/>
        <v>16105.995400000002</v>
      </c>
      <c r="Z14" s="8">
        <f t="shared" si="3"/>
        <v>17173.796200000001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1.18</v>
      </c>
      <c r="K15" s="11">
        <f>SUMIFS(ar6_r10!$F$2:$F$999,ar6_r10!$A$2:$A$999,Veda!$E$5,ar6_r10!$C$2:$C$999,Veda!K$17,ar6_r10!$M$2:$M$999,Veda!$G15)</f>
        <v>1.35</v>
      </c>
      <c r="L15" s="11">
        <f>SUMIFS(ar6_r10!$F$2:$F$999,ar6_r10!$A$2:$A$999,Veda!$E$5,ar6_r10!$C$2:$C$999,Veda!L$17,ar6_r10!$M$2:$M$999,Veda!$G15)</f>
        <v>1.52</v>
      </c>
      <c r="M15" s="11">
        <f>SUMIFS(ar6_r10!$F$2:$F$999,ar6_r10!$A$2:$A$999,Veda!$E$5,ar6_r10!$C$2:$C$999,Veda!M$17,ar6_r10!$M$2:$M$999,Veda!$G15)</f>
        <v>1.62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135.25476800000001</v>
      </c>
      <c r="X18" s="6">
        <f t="shared" si="7"/>
        <v>288.30621600000001</v>
      </c>
      <c r="Y18" s="6">
        <f t="shared" si="7"/>
        <v>483.17986200000001</v>
      </c>
      <c r="Z18" s="6">
        <f t="shared" si="7"/>
        <v>858.68981000000008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0.61</v>
      </c>
      <c r="J19" s="11">
        <f>SUMIFS(ar6_r10!$F$2:$F$999,ar6_r10!$A$2:$A$999,Veda!$E$5,ar6_r10!$C$2:$C$999,Veda!J$17,ar6_r10!$M$2:$M$999,Veda!$G19)</f>
        <v>0.57999999999999996</v>
      </c>
      <c r="K19" s="11">
        <f>SUMIFS(ar6_r10!$F$2:$F$999,ar6_r10!$A$2:$A$999,Veda!$E$5,ar6_r10!$C$2:$C$999,Veda!K$17,ar6_r10!$M$2:$M$999,Veda!$G19)</f>
        <v>0.54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0.48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5427.9874</v>
      </c>
      <c r="U19" s="6">
        <f t="shared" si="7"/>
        <v>6090.0238959999997</v>
      </c>
      <c r="V19" s="6">
        <f t="shared" si="7"/>
        <v>6486.8898600000011</v>
      </c>
      <c r="W19" s="6">
        <f t="shared" si="7"/>
        <v>6492.2288639999997</v>
      </c>
      <c r="X19" s="6">
        <f t="shared" si="7"/>
        <v>6919.3491840000006</v>
      </c>
      <c r="Y19" s="6">
        <f t="shared" si="7"/>
        <v>7569.8178379999999</v>
      </c>
      <c r="Z19" s="6">
        <f t="shared" si="7"/>
        <v>8071.6842139999999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0.36</v>
      </c>
      <c r="J20" s="11">
        <f>SUMIFS(ar6_r10!$F$2:$F$999,ar6_r10!$A$2:$A$999,Veda!$E$5,ar6_r10!$C$2:$C$999,Veda!J$17,ar6_r10!$M$2:$M$999,Veda!$G20)</f>
        <v>0.37</v>
      </c>
      <c r="K20" s="11">
        <f>SUMIFS(ar6_r10!$F$2:$F$999,ar6_r10!$A$2:$A$999,Veda!$E$5,ar6_r10!$C$2:$C$999,Veda!K$17,ar6_r10!$M$2:$M$999,Veda!$G20)</f>
        <v>0.38</v>
      </c>
      <c r="L20" s="11">
        <f>SUMIFS(ar6_r10!$F$2:$F$999,ar6_r10!$A$2:$A$999,Veda!$E$5,ar6_r10!$C$2:$C$999,Veda!L$17,ar6_r10!$M$2:$M$999,Veda!$G20)</f>
        <v>0.4</v>
      </c>
      <c r="M20" s="11">
        <f>SUMIFS(ar6_r10!$F$2:$F$999,ar6_r10!$A$2:$A$999,Veda!$E$5,ar6_r10!$C$2:$C$999,Veda!M$17,ar6_r10!$M$2:$M$999,Veda!$G20)</f>
        <v>0.4</v>
      </c>
      <c r="N20" s="11">
        <f>SUMIFS(ar6_r10!$F$2:$F$999,ar6_r10!$A$2:$A$999,Veda!$E$5,ar6_r10!$C$2:$C$999,Veda!N$17,ar6_r10!$M$2:$M$999,Veda!$G20)</f>
        <v>0.43</v>
      </c>
      <c r="O20" s="11">
        <f>SUMIFS(ar6_r10!$F$2:$F$999,ar6_r10!$A$2:$A$999,Veda!$E$5,ar6_r10!$C$2:$C$999,Veda!O$17,ar6_r10!$M$2:$M$999,Veda!$G20)</f>
        <v>0.42</v>
      </c>
      <c r="S20" s="10" t="s">
        <v>22</v>
      </c>
      <c r="T20" s="6">
        <f t="shared" si="7"/>
        <v>3203.4023999999999</v>
      </c>
      <c r="U20" s="6">
        <f t="shared" si="7"/>
        <v>3885.0152439999997</v>
      </c>
      <c r="V20" s="6">
        <f t="shared" si="7"/>
        <v>4564.8484200000012</v>
      </c>
      <c r="W20" s="6">
        <f t="shared" si="7"/>
        <v>5410.1907200000005</v>
      </c>
      <c r="X20" s="6">
        <f t="shared" si="7"/>
        <v>5766.1243200000008</v>
      </c>
      <c r="Y20" s="6">
        <f t="shared" si="7"/>
        <v>6925.5780220000006</v>
      </c>
      <c r="Z20" s="6">
        <f t="shared" si="7"/>
        <v>7212.994404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0.04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266.9502</v>
      </c>
      <c r="U21" s="6">
        <f t="shared" ref="U21:Z21" si="8">T21</f>
        <v>266.9502</v>
      </c>
      <c r="V21" s="6">
        <f t="shared" si="8"/>
        <v>266.9502</v>
      </c>
      <c r="W21" s="6">
        <f t="shared" si="8"/>
        <v>266.9502</v>
      </c>
      <c r="X21" s="6">
        <f t="shared" si="8"/>
        <v>266.9502</v>
      </c>
      <c r="Y21" s="6">
        <f t="shared" si="8"/>
        <v>266.9502</v>
      </c>
      <c r="Z21" s="6">
        <f t="shared" si="8"/>
        <v>266.9502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258.0518600000014</v>
      </c>
      <c r="V22" s="6">
        <f t="shared" si="9"/>
        <v>694.07052000000112</v>
      </c>
      <c r="W22" s="6">
        <f t="shared" si="9"/>
        <v>1356.1070160000017</v>
      </c>
      <c r="X22" s="6">
        <f t="shared" si="9"/>
        <v>1462.8870960000004</v>
      </c>
      <c r="Y22" s="6">
        <f t="shared" si="9"/>
        <v>1343.6493400000018</v>
      </c>
      <c r="Z22" s="6">
        <f t="shared" si="9"/>
        <v>1622.1673820000015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49.25</v>
      </c>
      <c r="L24" s="8">
        <f>SUMIFS(ar6_r10!$F$2:$F$999,ar6_r10!$A$2:$A$999,Veda!$E$5,ar6_r10!$C$2:$C$999,Veda!L$17,ar6_r10!$M$2:$M$999,Veda!$G24)</f>
        <v>97.48</v>
      </c>
      <c r="M24" s="8">
        <f>SUMIFS(ar6_r10!$F$2:$F$999,ar6_r10!$A$2:$A$999,Veda!$E$5,ar6_r10!$C$2:$C$999,Veda!M$17,ar6_r10!$M$2:$M$999,Veda!$G24)</f>
        <v>128.69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4.9250000000000002E-2</v>
      </c>
      <c r="W24" s="11">
        <f>L24/1000</f>
        <v>9.7479999999999997E-2</v>
      </c>
      <c r="X24" s="11">
        <f>M24/1000</f>
        <v>0.12869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7.14</v>
      </c>
      <c r="S28" t="s">
        <v>32</v>
      </c>
      <c r="T28" s="3">
        <f>Q28</f>
        <v>7.14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-20.09</v>
      </c>
      <c r="S29" t="s">
        <v>35</v>
      </c>
      <c r="T29" s="3">
        <f>-1*Q29</f>
        <v>20.09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1.24</v>
      </c>
      <c r="K37" s="11">
        <f>SUMIFS(ar6_r10!$F$2:$F$999,ar6_r10!$A$2:$A$999,Veda!$G$36,ar6_r10!$C$2:$C$999,Veda!K$17,ar6_r10!$M$2:$M$999,Veda!$G37)</f>
        <v>1.32</v>
      </c>
      <c r="L37" s="11">
        <f>SUMIFS(ar6_r10!$F$2:$F$999,ar6_r10!$A$2:$A$999,Veda!$G$36,ar6_r10!$C$2:$C$999,Veda!L$17,ar6_r10!$M$2:$M$999,Veda!$G37)</f>
        <v>1.39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1.51</v>
      </c>
      <c r="O37" s="11">
        <f>SUMIFS(ar6_r10!$F$2:$F$999,ar6_r10!$A$2:$A$999,Veda!$G$36,ar6_r10!$C$2:$C$999,Veda!O$17,ar6_r10!$M$2:$M$999,Veda!$G37)</f>
        <v>1.6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1.23</v>
      </c>
      <c r="N38" s="11">
        <f>SUMIFS(ar6_r10!$F$2:$F$999,ar6_r10!$A$2:$A$999,Veda!$G$36,ar6_r10!$C$2:$C$999,Veda!N$17,ar6_r10!$M$2:$M$999,Veda!$G38)</f>
        <v>1.24</v>
      </c>
      <c r="O38" s="11">
        <f>SUMIFS(ar6_r10!$F$2:$F$999,ar6_r10!$A$2:$A$999,Veda!$G$36,ar6_r10!$C$2:$C$999,Veda!O$17,ar6_r10!$M$2:$M$999,Veda!$G38)</f>
        <v>1.25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1.07</v>
      </c>
      <c r="K39" s="11">
        <f>SUMIFS(ar6_r10!$F$2:$F$999,ar6_r10!$A$2:$A$999,Veda!$G$36,ar6_r10!$C$2:$C$999,Veda!K$17,ar6_r10!$M$2:$M$999,Veda!$G39)</f>
        <v>1.1599999999999999</v>
      </c>
      <c r="L39" s="11">
        <f>SUMIFS(ar6_r10!$F$2:$F$999,ar6_r10!$A$2:$A$999,Veda!$G$36,ar6_r10!$C$2:$C$999,Veda!L$17,ar6_r10!$M$2:$M$999,Veda!$G39)</f>
        <v>1.1499999999999999</v>
      </c>
      <c r="M39" s="11">
        <f>SUMIFS(ar6_r10!$F$2:$F$999,ar6_r10!$A$2:$A$999,Veda!$G$36,ar6_r10!$C$2:$C$999,Veda!M$17,ar6_r10!$M$2:$M$999,Veda!$G39)</f>
        <v>1.25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1.06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1.1000000000000001</v>
      </c>
      <c r="O40" s="11">
        <f>SUMIFS(ar6_r10!$F$2:$F$999,ar6_r10!$A$2:$A$999,Veda!$G$36,ar6_r10!$C$2:$C$999,Veda!O$17,ar6_r10!$M$2:$M$999,Veda!$G40)</f>
        <v>1.1100000000000001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20.55</v>
      </c>
      <c r="J45">
        <f t="shared" si="12"/>
        <v>25.481999999999999</v>
      </c>
      <c r="K45">
        <f t="shared" si="12"/>
        <v>27.126000000000001</v>
      </c>
      <c r="L45">
        <f t="shared" si="12"/>
        <v>28.564499999999999</v>
      </c>
      <c r="M45">
        <f t="shared" si="12"/>
        <v>26.304000000000002</v>
      </c>
      <c r="N45">
        <f t="shared" si="12"/>
        <v>31.0305</v>
      </c>
      <c r="O45">
        <f t="shared" si="12"/>
        <v>32.880000000000003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11.075999999999999</v>
      </c>
      <c r="K46">
        <f t="shared" si="12"/>
        <v>11.8215</v>
      </c>
      <c r="L46">
        <f t="shared" si="12"/>
        <v>12.886499999999998</v>
      </c>
      <c r="M46">
        <f t="shared" si="12"/>
        <v>13.099499999999997</v>
      </c>
      <c r="N46">
        <f t="shared" si="12"/>
        <v>13.205999999999998</v>
      </c>
      <c r="O46">
        <f t="shared" si="12"/>
        <v>13.312499999999998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56.71</v>
      </c>
      <c r="K47">
        <f t="shared" si="12"/>
        <v>61.48</v>
      </c>
      <c r="L47">
        <f t="shared" si="12"/>
        <v>60.949999999999996</v>
      </c>
      <c r="M47">
        <f t="shared" si="12"/>
        <v>66.25</v>
      </c>
      <c r="N47">
        <f t="shared" si="12"/>
        <v>81.09</v>
      </c>
      <c r="O47">
        <f t="shared" si="12"/>
        <v>92.75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1001.34</v>
      </c>
      <c r="D11">
        <v>268.67</v>
      </c>
      <c r="E11">
        <v>14.9</v>
      </c>
      <c r="F11">
        <v>0</v>
      </c>
      <c r="G11">
        <v>1.55</v>
      </c>
      <c r="H11">
        <v>-9.8800000000000008</v>
      </c>
      <c r="I11">
        <v>1355.74</v>
      </c>
    </row>
    <row r="12" spans="1:9" x14ac:dyDescent="0.45">
      <c r="A12" t="s">
        <v>143</v>
      </c>
      <c r="B12">
        <v>2001</v>
      </c>
      <c r="C12">
        <v>1094.68</v>
      </c>
      <c r="D12">
        <v>294.97000000000003</v>
      </c>
      <c r="E12">
        <v>16.399999999999999</v>
      </c>
      <c r="F12">
        <v>0</v>
      </c>
      <c r="G12">
        <v>1.8</v>
      </c>
      <c r="H12">
        <v>-10.19</v>
      </c>
      <c r="I12">
        <v>1480.95</v>
      </c>
    </row>
    <row r="13" spans="1:9" x14ac:dyDescent="0.45">
      <c r="A13" t="s">
        <v>143</v>
      </c>
      <c r="B13">
        <v>2002</v>
      </c>
      <c r="C13">
        <v>1241.02</v>
      </c>
      <c r="D13">
        <v>316.61</v>
      </c>
      <c r="E13">
        <v>16.059999999999999</v>
      </c>
      <c r="F13">
        <v>0</v>
      </c>
      <c r="G13">
        <v>2.2999999999999998</v>
      </c>
      <c r="H13">
        <v>-9.6999999999999993</v>
      </c>
      <c r="I13">
        <v>1654.16</v>
      </c>
    </row>
    <row r="14" spans="1:9" x14ac:dyDescent="0.45">
      <c r="A14" t="s">
        <v>143</v>
      </c>
      <c r="B14">
        <v>2003</v>
      </c>
      <c r="C14">
        <v>1420.2</v>
      </c>
      <c r="D14">
        <v>370.29</v>
      </c>
      <c r="E14">
        <v>21.57</v>
      </c>
      <c r="F14">
        <v>0</v>
      </c>
      <c r="G14">
        <v>2.98</v>
      </c>
      <c r="H14">
        <v>-10.34</v>
      </c>
      <c r="I14">
        <v>1910.75</v>
      </c>
    </row>
    <row r="15" spans="1:9" x14ac:dyDescent="0.45">
      <c r="A15" t="s">
        <v>143</v>
      </c>
      <c r="B15">
        <v>2004</v>
      </c>
      <c r="C15">
        <v>1644.93</v>
      </c>
      <c r="D15">
        <v>424.72</v>
      </c>
      <c r="E15">
        <v>23.83</v>
      </c>
      <c r="F15">
        <v>0</v>
      </c>
      <c r="G15">
        <v>3.4</v>
      </c>
      <c r="H15">
        <v>-9.48</v>
      </c>
      <c r="I15">
        <v>2203.5</v>
      </c>
    </row>
    <row r="16" spans="1:9" x14ac:dyDescent="0.45">
      <c r="A16" t="s">
        <v>143</v>
      </c>
      <c r="B16">
        <v>2005</v>
      </c>
      <c r="C16">
        <v>1856.84</v>
      </c>
      <c r="D16">
        <v>482.9</v>
      </c>
      <c r="E16">
        <v>20.2</v>
      </c>
      <c r="F16">
        <v>0</v>
      </c>
      <c r="G16">
        <v>5.01</v>
      </c>
      <c r="H16">
        <v>-11.19</v>
      </c>
      <c r="I16">
        <v>2500.4699999999998</v>
      </c>
    </row>
    <row r="17" spans="1:9" x14ac:dyDescent="0.45">
      <c r="A17" t="s">
        <v>143</v>
      </c>
      <c r="B17">
        <v>2006</v>
      </c>
      <c r="C17">
        <v>2133.4499999999998</v>
      </c>
      <c r="D17">
        <v>545.80999999999995</v>
      </c>
      <c r="E17">
        <v>23.94</v>
      </c>
      <c r="F17">
        <v>0</v>
      </c>
      <c r="G17">
        <v>5.39</v>
      </c>
      <c r="H17">
        <v>-12.27</v>
      </c>
      <c r="I17">
        <v>2865.95</v>
      </c>
    </row>
    <row r="18" spans="1:9" x14ac:dyDescent="0.45">
      <c r="A18" t="s">
        <v>143</v>
      </c>
      <c r="B18">
        <v>2007</v>
      </c>
      <c r="C18">
        <v>2437.94</v>
      </c>
      <c r="D18">
        <v>634.82000000000005</v>
      </c>
      <c r="E18">
        <v>27.57</v>
      </c>
      <c r="F18">
        <v>0</v>
      </c>
      <c r="G18">
        <v>4.25</v>
      </c>
      <c r="H18">
        <v>-14.57</v>
      </c>
      <c r="I18">
        <v>3281.79</v>
      </c>
    </row>
    <row r="19" spans="1:9" x14ac:dyDescent="0.45">
      <c r="A19" t="s">
        <v>143</v>
      </c>
      <c r="B19">
        <v>2008</v>
      </c>
      <c r="C19">
        <v>2551.75</v>
      </c>
      <c r="D19">
        <v>681.17</v>
      </c>
      <c r="E19">
        <v>29.92</v>
      </c>
      <c r="F19">
        <v>0</v>
      </c>
      <c r="G19">
        <v>3.84</v>
      </c>
      <c r="H19">
        <v>-16.64</v>
      </c>
      <c r="I19">
        <v>3467.18</v>
      </c>
    </row>
    <row r="20" spans="1:9" x14ac:dyDescent="0.45">
      <c r="A20" t="s">
        <v>143</v>
      </c>
      <c r="B20">
        <v>2009</v>
      </c>
      <c r="C20">
        <v>2701.98</v>
      </c>
      <c r="D20">
        <v>749.65</v>
      </c>
      <c r="E20">
        <v>32.590000000000003</v>
      </c>
      <c r="F20">
        <v>0.1</v>
      </c>
      <c r="G20">
        <v>6.01</v>
      </c>
      <c r="H20">
        <v>-17.39</v>
      </c>
      <c r="I20">
        <v>3715.06</v>
      </c>
    </row>
    <row r="21" spans="1:9" x14ac:dyDescent="0.45">
      <c r="A21" t="s">
        <v>143</v>
      </c>
      <c r="B21">
        <v>2010</v>
      </c>
      <c r="C21">
        <v>3092.14</v>
      </c>
      <c r="D21">
        <v>802.08</v>
      </c>
      <c r="E21">
        <v>39.79</v>
      </c>
      <c r="F21">
        <v>0.2</v>
      </c>
      <c r="G21">
        <v>5.55</v>
      </c>
      <c r="H21">
        <v>-19.059999999999999</v>
      </c>
      <c r="I21">
        <v>4197.2</v>
      </c>
    </row>
    <row r="22" spans="1:9" x14ac:dyDescent="0.45">
      <c r="A22" t="s">
        <v>143</v>
      </c>
      <c r="B22">
        <v>2011</v>
      </c>
      <c r="C22">
        <v>3480.1</v>
      </c>
      <c r="D22">
        <v>883.82</v>
      </c>
      <c r="E22">
        <v>46.34</v>
      </c>
      <c r="F22">
        <v>0.23</v>
      </c>
      <c r="G22">
        <v>6.56</v>
      </c>
      <c r="H22">
        <v>-19.309999999999999</v>
      </c>
      <c r="I22">
        <v>4704.8599999999997</v>
      </c>
    </row>
    <row r="23" spans="1:9" x14ac:dyDescent="0.45">
      <c r="A23" t="s">
        <v>143</v>
      </c>
      <c r="B23">
        <v>2012</v>
      </c>
      <c r="C23">
        <v>3636.09</v>
      </c>
      <c r="D23">
        <v>967.41</v>
      </c>
      <c r="E23">
        <v>51.98</v>
      </c>
      <c r="F23">
        <v>0.9</v>
      </c>
      <c r="G23">
        <v>6.87</v>
      </c>
      <c r="H23">
        <v>-17.649999999999999</v>
      </c>
      <c r="I23">
        <v>4984.7299999999996</v>
      </c>
    </row>
    <row r="24" spans="1:9" x14ac:dyDescent="0.45">
      <c r="A24" t="s">
        <v>143</v>
      </c>
      <c r="B24">
        <v>2013</v>
      </c>
      <c r="C24">
        <v>3939.54</v>
      </c>
      <c r="D24">
        <v>1069.8800000000001</v>
      </c>
      <c r="E24">
        <v>56.93</v>
      </c>
      <c r="F24">
        <v>1.77</v>
      </c>
      <c r="G24">
        <v>7.44</v>
      </c>
      <c r="H24">
        <v>-18.670000000000002</v>
      </c>
      <c r="I24">
        <v>5436.57</v>
      </c>
    </row>
    <row r="25" spans="1:9" x14ac:dyDescent="0.45">
      <c r="A25" t="s">
        <v>143</v>
      </c>
      <c r="B25">
        <v>2014</v>
      </c>
      <c r="C25">
        <v>4239.45</v>
      </c>
      <c r="D25">
        <v>1104.54</v>
      </c>
      <c r="E25">
        <v>59.7</v>
      </c>
      <c r="F25">
        <v>3.07</v>
      </c>
      <c r="G25">
        <v>6.75</v>
      </c>
      <c r="H25">
        <v>-18.16</v>
      </c>
      <c r="I25">
        <v>5804.1</v>
      </c>
    </row>
    <row r="26" spans="1:9" x14ac:dyDescent="0.45">
      <c r="A26" t="s">
        <v>143</v>
      </c>
      <c r="B26">
        <v>2015</v>
      </c>
      <c r="C26">
        <v>4161.7299999999996</v>
      </c>
      <c r="D26">
        <v>1165.2</v>
      </c>
      <c r="E26">
        <v>62.18</v>
      </c>
      <c r="F26">
        <v>9.98</v>
      </c>
      <c r="G26">
        <v>6.21</v>
      </c>
      <c r="H26">
        <v>-18.649999999999999</v>
      </c>
      <c r="I26">
        <v>5838.44</v>
      </c>
    </row>
    <row r="27" spans="1:9" x14ac:dyDescent="0.45">
      <c r="A27" t="s">
        <v>143</v>
      </c>
      <c r="B27">
        <v>2016</v>
      </c>
      <c r="C27">
        <v>4286.05</v>
      </c>
      <c r="D27">
        <v>1284.2</v>
      </c>
      <c r="E27">
        <v>69.61</v>
      </c>
      <c r="F27">
        <v>15.8</v>
      </c>
      <c r="G27">
        <v>6.19</v>
      </c>
      <c r="H27">
        <v>-18.91</v>
      </c>
      <c r="I27">
        <v>6169.04</v>
      </c>
    </row>
    <row r="28" spans="1:9" x14ac:dyDescent="0.45">
      <c r="A28" t="s">
        <v>143</v>
      </c>
      <c r="B28">
        <v>2017</v>
      </c>
      <c r="C28">
        <v>4590.26</v>
      </c>
      <c r="D28">
        <v>1390.36</v>
      </c>
      <c r="E28">
        <v>78.92</v>
      </c>
      <c r="F28">
        <v>21.95</v>
      </c>
      <c r="G28">
        <v>6.42</v>
      </c>
      <c r="H28">
        <v>-19.47</v>
      </c>
      <c r="I28">
        <v>6682.04</v>
      </c>
    </row>
    <row r="29" spans="1:9" x14ac:dyDescent="0.45">
      <c r="A29" t="s">
        <v>143</v>
      </c>
      <c r="B29">
        <v>2018</v>
      </c>
      <c r="C29">
        <v>4900.58</v>
      </c>
      <c r="D29">
        <v>1545.3</v>
      </c>
      <c r="E29">
        <v>89.52</v>
      </c>
      <c r="F29">
        <v>30.54</v>
      </c>
      <c r="G29">
        <v>5.69</v>
      </c>
      <c r="H29">
        <v>-20.91</v>
      </c>
      <c r="I29">
        <v>7109.94</v>
      </c>
    </row>
    <row r="30" spans="1:9" x14ac:dyDescent="0.45">
      <c r="A30" t="s">
        <v>143</v>
      </c>
      <c r="B30">
        <v>2019</v>
      </c>
      <c r="C30">
        <v>5065.28</v>
      </c>
      <c r="D30">
        <v>1654.79</v>
      </c>
      <c r="E30">
        <v>97.53</v>
      </c>
      <c r="F30">
        <v>33.14</v>
      </c>
      <c r="G30">
        <v>4.8600000000000003</v>
      </c>
      <c r="H30">
        <v>-21.65</v>
      </c>
      <c r="I30">
        <v>7472.59</v>
      </c>
    </row>
    <row r="31" spans="1:9" x14ac:dyDescent="0.45">
      <c r="A31" t="s">
        <v>143</v>
      </c>
      <c r="B31">
        <v>2020</v>
      </c>
      <c r="C31">
        <v>5225.74</v>
      </c>
      <c r="D31">
        <v>1742.4</v>
      </c>
      <c r="E31">
        <v>97.45</v>
      </c>
      <c r="F31">
        <v>34.93</v>
      </c>
      <c r="G31">
        <v>4.75</v>
      </c>
      <c r="H31">
        <v>-21.79</v>
      </c>
      <c r="I31">
        <v>7732.07</v>
      </c>
    </row>
    <row r="32" spans="1:9" x14ac:dyDescent="0.45">
      <c r="A32" t="s">
        <v>143</v>
      </c>
      <c r="B32">
        <v>2021</v>
      </c>
      <c r="C32">
        <v>5648.22</v>
      </c>
      <c r="D32">
        <v>1937.61</v>
      </c>
      <c r="E32">
        <v>110.92</v>
      </c>
      <c r="F32">
        <v>46.41</v>
      </c>
      <c r="G32">
        <v>5.94</v>
      </c>
      <c r="H32">
        <v>-20.18</v>
      </c>
      <c r="I32">
        <v>8560.0499999999993</v>
      </c>
    </row>
    <row r="33" spans="1:9" x14ac:dyDescent="0.45">
      <c r="A33" t="s">
        <v>143</v>
      </c>
      <c r="B33">
        <v>2022</v>
      </c>
      <c r="C33">
        <v>5719.77</v>
      </c>
      <c r="D33">
        <v>2141.63</v>
      </c>
      <c r="E33">
        <v>113.61</v>
      </c>
      <c r="F33">
        <v>62.32</v>
      </c>
      <c r="G33">
        <v>7.14</v>
      </c>
      <c r="H33">
        <v>-20.09</v>
      </c>
      <c r="I33">
        <v>8911.2900000000009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0.02</v>
      </c>
      <c r="G84">
        <v>0.01</v>
      </c>
      <c r="H84">
        <v>0</v>
      </c>
      <c r="I84">
        <v>0.05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0.16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0.19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0.05</v>
      </c>
      <c r="G87">
        <v>0.04</v>
      </c>
      <c r="H87">
        <v>0</v>
      </c>
      <c r="I87">
        <v>0.15</v>
      </c>
      <c r="J87">
        <v>0.02</v>
      </c>
      <c r="K87">
        <v>0.09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0.01</v>
      </c>
      <c r="F90">
        <v>0</v>
      </c>
      <c r="G90">
        <v>0.01</v>
      </c>
      <c r="H90">
        <v>0</v>
      </c>
      <c r="I90">
        <v>0.06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0.04</v>
      </c>
      <c r="F93">
        <v>0.03</v>
      </c>
      <c r="G93">
        <v>0.04</v>
      </c>
      <c r="H93">
        <v>0</v>
      </c>
      <c r="I93">
        <v>0.18</v>
      </c>
      <c r="J93">
        <v>0.02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7.0000000000000007E-2</v>
      </c>
      <c r="F94">
        <v>7.0000000000000007E-2</v>
      </c>
      <c r="G94">
        <v>0.05</v>
      </c>
      <c r="H94">
        <v>0</v>
      </c>
      <c r="I94">
        <v>0.21</v>
      </c>
      <c r="J94">
        <v>0.03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232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209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232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209</v>
      </c>
      <c r="E98">
        <v>0.01</v>
      </c>
      <c r="F98">
        <v>0.01</v>
      </c>
      <c r="G98">
        <v>0.02</v>
      </c>
      <c r="H98">
        <v>0</v>
      </c>
      <c r="I98">
        <v>0.1</v>
      </c>
      <c r="J98">
        <v>0</v>
      </c>
      <c r="K98">
        <v>0.01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232</v>
      </c>
      <c r="E99">
        <v>0.03</v>
      </c>
      <c r="F99">
        <v>0.02</v>
      </c>
      <c r="G99">
        <v>0.03</v>
      </c>
      <c r="H99">
        <v>0</v>
      </c>
      <c r="I99">
        <v>0.23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209</v>
      </c>
      <c r="E100">
        <v>0.04</v>
      </c>
      <c r="F100">
        <v>0.03</v>
      </c>
      <c r="G100">
        <v>0.04</v>
      </c>
      <c r="H100">
        <v>0</v>
      </c>
      <c r="I100">
        <v>0.24</v>
      </c>
      <c r="J100">
        <v>0.01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232</v>
      </c>
      <c r="E101">
        <v>0.06</v>
      </c>
      <c r="F101">
        <v>0.05</v>
      </c>
      <c r="G101">
        <v>0.04</v>
      </c>
      <c r="H101">
        <v>0</v>
      </c>
      <c r="I101">
        <v>0.16</v>
      </c>
      <c r="J101">
        <v>0.02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0.01</v>
      </c>
      <c r="H105">
        <v>0</v>
      </c>
      <c r="I105">
        <v>0.05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7.0000000000000007E-2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0.01</v>
      </c>
      <c r="G107">
        <v>0.03</v>
      </c>
      <c r="H107">
        <v>0</v>
      </c>
      <c r="I107">
        <v>0.1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0.03</v>
      </c>
      <c r="F108">
        <v>0.01</v>
      </c>
      <c r="G108">
        <v>0.04</v>
      </c>
      <c r="H108">
        <v>0</v>
      </c>
      <c r="I108">
        <v>0.14000000000000001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62</v>
      </c>
      <c r="E111">
        <v>0</v>
      </c>
      <c r="F111">
        <v>0</v>
      </c>
      <c r="G111">
        <v>0</v>
      </c>
      <c r="H111">
        <v>0</v>
      </c>
      <c r="I111">
        <v>0.01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62</v>
      </c>
      <c r="E113">
        <v>0.01</v>
      </c>
      <c r="F113">
        <v>0.01</v>
      </c>
      <c r="G113">
        <v>0.01</v>
      </c>
      <c r="H113">
        <v>0</v>
      </c>
      <c r="I113">
        <v>0.06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62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58</v>
      </c>
      <c r="E116">
        <v>0.61</v>
      </c>
      <c r="F116">
        <v>0.61</v>
      </c>
      <c r="G116">
        <v>0.04</v>
      </c>
      <c r="H116">
        <v>0.56000000000000005</v>
      </c>
      <c r="I116">
        <v>0.69</v>
      </c>
      <c r="J116">
        <v>0.56999999999999995</v>
      </c>
      <c r="K116">
        <v>0.63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58</v>
      </c>
      <c r="E117">
        <v>0.54</v>
      </c>
      <c r="F117">
        <v>0.54</v>
      </c>
      <c r="G117">
        <v>0.06</v>
      </c>
      <c r="H117">
        <v>0.39</v>
      </c>
      <c r="I117">
        <v>0.7</v>
      </c>
      <c r="J117">
        <v>0.52</v>
      </c>
      <c r="K117">
        <v>0.57999999999999996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58</v>
      </c>
      <c r="E118">
        <v>0.52</v>
      </c>
      <c r="F118">
        <v>0.51</v>
      </c>
      <c r="G118">
        <v>0.06</v>
      </c>
      <c r="H118">
        <v>0.4</v>
      </c>
      <c r="I118">
        <v>0.74</v>
      </c>
      <c r="J118">
        <v>0.5</v>
      </c>
      <c r="K118">
        <v>0.54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58</v>
      </c>
      <c r="E119">
        <v>0.5</v>
      </c>
      <c r="F119">
        <v>0.49</v>
      </c>
      <c r="G119">
        <v>0.05</v>
      </c>
      <c r="H119">
        <v>0.41</v>
      </c>
      <c r="I119">
        <v>0.7</v>
      </c>
      <c r="J119">
        <v>0.47</v>
      </c>
      <c r="K119">
        <v>0.51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58</v>
      </c>
      <c r="E120">
        <v>0.48</v>
      </c>
      <c r="F120">
        <v>0.47</v>
      </c>
      <c r="G120">
        <v>0.05</v>
      </c>
      <c r="H120">
        <v>0.42</v>
      </c>
      <c r="I120">
        <v>0.69</v>
      </c>
      <c r="J120">
        <v>0.45</v>
      </c>
      <c r="K120">
        <v>0.5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58</v>
      </c>
      <c r="E121">
        <v>0.48</v>
      </c>
      <c r="F121">
        <v>0.46</v>
      </c>
      <c r="G121">
        <v>0.06</v>
      </c>
      <c r="H121">
        <v>0.39</v>
      </c>
      <c r="I121">
        <v>0.67</v>
      </c>
      <c r="J121">
        <v>0.44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58</v>
      </c>
      <c r="E122">
        <v>0.47</v>
      </c>
      <c r="F122">
        <v>0.47</v>
      </c>
      <c r="G122">
        <v>7.0000000000000007E-2</v>
      </c>
      <c r="H122">
        <v>0.35</v>
      </c>
      <c r="I122">
        <v>0.66</v>
      </c>
      <c r="J122">
        <v>0.45</v>
      </c>
      <c r="K122">
        <v>0.51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0.61</v>
      </c>
      <c r="F123">
        <v>0.61</v>
      </c>
      <c r="G123">
        <v>0.04</v>
      </c>
      <c r="H123">
        <v>0.52</v>
      </c>
      <c r="I123">
        <v>0.69</v>
      </c>
      <c r="J123">
        <v>0.59</v>
      </c>
      <c r="K123">
        <v>0.62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0.57999999999999996</v>
      </c>
      <c r="F124">
        <v>0.57999999999999996</v>
      </c>
      <c r="G124">
        <v>0.05</v>
      </c>
      <c r="H124">
        <v>0.5</v>
      </c>
      <c r="I124">
        <v>0.74</v>
      </c>
      <c r="J124">
        <v>0.54</v>
      </c>
      <c r="K124">
        <v>0.59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0.55000000000000004</v>
      </c>
      <c r="F125">
        <v>0.53</v>
      </c>
      <c r="G125">
        <v>7.0000000000000007E-2</v>
      </c>
      <c r="H125">
        <v>0.47</v>
      </c>
      <c r="I125">
        <v>0.76</v>
      </c>
      <c r="J125">
        <v>0.5</v>
      </c>
      <c r="K125">
        <v>0.56999999999999995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0.53</v>
      </c>
      <c r="F126">
        <v>0.49</v>
      </c>
      <c r="G126">
        <v>0.09</v>
      </c>
      <c r="H126">
        <v>0.42</v>
      </c>
      <c r="I126">
        <v>0.76</v>
      </c>
      <c r="J126">
        <v>0.47</v>
      </c>
      <c r="K126">
        <v>0.55000000000000004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0.5</v>
      </c>
      <c r="F127">
        <v>0.47</v>
      </c>
      <c r="G127">
        <v>0.09</v>
      </c>
      <c r="H127">
        <v>0.38</v>
      </c>
      <c r="I127">
        <v>0.76</v>
      </c>
      <c r="J127">
        <v>0.44</v>
      </c>
      <c r="K127">
        <v>0.52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0.5</v>
      </c>
      <c r="F128">
        <v>0.46</v>
      </c>
      <c r="G128">
        <v>0.1</v>
      </c>
      <c r="H128">
        <v>0.35</v>
      </c>
      <c r="I128">
        <v>0.76</v>
      </c>
      <c r="J128">
        <v>0.42</v>
      </c>
      <c r="K128">
        <v>0.52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0.48</v>
      </c>
      <c r="F129">
        <v>0.45</v>
      </c>
      <c r="G129">
        <v>0.11</v>
      </c>
      <c r="H129">
        <v>0.32</v>
      </c>
      <c r="I129">
        <v>0.76</v>
      </c>
      <c r="J129">
        <v>0.42</v>
      </c>
      <c r="K129">
        <v>0.52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218</v>
      </c>
      <c r="E130">
        <v>0.62</v>
      </c>
      <c r="F130">
        <v>0.61</v>
      </c>
      <c r="G130">
        <v>0.05</v>
      </c>
      <c r="H130">
        <v>0.56000000000000005</v>
      </c>
      <c r="I130">
        <v>0.74</v>
      </c>
      <c r="J130">
        <v>0.56999999999999995</v>
      </c>
      <c r="K130">
        <v>0.65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195</v>
      </c>
      <c r="E131">
        <v>0.56999999999999995</v>
      </c>
      <c r="F131">
        <v>0.57999999999999996</v>
      </c>
      <c r="G131">
        <v>0.06</v>
      </c>
      <c r="H131">
        <v>0.39</v>
      </c>
      <c r="I131">
        <v>0.66</v>
      </c>
      <c r="J131">
        <v>0.52</v>
      </c>
      <c r="K131">
        <v>0.63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218</v>
      </c>
      <c r="E132">
        <v>0.56000000000000005</v>
      </c>
      <c r="F132">
        <v>0.54</v>
      </c>
      <c r="G132">
        <v>7.0000000000000007E-2</v>
      </c>
      <c r="H132">
        <v>0.41</v>
      </c>
      <c r="I132">
        <v>0.71</v>
      </c>
      <c r="J132">
        <v>0.51</v>
      </c>
      <c r="K132">
        <v>0.62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195</v>
      </c>
      <c r="E133">
        <v>0.51</v>
      </c>
      <c r="F133">
        <v>0.48</v>
      </c>
      <c r="G133">
        <v>7.0000000000000007E-2</v>
      </c>
      <c r="H133">
        <v>0.43</v>
      </c>
      <c r="I133">
        <v>0.72</v>
      </c>
      <c r="J133">
        <v>0.48</v>
      </c>
      <c r="K133">
        <v>0.51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218</v>
      </c>
      <c r="E134">
        <v>0.51</v>
      </c>
      <c r="F134">
        <v>0.48</v>
      </c>
      <c r="G134">
        <v>0.08</v>
      </c>
      <c r="H134">
        <v>0.38</v>
      </c>
      <c r="I134">
        <v>0.73</v>
      </c>
      <c r="J134">
        <v>0.46</v>
      </c>
      <c r="K134">
        <v>0.56000000000000005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195</v>
      </c>
      <c r="E135">
        <v>0.48</v>
      </c>
      <c r="F135">
        <v>0.47</v>
      </c>
      <c r="G135">
        <v>7.0000000000000007E-2</v>
      </c>
      <c r="H135">
        <v>0.36</v>
      </c>
      <c r="I135">
        <v>0.68</v>
      </c>
      <c r="J135">
        <v>0.44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218</v>
      </c>
      <c r="E136">
        <v>0.49</v>
      </c>
      <c r="F136">
        <v>0.47</v>
      </c>
      <c r="G136">
        <v>0.09</v>
      </c>
      <c r="H136">
        <v>0.33</v>
      </c>
      <c r="I136">
        <v>0.75</v>
      </c>
      <c r="J136">
        <v>0.43</v>
      </c>
      <c r="K136">
        <v>0.54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0.63</v>
      </c>
      <c r="F137">
        <v>0.62</v>
      </c>
      <c r="G137">
        <v>0.04</v>
      </c>
      <c r="H137">
        <v>0.56999999999999995</v>
      </c>
      <c r="I137">
        <v>0.74</v>
      </c>
      <c r="J137">
        <v>0.61</v>
      </c>
      <c r="K137">
        <v>0.64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0.6</v>
      </c>
      <c r="F138">
        <v>0.61</v>
      </c>
      <c r="G138">
        <v>7.0000000000000007E-2</v>
      </c>
      <c r="H138">
        <v>0.39</v>
      </c>
      <c r="I138">
        <v>0.73</v>
      </c>
      <c r="J138">
        <v>0.57999999999999996</v>
      </c>
      <c r="K138">
        <v>0.64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0.6</v>
      </c>
      <c r="F139">
        <v>0.59</v>
      </c>
      <c r="G139">
        <v>0.08</v>
      </c>
      <c r="H139">
        <v>0.42</v>
      </c>
      <c r="I139">
        <v>0.75</v>
      </c>
      <c r="J139">
        <v>0.55000000000000004</v>
      </c>
      <c r="K139">
        <v>0.65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0.56999999999999995</v>
      </c>
      <c r="F140">
        <v>0.51</v>
      </c>
      <c r="G140">
        <v>0.1</v>
      </c>
      <c r="H140">
        <v>0.45</v>
      </c>
      <c r="I140">
        <v>0.75</v>
      </c>
      <c r="J140">
        <v>0.49</v>
      </c>
      <c r="K140">
        <v>0.62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0.56000000000000005</v>
      </c>
      <c r="F141">
        <v>0.54</v>
      </c>
      <c r="G141">
        <v>0.11</v>
      </c>
      <c r="H141">
        <v>0.44</v>
      </c>
      <c r="I141">
        <v>0.76</v>
      </c>
      <c r="J141">
        <v>0.46</v>
      </c>
      <c r="K141">
        <v>0.66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0.54</v>
      </c>
      <c r="F142">
        <v>0.49</v>
      </c>
      <c r="G142">
        <v>0.12</v>
      </c>
      <c r="H142">
        <v>0.39</v>
      </c>
      <c r="I142">
        <v>0.76</v>
      </c>
      <c r="J142">
        <v>0.42</v>
      </c>
      <c r="K142">
        <v>0.62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0.54</v>
      </c>
      <c r="F143">
        <v>0.52</v>
      </c>
      <c r="G143">
        <v>0.13</v>
      </c>
      <c r="H143">
        <v>0.36</v>
      </c>
      <c r="I143">
        <v>0.77</v>
      </c>
      <c r="J143">
        <v>0.4</v>
      </c>
      <c r="K143">
        <v>0.61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63</v>
      </c>
      <c r="E144">
        <v>0.62</v>
      </c>
      <c r="F144">
        <v>0.62</v>
      </c>
      <c r="G144">
        <v>0.05</v>
      </c>
      <c r="H144">
        <v>0.52</v>
      </c>
      <c r="I144">
        <v>0.74</v>
      </c>
      <c r="J144">
        <v>0.57999999999999996</v>
      </c>
      <c r="K144">
        <v>0.66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58</v>
      </c>
      <c r="E145">
        <v>0.56999999999999995</v>
      </c>
      <c r="F145">
        <v>0.57999999999999996</v>
      </c>
      <c r="G145">
        <v>0.04</v>
      </c>
      <c r="H145">
        <v>0.48</v>
      </c>
      <c r="I145">
        <v>0.64</v>
      </c>
      <c r="J145">
        <v>0.52</v>
      </c>
      <c r="K145">
        <v>0.6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63</v>
      </c>
      <c r="E146">
        <v>0.55000000000000004</v>
      </c>
      <c r="F146">
        <v>0.53</v>
      </c>
      <c r="G146">
        <v>0.06</v>
      </c>
      <c r="H146">
        <v>0.48</v>
      </c>
      <c r="I146">
        <v>0.69</v>
      </c>
      <c r="J146">
        <v>0.51</v>
      </c>
      <c r="K146">
        <v>0.57999999999999996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58</v>
      </c>
      <c r="E147">
        <v>0.52</v>
      </c>
      <c r="F147">
        <v>0.5</v>
      </c>
      <c r="G147">
        <v>0.06</v>
      </c>
      <c r="H147">
        <v>0.45</v>
      </c>
      <c r="I147">
        <v>0.7</v>
      </c>
      <c r="J147">
        <v>0.48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63</v>
      </c>
      <c r="E148">
        <v>0.51</v>
      </c>
      <c r="F148">
        <v>0.48</v>
      </c>
      <c r="G148">
        <v>0.08</v>
      </c>
      <c r="H148">
        <v>0.4</v>
      </c>
      <c r="I148">
        <v>0.71</v>
      </c>
      <c r="J148">
        <v>0.45</v>
      </c>
      <c r="K148">
        <v>0.56000000000000005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58</v>
      </c>
      <c r="E149">
        <v>0.48</v>
      </c>
      <c r="F149">
        <v>0.45</v>
      </c>
      <c r="G149">
        <v>7.0000000000000007E-2</v>
      </c>
      <c r="H149">
        <v>0.37</v>
      </c>
      <c r="I149">
        <v>0.64</v>
      </c>
      <c r="J149">
        <v>0.44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63</v>
      </c>
      <c r="E150">
        <v>0.48</v>
      </c>
      <c r="F150">
        <v>0.45</v>
      </c>
      <c r="G150">
        <v>0.08</v>
      </c>
      <c r="H150">
        <v>0.35</v>
      </c>
      <c r="I150">
        <v>0.69</v>
      </c>
      <c r="J150">
        <v>0.43</v>
      </c>
      <c r="K150">
        <v>0.53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0.35</v>
      </c>
      <c r="F151">
        <v>0.36</v>
      </c>
      <c r="G151">
        <v>0.05</v>
      </c>
      <c r="H151">
        <v>0.23</v>
      </c>
      <c r="I151">
        <v>0.4</v>
      </c>
      <c r="J151">
        <v>0.33</v>
      </c>
      <c r="K151">
        <v>0.39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0.39</v>
      </c>
      <c r="F152">
        <v>0.39</v>
      </c>
      <c r="G152">
        <v>0.06</v>
      </c>
      <c r="H152">
        <v>0.23</v>
      </c>
      <c r="I152">
        <v>0.51</v>
      </c>
      <c r="J152">
        <v>0.35</v>
      </c>
      <c r="K152">
        <v>0.44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0.39</v>
      </c>
      <c r="F153">
        <v>0.42</v>
      </c>
      <c r="G153">
        <v>7.0000000000000007E-2</v>
      </c>
      <c r="H153">
        <v>0.2</v>
      </c>
      <c r="I153">
        <v>0.56000000000000005</v>
      </c>
      <c r="J153">
        <v>0.34</v>
      </c>
      <c r="K153">
        <v>0.45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0.4</v>
      </c>
      <c r="F154">
        <v>0.44</v>
      </c>
      <c r="G154">
        <v>0.08</v>
      </c>
      <c r="H154">
        <v>0.19</v>
      </c>
      <c r="I154">
        <v>0.55000000000000004</v>
      </c>
      <c r="J154">
        <v>0.33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0.4</v>
      </c>
      <c r="F155">
        <v>0.43</v>
      </c>
      <c r="G155">
        <v>0.08</v>
      </c>
      <c r="H155">
        <v>0.19</v>
      </c>
      <c r="I155">
        <v>0.51</v>
      </c>
      <c r="J155">
        <v>0.34</v>
      </c>
      <c r="K155">
        <v>0.47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0.4</v>
      </c>
      <c r="F156">
        <v>0.41</v>
      </c>
      <c r="G156">
        <v>7.0000000000000007E-2</v>
      </c>
      <c r="H156">
        <v>0.19</v>
      </c>
      <c r="I156">
        <v>0.51</v>
      </c>
      <c r="J156">
        <v>0.36</v>
      </c>
      <c r="K156">
        <v>0.47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0.4</v>
      </c>
      <c r="F157">
        <v>0.4</v>
      </c>
      <c r="G157">
        <v>0.08</v>
      </c>
      <c r="H157">
        <v>0.19</v>
      </c>
      <c r="I157">
        <v>0.54</v>
      </c>
      <c r="J157">
        <v>0.33</v>
      </c>
      <c r="K157">
        <v>0.45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0.36</v>
      </c>
      <c r="F158">
        <v>0.36</v>
      </c>
      <c r="G158">
        <v>0.04</v>
      </c>
      <c r="H158">
        <v>0.23</v>
      </c>
      <c r="I158">
        <v>0.45</v>
      </c>
      <c r="J158">
        <v>0.35</v>
      </c>
      <c r="K158">
        <v>0.39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0.38</v>
      </c>
      <c r="F159">
        <v>0.37</v>
      </c>
      <c r="G159">
        <v>0.06</v>
      </c>
      <c r="H159">
        <v>0.23</v>
      </c>
      <c r="I159">
        <v>0.46</v>
      </c>
      <c r="J159">
        <v>0.35</v>
      </c>
      <c r="K159">
        <v>0.43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0.39</v>
      </c>
      <c r="F160">
        <v>0.41</v>
      </c>
      <c r="G160">
        <v>7.0000000000000007E-2</v>
      </c>
      <c r="H160">
        <v>0.2</v>
      </c>
      <c r="I160">
        <v>0.48</v>
      </c>
      <c r="J160">
        <v>0.35</v>
      </c>
      <c r="K160">
        <v>0.46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0.4</v>
      </c>
      <c r="F161">
        <v>0.41</v>
      </c>
      <c r="G161">
        <v>0.08</v>
      </c>
      <c r="H161">
        <v>0.2</v>
      </c>
      <c r="I161">
        <v>0.49</v>
      </c>
      <c r="J161">
        <v>0.35</v>
      </c>
      <c r="K161">
        <v>0.47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0.4</v>
      </c>
      <c r="F162">
        <v>0.41</v>
      </c>
      <c r="G162">
        <v>7.0000000000000007E-2</v>
      </c>
      <c r="H162">
        <v>0.2</v>
      </c>
      <c r="I162">
        <v>0.5</v>
      </c>
      <c r="J162">
        <v>0.36</v>
      </c>
      <c r="K162">
        <v>0.46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0.41</v>
      </c>
      <c r="F163">
        <v>0.42</v>
      </c>
      <c r="G163">
        <v>0.08</v>
      </c>
      <c r="H163">
        <v>0.2</v>
      </c>
      <c r="I163">
        <v>0.52</v>
      </c>
      <c r="J163">
        <v>0.34</v>
      </c>
      <c r="K163">
        <v>0.47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0.41</v>
      </c>
      <c r="F164">
        <v>0.43</v>
      </c>
      <c r="G164">
        <v>0.08</v>
      </c>
      <c r="H164">
        <v>0.19</v>
      </c>
      <c r="I164">
        <v>0.52</v>
      </c>
      <c r="J164">
        <v>0.38</v>
      </c>
      <c r="K164">
        <v>0.46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235</v>
      </c>
      <c r="E165">
        <v>0.33</v>
      </c>
      <c r="F165">
        <v>0.36</v>
      </c>
      <c r="G165">
        <v>0.06</v>
      </c>
      <c r="H165">
        <v>0.23</v>
      </c>
      <c r="I165">
        <v>0.41</v>
      </c>
      <c r="J165">
        <v>0.3</v>
      </c>
      <c r="K165">
        <v>0.39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212</v>
      </c>
      <c r="E166">
        <v>0.36</v>
      </c>
      <c r="F166">
        <v>0.37</v>
      </c>
      <c r="G166">
        <v>7.0000000000000007E-2</v>
      </c>
      <c r="H166">
        <v>0.23</v>
      </c>
      <c r="I166">
        <v>0.46</v>
      </c>
      <c r="J166">
        <v>0.33</v>
      </c>
      <c r="K166">
        <v>0.44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235</v>
      </c>
      <c r="E167">
        <v>0.37</v>
      </c>
      <c r="F167">
        <v>0.38</v>
      </c>
      <c r="G167">
        <v>0.08</v>
      </c>
      <c r="H167">
        <v>0.2</v>
      </c>
      <c r="I167">
        <v>0.47</v>
      </c>
      <c r="J167">
        <v>0.31</v>
      </c>
      <c r="K167">
        <v>0.46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212</v>
      </c>
      <c r="E168">
        <v>0.39</v>
      </c>
      <c r="F168">
        <v>0.4</v>
      </c>
      <c r="G168">
        <v>0.08</v>
      </c>
      <c r="H168">
        <v>0.2</v>
      </c>
      <c r="I168">
        <v>0.49</v>
      </c>
      <c r="J168">
        <v>0.33</v>
      </c>
      <c r="K168">
        <v>0.47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235</v>
      </c>
      <c r="E169">
        <v>0.39</v>
      </c>
      <c r="F169">
        <v>0.4</v>
      </c>
      <c r="G169">
        <v>0.08</v>
      </c>
      <c r="H169">
        <v>0.2</v>
      </c>
      <c r="I169">
        <v>0.5</v>
      </c>
      <c r="J169">
        <v>0.32</v>
      </c>
      <c r="K169">
        <v>0.47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212</v>
      </c>
      <c r="E170">
        <v>0.39</v>
      </c>
      <c r="F170">
        <v>0.43</v>
      </c>
      <c r="G170">
        <v>0.08</v>
      </c>
      <c r="H170">
        <v>0.19</v>
      </c>
      <c r="I170">
        <v>0.52</v>
      </c>
      <c r="J170">
        <v>0.32</v>
      </c>
      <c r="K170">
        <v>0.46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235</v>
      </c>
      <c r="E171">
        <v>0.39</v>
      </c>
      <c r="F171">
        <v>0.42</v>
      </c>
      <c r="G171">
        <v>0.08</v>
      </c>
      <c r="H171">
        <v>0.19</v>
      </c>
      <c r="I171">
        <v>0.52</v>
      </c>
      <c r="J171">
        <v>0.32</v>
      </c>
      <c r="K171">
        <v>0.46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0.32</v>
      </c>
      <c r="F172">
        <v>0.35</v>
      </c>
      <c r="G172">
        <v>0.05</v>
      </c>
      <c r="H172">
        <v>0.23</v>
      </c>
      <c r="I172">
        <v>0.4</v>
      </c>
      <c r="J172">
        <v>0.3</v>
      </c>
      <c r="K172">
        <v>0.36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0.34</v>
      </c>
      <c r="F173">
        <v>0.36</v>
      </c>
      <c r="G173">
        <v>0.05</v>
      </c>
      <c r="H173">
        <v>0.23</v>
      </c>
      <c r="I173">
        <v>0.45</v>
      </c>
      <c r="J173">
        <v>0.33</v>
      </c>
      <c r="K173">
        <v>0.38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0.35</v>
      </c>
      <c r="F174">
        <v>0.37</v>
      </c>
      <c r="G174">
        <v>7.0000000000000007E-2</v>
      </c>
      <c r="H174">
        <v>0.22</v>
      </c>
      <c r="I174">
        <v>0.46</v>
      </c>
      <c r="J174">
        <v>0.28999999999999998</v>
      </c>
      <c r="K174">
        <v>0.4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0.36</v>
      </c>
      <c r="F175">
        <v>0.39</v>
      </c>
      <c r="G175">
        <v>0.08</v>
      </c>
      <c r="H175">
        <v>0.22</v>
      </c>
      <c r="I175">
        <v>0.49</v>
      </c>
      <c r="J175">
        <v>0.32</v>
      </c>
      <c r="K175">
        <v>0.43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0.36</v>
      </c>
      <c r="F176">
        <v>0.38</v>
      </c>
      <c r="G176">
        <v>0.08</v>
      </c>
      <c r="H176">
        <v>0.2</v>
      </c>
      <c r="I176">
        <v>0.51</v>
      </c>
      <c r="J176">
        <v>0.32</v>
      </c>
      <c r="K176">
        <v>0.42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0.36</v>
      </c>
      <c r="F177">
        <v>0.38</v>
      </c>
      <c r="G177">
        <v>0.08</v>
      </c>
      <c r="H177">
        <v>0.2</v>
      </c>
      <c r="I177">
        <v>0.52</v>
      </c>
      <c r="J177">
        <v>0.32</v>
      </c>
      <c r="K177">
        <v>0.43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0.36</v>
      </c>
      <c r="F178">
        <v>0.37</v>
      </c>
      <c r="G178">
        <v>0.08</v>
      </c>
      <c r="H178">
        <v>0.2</v>
      </c>
      <c r="I178">
        <v>0.52</v>
      </c>
      <c r="J178">
        <v>0.32</v>
      </c>
      <c r="K178">
        <v>0.45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61</v>
      </c>
      <c r="E179">
        <v>0.34</v>
      </c>
      <c r="F179">
        <v>0.34</v>
      </c>
      <c r="G179">
        <v>0.06</v>
      </c>
      <c r="H179">
        <v>0.23</v>
      </c>
      <c r="I179">
        <v>0.45</v>
      </c>
      <c r="J179">
        <v>0.3</v>
      </c>
      <c r="K179">
        <v>0.39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56</v>
      </c>
      <c r="E180">
        <v>0.39</v>
      </c>
      <c r="F180">
        <v>0.39</v>
      </c>
      <c r="G180">
        <v>7.0000000000000007E-2</v>
      </c>
      <c r="H180">
        <v>0.23</v>
      </c>
      <c r="I180">
        <v>0.49</v>
      </c>
      <c r="J180">
        <v>0.33</v>
      </c>
      <c r="K180">
        <v>0.44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61</v>
      </c>
      <c r="E181">
        <v>0.4</v>
      </c>
      <c r="F181">
        <v>0.43</v>
      </c>
      <c r="G181">
        <v>0.08</v>
      </c>
      <c r="H181">
        <v>0.22</v>
      </c>
      <c r="I181">
        <v>0.5</v>
      </c>
      <c r="J181">
        <v>0.37</v>
      </c>
      <c r="K181">
        <v>0.46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56</v>
      </c>
      <c r="E182">
        <v>0.43</v>
      </c>
      <c r="F182">
        <v>0.46</v>
      </c>
      <c r="G182">
        <v>0.08</v>
      </c>
      <c r="H182">
        <v>0.22</v>
      </c>
      <c r="I182">
        <v>0.52</v>
      </c>
      <c r="J182">
        <v>0.38</v>
      </c>
      <c r="K182">
        <v>0.49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61</v>
      </c>
      <c r="E183">
        <v>0.43</v>
      </c>
      <c r="F183">
        <v>0.47</v>
      </c>
      <c r="G183">
        <v>0.09</v>
      </c>
      <c r="H183">
        <v>0.21</v>
      </c>
      <c r="I183">
        <v>0.52</v>
      </c>
      <c r="J183">
        <v>0.39</v>
      </c>
      <c r="K183">
        <v>0.51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56</v>
      </c>
      <c r="E184">
        <v>0.45</v>
      </c>
      <c r="F184">
        <v>0.49</v>
      </c>
      <c r="G184">
        <v>0.09</v>
      </c>
      <c r="H184">
        <v>0.22</v>
      </c>
      <c r="I184">
        <v>0.54</v>
      </c>
      <c r="J184">
        <v>0.4</v>
      </c>
      <c r="K184">
        <v>0.5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61</v>
      </c>
      <c r="E185">
        <v>0.44</v>
      </c>
      <c r="F185">
        <v>0.48</v>
      </c>
      <c r="G185">
        <v>0.09</v>
      </c>
      <c r="H185">
        <v>0.22</v>
      </c>
      <c r="I185">
        <v>0.55000000000000004</v>
      </c>
      <c r="J185">
        <v>0.41</v>
      </c>
      <c r="K185">
        <v>0.49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64</v>
      </c>
      <c r="E186">
        <v>0.03</v>
      </c>
      <c r="F186">
        <v>0.04</v>
      </c>
      <c r="G186">
        <v>0.01</v>
      </c>
      <c r="H186">
        <v>0</v>
      </c>
      <c r="I186">
        <v>0.04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64</v>
      </c>
      <c r="E187">
        <v>0.04</v>
      </c>
      <c r="F187">
        <v>0.03</v>
      </c>
      <c r="G187">
        <v>0.02</v>
      </c>
      <c r="H187">
        <v>0.01</v>
      </c>
      <c r="I187">
        <v>0.08</v>
      </c>
      <c r="J187">
        <v>0.03</v>
      </c>
      <c r="K187">
        <v>0.06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64</v>
      </c>
      <c r="E188">
        <v>0.05</v>
      </c>
      <c r="F188">
        <v>0.04</v>
      </c>
      <c r="G188">
        <v>0.03</v>
      </c>
      <c r="H188">
        <v>0.02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64</v>
      </c>
      <c r="E189">
        <v>7.0000000000000007E-2</v>
      </c>
      <c r="F189">
        <v>0.06</v>
      </c>
      <c r="G189">
        <v>0.03</v>
      </c>
      <c r="H189">
        <v>0.02</v>
      </c>
      <c r="I189">
        <v>0.14000000000000001</v>
      </c>
      <c r="J189">
        <v>0.05</v>
      </c>
      <c r="K189">
        <v>0.09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64</v>
      </c>
      <c r="E190">
        <v>0.08</v>
      </c>
      <c r="F190">
        <v>7.0000000000000007E-2</v>
      </c>
      <c r="G190">
        <v>0.03</v>
      </c>
      <c r="H190">
        <v>0.02</v>
      </c>
      <c r="I190">
        <v>0.14000000000000001</v>
      </c>
      <c r="J190">
        <v>0.06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64</v>
      </c>
      <c r="E191">
        <v>0.09</v>
      </c>
      <c r="F191">
        <v>0.09</v>
      </c>
      <c r="G191">
        <v>0.04</v>
      </c>
      <c r="H191">
        <v>0.02</v>
      </c>
      <c r="I191">
        <v>0.17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64</v>
      </c>
      <c r="E192">
        <v>0.09</v>
      </c>
      <c r="F192">
        <v>0.1</v>
      </c>
      <c r="G192">
        <v>0.04</v>
      </c>
      <c r="H192">
        <v>0.02</v>
      </c>
      <c r="I192">
        <v>0.18</v>
      </c>
      <c r="J192">
        <v>7.0000000000000007E-2</v>
      </c>
      <c r="K192">
        <v>0.11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0.02</v>
      </c>
      <c r="G193">
        <v>0.01</v>
      </c>
      <c r="H193">
        <v>0</v>
      </c>
      <c r="I193">
        <v>0.04</v>
      </c>
      <c r="J193">
        <v>0.02</v>
      </c>
      <c r="K193">
        <v>0.03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0.04</v>
      </c>
      <c r="F194">
        <v>0.03</v>
      </c>
      <c r="G194">
        <v>0.02</v>
      </c>
      <c r="H194">
        <v>0</v>
      </c>
      <c r="I194">
        <v>7.0000000000000007E-2</v>
      </c>
      <c r="J194">
        <v>0.02</v>
      </c>
      <c r="K194">
        <v>0.06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0.05</v>
      </c>
      <c r="F195">
        <v>0.04</v>
      </c>
      <c r="G195">
        <v>0.03</v>
      </c>
      <c r="H195">
        <v>0</v>
      </c>
      <c r="I195">
        <v>0.11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0.04</v>
      </c>
      <c r="H196">
        <v>0</v>
      </c>
      <c r="I196">
        <v>0.17</v>
      </c>
      <c r="J196">
        <v>0.03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0.09</v>
      </c>
      <c r="F197">
        <v>0.08</v>
      </c>
      <c r="G197">
        <v>0.05</v>
      </c>
      <c r="H197">
        <v>0</v>
      </c>
      <c r="I197">
        <v>0.18</v>
      </c>
      <c r="J197">
        <v>0.05</v>
      </c>
      <c r="K197">
        <v>0.13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0.09</v>
      </c>
      <c r="F198">
        <v>0.08</v>
      </c>
      <c r="G198">
        <v>0.04</v>
      </c>
      <c r="H198">
        <v>0.01</v>
      </c>
      <c r="I198">
        <v>0.16</v>
      </c>
      <c r="J198">
        <v>0.05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</v>
      </c>
      <c r="F199">
        <v>0.09</v>
      </c>
      <c r="G199">
        <v>0.05</v>
      </c>
      <c r="H199">
        <v>0.01</v>
      </c>
      <c r="I199">
        <v>0.22</v>
      </c>
      <c r="J199">
        <v>7.0000000000000007E-2</v>
      </c>
      <c r="K199">
        <v>0.13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235</v>
      </c>
      <c r="E200">
        <v>0.03</v>
      </c>
      <c r="F200">
        <v>0.03</v>
      </c>
      <c r="G200">
        <v>0.01</v>
      </c>
      <c r="H200">
        <v>0</v>
      </c>
      <c r="I200">
        <v>0.05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212</v>
      </c>
      <c r="E201">
        <v>0.04</v>
      </c>
      <c r="F201">
        <v>0.04</v>
      </c>
      <c r="G201">
        <v>0.02</v>
      </c>
      <c r="H201">
        <v>0</v>
      </c>
      <c r="I201">
        <v>0.08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235</v>
      </c>
      <c r="E202">
        <v>0.04</v>
      </c>
      <c r="F202">
        <v>0.04</v>
      </c>
      <c r="G202">
        <v>0.03</v>
      </c>
      <c r="H202">
        <v>0</v>
      </c>
      <c r="I202">
        <v>0.11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212</v>
      </c>
      <c r="E203">
        <v>0.06</v>
      </c>
      <c r="F203">
        <v>0.05</v>
      </c>
      <c r="G203">
        <v>0.04</v>
      </c>
      <c r="H203">
        <v>0</v>
      </c>
      <c r="I203">
        <v>0.17</v>
      </c>
      <c r="J203">
        <v>0.03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235</v>
      </c>
      <c r="E204">
        <v>0.06</v>
      </c>
      <c r="F204">
        <v>0.05</v>
      </c>
      <c r="G204">
        <v>0.05</v>
      </c>
      <c r="H204">
        <v>0</v>
      </c>
      <c r="I204">
        <v>0.19</v>
      </c>
      <c r="J204">
        <v>0.03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212</v>
      </c>
      <c r="E205">
        <v>0.08</v>
      </c>
      <c r="F205">
        <v>7.0000000000000007E-2</v>
      </c>
      <c r="G205">
        <v>0.05</v>
      </c>
      <c r="H205">
        <v>0</v>
      </c>
      <c r="I205">
        <v>0.18</v>
      </c>
      <c r="J205">
        <v>0.04</v>
      </c>
      <c r="K205">
        <v>0.12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235</v>
      </c>
      <c r="E206">
        <v>0.08</v>
      </c>
      <c r="F206">
        <v>0.08</v>
      </c>
      <c r="G206">
        <v>0.05</v>
      </c>
      <c r="H206">
        <v>0</v>
      </c>
      <c r="I206">
        <v>0.21</v>
      </c>
      <c r="J206">
        <v>0.04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</v>
      </c>
      <c r="I207">
        <v>0.04</v>
      </c>
      <c r="J207">
        <v>0.02</v>
      </c>
      <c r="K207">
        <v>0.03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0.03</v>
      </c>
      <c r="F208">
        <v>0.03</v>
      </c>
      <c r="G208">
        <v>0.02</v>
      </c>
      <c r="H208">
        <v>0</v>
      </c>
      <c r="I208">
        <v>7.0000000000000007E-2</v>
      </c>
      <c r="J208">
        <v>0.02</v>
      </c>
      <c r="K208">
        <v>0.04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0.03</v>
      </c>
      <c r="F209">
        <v>0.04</v>
      </c>
      <c r="G209">
        <v>0.02</v>
      </c>
      <c r="H209">
        <v>0</v>
      </c>
      <c r="I209">
        <v>0.08</v>
      </c>
      <c r="J209">
        <v>0.02</v>
      </c>
      <c r="K209">
        <v>0.04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0.04</v>
      </c>
      <c r="F210">
        <v>0.05</v>
      </c>
      <c r="G210">
        <v>0.03</v>
      </c>
      <c r="H210">
        <v>0</v>
      </c>
      <c r="I210">
        <v>0.09</v>
      </c>
      <c r="J210">
        <v>0.02</v>
      </c>
      <c r="K210">
        <v>7.0000000000000007E-2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0.05</v>
      </c>
      <c r="F211">
        <v>0.05</v>
      </c>
      <c r="G211">
        <v>0.04</v>
      </c>
      <c r="H211">
        <v>0</v>
      </c>
      <c r="I211">
        <v>0.15</v>
      </c>
      <c r="J211">
        <v>0.02</v>
      </c>
      <c r="K211">
        <v>0.09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7.0000000000000007E-2</v>
      </c>
      <c r="F212">
        <v>0.04</v>
      </c>
      <c r="G212">
        <v>0.06</v>
      </c>
      <c r="H212">
        <v>0</v>
      </c>
      <c r="I212">
        <v>0.19</v>
      </c>
      <c r="J212">
        <v>0.02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0.04</v>
      </c>
      <c r="G213">
        <v>0.06</v>
      </c>
      <c r="H213">
        <v>0</v>
      </c>
      <c r="I213">
        <v>0.19</v>
      </c>
      <c r="J213">
        <v>0.02</v>
      </c>
      <c r="K213">
        <v>0.14000000000000001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63</v>
      </c>
      <c r="E214">
        <v>0.03</v>
      </c>
      <c r="F214">
        <v>0.02</v>
      </c>
      <c r="G214">
        <v>0.01</v>
      </c>
      <c r="H214">
        <v>0</v>
      </c>
      <c r="I214">
        <v>0.04</v>
      </c>
      <c r="J214">
        <v>0.02</v>
      </c>
      <c r="K214">
        <v>0.04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58</v>
      </c>
      <c r="E215">
        <v>0.03</v>
      </c>
      <c r="F215">
        <v>0.03</v>
      </c>
      <c r="G215">
        <v>0.01</v>
      </c>
      <c r="H215">
        <v>0.01</v>
      </c>
      <c r="I215">
        <v>7.0000000000000007E-2</v>
      </c>
      <c r="J215">
        <v>0.02</v>
      </c>
      <c r="K215">
        <v>0.04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63</v>
      </c>
      <c r="E216">
        <v>0.03</v>
      </c>
      <c r="F216">
        <v>0.03</v>
      </c>
      <c r="G216">
        <v>0.01</v>
      </c>
      <c r="H216">
        <v>0</v>
      </c>
      <c r="I216">
        <v>0.08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58</v>
      </c>
      <c r="E217">
        <v>0.04</v>
      </c>
      <c r="F217">
        <v>0.04</v>
      </c>
      <c r="G217">
        <v>0.01</v>
      </c>
      <c r="H217">
        <v>0.02</v>
      </c>
      <c r="I217">
        <v>7.0000000000000007E-2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63</v>
      </c>
      <c r="E218">
        <v>0.04</v>
      </c>
      <c r="F218">
        <v>0.04</v>
      </c>
      <c r="G218">
        <v>0.02</v>
      </c>
      <c r="H218">
        <v>0</v>
      </c>
      <c r="I218">
        <v>0.08</v>
      </c>
      <c r="J218">
        <v>0.03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58</v>
      </c>
      <c r="E219">
        <v>0.05</v>
      </c>
      <c r="F219">
        <v>0.05</v>
      </c>
      <c r="G219">
        <v>0.02</v>
      </c>
      <c r="H219">
        <v>0.02</v>
      </c>
      <c r="I219">
        <v>0.09</v>
      </c>
      <c r="J219">
        <v>0.04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63</v>
      </c>
      <c r="E220">
        <v>0.06</v>
      </c>
      <c r="F220">
        <v>0.06</v>
      </c>
      <c r="G220">
        <v>0.03</v>
      </c>
      <c r="H220">
        <v>0</v>
      </c>
      <c r="I220">
        <v>0.13</v>
      </c>
      <c r="J220">
        <v>0.04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32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65535</v>
      </c>
      <c r="F222">
        <v>4.7300000000000004</v>
      </c>
      <c r="H222">
        <v>1.48</v>
      </c>
      <c r="I222">
        <v>65535</v>
      </c>
      <c r="J222">
        <v>2.0299999999999998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65535</v>
      </c>
      <c r="F223">
        <v>6.24</v>
      </c>
      <c r="H223">
        <v>1.1499999999999999</v>
      </c>
      <c r="I223">
        <v>65535</v>
      </c>
      <c r="J223">
        <v>3.89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44</v>
      </c>
      <c r="E224">
        <v>65535</v>
      </c>
      <c r="F224">
        <v>6.77</v>
      </c>
      <c r="H224">
        <v>1.51</v>
      </c>
      <c r="I224">
        <v>65535</v>
      </c>
      <c r="J224">
        <v>5.48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44</v>
      </c>
      <c r="E225">
        <v>65535</v>
      </c>
      <c r="F225">
        <v>9.09</v>
      </c>
      <c r="H225">
        <v>1.58</v>
      </c>
      <c r="I225">
        <v>65535</v>
      </c>
      <c r="J225">
        <v>6.22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44</v>
      </c>
      <c r="E226">
        <v>65535</v>
      </c>
      <c r="F226">
        <v>10.95</v>
      </c>
      <c r="H226">
        <v>2.0699999999999998</v>
      </c>
      <c r="I226">
        <v>65535</v>
      </c>
      <c r="J226">
        <v>7.06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44</v>
      </c>
      <c r="E227">
        <v>65535</v>
      </c>
      <c r="F227">
        <v>12.4</v>
      </c>
      <c r="H227">
        <v>2.27</v>
      </c>
      <c r="I227">
        <v>65535</v>
      </c>
      <c r="J227">
        <v>6.97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30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42</v>
      </c>
      <c r="E229">
        <v>65535</v>
      </c>
      <c r="F229">
        <v>1.77</v>
      </c>
      <c r="H229">
        <v>1.01</v>
      </c>
      <c r="I229">
        <v>65535</v>
      </c>
      <c r="J229">
        <v>1.25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42</v>
      </c>
      <c r="E230">
        <v>65535</v>
      </c>
      <c r="F230">
        <v>1.74</v>
      </c>
      <c r="H230">
        <v>1.05</v>
      </c>
      <c r="I230">
        <v>65535</v>
      </c>
      <c r="J230">
        <v>1.27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42</v>
      </c>
      <c r="E231">
        <v>65535</v>
      </c>
      <c r="F231">
        <v>2.5299999999999998</v>
      </c>
      <c r="H231">
        <v>1.05</v>
      </c>
      <c r="I231">
        <v>65535</v>
      </c>
      <c r="J231">
        <v>1.83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42</v>
      </c>
      <c r="E232">
        <v>65535</v>
      </c>
      <c r="F232">
        <v>2.78</v>
      </c>
      <c r="H232">
        <v>1.04</v>
      </c>
      <c r="I232">
        <v>65535</v>
      </c>
      <c r="J232">
        <v>1.84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42</v>
      </c>
      <c r="E233">
        <v>65535</v>
      </c>
      <c r="F233">
        <v>3.56</v>
      </c>
      <c r="H233">
        <v>1.1000000000000001</v>
      </c>
      <c r="I233">
        <v>65535</v>
      </c>
      <c r="J233">
        <v>2.4700000000000002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42</v>
      </c>
      <c r="E234">
        <v>65535</v>
      </c>
      <c r="F234">
        <v>3.2</v>
      </c>
      <c r="H234">
        <v>1.2</v>
      </c>
      <c r="I234">
        <v>65535</v>
      </c>
      <c r="J234">
        <v>2.5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76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65535</v>
      </c>
      <c r="F236">
        <v>2.89</v>
      </c>
      <c r="H236">
        <v>1.02</v>
      </c>
      <c r="I236">
        <v>65535</v>
      </c>
      <c r="J236">
        <v>1.64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65535</v>
      </c>
      <c r="F237">
        <v>3.57</v>
      </c>
      <c r="H237">
        <v>1.04</v>
      </c>
      <c r="I237">
        <v>65535</v>
      </c>
      <c r="J237">
        <v>1.82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65535</v>
      </c>
      <c r="F238">
        <v>3.71</v>
      </c>
      <c r="H238">
        <v>1.05</v>
      </c>
      <c r="I238">
        <v>65535</v>
      </c>
      <c r="J238">
        <v>2.56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65535</v>
      </c>
      <c r="F239">
        <v>3.69</v>
      </c>
      <c r="H239">
        <v>1.06</v>
      </c>
      <c r="I239">
        <v>65535</v>
      </c>
      <c r="J239">
        <v>2.93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65535</v>
      </c>
      <c r="F240">
        <v>4.1100000000000003</v>
      </c>
      <c r="H240">
        <v>1.08</v>
      </c>
      <c r="I240">
        <v>65535</v>
      </c>
      <c r="J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65535</v>
      </c>
      <c r="F241">
        <v>4.49</v>
      </c>
      <c r="H241">
        <v>1.1100000000000001</v>
      </c>
      <c r="I241">
        <v>65535</v>
      </c>
      <c r="J241">
        <v>3.65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24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65535</v>
      </c>
      <c r="F243">
        <v>1.25</v>
      </c>
      <c r="H243">
        <v>1.02</v>
      </c>
      <c r="I243">
        <v>65535</v>
      </c>
      <c r="J243">
        <v>1.02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65535</v>
      </c>
      <c r="F244">
        <v>1.57</v>
      </c>
      <c r="H244">
        <v>1.01</v>
      </c>
      <c r="I244">
        <v>65535</v>
      </c>
      <c r="J244">
        <v>1.04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65535</v>
      </c>
      <c r="F245">
        <v>1.86</v>
      </c>
      <c r="H245">
        <v>0.84</v>
      </c>
      <c r="I245">
        <v>65535</v>
      </c>
      <c r="J245">
        <v>1.71</v>
      </c>
      <c r="K245">
        <v>2.14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65535</v>
      </c>
      <c r="F246">
        <v>2.17</v>
      </c>
      <c r="H246">
        <v>0.95</v>
      </c>
      <c r="I246">
        <v>65535</v>
      </c>
      <c r="J246">
        <v>1.99</v>
      </c>
      <c r="K246">
        <v>2.46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65535</v>
      </c>
      <c r="F247">
        <v>2.38</v>
      </c>
      <c r="H247">
        <v>0.93</v>
      </c>
      <c r="I247">
        <v>65535</v>
      </c>
      <c r="J247">
        <v>2.1800000000000002</v>
      </c>
      <c r="K247">
        <v>2.88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65535</v>
      </c>
      <c r="F248">
        <v>2.5499999999999998</v>
      </c>
      <c r="H248">
        <v>0.92</v>
      </c>
      <c r="I248">
        <v>65535</v>
      </c>
      <c r="J248">
        <v>2.16</v>
      </c>
      <c r="K248">
        <v>2.95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48</v>
      </c>
      <c r="E250">
        <v>65535</v>
      </c>
      <c r="F250">
        <v>1.24</v>
      </c>
      <c r="H250">
        <v>0.86</v>
      </c>
      <c r="I250">
        <v>65535</v>
      </c>
      <c r="J250">
        <v>1.04</v>
      </c>
      <c r="K250">
        <v>1.93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48</v>
      </c>
      <c r="E251">
        <v>65535</v>
      </c>
      <c r="F251">
        <v>1.32</v>
      </c>
      <c r="H251">
        <v>1</v>
      </c>
      <c r="I251">
        <v>65535</v>
      </c>
      <c r="J251">
        <v>1.1399999999999999</v>
      </c>
      <c r="K251">
        <v>2.46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48</v>
      </c>
      <c r="E252">
        <v>65535</v>
      </c>
      <c r="F252">
        <v>1.39</v>
      </c>
      <c r="H252">
        <v>0.97</v>
      </c>
      <c r="I252">
        <v>65535</v>
      </c>
      <c r="J252">
        <v>1.19</v>
      </c>
      <c r="K252">
        <v>2.04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48</v>
      </c>
      <c r="E253">
        <v>65535</v>
      </c>
      <c r="F253">
        <v>1.28</v>
      </c>
      <c r="H253">
        <v>1</v>
      </c>
      <c r="I253">
        <v>65535</v>
      </c>
      <c r="J253">
        <v>1.1000000000000001</v>
      </c>
      <c r="K253">
        <v>2.34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48</v>
      </c>
      <c r="E254">
        <v>65535</v>
      </c>
      <c r="F254">
        <v>1.51</v>
      </c>
      <c r="H254">
        <v>1.05</v>
      </c>
      <c r="I254">
        <v>65535</v>
      </c>
      <c r="J254">
        <v>1.21</v>
      </c>
      <c r="K254">
        <v>2.25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48</v>
      </c>
      <c r="E255">
        <v>65535</v>
      </c>
      <c r="F255">
        <v>1.6</v>
      </c>
      <c r="H255">
        <v>1.07</v>
      </c>
      <c r="I255">
        <v>65535</v>
      </c>
      <c r="J255">
        <v>1.23</v>
      </c>
      <c r="K255">
        <v>2.7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48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1.54</v>
      </c>
      <c r="H257">
        <v>-16.25</v>
      </c>
      <c r="I257">
        <v>65535</v>
      </c>
      <c r="J257">
        <v>1.31</v>
      </c>
      <c r="K257">
        <v>1.77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2.48</v>
      </c>
      <c r="H258">
        <v>-15.85</v>
      </c>
      <c r="I258">
        <v>65535</v>
      </c>
      <c r="J258">
        <v>1.72</v>
      </c>
      <c r="K258">
        <v>3.1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2.44</v>
      </c>
      <c r="H259">
        <v>-14.22</v>
      </c>
      <c r="I259">
        <v>65535</v>
      </c>
      <c r="J259">
        <v>1.79</v>
      </c>
      <c r="K259">
        <v>3.07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3.11</v>
      </c>
      <c r="H260">
        <v>-7.23</v>
      </c>
      <c r="I260">
        <v>65535</v>
      </c>
      <c r="J260">
        <v>2.6</v>
      </c>
      <c r="K260">
        <v>4.07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3.46</v>
      </c>
      <c r="H261">
        <v>-15.97</v>
      </c>
      <c r="I261">
        <v>65535</v>
      </c>
      <c r="J261">
        <v>2.76</v>
      </c>
      <c r="K261">
        <v>4.66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4.0199999999999996</v>
      </c>
      <c r="H262">
        <v>-22.11</v>
      </c>
      <c r="I262">
        <v>65535</v>
      </c>
      <c r="J262">
        <v>2.88</v>
      </c>
      <c r="K262">
        <v>5.49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1.27</v>
      </c>
      <c r="H264">
        <v>0.88</v>
      </c>
      <c r="I264">
        <v>65535</v>
      </c>
      <c r="J264">
        <v>1.17</v>
      </c>
      <c r="K264">
        <v>1.48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1.53</v>
      </c>
      <c r="H265">
        <v>0.81</v>
      </c>
      <c r="I265">
        <v>65535</v>
      </c>
      <c r="J265">
        <v>1.29</v>
      </c>
      <c r="K265">
        <v>2.0499999999999998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1.87</v>
      </c>
      <c r="H266">
        <v>0.36</v>
      </c>
      <c r="I266">
        <v>65535</v>
      </c>
      <c r="J266">
        <v>1.19</v>
      </c>
      <c r="K266">
        <v>2.67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1.98</v>
      </c>
      <c r="H267">
        <v>-4.24</v>
      </c>
      <c r="I267">
        <v>65535</v>
      </c>
      <c r="J267">
        <v>1.37</v>
      </c>
      <c r="K267">
        <v>2.8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2.27</v>
      </c>
      <c r="H268">
        <v>-3.34</v>
      </c>
      <c r="I268">
        <v>65535</v>
      </c>
      <c r="J268">
        <v>1.61</v>
      </c>
      <c r="K268">
        <v>3.06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2.17</v>
      </c>
      <c r="H269">
        <v>-3.27</v>
      </c>
      <c r="I269">
        <v>65535</v>
      </c>
      <c r="J269">
        <v>1.49</v>
      </c>
      <c r="K269">
        <v>3.64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1.21</v>
      </c>
      <c r="H271">
        <v>0.84</v>
      </c>
      <c r="I271">
        <v>65535</v>
      </c>
      <c r="J271">
        <v>1.1399999999999999</v>
      </c>
      <c r="K271">
        <v>1.29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1.43</v>
      </c>
      <c r="H272">
        <v>0.91</v>
      </c>
      <c r="I272">
        <v>65535</v>
      </c>
      <c r="J272">
        <v>1.26</v>
      </c>
      <c r="K272">
        <v>1.72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1.61</v>
      </c>
      <c r="H273">
        <v>0.91</v>
      </c>
      <c r="I273">
        <v>65535</v>
      </c>
      <c r="J273">
        <v>1.41</v>
      </c>
      <c r="K273">
        <v>1.89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1.84</v>
      </c>
      <c r="H274">
        <v>-7.42</v>
      </c>
      <c r="I274">
        <v>65535</v>
      </c>
      <c r="J274">
        <v>1.48</v>
      </c>
      <c r="K274">
        <v>2.2200000000000002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2.14</v>
      </c>
      <c r="H275">
        <v>-4.37</v>
      </c>
      <c r="I275">
        <v>65535</v>
      </c>
      <c r="J275">
        <v>1.61</v>
      </c>
      <c r="K275">
        <v>2.59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2.33</v>
      </c>
      <c r="H276">
        <v>-4.53</v>
      </c>
      <c r="I276">
        <v>65535</v>
      </c>
      <c r="J276">
        <v>1.72</v>
      </c>
      <c r="K276">
        <v>2.97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1.18</v>
      </c>
      <c r="F278">
        <v>1.2</v>
      </c>
      <c r="G278">
        <v>0.1</v>
      </c>
      <c r="H278">
        <v>1.01</v>
      </c>
      <c r="I278">
        <v>1.29</v>
      </c>
      <c r="J278">
        <v>1.08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1.24</v>
      </c>
      <c r="F279">
        <v>1.27</v>
      </c>
      <c r="G279">
        <v>0.13</v>
      </c>
      <c r="H279">
        <v>1</v>
      </c>
      <c r="I279">
        <v>1.44</v>
      </c>
      <c r="J279">
        <v>1.1000000000000001</v>
      </c>
      <c r="K279">
        <v>1.35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1.42</v>
      </c>
      <c r="F280">
        <v>1.44</v>
      </c>
      <c r="G280">
        <v>0.2</v>
      </c>
      <c r="H280">
        <v>1</v>
      </c>
      <c r="I280">
        <v>2.3199999999999998</v>
      </c>
      <c r="J280">
        <v>1.27</v>
      </c>
      <c r="K280">
        <v>1.51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1.56</v>
      </c>
      <c r="F281">
        <v>1.53</v>
      </c>
      <c r="G281">
        <v>0.33</v>
      </c>
      <c r="H281">
        <v>0.98</v>
      </c>
      <c r="I281">
        <v>3.25</v>
      </c>
      <c r="J281">
        <v>1.35</v>
      </c>
      <c r="K281">
        <v>1.66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1.54</v>
      </c>
      <c r="F282">
        <v>1.46</v>
      </c>
      <c r="G282">
        <v>0.43</v>
      </c>
      <c r="H282">
        <v>0.79</v>
      </c>
      <c r="I282">
        <v>3.76</v>
      </c>
      <c r="J282">
        <v>1.37</v>
      </c>
      <c r="K282">
        <v>1.6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1.78</v>
      </c>
      <c r="F283">
        <v>1.77</v>
      </c>
      <c r="G283">
        <v>0.47</v>
      </c>
      <c r="H283">
        <v>0.81</v>
      </c>
      <c r="I283">
        <v>4.2</v>
      </c>
      <c r="J283">
        <v>1.49</v>
      </c>
      <c r="K283">
        <v>1.97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65535</v>
      </c>
      <c r="F285">
        <v>1.07</v>
      </c>
      <c r="H285">
        <v>0.6</v>
      </c>
      <c r="I285">
        <v>65535</v>
      </c>
      <c r="J285">
        <v>1.01</v>
      </c>
      <c r="K285">
        <v>1.1499999999999999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65535</v>
      </c>
      <c r="F286">
        <v>1.1599999999999999</v>
      </c>
      <c r="H286">
        <v>0.93</v>
      </c>
      <c r="I286">
        <v>65535</v>
      </c>
      <c r="J286">
        <v>1.08</v>
      </c>
      <c r="K286">
        <v>1.43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65535</v>
      </c>
      <c r="F287">
        <v>1.1499999999999999</v>
      </c>
      <c r="H287">
        <v>0.75</v>
      </c>
      <c r="I287">
        <v>65535</v>
      </c>
      <c r="J287">
        <v>1.0900000000000001</v>
      </c>
      <c r="K287">
        <v>1.24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65535</v>
      </c>
      <c r="F288">
        <v>1.25</v>
      </c>
      <c r="H288">
        <v>0.93</v>
      </c>
      <c r="I288">
        <v>65535</v>
      </c>
      <c r="J288">
        <v>1.1000000000000001</v>
      </c>
      <c r="K288">
        <v>1.5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65535</v>
      </c>
      <c r="F289">
        <v>1.53</v>
      </c>
      <c r="H289">
        <v>0.9</v>
      </c>
      <c r="I289">
        <v>65535</v>
      </c>
      <c r="J289">
        <v>1.08</v>
      </c>
      <c r="K289">
        <v>1.78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65535</v>
      </c>
      <c r="F290">
        <v>1.75</v>
      </c>
      <c r="H290">
        <v>0.96</v>
      </c>
      <c r="I290">
        <v>65535</v>
      </c>
      <c r="J290">
        <v>1.08</v>
      </c>
      <c r="K290">
        <v>1.85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4.92</v>
      </c>
      <c r="F292">
        <v>3.11</v>
      </c>
      <c r="G292">
        <v>3.9</v>
      </c>
      <c r="H292">
        <v>1.91</v>
      </c>
      <c r="I292">
        <v>17.399999999999999</v>
      </c>
      <c r="J292">
        <v>2.87</v>
      </c>
      <c r="K292">
        <v>5.39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7.99</v>
      </c>
      <c r="F293">
        <v>6.81</v>
      </c>
      <c r="G293">
        <v>6.52</v>
      </c>
      <c r="H293">
        <v>0</v>
      </c>
      <c r="I293">
        <v>27.54</v>
      </c>
      <c r="J293">
        <v>3.73</v>
      </c>
      <c r="K293">
        <v>10.67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10.93</v>
      </c>
      <c r="F294">
        <v>12.57</v>
      </c>
      <c r="G294">
        <v>8.16</v>
      </c>
      <c r="H294">
        <v>0</v>
      </c>
      <c r="I294">
        <v>33.619999999999997</v>
      </c>
      <c r="J294">
        <v>4.6399999999999997</v>
      </c>
      <c r="K294">
        <v>12.86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13.67</v>
      </c>
      <c r="F295">
        <v>16.809999999999999</v>
      </c>
      <c r="G295">
        <v>10.55</v>
      </c>
      <c r="H295">
        <v>0</v>
      </c>
      <c r="I295">
        <v>39.950000000000003</v>
      </c>
      <c r="J295">
        <v>3.6</v>
      </c>
      <c r="K295">
        <v>17.559999999999999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16.41</v>
      </c>
      <c r="F296">
        <v>21.14</v>
      </c>
      <c r="G296">
        <v>13.04</v>
      </c>
      <c r="H296">
        <v>0</v>
      </c>
      <c r="I296">
        <v>48.72</v>
      </c>
      <c r="J296">
        <v>3.56</v>
      </c>
      <c r="K296">
        <v>21.82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18.170000000000002</v>
      </c>
      <c r="F297">
        <v>23.55</v>
      </c>
      <c r="G297">
        <v>14.56</v>
      </c>
      <c r="H297">
        <v>0</v>
      </c>
      <c r="I297">
        <v>52.53</v>
      </c>
      <c r="J297">
        <v>3.48</v>
      </c>
      <c r="K297">
        <v>25.36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17</v>
      </c>
      <c r="E299">
        <v>1.41</v>
      </c>
      <c r="F299">
        <v>0.6</v>
      </c>
      <c r="G299">
        <v>0.98</v>
      </c>
      <c r="H299">
        <v>0.54</v>
      </c>
      <c r="I299">
        <v>3.22</v>
      </c>
      <c r="J299">
        <v>0.56000000000000005</v>
      </c>
      <c r="K299">
        <v>2.2799999999999998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17</v>
      </c>
      <c r="E300">
        <v>1.67</v>
      </c>
      <c r="F300">
        <v>1.1200000000000001</v>
      </c>
      <c r="G300">
        <v>0.81</v>
      </c>
      <c r="H300">
        <v>0.95</v>
      </c>
      <c r="I300">
        <v>2.93</v>
      </c>
      <c r="J300">
        <v>0.97</v>
      </c>
      <c r="K300">
        <v>2.58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17</v>
      </c>
      <c r="E301">
        <v>4.9400000000000004</v>
      </c>
      <c r="F301">
        <v>3.66</v>
      </c>
      <c r="G301">
        <v>2.52</v>
      </c>
      <c r="H301">
        <v>3.08</v>
      </c>
      <c r="I301">
        <v>10.52</v>
      </c>
      <c r="J301">
        <v>3.57</v>
      </c>
      <c r="K301">
        <v>3.9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17</v>
      </c>
      <c r="E302">
        <v>7.8</v>
      </c>
      <c r="F302">
        <v>4.3600000000000003</v>
      </c>
      <c r="G302">
        <v>7.07</v>
      </c>
      <c r="H302">
        <v>3.22</v>
      </c>
      <c r="I302">
        <v>24.68</v>
      </c>
      <c r="J302">
        <v>3.66</v>
      </c>
      <c r="K302">
        <v>5.58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6.38</v>
      </c>
      <c r="F303">
        <v>4.3099999999999996</v>
      </c>
      <c r="G303">
        <v>4.8899999999999997</v>
      </c>
      <c r="H303">
        <v>2.2799999999999998</v>
      </c>
      <c r="I303">
        <v>21.65</v>
      </c>
      <c r="J303">
        <v>4.1399999999999997</v>
      </c>
      <c r="K303">
        <v>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17</v>
      </c>
      <c r="E304">
        <v>4.32</v>
      </c>
      <c r="F304">
        <v>4.17</v>
      </c>
      <c r="G304">
        <v>1.2</v>
      </c>
      <c r="H304">
        <v>3.12</v>
      </c>
      <c r="I304">
        <v>7.43</v>
      </c>
      <c r="J304">
        <v>3.29</v>
      </c>
      <c r="K304">
        <v>4.8600000000000003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2.0499999999999998</v>
      </c>
      <c r="F306">
        <v>1.39</v>
      </c>
      <c r="G306">
        <v>1.82</v>
      </c>
      <c r="H306">
        <v>0.54</v>
      </c>
      <c r="I306">
        <v>8.61</v>
      </c>
      <c r="J306">
        <v>1.04</v>
      </c>
      <c r="K306">
        <v>2.25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2.73</v>
      </c>
      <c r="F307">
        <v>1.36</v>
      </c>
      <c r="G307">
        <v>2.92</v>
      </c>
      <c r="H307">
        <v>0.95</v>
      </c>
      <c r="I307">
        <v>13.4</v>
      </c>
      <c r="J307">
        <v>1.08</v>
      </c>
      <c r="K307">
        <v>2.39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5.91</v>
      </c>
      <c r="F308">
        <v>3.77</v>
      </c>
      <c r="G308">
        <v>4.04</v>
      </c>
      <c r="H308">
        <v>1.62</v>
      </c>
      <c r="I308">
        <v>17.54</v>
      </c>
      <c r="J308">
        <v>2.37</v>
      </c>
      <c r="K308">
        <v>8.9600000000000009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8.15</v>
      </c>
      <c r="F309">
        <v>5.36</v>
      </c>
      <c r="G309">
        <v>5.99</v>
      </c>
      <c r="H309">
        <v>1.95</v>
      </c>
      <c r="I309">
        <v>21.3</v>
      </c>
      <c r="J309">
        <v>2.77</v>
      </c>
      <c r="K309">
        <v>12.57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9.3800000000000008</v>
      </c>
      <c r="F310">
        <v>4.9400000000000004</v>
      </c>
      <c r="G310">
        <v>7.59</v>
      </c>
      <c r="H310">
        <v>1.85</v>
      </c>
      <c r="I310">
        <v>27.09</v>
      </c>
      <c r="J310">
        <v>2.81</v>
      </c>
      <c r="K310">
        <v>15.39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10.27</v>
      </c>
      <c r="F311">
        <v>4.09</v>
      </c>
      <c r="G311">
        <v>9.07</v>
      </c>
      <c r="H311">
        <v>1.78</v>
      </c>
      <c r="I311">
        <v>33.270000000000003</v>
      </c>
      <c r="J311">
        <v>2.52</v>
      </c>
      <c r="K311">
        <v>16.97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1.59</v>
      </c>
      <c r="F313">
        <v>1.04</v>
      </c>
      <c r="G313">
        <v>0.98</v>
      </c>
      <c r="H313">
        <v>0.56000000000000005</v>
      </c>
      <c r="I313">
        <v>3.83</v>
      </c>
      <c r="J313">
        <v>1.04</v>
      </c>
      <c r="K313">
        <v>1.77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2.2599999999999998</v>
      </c>
      <c r="F314">
        <v>1.25</v>
      </c>
      <c r="G314">
        <v>1.61</v>
      </c>
      <c r="H314">
        <v>0.97</v>
      </c>
      <c r="I314">
        <v>5.77</v>
      </c>
      <c r="J314">
        <v>1.08</v>
      </c>
      <c r="K314">
        <v>3.38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4.34</v>
      </c>
      <c r="F315">
        <v>4.8600000000000003</v>
      </c>
      <c r="G315">
        <v>1.94</v>
      </c>
      <c r="H315">
        <v>1.2</v>
      </c>
      <c r="I315">
        <v>7.22</v>
      </c>
      <c r="J315">
        <v>2.81</v>
      </c>
      <c r="K315">
        <v>5.78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6.02</v>
      </c>
      <c r="F316">
        <v>6.53</v>
      </c>
      <c r="G316">
        <v>2.77</v>
      </c>
      <c r="H316">
        <v>1.39</v>
      </c>
      <c r="I316">
        <v>12.52</v>
      </c>
      <c r="J316">
        <v>5.48</v>
      </c>
      <c r="K316">
        <v>7.84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7.07</v>
      </c>
      <c r="F317">
        <v>7.96</v>
      </c>
      <c r="G317">
        <v>3.54</v>
      </c>
      <c r="H317">
        <v>1.36</v>
      </c>
      <c r="I317">
        <v>15.14</v>
      </c>
      <c r="J317">
        <v>5.42</v>
      </c>
      <c r="K317">
        <v>9.44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7.43</v>
      </c>
      <c r="F318">
        <v>8.59</v>
      </c>
      <c r="G318">
        <v>3.71</v>
      </c>
      <c r="H318">
        <v>1.57</v>
      </c>
      <c r="I318">
        <v>12.22</v>
      </c>
      <c r="J318">
        <v>4.93</v>
      </c>
      <c r="K318">
        <v>10.3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0.95</v>
      </c>
      <c r="F320">
        <v>1.04</v>
      </c>
      <c r="G320">
        <v>0.27</v>
      </c>
      <c r="H320">
        <v>0.36</v>
      </c>
      <c r="I320">
        <v>1.27</v>
      </c>
      <c r="J320">
        <v>1.04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1.08</v>
      </c>
      <c r="F321">
        <v>1.1100000000000001</v>
      </c>
      <c r="G321">
        <v>0.13</v>
      </c>
      <c r="H321">
        <v>0.77</v>
      </c>
      <c r="I321">
        <v>1.25</v>
      </c>
      <c r="J321">
        <v>1.08</v>
      </c>
      <c r="K321">
        <v>1.17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1.1599999999999999</v>
      </c>
      <c r="F322">
        <v>1.21</v>
      </c>
      <c r="G322">
        <v>0.1</v>
      </c>
      <c r="H322">
        <v>0.94</v>
      </c>
      <c r="I322">
        <v>1.26</v>
      </c>
      <c r="J322">
        <v>1.1200000000000001</v>
      </c>
      <c r="K322">
        <v>1.22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1.23</v>
      </c>
      <c r="F323">
        <v>1.23</v>
      </c>
      <c r="G323">
        <v>0.09</v>
      </c>
      <c r="H323">
        <v>1.05</v>
      </c>
      <c r="I323">
        <v>1.41</v>
      </c>
      <c r="J323">
        <v>1.17</v>
      </c>
      <c r="K323">
        <v>1.26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1.26</v>
      </c>
      <c r="F324">
        <v>1.24</v>
      </c>
      <c r="G324">
        <v>0.13</v>
      </c>
      <c r="H324">
        <v>1.06</v>
      </c>
      <c r="I324">
        <v>1.57</v>
      </c>
      <c r="J324">
        <v>1.19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1.34</v>
      </c>
      <c r="F325">
        <v>1.25</v>
      </c>
      <c r="G325">
        <v>0.15</v>
      </c>
      <c r="H325">
        <v>1.21</v>
      </c>
      <c r="I325">
        <v>1.74</v>
      </c>
      <c r="J325">
        <v>1.24</v>
      </c>
      <c r="K325">
        <v>1.38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0.99</v>
      </c>
      <c r="F327">
        <v>0.99</v>
      </c>
      <c r="G327">
        <v>0</v>
      </c>
      <c r="H327">
        <v>0.99</v>
      </c>
      <c r="I327">
        <v>0.99</v>
      </c>
      <c r="J327">
        <v>0.99</v>
      </c>
      <c r="K327">
        <v>0.99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0.97</v>
      </c>
      <c r="F328">
        <v>0.97</v>
      </c>
      <c r="G328">
        <v>0</v>
      </c>
      <c r="H328">
        <v>0.97</v>
      </c>
      <c r="I328">
        <v>0.97</v>
      </c>
      <c r="J328">
        <v>0.97</v>
      </c>
      <c r="K328">
        <v>0.97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0.95</v>
      </c>
      <c r="F329">
        <v>0.94</v>
      </c>
      <c r="G329">
        <v>0.01</v>
      </c>
      <c r="H329">
        <v>0.93</v>
      </c>
      <c r="I329">
        <v>0.97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0.98</v>
      </c>
      <c r="F330">
        <v>0.98</v>
      </c>
      <c r="G330">
        <v>0.01</v>
      </c>
      <c r="H330">
        <v>0.97</v>
      </c>
      <c r="I330">
        <v>1.01</v>
      </c>
      <c r="J330">
        <v>0.97</v>
      </c>
      <c r="K330">
        <v>0.99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1.03</v>
      </c>
      <c r="F331">
        <v>1.02</v>
      </c>
      <c r="G331">
        <v>0.01</v>
      </c>
      <c r="H331">
        <v>1.02</v>
      </c>
      <c r="I331">
        <v>1.05</v>
      </c>
      <c r="J331">
        <v>1.02</v>
      </c>
      <c r="K331">
        <v>1.03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1.05</v>
      </c>
      <c r="F332">
        <v>1.05</v>
      </c>
      <c r="G332">
        <v>0.02</v>
      </c>
      <c r="H332">
        <v>1.03</v>
      </c>
      <c r="I332">
        <v>1.08</v>
      </c>
      <c r="J332">
        <v>1.04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</v>
      </c>
      <c r="H334">
        <v>0.99</v>
      </c>
      <c r="I334">
        <v>0.99</v>
      </c>
      <c r="J334">
        <v>0.99</v>
      </c>
      <c r="K334">
        <v>0.99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0.97</v>
      </c>
      <c r="F335">
        <v>0.97</v>
      </c>
      <c r="G335">
        <v>0</v>
      </c>
      <c r="H335">
        <v>0.97</v>
      </c>
      <c r="I335">
        <v>0.97</v>
      </c>
      <c r="J335">
        <v>0.97</v>
      </c>
      <c r="K335">
        <v>0.97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0.96</v>
      </c>
      <c r="F336">
        <v>0.96</v>
      </c>
      <c r="G336">
        <v>0.01</v>
      </c>
      <c r="H336">
        <v>0.94</v>
      </c>
      <c r="I336">
        <v>0.97</v>
      </c>
      <c r="J336">
        <v>0.95</v>
      </c>
      <c r="K336">
        <v>0.97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1.01</v>
      </c>
      <c r="F337">
        <v>1.01</v>
      </c>
      <c r="G337">
        <v>0.01</v>
      </c>
      <c r="H337">
        <v>0.99</v>
      </c>
      <c r="I337">
        <v>1.02</v>
      </c>
      <c r="J337">
        <v>1</v>
      </c>
      <c r="K337">
        <v>1.02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1.06</v>
      </c>
      <c r="F338">
        <v>1.06</v>
      </c>
      <c r="G338">
        <v>0.01</v>
      </c>
      <c r="H338">
        <v>1.04</v>
      </c>
      <c r="I338">
        <v>1.08</v>
      </c>
      <c r="J338">
        <v>1.05</v>
      </c>
      <c r="K338">
        <v>1.07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1.1100000000000001</v>
      </c>
      <c r="F339">
        <v>1.1200000000000001</v>
      </c>
      <c r="G339">
        <v>0.02</v>
      </c>
      <c r="H339">
        <v>1.0900000000000001</v>
      </c>
      <c r="I339">
        <v>1.1299999999999999</v>
      </c>
      <c r="J339">
        <v>1.1000000000000001</v>
      </c>
      <c r="K339">
        <v>1.1200000000000001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1.1000000000000001</v>
      </c>
      <c r="F341">
        <v>1.03</v>
      </c>
      <c r="G341">
        <v>0.13</v>
      </c>
      <c r="H341">
        <v>0.99</v>
      </c>
      <c r="I341">
        <v>1.3</v>
      </c>
      <c r="J341">
        <v>0.99</v>
      </c>
      <c r="K341">
        <v>1.22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1.1299999999999999</v>
      </c>
      <c r="F342">
        <v>1.03</v>
      </c>
      <c r="G342">
        <v>0.21</v>
      </c>
      <c r="H342">
        <v>0.97</v>
      </c>
      <c r="I342">
        <v>1.71</v>
      </c>
      <c r="J342">
        <v>0.97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1.36</v>
      </c>
      <c r="F343">
        <v>1.1599999999999999</v>
      </c>
      <c r="G343">
        <v>0.45</v>
      </c>
      <c r="H343">
        <v>0.93</v>
      </c>
      <c r="I343">
        <v>2.15</v>
      </c>
      <c r="J343">
        <v>0.95</v>
      </c>
      <c r="K343">
        <v>1.74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</v>
      </c>
      <c r="F344">
        <v>1.45</v>
      </c>
      <c r="G344">
        <v>0.79</v>
      </c>
      <c r="H344">
        <v>0.98</v>
      </c>
      <c r="I344">
        <v>3.18</v>
      </c>
      <c r="J344">
        <v>0.99</v>
      </c>
      <c r="K344">
        <v>2.33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2.11</v>
      </c>
      <c r="F345">
        <v>1.74</v>
      </c>
      <c r="G345">
        <v>1.21</v>
      </c>
      <c r="H345">
        <v>1.03</v>
      </c>
      <c r="I345">
        <v>4.3499999999999996</v>
      </c>
      <c r="J345">
        <v>1.04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2.5099999999999998</v>
      </c>
      <c r="F346">
        <v>2.0299999999999998</v>
      </c>
      <c r="G346">
        <v>1.6</v>
      </c>
      <c r="H346">
        <v>1.08</v>
      </c>
      <c r="I346">
        <v>5.38</v>
      </c>
      <c r="J346">
        <v>1.0900000000000001</v>
      </c>
      <c r="K346">
        <v>3.53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1.2</v>
      </c>
      <c r="F348">
        <v>1.2</v>
      </c>
      <c r="G348">
        <v>0.03</v>
      </c>
      <c r="H348">
        <v>1.18</v>
      </c>
      <c r="I348">
        <v>1.24</v>
      </c>
      <c r="J348">
        <v>1.18</v>
      </c>
      <c r="K348">
        <v>1.22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1.18</v>
      </c>
      <c r="F349">
        <v>1.1599999999999999</v>
      </c>
      <c r="G349">
        <v>0.1</v>
      </c>
      <c r="H349">
        <v>1.08</v>
      </c>
      <c r="I349">
        <v>1.3</v>
      </c>
      <c r="J349">
        <v>1.08</v>
      </c>
      <c r="K349">
        <v>1.27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1.43</v>
      </c>
      <c r="F350">
        <v>1.44</v>
      </c>
      <c r="G350">
        <v>0.13</v>
      </c>
      <c r="H350">
        <v>1.26</v>
      </c>
      <c r="I350">
        <v>1.59</v>
      </c>
      <c r="J350">
        <v>1.33</v>
      </c>
      <c r="K350">
        <v>1.53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1.57</v>
      </c>
      <c r="F351">
        <v>1.57</v>
      </c>
      <c r="G351">
        <v>0.16</v>
      </c>
      <c r="H351">
        <v>1.34</v>
      </c>
      <c r="I351">
        <v>1.77</v>
      </c>
      <c r="J351">
        <v>1.48</v>
      </c>
      <c r="K351">
        <v>1.69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1.95</v>
      </c>
      <c r="F352">
        <v>1.95</v>
      </c>
      <c r="G352">
        <v>0.19</v>
      </c>
      <c r="H352">
        <v>1.63</v>
      </c>
      <c r="I352">
        <v>2.2200000000000002</v>
      </c>
      <c r="J352">
        <v>1.86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2.4700000000000002</v>
      </c>
      <c r="F353">
        <v>2.5099999999999998</v>
      </c>
      <c r="G353">
        <v>0.35</v>
      </c>
      <c r="H353">
        <v>1.94</v>
      </c>
      <c r="I353">
        <v>2.95</v>
      </c>
      <c r="J353">
        <v>2.2599999999999998</v>
      </c>
      <c r="K353">
        <v>2.69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1.08</v>
      </c>
      <c r="F355">
        <v>1.06</v>
      </c>
      <c r="G355">
        <v>0.1</v>
      </c>
      <c r="H355">
        <v>0.99</v>
      </c>
      <c r="I355">
        <v>1.23</v>
      </c>
      <c r="J355">
        <v>0.99</v>
      </c>
      <c r="K355">
        <v>1.17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1.07</v>
      </c>
      <c r="F356">
        <v>1.08</v>
      </c>
      <c r="G356">
        <v>0.09</v>
      </c>
      <c r="H356">
        <v>0.97</v>
      </c>
      <c r="I356">
        <v>1.1599999999999999</v>
      </c>
      <c r="J356">
        <v>0.98</v>
      </c>
      <c r="K356">
        <v>1.1599999999999999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0.97</v>
      </c>
      <c r="G357">
        <v>0.12</v>
      </c>
      <c r="H357">
        <v>0.91</v>
      </c>
      <c r="I357">
        <v>1.19</v>
      </c>
      <c r="J357">
        <v>0.93</v>
      </c>
      <c r="K357">
        <v>1.1399999999999999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1.03</v>
      </c>
      <c r="F358">
        <v>1.05</v>
      </c>
      <c r="G358">
        <v>0.09</v>
      </c>
      <c r="H358">
        <v>0.9</v>
      </c>
      <c r="I358">
        <v>1.1399999999999999</v>
      </c>
      <c r="J358">
        <v>0.95</v>
      </c>
      <c r="K358">
        <v>1.0900000000000001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1.05</v>
      </c>
      <c r="F359">
        <v>1.1000000000000001</v>
      </c>
      <c r="G359">
        <v>0.12</v>
      </c>
      <c r="H359">
        <v>0.89</v>
      </c>
      <c r="I359">
        <v>1.19</v>
      </c>
      <c r="J359">
        <v>0.94</v>
      </c>
      <c r="K359">
        <v>1.1299999999999999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1.0900000000000001</v>
      </c>
      <c r="F360">
        <v>1.1100000000000001</v>
      </c>
      <c r="G360">
        <v>0.14000000000000001</v>
      </c>
      <c r="H360">
        <v>0.91</v>
      </c>
      <c r="I360">
        <v>1.29</v>
      </c>
      <c r="J360">
        <v>0.96</v>
      </c>
      <c r="K360">
        <v>1.1399999999999999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443</v>
      </c>
      <c r="D10" t="s">
        <v>106</v>
      </c>
      <c r="F10" t="s">
        <v>443</v>
      </c>
      <c r="G10" t="s">
        <v>131</v>
      </c>
    </row>
    <row r="11" spans="1:7" x14ac:dyDescent="0.45">
      <c r="B11" s="15"/>
      <c r="C11" s="15" t="s">
        <v>444</v>
      </c>
      <c r="D11" t="s">
        <v>157</v>
      </c>
      <c r="F11" t="s">
        <v>444</v>
      </c>
      <c r="G11" t="s">
        <v>468</v>
      </c>
    </row>
    <row r="12" spans="1:7" x14ac:dyDescent="0.45">
      <c r="B12" s="15"/>
      <c r="C12" s="15" t="s">
        <v>445</v>
      </c>
      <c r="D12" t="s">
        <v>157</v>
      </c>
      <c r="F12" t="s">
        <v>445</v>
      </c>
      <c r="G12" t="s">
        <v>469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D2F05-0D2F-4A2E-A881-30BAEED9E809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155</v>
      </c>
      <c r="L10" t="s">
        <v>30</v>
      </c>
      <c r="N10" t="s">
        <v>13</v>
      </c>
      <c r="O10" t="s">
        <v>121</v>
      </c>
      <c r="P10" t="s">
        <v>155</v>
      </c>
      <c r="Q10" t="s">
        <v>30</v>
      </c>
      <c r="S10" t="s">
        <v>13</v>
      </c>
      <c r="T10" t="s">
        <v>121</v>
      </c>
      <c r="U10" t="s">
        <v>155</v>
      </c>
      <c r="V10" t="s">
        <v>30</v>
      </c>
      <c r="X10" t="s">
        <v>442</v>
      </c>
      <c r="Y10" t="s">
        <v>155</v>
      </c>
      <c r="Z10" t="s">
        <v>121</v>
      </c>
      <c r="AA10" t="s">
        <v>13</v>
      </c>
      <c r="AC10" t="s">
        <v>13</v>
      </c>
      <c r="AD10" t="s">
        <v>121</v>
      </c>
      <c r="AE10" t="s">
        <v>155</v>
      </c>
      <c r="AG10" t="s">
        <v>13</v>
      </c>
      <c r="AH10" t="s">
        <v>121</v>
      </c>
      <c r="AI10" t="s">
        <v>446</v>
      </c>
      <c r="AK10" t="s">
        <v>47</v>
      </c>
      <c r="AL10" t="s">
        <v>121</v>
      </c>
      <c r="AM10" t="s">
        <v>447</v>
      </c>
      <c r="AN10" t="s">
        <v>448</v>
      </c>
    </row>
    <row r="11" spans="1:40" x14ac:dyDescent="0.45">
      <c r="A11" t="str">
        <f>IFERROR(IF(Veda!D5=A10,"ok","x"),"")</f>
        <v>ok</v>
      </c>
      <c r="C11" t="s">
        <v>152</v>
      </c>
      <c r="D11" t="s">
        <v>153</v>
      </c>
      <c r="E11" t="s">
        <v>154</v>
      </c>
      <c r="F11" t="s">
        <v>152</v>
      </c>
      <c r="G11" t="s">
        <v>153</v>
      </c>
      <c r="I11" t="s">
        <v>156</v>
      </c>
      <c r="J11" t="s">
        <v>157</v>
      </c>
      <c r="K11">
        <v>1.0000000000000004</v>
      </c>
      <c r="L11" t="s">
        <v>158</v>
      </c>
      <c r="N11" t="s">
        <v>294</v>
      </c>
      <c r="O11" t="s">
        <v>157</v>
      </c>
      <c r="P11">
        <v>0.99999999999999956</v>
      </c>
      <c r="Q11" t="s">
        <v>158</v>
      </c>
      <c r="S11" t="s">
        <v>408</v>
      </c>
      <c r="T11" t="s">
        <v>157</v>
      </c>
      <c r="U11">
        <v>1.0000000000000031</v>
      </c>
      <c r="V11" t="s">
        <v>158</v>
      </c>
      <c r="X11">
        <v>1</v>
      </c>
      <c r="Y11">
        <v>1.0000000000000002</v>
      </c>
      <c r="Z11" t="s">
        <v>157</v>
      </c>
      <c r="AA11" t="s">
        <v>25</v>
      </c>
      <c r="AC11" t="s">
        <v>22</v>
      </c>
      <c r="AD11" t="s">
        <v>157</v>
      </c>
      <c r="AE11">
        <v>1</v>
      </c>
      <c r="AG11" t="s">
        <v>96</v>
      </c>
      <c r="AH11" t="s">
        <v>157</v>
      </c>
      <c r="AI11">
        <v>0.5712553101788147</v>
      </c>
      <c r="AK11">
        <v>2020</v>
      </c>
      <c r="AL11" t="s">
        <v>152</v>
      </c>
      <c r="AM11">
        <v>0.40754241546857789</v>
      </c>
      <c r="AN11" t="s">
        <v>449</v>
      </c>
    </row>
    <row r="12" spans="1:40" x14ac:dyDescent="0.45">
      <c r="I12" t="s">
        <v>159</v>
      </c>
      <c r="J12" t="s">
        <v>157</v>
      </c>
      <c r="K12">
        <v>1.0000000000000004</v>
      </c>
      <c r="L12" t="s">
        <v>158</v>
      </c>
      <c r="N12" t="s">
        <v>295</v>
      </c>
      <c r="O12" t="s">
        <v>157</v>
      </c>
      <c r="P12">
        <v>0.99999999999999833</v>
      </c>
      <c r="Q12" t="s">
        <v>158</v>
      </c>
      <c r="S12" t="s">
        <v>409</v>
      </c>
      <c r="T12" t="s">
        <v>157</v>
      </c>
      <c r="U12">
        <v>0.99999999999999944</v>
      </c>
      <c r="V12" t="s">
        <v>158</v>
      </c>
      <c r="AC12" t="s">
        <v>19</v>
      </c>
      <c r="AD12" t="s">
        <v>157</v>
      </c>
      <c r="AE12">
        <v>1</v>
      </c>
      <c r="AK12">
        <v>2021</v>
      </c>
      <c r="AL12" t="s">
        <v>152</v>
      </c>
      <c r="AM12">
        <v>0.3830626641691019</v>
      </c>
      <c r="AN12" t="s">
        <v>449</v>
      </c>
    </row>
    <row r="13" spans="1:40" x14ac:dyDescent="0.45">
      <c r="I13" t="s">
        <v>160</v>
      </c>
      <c r="J13" t="s">
        <v>157</v>
      </c>
      <c r="K13">
        <v>0.99999999999999889</v>
      </c>
      <c r="L13" t="s">
        <v>158</v>
      </c>
      <c r="N13" t="s">
        <v>296</v>
      </c>
      <c r="O13" t="s">
        <v>157</v>
      </c>
      <c r="P13">
        <v>0.99999999999999678</v>
      </c>
      <c r="Q13" t="s">
        <v>158</v>
      </c>
      <c r="S13" t="s">
        <v>410</v>
      </c>
      <c r="T13" t="s">
        <v>157</v>
      </c>
      <c r="U13">
        <v>0.99999999999999323</v>
      </c>
      <c r="V13" t="s">
        <v>158</v>
      </c>
      <c r="AK13">
        <v>2022</v>
      </c>
      <c r="AL13" t="s">
        <v>152</v>
      </c>
      <c r="AM13">
        <v>0.37540092593393276</v>
      </c>
      <c r="AN13" t="s">
        <v>449</v>
      </c>
    </row>
    <row r="14" spans="1:40" x14ac:dyDescent="0.45">
      <c r="I14" t="s">
        <v>161</v>
      </c>
      <c r="J14" t="s">
        <v>157</v>
      </c>
      <c r="K14">
        <v>0.99999999999999978</v>
      </c>
      <c r="L14" t="s">
        <v>158</v>
      </c>
      <c r="N14" t="s">
        <v>297</v>
      </c>
      <c r="O14" t="s">
        <v>157</v>
      </c>
      <c r="P14">
        <v>0.99999999999999956</v>
      </c>
      <c r="Q14" t="s">
        <v>158</v>
      </c>
      <c r="S14" t="s">
        <v>411</v>
      </c>
      <c r="T14" t="s">
        <v>157</v>
      </c>
      <c r="U14">
        <v>1.0000000000000007</v>
      </c>
      <c r="V14" t="s">
        <v>158</v>
      </c>
      <c r="AK14">
        <v>2025</v>
      </c>
      <c r="AL14" t="s">
        <v>152</v>
      </c>
      <c r="AM14">
        <v>0.39233333333333337</v>
      </c>
      <c r="AN14" t="s">
        <v>449</v>
      </c>
    </row>
    <row r="15" spans="1:40" x14ac:dyDescent="0.45">
      <c r="I15" t="s">
        <v>162</v>
      </c>
      <c r="J15" t="s">
        <v>157</v>
      </c>
      <c r="K15">
        <v>1.0000000000000011</v>
      </c>
      <c r="L15" t="s">
        <v>158</v>
      </c>
      <c r="N15" t="s">
        <v>298</v>
      </c>
      <c r="O15" t="s">
        <v>157</v>
      </c>
      <c r="P15">
        <v>1.0000000000000031</v>
      </c>
      <c r="Q15" t="s">
        <v>158</v>
      </c>
      <c r="S15" t="s">
        <v>412</v>
      </c>
      <c r="T15" t="s">
        <v>157</v>
      </c>
      <c r="U15">
        <v>1.000000000000002</v>
      </c>
      <c r="V15" t="s">
        <v>158</v>
      </c>
      <c r="AK15">
        <v>2026</v>
      </c>
      <c r="AL15" t="s">
        <v>152</v>
      </c>
      <c r="AM15">
        <v>0.32144166666666668</v>
      </c>
      <c r="AN15" t="s">
        <v>449</v>
      </c>
    </row>
    <row r="16" spans="1:40" x14ac:dyDescent="0.45">
      <c r="I16" t="s">
        <v>163</v>
      </c>
      <c r="J16" t="s">
        <v>157</v>
      </c>
      <c r="K16">
        <v>0.99999999999999922</v>
      </c>
      <c r="L16" t="s">
        <v>158</v>
      </c>
      <c r="N16" t="s">
        <v>299</v>
      </c>
      <c r="O16" t="s">
        <v>157</v>
      </c>
      <c r="P16">
        <v>1.0000000000000018</v>
      </c>
      <c r="Q16" t="s">
        <v>158</v>
      </c>
      <c r="S16" t="s">
        <v>413</v>
      </c>
      <c r="T16" t="s">
        <v>157</v>
      </c>
      <c r="U16">
        <v>1.0000000000000007</v>
      </c>
      <c r="V16" t="s">
        <v>158</v>
      </c>
      <c r="AK16">
        <v>2027</v>
      </c>
      <c r="AL16" t="s">
        <v>152</v>
      </c>
      <c r="AM16">
        <v>0.33018333333333333</v>
      </c>
      <c r="AN16" t="s">
        <v>449</v>
      </c>
    </row>
    <row r="17" spans="9:40" x14ac:dyDescent="0.45">
      <c r="I17" t="s">
        <v>164</v>
      </c>
      <c r="J17" t="s">
        <v>157</v>
      </c>
      <c r="K17">
        <v>1.0000000000000007</v>
      </c>
      <c r="L17" t="s">
        <v>158</v>
      </c>
      <c r="N17" t="s">
        <v>300</v>
      </c>
      <c r="O17" t="s">
        <v>157</v>
      </c>
      <c r="P17">
        <v>1.0000000000000009</v>
      </c>
      <c r="Q17" t="s">
        <v>158</v>
      </c>
      <c r="S17" t="s">
        <v>414</v>
      </c>
      <c r="T17" t="s">
        <v>157</v>
      </c>
      <c r="U17">
        <v>1.0000000000000029</v>
      </c>
      <c r="V17" t="s">
        <v>158</v>
      </c>
      <c r="AK17">
        <v>2028</v>
      </c>
      <c r="AL17" t="s">
        <v>152</v>
      </c>
      <c r="AM17">
        <v>0.33303333333333335</v>
      </c>
      <c r="AN17" t="s">
        <v>449</v>
      </c>
    </row>
    <row r="18" spans="9:40" x14ac:dyDescent="0.45">
      <c r="I18" t="s">
        <v>165</v>
      </c>
      <c r="J18" t="s">
        <v>157</v>
      </c>
      <c r="K18">
        <v>0.99999999999999989</v>
      </c>
      <c r="L18" t="s">
        <v>158</v>
      </c>
      <c r="N18" t="s">
        <v>301</v>
      </c>
      <c r="O18" t="s">
        <v>157</v>
      </c>
      <c r="P18">
        <v>0.99999999999999689</v>
      </c>
      <c r="Q18" t="s">
        <v>158</v>
      </c>
      <c r="S18" t="s">
        <v>415</v>
      </c>
      <c r="T18" t="s">
        <v>157</v>
      </c>
      <c r="U18">
        <v>1.0000000000000013</v>
      </c>
      <c r="V18" t="s">
        <v>158</v>
      </c>
      <c r="AK18">
        <v>2029</v>
      </c>
      <c r="AL18" t="s">
        <v>152</v>
      </c>
      <c r="AM18">
        <v>0.33209166666666667</v>
      </c>
      <c r="AN18" t="s">
        <v>449</v>
      </c>
    </row>
    <row r="19" spans="9:40" x14ac:dyDescent="0.45">
      <c r="I19" t="s">
        <v>166</v>
      </c>
      <c r="J19" t="s">
        <v>157</v>
      </c>
      <c r="K19">
        <v>1.000000000000002</v>
      </c>
      <c r="L19" t="s">
        <v>158</v>
      </c>
      <c r="N19" t="s">
        <v>302</v>
      </c>
      <c r="O19" t="s">
        <v>157</v>
      </c>
      <c r="P19">
        <v>1.0000000000000053</v>
      </c>
      <c r="Q19" t="s">
        <v>158</v>
      </c>
      <c r="S19" t="s">
        <v>416</v>
      </c>
      <c r="T19" t="s">
        <v>157</v>
      </c>
      <c r="U19">
        <v>0.99999999999999667</v>
      </c>
      <c r="V19" t="s">
        <v>158</v>
      </c>
      <c r="AK19">
        <v>2030</v>
      </c>
      <c r="AL19" t="s">
        <v>152</v>
      </c>
      <c r="AM19">
        <v>0.44320833333333326</v>
      </c>
      <c r="AN19" t="s">
        <v>449</v>
      </c>
    </row>
    <row r="20" spans="9:40" x14ac:dyDescent="0.45">
      <c r="I20" t="s">
        <v>167</v>
      </c>
      <c r="J20" t="s">
        <v>157</v>
      </c>
      <c r="K20">
        <v>0.99999999999999656</v>
      </c>
      <c r="L20" t="s">
        <v>158</v>
      </c>
      <c r="N20" t="s">
        <v>303</v>
      </c>
      <c r="O20" t="s">
        <v>157</v>
      </c>
      <c r="P20">
        <v>0.99999999999999933</v>
      </c>
      <c r="Q20" t="s">
        <v>158</v>
      </c>
      <c r="S20" t="s">
        <v>417</v>
      </c>
      <c r="T20" t="s">
        <v>157</v>
      </c>
      <c r="U20">
        <v>0.99999999999999745</v>
      </c>
      <c r="V20" t="s">
        <v>158</v>
      </c>
      <c r="AK20">
        <v>2031</v>
      </c>
      <c r="AL20" t="s">
        <v>152</v>
      </c>
      <c r="AM20">
        <v>0.33509166666666662</v>
      </c>
      <c r="AN20" t="s">
        <v>449</v>
      </c>
    </row>
    <row r="21" spans="9:40" x14ac:dyDescent="0.45">
      <c r="I21" t="s">
        <v>168</v>
      </c>
      <c r="J21" t="s">
        <v>157</v>
      </c>
      <c r="K21">
        <v>1.0000000000000004</v>
      </c>
      <c r="L21" t="s">
        <v>158</v>
      </c>
      <c r="N21" t="s">
        <v>304</v>
      </c>
      <c r="O21" t="s">
        <v>157</v>
      </c>
      <c r="P21">
        <v>0.99999999999999745</v>
      </c>
      <c r="Q21" t="s">
        <v>158</v>
      </c>
      <c r="S21" t="s">
        <v>418</v>
      </c>
      <c r="T21" t="s">
        <v>157</v>
      </c>
      <c r="U21">
        <v>1.0000000000000029</v>
      </c>
      <c r="V21" t="s">
        <v>158</v>
      </c>
      <c r="AK21">
        <v>2032</v>
      </c>
      <c r="AL21" t="s">
        <v>152</v>
      </c>
      <c r="AM21">
        <v>0.32289166666666663</v>
      </c>
      <c r="AN21" t="s">
        <v>449</v>
      </c>
    </row>
    <row r="22" spans="9:40" x14ac:dyDescent="0.45">
      <c r="I22" t="s">
        <v>169</v>
      </c>
      <c r="J22" t="s">
        <v>157</v>
      </c>
      <c r="K22">
        <v>1.0000000000000022</v>
      </c>
      <c r="L22" t="s">
        <v>158</v>
      </c>
      <c r="N22" t="s">
        <v>305</v>
      </c>
      <c r="O22" t="s">
        <v>157</v>
      </c>
      <c r="P22">
        <v>1.0000000000000016</v>
      </c>
      <c r="Q22" t="s">
        <v>158</v>
      </c>
      <c r="S22" t="s">
        <v>419</v>
      </c>
      <c r="T22" t="s">
        <v>157</v>
      </c>
      <c r="U22">
        <v>0.99999999999999567</v>
      </c>
      <c r="V22" t="s">
        <v>158</v>
      </c>
      <c r="AK22">
        <v>2033</v>
      </c>
      <c r="AL22" t="s">
        <v>152</v>
      </c>
      <c r="AM22">
        <v>0.43724999999999997</v>
      </c>
      <c r="AN22" t="s">
        <v>449</v>
      </c>
    </row>
    <row r="23" spans="9:40" x14ac:dyDescent="0.45">
      <c r="I23" t="s">
        <v>170</v>
      </c>
      <c r="J23" t="s">
        <v>157</v>
      </c>
      <c r="K23">
        <v>0.99999999999999856</v>
      </c>
      <c r="L23" t="s">
        <v>158</v>
      </c>
      <c r="N23" t="s">
        <v>306</v>
      </c>
      <c r="O23" t="s">
        <v>157</v>
      </c>
      <c r="P23">
        <v>0.999999999999997</v>
      </c>
      <c r="Q23" t="s">
        <v>158</v>
      </c>
      <c r="S23" t="s">
        <v>420</v>
      </c>
      <c r="T23" t="s">
        <v>157</v>
      </c>
      <c r="U23">
        <v>0.99999999999999689</v>
      </c>
      <c r="V23" t="s">
        <v>158</v>
      </c>
      <c r="AK23">
        <v>2034</v>
      </c>
      <c r="AL23" t="s">
        <v>152</v>
      </c>
      <c r="AM23">
        <v>0.38294166666666668</v>
      </c>
      <c r="AN23" t="s">
        <v>449</v>
      </c>
    </row>
    <row r="24" spans="9:40" x14ac:dyDescent="0.45">
      <c r="I24" t="s">
        <v>171</v>
      </c>
      <c r="J24" t="s">
        <v>157</v>
      </c>
      <c r="K24">
        <v>1.0000000000000018</v>
      </c>
      <c r="L24" t="s">
        <v>158</v>
      </c>
      <c r="N24" t="s">
        <v>307</v>
      </c>
      <c r="O24" t="s">
        <v>157</v>
      </c>
      <c r="P24">
        <v>0.99999999999999534</v>
      </c>
      <c r="Q24" t="s">
        <v>158</v>
      </c>
      <c r="S24" t="s">
        <v>421</v>
      </c>
      <c r="T24" t="s">
        <v>157</v>
      </c>
      <c r="U24">
        <v>0.99999999999999989</v>
      </c>
      <c r="V24" t="s">
        <v>158</v>
      </c>
      <c r="AK24">
        <v>2035</v>
      </c>
      <c r="AL24" t="s">
        <v>152</v>
      </c>
      <c r="AM24">
        <v>0.33310833333333334</v>
      </c>
      <c r="AN24" t="s">
        <v>449</v>
      </c>
    </row>
    <row r="25" spans="9:40" x14ac:dyDescent="0.45">
      <c r="I25" t="s">
        <v>172</v>
      </c>
      <c r="J25" t="s">
        <v>157</v>
      </c>
      <c r="K25">
        <v>1</v>
      </c>
      <c r="L25" t="s">
        <v>158</v>
      </c>
      <c r="N25" t="s">
        <v>308</v>
      </c>
      <c r="O25" t="s">
        <v>157</v>
      </c>
      <c r="P25">
        <v>0.999999999999998</v>
      </c>
      <c r="Q25" t="s">
        <v>158</v>
      </c>
      <c r="S25" t="s">
        <v>422</v>
      </c>
      <c r="T25" t="s">
        <v>157</v>
      </c>
      <c r="U25">
        <v>1.0000000000000016</v>
      </c>
      <c r="V25" t="s">
        <v>158</v>
      </c>
      <c r="AK25">
        <v>2036</v>
      </c>
      <c r="AL25" t="s">
        <v>152</v>
      </c>
      <c r="AM25">
        <v>0.38650000000000007</v>
      </c>
      <c r="AN25" t="s">
        <v>449</v>
      </c>
    </row>
    <row r="26" spans="9:40" x14ac:dyDescent="0.45">
      <c r="I26" t="s">
        <v>173</v>
      </c>
      <c r="J26" t="s">
        <v>157</v>
      </c>
      <c r="K26">
        <v>0.999999999999999</v>
      </c>
      <c r="L26" t="s">
        <v>158</v>
      </c>
      <c r="N26" t="s">
        <v>309</v>
      </c>
      <c r="O26" t="s">
        <v>157</v>
      </c>
      <c r="P26">
        <v>0.99999999999999967</v>
      </c>
      <c r="Q26" t="s">
        <v>158</v>
      </c>
      <c r="S26" t="s">
        <v>423</v>
      </c>
      <c r="T26" t="s">
        <v>157</v>
      </c>
      <c r="U26">
        <v>0.999999999999999</v>
      </c>
      <c r="V26" t="s">
        <v>158</v>
      </c>
      <c r="AK26">
        <v>2037</v>
      </c>
      <c r="AL26" t="s">
        <v>152</v>
      </c>
      <c r="AM26">
        <v>0.4544333333333333</v>
      </c>
      <c r="AN26" t="s">
        <v>449</v>
      </c>
    </row>
    <row r="27" spans="9:40" x14ac:dyDescent="0.45">
      <c r="I27" t="s">
        <v>174</v>
      </c>
      <c r="J27" t="s">
        <v>157</v>
      </c>
      <c r="K27">
        <v>1.0000000000000047</v>
      </c>
      <c r="L27" t="s">
        <v>158</v>
      </c>
      <c r="N27" t="s">
        <v>310</v>
      </c>
      <c r="O27" t="s">
        <v>157</v>
      </c>
      <c r="P27">
        <v>0.99999999999999778</v>
      </c>
      <c r="Q27" t="s">
        <v>158</v>
      </c>
      <c r="S27" t="s">
        <v>424</v>
      </c>
      <c r="T27" t="s">
        <v>157</v>
      </c>
      <c r="U27">
        <v>0.99999999999999933</v>
      </c>
      <c r="V27" t="s">
        <v>158</v>
      </c>
      <c r="AK27">
        <v>2038</v>
      </c>
      <c r="AL27" t="s">
        <v>152</v>
      </c>
      <c r="AM27">
        <v>0.4447666666666667</v>
      </c>
      <c r="AN27" t="s">
        <v>449</v>
      </c>
    </row>
    <row r="28" spans="9:40" x14ac:dyDescent="0.45">
      <c r="I28" t="s">
        <v>175</v>
      </c>
      <c r="J28" t="s">
        <v>157</v>
      </c>
      <c r="K28">
        <v>1.0000000000000018</v>
      </c>
      <c r="L28" t="s">
        <v>158</v>
      </c>
      <c r="N28" t="s">
        <v>311</v>
      </c>
      <c r="O28" t="s">
        <v>157</v>
      </c>
      <c r="P28">
        <v>1.0000000000000004</v>
      </c>
      <c r="Q28" t="s">
        <v>158</v>
      </c>
      <c r="S28" t="s">
        <v>425</v>
      </c>
      <c r="T28" t="s">
        <v>157</v>
      </c>
      <c r="U28">
        <v>1.000000000000004</v>
      </c>
      <c r="V28" t="s">
        <v>158</v>
      </c>
      <c r="AK28">
        <v>2039</v>
      </c>
      <c r="AL28" t="s">
        <v>152</v>
      </c>
      <c r="AM28">
        <v>0.44177500000000003</v>
      </c>
      <c r="AN28" t="s">
        <v>449</v>
      </c>
    </row>
    <row r="29" spans="9:40" x14ac:dyDescent="0.45">
      <c r="I29" t="s">
        <v>176</v>
      </c>
      <c r="J29" t="s">
        <v>157</v>
      </c>
      <c r="K29">
        <v>1.000000000000002</v>
      </c>
      <c r="L29" t="s">
        <v>158</v>
      </c>
      <c r="N29" t="s">
        <v>312</v>
      </c>
      <c r="O29" t="s">
        <v>157</v>
      </c>
      <c r="P29">
        <v>0.999999999999994</v>
      </c>
      <c r="Q29" t="s">
        <v>158</v>
      </c>
      <c r="S29" t="s">
        <v>426</v>
      </c>
      <c r="T29" t="s">
        <v>157</v>
      </c>
      <c r="U29">
        <v>0.99999999999999423</v>
      </c>
      <c r="V29" t="s">
        <v>158</v>
      </c>
      <c r="AK29">
        <v>2040</v>
      </c>
      <c r="AL29" t="s">
        <v>152</v>
      </c>
      <c r="AM29">
        <v>0.44535000000000008</v>
      </c>
      <c r="AN29" t="s">
        <v>449</v>
      </c>
    </row>
    <row r="30" spans="9:40" x14ac:dyDescent="0.45">
      <c r="I30" t="s">
        <v>177</v>
      </c>
      <c r="J30" t="s">
        <v>157</v>
      </c>
      <c r="K30">
        <v>1.0000000000000002</v>
      </c>
      <c r="L30" t="s">
        <v>158</v>
      </c>
      <c r="N30" t="s">
        <v>313</v>
      </c>
      <c r="O30" t="s">
        <v>157</v>
      </c>
      <c r="P30">
        <v>1.000000000000002</v>
      </c>
      <c r="Q30" t="s">
        <v>158</v>
      </c>
      <c r="S30" t="s">
        <v>427</v>
      </c>
      <c r="T30" t="s">
        <v>157</v>
      </c>
      <c r="U30">
        <v>1.0000000000000018</v>
      </c>
      <c r="V30" t="s">
        <v>158</v>
      </c>
      <c r="AK30">
        <v>2041</v>
      </c>
      <c r="AL30" t="s">
        <v>152</v>
      </c>
      <c r="AM30">
        <v>0.43517500000000009</v>
      </c>
      <c r="AN30" t="s">
        <v>449</v>
      </c>
    </row>
    <row r="31" spans="9:40" x14ac:dyDescent="0.45">
      <c r="I31" t="s">
        <v>178</v>
      </c>
      <c r="J31" t="s">
        <v>157</v>
      </c>
      <c r="K31">
        <v>1.0000000000000024</v>
      </c>
      <c r="L31" t="s">
        <v>158</v>
      </c>
      <c r="N31" t="s">
        <v>314</v>
      </c>
      <c r="O31" t="s">
        <v>157</v>
      </c>
      <c r="P31">
        <v>1.000000000000004</v>
      </c>
      <c r="Q31" t="s">
        <v>158</v>
      </c>
      <c r="S31" t="s">
        <v>428</v>
      </c>
      <c r="T31" t="s">
        <v>157</v>
      </c>
      <c r="U31">
        <v>1.0000000000000013</v>
      </c>
      <c r="V31" t="s">
        <v>158</v>
      </c>
      <c r="AK31">
        <v>2042</v>
      </c>
      <c r="AL31" t="s">
        <v>152</v>
      </c>
      <c r="AM31">
        <v>0.44190833333333335</v>
      </c>
      <c r="AN31" t="s">
        <v>449</v>
      </c>
    </row>
    <row r="32" spans="9:40" x14ac:dyDescent="0.45">
      <c r="I32" t="s">
        <v>179</v>
      </c>
      <c r="J32" t="s">
        <v>157</v>
      </c>
      <c r="K32">
        <v>0.99999999999999811</v>
      </c>
      <c r="L32" t="s">
        <v>158</v>
      </c>
      <c r="N32" t="s">
        <v>315</v>
      </c>
      <c r="O32" t="s">
        <v>157</v>
      </c>
      <c r="P32">
        <v>0.99999999999999745</v>
      </c>
      <c r="Q32" t="s">
        <v>158</v>
      </c>
      <c r="S32" t="s">
        <v>429</v>
      </c>
      <c r="T32" t="s">
        <v>157</v>
      </c>
      <c r="U32">
        <v>1.000000000000002</v>
      </c>
      <c r="V32" t="s">
        <v>158</v>
      </c>
      <c r="AK32">
        <v>2043</v>
      </c>
      <c r="AL32" t="s">
        <v>152</v>
      </c>
      <c r="AM32">
        <v>0.43755000000000005</v>
      </c>
      <c r="AN32" t="s">
        <v>449</v>
      </c>
    </row>
    <row r="33" spans="9:40" x14ac:dyDescent="0.45">
      <c r="I33" t="s">
        <v>180</v>
      </c>
      <c r="J33" t="s">
        <v>157</v>
      </c>
      <c r="K33">
        <v>1.0000000000000013</v>
      </c>
      <c r="L33" t="s">
        <v>158</v>
      </c>
      <c r="N33" t="s">
        <v>316</v>
      </c>
      <c r="O33" t="s">
        <v>157</v>
      </c>
      <c r="P33">
        <v>1.0000000000000027</v>
      </c>
      <c r="Q33" t="s">
        <v>158</v>
      </c>
      <c r="S33" t="s">
        <v>430</v>
      </c>
      <c r="T33" t="s">
        <v>157</v>
      </c>
      <c r="U33">
        <v>0.99999999999999589</v>
      </c>
      <c r="V33" t="s">
        <v>158</v>
      </c>
      <c r="AK33">
        <v>2044</v>
      </c>
      <c r="AL33" t="s">
        <v>152</v>
      </c>
      <c r="AM33">
        <v>0.38585833333333341</v>
      </c>
      <c r="AN33" t="s">
        <v>449</v>
      </c>
    </row>
    <row r="34" spans="9:40" x14ac:dyDescent="0.45">
      <c r="I34" t="s">
        <v>181</v>
      </c>
      <c r="J34" t="s">
        <v>157</v>
      </c>
      <c r="K34">
        <v>1.0000000000000024</v>
      </c>
      <c r="L34" t="s">
        <v>158</v>
      </c>
      <c r="N34" t="s">
        <v>317</v>
      </c>
      <c r="O34" t="s">
        <v>157</v>
      </c>
      <c r="P34">
        <v>1.0000000000000036</v>
      </c>
      <c r="Q34" t="s">
        <v>158</v>
      </c>
      <c r="S34" t="s">
        <v>431</v>
      </c>
      <c r="T34" t="s">
        <v>157</v>
      </c>
      <c r="U34">
        <v>0.99999999999999767</v>
      </c>
      <c r="V34" t="s">
        <v>158</v>
      </c>
      <c r="AK34">
        <v>2045</v>
      </c>
      <c r="AL34" t="s">
        <v>152</v>
      </c>
      <c r="AM34">
        <v>0.43522500000000003</v>
      </c>
      <c r="AN34" t="s">
        <v>449</v>
      </c>
    </row>
    <row r="35" spans="9:40" x14ac:dyDescent="0.45">
      <c r="I35" t="s">
        <v>182</v>
      </c>
      <c r="J35" t="s">
        <v>157</v>
      </c>
      <c r="K35">
        <v>1</v>
      </c>
      <c r="L35" t="s">
        <v>158</v>
      </c>
      <c r="N35" t="s">
        <v>318</v>
      </c>
      <c r="O35" t="s">
        <v>157</v>
      </c>
      <c r="P35">
        <v>0.99999999999999967</v>
      </c>
      <c r="Q35" t="s">
        <v>158</v>
      </c>
      <c r="S35" t="s">
        <v>432</v>
      </c>
      <c r="T35" t="s">
        <v>157</v>
      </c>
      <c r="U35">
        <v>0.99999999999999922</v>
      </c>
      <c r="V35" t="s">
        <v>158</v>
      </c>
      <c r="AK35">
        <v>2046</v>
      </c>
      <c r="AL35" t="s">
        <v>152</v>
      </c>
      <c r="AM35">
        <v>0.38414999999999999</v>
      </c>
      <c r="AN35" t="s">
        <v>449</v>
      </c>
    </row>
    <row r="36" spans="9:40" x14ac:dyDescent="0.45">
      <c r="I36" t="s">
        <v>183</v>
      </c>
      <c r="J36" t="s">
        <v>157</v>
      </c>
      <c r="K36">
        <v>0.99999999999999711</v>
      </c>
      <c r="L36" t="s">
        <v>158</v>
      </c>
      <c r="N36" t="s">
        <v>319</v>
      </c>
      <c r="O36" t="s">
        <v>157</v>
      </c>
      <c r="P36">
        <v>0.99999999999999811</v>
      </c>
      <c r="Q36" t="s">
        <v>158</v>
      </c>
      <c r="S36" t="s">
        <v>433</v>
      </c>
      <c r="T36" t="s">
        <v>157</v>
      </c>
      <c r="U36">
        <v>0.99999999999999889</v>
      </c>
      <c r="V36" t="s">
        <v>158</v>
      </c>
      <c r="AK36">
        <v>2047</v>
      </c>
      <c r="AL36" t="s">
        <v>152</v>
      </c>
      <c r="AM36">
        <v>0.3874333333333333</v>
      </c>
      <c r="AN36" t="s">
        <v>449</v>
      </c>
    </row>
    <row r="37" spans="9:40" x14ac:dyDescent="0.45">
      <c r="I37" t="s">
        <v>184</v>
      </c>
      <c r="J37" t="s">
        <v>157</v>
      </c>
      <c r="K37">
        <v>0.99999999999999656</v>
      </c>
      <c r="L37" t="s">
        <v>158</v>
      </c>
      <c r="N37" t="s">
        <v>320</v>
      </c>
      <c r="O37" t="s">
        <v>157</v>
      </c>
      <c r="P37">
        <v>1.000000000000004</v>
      </c>
      <c r="Q37" t="s">
        <v>158</v>
      </c>
      <c r="S37" t="s">
        <v>434</v>
      </c>
      <c r="T37" t="s">
        <v>157</v>
      </c>
      <c r="U37">
        <v>1.0000000000000022</v>
      </c>
      <c r="V37" t="s">
        <v>158</v>
      </c>
      <c r="AK37">
        <v>2048</v>
      </c>
      <c r="AL37" t="s">
        <v>152</v>
      </c>
      <c r="AM37">
        <v>0.38362500000000005</v>
      </c>
      <c r="AN37" t="s">
        <v>449</v>
      </c>
    </row>
    <row r="38" spans="9:40" x14ac:dyDescent="0.45">
      <c r="I38" t="s">
        <v>185</v>
      </c>
      <c r="J38" t="s">
        <v>157</v>
      </c>
      <c r="K38">
        <v>0.99999999999999956</v>
      </c>
      <c r="L38" t="s">
        <v>158</v>
      </c>
      <c r="N38" t="s">
        <v>321</v>
      </c>
      <c r="O38" t="s">
        <v>157</v>
      </c>
      <c r="P38">
        <v>1.0000000000000011</v>
      </c>
      <c r="Q38" t="s">
        <v>158</v>
      </c>
      <c r="S38" t="s">
        <v>435</v>
      </c>
      <c r="T38" t="s">
        <v>157</v>
      </c>
      <c r="U38">
        <v>1.0000000000000007</v>
      </c>
      <c r="V38" t="s">
        <v>158</v>
      </c>
      <c r="AK38">
        <v>2049</v>
      </c>
      <c r="AL38" t="s">
        <v>152</v>
      </c>
      <c r="AM38">
        <v>0.37768333333333332</v>
      </c>
      <c r="AN38" t="s">
        <v>449</v>
      </c>
    </row>
    <row r="39" spans="9:40" x14ac:dyDescent="0.45">
      <c r="I39" t="s">
        <v>186</v>
      </c>
      <c r="J39" t="s">
        <v>157</v>
      </c>
      <c r="K39">
        <v>0.99999999999999789</v>
      </c>
      <c r="L39" t="s">
        <v>158</v>
      </c>
      <c r="N39" t="s">
        <v>322</v>
      </c>
      <c r="O39" t="s">
        <v>157</v>
      </c>
      <c r="P39">
        <v>1.0000000000000011</v>
      </c>
      <c r="Q39" t="s">
        <v>158</v>
      </c>
      <c r="S39" t="s">
        <v>436</v>
      </c>
      <c r="T39" t="s">
        <v>157</v>
      </c>
      <c r="U39">
        <v>1.0000000000000002</v>
      </c>
      <c r="V39" t="s">
        <v>158</v>
      </c>
      <c r="AK39">
        <v>2050</v>
      </c>
      <c r="AL39" t="s">
        <v>152</v>
      </c>
      <c r="AM39">
        <v>0.37857499999999994</v>
      </c>
      <c r="AN39" t="s">
        <v>449</v>
      </c>
    </row>
    <row r="40" spans="9:40" x14ac:dyDescent="0.45">
      <c r="I40" t="s">
        <v>187</v>
      </c>
      <c r="J40" t="s">
        <v>157</v>
      </c>
      <c r="K40">
        <v>1.0000000000000024</v>
      </c>
      <c r="L40" t="s">
        <v>158</v>
      </c>
      <c r="N40" t="s">
        <v>323</v>
      </c>
      <c r="O40" t="s">
        <v>157</v>
      </c>
      <c r="P40">
        <v>0.99999999999999767</v>
      </c>
      <c r="Q40" t="s">
        <v>158</v>
      </c>
      <c r="S40" t="s">
        <v>437</v>
      </c>
      <c r="T40" t="s">
        <v>157</v>
      </c>
      <c r="U40">
        <v>1.000000000000002</v>
      </c>
      <c r="V40" t="s">
        <v>158</v>
      </c>
    </row>
    <row r="41" spans="9:40" x14ac:dyDescent="0.45">
      <c r="I41" t="s">
        <v>188</v>
      </c>
      <c r="J41" t="s">
        <v>157</v>
      </c>
      <c r="K41">
        <v>1.0000000000000022</v>
      </c>
      <c r="L41" t="s">
        <v>158</v>
      </c>
      <c r="N41" t="s">
        <v>324</v>
      </c>
      <c r="O41" t="s">
        <v>157</v>
      </c>
      <c r="P41">
        <v>0.99999999999999867</v>
      </c>
      <c r="Q41" t="s">
        <v>158</v>
      </c>
      <c r="S41" t="s">
        <v>438</v>
      </c>
      <c r="T41" t="s">
        <v>157</v>
      </c>
      <c r="U41">
        <v>1.0000000000000029</v>
      </c>
      <c r="V41" t="s">
        <v>158</v>
      </c>
    </row>
    <row r="42" spans="9:40" x14ac:dyDescent="0.45">
      <c r="I42" t="s">
        <v>189</v>
      </c>
      <c r="J42" t="s">
        <v>157</v>
      </c>
      <c r="K42">
        <v>0.99999999999999978</v>
      </c>
      <c r="L42" t="s">
        <v>158</v>
      </c>
      <c r="N42" t="s">
        <v>325</v>
      </c>
      <c r="O42" t="s">
        <v>157</v>
      </c>
      <c r="P42">
        <v>0.999999999999999</v>
      </c>
      <c r="Q42" t="s">
        <v>158</v>
      </c>
      <c r="S42" t="s">
        <v>439</v>
      </c>
      <c r="T42" t="s">
        <v>157</v>
      </c>
      <c r="U42">
        <v>1.0000000000000004</v>
      </c>
      <c r="V42" t="s">
        <v>158</v>
      </c>
    </row>
    <row r="43" spans="9:40" x14ac:dyDescent="0.45">
      <c r="I43" t="s">
        <v>190</v>
      </c>
      <c r="J43" t="s">
        <v>157</v>
      </c>
      <c r="K43">
        <v>1.0000000000000007</v>
      </c>
      <c r="L43" t="s">
        <v>158</v>
      </c>
      <c r="N43" t="s">
        <v>326</v>
      </c>
      <c r="O43" t="s">
        <v>157</v>
      </c>
      <c r="P43">
        <v>0.99999999999999967</v>
      </c>
      <c r="Q43" t="s">
        <v>158</v>
      </c>
      <c r="S43" t="s">
        <v>440</v>
      </c>
      <c r="T43" t="s">
        <v>157</v>
      </c>
      <c r="U43">
        <v>0.99999999999999911</v>
      </c>
      <c r="V43" t="s">
        <v>158</v>
      </c>
    </row>
    <row r="44" spans="9:40" x14ac:dyDescent="0.45">
      <c r="I44" t="s">
        <v>191</v>
      </c>
      <c r="J44" t="s">
        <v>157</v>
      </c>
      <c r="K44">
        <v>1.0000000000000027</v>
      </c>
      <c r="L44" t="s">
        <v>158</v>
      </c>
      <c r="N44" t="s">
        <v>327</v>
      </c>
      <c r="O44" t="s">
        <v>157</v>
      </c>
      <c r="P44">
        <v>0.99999999999999933</v>
      </c>
      <c r="Q44" t="s">
        <v>158</v>
      </c>
      <c r="S44" t="s">
        <v>441</v>
      </c>
      <c r="T44" t="s">
        <v>157</v>
      </c>
      <c r="U44">
        <v>0.99999999999999711</v>
      </c>
      <c r="V44" t="s">
        <v>158</v>
      </c>
    </row>
    <row r="45" spans="9:40" x14ac:dyDescent="0.45">
      <c r="I45" t="s">
        <v>192</v>
      </c>
      <c r="J45" t="s">
        <v>157</v>
      </c>
      <c r="K45">
        <v>0.99999999999999989</v>
      </c>
      <c r="L45" t="s">
        <v>158</v>
      </c>
      <c r="N45" t="s">
        <v>328</v>
      </c>
      <c r="O45" t="s">
        <v>157</v>
      </c>
      <c r="P45">
        <v>1.0000000000000024</v>
      </c>
      <c r="Q45" t="s">
        <v>158</v>
      </c>
    </row>
    <row r="46" spans="9:40" x14ac:dyDescent="0.45">
      <c r="I46" t="s">
        <v>193</v>
      </c>
      <c r="J46" t="s">
        <v>157</v>
      </c>
      <c r="K46">
        <v>1.0000000000000004</v>
      </c>
      <c r="L46" t="s">
        <v>158</v>
      </c>
      <c r="N46" t="s">
        <v>329</v>
      </c>
      <c r="O46" t="s">
        <v>157</v>
      </c>
      <c r="P46">
        <v>0.99999999999999911</v>
      </c>
      <c r="Q46" t="s">
        <v>158</v>
      </c>
    </row>
    <row r="47" spans="9:40" x14ac:dyDescent="0.45">
      <c r="I47" t="s">
        <v>194</v>
      </c>
      <c r="J47" t="s">
        <v>157</v>
      </c>
      <c r="K47">
        <v>0.99999999999999933</v>
      </c>
      <c r="L47" t="s">
        <v>158</v>
      </c>
      <c r="N47" t="s">
        <v>330</v>
      </c>
      <c r="O47" t="s">
        <v>157</v>
      </c>
      <c r="P47">
        <v>0.99999999999999922</v>
      </c>
      <c r="Q47" t="s">
        <v>158</v>
      </c>
    </row>
    <row r="48" spans="9:40" x14ac:dyDescent="0.45">
      <c r="I48" t="s">
        <v>195</v>
      </c>
      <c r="J48" t="s">
        <v>157</v>
      </c>
      <c r="K48">
        <v>0.99999999999999956</v>
      </c>
      <c r="L48" t="s">
        <v>158</v>
      </c>
      <c r="N48" t="s">
        <v>331</v>
      </c>
      <c r="O48" t="s">
        <v>157</v>
      </c>
      <c r="P48">
        <v>0.99999999999999889</v>
      </c>
      <c r="Q48" t="s">
        <v>158</v>
      </c>
    </row>
    <row r="49" spans="9:17" x14ac:dyDescent="0.45">
      <c r="I49" t="s">
        <v>196</v>
      </c>
      <c r="J49" t="s">
        <v>157</v>
      </c>
      <c r="K49">
        <v>1.0000000000000002</v>
      </c>
      <c r="L49" t="s">
        <v>158</v>
      </c>
      <c r="N49" t="s">
        <v>332</v>
      </c>
      <c r="O49" t="s">
        <v>157</v>
      </c>
      <c r="P49">
        <v>0.99999999999999389</v>
      </c>
      <c r="Q49" t="s">
        <v>158</v>
      </c>
    </row>
    <row r="50" spans="9:17" x14ac:dyDescent="0.45">
      <c r="I50" t="s">
        <v>197</v>
      </c>
      <c r="J50" t="s">
        <v>157</v>
      </c>
      <c r="K50">
        <v>1.0000000000000002</v>
      </c>
      <c r="L50" t="s">
        <v>158</v>
      </c>
      <c r="N50" t="s">
        <v>333</v>
      </c>
      <c r="O50" t="s">
        <v>157</v>
      </c>
      <c r="P50">
        <v>0.99999999999999944</v>
      </c>
      <c r="Q50" t="s">
        <v>158</v>
      </c>
    </row>
    <row r="51" spans="9:17" x14ac:dyDescent="0.45">
      <c r="I51" t="s">
        <v>198</v>
      </c>
      <c r="J51" t="s">
        <v>157</v>
      </c>
      <c r="K51">
        <v>1.0000000000000004</v>
      </c>
      <c r="L51" t="s">
        <v>158</v>
      </c>
      <c r="N51" t="s">
        <v>334</v>
      </c>
      <c r="O51" t="s">
        <v>157</v>
      </c>
      <c r="P51">
        <v>1.000000000000002</v>
      </c>
      <c r="Q51" t="s">
        <v>158</v>
      </c>
    </row>
    <row r="52" spans="9:17" x14ac:dyDescent="0.45">
      <c r="I52" t="s">
        <v>199</v>
      </c>
      <c r="J52" t="s">
        <v>157</v>
      </c>
      <c r="K52">
        <v>1.0000000000000009</v>
      </c>
      <c r="L52" t="s">
        <v>158</v>
      </c>
      <c r="N52" t="s">
        <v>335</v>
      </c>
      <c r="O52" t="s">
        <v>157</v>
      </c>
      <c r="P52">
        <v>1.0000000000000004</v>
      </c>
      <c r="Q52" t="s">
        <v>158</v>
      </c>
    </row>
    <row r="53" spans="9:17" x14ac:dyDescent="0.45">
      <c r="I53" t="s">
        <v>200</v>
      </c>
      <c r="J53" t="s">
        <v>157</v>
      </c>
      <c r="K53">
        <v>0.99999999999999878</v>
      </c>
      <c r="L53" t="s">
        <v>158</v>
      </c>
      <c r="N53" t="s">
        <v>336</v>
      </c>
      <c r="O53" t="s">
        <v>157</v>
      </c>
      <c r="P53">
        <v>0.99999999999999467</v>
      </c>
      <c r="Q53" t="s">
        <v>158</v>
      </c>
    </row>
    <row r="54" spans="9:17" x14ac:dyDescent="0.45">
      <c r="I54" t="s">
        <v>201</v>
      </c>
      <c r="J54" t="s">
        <v>157</v>
      </c>
      <c r="K54">
        <v>1.000000000000002</v>
      </c>
      <c r="L54" t="s">
        <v>158</v>
      </c>
      <c r="N54" t="s">
        <v>337</v>
      </c>
      <c r="O54" t="s">
        <v>157</v>
      </c>
      <c r="P54">
        <v>0.99999999999999944</v>
      </c>
      <c r="Q54" t="s">
        <v>158</v>
      </c>
    </row>
    <row r="55" spans="9:17" x14ac:dyDescent="0.45">
      <c r="I55" t="s">
        <v>202</v>
      </c>
      <c r="J55" t="s">
        <v>157</v>
      </c>
      <c r="K55">
        <v>1.0000000000000007</v>
      </c>
      <c r="L55" t="s">
        <v>158</v>
      </c>
      <c r="N55" t="s">
        <v>338</v>
      </c>
      <c r="O55" t="s">
        <v>157</v>
      </c>
      <c r="P55">
        <v>1.0000000000000042</v>
      </c>
      <c r="Q55" t="s">
        <v>158</v>
      </c>
    </row>
    <row r="56" spans="9:17" x14ac:dyDescent="0.45">
      <c r="I56" t="s">
        <v>203</v>
      </c>
      <c r="J56" t="s">
        <v>157</v>
      </c>
      <c r="K56">
        <v>1.0000000000000004</v>
      </c>
      <c r="L56" t="s">
        <v>158</v>
      </c>
      <c r="N56" t="s">
        <v>339</v>
      </c>
      <c r="O56" t="s">
        <v>157</v>
      </c>
      <c r="P56">
        <v>1.0000000000000033</v>
      </c>
      <c r="Q56" t="s">
        <v>158</v>
      </c>
    </row>
    <row r="57" spans="9:17" x14ac:dyDescent="0.45">
      <c r="I57" t="s">
        <v>204</v>
      </c>
      <c r="J57" t="s">
        <v>157</v>
      </c>
      <c r="K57">
        <v>1.0000000000000007</v>
      </c>
      <c r="L57" t="s">
        <v>158</v>
      </c>
      <c r="N57" t="s">
        <v>340</v>
      </c>
      <c r="O57" t="s">
        <v>157</v>
      </c>
      <c r="P57">
        <v>1.0000000000000027</v>
      </c>
      <c r="Q57" t="s">
        <v>158</v>
      </c>
    </row>
    <row r="58" spans="9:17" x14ac:dyDescent="0.45">
      <c r="I58" t="s">
        <v>205</v>
      </c>
      <c r="J58" t="s">
        <v>157</v>
      </c>
      <c r="K58">
        <v>1.0000000000000013</v>
      </c>
      <c r="L58" t="s">
        <v>158</v>
      </c>
      <c r="N58" t="s">
        <v>341</v>
      </c>
      <c r="O58" t="s">
        <v>157</v>
      </c>
      <c r="P58">
        <v>1.0000000000000013</v>
      </c>
      <c r="Q58" t="s">
        <v>158</v>
      </c>
    </row>
    <row r="59" spans="9:17" x14ac:dyDescent="0.45">
      <c r="I59" t="s">
        <v>206</v>
      </c>
      <c r="J59" t="s">
        <v>157</v>
      </c>
      <c r="K59">
        <v>1</v>
      </c>
      <c r="L59" t="s">
        <v>158</v>
      </c>
      <c r="N59" t="s">
        <v>342</v>
      </c>
      <c r="O59" t="s">
        <v>157</v>
      </c>
      <c r="P59">
        <v>0.99999999999999634</v>
      </c>
      <c r="Q59" t="s">
        <v>158</v>
      </c>
    </row>
    <row r="60" spans="9:17" x14ac:dyDescent="0.45">
      <c r="I60" t="s">
        <v>207</v>
      </c>
      <c r="J60" t="s">
        <v>157</v>
      </c>
      <c r="K60">
        <v>1.0000000000000004</v>
      </c>
      <c r="L60" t="s">
        <v>158</v>
      </c>
      <c r="N60" t="s">
        <v>343</v>
      </c>
      <c r="O60" t="s">
        <v>157</v>
      </c>
      <c r="P60">
        <v>1.0000000000000004</v>
      </c>
      <c r="Q60" t="s">
        <v>158</v>
      </c>
    </row>
    <row r="61" spans="9:17" x14ac:dyDescent="0.45">
      <c r="I61" t="s">
        <v>208</v>
      </c>
      <c r="J61" t="s">
        <v>157</v>
      </c>
      <c r="K61">
        <v>0.99999999999999922</v>
      </c>
      <c r="L61" t="s">
        <v>158</v>
      </c>
      <c r="N61" t="s">
        <v>344</v>
      </c>
      <c r="O61" t="s">
        <v>157</v>
      </c>
      <c r="P61">
        <v>1.0000000000000013</v>
      </c>
      <c r="Q61" t="s">
        <v>158</v>
      </c>
    </row>
    <row r="62" spans="9:17" x14ac:dyDescent="0.45">
      <c r="I62" t="s">
        <v>209</v>
      </c>
      <c r="J62" t="s">
        <v>157</v>
      </c>
      <c r="K62">
        <v>1.0000000000000016</v>
      </c>
      <c r="L62" t="s">
        <v>158</v>
      </c>
      <c r="N62" t="s">
        <v>345</v>
      </c>
      <c r="O62" t="s">
        <v>157</v>
      </c>
      <c r="P62">
        <v>1.0000000000000047</v>
      </c>
      <c r="Q62" t="s">
        <v>158</v>
      </c>
    </row>
    <row r="63" spans="9:17" x14ac:dyDescent="0.45">
      <c r="I63" t="s">
        <v>210</v>
      </c>
      <c r="J63" t="s">
        <v>157</v>
      </c>
      <c r="K63">
        <v>1.0000000000000002</v>
      </c>
      <c r="L63" t="s">
        <v>158</v>
      </c>
      <c r="N63" t="s">
        <v>346</v>
      </c>
      <c r="O63" t="s">
        <v>157</v>
      </c>
      <c r="P63">
        <v>1.0000000000000027</v>
      </c>
      <c r="Q63" t="s">
        <v>158</v>
      </c>
    </row>
    <row r="64" spans="9:17" x14ac:dyDescent="0.45">
      <c r="I64" t="s">
        <v>211</v>
      </c>
      <c r="J64" t="s">
        <v>157</v>
      </c>
      <c r="K64">
        <v>0.99999999999999944</v>
      </c>
      <c r="L64" t="s">
        <v>158</v>
      </c>
      <c r="N64" t="s">
        <v>347</v>
      </c>
      <c r="O64" t="s">
        <v>157</v>
      </c>
      <c r="P64">
        <v>1.0000000000000027</v>
      </c>
      <c r="Q64" t="s">
        <v>158</v>
      </c>
    </row>
    <row r="65" spans="9:17" x14ac:dyDescent="0.45">
      <c r="I65" t="s">
        <v>212</v>
      </c>
      <c r="J65" t="s">
        <v>157</v>
      </c>
      <c r="K65">
        <v>0.99999999999999756</v>
      </c>
      <c r="L65" t="s">
        <v>158</v>
      </c>
      <c r="N65" t="s">
        <v>348</v>
      </c>
      <c r="O65" t="s">
        <v>157</v>
      </c>
      <c r="P65">
        <v>1.0000000000000013</v>
      </c>
      <c r="Q65" t="s">
        <v>158</v>
      </c>
    </row>
    <row r="66" spans="9:17" x14ac:dyDescent="0.45">
      <c r="I66" t="s">
        <v>213</v>
      </c>
      <c r="J66" t="s">
        <v>157</v>
      </c>
      <c r="K66">
        <v>1.0000000000000022</v>
      </c>
      <c r="L66" t="s">
        <v>158</v>
      </c>
      <c r="N66" t="s">
        <v>349</v>
      </c>
      <c r="O66" t="s">
        <v>157</v>
      </c>
      <c r="P66">
        <v>0.99999999999999378</v>
      </c>
      <c r="Q66" t="s">
        <v>158</v>
      </c>
    </row>
    <row r="67" spans="9:17" x14ac:dyDescent="0.45">
      <c r="I67" t="s">
        <v>214</v>
      </c>
      <c r="J67" t="s">
        <v>157</v>
      </c>
      <c r="K67">
        <v>1.0000000000000009</v>
      </c>
      <c r="L67" t="s">
        <v>158</v>
      </c>
      <c r="N67" t="s">
        <v>350</v>
      </c>
      <c r="O67" t="s">
        <v>157</v>
      </c>
      <c r="P67">
        <v>1.0000000000000011</v>
      </c>
      <c r="Q67" t="s">
        <v>158</v>
      </c>
    </row>
    <row r="68" spans="9:17" x14ac:dyDescent="0.45">
      <c r="I68" t="s">
        <v>215</v>
      </c>
      <c r="J68" t="s">
        <v>157</v>
      </c>
      <c r="K68">
        <v>0.99999999999999778</v>
      </c>
      <c r="L68" t="s">
        <v>158</v>
      </c>
      <c r="N68" t="s">
        <v>351</v>
      </c>
      <c r="O68" t="s">
        <v>157</v>
      </c>
      <c r="P68">
        <v>0.99999999999999922</v>
      </c>
      <c r="Q68" t="s">
        <v>158</v>
      </c>
    </row>
    <row r="69" spans="9:17" x14ac:dyDescent="0.45">
      <c r="I69" t="s">
        <v>216</v>
      </c>
      <c r="J69" t="s">
        <v>157</v>
      </c>
      <c r="K69">
        <v>0.99999999999999967</v>
      </c>
      <c r="L69" t="s">
        <v>158</v>
      </c>
      <c r="N69" t="s">
        <v>352</v>
      </c>
      <c r="O69" t="s">
        <v>157</v>
      </c>
      <c r="P69">
        <v>1.0000000000000002</v>
      </c>
      <c r="Q69" t="s">
        <v>158</v>
      </c>
    </row>
    <row r="70" spans="9:17" x14ac:dyDescent="0.45">
      <c r="I70" t="s">
        <v>217</v>
      </c>
      <c r="J70" t="s">
        <v>157</v>
      </c>
      <c r="K70">
        <v>1.0000000000000024</v>
      </c>
      <c r="L70" t="s">
        <v>158</v>
      </c>
      <c r="N70" t="s">
        <v>353</v>
      </c>
      <c r="O70" t="s">
        <v>157</v>
      </c>
      <c r="P70">
        <v>1.0000000000000004</v>
      </c>
      <c r="Q70" t="s">
        <v>158</v>
      </c>
    </row>
    <row r="71" spans="9:17" x14ac:dyDescent="0.45">
      <c r="I71" t="s">
        <v>218</v>
      </c>
      <c r="J71" t="s">
        <v>157</v>
      </c>
      <c r="K71">
        <v>0.999999999999999</v>
      </c>
      <c r="L71" t="s">
        <v>158</v>
      </c>
      <c r="N71" t="s">
        <v>354</v>
      </c>
      <c r="O71" t="s">
        <v>157</v>
      </c>
      <c r="P71">
        <v>1.0000000000000016</v>
      </c>
      <c r="Q71" t="s">
        <v>158</v>
      </c>
    </row>
    <row r="72" spans="9:17" x14ac:dyDescent="0.45">
      <c r="I72" t="s">
        <v>219</v>
      </c>
      <c r="J72" t="s">
        <v>157</v>
      </c>
      <c r="K72">
        <v>1.0000000000000018</v>
      </c>
      <c r="L72" t="s">
        <v>158</v>
      </c>
      <c r="N72" t="s">
        <v>355</v>
      </c>
      <c r="O72" t="s">
        <v>157</v>
      </c>
      <c r="P72">
        <v>1</v>
      </c>
      <c r="Q72" t="s">
        <v>158</v>
      </c>
    </row>
    <row r="73" spans="9:17" x14ac:dyDescent="0.45">
      <c r="I73" t="s">
        <v>220</v>
      </c>
      <c r="J73" t="s">
        <v>157</v>
      </c>
      <c r="K73">
        <v>0.99999999999999944</v>
      </c>
      <c r="L73" t="s">
        <v>158</v>
      </c>
      <c r="N73" t="s">
        <v>356</v>
      </c>
      <c r="O73" t="s">
        <v>157</v>
      </c>
      <c r="P73">
        <v>0.99999999999999956</v>
      </c>
      <c r="Q73" t="s">
        <v>158</v>
      </c>
    </row>
    <row r="74" spans="9:17" x14ac:dyDescent="0.45">
      <c r="I74" t="s">
        <v>221</v>
      </c>
      <c r="J74" t="s">
        <v>157</v>
      </c>
      <c r="K74">
        <v>0.99999999999999989</v>
      </c>
      <c r="L74" t="s">
        <v>158</v>
      </c>
      <c r="N74" t="s">
        <v>357</v>
      </c>
      <c r="O74" t="s">
        <v>157</v>
      </c>
      <c r="P74">
        <v>0.99999999999999889</v>
      </c>
      <c r="Q74" t="s">
        <v>158</v>
      </c>
    </row>
    <row r="75" spans="9:17" x14ac:dyDescent="0.45">
      <c r="I75" t="s">
        <v>222</v>
      </c>
      <c r="J75" t="s">
        <v>157</v>
      </c>
      <c r="K75">
        <v>1.0000000000000013</v>
      </c>
      <c r="L75" t="s">
        <v>158</v>
      </c>
      <c r="N75" t="s">
        <v>358</v>
      </c>
      <c r="O75" t="s">
        <v>157</v>
      </c>
      <c r="P75">
        <v>1.0000000000000018</v>
      </c>
      <c r="Q75" t="s">
        <v>158</v>
      </c>
    </row>
    <row r="76" spans="9:17" x14ac:dyDescent="0.45">
      <c r="I76" t="s">
        <v>223</v>
      </c>
      <c r="J76" t="s">
        <v>157</v>
      </c>
      <c r="K76">
        <v>1.0000000000000022</v>
      </c>
      <c r="L76" t="s">
        <v>158</v>
      </c>
      <c r="N76" t="s">
        <v>359</v>
      </c>
      <c r="O76" t="s">
        <v>157</v>
      </c>
      <c r="P76">
        <v>0.99999999999999933</v>
      </c>
      <c r="Q76" t="s">
        <v>158</v>
      </c>
    </row>
    <row r="77" spans="9:17" x14ac:dyDescent="0.45">
      <c r="I77" t="s">
        <v>224</v>
      </c>
      <c r="J77" t="s">
        <v>157</v>
      </c>
      <c r="K77">
        <v>1.0000000000000018</v>
      </c>
      <c r="L77" t="s">
        <v>158</v>
      </c>
      <c r="N77" t="s">
        <v>360</v>
      </c>
      <c r="O77" t="s">
        <v>157</v>
      </c>
      <c r="P77">
        <v>1.000000000000004</v>
      </c>
      <c r="Q77" t="s">
        <v>158</v>
      </c>
    </row>
    <row r="78" spans="9:17" x14ac:dyDescent="0.45">
      <c r="I78" t="s">
        <v>225</v>
      </c>
      <c r="J78" t="s">
        <v>157</v>
      </c>
      <c r="K78">
        <v>0.99999999999999978</v>
      </c>
      <c r="L78" t="s">
        <v>158</v>
      </c>
      <c r="N78" t="s">
        <v>361</v>
      </c>
      <c r="O78" t="s">
        <v>157</v>
      </c>
      <c r="P78">
        <v>1.0000000000000013</v>
      </c>
      <c r="Q78" t="s">
        <v>158</v>
      </c>
    </row>
    <row r="79" spans="9:17" x14ac:dyDescent="0.45">
      <c r="I79" t="s">
        <v>226</v>
      </c>
      <c r="J79" t="s">
        <v>157</v>
      </c>
      <c r="K79">
        <v>1.0000000000000009</v>
      </c>
      <c r="L79" t="s">
        <v>158</v>
      </c>
      <c r="N79" t="s">
        <v>362</v>
      </c>
      <c r="O79" t="s">
        <v>157</v>
      </c>
      <c r="P79">
        <v>0.99999999999999722</v>
      </c>
      <c r="Q79" t="s">
        <v>158</v>
      </c>
    </row>
    <row r="80" spans="9:17" x14ac:dyDescent="0.45">
      <c r="I80" t="s">
        <v>227</v>
      </c>
      <c r="J80" t="s">
        <v>157</v>
      </c>
      <c r="K80">
        <v>1.0000000000000007</v>
      </c>
      <c r="L80" t="s">
        <v>158</v>
      </c>
      <c r="N80" t="s">
        <v>363</v>
      </c>
      <c r="O80" t="s">
        <v>157</v>
      </c>
      <c r="P80">
        <v>0.99999999999999589</v>
      </c>
      <c r="Q80" t="s">
        <v>158</v>
      </c>
    </row>
    <row r="81" spans="9:17" x14ac:dyDescent="0.45">
      <c r="I81" t="s">
        <v>228</v>
      </c>
      <c r="J81" t="s">
        <v>157</v>
      </c>
      <c r="K81">
        <v>1.0000000000000036</v>
      </c>
      <c r="L81" t="s">
        <v>158</v>
      </c>
      <c r="N81" t="s">
        <v>364</v>
      </c>
      <c r="O81" t="s">
        <v>157</v>
      </c>
      <c r="P81">
        <v>0.999999999999996</v>
      </c>
      <c r="Q81" t="s">
        <v>158</v>
      </c>
    </row>
    <row r="82" spans="9:17" x14ac:dyDescent="0.45">
      <c r="I82" t="s">
        <v>229</v>
      </c>
      <c r="J82" t="s">
        <v>157</v>
      </c>
      <c r="K82">
        <v>1.0000000000000011</v>
      </c>
      <c r="L82" t="s">
        <v>158</v>
      </c>
      <c r="N82" t="s">
        <v>365</v>
      </c>
      <c r="O82" t="s">
        <v>157</v>
      </c>
      <c r="P82">
        <v>0.99999999999999833</v>
      </c>
      <c r="Q82" t="s">
        <v>158</v>
      </c>
    </row>
    <row r="83" spans="9:17" x14ac:dyDescent="0.45">
      <c r="I83" t="s">
        <v>230</v>
      </c>
      <c r="J83" t="s">
        <v>157</v>
      </c>
      <c r="K83">
        <v>0.99999999999999867</v>
      </c>
      <c r="L83" t="s">
        <v>158</v>
      </c>
      <c r="N83" t="s">
        <v>366</v>
      </c>
      <c r="O83" t="s">
        <v>157</v>
      </c>
      <c r="P83">
        <v>1.0000000000000018</v>
      </c>
      <c r="Q83" t="s">
        <v>158</v>
      </c>
    </row>
    <row r="84" spans="9:17" x14ac:dyDescent="0.45">
      <c r="I84" t="s">
        <v>231</v>
      </c>
      <c r="J84" t="s">
        <v>157</v>
      </c>
      <c r="K84">
        <v>1.0000000000000016</v>
      </c>
      <c r="L84" t="s">
        <v>158</v>
      </c>
      <c r="N84" t="s">
        <v>367</v>
      </c>
      <c r="O84" t="s">
        <v>157</v>
      </c>
      <c r="P84">
        <v>1.0000000000000018</v>
      </c>
      <c r="Q84" t="s">
        <v>158</v>
      </c>
    </row>
    <row r="85" spans="9:17" x14ac:dyDescent="0.45">
      <c r="I85" t="s">
        <v>232</v>
      </c>
      <c r="J85" t="s">
        <v>157</v>
      </c>
      <c r="K85">
        <v>0.99999999999999967</v>
      </c>
      <c r="L85" t="s">
        <v>158</v>
      </c>
      <c r="N85" t="s">
        <v>368</v>
      </c>
      <c r="O85" t="s">
        <v>157</v>
      </c>
      <c r="P85">
        <v>1.0000000000000002</v>
      </c>
      <c r="Q85" t="s">
        <v>158</v>
      </c>
    </row>
    <row r="86" spans="9:17" x14ac:dyDescent="0.45">
      <c r="I86" t="s">
        <v>233</v>
      </c>
      <c r="J86" t="s">
        <v>157</v>
      </c>
      <c r="K86">
        <v>0.999999999999999</v>
      </c>
      <c r="L86" t="s">
        <v>158</v>
      </c>
      <c r="N86" t="s">
        <v>369</v>
      </c>
      <c r="O86" t="s">
        <v>157</v>
      </c>
      <c r="P86">
        <v>1.0000000000000051</v>
      </c>
      <c r="Q86" t="s">
        <v>158</v>
      </c>
    </row>
    <row r="87" spans="9:17" x14ac:dyDescent="0.45">
      <c r="I87" t="s">
        <v>234</v>
      </c>
      <c r="J87" t="s">
        <v>157</v>
      </c>
      <c r="K87">
        <v>0.99999999999999922</v>
      </c>
      <c r="L87" t="s">
        <v>158</v>
      </c>
      <c r="N87" t="s">
        <v>370</v>
      </c>
      <c r="O87" t="s">
        <v>157</v>
      </c>
      <c r="P87">
        <v>1.0000000000000018</v>
      </c>
      <c r="Q87" t="s">
        <v>158</v>
      </c>
    </row>
    <row r="88" spans="9:17" x14ac:dyDescent="0.45">
      <c r="I88" t="s">
        <v>235</v>
      </c>
      <c r="J88" t="s">
        <v>157</v>
      </c>
      <c r="K88">
        <v>1.0000000000000002</v>
      </c>
      <c r="L88" t="s">
        <v>158</v>
      </c>
      <c r="N88" t="s">
        <v>371</v>
      </c>
      <c r="O88" t="s">
        <v>157</v>
      </c>
      <c r="P88">
        <v>0.99999999999999967</v>
      </c>
      <c r="Q88" t="s">
        <v>158</v>
      </c>
    </row>
    <row r="89" spans="9:17" x14ac:dyDescent="0.45">
      <c r="I89" t="s">
        <v>236</v>
      </c>
      <c r="J89" t="s">
        <v>157</v>
      </c>
      <c r="K89">
        <v>1.0000000000000007</v>
      </c>
      <c r="L89" t="s">
        <v>158</v>
      </c>
      <c r="N89" t="s">
        <v>372</v>
      </c>
      <c r="O89" t="s">
        <v>157</v>
      </c>
      <c r="P89">
        <v>0.99999999999999911</v>
      </c>
      <c r="Q89" t="s">
        <v>158</v>
      </c>
    </row>
    <row r="90" spans="9:17" x14ac:dyDescent="0.45">
      <c r="I90" t="s">
        <v>237</v>
      </c>
      <c r="J90" t="s">
        <v>157</v>
      </c>
      <c r="K90">
        <v>1.0000000000000016</v>
      </c>
      <c r="L90" t="s">
        <v>158</v>
      </c>
      <c r="N90" t="s">
        <v>373</v>
      </c>
      <c r="O90" t="s">
        <v>157</v>
      </c>
      <c r="P90">
        <v>0.99999999999999833</v>
      </c>
      <c r="Q90" t="s">
        <v>158</v>
      </c>
    </row>
    <row r="91" spans="9:17" x14ac:dyDescent="0.45">
      <c r="I91" t="s">
        <v>238</v>
      </c>
      <c r="J91" t="s">
        <v>157</v>
      </c>
      <c r="K91">
        <v>1.000000000000002</v>
      </c>
      <c r="L91" t="s">
        <v>158</v>
      </c>
      <c r="N91" t="s">
        <v>374</v>
      </c>
      <c r="O91" t="s">
        <v>157</v>
      </c>
      <c r="P91">
        <v>0.99999999999999711</v>
      </c>
      <c r="Q91" t="s">
        <v>158</v>
      </c>
    </row>
    <row r="92" spans="9:17" x14ac:dyDescent="0.45">
      <c r="I92" t="s">
        <v>239</v>
      </c>
      <c r="J92" t="s">
        <v>157</v>
      </c>
      <c r="K92">
        <v>0.99999999999999867</v>
      </c>
      <c r="L92" t="s">
        <v>158</v>
      </c>
      <c r="N92" t="s">
        <v>375</v>
      </c>
      <c r="O92" t="s">
        <v>157</v>
      </c>
      <c r="P92">
        <v>1.0000000000000029</v>
      </c>
      <c r="Q92" t="s">
        <v>158</v>
      </c>
    </row>
    <row r="93" spans="9:17" x14ac:dyDescent="0.45">
      <c r="I93" t="s">
        <v>240</v>
      </c>
      <c r="J93" t="s">
        <v>157</v>
      </c>
      <c r="K93">
        <v>1.0000000000000036</v>
      </c>
      <c r="L93" t="s">
        <v>158</v>
      </c>
      <c r="N93" t="s">
        <v>376</v>
      </c>
      <c r="O93" t="s">
        <v>157</v>
      </c>
      <c r="P93">
        <v>1.0000000000000027</v>
      </c>
      <c r="Q93" t="s">
        <v>158</v>
      </c>
    </row>
    <row r="94" spans="9:17" x14ac:dyDescent="0.45">
      <c r="I94" t="s">
        <v>241</v>
      </c>
      <c r="J94" t="s">
        <v>157</v>
      </c>
      <c r="K94">
        <v>0.99999999999999856</v>
      </c>
      <c r="L94" t="s">
        <v>158</v>
      </c>
      <c r="N94" t="s">
        <v>377</v>
      </c>
      <c r="O94" t="s">
        <v>157</v>
      </c>
      <c r="P94">
        <v>0.99999999999999745</v>
      </c>
      <c r="Q94" t="s">
        <v>158</v>
      </c>
    </row>
    <row r="95" spans="9:17" x14ac:dyDescent="0.45">
      <c r="I95" t="s">
        <v>242</v>
      </c>
      <c r="J95" t="s">
        <v>157</v>
      </c>
      <c r="K95">
        <v>1.0000000000000011</v>
      </c>
      <c r="L95" t="s">
        <v>158</v>
      </c>
      <c r="N95" t="s">
        <v>378</v>
      </c>
      <c r="O95" t="s">
        <v>157</v>
      </c>
      <c r="P95">
        <v>0.99999999999999833</v>
      </c>
      <c r="Q95" t="s">
        <v>158</v>
      </c>
    </row>
    <row r="96" spans="9:17" x14ac:dyDescent="0.45">
      <c r="I96" t="s">
        <v>243</v>
      </c>
      <c r="J96" t="s">
        <v>157</v>
      </c>
      <c r="K96">
        <v>1.0000000000000031</v>
      </c>
      <c r="L96" t="s">
        <v>158</v>
      </c>
      <c r="N96" t="s">
        <v>379</v>
      </c>
      <c r="O96" t="s">
        <v>157</v>
      </c>
      <c r="P96">
        <v>1.0000000000000033</v>
      </c>
      <c r="Q96" t="s">
        <v>158</v>
      </c>
    </row>
    <row r="97" spans="9:17" x14ac:dyDescent="0.45">
      <c r="I97" t="s">
        <v>244</v>
      </c>
      <c r="J97" t="s">
        <v>157</v>
      </c>
      <c r="K97">
        <v>0.99999999999999811</v>
      </c>
      <c r="L97" t="s">
        <v>158</v>
      </c>
      <c r="N97" t="s">
        <v>380</v>
      </c>
      <c r="O97" t="s">
        <v>157</v>
      </c>
      <c r="P97">
        <v>1.0000000000000002</v>
      </c>
      <c r="Q97" t="s">
        <v>158</v>
      </c>
    </row>
    <row r="98" spans="9:17" x14ac:dyDescent="0.45">
      <c r="I98" t="s">
        <v>245</v>
      </c>
      <c r="J98" t="s">
        <v>157</v>
      </c>
      <c r="K98">
        <v>1.0000000000000009</v>
      </c>
      <c r="L98" t="s">
        <v>158</v>
      </c>
      <c r="N98" t="s">
        <v>381</v>
      </c>
      <c r="O98" t="s">
        <v>157</v>
      </c>
      <c r="P98">
        <v>0.999999999999995</v>
      </c>
      <c r="Q98" t="s">
        <v>158</v>
      </c>
    </row>
    <row r="99" spans="9:17" x14ac:dyDescent="0.45">
      <c r="I99" t="s">
        <v>246</v>
      </c>
      <c r="J99" t="s">
        <v>157</v>
      </c>
      <c r="K99">
        <v>1.0000000000000024</v>
      </c>
      <c r="L99" t="s">
        <v>158</v>
      </c>
      <c r="N99" t="s">
        <v>382</v>
      </c>
      <c r="O99" t="s">
        <v>157</v>
      </c>
      <c r="P99">
        <v>1.0000000000000027</v>
      </c>
      <c r="Q99" t="s">
        <v>158</v>
      </c>
    </row>
    <row r="100" spans="9:17" x14ac:dyDescent="0.45">
      <c r="I100" t="s">
        <v>247</v>
      </c>
      <c r="J100" t="s">
        <v>157</v>
      </c>
      <c r="K100">
        <v>0.99999999999999778</v>
      </c>
      <c r="L100" t="s">
        <v>158</v>
      </c>
      <c r="N100" t="s">
        <v>383</v>
      </c>
      <c r="O100" t="s">
        <v>157</v>
      </c>
      <c r="P100">
        <v>1.0000000000000009</v>
      </c>
      <c r="Q100" t="s">
        <v>158</v>
      </c>
    </row>
    <row r="101" spans="9:17" x14ac:dyDescent="0.45">
      <c r="I101" t="s">
        <v>248</v>
      </c>
      <c r="J101" t="s">
        <v>157</v>
      </c>
      <c r="K101">
        <v>1.0000000000000042</v>
      </c>
      <c r="L101" t="s">
        <v>158</v>
      </c>
      <c r="N101" t="s">
        <v>384</v>
      </c>
      <c r="O101" t="s">
        <v>157</v>
      </c>
      <c r="P101">
        <v>0.99999999999999889</v>
      </c>
      <c r="Q101" t="s">
        <v>158</v>
      </c>
    </row>
    <row r="102" spans="9:17" x14ac:dyDescent="0.45">
      <c r="I102" t="s">
        <v>249</v>
      </c>
      <c r="J102" t="s">
        <v>157</v>
      </c>
      <c r="K102">
        <v>1.0000000000000007</v>
      </c>
      <c r="L102" t="s">
        <v>158</v>
      </c>
      <c r="N102" t="s">
        <v>385</v>
      </c>
      <c r="O102" t="s">
        <v>157</v>
      </c>
      <c r="P102">
        <v>0.99999999999999278</v>
      </c>
      <c r="Q102" t="s">
        <v>158</v>
      </c>
    </row>
    <row r="103" spans="9:17" x14ac:dyDescent="0.45">
      <c r="I103" t="s">
        <v>250</v>
      </c>
      <c r="J103" t="s">
        <v>157</v>
      </c>
      <c r="K103">
        <v>0.99999999999999822</v>
      </c>
      <c r="L103" t="s">
        <v>158</v>
      </c>
      <c r="N103" t="s">
        <v>386</v>
      </c>
      <c r="O103" t="s">
        <v>157</v>
      </c>
      <c r="P103">
        <v>0.99999999999999778</v>
      </c>
      <c r="Q103" t="s">
        <v>158</v>
      </c>
    </row>
    <row r="104" spans="9:17" x14ac:dyDescent="0.45">
      <c r="I104" t="s">
        <v>251</v>
      </c>
      <c r="J104" t="s">
        <v>157</v>
      </c>
      <c r="K104">
        <v>0.99999999999999933</v>
      </c>
      <c r="L104" t="s">
        <v>158</v>
      </c>
      <c r="N104" t="s">
        <v>387</v>
      </c>
      <c r="O104" t="s">
        <v>157</v>
      </c>
      <c r="P104">
        <v>1.0000000000000002</v>
      </c>
      <c r="Q104" t="s">
        <v>158</v>
      </c>
    </row>
    <row r="105" spans="9:17" x14ac:dyDescent="0.45">
      <c r="I105" t="s">
        <v>252</v>
      </c>
      <c r="J105" t="s">
        <v>157</v>
      </c>
      <c r="K105">
        <v>1.0000000000000033</v>
      </c>
      <c r="L105" t="s">
        <v>158</v>
      </c>
      <c r="N105" t="s">
        <v>388</v>
      </c>
      <c r="O105" t="s">
        <v>157</v>
      </c>
      <c r="P105">
        <v>1.000000000000006</v>
      </c>
      <c r="Q105" t="s">
        <v>158</v>
      </c>
    </row>
    <row r="106" spans="9:17" x14ac:dyDescent="0.45">
      <c r="I106" t="s">
        <v>253</v>
      </c>
      <c r="J106" t="s">
        <v>157</v>
      </c>
      <c r="K106">
        <v>1.000000000000002</v>
      </c>
      <c r="L106" t="s">
        <v>158</v>
      </c>
      <c r="N106" t="s">
        <v>389</v>
      </c>
      <c r="O106" t="s">
        <v>157</v>
      </c>
      <c r="P106">
        <v>1.0000000000000013</v>
      </c>
      <c r="Q106" t="s">
        <v>158</v>
      </c>
    </row>
    <row r="107" spans="9:17" x14ac:dyDescent="0.45">
      <c r="I107" t="s">
        <v>254</v>
      </c>
      <c r="J107" t="s">
        <v>157</v>
      </c>
      <c r="K107">
        <v>1.0000000000000027</v>
      </c>
      <c r="L107" t="s">
        <v>158</v>
      </c>
      <c r="N107" t="s">
        <v>390</v>
      </c>
      <c r="O107" t="s">
        <v>157</v>
      </c>
      <c r="P107">
        <v>0.99999999999999944</v>
      </c>
      <c r="Q107" t="s">
        <v>158</v>
      </c>
    </row>
    <row r="108" spans="9:17" x14ac:dyDescent="0.45">
      <c r="I108" t="s">
        <v>255</v>
      </c>
      <c r="J108" t="s">
        <v>157</v>
      </c>
      <c r="K108">
        <v>0.99999999999999878</v>
      </c>
      <c r="L108" t="s">
        <v>158</v>
      </c>
      <c r="N108" t="s">
        <v>391</v>
      </c>
      <c r="O108" t="s">
        <v>157</v>
      </c>
      <c r="P108">
        <v>1.0000000000000013</v>
      </c>
      <c r="Q108" t="s">
        <v>158</v>
      </c>
    </row>
    <row r="109" spans="9:17" x14ac:dyDescent="0.45">
      <c r="I109" t="s">
        <v>256</v>
      </c>
      <c r="J109" t="s">
        <v>157</v>
      </c>
      <c r="K109">
        <v>1.0000000000000016</v>
      </c>
      <c r="L109" t="s">
        <v>158</v>
      </c>
      <c r="N109" t="s">
        <v>392</v>
      </c>
      <c r="O109" t="s">
        <v>157</v>
      </c>
      <c r="P109">
        <v>1.0000000000000049</v>
      </c>
      <c r="Q109" t="s">
        <v>158</v>
      </c>
    </row>
    <row r="110" spans="9:17" x14ac:dyDescent="0.45">
      <c r="I110" t="s">
        <v>257</v>
      </c>
      <c r="J110" t="s">
        <v>157</v>
      </c>
      <c r="K110">
        <v>1.0000000000000029</v>
      </c>
      <c r="L110" t="s">
        <v>158</v>
      </c>
      <c r="N110" t="s">
        <v>393</v>
      </c>
      <c r="O110" t="s">
        <v>157</v>
      </c>
      <c r="P110">
        <v>0.99999999999999334</v>
      </c>
      <c r="Q110" t="s">
        <v>158</v>
      </c>
    </row>
    <row r="111" spans="9:17" x14ac:dyDescent="0.45">
      <c r="I111" t="s">
        <v>258</v>
      </c>
      <c r="J111" t="s">
        <v>157</v>
      </c>
      <c r="K111">
        <v>0.99999999999999956</v>
      </c>
      <c r="L111" t="s">
        <v>158</v>
      </c>
      <c r="N111" t="s">
        <v>394</v>
      </c>
      <c r="O111" t="s">
        <v>157</v>
      </c>
      <c r="P111">
        <v>1.000000000000002</v>
      </c>
      <c r="Q111" t="s">
        <v>158</v>
      </c>
    </row>
    <row r="112" spans="9:17" x14ac:dyDescent="0.45">
      <c r="I112" t="s">
        <v>259</v>
      </c>
      <c r="J112" t="s">
        <v>157</v>
      </c>
      <c r="K112">
        <v>1.0000000000000011</v>
      </c>
      <c r="L112" t="s">
        <v>158</v>
      </c>
      <c r="N112" t="s">
        <v>395</v>
      </c>
      <c r="O112" t="s">
        <v>157</v>
      </c>
      <c r="P112">
        <v>1.0000000000000004</v>
      </c>
      <c r="Q112" t="s">
        <v>158</v>
      </c>
    </row>
    <row r="113" spans="9:17" x14ac:dyDescent="0.45">
      <c r="I113" t="s">
        <v>260</v>
      </c>
      <c r="J113" t="s">
        <v>157</v>
      </c>
      <c r="K113">
        <v>1.0000000000000018</v>
      </c>
      <c r="L113" t="s">
        <v>158</v>
      </c>
      <c r="N113" t="s">
        <v>396</v>
      </c>
      <c r="O113" t="s">
        <v>157</v>
      </c>
      <c r="P113">
        <v>1.0000000000000031</v>
      </c>
      <c r="Q113" t="s">
        <v>158</v>
      </c>
    </row>
    <row r="114" spans="9:17" x14ac:dyDescent="0.45">
      <c r="I114" t="s">
        <v>261</v>
      </c>
      <c r="J114" t="s">
        <v>157</v>
      </c>
      <c r="K114">
        <v>1.0000000000000007</v>
      </c>
      <c r="L114" t="s">
        <v>158</v>
      </c>
      <c r="N114" t="s">
        <v>397</v>
      </c>
      <c r="O114" t="s">
        <v>157</v>
      </c>
      <c r="P114">
        <v>0.99999999999999845</v>
      </c>
      <c r="Q114" t="s">
        <v>158</v>
      </c>
    </row>
    <row r="115" spans="9:17" x14ac:dyDescent="0.45">
      <c r="I115" t="s">
        <v>262</v>
      </c>
      <c r="J115" t="s">
        <v>157</v>
      </c>
      <c r="K115">
        <v>0.99999999999999667</v>
      </c>
      <c r="L115" t="s">
        <v>158</v>
      </c>
      <c r="N115" t="s">
        <v>398</v>
      </c>
      <c r="O115" t="s">
        <v>157</v>
      </c>
      <c r="P115">
        <v>1.0000000000000022</v>
      </c>
      <c r="Q115" t="s">
        <v>158</v>
      </c>
    </row>
    <row r="116" spans="9:17" x14ac:dyDescent="0.45">
      <c r="I116" t="s">
        <v>263</v>
      </c>
      <c r="J116" t="s">
        <v>157</v>
      </c>
      <c r="K116">
        <v>0.999999999999998</v>
      </c>
      <c r="L116" t="s">
        <v>158</v>
      </c>
      <c r="N116" t="s">
        <v>399</v>
      </c>
      <c r="O116" t="s">
        <v>157</v>
      </c>
      <c r="P116">
        <v>0.99999999999999667</v>
      </c>
      <c r="Q116" t="s">
        <v>158</v>
      </c>
    </row>
    <row r="117" spans="9:17" x14ac:dyDescent="0.45">
      <c r="I117" t="s">
        <v>264</v>
      </c>
      <c r="J117" t="s">
        <v>157</v>
      </c>
      <c r="K117">
        <v>1</v>
      </c>
      <c r="L117" t="s">
        <v>158</v>
      </c>
      <c r="N117" t="s">
        <v>400</v>
      </c>
      <c r="O117" t="s">
        <v>157</v>
      </c>
      <c r="P117">
        <v>1.000000000000004</v>
      </c>
      <c r="Q117" t="s">
        <v>158</v>
      </c>
    </row>
    <row r="118" spans="9:17" x14ac:dyDescent="0.45">
      <c r="I118" t="s">
        <v>265</v>
      </c>
      <c r="J118" t="s">
        <v>157</v>
      </c>
      <c r="K118">
        <v>0.99999999999999867</v>
      </c>
      <c r="L118" t="s">
        <v>158</v>
      </c>
      <c r="N118" t="s">
        <v>401</v>
      </c>
      <c r="O118" t="s">
        <v>157</v>
      </c>
      <c r="P118">
        <v>0.99999999999999822</v>
      </c>
      <c r="Q118" t="s">
        <v>158</v>
      </c>
    </row>
    <row r="119" spans="9:17" x14ac:dyDescent="0.45">
      <c r="I119" t="s">
        <v>266</v>
      </c>
      <c r="J119" t="s">
        <v>157</v>
      </c>
      <c r="K119">
        <v>0.99999999999999811</v>
      </c>
      <c r="L119" t="s">
        <v>158</v>
      </c>
      <c r="N119" t="s">
        <v>402</v>
      </c>
      <c r="O119" t="s">
        <v>157</v>
      </c>
      <c r="P119">
        <v>0.99999999999999878</v>
      </c>
      <c r="Q119" t="s">
        <v>158</v>
      </c>
    </row>
    <row r="120" spans="9:17" x14ac:dyDescent="0.45">
      <c r="I120" t="s">
        <v>267</v>
      </c>
      <c r="J120" t="s">
        <v>157</v>
      </c>
      <c r="K120">
        <v>0.99999999999999856</v>
      </c>
      <c r="L120" t="s">
        <v>158</v>
      </c>
      <c r="N120" t="s">
        <v>403</v>
      </c>
      <c r="O120" t="s">
        <v>157</v>
      </c>
      <c r="P120">
        <v>0.99999999999999556</v>
      </c>
      <c r="Q120" t="s">
        <v>158</v>
      </c>
    </row>
    <row r="121" spans="9:17" x14ac:dyDescent="0.45">
      <c r="I121" t="s">
        <v>268</v>
      </c>
      <c r="J121" t="s">
        <v>157</v>
      </c>
      <c r="K121">
        <v>1.000000000000002</v>
      </c>
      <c r="L121" t="s">
        <v>158</v>
      </c>
      <c r="N121" t="s">
        <v>404</v>
      </c>
      <c r="O121" t="s">
        <v>157</v>
      </c>
      <c r="P121">
        <v>0.99999999999999623</v>
      </c>
      <c r="Q121" t="s">
        <v>158</v>
      </c>
    </row>
    <row r="122" spans="9:17" x14ac:dyDescent="0.45">
      <c r="I122" t="s">
        <v>269</v>
      </c>
      <c r="J122" t="s">
        <v>157</v>
      </c>
      <c r="K122">
        <v>1.0000000000000029</v>
      </c>
      <c r="L122" t="s">
        <v>158</v>
      </c>
      <c r="N122" t="s">
        <v>405</v>
      </c>
      <c r="O122" t="s">
        <v>157</v>
      </c>
      <c r="P122">
        <v>0.999999999999996</v>
      </c>
      <c r="Q122" t="s">
        <v>158</v>
      </c>
    </row>
    <row r="123" spans="9:17" x14ac:dyDescent="0.45">
      <c r="I123" t="s">
        <v>270</v>
      </c>
      <c r="J123" t="s">
        <v>157</v>
      </c>
      <c r="K123">
        <v>1.0000000000000007</v>
      </c>
      <c r="L123" t="s">
        <v>158</v>
      </c>
      <c r="N123" t="s">
        <v>406</v>
      </c>
      <c r="O123" t="s">
        <v>157</v>
      </c>
      <c r="P123">
        <v>1.0000000000000027</v>
      </c>
      <c r="Q123" t="s">
        <v>158</v>
      </c>
    </row>
    <row r="124" spans="9:17" x14ac:dyDescent="0.45">
      <c r="I124" t="s">
        <v>271</v>
      </c>
      <c r="J124" t="s">
        <v>157</v>
      </c>
      <c r="K124">
        <v>1.0000000000000009</v>
      </c>
      <c r="L124" t="s">
        <v>158</v>
      </c>
      <c r="N124" t="s">
        <v>407</v>
      </c>
      <c r="O124" t="s">
        <v>157</v>
      </c>
      <c r="P124">
        <v>0.99999999999999911</v>
      </c>
      <c r="Q124" t="s">
        <v>158</v>
      </c>
    </row>
    <row r="125" spans="9:17" x14ac:dyDescent="0.45">
      <c r="I125" t="s">
        <v>272</v>
      </c>
      <c r="J125" t="s">
        <v>157</v>
      </c>
      <c r="K125">
        <v>1.0000000000000027</v>
      </c>
      <c r="L125" t="s">
        <v>158</v>
      </c>
    </row>
    <row r="126" spans="9:17" x14ac:dyDescent="0.45">
      <c r="I126" t="s">
        <v>273</v>
      </c>
      <c r="J126" t="s">
        <v>157</v>
      </c>
      <c r="K126">
        <v>1.0000000000000018</v>
      </c>
      <c r="L126" t="s">
        <v>158</v>
      </c>
    </row>
    <row r="127" spans="9:17" x14ac:dyDescent="0.45">
      <c r="I127" t="s">
        <v>274</v>
      </c>
      <c r="J127" t="s">
        <v>157</v>
      </c>
      <c r="K127">
        <v>0.99999999999999689</v>
      </c>
      <c r="L127" t="s">
        <v>158</v>
      </c>
    </row>
    <row r="128" spans="9:17" x14ac:dyDescent="0.45">
      <c r="I128" t="s">
        <v>275</v>
      </c>
      <c r="J128" t="s">
        <v>157</v>
      </c>
      <c r="K128">
        <v>0.99999999999999933</v>
      </c>
      <c r="L128" t="s">
        <v>158</v>
      </c>
    </row>
    <row r="129" spans="9:12" x14ac:dyDescent="0.45">
      <c r="I129" t="s">
        <v>276</v>
      </c>
      <c r="J129" t="s">
        <v>157</v>
      </c>
      <c r="K129">
        <v>1.0000000000000004</v>
      </c>
      <c r="L129" t="s">
        <v>158</v>
      </c>
    </row>
    <row r="130" spans="9:12" x14ac:dyDescent="0.45">
      <c r="I130" t="s">
        <v>277</v>
      </c>
      <c r="J130" t="s">
        <v>157</v>
      </c>
      <c r="K130">
        <v>0.99999999999999878</v>
      </c>
      <c r="L130" t="s">
        <v>158</v>
      </c>
    </row>
    <row r="131" spans="9:12" x14ac:dyDescent="0.45">
      <c r="I131" t="s">
        <v>278</v>
      </c>
      <c r="J131" t="s">
        <v>157</v>
      </c>
      <c r="K131">
        <v>1.0000000000000002</v>
      </c>
      <c r="L131" t="s">
        <v>158</v>
      </c>
    </row>
    <row r="132" spans="9:12" x14ac:dyDescent="0.45">
      <c r="I132" t="s">
        <v>279</v>
      </c>
      <c r="J132" t="s">
        <v>157</v>
      </c>
      <c r="K132">
        <v>0.99999999999999867</v>
      </c>
      <c r="L132" t="s">
        <v>158</v>
      </c>
    </row>
    <row r="133" spans="9:12" x14ac:dyDescent="0.45">
      <c r="I133" t="s">
        <v>280</v>
      </c>
      <c r="J133" t="s">
        <v>157</v>
      </c>
      <c r="K133">
        <v>1.0000000000000002</v>
      </c>
      <c r="L133" t="s">
        <v>158</v>
      </c>
    </row>
    <row r="134" spans="9:12" x14ac:dyDescent="0.45">
      <c r="I134" t="s">
        <v>281</v>
      </c>
      <c r="J134" t="s">
        <v>157</v>
      </c>
      <c r="K134">
        <v>0.99999999999999667</v>
      </c>
      <c r="L134" t="s">
        <v>158</v>
      </c>
    </row>
    <row r="135" spans="9:12" x14ac:dyDescent="0.45">
      <c r="I135" t="s">
        <v>282</v>
      </c>
      <c r="J135" t="s">
        <v>157</v>
      </c>
      <c r="K135">
        <v>0.99999999999999978</v>
      </c>
      <c r="L135" t="s">
        <v>158</v>
      </c>
    </row>
    <row r="136" spans="9:12" x14ac:dyDescent="0.45">
      <c r="I136" t="s">
        <v>283</v>
      </c>
      <c r="J136" t="s">
        <v>157</v>
      </c>
      <c r="K136">
        <v>1.0000000000000018</v>
      </c>
      <c r="L136" t="s">
        <v>158</v>
      </c>
    </row>
    <row r="137" spans="9:12" x14ac:dyDescent="0.45">
      <c r="I137" t="s">
        <v>284</v>
      </c>
      <c r="J137" t="s">
        <v>157</v>
      </c>
      <c r="K137">
        <v>1</v>
      </c>
      <c r="L137" t="s">
        <v>158</v>
      </c>
    </row>
    <row r="138" spans="9:12" x14ac:dyDescent="0.45">
      <c r="I138" t="s">
        <v>285</v>
      </c>
      <c r="J138" t="s">
        <v>157</v>
      </c>
      <c r="K138">
        <v>0.99999999999999822</v>
      </c>
      <c r="L138" t="s">
        <v>158</v>
      </c>
    </row>
    <row r="139" spans="9:12" x14ac:dyDescent="0.45">
      <c r="I139" t="s">
        <v>286</v>
      </c>
      <c r="J139" t="s">
        <v>157</v>
      </c>
      <c r="K139">
        <v>1.0000000000000009</v>
      </c>
      <c r="L139" t="s">
        <v>158</v>
      </c>
    </row>
    <row r="140" spans="9:12" x14ac:dyDescent="0.45">
      <c r="I140" t="s">
        <v>287</v>
      </c>
      <c r="J140" t="s">
        <v>157</v>
      </c>
      <c r="K140">
        <v>1.0000000000000004</v>
      </c>
      <c r="L140" t="s">
        <v>158</v>
      </c>
    </row>
    <row r="141" spans="9:12" x14ac:dyDescent="0.45">
      <c r="I141" t="s">
        <v>288</v>
      </c>
      <c r="J141" t="s">
        <v>157</v>
      </c>
      <c r="K141">
        <v>0.99999999999999989</v>
      </c>
      <c r="L141" t="s">
        <v>158</v>
      </c>
    </row>
    <row r="142" spans="9:12" x14ac:dyDescent="0.45">
      <c r="I142" t="s">
        <v>289</v>
      </c>
      <c r="J142" t="s">
        <v>157</v>
      </c>
      <c r="K142">
        <v>0.999999999999999</v>
      </c>
      <c r="L142" t="s">
        <v>158</v>
      </c>
    </row>
    <row r="143" spans="9:12" x14ac:dyDescent="0.45">
      <c r="I143" t="s">
        <v>290</v>
      </c>
      <c r="J143" t="s">
        <v>157</v>
      </c>
      <c r="K143">
        <v>1</v>
      </c>
      <c r="L143" t="s">
        <v>158</v>
      </c>
    </row>
    <row r="144" spans="9:12" x14ac:dyDescent="0.45">
      <c r="I144" t="s">
        <v>291</v>
      </c>
      <c r="J144" t="s">
        <v>157</v>
      </c>
      <c r="K144">
        <v>0.99999999999999867</v>
      </c>
      <c r="L144" t="s">
        <v>158</v>
      </c>
    </row>
    <row r="145" spans="9:12" x14ac:dyDescent="0.45">
      <c r="I145" t="s">
        <v>292</v>
      </c>
      <c r="J145" t="s">
        <v>157</v>
      </c>
      <c r="K145">
        <v>1.0000000000000024</v>
      </c>
      <c r="L145" t="s">
        <v>158</v>
      </c>
    </row>
    <row r="146" spans="9:12" x14ac:dyDescent="0.45">
      <c r="I146" t="s">
        <v>293</v>
      </c>
      <c r="J146" t="s">
        <v>157</v>
      </c>
      <c r="K146">
        <v>0.99999999999999833</v>
      </c>
      <c r="L146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0D350-FCDA-4DDB-8994-2A7E20ADF772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155</v>
      </c>
      <c r="L10" t="s">
        <v>30</v>
      </c>
      <c r="N10" t="s">
        <v>13</v>
      </c>
      <c r="O10" t="s">
        <v>121</v>
      </c>
      <c r="P10" t="s">
        <v>155</v>
      </c>
      <c r="Q10" t="s">
        <v>30</v>
      </c>
      <c r="S10" t="s">
        <v>13</v>
      </c>
      <c r="T10" t="s">
        <v>121</v>
      </c>
      <c r="U10" t="s">
        <v>155</v>
      </c>
      <c r="V10" t="s">
        <v>30</v>
      </c>
      <c r="X10" t="s">
        <v>442</v>
      </c>
      <c r="Y10" t="s">
        <v>155</v>
      </c>
      <c r="Z10" t="s">
        <v>121</v>
      </c>
      <c r="AA10" t="s">
        <v>13</v>
      </c>
      <c r="AC10" t="s">
        <v>13</v>
      </c>
      <c r="AD10" t="s">
        <v>121</v>
      </c>
      <c r="AE10" t="s">
        <v>155</v>
      </c>
      <c r="AG10" t="s">
        <v>13</v>
      </c>
      <c r="AH10" t="s">
        <v>121</v>
      </c>
      <c r="AI10" t="s">
        <v>446</v>
      </c>
      <c r="AK10" t="s">
        <v>47</v>
      </c>
      <c r="AL10" t="s">
        <v>121</v>
      </c>
      <c r="AM10" t="s">
        <v>447</v>
      </c>
      <c r="AN10" t="s">
        <v>448</v>
      </c>
    </row>
    <row r="11" spans="1:40" x14ac:dyDescent="0.45">
      <c r="A11" t="str">
        <f>IFERROR(IF(Veda!D5=A10,"ok","x"),"")</f>
        <v>x</v>
      </c>
      <c r="C11" t="s">
        <v>450</v>
      </c>
      <c r="D11" t="s">
        <v>153</v>
      </c>
      <c r="E11" t="s">
        <v>444</v>
      </c>
      <c r="F11" t="s">
        <v>451</v>
      </c>
      <c r="G11" t="s">
        <v>153</v>
      </c>
      <c r="I11" t="s">
        <v>156</v>
      </c>
      <c r="J11" t="s">
        <v>456</v>
      </c>
      <c r="K11">
        <v>0.22705856878764061</v>
      </c>
      <c r="L11" t="s">
        <v>158</v>
      </c>
      <c r="N11" t="s">
        <v>294</v>
      </c>
      <c r="O11" t="s">
        <v>456</v>
      </c>
      <c r="P11">
        <v>5.7240082792188271E-2</v>
      </c>
      <c r="Q11" t="s">
        <v>158</v>
      </c>
      <c r="S11" t="s">
        <v>408</v>
      </c>
      <c r="T11" t="s">
        <v>456</v>
      </c>
      <c r="U11">
        <v>0.11515223266107533</v>
      </c>
      <c r="V11" t="s">
        <v>158</v>
      </c>
      <c r="X11">
        <v>0.11426940639269406</v>
      </c>
      <c r="Y11">
        <v>0.16087081189037786</v>
      </c>
      <c r="Z11" t="s">
        <v>456</v>
      </c>
      <c r="AA11" t="s">
        <v>25</v>
      </c>
      <c r="AC11" t="s">
        <v>22</v>
      </c>
      <c r="AD11" t="s">
        <v>456</v>
      </c>
      <c r="AE11">
        <v>9.5234533550852221E-2</v>
      </c>
      <c r="AG11" t="s">
        <v>96</v>
      </c>
      <c r="AH11" t="s">
        <v>456</v>
      </c>
      <c r="AI11">
        <v>0.29117197338329759</v>
      </c>
      <c r="AK11">
        <v>2020</v>
      </c>
      <c r="AL11" t="s">
        <v>450</v>
      </c>
      <c r="AM11">
        <v>0.49795736213049863</v>
      </c>
      <c r="AN11" t="s">
        <v>449</v>
      </c>
    </row>
    <row r="12" spans="1:40" x14ac:dyDescent="0.45">
      <c r="C12" t="s">
        <v>452</v>
      </c>
      <c r="E12" t="s">
        <v>445</v>
      </c>
      <c r="G12" t="s">
        <v>153</v>
      </c>
      <c r="I12" t="s">
        <v>156</v>
      </c>
      <c r="J12" t="s">
        <v>457</v>
      </c>
      <c r="K12">
        <v>0</v>
      </c>
      <c r="L12" t="s">
        <v>158</v>
      </c>
      <c r="N12" t="s">
        <v>294</v>
      </c>
      <c r="O12" t="s">
        <v>457</v>
      </c>
      <c r="P12">
        <v>0.12279429249561508</v>
      </c>
      <c r="Q12" t="s">
        <v>158</v>
      </c>
      <c r="S12" t="s">
        <v>408</v>
      </c>
      <c r="T12" t="s">
        <v>457</v>
      </c>
      <c r="U12">
        <v>0.1122464992150914</v>
      </c>
      <c r="V12" t="s">
        <v>158</v>
      </c>
      <c r="X12">
        <v>0.11426940639269406</v>
      </c>
      <c r="Y12">
        <v>5.2547713165767528E-2</v>
      </c>
      <c r="Z12" t="s">
        <v>457</v>
      </c>
      <c r="AA12" t="s">
        <v>25</v>
      </c>
      <c r="AC12" t="s">
        <v>22</v>
      </c>
      <c r="AD12" t="s">
        <v>457</v>
      </c>
      <c r="AE12">
        <v>4.6541121699285787E-2</v>
      </c>
      <c r="AG12" t="s">
        <v>96</v>
      </c>
      <c r="AH12" t="s">
        <v>457</v>
      </c>
      <c r="AI12">
        <v>0.40207082766039037</v>
      </c>
      <c r="AK12">
        <v>2020</v>
      </c>
      <c r="AL12" t="s">
        <v>452</v>
      </c>
      <c r="AM12">
        <v>0.31559825755955395</v>
      </c>
      <c r="AN12" t="s">
        <v>449</v>
      </c>
    </row>
    <row r="13" spans="1:40" x14ac:dyDescent="0.45">
      <c r="C13" t="s">
        <v>453</v>
      </c>
      <c r="E13" t="s">
        <v>454</v>
      </c>
      <c r="G13" t="s">
        <v>153</v>
      </c>
      <c r="I13" t="s">
        <v>156</v>
      </c>
      <c r="J13" t="s">
        <v>458</v>
      </c>
      <c r="K13">
        <v>5.496582207175498E-3</v>
      </c>
      <c r="L13" t="s">
        <v>158</v>
      </c>
      <c r="N13" t="s">
        <v>294</v>
      </c>
      <c r="O13" t="s">
        <v>458</v>
      </c>
      <c r="P13">
        <v>1.1134625540800849E-2</v>
      </c>
      <c r="Q13" t="s">
        <v>158</v>
      </c>
      <c r="S13" t="s">
        <v>408</v>
      </c>
      <c r="T13" t="s">
        <v>458</v>
      </c>
      <c r="U13">
        <v>1.9176797498602776E-2</v>
      </c>
      <c r="V13" t="s">
        <v>158</v>
      </c>
      <c r="X13">
        <v>2.0776255707762557E-2</v>
      </c>
      <c r="Y13">
        <v>3.5896543437005365E-2</v>
      </c>
      <c r="Z13" t="s">
        <v>458</v>
      </c>
      <c r="AA13" t="s">
        <v>25</v>
      </c>
      <c r="AC13" t="s">
        <v>22</v>
      </c>
      <c r="AD13" t="s">
        <v>458</v>
      </c>
      <c r="AE13">
        <v>9.4392608849274567E-4</v>
      </c>
      <c r="AG13" t="s">
        <v>96</v>
      </c>
      <c r="AH13" t="s">
        <v>458</v>
      </c>
      <c r="AI13">
        <v>0.23103124479949266</v>
      </c>
      <c r="AK13">
        <v>2020</v>
      </c>
      <c r="AL13" t="s">
        <v>453</v>
      </c>
      <c r="AM13">
        <v>0.55211626377820133</v>
      </c>
      <c r="AN13" t="s">
        <v>449</v>
      </c>
    </row>
    <row r="14" spans="1:40" x14ac:dyDescent="0.45">
      <c r="C14" t="s">
        <v>455</v>
      </c>
      <c r="I14" t="s">
        <v>156</v>
      </c>
      <c r="J14" t="s">
        <v>459</v>
      </c>
      <c r="K14">
        <v>0.26625175399580325</v>
      </c>
      <c r="L14" t="s">
        <v>158</v>
      </c>
      <c r="N14" t="s">
        <v>294</v>
      </c>
      <c r="O14" t="s">
        <v>459</v>
      </c>
      <c r="P14">
        <v>0.10405470663604569</v>
      </c>
      <c r="Q14" t="s">
        <v>158</v>
      </c>
      <c r="S14" t="s">
        <v>408</v>
      </c>
      <c r="T14" t="s">
        <v>459</v>
      </c>
      <c r="U14">
        <v>3.810908003698435E-2</v>
      </c>
      <c r="V14" t="s">
        <v>158</v>
      </c>
      <c r="X14">
        <v>0.11552511415525114</v>
      </c>
      <c r="Y14">
        <v>0.16263862301005233</v>
      </c>
      <c r="Z14" t="s">
        <v>459</v>
      </c>
      <c r="AA14" t="s">
        <v>25</v>
      </c>
      <c r="AC14" t="s">
        <v>22</v>
      </c>
      <c r="AD14" t="s">
        <v>459</v>
      </c>
      <c r="AE14">
        <v>0.1075278109786745</v>
      </c>
      <c r="AG14" t="s">
        <v>96</v>
      </c>
      <c r="AH14" t="s">
        <v>459</v>
      </c>
      <c r="AI14">
        <v>0.30898839959492852</v>
      </c>
      <c r="AK14">
        <v>2020</v>
      </c>
      <c r="AL14" t="s">
        <v>455</v>
      </c>
      <c r="AM14">
        <v>0.26449777840605787</v>
      </c>
      <c r="AN14" t="s">
        <v>449</v>
      </c>
    </row>
    <row r="15" spans="1:40" x14ac:dyDescent="0.45">
      <c r="I15" t="s">
        <v>156</v>
      </c>
      <c r="J15" t="s">
        <v>460</v>
      </c>
      <c r="K15">
        <v>4.2864611575112638E-4</v>
      </c>
      <c r="L15" t="s">
        <v>158</v>
      </c>
      <c r="N15" t="s">
        <v>294</v>
      </c>
      <c r="O15" t="s">
        <v>460</v>
      </c>
      <c r="P15">
        <v>0.20704668465975126</v>
      </c>
      <c r="Q15" t="s">
        <v>158</v>
      </c>
      <c r="S15" t="s">
        <v>408</v>
      </c>
      <c r="T15" t="s">
        <v>460</v>
      </c>
      <c r="U15">
        <v>3.9391183740386311E-2</v>
      </c>
      <c r="V15" t="s">
        <v>158</v>
      </c>
      <c r="X15">
        <v>0.11552511415525114</v>
      </c>
      <c r="Y15">
        <v>5.3125160563193538E-2</v>
      </c>
      <c r="Z15" t="s">
        <v>460</v>
      </c>
      <c r="AA15" t="s">
        <v>25</v>
      </c>
      <c r="AC15" t="s">
        <v>22</v>
      </c>
      <c r="AD15" t="s">
        <v>460</v>
      </c>
      <c r="AE15">
        <v>5.862155213475341E-2</v>
      </c>
      <c r="AG15" t="s">
        <v>96</v>
      </c>
      <c r="AH15" t="s">
        <v>460</v>
      </c>
      <c r="AI15">
        <v>0.39315710754179012</v>
      </c>
      <c r="AK15">
        <v>2021</v>
      </c>
      <c r="AL15" t="s">
        <v>450</v>
      </c>
      <c r="AM15">
        <v>0.45585366339422367</v>
      </c>
      <c r="AN15" t="s">
        <v>449</v>
      </c>
    </row>
    <row r="16" spans="1:40" x14ac:dyDescent="0.45">
      <c r="I16" t="s">
        <v>156</v>
      </c>
      <c r="J16" t="s">
        <v>461</v>
      </c>
      <c r="K16">
        <v>1.7979756117041668E-2</v>
      </c>
      <c r="L16" t="s">
        <v>158</v>
      </c>
      <c r="N16" t="s">
        <v>294</v>
      </c>
      <c r="O16" t="s">
        <v>461</v>
      </c>
      <c r="P16">
        <v>1.5095083368204379E-2</v>
      </c>
      <c r="Q16" t="s">
        <v>158</v>
      </c>
      <c r="S16" t="s">
        <v>408</v>
      </c>
      <c r="T16" t="s">
        <v>461</v>
      </c>
      <c r="U16">
        <v>5.8986308507904582E-3</v>
      </c>
      <c r="V16" t="s">
        <v>158</v>
      </c>
      <c r="X16">
        <v>2.1004566210045664E-2</v>
      </c>
      <c r="Y16">
        <v>3.6291010947302131E-2</v>
      </c>
      <c r="Z16" t="s">
        <v>461</v>
      </c>
      <c r="AA16" t="s">
        <v>25</v>
      </c>
      <c r="AC16" t="s">
        <v>22</v>
      </c>
      <c r="AD16" t="s">
        <v>461</v>
      </c>
      <c r="AE16">
        <v>2.1622928259084537E-3</v>
      </c>
      <c r="AG16" t="s">
        <v>96</v>
      </c>
      <c r="AH16" t="s">
        <v>461</v>
      </c>
      <c r="AI16">
        <v>0.22655291000048638</v>
      </c>
      <c r="AK16">
        <v>2021</v>
      </c>
      <c r="AL16" t="s">
        <v>452</v>
      </c>
      <c r="AM16">
        <v>0.30842026165457553</v>
      </c>
      <c r="AN16" t="s">
        <v>449</v>
      </c>
    </row>
    <row r="17" spans="9:40" x14ac:dyDescent="0.45">
      <c r="I17" t="s">
        <v>156</v>
      </c>
      <c r="J17" t="s">
        <v>462</v>
      </c>
      <c r="K17">
        <v>0.24900172394008174</v>
      </c>
      <c r="L17" t="s">
        <v>158</v>
      </c>
      <c r="N17" t="s">
        <v>294</v>
      </c>
      <c r="O17" t="s">
        <v>462</v>
      </c>
      <c r="P17">
        <v>0.10760274181975671</v>
      </c>
      <c r="Q17" t="s">
        <v>158</v>
      </c>
      <c r="S17" t="s">
        <v>408</v>
      </c>
      <c r="T17" t="s">
        <v>462</v>
      </c>
      <c r="U17">
        <v>0.12547432950544246</v>
      </c>
      <c r="V17" t="s">
        <v>158</v>
      </c>
      <c r="X17">
        <v>0.11552511415525114</v>
      </c>
      <c r="Y17">
        <v>0.16263862301005233</v>
      </c>
      <c r="Z17" t="s">
        <v>462</v>
      </c>
      <c r="AA17" t="s">
        <v>25</v>
      </c>
      <c r="AC17" t="s">
        <v>22</v>
      </c>
      <c r="AD17" t="s">
        <v>462</v>
      </c>
      <c r="AE17">
        <v>0.18938131324889537</v>
      </c>
      <c r="AG17" t="s">
        <v>96</v>
      </c>
      <c r="AH17" t="s">
        <v>462</v>
      </c>
      <c r="AI17">
        <v>0.32458907002838422</v>
      </c>
      <c r="AK17">
        <v>2021</v>
      </c>
      <c r="AL17" t="s">
        <v>453</v>
      </c>
      <c r="AM17">
        <v>0.50458966641045055</v>
      </c>
      <c r="AN17" t="s">
        <v>449</v>
      </c>
    </row>
    <row r="18" spans="9:40" x14ac:dyDescent="0.45">
      <c r="I18" t="s">
        <v>156</v>
      </c>
      <c r="J18" t="s">
        <v>463</v>
      </c>
      <c r="K18">
        <v>1.8132374367990874E-3</v>
      </c>
      <c r="L18" t="s">
        <v>158</v>
      </c>
      <c r="N18" t="s">
        <v>294</v>
      </c>
      <c r="O18" t="s">
        <v>463</v>
      </c>
      <c r="P18">
        <v>0.25796381637058363</v>
      </c>
      <c r="Q18" t="s">
        <v>158</v>
      </c>
      <c r="S18" t="s">
        <v>408</v>
      </c>
      <c r="T18" t="s">
        <v>463</v>
      </c>
      <c r="U18">
        <v>0.11498109239804166</v>
      </c>
      <c r="V18" t="s">
        <v>158</v>
      </c>
      <c r="X18">
        <v>0.11552511415525114</v>
      </c>
      <c r="Y18">
        <v>5.3125160563193538E-2</v>
      </c>
      <c r="Z18" t="s">
        <v>463</v>
      </c>
      <c r="AA18" t="s">
        <v>25</v>
      </c>
      <c r="AC18" t="s">
        <v>22</v>
      </c>
      <c r="AD18" t="s">
        <v>463</v>
      </c>
      <c r="AE18">
        <v>0.14053984885324988</v>
      </c>
      <c r="AG18" t="s">
        <v>96</v>
      </c>
      <c r="AH18" t="s">
        <v>463</v>
      </c>
      <c r="AI18">
        <v>0.48556838588641305</v>
      </c>
      <c r="AK18">
        <v>2021</v>
      </c>
      <c r="AL18" t="s">
        <v>455</v>
      </c>
      <c r="AM18">
        <v>0.26338706521715743</v>
      </c>
      <c r="AN18" t="s">
        <v>449</v>
      </c>
    </row>
    <row r="19" spans="9:40" x14ac:dyDescent="0.45">
      <c r="I19" t="s">
        <v>156</v>
      </c>
      <c r="J19" t="s">
        <v>464</v>
      </c>
      <c r="K19">
        <v>1.9484638709529965E-2</v>
      </c>
      <c r="L19" t="s">
        <v>158</v>
      </c>
      <c r="N19" t="s">
        <v>294</v>
      </c>
      <c r="O19" t="s">
        <v>464</v>
      </c>
      <c r="P19">
        <v>1.3208803233404362E-2</v>
      </c>
      <c r="Q19" t="s">
        <v>158</v>
      </c>
      <c r="S19" t="s">
        <v>408</v>
      </c>
      <c r="T19" t="s">
        <v>464</v>
      </c>
      <c r="U19">
        <v>1.9767013869731651E-2</v>
      </c>
      <c r="V19" t="s">
        <v>158</v>
      </c>
      <c r="X19">
        <v>2.1004566210045664E-2</v>
      </c>
      <c r="Y19">
        <v>3.6291010947302131E-2</v>
      </c>
      <c r="Z19" t="s">
        <v>464</v>
      </c>
      <c r="AA19" t="s">
        <v>25</v>
      </c>
      <c r="AC19" t="s">
        <v>22</v>
      </c>
      <c r="AD19" t="s">
        <v>464</v>
      </c>
      <c r="AE19">
        <v>1.8915946070108401E-2</v>
      </c>
      <c r="AG19" t="s">
        <v>96</v>
      </c>
      <c r="AH19" t="s">
        <v>464</v>
      </c>
      <c r="AI19">
        <v>0.25371539012198441</v>
      </c>
      <c r="AK19">
        <v>2022</v>
      </c>
      <c r="AL19" t="s">
        <v>450</v>
      </c>
      <c r="AM19">
        <v>0.34749890723128751</v>
      </c>
      <c r="AN19" t="s">
        <v>449</v>
      </c>
    </row>
    <row r="20" spans="9:40" x14ac:dyDescent="0.45">
      <c r="I20" t="s">
        <v>156</v>
      </c>
      <c r="J20" t="s">
        <v>465</v>
      </c>
      <c r="K20">
        <v>0.20858717131451704</v>
      </c>
      <c r="L20" t="s">
        <v>158</v>
      </c>
      <c r="N20" t="s">
        <v>294</v>
      </c>
      <c r="O20" t="s">
        <v>465</v>
      </c>
      <c r="P20">
        <v>2.9138958124942119E-2</v>
      </c>
      <c r="Q20" t="s">
        <v>158</v>
      </c>
      <c r="S20" t="s">
        <v>408</v>
      </c>
      <c r="T20" t="s">
        <v>465</v>
      </c>
      <c r="U20">
        <v>0.18988408621912492</v>
      </c>
      <c r="V20" t="s">
        <v>158</v>
      </c>
      <c r="X20">
        <v>0.11301369863013698</v>
      </c>
      <c r="Y20">
        <v>0.15910300077070333</v>
      </c>
      <c r="Z20" t="s">
        <v>465</v>
      </c>
      <c r="AA20" t="s">
        <v>25</v>
      </c>
      <c r="AC20" t="s">
        <v>22</v>
      </c>
      <c r="AD20" t="s">
        <v>465</v>
      </c>
      <c r="AE20">
        <v>0.19310936026469586</v>
      </c>
      <c r="AG20" t="s">
        <v>96</v>
      </c>
      <c r="AH20" t="s">
        <v>465</v>
      </c>
      <c r="AI20">
        <v>0.12372057531287584</v>
      </c>
      <c r="AK20">
        <v>2022</v>
      </c>
      <c r="AL20" t="s">
        <v>452</v>
      </c>
      <c r="AM20">
        <v>0.36364634589612016</v>
      </c>
      <c r="AN20" t="s">
        <v>449</v>
      </c>
    </row>
    <row r="21" spans="9:40" x14ac:dyDescent="0.45">
      <c r="I21" t="s">
        <v>156</v>
      </c>
      <c r="J21" t="s">
        <v>466</v>
      </c>
      <c r="K21">
        <v>0</v>
      </c>
      <c r="L21" t="s">
        <v>158</v>
      </c>
      <c r="N21" t="s">
        <v>294</v>
      </c>
      <c r="O21" t="s">
        <v>466</v>
      </c>
      <c r="P21">
        <v>6.6583053338276077E-2</v>
      </c>
      <c r="Q21" t="s">
        <v>158</v>
      </c>
      <c r="S21" t="s">
        <v>408</v>
      </c>
      <c r="T21" t="s">
        <v>466</v>
      </c>
      <c r="U21">
        <v>0.18869103240043961</v>
      </c>
      <c r="V21" t="s">
        <v>158</v>
      </c>
      <c r="X21">
        <v>0.11301369863013698</v>
      </c>
      <c r="Y21">
        <v>5.197026576834151E-2</v>
      </c>
      <c r="Z21" t="s">
        <v>466</v>
      </c>
      <c r="AA21" t="s">
        <v>25</v>
      </c>
      <c r="AC21" t="s">
        <v>22</v>
      </c>
      <c r="AD21" t="s">
        <v>466</v>
      </c>
      <c r="AE21">
        <v>0.13256068487164269</v>
      </c>
      <c r="AG21" t="s">
        <v>96</v>
      </c>
      <c r="AH21" t="s">
        <v>466</v>
      </c>
      <c r="AI21">
        <v>0.19127680762799937</v>
      </c>
      <c r="AK21">
        <v>2022</v>
      </c>
      <c r="AL21" t="s">
        <v>453</v>
      </c>
      <c r="AM21">
        <v>0.51671478812958649</v>
      </c>
      <c r="AN21" t="s">
        <v>449</v>
      </c>
    </row>
    <row r="22" spans="9:40" x14ac:dyDescent="0.45">
      <c r="I22" t="s">
        <v>156</v>
      </c>
      <c r="J22" t="s">
        <v>467</v>
      </c>
      <c r="K22">
        <v>3.8979213756605777E-3</v>
      </c>
      <c r="L22" t="s">
        <v>158</v>
      </c>
      <c r="N22" t="s">
        <v>294</v>
      </c>
      <c r="O22" t="s">
        <v>467</v>
      </c>
      <c r="P22">
        <v>8.1371516204311566E-3</v>
      </c>
      <c r="Q22" t="s">
        <v>158</v>
      </c>
      <c r="S22" t="s">
        <v>408</v>
      </c>
      <c r="T22" t="s">
        <v>467</v>
      </c>
      <c r="U22">
        <v>3.1228021604292108E-2</v>
      </c>
      <c r="V22" t="s">
        <v>158</v>
      </c>
      <c r="X22">
        <v>2.0547945205479451E-2</v>
      </c>
      <c r="Y22">
        <v>3.5502075926708607E-2</v>
      </c>
      <c r="Z22" t="s">
        <v>467</v>
      </c>
      <c r="AA22" t="s">
        <v>25</v>
      </c>
      <c r="AC22" t="s">
        <v>22</v>
      </c>
      <c r="AD22" t="s">
        <v>467</v>
      </c>
      <c r="AE22">
        <v>1.446160941344077E-2</v>
      </c>
      <c r="AG22" t="s">
        <v>96</v>
      </c>
      <c r="AH22" t="s">
        <v>467</v>
      </c>
      <c r="AI22">
        <v>9.6920912385496827E-2</v>
      </c>
      <c r="AK22">
        <v>2022</v>
      </c>
      <c r="AL22" t="s">
        <v>455</v>
      </c>
      <c r="AM22">
        <v>0.27374366247873677</v>
      </c>
      <c r="AN22" t="s">
        <v>449</v>
      </c>
    </row>
    <row r="23" spans="9:40" x14ac:dyDescent="0.45">
      <c r="I23" t="s">
        <v>159</v>
      </c>
      <c r="J23" t="s">
        <v>456</v>
      </c>
      <c r="K23">
        <v>0.20456034695656924</v>
      </c>
      <c r="L23" t="s">
        <v>158</v>
      </c>
      <c r="N23" t="s">
        <v>295</v>
      </c>
      <c r="O23" t="s">
        <v>456</v>
      </c>
      <c r="P23">
        <v>5.3001086966884395E-2</v>
      </c>
      <c r="Q23" t="s">
        <v>158</v>
      </c>
      <c r="S23" t="s">
        <v>409</v>
      </c>
      <c r="T23" t="s">
        <v>456</v>
      </c>
      <c r="U23">
        <v>9.9735932101254005E-2</v>
      </c>
      <c r="V23" t="s">
        <v>158</v>
      </c>
      <c r="AC23" t="s">
        <v>19</v>
      </c>
      <c r="AD23" t="s">
        <v>456</v>
      </c>
      <c r="AE23">
        <v>0.11503026335080821</v>
      </c>
      <c r="AK23">
        <v>2025</v>
      </c>
      <c r="AL23" t="s">
        <v>450</v>
      </c>
      <c r="AM23">
        <v>0.42803333333333332</v>
      </c>
      <c r="AN23" t="s">
        <v>449</v>
      </c>
    </row>
    <row r="24" spans="9:40" x14ac:dyDescent="0.45">
      <c r="I24" t="s">
        <v>159</v>
      </c>
      <c r="J24" t="s">
        <v>457</v>
      </c>
      <c r="K24">
        <v>0</v>
      </c>
      <c r="L24" t="s">
        <v>158</v>
      </c>
      <c r="N24" t="s">
        <v>295</v>
      </c>
      <c r="O24" t="s">
        <v>457</v>
      </c>
      <c r="P24">
        <v>0.10485413453017371</v>
      </c>
      <c r="Q24" t="s">
        <v>158</v>
      </c>
      <c r="S24" t="s">
        <v>409</v>
      </c>
      <c r="T24" t="s">
        <v>457</v>
      </c>
      <c r="U24">
        <v>9.2581809870680487E-2</v>
      </c>
      <c r="V24" t="s">
        <v>158</v>
      </c>
      <c r="AC24" t="s">
        <v>19</v>
      </c>
      <c r="AD24" t="s">
        <v>457</v>
      </c>
      <c r="AE24">
        <v>0.11356326865260816</v>
      </c>
      <c r="AK24">
        <v>2025</v>
      </c>
      <c r="AL24" t="s">
        <v>452</v>
      </c>
      <c r="AM24">
        <v>0.35673333333333335</v>
      </c>
      <c r="AN24" t="s">
        <v>449</v>
      </c>
    </row>
    <row r="25" spans="9:40" x14ac:dyDescent="0.45">
      <c r="I25" t="s">
        <v>159</v>
      </c>
      <c r="J25" t="s">
        <v>458</v>
      </c>
      <c r="K25">
        <v>9.0831079360850844E-3</v>
      </c>
      <c r="L25" t="s">
        <v>158</v>
      </c>
      <c r="N25" t="s">
        <v>295</v>
      </c>
      <c r="O25" t="s">
        <v>458</v>
      </c>
      <c r="P25">
        <v>1.1995116115652864E-2</v>
      </c>
      <c r="Q25" t="s">
        <v>158</v>
      </c>
      <c r="S25" t="s">
        <v>409</v>
      </c>
      <c r="T25" t="s">
        <v>458</v>
      </c>
      <c r="U25">
        <v>1.6579386859116568E-2</v>
      </c>
      <c r="V25" t="s">
        <v>158</v>
      </c>
      <c r="AC25" t="s">
        <v>19</v>
      </c>
      <c r="AD25" t="s">
        <v>458</v>
      </c>
      <c r="AE25">
        <v>2.0421368070087563E-2</v>
      </c>
      <c r="AK25">
        <v>2025</v>
      </c>
      <c r="AL25" t="s">
        <v>453</v>
      </c>
      <c r="AM25">
        <v>0.5208666666666667</v>
      </c>
      <c r="AN25" t="s">
        <v>449</v>
      </c>
    </row>
    <row r="26" spans="9:40" x14ac:dyDescent="0.45">
      <c r="I26" t="s">
        <v>159</v>
      </c>
      <c r="J26" t="s">
        <v>459</v>
      </c>
      <c r="K26">
        <v>0.26274991990092422</v>
      </c>
      <c r="L26" t="s">
        <v>158</v>
      </c>
      <c r="N26" t="s">
        <v>295</v>
      </c>
      <c r="O26" t="s">
        <v>459</v>
      </c>
      <c r="P26">
        <v>9.7237524586532814E-2</v>
      </c>
      <c r="Q26" t="s">
        <v>158</v>
      </c>
      <c r="S26" t="s">
        <v>409</v>
      </c>
      <c r="T26" t="s">
        <v>459</v>
      </c>
      <c r="U26">
        <v>3.9089727706045942E-2</v>
      </c>
      <c r="V26" t="s">
        <v>158</v>
      </c>
      <c r="AC26" t="s">
        <v>19</v>
      </c>
      <c r="AD26" t="s">
        <v>459</v>
      </c>
      <c r="AE26">
        <v>0.11633244440561506</v>
      </c>
      <c r="AK26">
        <v>2025</v>
      </c>
      <c r="AL26" t="s">
        <v>455</v>
      </c>
      <c r="AM26">
        <v>0.26369999999999999</v>
      </c>
      <c r="AN26" t="s">
        <v>449</v>
      </c>
    </row>
    <row r="27" spans="9:40" x14ac:dyDescent="0.45">
      <c r="I27" t="s">
        <v>159</v>
      </c>
      <c r="J27" t="s">
        <v>460</v>
      </c>
      <c r="K27">
        <v>1.6825937321194732E-4</v>
      </c>
      <c r="L27" t="s">
        <v>158</v>
      </c>
      <c r="N27" t="s">
        <v>295</v>
      </c>
      <c r="O27" t="s">
        <v>460</v>
      </c>
      <c r="P27">
        <v>0.20686360742152526</v>
      </c>
      <c r="Q27" t="s">
        <v>158</v>
      </c>
      <c r="S27" t="s">
        <v>409</v>
      </c>
      <c r="T27" t="s">
        <v>460</v>
      </c>
      <c r="U27">
        <v>4.2427933496582908E-2</v>
      </c>
      <c r="V27" t="s">
        <v>158</v>
      </c>
      <c r="AC27" t="s">
        <v>19</v>
      </c>
      <c r="AD27" t="s">
        <v>460</v>
      </c>
      <c r="AE27">
        <v>0.11485903722988593</v>
      </c>
      <c r="AK27">
        <v>2026</v>
      </c>
      <c r="AL27" t="s">
        <v>450</v>
      </c>
      <c r="AM27">
        <v>0.34946666666666665</v>
      </c>
      <c r="AN27" t="s">
        <v>449</v>
      </c>
    </row>
    <row r="28" spans="9:40" x14ac:dyDescent="0.45">
      <c r="I28" t="s">
        <v>159</v>
      </c>
      <c r="J28" t="s">
        <v>461</v>
      </c>
      <c r="K28">
        <v>2.2499420637305867E-2</v>
      </c>
      <c r="L28" t="s">
        <v>158</v>
      </c>
      <c r="N28" t="s">
        <v>295</v>
      </c>
      <c r="O28" t="s">
        <v>461</v>
      </c>
      <c r="P28">
        <v>1.9963184412637527E-2</v>
      </c>
      <c r="Q28" t="s">
        <v>158</v>
      </c>
      <c r="S28" t="s">
        <v>409</v>
      </c>
      <c r="T28" t="s">
        <v>461</v>
      </c>
      <c r="U28">
        <v>6.1566308218516498E-3</v>
      </c>
      <c r="V28" t="s">
        <v>158</v>
      </c>
      <c r="AC28" t="s">
        <v>19</v>
      </c>
      <c r="AD28" t="s">
        <v>461</v>
      </c>
      <c r="AE28">
        <v>2.0627495720219501E-2</v>
      </c>
      <c r="AK28">
        <v>2026</v>
      </c>
      <c r="AL28" t="s">
        <v>452</v>
      </c>
      <c r="AM28">
        <v>0.27929999999999994</v>
      </c>
      <c r="AN28" t="s">
        <v>449</v>
      </c>
    </row>
    <row r="29" spans="9:40" x14ac:dyDescent="0.45">
      <c r="I29" t="s">
        <v>159</v>
      </c>
      <c r="J29" t="s">
        <v>462</v>
      </c>
      <c r="K29">
        <v>0.26827691397892206</v>
      </c>
      <c r="L29" t="s">
        <v>158</v>
      </c>
      <c r="N29" t="s">
        <v>295</v>
      </c>
      <c r="O29" t="s">
        <v>462</v>
      </c>
      <c r="P29">
        <v>0.1030448160911784</v>
      </c>
      <c r="Q29" t="s">
        <v>158</v>
      </c>
      <c r="S29" t="s">
        <v>409</v>
      </c>
      <c r="T29" t="s">
        <v>462</v>
      </c>
      <c r="U29">
        <v>0.11115536477670181</v>
      </c>
      <c r="V29" t="s">
        <v>158</v>
      </c>
      <c r="AC29" t="s">
        <v>19</v>
      </c>
      <c r="AD29" t="s">
        <v>462</v>
      </c>
      <c r="AE29">
        <v>0.11653870637605199</v>
      </c>
      <c r="AK29">
        <v>2026</v>
      </c>
      <c r="AL29" t="s">
        <v>453</v>
      </c>
      <c r="AM29">
        <v>0.42193333333333333</v>
      </c>
      <c r="AN29" t="s">
        <v>449</v>
      </c>
    </row>
    <row r="30" spans="9:40" x14ac:dyDescent="0.45">
      <c r="I30" t="s">
        <v>159</v>
      </c>
      <c r="J30" t="s">
        <v>463</v>
      </c>
      <c r="K30">
        <v>2.7205009825746643E-3</v>
      </c>
      <c r="L30" t="s">
        <v>158</v>
      </c>
      <c r="N30" t="s">
        <v>295</v>
      </c>
      <c r="O30" t="s">
        <v>463</v>
      </c>
      <c r="P30">
        <v>0.282580665494996</v>
      </c>
      <c r="Q30" t="s">
        <v>158</v>
      </c>
      <c r="S30" t="s">
        <v>409</v>
      </c>
      <c r="T30" t="s">
        <v>463</v>
      </c>
      <c r="U30">
        <v>9.9473314520752948E-2</v>
      </c>
      <c r="V30" t="s">
        <v>158</v>
      </c>
      <c r="AC30" t="s">
        <v>19</v>
      </c>
      <c r="AD30" t="s">
        <v>463</v>
      </c>
      <c r="AE30">
        <v>0.11506725127368307</v>
      </c>
      <c r="AK30">
        <v>2026</v>
      </c>
      <c r="AL30" t="s">
        <v>455</v>
      </c>
      <c r="AM30">
        <v>0.23506666666666665</v>
      </c>
      <c r="AN30" t="s">
        <v>449</v>
      </c>
    </row>
    <row r="31" spans="9:40" x14ac:dyDescent="0.45">
      <c r="I31" t="s">
        <v>159</v>
      </c>
      <c r="J31" t="s">
        <v>464</v>
      </c>
      <c r="K31">
        <v>2.4911813035778975E-2</v>
      </c>
      <c r="L31" t="s">
        <v>158</v>
      </c>
      <c r="N31" t="s">
        <v>295</v>
      </c>
      <c r="O31" t="s">
        <v>464</v>
      </c>
      <c r="P31">
        <v>2.2077187021512363E-2</v>
      </c>
      <c r="Q31" t="s">
        <v>158</v>
      </c>
      <c r="S31" t="s">
        <v>409</v>
      </c>
      <c r="T31" t="s">
        <v>464</v>
      </c>
      <c r="U31">
        <v>1.8917286046884373E-2</v>
      </c>
      <c r="V31" t="s">
        <v>158</v>
      </c>
      <c r="AC31" t="s">
        <v>19</v>
      </c>
      <c r="AD31" t="s">
        <v>464</v>
      </c>
      <c r="AE31">
        <v>2.0721371805584355E-2</v>
      </c>
      <c r="AK31">
        <v>2027</v>
      </c>
      <c r="AL31" t="s">
        <v>450</v>
      </c>
      <c r="AM31">
        <v>0.36463333333333336</v>
      </c>
      <c r="AN31" t="s">
        <v>449</v>
      </c>
    </row>
    <row r="32" spans="9:40" x14ac:dyDescent="0.45">
      <c r="I32" t="s">
        <v>159</v>
      </c>
      <c r="J32" t="s">
        <v>465</v>
      </c>
      <c r="K32">
        <v>0.19804034894519953</v>
      </c>
      <c r="L32" t="s">
        <v>158</v>
      </c>
      <c r="N32" t="s">
        <v>295</v>
      </c>
      <c r="O32" t="s">
        <v>465</v>
      </c>
      <c r="P32">
        <v>2.5972932616058923E-2</v>
      </c>
      <c r="Q32" t="s">
        <v>158</v>
      </c>
      <c r="S32" t="s">
        <v>409</v>
      </c>
      <c r="T32" t="s">
        <v>465</v>
      </c>
      <c r="U32">
        <v>0.21411239528709206</v>
      </c>
      <c r="V32" t="s">
        <v>158</v>
      </c>
      <c r="AC32" t="s">
        <v>19</v>
      </c>
      <c r="AD32" t="s">
        <v>465</v>
      </c>
      <c r="AE32">
        <v>0.11425565012228224</v>
      </c>
      <c r="AK32">
        <v>2027</v>
      </c>
      <c r="AL32" t="s">
        <v>452</v>
      </c>
      <c r="AM32">
        <v>0.28550000000000003</v>
      </c>
      <c r="AN32" t="s">
        <v>449</v>
      </c>
    </row>
    <row r="33" spans="9:40" x14ac:dyDescent="0.45">
      <c r="I33" t="s">
        <v>159</v>
      </c>
      <c r="J33" t="s">
        <v>466</v>
      </c>
      <c r="K33">
        <v>0</v>
      </c>
      <c r="L33" t="s">
        <v>158</v>
      </c>
      <c r="N33" t="s">
        <v>295</v>
      </c>
      <c r="O33" t="s">
        <v>466</v>
      </c>
      <c r="P33">
        <v>6.3960119127544221E-2</v>
      </c>
      <c r="Q33" t="s">
        <v>158</v>
      </c>
      <c r="S33" t="s">
        <v>409</v>
      </c>
      <c r="T33" t="s">
        <v>466</v>
      </c>
      <c r="U33">
        <v>0.22411281884480827</v>
      </c>
      <c r="V33" t="s">
        <v>158</v>
      </c>
      <c r="AC33" t="s">
        <v>19</v>
      </c>
      <c r="AD33" t="s">
        <v>466</v>
      </c>
      <c r="AE33">
        <v>0.11243148988361563</v>
      </c>
      <c r="AK33">
        <v>2027</v>
      </c>
      <c r="AL33" t="s">
        <v>453</v>
      </c>
      <c r="AM33">
        <v>0.44189999999999996</v>
      </c>
      <c r="AN33" t="s">
        <v>449</v>
      </c>
    </row>
    <row r="34" spans="9:40" x14ac:dyDescent="0.45">
      <c r="I34" t="s">
        <v>159</v>
      </c>
      <c r="J34" t="s">
        <v>467</v>
      </c>
      <c r="K34">
        <v>6.9893682534288215E-3</v>
      </c>
      <c r="L34" t="s">
        <v>158</v>
      </c>
      <c r="N34" t="s">
        <v>295</v>
      </c>
      <c r="O34" t="s">
        <v>467</v>
      </c>
      <c r="P34">
        <v>8.4496256153018708E-3</v>
      </c>
      <c r="Q34" t="s">
        <v>158</v>
      </c>
      <c r="S34" t="s">
        <v>409</v>
      </c>
      <c r="T34" t="s">
        <v>467</v>
      </c>
      <c r="U34">
        <v>3.5657399668228493E-2</v>
      </c>
      <c r="V34" t="s">
        <v>158</v>
      </c>
      <c r="AC34" t="s">
        <v>19</v>
      </c>
      <c r="AD34" t="s">
        <v>467</v>
      </c>
      <c r="AE34">
        <v>2.0151653109558305E-2</v>
      </c>
      <c r="AK34">
        <v>2027</v>
      </c>
      <c r="AL34" t="s">
        <v>455</v>
      </c>
      <c r="AM34">
        <v>0.22870000000000001</v>
      </c>
      <c r="AN34" t="s">
        <v>449</v>
      </c>
    </row>
    <row r="35" spans="9:40" x14ac:dyDescent="0.45">
      <c r="I35" t="s">
        <v>160</v>
      </c>
      <c r="J35" t="s">
        <v>456</v>
      </c>
      <c r="K35">
        <v>0.21599980316201361</v>
      </c>
      <c r="L35" t="s">
        <v>158</v>
      </c>
      <c r="N35" t="s">
        <v>296</v>
      </c>
      <c r="O35" t="s">
        <v>456</v>
      </c>
      <c r="P35">
        <v>6.2742220418932279E-2</v>
      </c>
      <c r="Q35" t="s">
        <v>158</v>
      </c>
      <c r="S35" t="s">
        <v>410</v>
      </c>
      <c r="T35" t="s">
        <v>456</v>
      </c>
      <c r="U35">
        <v>0.10809588480934934</v>
      </c>
      <c r="V35" t="s">
        <v>158</v>
      </c>
      <c r="AK35">
        <v>2028</v>
      </c>
      <c r="AL35" t="s">
        <v>450</v>
      </c>
      <c r="AM35">
        <v>0.36743333333333333</v>
      </c>
      <c r="AN35" t="s">
        <v>449</v>
      </c>
    </row>
    <row r="36" spans="9:40" x14ac:dyDescent="0.45">
      <c r="I36" t="s">
        <v>160</v>
      </c>
      <c r="J36" t="s">
        <v>457</v>
      </c>
      <c r="K36">
        <v>0</v>
      </c>
      <c r="L36" t="s">
        <v>158</v>
      </c>
      <c r="N36" t="s">
        <v>296</v>
      </c>
      <c r="O36" t="s">
        <v>457</v>
      </c>
      <c r="P36">
        <v>0.11716913528202555</v>
      </c>
      <c r="Q36" t="s">
        <v>158</v>
      </c>
      <c r="S36" t="s">
        <v>410</v>
      </c>
      <c r="T36" t="s">
        <v>457</v>
      </c>
      <c r="U36">
        <v>0.10272264639688304</v>
      </c>
      <c r="V36" t="s">
        <v>158</v>
      </c>
      <c r="AK36">
        <v>2028</v>
      </c>
      <c r="AL36" t="s">
        <v>452</v>
      </c>
      <c r="AM36">
        <v>0.28250000000000003</v>
      </c>
      <c r="AN36" t="s">
        <v>449</v>
      </c>
    </row>
    <row r="37" spans="9:40" x14ac:dyDescent="0.45">
      <c r="I37" t="s">
        <v>160</v>
      </c>
      <c r="J37" t="s">
        <v>458</v>
      </c>
      <c r="K37">
        <v>8.3680014673313454E-3</v>
      </c>
      <c r="L37" t="s">
        <v>158</v>
      </c>
      <c r="N37" t="s">
        <v>296</v>
      </c>
      <c r="O37" t="s">
        <v>458</v>
      </c>
      <c r="P37">
        <v>1.4701898559721758E-2</v>
      </c>
      <c r="Q37" t="s">
        <v>158</v>
      </c>
      <c r="S37" t="s">
        <v>410</v>
      </c>
      <c r="T37" t="s">
        <v>458</v>
      </c>
      <c r="U37">
        <v>1.8053482055692516E-2</v>
      </c>
      <c r="V37" t="s">
        <v>158</v>
      </c>
      <c r="AK37">
        <v>2028</v>
      </c>
      <c r="AL37" t="s">
        <v>453</v>
      </c>
      <c r="AM37">
        <v>0.43943333333333334</v>
      </c>
      <c r="AN37" t="s">
        <v>449</v>
      </c>
    </row>
    <row r="38" spans="9:40" x14ac:dyDescent="0.45">
      <c r="I38" t="s">
        <v>160</v>
      </c>
      <c r="J38" t="s">
        <v>459</v>
      </c>
      <c r="K38">
        <v>0.26236396992888439</v>
      </c>
      <c r="L38" t="s">
        <v>158</v>
      </c>
      <c r="N38" t="s">
        <v>296</v>
      </c>
      <c r="O38" t="s">
        <v>459</v>
      </c>
      <c r="P38">
        <v>0.10370012089914382</v>
      </c>
      <c r="Q38" t="s">
        <v>158</v>
      </c>
      <c r="S38" t="s">
        <v>410</v>
      </c>
      <c r="T38" t="s">
        <v>459</v>
      </c>
      <c r="U38">
        <v>3.4884430106851626E-2</v>
      </c>
      <c r="V38" t="s">
        <v>158</v>
      </c>
      <c r="AK38">
        <v>2028</v>
      </c>
      <c r="AL38" t="s">
        <v>455</v>
      </c>
      <c r="AM38">
        <v>0.24276666666666666</v>
      </c>
      <c r="AN38" t="s">
        <v>449</v>
      </c>
    </row>
    <row r="39" spans="9:40" x14ac:dyDescent="0.45">
      <c r="I39" t="s">
        <v>160</v>
      </c>
      <c r="J39" t="s">
        <v>460</v>
      </c>
      <c r="K39">
        <v>1.3866903220841281E-4</v>
      </c>
      <c r="L39" t="s">
        <v>158</v>
      </c>
      <c r="N39" t="s">
        <v>296</v>
      </c>
      <c r="O39" t="s">
        <v>460</v>
      </c>
      <c r="P39">
        <v>0.21512082634840732</v>
      </c>
      <c r="Q39" t="s">
        <v>158</v>
      </c>
      <c r="S39" t="s">
        <v>410</v>
      </c>
      <c r="T39" t="s">
        <v>460</v>
      </c>
      <c r="U39">
        <v>3.8519750183308374E-2</v>
      </c>
      <c r="V39" t="s">
        <v>158</v>
      </c>
      <c r="AK39">
        <v>2029</v>
      </c>
      <c r="AL39" t="s">
        <v>450</v>
      </c>
      <c r="AM39">
        <v>0.37786666666666674</v>
      </c>
      <c r="AN39" t="s">
        <v>449</v>
      </c>
    </row>
    <row r="40" spans="9:40" x14ac:dyDescent="0.45">
      <c r="I40" t="s">
        <v>160</v>
      </c>
      <c r="J40" t="s">
        <v>461</v>
      </c>
      <c r="K40">
        <v>2.2693967197307003E-2</v>
      </c>
      <c r="L40" t="s">
        <v>158</v>
      </c>
      <c r="N40" t="s">
        <v>296</v>
      </c>
      <c r="O40" t="s">
        <v>461</v>
      </c>
      <c r="P40">
        <v>1.5991061647811562E-2</v>
      </c>
      <c r="Q40" t="s">
        <v>158</v>
      </c>
      <c r="S40" t="s">
        <v>410</v>
      </c>
      <c r="T40" t="s">
        <v>461</v>
      </c>
      <c r="U40">
        <v>5.5024075301895329E-3</v>
      </c>
      <c r="V40" t="s">
        <v>158</v>
      </c>
      <c r="AK40">
        <v>2029</v>
      </c>
      <c r="AL40" t="s">
        <v>452</v>
      </c>
      <c r="AM40">
        <v>0.27379999999999999</v>
      </c>
      <c r="AN40" t="s">
        <v>449</v>
      </c>
    </row>
    <row r="41" spans="9:40" x14ac:dyDescent="0.45">
      <c r="I41" t="s">
        <v>160</v>
      </c>
      <c r="J41" t="s">
        <v>462</v>
      </c>
      <c r="K41">
        <v>0.24994025441991763</v>
      </c>
      <c r="L41" t="s">
        <v>158</v>
      </c>
      <c r="N41" t="s">
        <v>296</v>
      </c>
      <c r="O41" t="s">
        <v>462</v>
      </c>
      <c r="P41">
        <v>0.12686041746188795</v>
      </c>
      <c r="Q41" t="s">
        <v>158</v>
      </c>
      <c r="S41" t="s">
        <v>410</v>
      </c>
      <c r="T41" t="s">
        <v>462</v>
      </c>
      <c r="U41">
        <v>0.12367867157401384</v>
      </c>
      <c r="V41" t="s">
        <v>158</v>
      </c>
      <c r="AK41">
        <v>2029</v>
      </c>
      <c r="AL41" t="s">
        <v>453</v>
      </c>
      <c r="AM41">
        <v>0.4363333333333333</v>
      </c>
      <c r="AN41" t="s">
        <v>449</v>
      </c>
    </row>
    <row r="42" spans="9:40" x14ac:dyDescent="0.45">
      <c r="I42" t="s">
        <v>160</v>
      </c>
      <c r="J42" t="s">
        <v>463</v>
      </c>
      <c r="K42">
        <v>2.3390094366762732E-3</v>
      </c>
      <c r="L42" t="s">
        <v>158</v>
      </c>
      <c r="N42" t="s">
        <v>296</v>
      </c>
      <c r="O42" t="s">
        <v>463</v>
      </c>
      <c r="P42">
        <v>0.2460415178662968</v>
      </c>
      <c r="Q42" t="s">
        <v>158</v>
      </c>
      <c r="S42" t="s">
        <v>410</v>
      </c>
      <c r="T42" t="s">
        <v>463</v>
      </c>
      <c r="U42">
        <v>0.11339980698943711</v>
      </c>
      <c r="V42" t="s">
        <v>158</v>
      </c>
      <c r="AK42">
        <v>2029</v>
      </c>
      <c r="AL42" t="s">
        <v>455</v>
      </c>
      <c r="AM42">
        <v>0.2403666666666667</v>
      </c>
      <c r="AN42" t="s">
        <v>449</v>
      </c>
    </row>
    <row r="43" spans="9:40" x14ac:dyDescent="0.45">
      <c r="I43" t="s">
        <v>160</v>
      </c>
      <c r="J43" t="s">
        <v>464</v>
      </c>
      <c r="K43">
        <v>2.3309575065283243E-2</v>
      </c>
      <c r="L43" t="s">
        <v>158</v>
      </c>
      <c r="N43" t="s">
        <v>296</v>
      </c>
      <c r="O43" t="s">
        <v>464</v>
      </c>
      <c r="P43">
        <v>1.5404263556340787E-2</v>
      </c>
      <c r="Q43" t="s">
        <v>158</v>
      </c>
      <c r="S43" t="s">
        <v>410</v>
      </c>
      <c r="T43" t="s">
        <v>464</v>
      </c>
      <c r="U43">
        <v>1.9900641950859187E-2</v>
      </c>
      <c r="V43" t="s">
        <v>158</v>
      </c>
      <c r="AK43">
        <v>2030</v>
      </c>
      <c r="AL43" t="s">
        <v>450</v>
      </c>
      <c r="AM43">
        <v>0.47583333333333333</v>
      </c>
      <c r="AN43" t="s">
        <v>449</v>
      </c>
    </row>
    <row r="44" spans="9:40" x14ac:dyDescent="0.45">
      <c r="I44" t="s">
        <v>160</v>
      </c>
      <c r="J44" t="s">
        <v>465</v>
      </c>
      <c r="K44">
        <v>0.20848822600567568</v>
      </c>
      <c r="L44" t="s">
        <v>158</v>
      </c>
      <c r="N44" t="s">
        <v>296</v>
      </c>
      <c r="O44" t="s">
        <v>465</v>
      </c>
      <c r="P44">
        <v>2.448668468607499E-2</v>
      </c>
      <c r="Q44" t="s">
        <v>158</v>
      </c>
      <c r="S44" t="s">
        <v>410</v>
      </c>
      <c r="T44" t="s">
        <v>465</v>
      </c>
      <c r="U44">
        <v>0.19903619418766483</v>
      </c>
      <c r="V44" t="s">
        <v>158</v>
      </c>
      <c r="AK44">
        <v>2030</v>
      </c>
      <c r="AL44" t="s">
        <v>452</v>
      </c>
      <c r="AM44">
        <v>0.38736666666666669</v>
      </c>
      <c r="AN44" t="s">
        <v>449</v>
      </c>
    </row>
    <row r="45" spans="9:40" x14ac:dyDescent="0.45">
      <c r="I45" t="s">
        <v>160</v>
      </c>
      <c r="J45" t="s">
        <v>466</v>
      </c>
      <c r="K45">
        <v>0</v>
      </c>
      <c r="L45" t="s">
        <v>158</v>
      </c>
      <c r="N45" t="s">
        <v>296</v>
      </c>
      <c r="O45" t="s">
        <v>466</v>
      </c>
      <c r="P45">
        <v>5.1424303600538436E-2</v>
      </c>
      <c r="Q45" t="s">
        <v>158</v>
      </c>
      <c r="S45" t="s">
        <v>410</v>
      </c>
      <c r="T45" t="s">
        <v>466</v>
      </c>
      <c r="U45">
        <v>0.20265315821797233</v>
      </c>
      <c r="V45" t="s">
        <v>158</v>
      </c>
      <c r="AK45">
        <v>2030</v>
      </c>
      <c r="AL45" t="s">
        <v>453</v>
      </c>
      <c r="AM45">
        <v>0.59456666666666669</v>
      </c>
      <c r="AN45" t="s">
        <v>449</v>
      </c>
    </row>
    <row r="46" spans="9:40" x14ac:dyDescent="0.45">
      <c r="I46" t="s">
        <v>160</v>
      </c>
      <c r="J46" t="s">
        <v>467</v>
      </c>
      <c r="K46">
        <v>6.3585242847013093E-3</v>
      </c>
      <c r="L46" t="s">
        <v>158</v>
      </c>
      <c r="N46" t="s">
        <v>296</v>
      </c>
      <c r="O46" t="s">
        <v>467</v>
      </c>
      <c r="P46">
        <v>6.3575496728154966E-3</v>
      </c>
      <c r="Q46" t="s">
        <v>158</v>
      </c>
      <c r="S46" t="s">
        <v>410</v>
      </c>
      <c r="T46" t="s">
        <v>467</v>
      </c>
      <c r="U46">
        <v>3.3552925997771467E-2</v>
      </c>
      <c r="V46" t="s">
        <v>158</v>
      </c>
      <c r="AK46">
        <v>2030</v>
      </c>
      <c r="AL46" t="s">
        <v>455</v>
      </c>
      <c r="AM46">
        <v>0.31506666666666666</v>
      </c>
      <c r="AN46" t="s">
        <v>449</v>
      </c>
    </row>
    <row r="47" spans="9:40" x14ac:dyDescent="0.45">
      <c r="I47" t="s">
        <v>161</v>
      </c>
      <c r="J47" t="s">
        <v>456</v>
      </c>
      <c r="K47">
        <v>0.21723244123312532</v>
      </c>
      <c r="L47" t="s">
        <v>158</v>
      </c>
      <c r="N47" t="s">
        <v>297</v>
      </c>
      <c r="O47" t="s">
        <v>456</v>
      </c>
      <c r="P47">
        <v>8.007393648064276E-2</v>
      </c>
      <c r="Q47" t="s">
        <v>158</v>
      </c>
      <c r="S47" t="s">
        <v>411</v>
      </c>
      <c r="T47" t="s">
        <v>456</v>
      </c>
      <c r="U47">
        <v>0.14375104878379788</v>
      </c>
      <c r="V47" t="s">
        <v>158</v>
      </c>
      <c r="AK47">
        <v>2031</v>
      </c>
      <c r="AL47" t="s">
        <v>450</v>
      </c>
      <c r="AM47">
        <v>0.35653333333333331</v>
      </c>
      <c r="AN47" t="s">
        <v>449</v>
      </c>
    </row>
    <row r="48" spans="9:40" x14ac:dyDescent="0.45">
      <c r="I48" t="s">
        <v>161</v>
      </c>
      <c r="J48" t="s">
        <v>457</v>
      </c>
      <c r="K48">
        <v>0</v>
      </c>
      <c r="L48" t="s">
        <v>158</v>
      </c>
      <c r="N48" t="s">
        <v>297</v>
      </c>
      <c r="O48" t="s">
        <v>457</v>
      </c>
      <c r="P48">
        <v>9.0103838481040782E-2</v>
      </c>
      <c r="Q48" t="s">
        <v>158</v>
      </c>
      <c r="S48" t="s">
        <v>411</v>
      </c>
      <c r="T48" t="s">
        <v>457</v>
      </c>
      <c r="U48">
        <v>0.14431892144624039</v>
      </c>
      <c r="V48" t="s">
        <v>158</v>
      </c>
      <c r="AK48">
        <v>2031</v>
      </c>
      <c r="AL48" t="s">
        <v>452</v>
      </c>
      <c r="AM48">
        <v>0.29123333333333329</v>
      </c>
      <c r="AN48" t="s">
        <v>449</v>
      </c>
    </row>
    <row r="49" spans="9:40" x14ac:dyDescent="0.45">
      <c r="I49" t="s">
        <v>161</v>
      </c>
      <c r="J49" t="s">
        <v>458</v>
      </c>
      <c r="K49">
        <v>6.8200933657381821E-3</v>
      </c>
      <c r="L49" t="s">
        <v>158</v>
      </c>
      <c r="N49" t="s">
        <v>297</v>
      </c>
      <c r="O49" t="s">
        <v>458</v>
      </c>
      <c r="P49">
        <v>2.1139650102479229E-2</v>
      </c>
      <c r="Q49" t="s">
        <v>158</v>
      </c>
      <c r="S49" t="s">
        <v>411</v>
      </c>
      <c r="T49" t="s">
        <v>458</v>
      </c>
      <c r="U49">
        <v>2.6874449813583865E-2</v>
      </c>
      <c r="V49" t="s">
        <v>158</v>
      </c>
      <c r="AK49">
        <v>2031</v>
      </c>
      <c r="AL49" t="s">
        <v>453</v>
      </c>
      <c r="AM49">
        <v>0.4564333333333333</v>
      </c>
      <c r="AN49" t="s">
        <v>449</v>
      </c>
    </row>
    <row r="50" spans="9:40" x14ac:dyDescent="0.45">
      <c r="I50" t="s">
        <v>161</v>
      </c>
      <c r="J50" t="s">
        <v>459</v>
      </c>
      <c r="K50">
        <v>0.2545188676052591</v>
      </c>
      <c r="L50" t="s">
        <v>158</v>
      </c>
      <c r="N50" t="s">
        <v>297</v>
      </c>
      <c r="O50" t="s">
        <v>459</v>
      </c>
      <c r="P50">
        <v>0.13657376130612348</v>
      </c>
      <c r="Q50" t="s">
        <v>158</v>
      </c>
      <c r="S50" t="s">
        <v>411</v>
      </c>
      <c r="T50" t="s">
        <v>459</v>
      </c>
      <c r="U50">
        <v>9.7826605656913021E-2</v>
      </c>
      <c r="V50" t="s">
        <v>158</v>
      </c>
      <c r="AK50">
        <v>2031</v>
      </c>
      <c r="AL50" t="s">
        <v>455</v>
      </c>
      <c r="AM50">
        <v>0.23616666666666666</v>
      </c>
      <c r="AN50" t="s">
        <v>449</v>
      </c>
    </row>
    <row r="51" spans="9:40" x14ac:dyDescent="0.45">
      <c r="I51" t="s">
        <v>161</v>
      </c>
      <c r="J51" t="s">
        <v>460</v>
      </c>
      <c r="K51">
        <v>7.3667825306313719E-6</v>
      </c>
      <c r="L51" t="s">
        <v>158</v>
      </c>
      <c r="N51" t="s">
        <v>297</v>
      </c>
      <c r="O51" t="s">
        <v>460</v>
      </c>
      <c r="P51">
        <v>0.19277666917235173</v>
      </c>
      <c r="Q51" t="s">
        <v>158</v>
      </c>
      <c r="S51" t="s">
        <v>411</v>
      </c>
      <c r="T51" t="s">
        <v>460</v>
      </c>
      <c r="U51">
        <v>0.10008073393305751</v>
      </c>
      <c r="V51" t="s">
        <v>158</v>
      </c>
      <c r="AK51">
        <v>2032</v>
      </c>
      <c r="AL51" t="s">
        <v>450</v>
      </c>
      <c r="AM51">
        <v>0.37919999999999998</v>
      </c>
      <c r="AN51" t="s">
        <v>449</v>
      </c>
    </row>
    <row r="52" spans="9:40" x14ac:dyDescent="0.45">
      <c r="I52" t="s">
        <v>161</v>
      </c>
      <c r="J52" t="s">
        <v>461</v>
      </c>
      <c r="K52">
        <v>1.8634877393416228E-2</v>
      </c>
      <c r="L52" t="s">
        <v>158</v>
      </c>
      <c r="N52" t="s">
        <v>297</v>
      </c>
      <c r="O52" t="s">
        <v>461</v>
      </c>
      <c r="P52">
        <v>2.9678805261102295E-2</v>
      </c>
      <c r="Q52" t="s">
        <v>158</v>
      </c>
      <c r="S52" t="s">
        <v>411</v>
      </c>
      <c r="T52" t="s">
        <v>461</v>
      </c>
      <c r="U52">
        <v>1.8687311542897503E-2</v>
      </c>
      <c r="V52" t="s">
        <v>158</v>
      </c>
      <c r="AK52">
        <v>2032</v>
      </c>
      <c r="AL52" t="s">
        <v>452</v>
      </c>
      <c r="AM52">
        <v>0.27396666666666669</v>
      </c>
      <c r="AN52" t="s">
        <v>449</v>
      </c>
    </row>
    <row r="53" spans="9:40" x14ac:dyDescent="0.45">
      <c r="I53" t="s">
        <v>161</v>
      </c>
      <c r="J53" t="s">
        <v>462</v>
      </c>
      <c r="K53">
        <v>0.26461155452545942</v>
      </c>
      <c r="L53" t="s">
        <v>158</v>
      </c>
      <c r="N53" t="s">
        <v>297</v>
      </c>
      <c r="O53" t="s">
        <v>462</v>
      </c>
      <c r="P53">
        <v>0.14667785566307587</v>
      </c>
      <c r="Q53" t="s">
        <v>158</v>
      </c>
      <c r="S53" t="s">
        <v>411</v>
      </c>
      <c r="T53" t="s">
        <v>462</v>
      </c>
      <c r="U53">
        <v>6.6954734857628082E-2</v>
      </c>
      <c r="V53" t="s">
        <v>158</v>
      </c>
      <c r="AK53">
        <v>2032</v>
      </c>
      <c r="AL53" t="s">
        <v>453</v>
      </c>
      <c r="AM53">
        <v>0.40430000000000005</v>
      </c>
      <c r="AN53" t="s">
        <v>449</v>
      </c>
    </row>
    <row r="54" spans="9:40" x14ac:dyDescent="0.45">
      <c r="I54" t="s">
        <v>161</v>
      </c>
      <c r="J54" t="s">
        <v>463</v>
      </c>
      <c r="K54">
        <v>8.8448792745822447E-4</v>
      </c>
      <c r="L54" t="s">
        <v>158</v>
      </c>
      <c r="N54" t="s">
        <v>297</v>
      </c>
      <c r="O54" t="s">
        <v>463</v>
      </c>
      <c r="P54">
        <v>0.17715687999398455</v>
      </c>
      <c r="Q54" t="s">
        <v>158</v>
      </c>
      <c r="S54" t="s">
        <v>411</v>
      </c>
      <c r="T54" t="s">
        <v>463</v>
      </c>
      <c r="U54">
        <v>7.4789244182320483E-2</v>
      </c>
      <c r="V54" t="s">
        <v>158</v>
      </c>
      <c r="AK54">
        <v>2032</v>
      </c>
      <c r="AL54" t="s">
        <v>455</v>
      </c>
      <c r="AM54">
        <v>0.2341</v>
      </c>
      <c r="AN54" t="s">
        <v>449</v>
      </c>
    </row>
    <row r="55" spans="9:40" x14ac:dyDescent="0.45">
      <c r="I55" t="s">
        <v>161</v>
      </c>
      <c r="J55" t="s">
        <v>464</v>
      </c>
      <c r="K55">
        <v>2.2435424333820158E-2</v>
      </c>
      <c r="L55" t="s">
        <v>158</v>
      </c>
      <c r="N55" t="s">
        <v>297</v>
      </c>
      <c r="O55" t="s">
        <v>464</v>
      </c>
      <c r="P55">
        <v>2.4394068050605573E-2</v>
      </c>
      <c r="Q55" t="s">
        <v>158</v>
      </c>
      <c r="S55" t="s">
        <v>411</v>
      </c>
      <c r="T55" t="s">
        <v>464</v>
      </c>
      <c r="U55">
        <v>1.3921701576977301E-2</v>
      </c>
      <c r="V55" t="s">
        <v>158</v>
      </c>
      <c r="AK55">
        <v>2033</v>
      </c>
      <c r="AL55" t="s">
        <v>450</v>
      </c>
      <c r="AM55">
        <v>0.48656666666666665</v>
      </c>
      <c r="AN55" t="s">
        <v>449</v>
      </c>
    </row>
    <row r="56" spans="9:40" x14ac:dyDescent="0.45">
      <c r="I56" t="s">
        <v>161</v>
      </c>
      <c r="J56" t="s">
        <v>465</v>
      </c>
      <c r="K56">
        <v>0.20918743935829118</v>
      </c>
      <c r="L56" t="s">
        <v>158</v>
      </c>
      <c r="N56" t="s">
        <v>297</v>
      </c>
      <c r="O56" t="s">
        <v>465</v>
      </c>
      <c r="P56">
        <v>4.2132794123759185E-2</v>
      </c>
      <c r="Q56" t="s">
        <v>158</v>
      </c>
      <c r="S56" t="s">
        <v>411</v>
      </c>
      <c r="T56" t="s">
        <v>465</v>
      </c>
      <c r="U56">
        <v>0.14224737446764402</v>
      </c>
      <c r="V56" t="s">
        <v>158</v>
      </c>
      <c r="AK56">
        <v>2033</v>
      </c>
      <c r="AL56" t="s">
        <v>452</v>
      </c>
      <c r="AM56">
        <v>0.37119999999999997</v>
      </c>
      <c r="AN56" t="s">
        <v>449</v>
      </c>
    </row>
    <row r="57" spans="9:40" x14ac:dyDescent="0.45">
      <c r="I57" t="s">
        <v>161</v>
      </c>
      <c r="J57" t="s">
        <v>466</v>
      </c>
      <c r="K57">
        <v>0</v>
      </c>
      <c r="L57" t="s">
        <v>158</v>
      </c>
      <c r="N57" t="s">
        <v>297</v>
      </c>
      <c r="O57" t="s">
        <v>466</v>
      </c>
      <c r="P57">
        <v>4.5144339813940254E-2</v>
      </c>
      <c r="Q57" t="s">
        <v>158</v>
      </c>
      <c r="S57" t="s">
        <v>411</v>
      </c>
      <c r="T57" t="s">
        <v>466</v>
      </c>
      <c r="U57">
        <v>0.14416216628804235</v>
      </c>
      <c r="V57" t="s">
        <v>158</v>
      </c>
      <c r="AK57">
        <v>2033</v>
      </c>
      <c r="AL57" t="s">
        <v>453</v>
      </c>
      <c r="AM57">
        <v>0.57893333333333341</v>
      </c>
      <c r="AN57" t="s">
        <v>449</v>
      </c>
    </row>
    <row r="58" spans="9:40" x14ac:dyDescent="0.45">
      <c r="I58" t="s">
        <v>161</v>
      </c>
      <c r="J58" t="s">
        <v>467</v>
      </c>
      <c r="K58">
        <v>5.6674474749013213E-3</v>
      </c>
      <c r="L58" t="s">
        <v>158</v>
      </c>
      <c r="N58" t="s">
        <v>297</v>
      </c>
      <c r="O58" t="s">
        <v>467</v>
      </c>
      <c r="P58">
        <v>1.4147401550893815E-2</v>
      </c>
      <c r="Q58" t="s">
        <v>158</v>
      </c>
      <c r="S58" t="s">
        <v>411</v>
      </c>
      <c r="T58" t="s">
        <v>467</v>
      </c>
      <c r="U58">
        <v>2.6385707450898237E-2</v>
      </c>
      <c r="V58" t="s">
        <v>158</v>
      </c>
      <c r="AK58">
        <v>2033</v>
      </c>
      <c r="AL58" t="s">
        <v>455</v>
      </c>
      <c r="AM58">
        <v>0.31230000000000002</v>
      </c>
      <c r="AN58" t="s">
        <v>449</v>
      </c>
    </row>
    <row r="59" spans="9:40" x14ac:dyDescent="0.45">
      <c r="I59" t="s">
        <v>162</v>
      </c>
      <c r="J59" t="s">
        <v>456</v>
      </c>
      <c r="K59">
        <v>0.23067178135266292</v>
      </c>
      <c r="L59" t="s">
        <v>158</v>
      </c>
      <c r="N59" t="s">
        <v>298</v>
      </c>
      <c r="O59" t="s">
        <v>456</v>
      </c>
      <c r="P59">
        <v>8.6751802637473091E-2</v>
      </c>
      <c r="Q59" t="s">
        <v>158</v>
      </c>
      <c r="S59" t="s">
        <v>412</v>
      </c>
      <c r="T59" t="s">
        <v>456</v>
      </c>
      <c r="U59">
        <v>0.15380843969080277</v>
      </c>
      <c r="V59" t="s">
        <v>158</v>
      </c>
      <c r="AK59">
        <v>2034</v>
      </c>
      <c r="AL59" t="s">
        <v>450</v>
      </c>
      <c r="AM59">
        <v>0.4363333333333333</v>
      </c>
      <c r="AN59" t="s">
        <v>449</v>
      </c>
    </row>
    <row r="60" spans="9:40" x14ac:dyDescent="0.45">
      <c r="I60" t="s">
        <v>162</v>
      </c>
      <c r="J60" t="s">
        <v>457</v>
      </c>
      <c r="K60">
        <v>0</v>
      </c>
      <c r="L60" t="s">
        <v>158</v>
      </c>
      <c r="N60" t="s">
        <v>298</v>
      </c>
      <c r="O60" t="s">
        <v>457</v>
      </c>
      <c r="P60">
        <v>0.1041063191308801</v>
      </c>
      <c r="Q60" t="s">
        <v>158</v>
      </c>
      <c r="S60" t="s">
        <v>412</v>
      </c>
      <c r="T60" t="s">
        <v>457</v>
      </c>
      <c r="U60">
        <v>0.1543702290462807</v>
      </c>
      <c r="V60" t="s">
        <v>158</v>
      </c>
      <c r="AK60">
        <v>2034</v>
      </c>
      <c r="AL60" t="s">
        <v>452</v>
      </c>
      <c r="AM60">
        <v>0.32429999999999998</v>
      </c>
      <c r="AN60" t="s">
        <v>449</v>
      </c>
    </row>
    <row r="61" spans="9:40" x14ac:dyDescent="0.45">
      <c r="I61" t="s">
        <v>162</v>
      </c>
      <c r="J61" t="s">
        <v>458</v>
      </c>
      <c r="K61">
        <v>5.6292349282148187E-3</v>
      </c>
      <c r="L61" t="s">
        <v>158</v>
      </c>
      <c r="N61" t="s">
        <v>298</v>
      </c>
      <c r="O61" t="s">
        <v>458</v>
      </c>
      <c r="P61">
        <v>3.2200273953586232E-2</v>
      </c>
      <c r="Q61" t="s">
        <v>158</v>
      </c>
      <c r="S61" t="s">
        <v>412</v>
      </c>
      <c r="T61" t="s">
        <v>458</v>
      </c>
      <c r="U61">
        <v>2.799534517651291E-2</v>
      </c>
      <c r="V61" t="s">
        <v>158</v>
      </c>
      <c r="AK61">
        <v>2034</v>
      </c>
      <c r="AL61" t="s">
        <v>453</v>
      </c>
      <c r="AM61">
        <v>0.48646666666666666</v>
      </c>
      <c r="AN61" t="s">
        <v>449</v>
      </c>
    </row>
    <row r="62" spans="9:40" x14ac:dyDescent="0.45">
      <c r="I62" t="s">
        <v>162</v>
      </c>
      <c r="J62" t="s">
        <v>459</v>
      </c>
      <c r="K62">
        <v>0.25310848877760517</v>
      </c>
      <c r="L62" t="s">
        <v>158</v>
      </c>
      <c r="N62" t="s">
        <v>298</v>
      </c>
      <c r="O62" t="s">
        <v>459</v>
      </c>
      <c r="P62">
        <v>0.12301756298310015</v>
      </c>
      <c r="Q62" t="s">
        <v>158</v>
      </c>
      <c r="S62" t="s">
        <v>412</v>
      </c>
      <c r="T62" t="s">
        <v>459</v>
      </c>
      <c r="U62">
        <v>8.9169419360322771E-2</v>
      </c>
      <c r="V62" t="s">
        <v>158</v>
      </c>
      <c r="AK62">
        <v>2034</v>
      </c>
      <c r="AL62" t="s">
        <v>455</v>
      </c>
      <c r="AM62">
        <v>0.28466666666666668</v>
      </c>
      <c r="AN62" t="s">
        <v>449</v>
      </c>
    </row>
    <row r="63" spans="9:40" x14ac:dyDescent="0.45">
      <c r="I63" t="s">
        <v>162</v>
      </c>
      <c r="J63" t="s">
        <v>460</v>
      </c>
      <c r="K63">
        <v>3.3593580280878716E-4</v>
      </c>
      <c r="L63" t="s">
        <v>158</v>
      </c>
      <c r="N63" t="s">
        <v>298</v>
      </c>
      <c r="O63" t="s">
        <v>460</v>
      </c>
      <c r="P63">
        <v>0.1775205409726012</v>
      </c>
      <c r="Q63" t="s">
        <v>158</v>
      </c>
      <c r="S63" t="s">
        <v>412</v>
      </c>
      <c r="T63" t="s">
        <v>460</v>
      </c>
      <c r="U63">
        <v>9.0223469921051083E-2</v>
      </c>
      <c r="V63" t="s">
        <v>158</v>
      </c>
      <c r="AK63">
        <v>2035</v>
      </c>
      <c r="AL63" t="s">
        <v>450</v>
      </c>
      <c r="AM63">
        <v>0.38156666666666667</v>
      </c>
      <c r="AN63" t="s">
        <v>449</v>
      </c>
    </row>
    <row r="64" spans="9:40" x14ac:dyDescent="0.45">
      <c r="I64" t="s">
        <v>162</v>
      </c>
      <c r="J64" t="s">
        <v>461</v>
      </c>
      <c r="K64">
        <v>1.4951254688509006E-2</v>
      </c>
      <c r="L64" t="s">
        <v>158</v>
      </c>
      <c r="N64" t="s">
        <v>298</v>
      </c>
      <c r="O64" t="s">
        <v>461</v>
      </c>
      <c r="P64">
        <v>3.7478772710032998E-2</v>
      </c>
      <c r="Q64" t="s">
        <v>158</v>
      </c>
      <c r="S64" t="s">
        <v>412</v>
      </c>
      <c r="T64" t="s">
        <v>461</v>
      </c>
      <c r="U64">
        <v>1.7428795388020203E-2</v>
      </c>
      <c r="V64" t="s">
        <v>158</v>
      </c>
      <c r="AK64">
        <v>2035</v>
      </c>
      <c r="AL64" t="s">
        <v>452</v>
      </c>
      <c r="AM64">
        <v>0.27356666666666668</v>
      </c>
      <c r="AN64" t="s">
        <v>449</v>
      </c>
    </row>
    <row r="65" spans="9:40" x14ac:dyDescent="0.45">
      <c r="I65" t="s">
        <v>162</v>
      </c>
      <c r="J65" t="s">
        <v>462</v>
      </c>
      <c r="K65">
        <v>0.25904955253121492</v>
      </c>
      <c r="L65" t="s">
        <v>158</v>
      </c>
      <c r="N65" t="s">
        <v>298</v>
      </c>
      <c r="O65" t="s">
        <v>462</v>
      </c>
      <c r="P65">
        <v>0.10718515615172049</v>
      </c>
      <c r="Q65" t="s">
        <v>158</v>
      </c>
      <c r="S65" t="s">
        <v>412</v>
      </c>
      <c r="T65" t="s">
        <v>462</v>
      </c>
      <c r="U65">
        <v>5.7303468516410015E-2</v>
      </c>
      <c r="V65" t="s">
        <v>158</v>
      </c>
      <c r="AK65">
        <v>2035</v>
      </c>
      <c r="AL65" t="s">
        <v>453</v>
      </c>
      <c r="AM65">
        <v>0.43</v>
      </c>
      <c r="AN65" t="s">
        <v>449</v>
      </c>
    </row>
    <row r="66" spans="9:40" x14ac:dyDescent="0.45">
      <c r="I66" t="s">
        <v>162</v>
      </c>
      <c r="J66" t="s">
        <v>463</v>
      </c>
      <c r="K66">
        <v>1.0413523108329284E-3</v>
      </c>
      <c r="L66" t="s">
        <v>158</v>
      </c>
      <c r="N66" t="s">
        <v>298</v>
      </c>
      <c r="O66" t="s">
        <v>463</v>
      </c>
      <c r="P66">
        <v>0.18179187912019917</v>
      </c>
      <c r="Q66" t="s">
        <v>158</v>
      </c>
      <c r="S66" t="s">
        <v>412</v>
      </c>
      <c r="T66" t="s">
        <v>463</v>
      </c>
      <c r="U66">
        <v>6.3519344206637393E-2</v>
      </c>
      <c r="V66" t="s">
        <v>158</v>
      </c>
      <c r="AK66">
        <v>2035</v>
      </c>
      <c r="AL66" t="s">
        <v>455</v>
      </c>
      <c r="AM66">
        <v>0.24729999999999999</v>
      </c>
      <c r="AN66" t="s">
        <v>449</v>
      </c>
    </row>
    <row r="67" spans="9:40" x14ac:dyDescent="0.45">
      <c r="I67" t="s">
        <v>162</v>
      </c>
      <c r="J67" t="s">
        <v>464</v>
      </c>
      <c r="K67">
        <v>2.0030925989998349E-2</v>
      </c>
      <c r="L67" t="s">
        <v>158</v>
      </c>
      <c r="N67" t="s">
        <v>298</v>
      </c>
      <c r="O67" t="s">
        <v>464</v>
      </c>
      <c r="P67">
        <v>3.3174688384023786E-2</v>
      </c>
      <c r="Q67" t="s">
        <v>158</v>
      </c>
      <c r="S67" t="s">
        <v>412</v>
      </c>
      <c r="T67" t="s">
        <v>464</v>
      </c>
      <c r="U67">
        <v>1.1094808693360809E-2</v>
      </c>
      <c r="V67" t="s">
        <v>158</v>
      </c>
      <c r="AK67">
        <v>2036</v>
      </c>
      <c r="AL67" t="s">
        <v>450</v>
      </c>
      <c r="AM67">
        <v>0.44816666666666666</v>
      </c>
      <c r="AN67" t="s">
        <v>449</v>
      </c>
    </row>
    <row r="68" spans="9:40" x14ac:dyDescent="0.45">
      <c r="I68" t="s">
        <v>162</v>
      </c>
      <c r="J68" t="s">
        <v>465</v>
      </c>
      <c r="K68">
        <v>0.21186190275503355</v>
      </c>
      <c r="L68" t="s">
        <v>158</v>
      </c>
      <c r="N68" t="s">
        <v>298</v>
      </c>
      <c r="O68" t="s">
        <v>465</v>
      </c>
      <c r="P68">
        <v>4.6543213186403025E-2</v>
      </c>
      <c r="Q68" t="s">
        <v>158</v>
      </c>
      <c r="S68" t="s">
        <v>412</v>
      </c>
      <c r="T68" t="s">
        <v>465</v>
      </c>
      <c r="U68">
        <v>0.15168321569267823</v>
      </c>
      <c r="V68" t="s">
        <v>158</v>
      </c>
      <c r="AK68">
        <v>2036</v>
      </c>
      <c r="AL68" t="s">
        <v>452</v>
      </c>
      <c r="AM68">
        <v>0.32256666666666667</v>
      </c>
      <c r="AN68" t="s">
        <v>449</v>
      </c>
    </row>
    <row r="69" spans="9:40" x14ac:dyDescent="0.45">
      <c r="I69" t="s">
        <v>162</v>
      </c>
      <c r="J69" t="s">
        <v>466</v>
      </c>
      <c r="K69">
        <v>0</v>
      </c>
      <c r="L69" t="s">
        <v>158</v>
      </c>
      <c r="N69" t="s">
        <v>298</v>
      </c>
      <c r="O69" t="s">
        <v>466</v>
      </c>
      <c r="P69">
        <v>5.4432748010993737E-2</v>
      </c>
      <c r="Q69" t="s">
        <v>158</v>
      </c>
      <c r="S69" t="s">
        <v>412</v>
      </c>
      <c r="T69" t="s">
        <v>466</v>
      </c>
      <c r="U69">
        <v>0.15548252359586051</v>
      </c>
      <c r="V69" t="s">
        <v>158</v>
      </c>
      <c r="AK69">
        <v>2036</v>
      </c>
      <c r="AL69" t="s">
        <v>453</v>
      </c>
      <c r="AM69">
        <v>0.48466666666666663</v>
      </c>
      <c r="AN69" t="s">
        <v>449</v>
      </c>
    </row>
    <row r="70" spans="9:40" x14ac:dyDescent="0.45">
      <c r="I70" t="s">
        <v>162</v>
      </c>
      <c r="J70" t="s">
        <v>467</v>
      </c>
      <c r="K70">
        <v>3.3195708631207819E-3</v>
      </c>
      <c r="L70" t="s">
        <v>158</v>
      </c>
      <c r="N70" t="s">
        <v>298</v>
      </c>
      <c r="O70" t="s">
        <v>467</v>
      </c>
      <c r="P70">
        <v>1.5797042758989157E-2</v>
      </c>
      <c r="Q70" t="s">
        <v>158</v>
      </c>
      <c r="S70" t="s">
        <v>412</v>
      </c>
      <c r="T70" t="s">
        <v>467</v>
      </c>
      <c r="U70">
        <v>2.792094071206452E-2</v>
      </c>
      <c r="V70" t="s">
        <v>158</v>
      </c>
      <c r="AK70">
        <v>2036</v>
      </c>
      <c r="AL70" t="s">
        <v>455</v>
      </c>
      <c r="AM70">
        <v>0.29060000000000002</v>
      </c>
      <c r="AN70" t="s">
        <v>449</v>
      </c>
    </row>
    <row r="71" spans="9:40" x14ac:dyDescent="0.45">
      <c r="I71" t="s">
        <v>163</v>
      </c>
      <c r="J71" t="s">
        <v>456</v>
      </c>
      <c r="K71">
        <v>0.22856213992244911</v>
      </c>
      <c r="L71" t="s">
        <v>158</v>
      </c>
      <c r="N71" t="s">
        <v>299</v>
      </c>
      <c r="O71" t="s">
        <v>456</v>
      </c>
      <c r="P71">
        <v>6.8024910391146165E-2</v>
      </c>
      <c r="Q71" t="s">
        <v>158</v>
      </c>
      <c r="S71" t="s">
        <v>413</v>
      </c>
      <c r="T71" t="s">
        <v>456</v>
      </c>
      <c r="U71">
        <v>0.15200822127913238</v>
      </c>
      <c r="V71" t="s">
        <v>158</v>
      </c>
      <c r="AK71">
        <v>2037</v>
      </c>
      <c r="AL71" t="s">
        <v>450</v>
      </c>
      <c r="AM71">
        <v>0.52756666666666663</v>
      </c>
      <c r="AN71" t="s">
        <v>449</v>
      </c>
    </row>
    <row r="72" spans="9:40" x14ac:dyDescent="0.45">
      <c r="I72" t="s">
        <v>163</v>
      </c>
      <c r="J72" t="s">
        <v>457</v>
      </c>
      <c r="K72">
        <v>0</v>
      </c>
      <c r="L72" t="s">
        <v>158</v>
      </c>
      <c r="N72" t="s">
        <v>299</v>
      </c>
      <c r="O72" t="s">
        <v>457</v>
      </c>
      <c r="P72">
        <v>0.12446508067186988</v>
      </c>
      <c r="Q72" t="s">
        <v>158</v>
      </c>
      <c r="S72" t="s">
        <v>413</v>
      </c>
      <c r="T72" t="s">
        <v>457</v>
      </c>
      <c r="U72">
        <v>0.14513474336480434</v>
      </c>
      <c r="V72" t="s">
        <v>158</v>
      </c>
      <c r="AK72">
        <v>2037</v>
      </c>
      <c r="AL72" t="s">
        <v>452</v>
      </c>
      <c r="AM72">
        <v>0.40286666666666671</v>
      </c>
      <c r="AN72" t="s">
        <v>449</v>
      </c>
    </row>
    <row r="73" spans="9:40" x14ac:dyDescent="0.45">
      <c r="I73" t="s">
        <v>163</v>
      </c>
      <c r="J73" t="s">
        <v>458</v>
      </c>
      <c r="K73">
        <v>5.5530136608618165E-3</v>
      </c>
      <c r="L73" t="s">
        <v>158</v>
      </c>
      <c r="N73" t="s">
        <v>299</v>
      </c>
      <c r="O73" t="s">
        <v>458</v>
      </c>
      <c r="P73">
        <v>1.9628353921675227E-2</v>
      </c>
      <c r="Q73" t="s">
        <v>158</v>
      </c>
      <c r="S73" t="s">
        <v>413</v>
      </c>
      <c r="T73" t="s">
        <v>458</v>
      </c>
      <c r="U73">
        <v>2.5536536834401723E-2</v>
      </c>
      <c r="V73" t="s">
        <v>158</v>
      </c>
      <c r="AK73">
        <v>2037</v>
      </c>
      <c r="AL73" t="s">
        <v>453</v>
      </c>
      <c r="AM73">
        <v>0.57056666666666667</v>
      </c>
      <c r="AN73" t="s">
        <v>449</v>
      </c>
    </row>
    <row r="74" spans="9:40" x14ac:dyDescent="0.45">
      <c r="I74" t="s">
        <v>163</v>
      </c>
      <c r="J74" t="s">
        <v>459</v>
      </c>
      <c r="K74">
        <v>0.25921881699721827</v>
      </c>
      <c r="L74" t="s">
        <v>158</v>
      </c>
      <c r="N74" t="s">
        <v>299</v>
      </c>
      <c r="O74" t="s">
        <v>459</v>
      </c>
      <c r="P74">
        <v>0.10895369407605572</v>
      </c>
      <c r="Q74" t="s">
        <v>158</v>
      </c>
      <c r="S74" t="s">
        <v>413</v>
      </c>
      <c r="T74" t="s">
        <v>459</v>
      </c>
      <c r="U74">
        <v>8.5685809280846251E-2</v>
      </c>
      <c r="V74" t="s">
        <v>158</v>
      </c>
      <c r="AK74">
        <v>2037</v>
      </c>
      <c r="AL74" t="s">
        <v>455</v>
      </c>
      <c r="AM74">
        <v>0.31673333333333331</v>
      </c>
      <c r="AN74" t="s">
        <v>449</v>
      </c>
    </row>
    <row r="75" spans="9:40" x14ac:dyDescent="0.45">
      <c r="I75" t="s">
        <v>163</v>
      </c>
      <c r="J75" t="s">
        <v>460</v>
      </c>
      <c r="K75">
        <v>3.5706796978286016E-4</v>
      </c>
      <c r="L75" t="s">
        <v>158</v>
      </c>
      <c r="N75" t="s">
        <v>299</v>
      </c>
      <c r="O75" t="s">
        <v>460</v>
      </c>
      <c r="P75">
        <v>0.20342737454530072</v>
      </c>
      <c r="Q75" t="s">
        <v>158</v>
      </c>
      <c r="S75" t="s">
        <v>413</v>
      </c>
      <c r="T75" t="s">
        <v>460</v>
      </c>
      <c r="U75">
        <v>8.0415383023632617E-2</v>
      </c>
      <c r="V75" t="s">
        <v>158</v>
      </c>
      <c r="AK75">
        <v>2038</v>
      </c>
      <c r="AL75" t="s">
        <v>450</v>
      </c>
      <c r="AM75">
        <v>0.49283333333333329</v>
      </c>
      <c r="AN75" t="s">
        <v>449</v>
      </c>
    </row>
    <row r="76" spans="9:40" x14ac:dyDescent="0.45">
      <c r="I76" t="s">
        <v>163</v>
      </c>
      <c r="J76" t="s">
        <v>461</v>
      </c>
      <c r="K76">
        <v>1.5932950860488685E-2</v>
      </c>
      <c r="L76" t="s">
        <v>158</v>
      </c>
      <c r="N76" t="s">
        <v>299</v>
      </c>
      <c r="O76" t="s">
        <v>461</v>
      </c>
      <c r="P76">
        <v>2.4986927081687038E-2</v>
      </c>
      <c r="Q76" t="s">
        <v>158</v>
      </c>
      <c r="S76" t="s">
        <v>413</v>
      </c>
      <c r="T76" t="s">
        <v>461</v>
      </c>
      <c r="U76">
        <v>1.4009236827002213E-2</v>
      </c>
      <c r="V76" t="s">
        <v>158</v>
      </c>
      <c r="AK76">
        <v>2038</v>
      </c>
      <c r="AL76" t="s">
        <v>452</v>
      </c>
      <c r="AM76">
        <v>0.36736666666666667</v>
      </c>
      <c r="AN76" t="s">
        <v>449</v>
      </c>
    </row>
    <row r="77" spans="9:40" x14ac:dyDescent="0.45">
      <c r="I77" t="s">
        <v>163</v>
      </c>
      <c r="J77" t="s">
        <v>462</v>
      </c>
      <c r="K77">
        <v>0.25426336310039488</v>
      </c>
      <c r="L77" t="s">
        <v>158</v>
      </c>
      <c r="N77" t="s">
        <v>299</v>
      </c>
      <c r="O77" t="s">
        <v>462</v>
      </c>
      <c r="P77">
        <v>0.10855154759900128</v>
      </c>
      <c r="Q77" t="s">
        <v>158</v>
      </c>
      <c r="S77" t="s">
        <v>413</v>
      </c>
      <c r="T77" t="s">
        <v>462</v>
      </c>
      <c r="U77">
        <v>7.0531196777873617E-2</v>
      </c>
      <c r="V77" t="s">
        <v>158</v>
      </c>
      <c r="AK77">
        <v>2038</v>
      </c>
      <c r="AL77" t="s">
        <v>453</v>
      </c>
      <c r="AM77">
        <v>0.59673333333333334</v>
      </c>
      <c r="AN77" t="s">
        <v>449</v>
      </c>
    </row>
    <row r="78" spans="9:40" x14ac:dyDescent="0.45">
      <c r="I78" t="s">
        <v>163</v>
      </c>
      <c r="J78" t="s">
        <v>463</v>
      </c>
      <c r="K78">
        <v>1.1443167332912895E-3</v>
      </c>
      <c r="L78" t="s">
        <v>158</v>
      </c>
      <c r="N78" t="s">
        <v>299</v>
      </c>
      <c r="O78" t="s">
        <v>463</v>
      </c>
      <c r="P78">
        <v>0.22598697694175809</v>
      </c>
      <c r="Q78" t="s">
        <v>158</v>
      </c>
      <c r="S78" t="s">
        <v>413</v>
      </c>
      <c r="T78" t="s">
        <v>463</v>
      </c>
      <c r="U78">
        <v>7.5991264093898239E-2</v>
      </c>
      <c r="V78" t="s">
        <v>158</v>
      </c>
      <c r="AK78">
        <v>2038</v>
      </c>
      <c r="AL78" t="s">
        <v>455</v>
      </c>
      <c r="AM78">
        <v>0.32213333333333333</v>
      </c>
      <c r="AN78" t="s">
        <v>449</v>
      </c>
    </row>
    <row r="79" spans="9:40" x14ac:dyDescent="0.45">
      <c r="I79" t="s">
        <v>163</v>
      </c>
      <c r="J79" t="s">
        <v>464</v>
      </c>
      <c r="K79">
        <v>1.9811378083841289E-2</v>
      </c>
      <c r="L79" t="s">
        <v>158</v>
      </c>
      <c r="N79" t="s">
        <v>299</v>
      </c>
      <c r="O79" t="s">
        <v>464</v>
      </c>
      <c r="P79">
        <v>2.091311861942239E-2</v>
      </c>
      <c r="Q79" t="s">
        <v>158</v>
      </c>
      <c r="S79" t="s">
        <v>413</v>
      </c>
      <c r="T79" t="s">
        <v>464</v>
      </c>
      <c r="U79">
        <v>1.1363566681624452E-2</v>
      </c>
      <c r="V79" t="s">
        <v>158</v>
      </c>
      <c r="AK79">
        <v>2039</v>
      </c>
      <c r="AL79" t="s">
        <v>450</v>
      </c>
      <c r="AM79">
        <v>0.49590000000000001</v>
      </c>
      <c r="AN79" t="s">
        <v>449</v>
      </c>
    </row>
    <row r="80" spans="9:40" x14ac:dyDescent="0.45">
      <c r="I80" t="s">
        <v>163</v>
      </c>
      <c r="J80" t="s">
        <v>465</v>
      </c>
      <c r="K80">
        <v>0.21164610482934385</v>
      </c>
      <c r="L80" t="s">
        <v>158</v>
      </c>
      <c r="N80" t="s">
        <v>299</v>
      </c>
      <c r="O80" t="s">
        <v>465</v>
      </c>
      <c r="P80">
        <v>2.962052434088161E-2</v>
      </c>
      <c r="Q80" t="s">
        <v>158</v>
      </c>
      <c r="S80" t="s">
        <v>413</v>
      </c>
      <c r="T80" t="s">
        <v>465</v>
      </c>
      <c r="U80">
        <v>0.15860373999718858</v>
      </c>
      <c r="V80" t="s">
        <v>158</v>
      </c>
      <c r="AK80">
        <v>2039</v>
      </c>
      <c r="AL80" t="s">
        <v>452</v>
      </c>
      <c r="AM80">
        <v>0.37176666666666663</v>
      </c>
      <c r="AN80" t="s">
        <v>449</v>
      </c>
    </row>
    <row r="81" spans="9:40" x14ac:dyDescent="0.45">
      <c r="I81" t="s">
        <v>163</v>
      </c>
      <c r="J81" t="s">
        <v>466</v>
      </c>
      <c r="K81">
        <v>0</v>
      </c>
      <c r="L81" t="s">
        <v>158</v>
      </c>
      <c r="N81" t="s">
        <v>299</v>
      </c>
      <c r="O81" t="s">
        <v>466</v>
      </c>
      <c r="P81">
        <v>5.4854663132383831E-2</v>
      </c>
      <c r="Q81" t="s">
        <v>158</v>
      </c>
      <c r="S81" t="s">
        <v>413</v>
      </c>
      <c r="T81" t="s">
        <v>466</v>
      </c>
      <c r="U81">
        <v>0.15459953925237219</v>
      </c>
      <c r="V81" t="s">
        <v>158</v>
      </c>
      <c r="AK81">
        <v>2039</v>
      </c>
      <c r="AL81" t="s">
        <v>453</v>
      </c>
      <c r="AM81">
        <v>0.59196666666666664</v>
      </c>
      <c r="AN81" t="s">
        <v>449</v>
      </c>
    </row>
    <row r="82" spans="9:40" x14ac:dyDescent="0.45">
      <c r="I82" t="s">
        <v>163</v>
      </c>
      <c r="J82" t="s">
        <v>467</v>
      </c>
      <c r="K82">
        <v>3.5108478423271283E-3</v>
      </c>
      <c r="L82" t="s">
        <v>158</v>
      </c>
      <c r="N82" t="s">
        <v>299</v>
      </c>
      <c r="O82" t="s">
        <v>467</v>
      </c>
      <c r="P82">
        <v>1.0586828678819764E-2</v>
      </c>
      <c r="Q82" t="s">
        <v>158</v>
      </c>
      <c r="S82" t="s">
        <v>413</v>
      </c>
      <c r="T82" t="s">
        <v>467</v>
      </c>
      <c r="U82">
        <v>2.6120762587224133E-2</v>
      </c>
      <c r="V82" t="s">
        <v>158</v>
      </c>
      <c r="AK82">
        <v>2039</v>
      </c>
      <c r="AL82" t="s">
        <v>455</v>
      </c>
      <c r="AM82">
        <v>0.30746666666666667</v>
      </c>
      <c r="AN82" t="s">
        <v>449</v>
      </c>
    </row>
    <row r="83" spans="9:40" x14ac:dyDescent="0.45">
      <c r="I83" t="s">
        <v>164</v>
      </c>
      <c r="J83" t="s">
        <v>456</v>
      </c>
      <c r="K83">
        <v>0.23930800014687809</v>
      </c>
      <c r="L83" t="s">
        <v>158</v>
      </c>
      <c r="N83" t="s">
        <v>300</v>
      </c>
      <c r="O83" t="s">
        <v>456</v>
      </c>
      <c r="P83">
        <v>5.401601384769672E-2</v>
      </c>
      <c r="Q83" t="s">
        <v>158</v>
      </c>
      <c r="S83" t="s">
        <v>414</v>
      </c>
      <c r="T83" t="s">
        <v>456</v>
      </c>
      <c r="U83">
        <v>0.148711977637458</v>
      </c>
      <c r="V83" t="s">
        <v>158</v>
      </c>
      <c r="AK83">
        <v>2040</v>
      </c>
      <c r="AL83" t="s">
        <v>450</v>
      </c>
      <c r="AM83">
        <v>0.47756666666666669</v>
      </c>
      <c r="AN83" t="s">
        <v>449</v>
      </c>
    </row>
    <row r="84" spans="9:40" x14ac:dyDescent="0.45">
      <c r="I84" t="s">
        <v>164</v>
      </c>
      <c r="J84" t="s">
        <v>457</v>
      </c>
      <c r="K84">
        <v>0</v>
      </c>
      <c r="L84" t="s">
        <v>158</v>
      </c>
      <c r="N84" t="s">
        <v>300</v>
      </c>
      <c r="O84" t="s">
        <v>457</v>
      </c>
      <c r="P84">
        <v>0.13619782983610643</v>
      </c>
      <c r="Q84" t="s">
        <v>158</v>
      </c>
      <c r="S84" t="s">
        <v>414</v>
      </c>
      <c r="T84" t="s">
        <v>457</v>
      </c>
      <c r="U84">
        <v>0.14008959917630906</v>
      </c>
      <c r="V84" t="s">
        <v>158</v>
      </c>
      <c r="AK84">
        <v>2040</v>
      </c>
      <c r="AL84" t="s">
        <v>452</v>
      </c>
      <c r="AM84">
        <v>0.38696666666666668</v>
      </c>
      <c r="AN84" t="s">
        <v>449</v>
      </c>
    </row>
    <row r="85" spans="9:40" x14ac:dyDescent="0.45">
      <c r="I85" t="s">
        <v>164</v>
      </c>
      <c r="J85" t="s">
        <v>458</v>
      </c>
      <c r="K85">
        <v>5.8819312729506204E-3</v>
      </c>
      <c r="L85" t="s">
        <v>158</v>
      </c>
      <c r="N85" t="s">
        <v>300</v>
      </c>
      <c r="O85" t="s">
        <v>458</v>
      </c>
      <c r="P85">
        <v>1.5157032778486663E-2</v>
      </c>
      <c r="Q85" t="s">
        <v>158</v>
      </c>
      <c r="S85" t="s">
        <v>414</v>
      </c>
      <c r="T85" t="s">
        <v>458</v>
      </c>
      <c r="U85">
        <v>2.0970638941040634E-2</v>
      </c>
      <c r="V85" t="s">
        <v>158</v>
      </c>
      <c r="AK85">
        <v>2040</v>
      </c>
      <c r="AL85" t="s">
        <v>453</v>
      </c>
      <c r="AM85">
        <v>0.61019999999999996</v>
      </c>
      <c r="AN85" t="s">
        <v>449</v>
      </c>
    </row>
    <row r="86" spans="9:40" x14ac:dyDescent="0.45">
      <c r="I86" t="s">
        <v>164</v>
      </c>
      <c r="J86" t="s">
        <v>459</v>
      </c>
      <c r="K86">
        <v>0.23952719047391005</v>
      </c>
      <c r="L86" t="s">
        <v>158</v>
      </c>
      <c r="N86" t="s">
        <v>300</v>
      </c>
      <c r="O86" t="s">
        <v>459</v>
      </c>
      <c r="P86">
        <v>9.9779362799324145E-2</v>
      </c>
      <c r="Q86" t="s">
        <v>158</v>
      </c>
      <c r="S86" t="s">
        <v>414</v>
      </c>
      <c r="T86" t="s">
        <v>459</v>
      </c>
      <c r="U86">
        <v>0.10431202591605311</v>
      </c>
      <c r="V86" t="s">
        <v>158</v>
      </c>
      <c r="AK86">
        <v>2040</v>
      </c>
      <c r="AL86" t="s">
        <v>455</v>
      </c>
      <c r="AM86">
        <v>0.3066666666666667</v>
      </c>
      <c r="AN86" t="s">
        <v>449</v>
      </c>
    </row>
    <row r="87" spans="9:40" x14ac:dyDescent="0.45">
      <c r="I87" t="s">
        <v>164</v>
      </c>
      <c r="J87" t="s">
        <v>460</v>
      </c>
      <c r="K87">
        <v>1.1051659537604878E-4</v>
      </c>
      <c r="L87" t="s">
        <v>158</v>
      </c>
      <c r="N87" t="s">
        <v>300</v>
      </c>
      <c r="O87" t="s">
        <v>460</v>
      </c>
      <c r="P87">
        <v>0.21721554621172778</v>
      </c>
      <c r="Q87" t="s">
        <v>158</v>
      </c>
      <c r="S87" t="s">
        <v>414</v>
      </c>
      <c r="T87" t="s">
        <v>460</v>
      </c>
      <c r="U87">
        <v>9.4709597856346014E-2</v>
      </c>
      <c r="V87" t="s">
        <v>158</v>
      </c>
      <c r="AK87">
        <v>2041</v>
      </c>
      <c r="AL87" t="s">
        <v>450</v>
      </c>
      <c r="AM87">
        <v>0.49076666666666674</v>
      </c>
      <c r="AN87" t="s">
        <v>449</v>
      </c>
    </row>
    <row r="88" spans="9:40" x14ac:dyDescent="0.45">
      <c r="I88" t="s">
        <v>164</v>
      </c>
      <c r="J88" t="s">
        <v>461</v>
      </c>
      <c r="K88">
        <v>1.4320634284059353E-2</v>
      </c>
      <c r="L88" t="s">
        <v>158</v>
      </c>
      <c r="N88" t="s">
        <v>300</v>
      </c>
      <c r="O88" t="s">
        <v>461</v>
      </c>
      <c r="P88">
        <v>1.7067425136650563E-2</v>
      </c>
      <c r="Q88" t="s">
        <v>158</v>
      </c>
      <c r="S88" t="s">
        <v>414</v>
      </c>
      <c r="T88" t="s">
        <v>461</v>
      </c>
      <c r="U88">
        <v>1.5123983051120069E-2</v>
      </c>
      <c r="V88" t="s">
        <v>158</v>
      </c>
      <c r="AK88">
        <v>2041</v>
      </c>
      <c r="AL88" t="s">
        <v>452</v>
      </c>
      <c r="AM88">
        <v>0.37773333333333331</v>
      </c>
      <c r="AN88" t="s">
        <v>449</v>
      </c>
    </row>
    <row r="89" spans="9:40" x14ac:dyDescent="0.45">
      <c r="I89" t="s">
        <v>164</v>
      </c>
      <c r="J89" t="s">
        <v>462</v>
      </c>
      <c r="K89">
        <v>0.27557775586316557</v>
      </c>
      <c r="L89" t="s">
        <v>158</v>
      </c>
      <c r="N89" t="s">
        <v>300</v>
      </c>
      <c r="O89" t="s">
        <v>462</v>
      </c>
      <c r="P89">
        <v>0.11646010491918413</v>
      </c>
      <c r="Q89" t="s">
        <v>158</v>
      </c>
      <c r="S89" t="s">
        <v>414</v>
      </c>
      <c r="T89" t="s">
        <v>462</v>
      </c>
      <c r="U89">
        <v>9.0246984455201629E-2</v>
      </c>
      <c r="V89" t="s">
        <v>158</v>
      </c>
      <c r="AK89">
        <v>2041</v>
      </c>
      <c r="AL89" t="s">
        <v>453</v>
      </c>
      <c r="AM89">
        <v>0.54199999999999993</v>
      </c>
      <c r="AN89" t="s">
        <v>449</v>
      </c>
    </row>
    <row r="90" spans="9:40" x14ac:dyDescent="0.45">
      <c r="I90" t="s">
        <v>164</v>
      </c>
      <c r="J90" t="s">
        <v>463</v>
      </c>
      <c r="K90">
        <v>5.0398433748057372E-4</v>
      </c>
      <c r="L90" t="s">
        <v>158</v>
      </c>
      <c r="N90" t="s">
        <v>300</v>
      </c>
      <c r="O90" t="s">
        <v>463</v>
      </c>
      <c r="P90">
        <v>0.24569948158705221</v>
      </c>
      <c r="Q90" t="s">
        <v>158</v>
      </c>
      <c r="S90" t="s">
        <v>414</v>
      </c>
      <c r="T90" t="s">
        <v>463</v>
      </c>
      <c r="U90">
        <v>9.4032573342165499E-2</v>
      </c>
      <c r="V90" t="s">
        <v>158</v>
      </c>
      <c r="AK90">
        <v>2041</v>
      </c>
      <c r="AL90" t="s">
        <v>455</v>
      </c>
      <c r="AM90">
        <v>0.33019999999999999</v>
      </c>
      <c r="AN90" t="s">
        <v>449</v>
      </c>
    </row>
    <row r="91" spans="9:40" x14ac:dyDescent="0.45">
      <c r="I91" t="s">
        <v>164</v>
      </c>
      <c r="J91" t="s">
        <v>464</v>
      </c>
      <c r="K91">
        <v>2.0579073458972599E-2</v>
      </c>
      <c r="L91" t="s">
        <v>158</v>
      </c>
      <c r="N91" t="s">
        <v>300</v>
      </c>
      <c r="O91" t="s">
        <v>464</v>
      </c>
      <c r="P91">
        <v>1.6158667626353262E-2</v>
      </c>
      <c r="Q91" t="s">
        <v>158</v>
      </c>
      <c r="S91" t="s">
        <v>414</v>
      </c>
      <c r="T91" t="s">
        <v>464</v>
      </c>
      <c r="U91">
        <v>1.3326732488444407E-2</v>
      </c>
      <c r="V91" t="s">
        <v>158</v>
      </c>
      <c r="AK91">
        <v>2042</v>
      </c>
      <c r="AL91" t="s">
        <v>450</v>
      </c>
      <c r="AM91">
        <v>0.46936666666666665</v>
      </c>
      <c r="AN91" t="s">
        <v>449</v>
      </c>
    </row>
    <row r="92" spans="9:40" x14ac:dyDescent="0.45">
      <c r="I92" t="s">
        <v>164</v>
      </c>
      <c r="J92" t="s">
        <v>465</v>
      </c>
      <c r="K92">
        <v>0.2007496121572411</v>
      </c>
      <c r="L92" t="s">
        <v>158</v>
      </c>
      <c r="N92" t="s">
        <v>300</v>
      </c>
      <c r="O92" t="s">
        <v>465</v>
      </c>
      <c r="P92">
        <v>2.3177836378334964E-2</v>
      </c>
      <c r="Q92" t="s">
        <v>158</v>
      </c>
      <c r="S92" t="s">
        <v>414</v>
      </c>
      <c r="T92" t="s">
        <v>465</v>
      </c>
      <c r="U92">
        <v>0.13238582190984874</v>
      </c>
      <c r="V92" t="s">
        <v>158</v>
      </c>
      <c r="AK92">
        <v>2042</v>
      </c>
      <c r="AL92" t="s">
        <v>452</v>
      </c>
      <c r="AM92">
        <v>0.38786666666666664</v>
      </c>
      <c r="AN92" t="s">
        <v>449</v>
      </c>
    </row>
    <row r="93" spans="9:40" x14ac:dyDescent="0.45">
      <c r="I93" t="s">
        <v>164</v>
      </c>
      <c r="J93" t="s">
        <v>466</v>
      </c>
      <c r="K93">
        <v>0</v>
      </c>
      <c r="L93" t="s">
        <v>158</v>
      </c>
      <c r="N93" t="s">
        <v>300</v>
      </c>
      <c r="O93" t="s">
        <v>466</v>
      </c>
      <c r="P93">
        <v>5.1614232478387367E-2</v>
      </c>
      <c r="Q93" t="s">
        <v>158</v>
      </c>
      <c r="S93" t="s">
        <v>414</v>
      </c>
      <c r="T93" t="s">
        <v>466</v>
      </c>
      <c r="U93">
        <v>0.13051128171264448</v>
      </c>
      <c r="V93" t="s">
        <v>158</v>
      </c>
      <c r="AK93">
        <v>2042</v>
      </c>
      <c r="AL93" t="s">
        <v>453</v>
      </c>
      <c r="AM93">
        <v>0.6176666666666667</v>
      </c>
      <c r="AN93" t="s">
        <v>449</v>
      </c>
    </row>
    <row r="94" spans="9:40" x14ac:dyDescent="0.45">
      <c r="I94" t="s">
        <v>164</v>
      </c>
      <c r="J94" t="s">
        <v>467</v>
      </c>
      <c r="K94">
        <v>3.4413014099666816E-3</v>
      </c>
      <c r="L94" t="s">
        <v>158</v>
      </c>
      <c r="N94" t="s">
        <v>300</v>
      </c>
      <c r="O94" t="s">
        <v>467</v>
      </c>
      <c r="P94">
        <v>7.4564664006966201E-3</v>
      </c>
      <c r="Q94" t="s">
        <v>158</v>
      </c>
      <c r="S94" t="s">
        <v>414</v>
      </c>
      <c r="T94" t="s">
        <v>467</v>
      </c>
      <c r="U94">
        <v>1.5578783513371223E-2</v>
      </c>
      <c r="V94" t="s">
        <v>158</v>
      </c>
      <c r="AK94">
        <v>2042</v>
      </c>
      <c r="AL94" t="s">
        <v>455</v>
      </c>
      <c r="AM94">
        <v>0.29273333333333335</v>
      </c>
      <c r="AN94" t="s">
        <v>449</v>
      </c>
    </row>
    <row r="95" spans="9:40" x14ac:dyDescent="0.45">
      <c r="I95" t="s">
        <v>165</v>
      </c>
      <c r="J95" t="s">
        <v>456</v>
      </c>
      <c r="K95">
        <v>0.21546626344152719</v>
      </c>
      <c r="L95" t="s">
        <v>158</v>
      </c>
      <c r="N95" t="s">
        <v>301</v>
      </c>
      <c r="O95" t="s">
        <v>456</v>
      </c>
      <c r="P95">
        <v>6.4516440107797904E-2</v>
      </c>
      <c r="Q95" t="s">
        <v>158</v>
      </c>
      <c r="S95" t="s">
        <v>415</v>
      </c>
      <c r="T95" t="s">
        <v>456</v>
      </c>
      <c r="U95">
        <v>0.15609647107400176</v>
      </c>
      <c r="V95" t="s">
        <v>158</v>
      </c>
      <c r="AK95">
        <v>2043</v>
      </c>
      <c r="AL95" t="s">
        <v>450</v>
      </c>
      <c r="AM95">
        <v>0.49313333333333337</v>
      </c>
      <c r="AN95" t="s">
        <v>449</v>
      </c>
    </row>
    <row r="96" spans="9:40" x14ac:dyDescent="0.45">
      <c r="I96" t="s">
        <v>165</v>
      </c>
      <c r="J96" t="s">
        <v>457</v>
      </c>
      <c r="K96">
        <v>0</v>
      </c>
      <c r="L96" t="s">
        <v>158</v>
      </c>
      <c r="N96" t="s">
        <v>301</v>
      </c>
      <c r="O96" t="s">
        <v>457</v>
      </c>
      <c r="P96">
        <v>0.11645289815850741</v>
      </c>
      <c r="Q96" t="s">
        <v>158</v>
      </c>
      <c r="S96" t="s">
        <v>415</v>
      </c>
      <c r="T96" t="s">
        <v>457</v>
      </c>
      <c r="U96">
        <v>0.14645090116698867</v>
      </c>
      <c r="V96" t="s">
        <v>158</v>
      </c>
      <c r="AK96">
        <v>2043</v>
      </c>
      <c r="AL96" t="s">
        <v>452</v>
      </c>
      <c r="AM96">
        <v>0.35153333333333331</v>
      </c>
      <c r="AN96" t="s">
        <v>449</v>
      </c>
    </row>
    <row r="97" spans="9:40" x14ac:dyDescent="0.45">
      <c r="I97" t="s">
        <v>165</v>
      </c>
      <c r="J97" t="s">
        <v>458</v>
      </c>
      <c r="K97">
        <v>8.6590324078767711E-3</v>
      </c>
      <c r="L97" t="s">
        <v>158</v>
      </c>
      <c r="N97" t="s">
        <v>301</v>
      </c>
      <c r="O97" t="s">
        <v>458</v>
      </c>
      <c r="P97">
        <v>1.2308650242541663E-2</v>
      </c>
      <c r="Q97" t="s">
        <v>158</v>
      </c>
      <c r="S97" t="s">
        <v>415</v>
      </c>
      <c r="T97" t="s">
        <v>458</v>
      </c>
      <c r="U97">
        <v>2.5991532210532485E-2</v>
      </c>
      <c r="V97" t="s">
        <v>158</v>
      </c>
      <c r="AK97">
        <v>2043</v>
      </c>
      <c r="AL97" t="s">
        <v>453</v>
      </c>
      <c r="AM97">
        <v>0.5867</v>
      </c>
      <c r="AN97" t="s">
        <v>449</v>
      </c>
    </row>
    <row r="98" spans="9:40" x14ac:dyDescent="0.45">
      <c r="I98" t="s">
        <v>165</v>
      </c>
      <c r="J98" t="s">
        <v>459</v>
      </c>
      <c r="K98">
        <v>0.235171629513517</v>
      </c>
      <c r="L98" t="s">
        <v>158</v>
      </c>
      <c r="N98" t="s">
        <v>301</v>
      </c>
      <c r="O98" t="s">
        <v>459</v>
      </c>
      <c r="P98">
        <v>0.11349229199767248</v>
      </c>
      <c r="Q98" t="s">
        <v>158</v>
      </c>
      <c r="S98" t="s">
        <v>415</v>
      </c>
      <c r="T98" t="s">
        <v>459</v>
      </c>
      <c r="U98">
        <v>7.5564753572889318E-2</v>
      </c>
      <c r="V98" t="s">
        <v>158</v>
      </c>
      <c r="AK98">
        <v>2043</v>
      </c>
      <c r="AL98" t="s">
        <v>455</v>
      </c>
      <c r="AM98">
        <v>0.31883333333333336</v>
      </c>
      <c r="AN98" t="s">
        <v>449</v>
      </c>
    </row>
    <row r="99" spans="9:40" x14ac:dyDescent="0.45">
      <c r="I99" t="s">
        <v>165</v>
      </c>
      <c r="J99" t="s">
        <v>460</v>
      </c>
      <c r="K99">
        <v>0</v>
      </c>
      <c r="L99" t="s">
        <v>158</v>
      </c>
      <c r="N99" t="s">
        <v>301</v>
      </c>
      <c r="O99" t="s">
        <v>460</v>
      </c>
      <c r="P99">
        <v>0.2172476499980677</v>
      </c>
      <c r="Q99" t="s">
        <v>158</v>
      </c>
      <c r="S99" t="s">
        <v>415</v>
      </c>
      <c r="T99" t="s">
        <v>460</v>
      </c>
      <c r="U99">
        <v>7.9087685889418835E-2</v>
      </c>
      <c r="V99" t="s">
        <v>158</v>
      </c>
      <c r="AK99">
        <v>2044</v>
      </c>
      <c r="AL99" t="s">
        <v>450</v>
      </c>
      <c r="AM99">
        <v>0.40883333333333333</v>
      </c>
      <c r="AN99" t="s">
        <v>449</v>
      </c>
    </row>
    <row r="100" spans="9:40" x14ac:dyDescent="0.45">
      <c r="I100" t="s">
        <v>165</v>
      </c>
      <c r="J100" t="s">
        <v>461</v>
      </c>
      <c r="K100">
        <v>1.9301531743423906E-2</v>
      </c>
      <c r="L100" t="s">
        <v>158</v>
      </c>
      <c r="N100" t="s">
        <v>301</v>
      </c>
      <c r="O100" t="s">
        <v>461</v>
      </c>
      <c r="P100">
        <v>1.965902766698752E-2</v>
      </c>
      <c r="Q100" t="s">
        <v>158</v>
      </c>
      <c r="S100" t="s">
        <v>415</v>
      </c>
      <c r="T100" t="s">
        <v>461</v>
      </c>
      <c r="U100">
        <v>1.2537805032715689E-2</v>
      </c>
      <c r="V100" t="s">
        <v>158</v>
      </c>
      <c r="AK100">
        <v>2044</v>
      </c>
      <c r="AL100" t="s">
        <v>452</v>
      </c>
      <c r="AM100">
        <v>0.34893333333333337</v>
      </c>
      <c r="AN100" t="s">
        <v>449</v>
      </c>
    </row>
    <row r="101" spans="9:40" x14ac:dyDescent="0.45">
      <c r="I101" t="s">
        <v>165</v>
      </c>
      <c r="J101" t="s">
        <v>462</v>
      </c>
      <c r="K101">
        <v>0.29472571812171938</v>
      </c>
      <c r="L101" t="s">
        <v>158</v>
      </c>
      <c r="N101" t="s">
        <v>301</v>
      </c>
      <c r="O101" t="s">
        <v>462</v>
      </c>
      <c r="P101">
        <v>0.11707102904315517</v>
      </c>
      <c r="Q101" t="s">
        <v>158</v>
      </c>
      <c r="S101" t="s">
        <v>415</v>
      </c>
      <c r="T101" t="s">
        <v>462</v>
      </c>
      <c r="U101">
        <v>7.9776467733975953E-2</v>
      </c>
      <c r="V101" t="s">
        <v>158</v>
      </c>
      <c r="AK101">
        <v>2044</v>
      </c>
      <c r="AL101" t="s">
        <v>453</v>
      </c>
      <c r="AM101">
        <v>0.49783333333333335</v>
      </c>
      <c r="AN101" t="s">
        <v>449</v>
      </c>
    </row>
    <row r="102" spans="9:40" x14ac:dyDescent="0.45">
      <c r="I102" t="s">
        <v>165</v>
      </c>
      <c r="J102" t="s">
        <v>463</v>
      </c>
      <c r="K102">
        <v>7.5615821988297093E-4</v>
      </c>
      <c r="L102" t="s">
        <v>158</v>
      </c>
      <c r="N102" t="s">
        <v>301</v>
      </c>
      <c r="O102" t="s">
        <v>463</v>
      </c>
      <c r="P102">
        <v>0.23974459949217025</v>
      </c>
      <c r="Q102" t="s">
        <v>158</v>
      </c>
      <c r="S102" t="s">
        <v>415</v>
      </c>
      <c r="T102" t="s">
        <v>463</v>
      </c>
      <c r="U102">
        <v>8.7228822085737956E-2</v>
      </c>
      <c r="V102" t="s">
        <v>158</v>
      </c>
      <c r="AK102">
        <v>2044</v>
      </c>
      <c r="AL102" t="s">
        <v>455</v>
      </c>
      <c r="AM102">
        <v>0.28783333333333333</v>
      </c>
      <c r="AN102" t="s">
        <v>449</v>
      </c>
    </row>
    <row r="103" spans="9:40" x14ac:dyDescent="0.45">
      <c r="I103" t="s">
        <v>165</v>
      </c>
      <c r="J103" t="s">
        <v>464</v>
      </c>
      <c r="K103">
        <v>2.6936794027676028E-2</v>
      </c>
      <c r="L103" t="s">
        <v>158</v>
      </c>
      <c r="N103" t="s">
        <v>301</v>
      </c>
      <c r="O103" t="s">
        <v>464</v>
      </c>
      <c r="P103">
        <v>1.7911126684828776E-2</v>
      </c>
      <c r="Q103" t="s">
        <v>158</v>
      </c>
      <c r="S103" t="s">
        <v>415</v>
      </c>
      <c r="T103" t="s">
        <v>464</v>
      </c>
      <c r="U103">
        <v>1.217675037369711E-2</v>
      </c>
      <c r="V103" t="s">
        <v>158</v>
      </c>
      <c r="AK103">
        <v>2045</v>
      </c>
      <c r="AL103" t="s">
        <v>450</v>
      </c>
      <c r="AM103">
        <v>0.49090000000000006</v>
      </c>
      <c r="AN103" t="s">
        <v>449</v>
      </c>
    </row>
    <row r="104" spans="9:40" x14ac:dyDescent="0.45">
      <c r="I104" t="s">
        <v>165</v>
      </c>
      <c r="J104" t="s">
        <v>465</v>
      </c>
      <c r="K104">
        <v>0.19236599197360596</v>
      </c>
      <c r="L104" t="s">
        <v>158</v>
      </c>
      <c r="N104" t="s">
        <v>301</v>
      </c>
      <c r="O104" t="s">
        <v>465</v>
      </c>
      <c r="P104">
        <v>2.5929725303983589E-2</v>
      </c>
      <c r="Q104" t="s">
        <v>158</v>
      </c>
      <c r="S104" t="s">
        <v>415</v>
      </c>
      <c r="T104" t="s">
        <v>465</v>
      </c>
      <c r="U104">
        <v>0.15601570022072161</v>
      </c>
      <c r="V104" t="s">
        <v>158</v>
      </c>
      <c r="AK104">
        <v>2045</v>
      </c>
      <c r="AL104" t="s">
        <v>452</v>
      </c>
      <c r="AM104">
        <v>0.3483</v>
      </c>
      <c r="AN104" t="s">
        <v>449</v>
      </c>
    </row>
    <row r="105" spans="9:40" x14ac:dyDescent="0.45">
      <c r="I105" t="s">
        <v>165</v>
      </c>
      <c r="J105" t="s">
        <v>466</v>
      </c>
      <c r="K105">
        <v>0</v>
      </c>
      <c r="L105" t="s">
        <v>158</v>
      </c>
      <c r="N105" t="s">
        <v>301</v>
      </c>
      <c r="O105" t="s">
        <v>466</v>
      </c>
      <c r="P105">
        <v>4.8381355319295993E-2</v>
      </c>
      <c r="Q105" t="s">
        <v>158</v>
      </c>
      <c r="S105" t="s">
        <v>415</v>
      </c>
      <c r="T105" t="s">
        <v>466</v>
      </c>
      <c r="U105">
        <v>0.14496853738727605</v>
      </c>
      <c r="V105" t="s">
        <v>158</v>
      </c>
      <c r="AK105">
        <v>2045</v>
      </c>
      <c r="AL105" t="s">
        <v>453</v>
      </c>
      <c r="AM105">
        <v>0.5860333333333333</v>
      </c>
      <c r="AN105" t="s">
        <v>449</v>
      </c>
    </row>
    <row r="106" spans="9:40" x14ac:dyDescent="0.45">
      <c r="I106" t="s">
        <v>165</v>
      </c>
      <c r="J106" t="s">
        <v>467</v>
      </c>
      <c r="K106">
        <v>6.6168805507707072E-3</v>
      </c>
      <c r="L106" t="s">
        <v>158</v>
      </c>
      <c r="N106" t="s">
        <v>301</v>
      </c>
      <c r="O106" t="s">
        <v>467</v>
      </c>
      <c r="P106">
        <v>7.2852059849884245E-3</v>
      </c>
      <c r="Q106" t="s">
        <v>158</v>
      </c>
      <c r="S106" t="s">
        <v>415</v>
      </c>
      <c r="T106" t="s">
        <v>467</v>
      </c>
      <c r="U106">
        <v>2.4104573252045895E-2</v>
      </c>
      <c r="V106" t="s">
        <v>158</v>
      </c>
      <c r="AK106">
        <v>2045</v>
      </c>
      <c r="AL106" t="s">
        <v>455</v>
      </c>
      <c r="AM106">
        <v>0.31566666666666671</v>
      </c>
      <c r="AN106" t="s">
        <v>449</v>
      </c>
    </row>
    <row r="107" spans="9:40" x14ac:dyDescent="0.45">
      <c r="I107" t="s">
        <v>166</v>
      </c>
      <c r="J107" t="s">
        <v>456</v>
      </c>
      <c r="K107">
        <v>0.22474799297583267</v>
      </c>
      <c r="L107" t="s">
        <v>158</v>
      </c>
      <c r="N107" t="s">
        <v>302</v>
      </c>
      <c r="O107" t="s">
        <v>456</v>
      </c>
      <c r="P107">
        <v>6.753345740177838E-2</v>
      </c>
      <c r="Q107" t="s">
        <v>158</v>
      </c>
      <c r="S107" t="s">
        <v>416</v>
      </c>
      <c r="T107" t="s">
        <v>456</v>
      </c>
      <c r="U107">
        <v>0.14151241896367789</v>
      </c>
      <c r="V107" t="s">
        <v>158</v>
      </c>
      <c r="AK107">
        <v>2046</v>
      </c>
      <c r="AL107" t="s">
        <v>450</v>
      </c>
      <c r="AM107">
        <v>0.45369999999999999</v>
      </c>
      <c r="AN107" t="s">
        <v>449</v>
      </c>
    </row>
    <row r="108" spans="9:40" x14ac:dyDescent="0.45">
      <c r="I108" t="s">
        <v>166</v>
      </c>
      <c r="J108" t="s">
        <v>457</v>
      </c>
      <c r="K108">
        <v>0</v>
      </c>
      <c r="L108" t="s">
        <v>158</v>
      </c>
      <c r="N108" t="s">
        <v>302</v>
      </c>
      <c r="O108" t="s">
        <v>457</v>
      </c>
      <c r="P108">
        <v>0.11846106262514659</v>
      </c>
      <c r="Q108" t="s">
        <v>158</v>
      </c>
      <c r="S108" t="s">
        <v>416</v>
      </c>
      <c r="T108" t="s">
        <v>457</v>
      </c>
      <c r="U108">
        <v>0.1360237497266614</v>
      </c>
      <c r="V108" t="s">
        <v>158</v>
      </c>
      <c r="AK108">
        <v>2046</v>
      </c>
      <c r="AL108" t="s">
        <v>452</v>
      </c>
      <c r="AM108">
        <v>0.31513333333333332</v>
      </c>
      <c r="AN108" t="s">
        <v>449</v>
      </c>
    </row>
    <row r="109" spans="9:40" x14ac:dyDescent="0.45">
      <c r="I109" t="s">
        <v>166</v>
      </c>
      <c r="J109" t="s">
        <v>458</v>
      </c>
      <c r="K109">
        <v>6.8620327689934216E-3</v>
      </c>
      <c r="L109" t="s">
        <v>158</v>
      </c>
      <c r="N109" t="s">
        <v>302</v>
      </c>
      <c r="O109" t="s">
        <v>458</v>
      </c>
      <c r="P109">
        <v>1.3812467347730586E-2</v>
      </c>
      <c r="Q109" t="s">
        <v>158</v>
      </c>
      <c r="S109" t="s">
        <v>416</v>
      </c>
      <c r="T109" t="s">
        <v>458</v>
      </c>
      <c r="U109">
        <v>2.1592195682869662E-2</v>
      </c>
      <c r="V109" t="s">
        <v>158</v>
      </c>
      <c r="AK109">
        <v>2046</v>
      </c>
      <c r="AL109" t="s">
        <v>453</v>
      </c>
      <c r="AM109">
        <v>0.4956666666666667</v>
      </c>
      <c r="AN109" t="s">
        <v>449</v>
      </c>
    </row>
    <row r="110" spans="9:40" x14ac:dyDescent="0.45">
      <c r="I110" t="s">
        <v>166</v>
      </c>
      <c r="J110" t="s">
        <v>459</v>
      </c>
      <c r="K110">
        <v>0.23743809666742613</v>
      </c>
      <c r="L110" t="s">
        <v>158</v>
      </c>
      <c r="N110" t="s">
        <v>302</v>
      </c>
      <c r="O110" t="s">
        <v>459</v>
      </c>
      <c r="P110">
        <v>0.11734198361943152</v>
      </c>
      <c r="Q110" t="s">
        <v>158</v>
      </c>
      <c r="S110" t="s">
        <v>416</v>
      </c>
      <c r="T110" t="s">
        <v>459</v>
      </c>
      <c r="U110">
        <v>9.7387829725831765E-2</v>
      </c>
      <c r="V110" t="s">
        <v>158</v>
      </c>
      <c r="AK110">
        <v>2046</v>
      </c>
      <c r="AL110" t="s">
        <v>455</v>
      </c>
      <c r="AM110">
        <v>0.27210000000000001</v>
      </c>
      <c r="AN110" t="s">
        <v>449</v>
      </c>
    </row>
    <row r="111" spans="9:40" x14ac:dyDescent="0.45">
      <c r="I111" t="s">
        <v>166</v>
      </c>
      <c r="J111" t="s">
        <v>460</v>
      </c>
      <c r="K111">
        <v>0</v>
      </c>
      <c r="L111" t="s">
        <v>158</v>
      </c>
      <c r="N111" t="s">
        <v>302</v>
      </c>
      <c r="O111" t="s">
        <v>460</v>
      </c>
      <c r="P111">
        <v>0.22235182912601859</v>
      </c>
      <c r="Q111" t="s">
        <v>158</v>
      </c>
      <c r="S111" t="s">
        <v>416</v>
      </c>
      <c r="T111" t="s">
        <v>460</v>
      </c>
      <c r="U111">
        <v>0.10339353515704003</v>
      </c>
      <c r="V111" t="s">
        <v>158</v>
      </c>
      <c r="AK111">
        <v>2047</v>
      </c>
      <c r="AL111" t="s">
        <v>450</v>
      </c>
      <c r="AM111">
        <v>0.43383333333333335</v>
      </c>
      <c r="AN111" t="s">
        <v>449</v>
      </c>
    </row>
    <row r="112" spans="9:40" x14ac:dyDescent="0.45">
      <c r="I112" t="s">
        <v>166</v>
      </c>
      <c r="J112" t="s">
        <v>461</v>
      </c>
      <c r="K112">
        <v>1.649435137818631E-2</v>
      </c>
      <c r="L112" t="s">
        <v>158</v>
      </c>
      <c r="N112" t="s">
        <v>302</v>
      </c>
      <c r="O112" t="s">
        <v>461</v>
      </c>
      <c r="P112">
        <v>2.1604013059619145E-2</v>
      </c>
      <c r="Q112" t="s">
        <v>158</v>
      </c>
      <c r="S112" t="s">
        <v>416</v>
      </c>
      <c r="T112" t="s">
        <v>461</v>
      </c>
      <c r="U112">
        <v>1.6966839112449401E-2</v>
      </c>
      <c r="V112" t="s">
        <v>158</v>
      </c>
      <c r="AK112">
        <v>2047</v>
      </c>
      <c r="AL112" t="s">
        <v>452</v>
      </c>
      <c r="AM112">
        <v>0.35036666666666666</v>
      </c>
      <c r="AN112" t="s">
        <v>449</v>
      </c>
    </row>
    <row r="113" spans="9:40" x14ac:dyDescent="0.45">
      <c r="I113" t="s">
        <v>166</v>
      </c>
      <c r="J113" t="s">
        <v>462</v>
      </c>
      <c r="K113">
        <v>0.28655320122533601</v>
      </c>
      <c r="L113" t="s">
        <v>158</v>
      </c>
      <c r="N113" t="s">
        <v>302</v>
      </c>
      <c r="O113" t="s">
        <v>462</v>
      </c>
      <c r="P113">
        <v>0.1114229954089245</v>
      </c>
      <c r="Q113" t="s">
        <v>158</v>
      </c>
      <c r="S113" t="s">
        <v>416</v>
      </c>
      <c r="T113" t="s">
        <v>462</v>
      </c>
      <c r="U113">
        <v>0.10230804574871669</v>
      </c>
      <c r="V113" t="s">
        <v>158</v>
      </c>
      <c r="AK113">
        <v>2047</v>
      </c>
      <c r="AL113" t="s">
        <v>453</v>
      </c>
      <c r="AM113">
        <v>0.4911666666666667</v>
      </c>
      <c r="AN113" t="s">
        <v>449</v>
      </c>
    </row>
    <row r="114" spans="9:40" x14ac:dyDescent="0.45">
      <c r="I114" t="s">
        <v>166</v>
      </c>
      <c r="J114" t="s">
        <v>463</v>
      </c>
      <c r="K114">
        <v>0</v>
      </c>
      <c r="L114" t="s">
        <v>158</v>
      </c>
      <c r="N114" t="s">
        <v>302</v>
      </c>
      <c r="O114" t="s">
        <v>463</v>
      </c>
      <c r="P114">
        <v>0.24027955379051477</v>
      </c>
      <c r="Q114" t="s">
        <v>158</v>
      </c>
      <c r="S114" t="s">
        <v>416</v>
      </c>
      <c r="T114" t="s">
        <v>463</v>
      </c>
      <c r="U114">
        <v>0.1038004390251249</v>
      </c>
      <c r="V114" t="s">
        <v>158</v>
      </c>
      <c r="AK114">
        <v>2047</v>
      </c>
      <c r="AL114" t="s">
        <v>455</v>
      </c>
      <c r="AM114">
        <v>0.27436666666666665</v>
      </c>
      <c r="AN114" t="s">
        <v>449</v>
      </c>
    </row>
    <row r="115" spans="9:40" x14ac:dyDescent="0.45">
      <c r="I115" t="s">
        <v>166</v>
      </c>
      <c r="J115" t="s">
        <v>464</v>
      </c>
      <c r="K115">
        <v>2.4478289130633005E-2</v>
      </c>
      <c r="L115" t="s">
        <v>158</v>
      </c>
      <c r="N115" t="s">
        <v>302</v>
      </c>
      <c r="O115" t="s">
        <v>464</v>
      </c>
      <c r="P115">
        <v>1.7747827536748591E-2</v>
      </c>
      <c r="Q115" t="s">
        <v>158</v>
      </c>
      <c r="S115" t="s">
        <v>416</v>
      </c>
      <c r="T115" t="s">
        <v>464</v>
      </c>
      <c r="U115">
        <v>1.6216859403312835E-2</v>
      </c>
      <c r="V115" t="s">
        <v>158</v>
      </c>
      <c r="AK115">
        <v>2048</v>
      </c>
      <c r="AL115" t="s">
        <v>450</v>
      </c>
      <c r="AM115">
        <v>0.42909999999999998</v>
      </c>
      <c r="AN115" t="s">
        <v>449</v>
      </c>
    </row>
    <row r="116" spans="9:40" x14ac:dyDescent="0.45">
      <c r="I116" t="s">
        <v>166</v>
      </c>
      <c r="J116" t="s">
        <v>465</v>
      </c>
      <c r="K116">
        <v>0.19838152087094929</v>
      </c>
      <c r="L116" t="s">
        <v>158</v>
      </c>
      <c r="N116" t="s">
        <v>302</v>
      </c>
      <c r="O116" t="s">
        <v>465</v>
      </c>
      <c r="P116">
        <v>2.0594341097744089E-2</v>
      </c>
      <c r="Q116" t="s">
        <v>158</v>
      </c>
      <c r="S116" t="s">
        <v>416</v>
      </c>
      <c r="T116" t="s">
        <v>465</v>
      </c>
      <c r="U116">
        <v>0.118268200579539</v>
      </c>
      <c r="V116" t="s">
        <v>158</v>
      </c>
      <c r="AK116">
        <v>2048</v>
      </c>
      <c r="AL116" t="s">
        <v>452</v>
      </c>
      <c r="AM116">
        <v>0.34200000000000003</v>
      </c>
      <c r="AN116" t="s">
        <v>449</v>
      </c>
    </row>
    <row r="117" spans="9:40" x14ac:dyDescent="0.45">
      <c r="I117" t="s">
        <v>166</v>
      </c>
      <c r="J117" t="s">
        <v>466</v>
      </c>
      <c r="K117">
        <v>0</v>
      </c>
      <c r="L117" t="s">
        <v>158</v>
      </c>
      <c r="N117" t="s">
        <v>302</v>
      </c>
      <c r="O117" t="s">
        <v>466</v>
      </c>
      <c r="P117">
        <v>4.3781283751362816E-2</v>
      </c>
      <c r="Q117" t="s">
        <v>158</v>
      </c>
      <c r="S117" t="s">
        <v>416</v>
      </c>
      <c r="T117" t="s">
        <v>466</v>
      </c>
      <c r="U117">
        <v>0.12363960932942036</v>
      </c>
      <c r="V117" t="s">
        <v>158</v>
      </c>
      <c r="AK117">
        <v>2048</v>
      </c>
      <c r="AL117" t="s">
        <v>453</v>
      </c>
      <c r="AM117">
        <v>0.50633333333333341</v>
      </c>
      <c r="AN117" t="s">
        <v>449</v>
      </c>
    </row>
    <row r="118" spans="9:40" x14ac:dyDescent="0.45">
      <c r="I118" t="s">
        <v>166</v>
      </c>
      <c r="J118" t="s">
        <v>467</v>
      </c>
      <c r="K118">
        <v>5.044514982645118E-3</v>
      </c>
      <c r="L118" t="s">
        <v>158</v>
      </c>
      <c r="N118" t="s">
        <v>302</v>
      </c>
      <c r="O118" t="s">
        <v>467</v>
      </c>
      <c r="P118">
        <v>5.069185234985684E-3</v>
      </c>
      <c r="Q118" t="s">
        <v>158</v>
      </c>
      <c r="S118" t="s">
        <v>416</v>
      </c>
      <c r="T118" t="s">
        <v>467</v>
      </c>
      <c r="U118">
        <v>1.889027754535275E-2</v>
      </c>
      <c r="V118" t="s">
        <v>158</v>
      </c>
      <c r="AK118">
        <v>2048</v>
      </c>
      <c r="AL118" t="s">
        <v>455</v>
      </c>
      <c r="AM118">
        <v>0.25706666666666667</v>
      </c>
      <c r="AN118" t="s">
        <v>449</v>
      </c>
    </row>
    <row r="119" spans="9:40" x14ac:dyDescent="0.45">
      <c r="I119" t="s">
        <v>167</v>
      </c>
      <c r="J119" t="s">
        <v>456</v>
      </c>
      <c r="K119">
        <v>0.17455661608641951</v>
      </c>
      <c r="L119" t="s">
        <v>158</v>
      </c>
      <c r="N119" t="s">
        <v>303</v>
      </c>
      <c r="O119" t="s">
        <v>456</v>
      </c>
      <c r="P119">
        <v>8.3425728293468185E-2</v>
      </c>
      <c r="Q119" t="s">
        <v>158</v>
      </c>
      <c r="S119" t="s">
        <v>417</v>
      </c>
      <c r="T119" t="s">
        <v>456</v>
      </c>
      <c r="U119">
        <v>0.11832961698112218</v>
      </c>
      <c r="V119" t="s">
        <v>158</v>
      </c>
      <c r="AK119">
        <v>2049</v>
      </c>
      <c r="AL119" t="s">
        <v>450</v>
      </c>
      <c r="AM119">
        <v>0.41596666666666665</v>
      </c>
      <c r="AN119" t="s">
        <v>449</v>
      </c>
    </row>
    <row r="120" spans="9:40" x14ac:dyDescent="0.45">
      <c r="I120" t="s">
        <v>167</v>
      </c>
      <c r="J120" t="s">
        <v>457</v>
      </c>
      <c r="K120">
        <v>0</v>
      </c>
      <c r="L120" t="s">
        <v>158</v>
      </c>
      <c r="N120" t="s">
        <v>303</v>
      </c>
      <c r="O120" t="s">
        <v>457</v>
      </c>
      <c r="P120">
        <v>0.10764541515963021</v>
      </c>
      <c r="Q120" t="s">
        <v>158</v>
      </c>
      <c r="S120" t="s">
        <v>417</v>
      </c>
      <c r="T120" t="s">
        <v>457</v>
      </c>
      <c r="U120">
        <v>0.11572331164303239</v>
      </c>
      <c r="V120" t="s">
        <v>158</v>
      </c>
      <c r="AK120">
        <v>2049</v>
      </c>
      <c r="AL120" t="s">
        <v>452</v>
      </c>
      <c r="AM120">
        <v>0.30363333333333337</v>
      </c>
      <c r="AN120" t="s">
        <v>449</v>
      </c>
    </row>
    <row r="121" spans="9:40" x14ac:dyDescent="0.45">
      <c r="I121" t="s">
        <v>167</v>
      </c>
      <c r="J121" t="s">
        <v>458</v>
      </c>
      <c r="K121">
        <v>1.1265521733325172E-2</v>
      </c>
      <c r="L121" t="s">
        <v>158</v>
      </c>
      <c r="N121" t="s">
        <v>303</v>
      </c>
      <c r="O121" t="s">
        <v>458</v>
      </c>
      <c r="P121">
        <v>1.1531612523296967E-2</v>
      </c>
      <c r="Q121" t="s">
        <v>158</v>
      </c>
      <c r="S121" t="s">
        <v>417</v>
      </c>
      <c r="T121" t="s">
        <v>458</v>
      </c>
      <c r="U121">
        <v>1.8863855281814008E-2</v>
      </c>
      <c r="V121" t="s">
        <v>158</v>
      </c>
      <c r="AK121">
        <v>2049</v>
      </c>
      <c r="AL121" t="s">
        <v>453</v>
      </c>
      <c r="AM121">
        <v>0.5194333333333333</v>
      </c>
      <c r="AN121" t="s">
        <v>449</v>
      </c>
    </row>
    <row r="122" spans="9:40" x14ac:dyDescent="0.45">
      <c r="I122" t="s">
        <v>167</v>
      </c>
      <c r="J122" t="s">
        <v>459</v>
      </c>
      <c r="K122">
        <v>0.27500908981199923</v>
      </c>
      <c r="L122" t="s">
        <v>158</v>
      </c>
      <c r="N122" t="s">
        <v>303</v>
      </c>
      <c r="O122" t="s">
        <v>459</v>
      </c>
      <c r="P122">
        <v>0.1420107046482538</v>
      </c>
      <c r="Q122" t="s">
        <v>158</v>
      </c>
      <c r="S122" t="s">
        <v>417</v>
      </c>
      <c r="T122" t="s">
        <v>459</v>
      </c>
      <c r="U122">
        <v>0.11999693949994925</v>
      </c>
      <c r="V122" t="s">
        <v>158</v>
      </c>
      <c r="AK122">
        <v>2049</v>
      </c>
      <c r="AL122" t="s">
        <v>455</v>
      </c>
      <c r="AM122">
        <v>0.2717</v>
      </c>
      <c r="AN122" t="s">
        <v>449</v>
      </c>
    </row>
    <row r="123" spans="9:40" x14ac:dyDescent="0.45">
      <c r="I123" t="s">
        <v>167</v>
      </c>
      <c r="J123" t="s">
        <v>460</v>
      </c>
      <c r="K123">
        <v>1.4746760947579836E-3</v>
      </c>
      <c r="L123" t="s">
        <v>158</v>
      </c>
      <c r="N123" t="s">
        <v>303</v>
      </c>
      <c r="O123" t="s">
        <v>460</v>
      </c>
      <c r="P123">
        <v>0.18357192030680977</v>
      </c>
      <c r="Q123" t="s">
        <v>158</v>
      </c>
      <c r="S123" t="s">
        <v>417</v>
      </c>
      <c r="T123" t="s">
        <v>460</v>
      </c>
      <c r="U123">
        <v>0.13496329523042983</v>
      </c>
      <c r="V123" t="s">
        <v>158</v>
      </c>
      <c r="AK123">
        <v>2050</v>
      </c>
      <c r="AL123" t="s">
        <v>450</v>
      </c>
      <c r="AM123">
        <v>0.40143333333333331</v>
      </c>
      <c r="AN123" t="s">
        <v>449</v>
      </c>
    </row>
    <row r="124" spans="9:40" x14ac:dyDescent="0.45">
      <c r="I124" t="s">
        <v>167</v>
      </c>
      <c r="J124" t="s">
        <v>461</v>
      </c>
      <c r="K124">
        <v>2.9104643703803567E-2</v>
      </c>
      <c r="L124" t="s">
        <v>158</v>
      </c>
      <c r="N124" t="s">
        <v>303</v>
      </c>
      <c r="O124" t="s">
        <v>461</v>
      </c>
      <c r="P124">
        <v>1.8786741124761117E-2</v>
      </c>
      <c r="Q124" t="s">
        <v>158</v>
      </c>
      <c r="S124" t="s">
        <v>417</v>
      </c>
      <c r="T124" t="s">
        <v>461</v>
      </c>
      <c r="U124">
        <v>1.9952569809166144E-2</v>
      </c>
      <c r="V124" t="s">
        <v>158</v>
      </c>
      <c r="AK124">
        <v>2050</v>
      </c>
      <c r="AL124" t="s">
        <v>452</v>
      </c>
      <c r="AM124">
        <v>0.33746666666666664</v>
      </c>
      <c r="AN124" t="s">
        <v>449</v>
      </c>
    </row>
    <row r="125" spans="9:40" x14ac:dyDescent="0.45">
      <c r="I125" t="s">
        <v>167</v>
      </c>
      <c r="J125" t="s">
        <v>462</v>
      </c>
      <c r="K125">
        <v>0.27092922387027535</v>
      </c>
      <c r="L125" t="s">
        <v>158</v>
      </c>
      <c r="N125" t="s">
        <v>303</v>
      </c>
      <c r="O125" t="s">
        <v>462</v>
      </c>
      <c r="P125">
        <v>0.13817734203952964</v>
      </c>
      <c r="Q125" t="s">
        <v>158</v>
      </c>
      <c r="S125" t="s">
        <v>417</v>
      </c>
      <c r="T125" t="s">
        <v>462</v>
      </c>
      <c r="U125">
        <v>0.10045609346235899</v>
      </c>
      <c r="V125" t="s">
        <v>158</v>
      </c>
      <c r="AK125">
        <v>2050</v>
      </c>
      <c r="AL125" t="s">
        <v>453</v>
      </c>
      <c r="AM125">
        <v>0.49640000000000001</v>
      </c>
      <c r="AN125" t="s">
        <v>449</v>
      </c>
    </row>
    <row r="126" spans="9:40" x14ac:dyDescent="0.45">
      <c r="I126" t="s">
        <v>167</v>
      </c>
      <c r="J126" t="s">
        <v>463</v>
      </c>
      <c r="K126">
        <v>4.9992835459749868E-3</v>
      </c>
      <c r="L126" t="s">
        <v>158</v>
      </c>
      <c r="N126" t="s">
        <v>303</v>
      </c>
      <c r="O126" t="s">
        <v>463</v>
      </c>
      <c r="P126">
        <v>0.20766879369181301</v>
      </c>
      <c r="Q126" t="s">
        <v>158</v>
      </c>
      <c r="S126" t="s">
        <v>417</v>
      </c>
      <c r="T126" t="s">
        <v>463</v>
      </c>
      <c r="U126">
        <v>0.11826359730123451</v>
      </c>
      <c r="V126" t="s">
        <v>158</v>
      </c>
      <c r="AK126">
        <v>2050</v>
      </c>
      <c r="AL126" t="s">
        <v>455</v>
      </c>
      <c r="AM126">
        <v>0.27899999999999997</v>
      </c>
      <c r="AN126" t="s">
        <v>449</v>
      </c>
    </row>
    <row r="127" spans="9:40" x14ac:dyDescent="0.45">
      <c r="I127" t="s">
        <v>167</v>
      </c>
      <c r="J127" t="s">
        <v>464</v>
      </c>
      <c r="K127">
        <v>3.2223010654071967E-2</v>
      </c>
      <c r="L127" t="s">
        <v>158</v>
      </c>
      <c r="N127" t="s">
        <v>303</v>
      </c>
      <c r="O127" t="s">
        <v>464</v>
      </c>
      <c r="P127">
        <v>1.6444494531280628E-2</v>
      </c>
      <c r="Q127" t="s">
        <v>158</v>
      </c>
      <c r="S127" t="s">
        <v>417</v>
      </c>
      <c r="T127" t="s">
        <v>464</v>
      </c>
      <c r="U127">
        <v>1.4586129010593153E-2</v>
      </c>
      <c r="V127" t="s">
        <v>158</v>
      </c>
    </row>
    <row r="128" spans="9:40" x14ac:dyDescent="0.45">
      <c r="I128" t="s">
        <v>167</v>
      </c>
      <c r="J128" t="s">
        <v>465</v>
      </c>
      <c r="K128">
        <v>0.19136030492986025</v>
      </c>
      <c r="L128" t="s">
        <v>158</v>
      </c>
      <c r="N128" t="s">
        <v>303</v>
      </c>
      <c r="O128" t="s">
        <v>465</v>
      </c>
      <c r="P128">
        <v>3.3850524214569189E-2</v>
      </c>
      <c r="Q128" t="s">
        <v>158</v>
      </c>
      <c r="S128" t="s">
        <v>417</v>
      </c>
      <c r="T128" t="s">
        <v>465</v>
      </c>
      <c r="U128">
        <v>0.1095416979942819</v>
      </c>
      <c r="V128" t="s">
        <v>158</v>
      </c>
    </row>
    <row r="129" spans="9:22" x14ac:dyDescent="0.45">
      <c r="I129" t="s">
        <v>167</v>
      </c>
      <c r="J129" t="s">
        <v>466</v>
      </c>
      <c r="K129">
        <v>0</v>
      </c>
      <c r="L129" t="s">
        <v>158</v>
      </c>
      <c r="N129" t="s">
        <v>303</v>
      </c>
      <c r="O129" t="s">
        <v>466</v>
      </c>
      <c r="P129">
        <v>5.1014329700726911E-2</v>
      </c>
      <c r="Q129" t="s">
        <v>158</v>
      </c>
      <c r="S129" t="s">
        <v>417</v>
      </c>
      <c r="T129" t="s">
        <v>466</v>
      </c>
      <c r="U129">
        <v>0.11165551115417496</v>
      </c>
      <c r="V129" t="s">
        <v>158</v>
      </c>
    </row>
    <row r="130" spans="9:22" x14ac:dyDescent="0.45">
      <c r="I130" t="s">
        <v>167</v>
      </c>
      <c r="J130" t="s">
        <v>467</v>
      </c>
      <c r="K130">
        <v>9.0776295695085465E-3</v>
      </c>
      <c r="L130" t="s">
        <v>158</v>
      </c>
      <c r="N130" t="s">
        <v>303</v>
      </c>
      <c r="O130" t="s">
        <v>467</v>
      </c>
      <c r="P130">
        <v>5.8723937658598461E-3</v>
      </c>
      <c r="Q130" t="s">
        <v>158</v>
      </c>
      <c r="S130" t="s">
        <v>417</v>
      </c>
      <c r="T130" t="s">
        <v>467</v>
      </c>
      <c r="U130">
        <v>1.7667382631840159E-2</v>
      </c>
      <c r="V130" t="s">
        <v>158</v>
      </c>
    </row>
    <row r="131" spans="9:22" x14ac:dyDescent="0.45">
      <c r="I131" t="s">
        <v>168</v>
      </c>
      <c r="J131" t="s">
        <v>456</v>
      </c>
      <c r="K131">
        <v>0.15899731949121873</v>
      </c>
      <c r="L131" t="s">
        <v>158</v>
      </c>
      <c r="N131" t="s">
        <v>304</v>
      </c>
      <c r="O131" t="s">
        <v>456</v>
      </c>
      <c r="P131">
        <v>9.0843064275618932E-2</v>
      </c>
      <c r="Q131" t="s">
        <v>158</v>
      </c>
      <c r="S131" t="s">
        <v>418</v>
      </c>
      <c r="T131" t="s">
        <v>456</v>
      </c>
      <c r="U131">
        <v>0.10044972283603844</v>
      </c>
      <c r="V131" t="s">
        <v>158</v>
      </c>
    </row>
    <row r="132" spans="9:22" x14ac:dyDescent="0.45">
      <c r="I132" t="s">
        <v>168</v>
      </c>
      <c r="J132" t="s">
        <v>457</v>
      </c>
      <c r="K132">
        <v>0</v>
      </c>
      <c r="L132" t="s">
        <v>158</v>
      </c>
      <c r="N132" t="s">
        <v>304</v>
      </c>
      <c r="O132" t="s">
        <v>457</v>
      </c>
      <c r="P132">
        <v>0.11034891767716346</v>
      </c>
      <c r="Q132" t="s">
        <v>158</v>
      </c>
      <c r="S132" t="s">
        <v>418</v>
      </c>
      <c r="T132" t="s">
        <v>457</v>
      </c>
      <c r="U132">
        <v>0.1059724018558784</v>
      </c>
      <c r="V132" t="s">
        <v>158</v>
      </c>
    </row>
    <row r="133" spans="9:22" x14ac:dyDescent="0.45">
      <c r="I133" t="s">
        <v>168</v>
      </c>
      <c r="J133" t="s">
        <v>458</v>
      </c>
      <c r="K133">
        <v>1.0567044007101135E-2</v>
      </c>
      <c r="L133" t="s">
        <v>158</v>
      </c>
      <c r="N133" t="s">
        <v>304</v>
      </c>
      <c r="O133" t="s">
        <v>458</v>
      </c>
      <c r="P133">
        <v>1.4888955452981169E-2</v>
      </c>
      <c r="Q133" t="s">
        <v>158</v>
      </c>
      <c r="S133" t="s">
        <v>418</v>
      </c>
      <c r="T133" t="s">
        <v>458</v>
      </c>
      <c r="U133">
        <v>1.6834220551767642E-2</v>
      </c>
      <c r="V133" t="s">
        <v>158</v>
      </c>
    </row>
    <row r="134" spans="9:22" x14ac:dyDescent="0.45">
      <c r="I134" t="s">
        <v>168</v>
      </c>
      <c r="J134" t="s">
        <v>459</v>
      </c>
      <c r="K134">
        <v>0.27003699969470596</v>
      </c>
      <c r="L134" t="s">
        <v>158</v>
      </c>
      <c r="N134" t="s">
        <v>304</v>
      </c>
      <c r="O134" t="s">
        <v>459</v>
      </c>
      <c r="P134">
        <v>0.13666758914341923</v>
      </c>
      <c r="Q134" t="s">
        <v>158</v>
      </c>
      <c r="S134" t="s">
        <v>418</v>
      </c>
      <c r="T134" t="s">
        <v>459</v>
      </c>
      <c r="U134">
        <v>0.11228245856130838</v>
      </c>
      <c r="V134" t="s">
        <v>158</v>
      </c>
    </row>
    <row r="135" spans="9:22" x14ac:dyDescent="0.45">
      <c r="I135" t="s">
        <v>168</v>
      </c>
      <c r="J135" t="s">
        <v>460</v>
      </c>
      <c r="K135">
        <v>1.5785952063753228E-3</v>
      </c>
      <c r="L135" t="s">
        <v>158</v>
      </c>
      <c r="N135" t="s">
        <v>304</v>
      </c>
      <c r="O135" t="s">
        <v>460</v>
      </c>
      <c r="P135">
        <v>0.15757651606005374</v>
      </c>
      <c r="Q135" t="s">
        <v>158</v>
      </c>
      <c r="S135" t="s">
        <v>418</v>
      </c>
      <c r="T135" t="s">
        <v>460</v>
      </c>
      <c r="U135">
        <v>0.1509434446387706</v>
      </c>
      <c r="V135" t="s">
        <v>158</v>
      </c>
    </row>
    <row r="136" spans="9:22" x14ac:dyDescent="0.45">
      <c r="I136" t="s">
        <v>168</v>
      </c>
      <c r="J136" t="s">
        <v>461</v>
      </c>
      <c r="K136">
        <v>2.6176442649262492E-2</v>
      </c>
      <c r="L136" t="s">
        <v>158</v>
      </c>
      <c r="N136" t="s">
        <v>304</v>
      </c>
      <c r="O136" t="s">
        <v>461</v>
      </c>
      <c r="P136">
        <v>2.1966081604295844E-2</v>
      </c>
      <c r="Q136" t="s">
        <v>158</v>
      </c>
      <c r="S136" t="s">
        <v>418</v>
      </c>
      <c r="T136" t="s">
        <v>461</v>
      </c>
      <c r="U136">
        <v>2.2039050471550983E-2</v>
      </c>
      <c r="V136" t="s">
        <v>158</v>
      </c>
    </row>
    <row r="137" spans="9:22" x14ac:dyDescent="0.45">
      <c r="I137" t="s">
        <v>168</v>
      </c>
      <c r="J137" t="s">
        <v>462</v>
      </c>
      <c r="K137">
        <v>0.25684943493696349</v>
      </c>
      <c r="L137" t="s">
        <v>158</v>
      </c>
      <c r="N137" t="s">
        <v>304</v>
      </c>
      <c r="O137" t="s">
        <v>462</v>
      </c>
      <c r="P137">
        <v>0.14293719766688964</v>
      </c>
      <c r="Q137" t="s">
        <v>158</v>
      </c>
      <c r="S137" t="s">
        <v>418</v>
      </c>
      <c r="T137" t="s">
        <v>462</v>
      </c>
      <c r="U137">
        <v>0.10551522316916669</v>
      </c>
      <c r="V137" t="s">
        <v>158</v>
      </c>
    </row>
    <row r="138" spans="9:22" x14ac:dyDescent="0.45">
      <c r="I138" t="s">
        <v>168</v>
      </c>
      <c r="J138" t="s">
        <v>463</v>
      </c>
      <c r="K138">
        <v>4.9758504785257776E-3</v>
      </c>
      <c r="L138" t="s">
        <v>158</v>
      </c>
      <c r="N138" t="s">
        <v>304</v>
      </c>
      <c r="O138" t="s">
        <v>463</v>
      </c>
      <c r="P138">
        <v>0.17511951269116324</v>
      </c>
      <c r="Q138" t="s">
        <v>158</v>
      </c>
      <c r="S138" t="s">
        <v>418</v>
      </c>
      <c r="T138" t="s">
        <v>463</v>
      </c>
      <c r="U138">
        <v>0.13571185147633935</v>
      </c>
      <c r="V138" t="s">
        <v>158</v>
      </c>
    </row>
    <row r="139" spans="9:22" x14ac:dyDescent="0.45">
      <c r="I139" t="s">
        <v>168</v>
      </c>
      <c r="J139" t="s">
        <v>464</v>
      </c>
      <c r="K139">
        <v>2.9252364227769143E-2</v>
      </c>
      <c r="L139" t="s">
        <v>158</v>
      </c>
      <c r="N139" t="s">
        <v>304</v>
      </c>
      <c r="O139" t="s">
        <v>464</v>
      </c>
      <c r="P139">
        <v>2.325837236534159E-2</v>
      </c>
      <c r="Q139" t="s">
        <v>158</v>
      </c>
      <c r="S139" t="s">
        <v>418</v>
      </c>
      <c r="T139" t="s">
        <v>464</v>
      </c>
      <c r="U139">
        <v>1.5973346504574056E-2</v>
      </c>
      <c r="V139" t="s">
        <v>158</v>
      </c>
    </row>
    <row r="140" spans="9:22" x14ac:dyDescent="0.45">
      <c r="I140" t="s">
        <v>168</v>
      </c>
      <c r="J140" t="s">
        <v>465</v>
      </c>
      <c r="K140">
        <v>0.2272110119053804</v>
      </c>
      <c r="L140" t="s">
        <v>158</v>
      </c>
      <c r="N140" t="s">
        <v>304</v>
      </c>
      <c r="O140" t="s">
        <v>465</v>
      </c>
      <c r="P140">
        <v>4.7708469334039778E-2</v>
      </c>
      <c r="Q140" t="s">
        <v>158</v>
      </c>
      <c r="S140" t="s">
        <v>418</v>
      </c>
      <c r="T140" t="s">
        <v>465</v>
      </c>
      <c r="U140">
        <v>0.10756416172863614</v>
      </c>
      <c r="V140" t="s">
        <v>158</v>
      </c>
    </row>
    <row r="141" spans="9:22" x14ac:dyDescent="0.45">
      <c r="I141" t="s">
        <v>168</v>
      </c>
      <c r="J141" t="s">
        <v>466</v>
      </c>
      <c r="K141">
        <v>0</v>
      </c>
      <c r="L141" t="s">
        <v>158</v>
      </c>
      <c r="N141" t="s">
        <v>304</v>
      </c>
      <c r="O141" t="s">
        <v>466</v>
      </c>
      <c r="P141">
        <v>7.0069113123868432E-2</v>
      </c>
      <c r="Q141" t="s">
        <v>158</v>
      </c>
      <c r="S141" t="s">
        <v>418</v>
      </c>
      <c r="T141" t="s">
        <v>466</v>
      </c>
      <c r="U141">
        <v>0.10937472162581839</v>
      </c>
      <c r="V141" t="s">
        <v>158</v>
      </c>
    </row>
    <row r="142" spans="9:22" x14ac:dyDescent="0.45">
      <c r="I142" t="s">
        <v>168</v>
      </c>
      <c r="J142" t="s">
        <v>467</v>
      </c>
      <c r="K142">
        <v>1.4354937402697918E-2</v>
      </c>
      <c r="L142" t="s">
        <v>158</v>
      </c>
      <c r="N142" t="s">
        <v>304</v>
      </c>
      <c r="O142" t="s">
        <v>467</v>
      </c>
      <c r="P142">
        <v>8.6162106051624159E-3</v>
      </c>
      <c r="Q142" t="s">
        <v>158</v>
      </c>
      <c r="S142" t="s">
        <v>418</v>
      </c>
      <c r="T142" t="s">
        <v>467</v>
      </c>
      <c r="U142">
        <v>1.733939658015381E-2</v>
      </c>
      <c r="V142" t="s">
        <v>158</v>
      </c>
    </row>
    <row r="143" spans="9:22" x14ac:dyDescent="0.45">
      <c r="I143" t="s">
        <v>169</v>
      </c>
      <c r="J143" t="s">
        <v>456</v>
      </c>
      <c r="K143">
        <v>0.18320802624214566</v>
      </c>
      <c r="L143" t="s">
        <v>158</v>
      </c>
      <c r="N143" t="s">
        <v>305</v>
      </c>
      <c r="O143" t="s">
        <v>456</v>
      </c>
      <c r="P143">
        <v>8.0217421945050965E-2</v>
      </c>
      <c r="Q143" t="s">
        <v>158</v>
      </c>
      <c r="S143" t="s">
        <v>419</v>
      </c>
      <c r="T143" t="s">
        <v>456</v>
      </c>
      <c r="U143">
        <v>0.10889364053175078</v>
      </c>
      <c r="V143" t="s">
        <v>158</v>
      </c>
    </row>
    <row r="144" spans="9:22" x14ac:dyDescent="0.45">
      <c r="I144" t="s">
        <v>169</v>
      </c>
      <c r="J144" t="s">
        <v>457</v>
      </c>
      <c r="K144">
        <v>0</v>
      </c>
      <c r="L144" t="s">
        <v>158</v>
      </c>
      <c r="N144" t="s">
        <v>305</v>
      </c>
      <c r="O144" t="s">
        <v>457</v>
      </c>
      <c r="P144">
        <v>0.10873031933057102</v>
      </c>
      <c r="Q144" t="s">
        <v>158</v>
      </c>
      <c r="S144" t="s">
        <v>419</v>
      </c>
      <c r="T144" t="s">
        <v>457</v>
      </c>
      <c r="U144">
        <v>0.11972181980428485</v>
      </c>
      <c r="V144" t="s">
        <v>158</v>
      </c>
    </row>
    <row r="145" spans="9:22" x14ac:dyDescent="0.45">
      <c r="I145" t="s">
        <v>169</v>
      </c>
      <c r="J145" t="s">
        <v>458</v>
      </c>
      <c r="K145">
        <v>1.104490254142817E-2</v>
      </c>
      <c r="L145" t="s">
        <v>158</v>
      </c>
      <c r="N145" t="s">
        <v>305</v>
      </c>
      <c r="O145" t="s">
        <v>458</v>
      </c>
      <c r="P145">
        <v>1.9234121042211384E-2</v>
      </c>
      <c r="Q145" t="s">
        <v>158</v>
      </c>
      <c r="S145" t="s">
        <v>419</v>
      </c>
      <c r="T145" t="s">
        <v>458</v>
      </c>
      <c r="U145">
        <v>1.9083671421736791E-2</v>
      </c>
      <c r="V145" t="s">
        <v>158</v>
      </c>
    </row>
    <row r="146" spans="9:22" x14ac:dyDescent="0.45">
      <c r="I146" t="s">
        <v>169</v>
      </c>
      <c r="J146" t="s">
        <v>459</v>
      </c>
      <c r="K146">
        <v>0.28195014556420178</v>
      </c>
      <c r="L146" t="s">
        <v>158</v>
      </c>
      <c r="N146" t="s">
        <v>305</v>
      </c>
      <c r="O146" t="s">
        <v>459</v>
      </c>
      <c r="P146">
        <v>0.12752051602259684</v>
      </c>
      <c r="Q146" t="s">
        <v>158</v>
      </c>
      <c r="S146" t="s">
        <v>419</v>
      </c>
      <c r="T146" t="s">
        <v>459</v>
      </c>
      <c r="U146">
        <v>9.8760448266717482E-2</v>
      </c>
      <c r="V146" t="s">
        <v>158</v>
      </c>
    </row>
    <row r="147" spans="9:22" x14ac:dyDescent="0.45">
      <c r="I147" t="s">
        <v>169</v>
      </c>
      <c r="J147" t="s">
        <v>460</v>
      </c>
      <c r="K147">
        <v>1.2417224915926208E-3</v>
      </c>
      <c r="L147" t="s">
        <v>158</v>
      </c>
      <c r="N147" t="s">
        <v>305</v>
      </c>
      <c r="O147" t="s">
        <v>460</v>
      </c>
      <c r="P147">
        <v>0.18059328219819648</v>
      </c>
      <c r="Q147" t="s">
        <v>158</v>
      </c>
      <c r="S147" t="s">
        <v>419</v>
      </c>
      <c r="T147" t="s">
        <v>460</v>
      </c>
      <c r="U147">
        <v>0.14304848994391245</v>
      </c>
      <c r="V147" t="s">
        <v>158</v>
      </c>
    </row>
    <row r="148" spans="9:22" x14ac:dyDescent="0.45">
      <c r="I148" t="s">
        <v>169</v>
      </c>
      <c r="J148" t="s">
        <v>461</v>
      </c>
      <c r="K148">
        <v>2.8279697467719293E-2</v>
      </c>
      <c r="L148" t="s">
        <v>158</v>
      </c>
      <c r="N148" t="s">
        <v>305</v>
      </c>
      <c r="O148" t="s">
        <v>461</v>
      </c>
      <c r="P148">
        <v>2.757665348980292E-2</v>
      </c>
      <c r="Q148" t="s">
        <v>158</v>
      </c>
      <c r="S148" t="s">
        <v>419</v>
      </c>
      <c r="T148" t="s">
        <v>461</v>
      </c>
      <c r="U148">
        <v>2.0079384289429521E-2</v>
      </c>
      <c r="V148" t="s">
        <v>158</v>
      </c>
    </row>
    <row r="149" spans="9:22" x14ac:dyDescent="0.45">
      <c r="I149" t="s">
        <v>169</v>
      </c>
      <c r="J149" t="s">
        <v>462</v>
      </c>
      <c r="K149">
        <v>0.24649974532325578</v>
      </c>
      <c r="L149" t="s">
        <v>158</v>
      </c>
      <c r="N149" t="s">
        <v>305</v>
      </c>
      <c r="O149" t="s">
        <v>462</v>
      </c>
      <c r="P149">
        <v>0.11552316291267835</v>
      </c>
      <c r="Q149" t="s">
        <v>158</v>
      </c>
      <c r="S149" t="s">
        <v>419</v>
      </c>
      <c r="T149" t="s">
        <v>462</v>
      </c>
      <c r="U149">
        <v>0.10671299319355197</v>
      </c>
      <c r="V149" t="s">
        <v>158</v>
      </c>
    </row>
    <row r="150" spans="9:22" x14ac:dyDescent="0.45">
      <c r="I150" t="s">
        <v>169</v>
      </c>
      <c r="J150" t="s">
        <v>463</v>
      </c>
      <c r="K150">
        <v>4.6144386991089602E-3</v>
      </c>
      <c r="L150" t="s">
        <v>158</v>
      </c>
      <c r="N150" t="s">
        <v>305</v>
      </c>
      <c r="O150" t="s">
        <v>463</v>
      </c>
      <c r="P150">
        <v>0.2028272482267382</v>
      </c>
      <c r="Q150" t="s">
        <v>158</v>
      </c>
      <c r="S150" t="s">
        <v>419</v>
      </c>
      <c r="T150" t="s">
        <v>463</v>
      </c>
      <c r="U150">
        <v>0.12769586844182185</v>
      </c>
      <c r="V150" t="s">
        <v>158</v>
      </c>
    </row>
    <row r="151" spans="9:22" x14ac:dyDescent="0.45">
      <c r="I151" t="s">
        <v>169</v>
      </c>
      <c r="J151" t="s">
        <v>464</v>
      </c>
      <c r="K151">
        <v>2.9813537283821474E-2</v>
      </c>
      <c r="L151" t="s">
        <v>158</v>
      </c>
      <c r="N151" t="s">
        <v>305</v>
      </c>
      <c r="O151" t="s">
        <v>464</v>
      </c>
      <c r="P151">
        <v>2.4920030698585435E-2</v>
      </c>
      <c r="Q151" t="s">
        <v>158</v>
      </c>
      <c r="S151" t="s">
        <v>419</v>
      </c>
      <c r="T151" t="s">
        <v>464</v>
      </c>
      <c r="U151">
        <v>1.6168560353991376E-2</v>
      </c>
      <c r="V151" t="s">
        <v>158</v>
      </c>
    </row>
    <row r="152" spans="9:22" x14ac:dyDescent="0.45">
      <c r="I152" t="s">
        <v>169</v>
      </c>
      <c r="J152" t="s">
        <v>465</v>
      </c>
      <c r="K152">
        <v>0.2025629516774938</v>
      </c>
      <c r="L152" t="s">
        <v>158</v>
      </c>
      <c r="N152" t="s">
        <v>305</v>
      </c>
      <c r="O152" t="s">
        <v>465</v>
      </c>
      <c r="P152">
        <v>3.7970986214540862E-2</v>
      </c>
      <c r="Q152" t="s">
        <v>158</v>
      </c>
      <c r="S152" t="s">
        <v>419</v>
      </c>
      <c r="T152" t="s">
        <v>465</v>
      </c>
      <c r="U152">
        <v>0.10765486015663212</v>
      </c>
      <c r="V152" t="s">
        <v>158</v>
      </c>
    </row>
    <row r="153" spans="9:22" x14ac:dyDescent="0.45">
      <c r="I153" t="s">
        <v>169</v>
      </c>
      <c r="J153" t="s">
        <v>466</v>
      </c>
      <c r="K153">
        <v>0</v>
      </c>
      <c r="L153" t="s">
        <v>158</v>
      </c>
      <c r="N153" t="s">
        <v>305</v>
      </c>
      <c r="O153" t="s">
        <v>466</v>
      </c>
      <c r="P153">
        <v>6.3152426233683681E-2</v>
      </c>
      <c r="Q153" t="s">
        <v>158</v>
      </c>
      <c r="S153" t="s">
        <v>419</v>
      </c>
      <c r="T153" t="s">
        <v>466</v>
      </c>
      <c r="U153">
        <v>0.11488611264331365</v>
      </c>
      <c r="V153" t="s">
        <v>158</v>
      </c>
    </row>
    <row r="154" spans="9:22" x14ac:dyDescent="0.45">
      <c r="I154" t="s">
        <v>169</v>
      </c>
      <c r="J154" t="s">
        <v>467</v>
      </c>
      <c r="K154">
        <v>1.0784832709234653E-2</v>
      </c>
      <c r="L154" t="s">
        <v>158</v>
      </c>
      <c r="N154" t="s">
        <v>305</v>
      </c>
      <c r="O154" t="s">
        <v>467</v>
      </c>
      <c r="P154">
        <v>1.1733831685345357E-2</v>
      </c>
      <c r="Q154" t="s">
        <v>158</v>
      </c>
      <c r="S154" t="s">
        <v>419</v>
      </c>
      <c r="T154" t="s">
        <v>467</v>
      </c>
      <c r="U154">
        <v>1.729415095285286E-2</v>
      </c>
      <c r="V154" t="s">
        <v>158</v>
      </c>
    </row>
    <row r="155" spans="9:22" x14ac:dyDescent="0.45">
      <c r="I155" t="s">
        <v>170</v>
      </c>
      <c r="J155" t="s">
        <v>456</v>
      </c>
      <c r="K155">
        <v>0.19048690604082674</v>
      </c>
      <c r="L155" t="s">
        <v>158</v>
      </c>
      <c r="N155" t="s">
        <v>306</v>
      </c>
      <c r="O155" t="s">
        <v>456</v>
      </c>
      <c r="P155">
        <v>7.2275862382257527E-2</v>
      </c>
      <c r="Q155" t="s">
        <v>158</v>
      </c>
      <c r="S155" t="s">
        <v>420</v>
      </c>
      <c r="T155" t="s">
        <v>456</v>
      </c>
      <c r="U155">
        <v>0.14710306608620891</v>
      </c>
      <c r="V155" t="s">
        <v>158</v>
      </c>
    </row>
    <row r="156" spans="9:22" x14ac:dyDescent="0.45">
      <c r="I156" t="s">
        <v>170</v>
      </c>
      <c r="J156" t="s">
        <v>457</v>
      </c>
      <c r="K156">
        <v>0</v>
      </c>
      <c r="L156" t="s">
        <v>158</v>
      </c>
      <c r="N156" t="s">
        <v>306</v>
      </c>
      <c r="O156" t="s">
        <v>457</v>
      </c>
      <c r="P156">
        <v>0.11751062951066692</v>
      </c>
      <c r="Q156" t="s">
        <v>158</v>
      </c>
      <c r="S156" t="s">
        <v>420</v>
      </c>
      <c r="T156" t="s">
        <v>457</v>
      </c>
      <c r="U156">
        <v>0.13555180952089277</v>
      </c>
      <c r="V156" t="s">
        <v>158</v>
      </c>
    </row>
    <row r="157" spans="9:22" x14ac:dyDescent="0.45">
      <c r="I157" t="s">
        <v>170</v>
      </c>
      <c r="J157" t="s">
        <v>458</v>
      </c>
      <c r="K157">
        <v>1.135633319930582E-2</v>
      </c>
      <c r="L157" t="s">
        <v>158</v>
      </c>
      <c r="N157" t="s">
        <v>306</v>
      </c>
      <c r="O157" t="s">
        <v>458</v>
      </c>
      <c r="P157">
        <v>1.8736747327778015E-2</v>
      </c>
      <c r="Q157" t="s">
        <v>158</v>
      </c>
      <c r="S157" t="s">
        <v>420</v>
      </c>
      <c r="T157" t="s">
        <v>458</v>
      </c>
      <c r="U157">
        <v>2.1332927079467406E-2</v>
      </c>
      <c r="V157" t="s">
        <v>158</v>
      </c>
    </row>
    <row r="158" spans="9:22" x14ac:dyDescent="0.45">
      <c r="I158" t="s">
        <v>170</v>
      </c>
      <c r="J158" t="s">
        <v>459</v>
      </c>
      <c r="K158">
        <v>0.26038465546411749</v>
      </c>
      <c r="L158" t="s">
        <v>158</v>
      </c>
      <c r="N158" t="s">
        <v>306</v>
      </c>
      <c r="O158" t="s">
        <v>459</v>
      </c>
      <c r="P158">
        <v>0.11327259930014019</v>
      </c>
      <c r="Q158" t="s">
        <v>158</v>
      </c>
      <c r="S158" t="s">
        <v>420</v>
      </c>
      <c r="T158" t="s">
        <v>459</v>
      </c>
      <c r="U158">
        <v>0.10655152995848714</v>
      </c>
      <c r="V158" t="s">
        <v>158</v>
      </c>
    </row>
    <row r="159" spans="9:22" x14ac:dyDescent="0.45">
      <c r="I159" t="s">
        <v>170</v>
      </c>
      <c r="J159" t="s">
        <v>460</v>
      </c>
      <c r="K159">
        <v>8.9945874326427403E-4</v>
      </c>
      <c r="L159" t="s">
        <v>158</v>
      </c>
      <c r="N159" t="s">
        <v>306</v>
      </c>
      <c r="O159" t="s">
        <v>460</v>
      </c>
      <c r="P159">
        <v>0.21718594228640214</v>
      </c>
      <c r="Q159" t="s">
        <v>158</v>
      </c>
      <c r="S159" t="s">
        <v>420</v>
      </c>
      <c r="T159" t="s">
        <v>460</v>
      </c>
      <c r="U159">
        <v>0.11109990832179688</v>
      </c>
      <c r="V159" t="s">
        <v>158</v>
      </c>
    </row>
    <row r="160" spans="9:22" x14ac:dyDescent="0.45">
      <c r="I160" t="s">
        <v>170</v>
      </c>
      <c r="J160" t="s">
        <v>461</v>
      </c>
      <c r="K160">
        <v>2.697278642041764E-2</v>
      </c>
      <c r="L160" t="s">
        <v>158</v>
      </c>
      <c r="N160" t="s">
        <v>306</v>
      </c>
      <c r="O160" t="s">
        <v>461</v>
      </c>
      <c r="P160">
        <v>2.6494084755423138E-2</v>
      </c>
      <c r="Q160" t="s">
        <v>158</v>
      </c>
      <c r="S160" t="s">
        <v>420</v>
      </c>
      <c r="T160" t="s">
        <v>461</v>
      </c>
      <c r="U160">
        <v>1.8713600736471402E-2</v>
      </c>
      <c r="V160" t="s">
        <v>158</v>
      </c>
    </row>
    <row r="161" spans="9:22" x14ac:dyDescent="0.45">
      <c r="I161" t="s">
        <v>170</v>
      </c>
      <c r="J161" t="s">
        <v>462</v>
      </c>
      <c r="K161">
        <v>0.29566265545848125</v>
      </c>
      <c r="L161" t="s">
        <v>158</v>
      </c>
      <c r="N161" t="s">
        <v>306</v>
      </c>
      <c r="O161" t="s">
        <v>462</v>
      </c>
      <c r="P161">
        <v>0.1006191123774703</v>
      </c>
      <c r="Q161" t="s">
        <v>158</v>
      </c>
      <c r="S161" t="s">
        <v>420</v>
      </c>
      <c r="T161" t="s">
        <v>462</v>
      </c>
      <c r="U161">
        <v>8.6012952027647999E-2</v>
      </c>
      <c r="V161" t="s">
        <v>158</v>
      </c>
    </row>
    <row r="162" spans="9:22" x14ac:dyDescent="0.45">
      <c r="I162" t="s">
        <v>170</v>
      </c>
      <c r="J162" t="s">
        <v>463</v>
      </c>
      <c r="K162">
        <v>4.2959811083450776E-3</v>
      </c>
      <c r="L162" t="s">
        <v>158</v>
      </c>
      <c r="N162" t="s">
        <v>306</v>
      </c>
      <c r="O162" t="s">
        <v>463</v>
      </c>
      <c r="P162">
        <v>0.22149598023054631</v>
      </c>
      <c r="Q162" t="s">
        <v>158</v>
      </c>
      <c r="S162" t="s">
        <v>420</v>
      </c>
      <c r="T162" t="s">
        <v>463</v>
      </c>
      <c r="U162">
        <v>9.9036039235166087E-2</v>
      </c>
      <c r="V162" t="s">
        <v>158</v>
      </c>
    </row>
    <row r="163" spans="9:22" x14ac:dyDescent="0.45">
      <c r="I163" t="s">
        <v>170</v>
      </c>
      <c r="J163" t="s">
        <v>464</v>
      </c>
      <c r="K163">
        <v>3.3003411965890107E-2</v>
      </c>
      <c r="L163" t="s">
        <v>158</v>
      </c>
      <c r="N163" t="s">
        <v>306</v>
      </c>
      <c r="O163" t="s">
        <v>464</v>
      </c>
      <c r="P163">
        <v>2.46352343604689E-2</v>
      </c>
      <c r="Q163" t="s">
        <v>158</v>
      </c>
      <c r="S163" t="s">
        <v>420</v>
      </c>
      <c r="T163" t="s">
        <v>464</v>
      </c>
      <c r="U163">
        <v>1.467463072209136E-2</v>
      </c>
      <c r="V163" t="s">
        <v>158</v>
      </c>
    </row>
    <row r="164" spans="9:22" x14ac:dyDescent="0.45">
      <c r="I164" t="s">
        <v>170</v>
      </c>
      <c r="J164" t="s">
        <v>465</v>
      </c>
      <c r="K164">
        <v>0.1701181069193258</v>
      </c>
      <c r="L164" t="s">
        <v>158</v>
      </c>
      <c r="N164" t="s">
        <v>306</v>
      </c>
      <c r="O164" t="s">
        <v>465</v>
      </c>
      <c r="P164">
        <v>2.7731618743559821E-2</v>
      </c>
      <c r="Q164" t="s">
        <v>158</v>
      </c>
      <c r="S164" t="s">
        <v>420</v>
      </c>
      <c r="T164" t="s">
        <v>465</v>
      </c>
      <c r="U164">
        <v>0.12438098991484298</v>
      </c>
      <c r="V164" t="s">
        <v>158</v>
      </c>
    </row>
    <row r="165" spans="9:22" x14ac:dyDescent="0.45">
      <c r="I165" t="s">
        <v>170</v>
      </c>
      <c r="J165" t="s">
        <v>466</v>
      </c>
      <c r="K165">
        <v>0</v>
      </c>
      <c r="L165" t="s">
        <v>158</v>
      </c>
      <c r="N165" t="s">
        <v>306</v>
      </c>
      <c r="O165" t="s">
        <v>466</v>
      </c>
      <c r="P165">
        <v>5.3436132397105374E-2</v>
      </c>
      <c r="Q165" t="s">
        <v>158</v>
      </c>
      <c r="S165" t="s">
        <v>420</v>
      </c>
      <c r="T165" t="s">
        <v>466</v>
      </c>
      <c r="U165">
        <v>0.11933748450515051</v>
      </c>
      <c r="V165" t="s">
        <v>158</v>
      </c>
    </row>
    <row r="166" spans="9:22" x14ac:dyDescent="0.45">
      <c r="I166" t="s">
        <v>170</v>
      </c>
      <c r="J166" t="s">
        <v>467</v>
      </c>
      <c r="K166">
        <v>6.8197046800243999E-3</v>
      </c>
      <c r="L166" t="s">
        <v>158</v>
      </c>
      <c r="N166" t="s">
        <v>306</v>
      </c>
      <c r="O166" t="s">
        <v>467</v>
      </c>
      <c r="P166">
        <v>6.606056328178316E-3</v>
      </c>
      <c r="Q166" t="s">
        <v>158</v>
      </c>
      <c r="S166" t="s">
        <v>420</v>
      </c>
      <c r="T166" t="s">
        <v>467</v>
      </c>
      <c r="U166">
        <v>1.6205061891773464E-2</v>
      </c>
      <c r="V166" t="s">
        <v>158</v>
      </c>
    </row>
    <row r="167" spans="9:22" x14ac:dyDescent="0.45">
      <c r="I167" t="s">
        <v>171</v>
      </c>
      <c r="J167" t="s">
        <v>456</v>
      </c>
      <c r="K167">
        <v>0.19806696854763403</v>
      </c>
      <c r="L167" t="s">
        <v>158</v>
      </c>
      <c r="N167" t="s">
        <v>307</v>
      </c>
      <c r="O167" t="s">
        <v>456</v>
      </c>
      <c r="P167">
        <v>8.6491317485902108E-2</v>
      </c>
      <c r="Q167" t="s">
        <v>158</v>
      </c>
      <c r="S167" t="s">
        <v>421</v>
      </c>
      <c r="T167" t="s">
        <v>456</v>
      </c>
      <c r="U167">
        <v>0.15625985244975063</v>
      </c>
      <c r="V167" t="s">
        <v>158</v>
      </c>
    </row>
    <row r="168" spans="9:22" x14ac:dyDescent="0.45">
      <c r="I168" t="s">
        <v>171</v>
      </c>
      <c r="J168" t="s">
        <v>457</v>
      </c>
      <c r="K168">
        <v>0</v>
      </c>
      <c r="L168" t="s">
        <v>158</v>
      </c>
      <c r="N168" t="s">
        <v>307</v>
      </c>
      <c r="O168" t="s">
        <v>457</v>
      </c>
      <c r="P168">
        <v>0.12624743759073018</v>
      </c>
      <c r="Q168" t="s">
        <v>158</v>
      </c>
      <c r="S168" t="s">
        <v>421</v>
      </c>
      <c r="T168" t="s">
        <v>457</v>
      </c>
      <c r="U168">
        <v>0.13810871027247723</v>
      </c>
      <c r="V168" t="s">
        <v>158</v>
      </c>
    </row>
    <row r="169" spans="9:22" x14ac:dyDescent="0.45">
      <c r="I169" t="s">
        <v>171</v>
      </c>
      <c r="J169" t="s">
        <v>458</v>
      </c>
      <c r="K169">
        <v>1.1707018157887951E-2</v>
      </c>
      <c r="L169" t="s">
        <v>158</v>
      </c>
      <c r="N169" t="s">
        <v>307</v>
      </c>
      <c r="O169" t="s">
        <v>458</v>
      </c>
      <c r="P169">
        <v>1.6391823098812677E-2</v>
      </c>
      <c r="Q169" t="s">
        <v>158</v>
      </c>
      <c r="S169" t="s">
        <v>421</v>
      </c>
      <c r="T169" t="s">
        <v>458</v>
      </c>
      <c r="U169">
        <v>2.3204621802491446E-2</v>
      </c>
      <c r="V169" t="s">
        <v>158</v>
      </c>
    </row>
    <row r="170" spans="9:22" x14ac:dyDescent="0.45">
      <c r="I170" t="s">
        <v>171</v>
      </c>
      <c r="J170" t="s">
        <v>459</v>
      </c>
      <c r="K170">
        <v>0.26679949321810081</v>
      </c>
      <c r="L170" t="s">
        <v>158</v>
      </c>
      <c r="N170" t="s">
        <v>307</v>
      </c>
      <c r="O170" t="s">
        <v>459</v>
      </c>
      <c r="P170">
        <v>0.12145697697113315</v>
      </c>
      <c r="Q170" t="s">
        <v>158</v>
      </c>
      <c r="S170" t="s">
        <v>421</v>
      </c>
      <c r="T170" t="s">
        <v>459</v>
      </c>
      <c r="U170">
        <v>9.1876658715753998E-2</v>
      </c>
      <c r="V170" t="s">
        <v>158</v>
      </c>
    </row>
    <row r="171" spans="9:22" x14ac:dyDescent="0.45">
      <c r="I171" t="s">
        <v>171</v>
      </c>
      <c r="J171" t="s">
        <v>460</v>
      </c>
      <c r="K171">
        <v>9.027559742230644E-4</v>
      </c>
      <c r="L171" t="s">
        <v>158</v>
      </c>
      <c r="N171" t="s">
        <v>307</v>
      </c>
      <c r="O171" t="s">
        <v>460</v>
      </c>
      <c r="P171">
        <v>0.17495797796732154</v>
      </c>
      <c r="Q171" t="s">
        <v>158</v>
      </c>
      <c r="S171" t="s">
        <v>421</v>
      </c>
      <c r="T171" t="s">
        <v>460</v>
      </c>
      <c r="U171">
        <v>9.5476366854987338E-2</v>
      </c>
      <c r="V171" t="s">
        <v>158</v>
      </c>
    </row>
    <row r="172" spans="9:22" x14ac:dyDescent="0.45">
      <c r="I172" t="s">
        <v>171</v>
      </c>
      <c r="J172" t="s">
        <v>461</v>
      </c>
      <c r="K172">
        <v>2.6894762601871975E-2</v>
      </c>
      <c r="L172" t="s">
        <v>158</v>
      </c>
      <c r="N172" t="s">
        <v>307</v>
      </c>
      <c r="O172" t="s">
        <v>461</v>
      </c>
      <c r="P172">
        <v>2.1004023611971231E-2</v>
      </c>
      <c r="Q172" t="s">
        <v>158</v>
      </c>
      <c r="S172" t="s">
        <v>421</v>
      </c>
      <c r="T172" t="s">
        <v>461</v>
      </c>
      <c r="U172">
        <v>1.4754995166191697E-2</v>
      </c>
      <c r="V172" t="s">
        <v>158</v>
      </c>
    </row>
    <row r="173" spans="9:22" x14ac:dyDescent="0.45">
      <c r="I173" t="s">
        <v>171</v>
      </c>
      <c r="J173" t="s">
        <v>462</v>
      </c>
      <c r="K173">
        <v>0.26312815007671209</v>
      </c>
      <c r="L173" t="s">
        <v>158</v>
      </c>
      <c r="N173" t="s">
        <v>307</v>
      </c>
      <c r="O173" t="s">
        <v>462</v>
      </c>
      <c r="P173">
        <v>0.12043467051485465</v>
      </c>
      <c r="Q173" t="s">
        <v>158</v>
      </c>
      <c r="S173" t="s">
        <v>421</v>
      </c>
      <c r="T173" t="s">
        <v>462</v>
      </c>
      <c r="U173">
        <v>8.4525192651675157E-2</v>
      </c>
      <c r="V173" t="s">
        <v>158</v>
      </c>
    </row>
    <row r="174" spans="9:22" x14ac:dyDescent="0.45">
      <c r="I174" t="s">
        <v>171</v>
      </c>
      <c r="J174" t="s">
        <v>463</v>
      </c>
      <c r="K174">
        <v>3.9592311007315036E-3</v>
      </c>
      <c r="L174" t="s">
        <v>158</v>
      </c>
      <c r="N174" t="s">
        <v>307</v>
      </c>
      <c r="O174" t="s">
        <v>463</v>
      </c>
      <c r="P174">
        <v>0.18812025227324178</v>
      </c>
      <c r="Q174" t="s">
        <v>158</v>
      </c>
      <c r="S174" t="s">
        <v>421</v>
      </c>
      <c r="T174" t="s">
        <v>463</v>
      </c>
      <c r="U174">
        <v>9.5604698797670765E-2</v>
      </c>
      <c r="V174" t="s">
        <v>158</v>
      </c>
    </row>
    <row r="175" spans="9:22" x14ac:dyDescent="0.45">
      <c r="I175" t="s">
        <v>171</v>
      </c>
      <c r="J175" t="s">
        <v>464</v>
      </c>
      <c r="K175">
        <v>3.005384032246055E-2</v>
      </c>
      <c r="L175" t="s">
        <v>158</v>
      </c>
      <c r="N175" t="s">
        <v>307</v>
      </c>
      <c r="O175" t="s">
        <v>464</v>
      </c>
      <c r="P175">
        <v>1.9981283790011444E-2</v>
      </c>
      <c r="Q175" t="s">
        <v>158</v>
      </c>
      <c r="S175" t="s">
        <v>421</v>
      </c>
      <c r="T175" t="s">
        <v>464</v>
      </c>
      <c r="U175">
        <v>1.3856352507964291E-2</v>
      </c>
      <c r="V175" t="s">
        <v>158</v>
      </c>
    </row>
    <row r="176" spans="9:22" x14ac:dyDescent="0.45">
      <c r="I176" t="s">
        <v>171</v>
      </c>
      <c r="J176" t="s">
        <v>465</v>
      </c>
      <c r="K176">
        <v>0.18986769168378217</v>
      </c>
      <c r="L176" t="s">
        <v>158</v>
      </c>
      <c r="N176" t="s">
        <v>307</v>
      </c>
      <c r="O176" t="s">
        <v>465</v>
      </c>
      <c r="P176">
        <v>4.9005885885958167E-2</v>
      </c>
      <c r="Q176" t="s">
        <v>158</v>
      </c>
      <c r="S176" t="s">
        <v>421</v>
      </c>
      <c r="T176" t="s">
        <v>465</v>
      </c>
      <c r="U176">
        <v>0.13951698231554729</v>
      </c>
      <c r="V176" t="s">
        <v>158</v>
      </c>
    </row>
    <row r="177" spans="9:22" x14ac:dyDescent="0.45">
      <c r="I177" t="s">
        <v>171</v>
      </c>
      <c r="J177" t="s">
        <v>466</v>
      </c>
      <c r="K177">
        <v>0</v>
      </c>
      <c r="L177" t="s">
        <v>158</v>
      </c>
      <c r="N177" t="s">
        <v>307</v>
      </c>
      <c r="O177" t="s">
        <v>466</v>
      </c>
      <c r="P177">
        <v>6.6264569618577282E-2</v>
      </c>
      <c r="Q177" t="s">
        <v>158</v>
      </c>
      <c r="S177" t="s">
        <v>421</v>
      </c>
      <c r="T177" t="s">
        <v>466</v>
      </c>
      <c r="U177">
        <v>0.12852338701502175</v>
      </c>
      <c r="V177" t="s">
        <v>158</v>
      </c>
    </row>
    <row r="178" spans="9:22" x14ac:dyDescent="0.45">
      <c r="I178" t="s">
        <v>171</v>
      </c>
      <c r="J178" t="s">
        <v>467</v>
      </c>
      <c r="K178">
        <v>8.6200883165976835E-3</v>
      </c>
      <c r="L178" t="s">
        <v>158</v>
      </c>
      <c r="N178" t="s">
        <v>307</v>
      </c>
      <c r="O178" t="s">
        <v>467</v>
      </c>
      <c r="P178">
        <v>9.6437811914810677E-3</v>
      </c>
      <c r="Q178" t="s">
        <v>158</v>
      </c>
      <c r="S178" t="s">
        <v>421</v>
      </c>
      <c r="T178" t="s">
        <v>467</v>
      </c>
      <c r="U178">
        <v>1.829218145046832E-2</v>
      </c>
      <c r="V178" t="s">
        <v>158</v>
      </c>
    </row>
    <row r="179" spans="9:22" x14ac:dyDescent="0.45">
      <c r="I179" t="s">
        <v>172</v>
      </c>
      <c r="J179" t="s">
        <v>456</v>
      </c>
      <c r="K179">
        <v>0.17342469318598505</v>
      </c>
      <c r="L179" t="s">
        <v>158</v>
      </c>
      <c r="N179" t="s">
        <v>308</v>
      </c>
      <c r="O179" t="s">
        <v>456</v>
      </c>
      <c r="P179">
        <v>7.7214934654527945E-2</v>
      </c>
      <c r="Q179" t="s">
        <v>158</v>
      </c>
      <c r="S179" t="s">
        <v>422</v>
      </c>
      <c r="T179" t="s">
        <v>456</v>
      </c>
      <c r="U179">
        <v>0.15242891174486128</v>
      </c>
      <c r="V179" t="s">
        <v>158</v>
      </c>
    </row>
    <row r="180" spans="9:22" x14ac:dyDescent="0.45">
      <c r="I180" t="s">
        <v>172</v>
      </c>
      <c r="J180" t="s">
        <v>457</v>
      </c>
      <c r="K180">
        <v>0</v>
      </c>
      <c r="L180" t="s">
        <v>158</v>
      </c>
      <c r="N180" t="s">
        <v>308</v>
      </c>
      <c r="O180" t="s">
        <v>457</v>
      </c>
      <c r="P180">
        <v>0.10305363239015616</v>
      </c>
      <c r="Q180" t="s">
        <v>158</v>
      </c>
      <c r="S180" t="s">
        <v>422</v>
      </c>
      <c r="T180" t="s">
        <v>457</v>
      </c>
      <c r="U180">
        <v>0.15040652494059786</v>
      </c>
      <c r="V180" t="s">
        <v>158</v>
      </c>
    </row>
    <row r="181" spans="9:22" x14ac:dyDescent="0.45">
      <c r="I181" t="s">
        <v>172</v>
      </c>
      <c r="J181" t="s">
        <v>458</v>
      </c>
      <c r="K181">
        <v>1.1747300916777193E-2</v>
      </c>
      <c r="L181" t="s">
        <v>158</v>
      </c>
      <c r="N181" t="s">
        <v>308</v>
      </c>
      <c r="O181" t="s">
        <v>458</v>
      </c>
      <c r="P181">
        <v>1.9652436361256728E-2</v>
      </c>
      <c r="Q181" t="s">
        <v>158</v>
      </c>
      <c r="S181" t="s">
        <v>422</v>
      </c>
      <c r="T181" t="s">
        <v>458</v>
      </c>
      <c r="U181">
        <v>2.5314179243723596E-2</v>
      </c>
      <c r="V181" t="s">
        <v>158</v>
      </c>
    </row>
    <row r="182" spans="9:22" x14ac:dyDescent="0.45">
      <c r="I182" t="s">
        <v>172</v>
      </c>
      <c r="J182" t="s">
        <v>459</v>
      </c>
      <c r="K182">
        <v>0.26470425508406964</v>
      </c>
      <c r="L182" t="s">
        <v>158</v>
      </c>
      <c r="N182" t="s">
        <v>308</v>
      </c>
      <c r="O182" t="s">
        <v>459</v>
      </c>
      <c r="P182">
        <v>0.12595833987621677</v>
      </c>
      <c r="Q182" t="s">
        <v>158</v>
      </c>
      <c r="S182" t="s">
        <v>422</v>
      </c>
      <c r="T182" t="s">
        <v>459</v>
      </c>
      <c r="U182">
        <v>7.1828216715639118E-2</v>
      </c>
      <c r="V182" t="s">
        <v>158</v>
      </c>
    </row>
    <row r="183" spans="9:22" x14ac:dyDescent="0.45">
      <c r="I183" t="s">
        <v>172</v>
      </c>
      <c r="J183" t="s">
        <v>460</v>
      </c>
      <c r="K183">
        <v>1.2211614323038146E-3</v>
      </c>
      <c r="L183" t="s">
        <v>158</v>
      </c>
      <c r="N183" t="s">
        <v>308</v>
      </c>
      <c r="O183" t="s">
        <v>460</v>
      </c>
      <c r="P183">
        <v>0.2042087746242065</v>
      </c>
      <c r="Q183" t="s">
        <v>158</v>
      </c>
      <c r="S183" t="s">
        <v>422</v>
      </c>
      <c r="T183" t="s">
        <v>460</v>
      </c>
      <c r="U183">
        <v>7.9395944696759063E-2</v>
      </c>
      <c r="V183" t="s">
        <v>158</v>
      </c>
    </row>
    <row r="184" spans="9:22" x14ac:dyDescent="0.45">
      <c r="I184" t="s">
        <v>172</v>
      </c>
      <c r="J184" t="s">
        <v>461</v>
      </c>
      <c r="K184">
        <v>2.803824036341649E-2</v>
      </c>
      <c r="L184" t="s">
        <v>158</v>
      </c>
      <c r="N184" t="s">
        <v>308</v>
      </c>
      <c r="O184" t="s">
        <v>461</v>
      </c>
      <c r="P184">
        <v>3.0039807391128902E-2</v>
      </c>
      <c r="Q184" t="s">
        <v>158</v>
      </c>
      <c r="S184" t="s">
        <v>422</v>
      </c>
      <c r="T184" t="s">
        <v>461</v>
      </c>
      <c r="U184">
        <v>1.1753934241123856E-2</v>
      </c>
      <c r="V184" t="s">
        <v>158</v>
      </c>
    </row>
    <row r="185" spans="9:22" x14ac:dyDescent="0.45">
      <c r="I185" t="s">
        <v>172</v>
      </c>
      <c r="J185" t="s">
        <v>462</v>
      </c>
      <c r="K185">
        <v>0.30794378156214269</v>
      </c>
      <c r="L185" t="s">
        <v>158</v>
      </c>
      <c r="N185" t="s">
        <v>308</v>
      </c>
      <c r="O185" t="s">
        <v>462</v>
      </c>
      <c r="P185">
        <v>0.11660811318365917</v>
      </c>
      <c r="Q185" t="s">
        <v>158</v>
      </c>
      <c r="S185" t="s">
        <v>422</v>
      </c>
      <c r="T185" t="s">
        <v>462</v>
      </c>
      <c r="U185">
        <v>8.6381693004510415E-2</v>
      </c>
      <c r="V185" t="s">
        <v>158</v>
      </c>
    </row>
    <row r="186" spans="9:22" x14ac:dyDescent="0.45">
      <c r="I186" t="s">
        <v>172</v>
      </c>
      <c r="J186" t="s">
        <v>463</v>
      </c>
      <c r="K186">
        <v>5.1735873204894339E-3</v>
      </c>
      <c r="L186" t="s">
        <v>158</v>
      </c>
      <c r="N186" t="s">
        <v>308</v>
      </c>
      <c r="O186" t="s">
        <v>463</v>
      </c>
      <c r="P186">
        <v>0.20904779752266051</v>
      </c>
      <c r="Q186" t="s">
        <v>158</v>
      </c>
      <c r="S186" t="s">
        <v>422</v>
      </c>
      <c r="T186" t="s">
        <v>463</v>
      </c>
      <c r="U186">
        <v>9.4750897433955636E-2</v>
      </c>
      <c r="V186" t="s">
        <v>158</v>
      </c>
    </row>
    <row r="187" spans="9:22" x14ac:dyDescent="0.45">
      <c r="I187" t="s">
        <v>172</v>
      </c>
      <c r="J187" t="s">
        <v>464</v>
      </c>
      <c r="K187">
        <v>3.5028034429896313E-2</v>
      </c>
      <c r="L187" t="s">
        <v>158</v>
      </c>
      <c r="N187" t="s">
        <v>308</v>
      </c>
      <c r="O187" t="s">
        <v>464</v>
      </c>
      <c r="P187">
        <v>3.5015563998990244E-2</v>
      </c>
      <c r="Q187" t="s">
        <v>158</v>
      </c>
      <c r="S187" t="s">
        <v>422</v>
      </c>
      <c r="T187" t="s">
        <v>464</v>
      </c>
      <c r="U187">
        <v>1.3767943409560909E-2</v>
      </c>
      <c r="V187" t="s">
        <v>158</v>
      </c>
    </row>
    <row r="188" spans="9:22" x14ac:dyDescent="0.45">
      <c r="I188" t="s">
        <v>172</v>
      </c>
      <c r="J188" t="s">
        <v>465</v>
      </c>
      <c r="K188">
        <v>0.16510399715209248</v>
      </c>
      <c r="L188" t="s">
        <v>158</v>
      </c>
      <c r="N188" t="s">
        <v>308</v>
      </c>
      <c r="O188" t="s">
        <v>465</v>
      </c>
      <c r="P188">
        <v>2.892071549967554E-2</v>
      </c>
      <c r="Q188" t="s">
        <v>158</v>
      </c>
      <c r="S188" t="s">
        <v>422</v>
      </c>
      <c r="T188" t="s">
        <v>465</v>
      </c>
      <c r="U188">
        <v>0.14960845423160921</v>
      </c>
      <c r="V188" t="s">
        <v>158</v>
      </c>
    </row>
    <row r="189" spans="9:22" x14ac:dyDescent="0.45">
      <c r="I189" t="s">
        <v>172</v>
      </c>
      <c r="J189" t="s">
        <v>466</v>
      </c>
      <c r="K189">
        <v>0</v>
      </c>
      <c r="L189" t="s">
        <v>158</v>
      </c>
      <c r="N189" t="s">
        <v>308</v>
      </c>
      <c r="O189" t="s">
        <v>466</v>
      </c>
      <c r="P189">
        <v>4.2140928993364336E-2</v>
      </c>
      <c r="Q189" t="s">
        <v>158</v>
      </c>
      <c r="S189" t="s">
        <v>422</v>
      </c>
      <c r="T189" t="s">
        <v>466</v>
      </c>
      <c r="U189">
        <v>0.14090938166612194</v>
      </c>
      <c r="V189" t="s">
        <v>158</v>
      </c>
    </row>
    <row r="190" spans="9:22" x14ac:dyDescent="0.45">
      <c r="I190" t="s">
        <v>172</v>
      </c>
      <c r="J190" t="s">
        <v>467</v>
      </c>
      <c r="K190">
        <v>7.6149485528269967E-3</v>
      </c>
      <c r="L190" t="s">
        <v>158</v>
      </c>
      <c r="N190" t="s">
        <v>308</v>
      </c>
      <c r="O190" t="s">
        <v>467</v>
      </c>
      <c r="P190">
        <v>8.1389555041552156E-3</v>
      </c>
      <c r="Q190" t="s">
        <v>158</v>
      </c>
      <c r="S190" t="s">
        <v>422</v>
      </c>
      <c r="T190" t="s">
        <v>467</v>
      </c>
      <c r="U190">
        <v>2.3453918671538683E-2</v>
      </c>
      <c r="V190" t="s">
        <v>158</v>
      </c>
    </row>
    <row r="191" spans="9:22" x14ac:dyDescent="0.45">
      <c r="I191" t="s">
        <v>173</v>
      </c>
      <c r="J191" t="s">
        <v>456</v>
      </c>
      <c r="K191">
        <v>0.15711115450498014</v>
      </c>
      <c r="L191" t="s">
        <v>158</v>
      </c>
      <c r="N191" t="s">
        <v>309</v>
      </c>
      <c r="O191" t="s">
        <v>456</v>
      </c>
      <c r="P191">
        <v>0.10881268752132253</v>
      </c>
      <c r="Q191" t="s">
        <v>158</v>
      </c>
      <c r="S191" t="s">
        <v>423</v>
      </c>
      <c r="T191" t="s">
        <v>456</v>
      </c>
      <c r="U191">
        <v>0.1544607926550027</v>
      </c>
      <c r="V191" t="s">
        <v>158</v>
      </c>
    </row>
    <row r="192" spans="9:22" x14ac:dyDescent="0.45">
      <c r="I192" t="s">
        <v>173</v>
      </c>
      <c r="J192" t="s">
        <v>457</v>
      </c>
      <c r="K192">
        <v>0</v>
      </c>
      <c r="L192" t="s">
        <v>158</v>
      </c>
      <c r="N192" t="s">
        <v>309</v>
      </c>
      <c r="O192" t="s">
        <v>457</v>
      </c>
      <c r="P192">
        <v>0.12431938129663435</v>
      </c>
      <c r="Q192" t="s">
        <v>158</v>
      </c>
      <c r="S192" t="s">
        <v>423</v>
      </c>
      <c r="T192" t="s">
        <v>457</v>
      </c>
      <c r="U192">
        <v>0.14412709247034391</v>
      </c>
      <c r="V192" t="s">
        <v>158</v>
      </c>
    </row>
    <row r="193" spans="9:22" x14ac:dyDescent="0.45">
      <c r="I193" t="s">
        <v>173</v>
      </c>
      <c r="J193" t="s">
        <v>458</v>
      </c>
      <c r="K193">
        <v>1.1503635651957465E-2</v>
      </c>
      <c r="L193" t="s">
        <v>158</v>
      </c>
      <c r="N193" t="s">
        <v>309</v>
      </c>
      <c r="O193" t="s">
        <v>458</v>
      </c>
      <c r="P193">
        <v>2.2123824655006553E-2</v>
      </c>
      <c r="Q193" t="s">
        <v>158</v>
      </c>
      <c r="S193" t="s">
        <v>423</v>
      </c>
      <c r="T193" t="s">
        <v>458</v>
      </c>
      <c r="U193">
        <v>2.4212282847614942E-2</v>
      </c>
      <c r="V193" t="s">
        <v>158</v>
      </c>
    </row>
    <row r="194" spans="9:22" x14ac:dyDescent="0.45">
      <c r="I194" t="s">
        <v>173</v>
      </c>
      <c r="J194" t="s">
        <v>459</v>
      </c>
      <c r="K194">
        <v>0.27088808838841505</v>
      </c>
      <c r="L194" t="s">
        <v>158</v>
      </c>
      <c r="N194" t="s">
        <v>309</v>
      </c>
      <c r="O194" t="s">
        <v>459</v>
      </c>
      <c r="P194">
        <v>0.13118610684964507</v>
      </c>
      <c r="Q194" t="s">
        <v>158</v>
      </c>
      <c r="S194" t="s">
        <v>423</v>
      </c>
      <c r="T194" t="s">
        <v>459</v>
      </c>
      <c r="U194">
        <v>7.3381483708471473E-2</v>
      </c>
      <c r="V194" t="s">
        <v>158</v>
      </c>
    </row>
    <row r="195" spans="9:22" x14ac:dyDescent="0.45">
      <c r="I195" t="s">
        <v>173</v>
      </c>
      <c r="J195" t="s">
        <v>460</v>
      </c>
      <c r="K195">
        <v>1.6087385694046107E-3</v>
      </c>
      <c r="L195" t="s">
        <v>158</v>
      </c>
      <c r="N195" t="s">
        <v>309</v>
      </c>
      <c r="O195" t="s">
        <v>460</v>
      </c>
      <c r="P195">
        <v>0.15838495734619504</v>
      </c>
      <c r="Q195" t="s">
        <v>158</v>
      </c>
      <c r="S195" t="s">
        <v>423</v>
      </c>
      <c r="T195" t="s">
        <v>460</v>
      </c>
      <c r="U195">
        <v>8.1915912306251337E-2</v>
      </c>
      <c r="V195" t="s">
        <v>158</v>
      </c>
    </row>
    <row r="196" spans="9:22" x14ac:dyDescent="0.45">
      <c r="I196" t="s">
        <v>173</v>
      </c>
      <c r="J196" t="s">
        <v>461</v>
      </c>
      <c r="K196">
        <v>2.9359399051935107E-2</v>
      </c>
      <c r="L196" t="s">
        <v>158</v>
      </c>
      <c r="N196" t="s">
        <v>309</v>
      </c>
      <c r="O196" t="s">
        <v>461</v>
      </c>
      <c r="P196">
        <v>2.8586911914454768E-2</v>
      </c>
      <c r="Q196" t="s">
        <v>158</v>
      </c>
      <c r="S196" t="s">
        <v>423</v>
      </c>
      <c r="T196" t="s">
        <v>461</v>
      </c>
      <c r="U196">
        <v>1.1747606905205715E-2</v>
      </c>
      <c r="V196" t="s">
        <v>158</v>
      </c>
    </row>
    <row r="197" spans="9:22" x14ac:dyDescent="0.45">
      <c r="I197" t="s">
        <v>173</v>
      </c>
      <c r="J197" t="s">
        <v>462</v>
      </c>
      <c r="K197">
        <v>0.3004626618232708</v>
      </c>
      <c r="L197" t="s">
        <v>158</v>
      </c>
      <c r="N197" t="s">
        <v>309</v>
      </c>
      <c r="O197" t="s">
        <v>462</v>
      </c>
      <c r="P197">
        <v>8.6627527440947885E-2</v>
      </c>
      <c r="Q197" t="s">
        <v>158</v>
      </c>
      <c r="S197" t="s">
        <v>423</v>
      </c>
      <c r="T197" t="s">
        <v>462</v>
      </c>
      <c r="U197">
        <v>9.3011536699998204E-2</v>
      </c>
      <c r="V197" t="s">
        <v>158</v>
      </c>
    </row>
    <row r="198" spans="9:22" x14ac:dyDescent="0.45">
      <c r="I198" t="s">
        <v>173</v>
      </c>
      <c r="J198" t="s">
        <v>463</v>
      </c>
      <c r="K198">
        <v>5.8448877279428961E-3</v>
      </c>
      <c r="L198" t="s">
        <v>158</v>
      </c>
      <c r="N198" t="s">
        <v>309</v>
      </c>
      <c r="O198" t="s">
        <v>463</v>
      </c>
      <c r="P198">
        <v>0.11508790099356435</v>
      </c>
      <c r="Q198" t="s">
        <v>158</v>
      </c>
      <c r="S198" t="s">
        <v>423</v>
      </c>
      <c r="T198" t="s">
        <v>463</v>
      </c>
      <c r="U198">
        <v>0.10082556613744893</v>
      </c>
      <c r="V198" t="s">
        <v>158</v>
      </c>
    </row>
    <row r="199" spans="9:22" x14ac:dyDescent="0.45">
      <c r="I199" t="s">
        <v>173</v>
      </c>
      <c r="J199" t="s">
        <v>464</v>
      </c>
      <c r="K199">
        <v>3.7359283692198424E-2</v>
      </c>
      <c r="L199" t="s">
        <v>158</v>
      </c>
      <c r="N199" t="s">
        <v>309</v>
      </c>
      <c r="O199" t="s">
        <v>464</v>
      </c>
      <c r="P199">
        <v>1.9369310814121125E-2</v>
      </c>
      <c r="Q199" t="s">
        <v>158</v>
      </c>
      <c r="S199" t="s">
        <v>423</v>
      </c>
      <c r="T199" t="s">
        <v>464</v>
      </c>
      <c r="U199">
        <v>1.5262751317355149E-2</v>
      </c>
      <c r="V199" t="s">
        <v>158</v>
      </c>
    </row>
    <row r="200" spans="9:22" x14ac:dyDescent="0.45">
      <c r="I200" t="s">
        <v>173</v>
      </c>
      <c r="J200" t="s">
        <v>465</v>
      </c>
      <c r="K200">
        <v>0.17475593260190622</v>
      </c>
      <c r="L200" t="s">
        <v>158</v>
      </c>
      <c r="N200" t="s">
        <v>309</v>
      </c>
      <c r="O200" t="s">
        <v>465</v>
      </c>
      <c r="P200">
        <v>8.2958131452279232E-2</v>
      </c>
      <c r="Q200" t="s">
        <v>158</v>
      </c>
      <c r="S200" t="s">
        <v>423</v>
      </c>
      <c r="T200" t="s">
        <v>465</v>
      </c>
      <c r="U200">
        <v>0.14416115823447861</v>
      </c>
      <c r="V200" t="s">
        <v>158</v>
      </c>
    </row>
    <row r="201" spans="9:22" x14ac:dyDescent="0.45">
      <c r="I201" t="s">
        <v>173</v>
      </c>
      <c r="J201" t="s">
        <v>466</v>
      </c>
      <c r="K201">
        <v>0</v>
      </c>
      <c r="L201" t="s">
        <v>158</v>
      </c>
      <c r="N201" t="s">
        <v>309</v>
      </c>
      <c r="O201" t="s">
        <v>466</v>
      </c>
      <c r="P201">
        <v>0.10507396898461295</v>
      </c>
      <c r="Q201" t="s">
        <v>158</v>
      </c>
      <c r="S201" t="s">
        <v>423</v>
      </c>
      <c r="T201" t="s">
        <v>466</v>
      </c>
      <c r="U201">
        <v>0.13539197358807559</v>
      </c>
      <c r="V201" t="s">
        <v>158</v>
      </c>
    </row>
    <row r="202" spans="9:22" x14ac:dyDescent="0.45">
      <c r="I202" t="s">
        <v>173</v>
      </c>
      <c r="J202" t="s">
        <v>467</v>
      </c>
      <c r="K202">
        <v>1.110621798798834E-2</v>
      </c>
      <c r="L202" t="s">
        <v>158</v>
      </c>
      <c r="N202" t="s">
        <v>309</v>
      </c>
      <c r="O202" t="s">
        <v>467</v>
      </c>
      <c r="P202">
        <v>1.7469290731215861E-2</v>
      </c>
      <c r="Q202" t="s">
        <v>158</v>
      </c>
      <c r="S202" t="s">
        <v>423</v>
      </c>
      <c r="T202" t="s">
        <v>467</v>
      </c>
      <c r="U202">
        <v>2.1501843129752403E-2</v>
      </c>
      <c r="V202" t="s">
        <v>158</v>
      </c>
    </row>
    <row r="203" spans="9:22" x14ac:dyDescent="0.45">
      <c r="I203" t="s">
        <v>174</v>
      </c>
      <c r="J203" t="s">
        <v>456</v>
      </c>
      <c r="K203">
        <v>0.16520936021912366</v>
      </c>
      <c r="L203" t="s">
        <v>158</v>
      </c>
      <c r="N203" t="s">
        <v>310</v>
      </c>
      <c r="O203" t="s">
        <v>456</v>
      </c>
      <c r="P203">
        <v>9.4383333146925E-2</v>
      </c>
      <c r="Q203" t="s">
        <v>158</v>
      </c>
      <c r="S203" t="s">
        <v>424</v>
      </c>
      <c r="T203" t="s">
        <v>456</v>
      </c>
      <c r="U203">
        <v>0.12232224954186229</v>
      </c>
      <c r="V203" t="s">
        <v>158</v>
      </c>
    </row>
    <row r="204" spans="9:22" x14ac:dyDescent="0.45">
      <c r="I204" t="s">
        <v>174</v>
      </c>
      <c r="J204" t="s">
        <v>457</v>
      </c>
      <c r="K204">
        <v>0</v>
      </c>
      <c r="L204" t="s">
        <v>158</v>
      </c>
      <c r="N204" t="s">
        <v>310</v>
      </c>
      <c r="O204" t="s">
        <v>457</v>
      </c>
      <c r="P204">
        <v>0.11785024725111565</v>
      </c>
      <c r="Q204" t="s">
        <v>158</v>
      </c>
      <c r="S204" t="s">
        <v>424</v>
      </c>
      <c r="T204" t="s">
        <v>457</v>
      </c>
      <c r="U204">
        <v>0.11767446111919823</v>
      </c>
      <c r="V204" t="s">
        <v>158</v>
      </c>
    </row>
    <row r="205" spans="9:22" x14ac:dyDescent="0.45">
      <c r="I205" t="s">
        <v>174</v>
      </c>
      <c r="J205" t="s">
        <v>458</v>
      </c>
      <c r="K205">
        <v>1.204779007948935E-2</v>
      </c>
      <c r="L205" t="s">
        <v>158</v>
      </c>
      <c r="N205" t="s">
        <v>310</v>
      </c>
      <c r="O205" t="s">
        <v>458</v>
      </c>
      <c r="P205">
        <v>2.0514647425670829E-2</v>
      </c>
      <c r="Q205" t="s">
        <v>158</v>
      </c>
      <c r="S205" t="s">
        <v>424</v>
      </c>
      <c r="T205" t="s">
        <v>458</v>
      </c>
      <c r="U205">
        <v>2.0225006627291337E-2</v>
      </c>
      <c r="V205" t="s">
        <v>158</v>
      </c>
    </row>
    <row r="206" spans="9:22" x14ac:dyDescent="0.45">
      <c r="I206" t="s">
        <v>174</v>
      </c>
      <c r="J206" t="s">
        <v>459</v>
      </c>
      <c r="K206">
        <v>0.25409194522905021</v>
      </c>
      <c r="L206" t="s">
        <v>158</v>
      </c>
      <c r="N206" t="s">
        <v>310</v>
      </c>
      <c r="O206" t="s">
        <v>459</v>
      </c>
      <c r="P206">
        <v>0.1278740725438435</v>
      </c>
      <c r="Q206" t="s">
        <v>158</v>
      </c>
      <c r="S206" t="s">
        <v>424</v>
      </c>
      <c r="T206" t="s">
        <v>459</v>
      </c>
      <c r="U206">
        <v>6.4333341112093628E-2</v>
      </c>
      <c r="V206" t="s">
        <v>158</v>
      </c>
    </row>
    <row r="207" spans="9:22" x14ac:dyDescent="0.45">
      <c r="I207" t="s">
        <v>174</v>
      </c>
      <c r="J207" t="s">
        <v>460</v>
      </c>
      <c r="K207">
        <v>1.2010237544259959E-3</v>
      </c>
      <c r="L207" t="s">
        <v>158</v>
      </c>
      <c r="N207" t="s">
        <v>310</v>
      </c>
      <c r="O207" t="s">
        <v>460</v>
      </c>
      <c r="P207">
        <v>0.15978719675849667</v>
      </c>
      <c r="Q207" t="s">
        <v>158</v>
      </c>
      <c r="S207" t="s">
        <v>424</v>
      </c>
      <c r="T207" t="s">
        <v>460</v>
      </c>
      <c r="U207">
        <v>6.1952742977425049E-2</v>
      </c>
      <c r="V207" t="s">
        <v>158</v>
      </c>
    </row>
    <row r="208" spans="9:22" x14ac:dyDescent="0.45">
      <c r="I208" t="s">
        <v>174</v>
      </c>
      <c r="J208" t="s">
        <v>461</v>
      </c>
      <c r="K208">
        <v>2.6685746280985623E-2</v>
      </c>
      <c r="L208" t="s">
        <v>158</v>
      </c>
      <c r="N208" t="s">
        <v>310</v>
      </c>
      <c r="O208" t="s">
        <v>461</v>
      </c>
      <c r="P208">
        <v>2.908047032487842E-2</v>
      </c>
      <c r="Q208" t="s">
        <v>158</v>
      </c>
      <c r="S208" t="s">
        <v>424</v>
      </c>
      <c r="T208" t="s">
        <v>461</v>
      </c>
      <c r="U208">
        <v>9.7039551599620785E-3</v>
      </c>
      <c r="V208" t="s">
        <v>158</v>
      </c>
    </row>
    <row r="209" spans="9:22" x14ac:dyDescent="0.45">
      <c r="I209" t="s">
        <v>174</v>
      </c>
      <c r="J209" t="s">
        <v>462</v>
      </c>
      <c r="K209">
        <v>0.32458595211988667</v>
      </c>
      <c r="L209" t="s">
        <v>158</v>
      </c>
      <c r="N209" t="s">
        <v>310</v>
      </c>
      <c r="O209" t="s">
        <v>462</v>
      </c>
      <c r="P209">
        <v>0.10435095419227895</v>
      </c>
      <c r="Q209" t="s">
        <v>158</v>
      </c>
      <c r="S209" t="s">
        <v>424</v>
      </c>
      <c r="T209" t="s">
        <v>462</v>
      </c>
      <c r="U209">
        <v>0.10426748363581051</v>
      </c>
      <c r="V209" t="s">
        <v>158</v>
      </c>
    </row>
    <row r="210" spans="9:22" x14ac:dyDescent="0.45">
      <c r="I210" t="s">
        <v>174</v>
      </c>
      <c r="J210" t="s">
        <v>463</v>
      </c>
      <c r="K210">
        <v>5.3995614804129514E-3</v>
      </c>
      <c r="L210" t="s">
        <v>158</v>
      </c>
      <c r="N210" t="s">
        <v>310</v>
      </c>
      <c r="O210" t="s">
        <v>463</v>
      </c>
      <c r="P210">
        <v>0.12396144869361864</v>
      </c>
      <c r="Q210" t="s">
        <v>158</v>
      </c>
      <c r="S210" t="s">
        <v>424</v>
      </c>
      <c r="T210" t="s">
        <v>463</v>
      </c>
      <c r="U210">
        <v>9.8957064197983655E-2</v>
      </c>
      <c r="V210" t="s">
        <v>158</v>
      </c>
    </row>
    <row r="211" spans="9:22" x14ac:dyDescent="0.45">
      <c r="I211" t="s">
        <v>174</v>
      </c>
      <c r="J211" t="s">
        <v>464</v>
      </c>
      <c r="K211">
        <v>3.5113599417085008E-2</v>
      </c>
      <c r="L211" t="s">
        <v>158</v>
      </c>
      <c r="N211" t="s">
        <v>310</v>
      </c>
      <c r="O211" t="s">
        <v>464</v>
      </c>
      <c r="P211">
        <v>2.1720629662665566E-2</v>
      </c>
      <c r="Q211" t="s">
        <v>158</v>
      </c>
      <c r="S211" t="s">
        <v>424</v>
      </c>
      <c r="T211" t="s">
        <v>464</v>
      </c>
      <c r="U211">
        <v>1.4976776325392675E-2</v>
      </c>
      <c r="V211" t="s">
        <v>158</v>
      </c>
    </row>
    <row r="212" spans="9:22" x14ac:dyDescent="0.45">
      <c r="I212" t="s">
        <v>174</v>
      </c>
      <c r="J212" t="s">
        <v>465</v>
      </c>
      <c r="K212">
        <v>0.16475706656056854</v>
      </c>
      <c r="L212" t="s">
        <v>158</v>
      </c>
      <c r="N212" t="s">
        <v>310</v>
      </c>
      <c r="O212" t="s">
        <v>465</v>
      </c>
      <c r="P212">
        <v>8.6747308548776783E-2</v>
      </c>
      <c r="Q212" t="s">
        <v>158</v>
      </c>
      <c r="S212" t="s">
        <v>424</v>
      </c>
      <c r="T212" t="s">
        <v>465</v>
      </c>
      <c r="U212">
        <v>0.17790831460550638</v>
      </c>
      <c r="V212" t="s">
        <v>158</v>
      </c>
    </row>
    <row r="213" spans="9:22" x14ac:dyDescent="0.45">
      <c r="I213" t="s">
        <v>174</v>
      </c>
      <c r="J213" t="s">
        <v>466</v>
      </c>
      <c r="K213">
        <v>0</v>
      </c>
      <c r="L213" t="s">
        <v>158</v>
      </c>
      <c r="N213" t="s">
        <v>310</v>
      </c>
      <c r="O213" t="s">
        <v>466</v>
      </c>
      <c r="P213">
        <v>9.5853679739151695E-2</v>
      </c>
      <c r="Q213" t="s">
        <v>158</v>
      </c>
      <c r="S213" t="s">
        <v>424</v>
      </c>
      <c r="T213" t="s">
        <v>466</v>
      </c>
      <c r="U213">
        <v>0.17641344830321706</v>
      </c>
      <c r="V213" t="s">
        <v>158</v>
      </c>
    </row>
    <row r="214" spans="9:22" x14ac:dyDescent="0.45">
      <c r="I214" t="s">
        <v>174</v>
      </c>
      <c r="J214" t="s">
        <v>467</v>
      </c>
      <c r="K214">
        <v>1.0907954858976662E-2</v>
      </c>
      <c r="L214" t="s">
        <v>158</v>
      </c>
      <c r="N214" t="s">
        <v>310</v>
      </c>
      <c r="O214" t="s">
        <v>467</v>
      </c>
      <c r="P214">
        <v>1.7876011712576051E-2</v>
      </c>
      <c r="Q214" t="s">
        <v>158</v>
      </c>
      <c r="S214" t="s">
        <v>424</v>
      </c>
      <c r="T214" t="s">
        <v>467</v>
      </c>
      <c r="U214">
        <v>3.1265156394256442E-2</v>
      </c>
      <c r="V214" t="s">
        <v>158</v>
      </c>
    </row>
    <row r="215" spans="9:22" x14ac:dyDescent="0.45">
      <c r="I215" t="s">
        <v>175</v>
      </c>
      <c r="J215" t="s">
        <v>456</v>
      </c>
      <c r="K215">
        <v>0.19622092100549843</v>
      </c>
      <c r="L215" t="s">
        <v>158</v>
      </c>
      <c r="N215" t="s">
        <v>311</v>
      </c>
      <c r="O215" t="s">
        <v>456</v>
      </c>
      <c r="P215">
        <v>0.10600488239397465</v>
      </c>
      <c r="Q215" t="s">
        <v>158</v>
      </c>
      <c r="S215" t="s">
        <v>425</v>
      </c>
      <c r="T215" t="s">
        <v>456</v>
      </c>
      <c r="U215">
        <v>0.13498652710959663</v>
      </c>
      <c r="V215" t="s">
        <v>158</v>
      </c>
    </row>
    <row r="216" spans="9:22" x14ac:dyDescent="0.45">
      <c r="I216" t="s">
        <v>175</v>
      </c>
      <c r="J216" t="s">
        <v>457</v>
      </c>
      <c r="K216">
        <v>0</v>
      </c>
      <c r="L216" t="s">
        <v>158</v>
      </c>
      <c r="N216" t="s">
        <v>311</v>
      </c>
      <c r="O216" t="s">
        <v>457</v>
      </c>
      <c r="P216">
        <v>0.12039285755490575</v>
      </c>
      <c r="Q216" t="s">
        <v>158</v>
      </c>
      <c r="S216" t="s">
        <v>425</v>
      </c>
      <c r="T216" t="s">
        <v>457</v>
      </c>
      <c r="U216">
        <v>0.128033813970789</v>
      </c>
      <c r="V216" t="s">
        <v>158</v>
      </c>
    </row>
    <row r="217" spans="9:22" x14ac:dyDescent="0.45">
      <c r="I217" t="s">
        <v>175</v>
      </c>
      <c r="J217" t="s">
        <v>458</v>
      </c>
      <c r="K217">
        <v>9.9661543161327238E-3</v>
      </c>
      <c r="L217" t="s">
        <v>158</v>
      </c>
      <c r="N217" t="s">
        <v>311</v>
      </c>
      <c r="O217" t="s">
        <v>458</v>
      </c>
      <c r="P217">
        <v>2.002796278478227E-2</v>
      </c>
      <c r="Q217" t="s">
        <v>158</v>
      </c>
      <c r="S217" t="s">
        <v>425</v>
      </c>
      <c r="T217" t="s">
        <v>458</v>
      </c>
      <c r="U217">
        <v>2.2140414701773567E-2</v>
      </c>
      <c r="V217" t="s">
        <v>158</v>
      </c>
    </row>
    <row r="218" spans="9:22" x14ac:dyDescent="0.45">
      <c r="I218" t="s">
        <v>175</v>
      </c>
      <c r="J218" t="s">
        <v>459</v>
      </c>
      <c r="K218">
        <v>0.26021250549710273</v>
      </c>
      <c r="L218" t="s">
        <v>158</v>
      </c>
      <c r="N218" t="s">
        <v>311</v>
      </c>
      <c r="O218" t="s">
        <v>459</v>
      </c>
      <c r="P218">
        <v>0.13461494631380044</v>
      </c>
      <c r="Q218" t="s">
        <v>158</v>
      </c>
      <c r="S218" t="s">
        <v>425</v>
      </c>
      <c r="T218" t="s">
        <v>459</v>
      </c>
      <c r="U218">
        <v>7.1504191010771198E-2</v>
      </c>
      <c r="V218" t="s">
        <v>158</v>
      </c>
    </row>
    <row r="219" spans="9:22" x14ac:dyDescent="0.45">
      <c r="I219" t="s">
        <v>175</v>
      </c>
      <c r="J219" t="s">
        <v>460</v>
      </c>
      <c r="K219">
        <v>2.4818998453058803E-4</v>
      </c>
      <c r="L219" t="s">
        <v>158</v>
      </c>
      <c r="N219" t="s">
        <v>311</v>
      </c>
      <c r="O219" t="s">
        <v>460</v>
      </c>
      <c r="P219">
        <v>0.15919720301008822</v>
      </c>
      <c r="Q219" t="s">
        <v>158</v>
      </c>
      <c r="S219" t="s">
        <v>425</v>
      </c>
      <c r="T219" t="s">
        <v>460</v>
      </c>
      <c r="U219">
        <v>7.2965979684565863E-2</v>
      </c>
      <c r="V219" t="s">
        <v>158</v>
      </c>
    </row>
    <row r="220" spans="9:22" x14ac:dyDescent="0.45">
      <c r="I220" t="s">
        <v>175</v>
      </c>
      <c r="J220" t="s">
        <v>461</v>
      </c>
      <c r="K220">
        <v>2.244631792782412E-2</v>
      </c>
      <c r="L220" t="s">
        <v>158</v>
      </c>
      <c r="N220" t="s">
        <v>311</v>
      </c>
      <c r="O220" t="s">
        <v>461</v>
      </c>
      <c r="P220">
        <v>2.706839035732082E-2</v>
      </c>
      <c r="Q220" t="s">
        <v>158</v>
      </c>
      <c r="S220" t="s">
        <v>425</v>
      </c>
      <c r="T220" t="s">
        <v>461</v>
      </c>
      <c r="U220">
        <v>1.0192059834735005E-2</v>
      </c>
      <c r="V220" t="s">
        <v>158</v>
      </c>
    </row>
    <row r="221" spans="9:22" x14ac:dyDescent="0.45">
      <c r="I221" t="s">
        <v>175</v>
      </c>
      <c r="J221" t="s">
        <v>462</v>
      </c>
      <c r="K221">
        <v>0.29344370908289258</v>
      </c>
      <c r="L221" t="s">
        <v>158</v>
      </c>
      <c r="N221" t="s">
        <v>311</v>
      </c>
      <c r="O221" t="s">
        <v>462</v>
      </c>
      <c r="P221">
        <v>9.4708106247508708E-2</v>
      </c>
      <c r="Q221" t="s">
        <v>158</v>
      </c>
      <c r="S221" t="s">
        <v>425</v>
      </c>
      <c r="T221" t="s">
        <v>462</v>
      </c>
      <c r="U221">
        <v>9.1106903617597879E-2</v>
      </c>
      <c r="V221" t="s">
        <v>158</v>
      </c>
    </row>
    <row r="222" spans="9:22" x14ac:dyDescent="0.45">
      <c r="I222" t="s">
        <v>175</v>
      </c>
      <c r="J222" t="s">
        <v>463</v>
      </c>
      <c r="K222">
        <v>3.1348005106887344E-3</v>
      </c>
      <c r="L222" t="s">
        <v>158</v>
      </c>
      <c r="N222" t="s">
        <v>311</v>
      </c>
      <c r="O222" t="s">
        <v>463</v>
      </c>
      <c r="P222">
        <v>0.11836713992218457</v>
      </c>
      <c r="Q222" t="s">
        <v>158</v>
      </c>
      <c r="S222" t="s">
        <v>425</v>
      </c>
      <c r="T222" t="s">
        <v>463</v>
      </c>
      <c r="U222">
        <v>9.1785720749665178E-2</v>
      </c>
      <c r="V222" t="s">
        <v>158</v>
      </c>
    </row>
    <row r="223" spans="9:22" x14ac:dyDescent="0.45">
      <c r="I223" t="s">
        <v>175</v>
      </c>
      <c r="J223" t="s">
        <v>464</v>
      </c>
      <c r="K223">
        <v>2.8695170693147299E-2</v>
      </c>
      <c r="L223" t="s">
        <v>158</v>
      </c>
      <c r="N223" t="s">
        <v>311</v>
      </c>
      <c r="O223" t="s">
        <v>464</v>
      </c>
      <c r="P223">
        <v>2.0106133518421648E-2</v>
      </c>
      <c r="Q223" t="s">
        <v>158</v>
      </c>
      <c r="S223" t="s">
        <v>425</v>
      </c>
      <c r="T223" t="s">
        <v>464</v>
      </c>
      <c r="U223">
        <v>1.2646703791914697E-2</v>
      </c>
      <c r="V223" t="s">
        <v>158</v>
      </c>
    </row>
    <row r="224" spans="9:22" x14ac:dyDescent="0.45">
      <c r="I224" t="s">
        <v>175</v>
      </c>
      <c r="J224" t="s">
        <v>465</v>
      </c>
      <c r="K224">
        <v>0.17848864766086972</v>
      </c>
      <c r="L224" t="s">
        <v>158</v>
      </c>
      <c r="N224" t="s">
        <v>311</v>
      </c>
      <c r="O224" t="s">
        <v>465</v>
      </c>
      <c r="P224">
        <v>8.3147906626780801E-2</v>
      </c>
      <c r="Q224" t="s">
        <v>158</v>
      </c>
      <c r="S224" t="s">
        <v>425</v>
      </c>
      <c r="T224" t="s">
        <v>465</v>
      </c>
      <c r="U224">
        <v>0.17218677389688408</v>
      </c>
      <c r="V224" t="s">
        <v>158</v>
      </c>
    </row>
    <row r="225" spans="9:22" x14ac:dyDescent="0.45">
      <c r="I225" t="s">
        <v>175</v>
      </c>
      <c r="J225" t="s">
        <v>466</v>
      </c>
      <c r="K225">
        <v>0</v>
      </c>
      <c r="L225" t="s">
        <v>158</v>
      </c>
      <c r="N225" t="s">
        <v>311</v>
      </c>
      <c r="O225" t="s">
        <v>466</v>
      </c>
      <c r="P225">
        <v>0.10094976453178917</v>
      </c>
      <c r="Q225" t="s">
        <v>158</v>
      </c>
      <c r="S225" t="s">
        <v>425</v>
      </c>
      <c r="T225" t="s">
        <v>466</v>
      </c>
      <c r="U225">
        <v>0.16375306661580472</v>
      </c>
      <c r="V225" t="s">
        <v>158</v>
      </c>
    </row>
    <row r="226" spans="9:22" x14ac:dyDescent="0.45">
      <c r="I226" t="s">
        <v>175</v>
      </c>
      <c r="J226" t="s">
        <v>467</v>
      </c>
      <c r="K226">
        <v>7.1435833213147545E-3</v>
      </c>
      <c r="L226" t="s">
        <v>158</v>
      </c>
      <c r="N226" t="s">
        <v>311</v>
      </c>
      <c r="O226" t="s">
        <v>467</v>
      </c>
      <c r="P226">
        <v>1.5414706738443302E-2</v>
      </c>
      <c r="Q226" t="s">
        <v>158</v>
      </c>
      <c r="S226" t="s">
        <v>425</v>
      </c>
      <c r="T226" t="s">
        <v>467</v>
      </c>
      <c r="U226">
        <v>2.8697845015906196E-2</v>
      </c>
      <c r="V226" t="s">
        <v>158</v>
      </c>
    </row>
    <row r="227" spans="9:22" x14ac:dyDescent="0.45">
      <c r="I227" t="s">
        <v>176</v>
      </c>
      <c r="J227" t="s">
        <v>456</v>
      </c>
      <c r="K227">
        <v>0.18972509929328882</v>
      </c>
      <c r="L227" t="s">
        <v>158</v>
      </c>
      <c r="N227" t="s">
        <v>312</v>
      </c>
      <c r="O227" t="s">
        <v>456</v>
      </c>
      <c r="P227">
        <v>9.4761742979458219E-2</v>
      </c>
      <c r="Q227" t="s">
        <v>158</v>
      </c>
      <c r="S227" t="s">
        <v>426</v>
      </c>
      <c r="T227" t="s">
        <v>456</v>
      </c>
      <c r="U227">
        <v>0.13968426765624112</v>
      </c>
      <c r="V227" t="s">
        <v>158</v>
      </c>
    </row>
    <row r="228" spans="9:22" x14ac:dyDescent="0.45">
      <c r="I228" t="s">
        <v>176</v>
      </c>
      <c r="J228" t="s">
        <v>457</v>
      </c>
      <c r="K228">
        <v>0</v>
      </c>
      <c r="L228" t="s">
        <v>158</v>
      </c>
      <c r="N228" t="s">
        <v>312</v>
      </c>
      <c r="O228" t="s">
        <v>457</v>
      </c>
      <c r="P228">
        <v>0.11312095794174766</v>
      </c>
      <c r="Q228" t="s">
        <v>158</v>
      </c>
      <c r="S228" t="s">
        <v>426</v>
      </c>
      <c r="T228" t="s">
        <v>457</v>
      </c>
      <c r="U228">
        <v>0.14234911212909132</v>
      </c>
      <c r="V228" t="s">
        <v>158</v>
      </c>
    </row>
    <row r="229" spans="9:22" x14ac:dyDescent="0.45">
      <c r="I229" t="s">
        <v>176</v>
      </c>
      <c r="J229" t="s">
        <v>458</v>
      </c>
      <c r="K229">
        <v>1.1085695138207565E-2</v>
      </c>
      <c r="L229" t="s">
        <v>158</v>
      </c>
      <c r="N229" t="s">
        <v>312</v>
      </c>
      <c r="O229" t="s">
        <v>458</v>
      </c>
      <c r="P229">
        <v>1.851626802151516E-2</v>
      </c>
      <c r="Q229" t="s">
        <v>158</v>
      </c>
      <c r="S229" t="s">
        <v>426</v>
      </c>
      <c r="T229" t="s">
        <v>458</v>
      </c>
      <c r="U229">
        <v>2.4450607213564915E-2</v>
      </c>
      <c r="V229" t="s">
        <v>158</v>
      </c>
    </row>
    <row r="230" spans="9:22" x14ac:dyDescent="0.45">
      <c r="I230" t="s">
        <v>176</v>
      </c>
      <c r="J230" t="s">
        <v>459</v>
      </c>
      <c r="K230">
        <v>0.24857802866451939</v>
      </c>
      <c r="L230" t="s">
        <v>158</v>
      </c>
      <c r="N230" t="s">
        <v>312</v>
      </c>
      <c r="O230" t="s">
        <v>459</v>
      </c>
      <c r="P230">
        <v>0.14328129187662561</v>
      </c>
      <c r="Q230" t="s">
        <v>158</v>
      </c>
      <c r="S230" t="s">
        <v>426</v>
      </c>
      <c r="T230" t="s">
        <v>459</v>
      </c>
      <c r="U230">
        <v>9.0265687957872834E-2</v>
      </c>
      <c r="V230" t="s">
        <v>158</v>
      </c>
    </row>
    <row r="231" spans="9:22" x14ac:dyDescent="0.45">
      <c r="I231" t="s">
        <v>176</v>
      </c>
      <c r="J231" t="s">
        <v>460</v>
      </c>
      <c r="K231">
        <v>5.2301360358191201E-4</v>
      </c>
      <c r="L231" t="s">
        <v>158</v>
      </c>
      <c r="N231" t="s">
        <v>312</v>
      </c>
      <c r="O231" t="s">
        <v>460</v>
      </c>
      <c r="P231">
        <v>0.1524957972204232</v>
      </c>
      <c r="Q231" t="s">
        <v>158</v>
      </c>
      <c r="S231" t="s">
        <v>426</v>
      </c>
      <c r="T231" t="s">
        <v>460</v>
      </c>
      <c r="U231">
        <v>0.12000283378476072</v>
      </c>
      <c r="V231" t="s">
        <v>158</v>
      </c>
    </row>
    <row r="232" spans="9:22" x14ac:dyDescent="0.45">
      <c r="I232" t="s">
        <v>176</v>
      </c>
      <c r="J232" t="s">
        <v>461</v>
      </c>
      <c r="K232">
        <v>2.4038175468340924E-2</v>
      </c>
      <c r="L232" t="s">
        <v>158</v>
      </c>
      <c r="N232" t="s">
        <v>312</v>
      </c>
      <c r="O232" t="s">
        <v>461</v>
      </c>
      <c r="P232">
        <v>2.8547604334854156E-2</v>
      </c>
      <c r="Q232" t="s">
        <v>158</v>
      </c>
      <c r="S232" t="s">
        <v>426</v>
      </c>
      <c r="T232" t="s">
        <v>461</v>
      </c>
      <c r="U232">
        <v>1.5213443708012222E-2</v>
      </c>
      <c r="V232" t="s">
        <v>158</v>
      </c>
    </row>
    <row r="233" spans="9:22" x14ac:dyDescent="0.45">
      <c r="I233" t="s">
        <v>176</v>
      </c>
      <c r="J233" t="s">
        <v>462</v>
      </c>
      <c r="K233">
        <v>0.31877865921175536</v>
      </c>
      <c r="L233" t="s">
        <v>158</v>
      </c>
      <c r="N233" t="s">
        <v>312</v>
      </c>
      <c r="O233" t="s">
        <v>462</v>
      </c>
      <c r="P233">
        <v>9.8649811333640536E-2</v>
      </c>
      <c r="Q233" t="s">
        <v>158</v>
      </c>
      <c r="S233" t="s">
        <v>426</v>
      </c>
      <c r="T233" t="s">
        <v>462</v>
      </c>
      <c r="U233">
        <v>7.691954448094164E-2</v>
      </c>
      <c r="V233" t="s">
        <v>158</v>
      </c>
    </row>
    <row r="234" spans="9:22" x14ac:dyDescent="0.45">
      <c r="I234" t="s">
        <v>176</v>
      </c>
      <c r="J234" t="s">
        <v>463</v>
      </c>
      <c r="K234">
        <v>4.0398348491871685E-3</v>
      </c>
      <c r="L234" t="s">
        <v>158</v>
      </c>
      <c r="N234" t="s">
        <v>312</v>
      </c>
      <c r="O234" t="s">
        <v>463</v>
      </c>
      <c r="P234">
        <v>0.11871982989542175</v>
      </c>
      <c r="Q234" t="s">
        <v>158</v>
      </c>
      <c r="S234" t="s">
        <v>426</v>
      </c>
      <c r="T234" t="s">
        <v>463</v>
      </c>
      <c r="U234">
        <v>9.0907089541570812E-2</v>
      </c>
      <c r="V234" t="s">
        <v>158</v>
      </c>
    </row>
    <row r="235" spans="9:22" x14ac:dyDescent="0.45">
      <c r="I235" t="s">
        <v>176</v>
      </c>
      <c r="J235" t="s">
        <v>464</v>
      </c>
      <c r="K235">
        <v>3.2810021736499731E-2</v>
      </c>
      <c r="L235" t="s">
        <v>158</v>
      </c>
      <c r="N235" t="s">
        <v>312</v>
      </c>
      <c r="O235" t="s">
        <v>464</v>
      </c>
      <c r="P235">
        <v>1.7904458804030434E-2</v>
      </c>
      <c r="Q235" t="s">
        <v>158</v>
      </c>
      <c r="S235" t="s">
        <v>426</v>
      </c>
      <c r="T235" t="s">
        <v>464</v>
      </c>
      <c r="U235">
        <v>1.1384963518830428E-2</v>
      </c>
      <c r="V235" t="s">
        <v>158</v>
      </c>
    </row>
    <row r="236" spans="9:22" x14ac:dyDescent="0.45">
      <c r="I236" t="s">
        <v>176</v>
      </c>
      <c r="J236" t="s">
        <v>465</v>
      </c>
      <c r="K236">
        <v>0.16371715951311125</v>
      </c>
      <c r="L236" t="s">
        <v>158</v>
      </c>
      <c r="N236" t="s">
        <v>312</v>
      </c>
      <c r="O236" t="s">
        <v>465</v>
      </c>
      <c r="P236">
        <v>8.955844410079207E-2</v>
      </c>
      <c r="Q236" t="s">
        <v>158</v>
      </c>
      <c r="S236" t="s">
        <v>426</v>
      </c>
      <c r="T236" t="s">
        <v>465</v>
      </c>
      <c r="U236">
        <v>0.13368263595703708</v>
      </c>
      <c r="V236" t="s">
        <v>158</v>
      </c>
    </row>
    <row r="237" spans="9:22" x14ac:dyDescent="0.45">
      <c r="I237" t="s">
        <v>176</v>
      </c>
      <c r="J237" t="s">
        <v>466</v>
      </c>
      <c r="K237">
        <v>0</v>
      </c>
      <c r="L237" t="s">
        <v>158</v>
      </c>
      <c r="N237" t="s">
        <v>312</v>
      </c>
      <c r="O237" t="s">
        <v>466</v>
      </c>
      <c r="P237">
        <v>0.10781364072497</v>
      </c>
      <c r="Q237" t="s">
        <v>158</v>
      </c>
      <c r="S237" t="s">
        <v>426</v>
      </c>
      <c r="T237" t="s">
        <v>466</v>
      </c>
      <c r="U237">
        <v>0.13590930103562746</v>
      </c>
      <c r="V237" t="s">
        <v>158</v>
      </c>
    </row>
    <row r="238" spans="9:22" x14ac:dyDescent="0.45">
      <c r="I238" t="s">
        <v>176</v>
      </c>
      <c r="J238" t="s">
        <v>467</v>
      </c>
      <c r="K238">
        <v>6.7043125215097889E-3</v>
      </c>
      <c r="L238" t="s">
        <v>158</v>
      </c>
      <c r="N238" t="s">
        <v>312</v>
      </c>
      <c r="O238" t="s">
        <v>467</v>
      </c>
      <c r="P238">
        <v>1.663015276651517E-2</v>
      </c>
      <c r="Q238" t="s">
        <v>158</v>
      </c>
      <c r="S238" t="s">
        <v>426</v>
      </c>
      <c r="T238" t="s">
        <v>467</v>
      </c>
      <c r="U238">
        <v>1.9230513016443643E-2</v>
      </c>
      <c r="V238" t="s">
        <v>158</v>
      </c>
    </row>
    <row r="239" spans="9:22" x14ac:dyDescent="0.45">
      <c r="I239" t="s">
        <v>177</v>
      </c>
      <c r="J239" t="s">
        <v>456</v>
      </c>
      <c r="K239">
        <v>0.19756422140817739</v>
      </c>
      <c r="L239" t="s">
        <v>158</v>
      </c>
      <c r="N239" t="s">
        <v>313</v>
      </c>
      <c r="O239" t="s">
        <v>456</v>
      </c>
      <c r="P239">
        <v>9.3607719583617105E-2</v>
      </c>
      <c r="Q239" t="s">
        <v>158</v>
      </c>
      <c r="S239" t="s">
        <v>427</v>
      </c>
      <c r="T239" t="s">
        <v>456</v>
      </c>
      <c r="U239">
        <v>0.14720754627713209</v>
      </c>
      <c r="V239" t="s">
        <v>158</v>
      </c>
    </row>
    <row r="240" spans="9:22" x14ac:dyDescent="0.45">
      <c r="I240" t="s">
        <v>177</v>
      </c>
      <c r="J240" t="s">
        <v>457</v>
      </c>
      <c r="K240">
        <v>0</v>
      </c>
      <c r="L240" t="s">
        <v>158</v>
      </c>
      <c r="N240" t="s">
        <v>313</v>
      </c>
      <c r="O240" t="s">
        <v>457</v>
      </c>
      <c r="P240">
        <v>0.12220304807827734</v>
      </c>
      <c r="Q240" t="s">
        <v>158</v>
      </c>
      <c r="S240" t="s">
        <v>427</v>
      </c>
      <c r="T240" t="s">
        <v>457</v>
      </c>
      <c r="U240">
        <v>0.14106345623626587</v>
      </c>
      <c r="V240" t="s">
        <v>158</v>
      </c>
    </row>
    <row r="241" spans="9:22" x14ac:dyDescent="0.45">
      <c r="I241" t="s">
        <v>177</v>
      </c>
      <c r="J241" t="s">
        <v>458</v>
      </c>
      <c r="K241">
        <v>1.231076071697142E-2</v>
      </c>
      <c r="L241" t="s">
        <v>158</v>
      </c>
      <c r="N241" t="s">
        <v>313</v>
      </c>
      <c r="O241" t="s">
        <v>458</v>
      </c>
      <c r="P241">
        <v>1.9356367027312502E-2</v>
      </c>
      <c r="Q241" t="s">
        <v>158</v>
      </c>
      <c r="S241" t="s">
        <v>427</v>
      </c>
      <c r="T241" t="s">
        <v>458</v>
      </c>
      <c r="U241">
        <v>2.4329790399630513E-2</v>
      </c>
      <c r="V241" t="s">
        <v>158</v>
      </c>
    </row>
    <row r="242" spans="9:22" x14ac:dyDescent="0.45">
      <c r="I242" t="s">
        <v>177</v>
      </c>
      <c r="J242" t="s">
        <v>459</v>
      </c>
      <c r="K242">
        <v>0.23341896180544672</v>
      </c>
      <c r="L242" t="s">
        <v>158</v>
      </c>
      <c r="N242" t="s">
        <v>313</v>
      </c>
      <c r="O242" t="s">
        <v>459</v>
      </c>
      <c r="P242">
        <v>0.14093891569828088</v>
      </c>
      <c r="Q242" t="s">
        <v>158</v>
      </c>
      <c r="S242" t="s">
        <v>427</v>
      </c>
      <c r="T242" t="s">
        <v>459</v>
      </c>
      <c r="U242">
        <v>7.4849971013245212E-2</v>
      </c>
      <c r="V242" t="s">
        <v>158</v>
      </c>
    </row>
    <row r="243" spans="9:22" x14ac:dyDescent="0.45">
      <c r="I243" t="s">
        <v>177</v>
      </c>
      <c r="J243" t="s">
        <v>460</v>
      </c>
      <c r="K243">
        <v>3.1437823314906964E-4</v>
      </c>
      <c r="L243" t="s">
        <v>158</v>
      </c>
      <c r="N243" t="s">
        <v>313</v>
      </c>
      <c r="O243" t="s">
        <v>460</v>
      </c>
      <c r="P243">
        <v>0.15151386169777692</v>
      </c>
      <c r="Q243" t="s">
        <v>158</v>
      </c>
      <c r="S243" t="s">
        <v>427</v>
      </c>
      <c r="T243" t="s">
        <v>460</v>
      </c>
      <c r="U243">
        <v>8.7075173717412718E-2</v>
      </c>
      <c r="V243" t="s">
        <v>158</v>
      </c>
    </row>
    <row r="244" spans="9:22" x14ac:dyDescent="0.45">
      <c r="I244" t="s">
        <v>177</v>
      </c>
      <c r="J244" t="s">
        <v>461</v>
      </c>
      <c r="K244">
        <v>2.317919934523837E-2</v>
      </c>
      <c r="L244" t="s">
        <v>158</v>
      </c>
      <c r="N244" t="s">
        <v>313</v>
      </c>
      <c r="O244" t="s">
        <v>461</v>
      </c>
      <c r="P244">
        <v>2.8857728459129504E-2</v>
      </c>
      <c r="Q244" t="s">
        <v>158</v>
      </c>
      <c r="S244" t="s">
        <v>427</v>
      </c>
      <c r="T244" t="s">
        <v>461</v>
      </c>
      <c r="U244">
        <v>1.132969018271923E-2</v>
      </c>
      <c r="V244" t="s">
        <v>158</v>
      </c>
    </row>
    <row r="245" spans="9:22" x14ac:dyDescent="0.45">
      <c r="I245" t="s">
        <v>177</v>
      </c>
      <c r="J245" t="s">
        <v>462</v>
      </c>
      <c r="K245">
        <v>0.330426400429356</v>
      </c>
      <c r="L245" t="s">
        <v>158</v>
      </c>
      <c r="N245" t="s">
        <v>313</v>
      </c>
      <c r="O245" t="s">
        <v>462</v>
      </c>
      <c r="P245">
        <v>9.0821371286712888E-2</v>
      </c>
      <c r="Q245" t="s">
        <v>158</v>
      </c>
      <c r="S245" t="s">
        <v>427</v>
      </c>
      <c r="T245" t="s">
        <v>462</v>
      </c>
      <c r="U245">
        <v>7.2164605429349798E-2</v>
      </c>
      <c r="V245" t="s">
        <v>158</v>
      </c>
    </row>
    <row r="246" spans="9:22" x14ac:dyDescent="0.45">
      <c r="I246" t="s">
        <v>177</v>
      </c>
      <c r="J246" t="s">
        <v>463</v>
      </c>
      <c r="K246">
        <v>5.0241068594308992E-3</v>
      </c>
      <c r="L246" t="s">
        <v>158</v>
      </c>
      <c r="N246" t="s">
        <v>313</v>
      </c>
      <c r="O246" t="s">
        <v>463</v>
      </c>
      <c r="P246">
        <v>0.1212804143633468</v>
      </c>
      <c r="Q246" t="s">
        <v>158</v>
      </c>
      <c r="S246" t="s">
        <v>427</v>
      </c>
      <c r="T246" t="s">
        <v>463</v>
      </c>
      <c r="U246">
        <v>8.4684914044360543E-2</v>
      </c>
      <c r="V246" t="s">
        <v>158</v>
      </c>
    </row>
    <row r="247" spans="9:22" x14ac:dyDescent="0.45">
      <c r="I247" t="s">
        <v>177</v>
      </c>
      <c r="J247" t="s">
        <v>464</v>
      </c>
      <c r="K247">
        <v>3.6979701113165557E-2</v>
      </c>
      <c r="L247" t="s">
        <v>158</v>
      </c>
      <c r="N247" t="s">
        <v>313</v>
      </c>
      <c r="O247" t="s">
        <v>464</v>
      </c>
      <c r="P247">
        <v>1.5839967444609662E-2</v>
      </c>
      <c r="Q247" t="s">
        <v>158</v>
      </c>
      <c r="S247" t="s">
        <v>427</v>
      </c>
      <c r="T247" t="s">
        <v>464</v>
      </c>
      <c r="U247">
        <v>1.0866014763106878E-2</v>
      </c>
      <c r="V247" t="s">
        <v>158</v>
      </c>
    </row>
    <row r="248" spans="9:22" x14ac:dyDescent="0.45">
      <c r="I248" t="s">
        <v>177</v>
      </c>
      <c r="J248" t="s">
        <v>465</v>
      </c>
      <c r="K248">
        <v>0.15469251388986321</v>
      </c>
      <c r="L248" t="s">
        <v>158</v>
      </c>
      <c r="N248" t="s">
        <v>313</v>
      </c>
      <c r="O248" t="s">
        <v>465</v>
      </c>
      <c r="P248">
        <v>8.7361140062942835E-2</v>
      </c>
      <c r="Q248" t="s">
        <v>158</v>
      </c>
      <c r="S248" t="s">
        <v>427</v>
      </c>
      <c r="T248" t="s">
        <v>465</v>
      </c>
      <c r="U248">
        <v>0.16428099501925009</v>
      </c>
      <c r="V248" t="s">
        <v>158</v>
      </c>
    </row>
    <row r="249" spans="9:22" x14ac:dyDescent="0.45">
      <c r="I249" t="s">
        <v>177</v>
      </c>
      <c r="J249" t="s">
        <v>466</v>
      </c>
      <c r="K249">
        <v>0</v>
      </c>
      <c r="L249" t="s">
        <v>158</v>
      </c>
      <c r="N249" t="s">
        <v>313</v>
      </c>
      <c r="O249" t="s">
        <v>466</v>
      </c>
      <c r="P249">
        <v>0.10951200894547139</v>
      </c>
      <c r="Q249" t="s">
        <v>158</v>
      </c>
      <c r="S249" t="s">
        <v>427</v>
      </c>
      <c r="T249" t="s">
        <v>466</v>
      </c>
      <c r="U249">
        <v>0.15636951263003104</v>
      </c>
      <c r="V249" t="s">
        <v>158</v>
      </c>
    </row>
    <row r="250" spans="9:22" x14ac:dyDescent="0.45">
      <c r="I250" t="s">
        <v>177</v>
      </c>
      <c r="J250" t="s">
        <v>467</v>
      </c>
      <c r="K250">
        <v>6.0897561992015528E-3</v>
      </c>
      <c r="L250" t="s">
        <v>158</v>
      </c>
      <c r="N250" t="s">
        <v>313</v>
      </c>
      <c r="O250" t="s">
        <v>467</v>
      </c>
      <c r="P250">
        <v>1.8707457352524069E-2</v>
      </c>
      <c r="Q250" t="s">
        <v>158</v>
      </c>
      <c r="S250" t="s">
        <v>427</v>
      </c>
      <c r="T250" t="s">
        <v>467</v>
      </c>
      <c r="U250">
        <v>2.5778330287497701E-2</v>
      </c>
      <c r="V250" t="s">
        <v>158</v>
      </c>
    </row>
    <row r="251" spans="9:22" x14ac:dyDescent="0.45">
      <c r="I251" t="s">
        <v>178</v>
      </c>
      <c r="J251" t="s">
        <v>456</v>
      </c>
      <c r="K251">
        <v>0.20525610633907262</v>
      </c>
      <c r="L251" t="s">
        <v>158</v>
      </c>
      <c r="N251" t="s">
        <v>314</v>
      </c>
      <c r="O251" t="s">
        <v>456</v>
      </c>
      <c r="P251">
        <v>9.8705494591375439E-2</v>
      </c>
      <c r="Q251" t="s">
        <v>158</v>
      </c>
      <c r="S251" t="s">
        <v>428</v>
      </c>
      <c r="T251" t="s">
        <v>456</v>
      </c>
      <c r="U251">
        <v>0.12361679321239004</v>
      </c>
      <c r="V251" t="s">
        <v>158</v>
      </c>
    </row>
    <row r="252" spans="9:22" x14ac:dyDescent="0.45">
      <c r="I252" t="s">
        <v>178</v>
      </c>
      <c r="J252" t="s">
        <v>457</v>
      </c>
      <c r="K252">
        <v>0</v>
      </c>
      <c r="L252" t="s">
        <v>158</v>
      </c>
      <c r="N252" t="s">
        <v>314</v>
      </c>
      <c r="O252" t="s">
        <v>457</v>
      </c>
      <c r="P252">
        <v>0.11055901585056209</v>
      </c>
      <c r="Q252" t="s">
        <v>158</v>
      </c>
      <c r="S252" t="s">
        <v>428</v>
      </c>
      <c r="T252" t="s">
        <v>457</v>
      </c>
      <c r="U252">
        <v>0.1240764427379509</v>
      </c>
      <c r="V252" t="s">
        <v>158</v>
      </c>
    </row>
    <row r="253" spans="9:22" x14ac:dyDescent="0.45">
      <c r="I253" t="s">
        <v>178</v>
      </c>
      <c r="J253" t="s">
        <v>458</v>
      </c>
      <c r="K253">
        <v>1.0011599905508867E-2</v>
      </c>
      <c r="L253" t="s">
        <v>158</v>
      </c>
      <c r="N253" t="s">
        <v>314</v>
      </c>
      <c r="O253" t="s">
        <v>458</v>
      </c>
      <c r="P253">
        <v>1.7703623554145238E-2</v>
      </c>
      <c r="Q253" t="s">
        <v>158</v>
      </c>
      <c r="S253" t="s">
        <v>428</v>
      </c>
      <c r="T253" t="s">
        <v>458</v>
      </c>
      <c r="U253">
        <v>2.3324540241528968E-2</v>
      </c>
      <c r="V253" t="s">
        <v>158</v>
      </c>
    </row>
    <row r="254" spans="9:22" x14ac:dyDescent="0.45">
      <c r="I254" t="s">
        <v>178</v>
      </c>
      <c r="J254" t="s">
        <v>459</v>
      </c>
      <c r="K254">
        <v>0.24285720686777906</v>
      </c>
      <c r="L254" t="s">
        <v>158</v>
      </c>
      <c r="N254" t="s">
        <v>314</v>
      </c>
      <c r="O254" t="s">
        <v>459</v>
      </c>
      <c r="P254">
        <v>0.14631244266901908</v>
      </c>
      <c r="Q254" t="s">
        <v>158</v>
      </c>
      <c r="S254" t="s">
        <v>428</v>
      </c>
      <c r="T254" t="s">
        <v>459</v>
      </c>
      <c r="U254">
        <v>8.9260095772014436E-2</v>
      </c>
      <c r="V254" t="s">
        <v>158</v>
      </c>
    </row>
    <row r="255" spans="9:22" x14ac:dyDescent="0.45">
      <c r="I255" t="s">
        <v>178</v>
      </c>
      <c r="J255" t="s">
        <v>460</v>
      </c>
      <c r="K255">
        <v>1.1021972535716574E-5</v>
      </c>
      <c r="L255" t="s">
        <v>158</v>
      </c>
      <c r="N255" t="s">
        <v>314</v>
      </c>
      <c r="O255" t="s">
        <v>460</v>
      </c>
      <c r="P255">
        <v>0.15842176999950502</v>
      </c>
      <c r="Q255" t="s">
        <v>158</v>
      </c>
      <c r="S255" t="s">
        <v>428</v>
      </c>
      <c r="T255" t="s">
        <v>460</v>
      </c>
      <c r="U255">
        <v>8.7680953383515531E-2</v>
      </c>
      <c r="V255" t="s">
        <v>158</v>
      </c>
    </row>
    <row r="256" spans="9:22" x14ac:dyDescent="0.45">
      <c r="I256" t="s">
        <v>178</v>
      </c>
      <c r="J256" t="s">
        <v>461</v>
      </c>
      <c r="K256">
        <v>2.0912864852935954E-2</v>
      </c>
      <c r="L256" t="s">
        <v>158</v>
      </c>
      <c r="N256" t="s">
        <v>314</v>
      </c>
      <c r="O256" t="s">
        <v>461</v>
      </c>
      <c r="P256">
        <v>2.7760258250061506E-2</v>
      </c>
      <c r="Q256" t="s">
        <v>158</v>
      </c>
      <c r="S256" t="s">
        <v>428</v>
      </c>
      <c r="T256" t="s">
        <v>461</v>
      </c>
      <c r="U256">
        <v>1.5874308466268933E-2</v>
      </c>
      <c r="V256" t="s">
        <v>158</v>
      </c>
    </row>
    <row r="257" spans="9:22" x14ac:dyDescent="0.45">
      <c r="I257" t="s">
        <v>178</v>
      </c>
      <c r="J257" t="s">
        <v>462</v>
      </c>
      <c r="K257">
        <v>0.30299974058582785</v>
      </c>
      <c r="L257" t="s">
        <v>158</v>
      </c>
      <c r="N257" t="s">
        <v>314</v>
      </c>
      <c r="O257" t="s">
        <v>462</v>
      </c>
      <c r="P257">
        <v>0.10387008689789093</v>
      </c>
      <c r="Q257" t="s">
        <v>158</v>
      </c>
      <c r="S257" t="s">
        <v>428</v>
      </c>
      <c r="T257" t="s">
        <v>462</v>
      </c>
      <c r="U257">
        <v>0.11108523341604426</v>
      </c>
      <c r="V257" t="s">
        <v>158</v>
      </c>
    </row>
    <row r="258" spans="9:22" x14ac:dyDescent="0.45">
      <c r="I258" t="s">
        <v>178</v>
      </c>
      <c r="J258" t="s">
        <v>463</v>
      </c>
      <c r="K258">
        <v>2.567417858245847E-3</v>
      </c>
      <c r="L258" t="s">
        <v>158</v>
      </c>
      <c r="N258" t="s">
        <v>314</v>
      </c>
      <c r="O258" t="s">
        <v>463</v>
      </c>
      <c r="P258">
        <v>0.13045799497541169</v>
      </c>
      <c r="Q258" t="s">
        <v>158</v>
      </c>
      <c r="S258" t="s">
        <v>428</v>
      </c>
      <c r="T258" t="s">
        <v>463</v>
      </c>
      <c r="U258">
        <v>0.1246820809382434</v>
      </c>
      <c r="V258" t="s">
        <v>158</v>
      </c>
    </row>
    <row r="259" spans="9:22" x14ac:dyDescent="0.45">
      <c r="I259" t="s">
        <v>178</v>
      </c>
      <c r="J259" t="s">
        <v>464</v>
      </c>
      <c r="K259">
        <v>2.9101788324795978E-2</v>
      </c>
      <c r="L259" t="s">
        <v>158</v>
      </c>
      <c r="N259" t="s">
        <v>314</v>
      </c>
      <c r="O259" t="s">
        <v>464</v>
      </c>
      <c r="P259">
        <v>1.8597376961021345E-2</v>
      </c>
      <c r="Q259" t="s">
        <v>158</v>
      </c>
      <c r="S259" t="s">
        <v>428</v>
      </c>
      <c r="T259" t="s">
        <v>464</v>
      </c>
      <c r="U259">
        <v>2.1012228147038351E-2</v>
      </c>
      <c r="V259" t="s">
        <v>158</v>
      </c>
    </row>
    <row r="260" spans="9:22" x14ac:dyDescent="0.45">
      <c r="I260" t="s">
        <v>178</v>
      </c>
      <c r="J260" t="s">
        <v>465</v>
      </c>
      <c r="K260">
        <v>0.17959740368564203</v>
      </c>
      <c r="L260" t="s">
        <v>158</v>
      </c>
      <c r="N260" t="s">
        <v>314</v>
      </c>
      <c r="O260" t="s">
        <v>465</v>
      </c>
      <c r="P260">
        <v>8.2141425508027222E-2</v>
      </c>
      <c r="Q260" t="s">
        <v>158</v>
      </c>
      <c r="S260" t="s">
        <v>428</v>
      </c>
      <c r="T260" t="s">
        <v>465</v>
      </c>
      <c r="U260">
        <v>0.12712172424940629</v>
      </c>
      <c r="V260" t="s">
        <v>158</v>
      </c>
    </row>
    <row r="261" spans="9:22" x14ac:dyDescent="0.45">
      <c r="I261" t="s">
        <v>178</v>
      </c>
      <c r="J261" t="s">
        <v>466</v>
      </c>
      <c r="K261">
        <v>0</v>
      </c>
      <c r="L261" t="s">
        <v>158</v>
      </c>
      <c r="N261" t="s">
        <v>314</v>
      </c>
      <c r="O261" t="s">
        <v>466</v>
      </c>
      <c r="P261">
        <v>9.2158424152555318E-2</v>
      </c>
      <c r="Q261" t="s">
        <v>158</v>
      </c>
      <c r="S261" t="s">
        <v>428</v>
      </c>
      <c r="T261" t="s">
        <v>466</v>
      </c>
      <c r="U261">
        <v>0.12859297728347646</v>
      </c>
      <c r="V261" t="s">
        <v>158</v>
      </c>
    </row>
    <row r="262" spans="9:22" x14ac:dyDescent="0.45">
      <c r="I262" t="s">
        <v>178</v>
      </c>
      <c r="J262" t="s">
        <v>467</v>
      </c>
      <c r="K262">
        <v>6.6848496076584952E-3</v>
      </c>
      <c r="L262" t="s">
        <v>158</v>
      </c>
      <c r="N262" t="s">
        <v>314</v>
      </c>
      <c r="O262" t="s">
        <v>467</v>
      </c>
      <c r="P262">
        <v>1.3312086590429173E-2</v>
      </c>
      <c r="Q262" t="s">
        <v>158</v>
      </c>
      <c r="S262" t="s">
        <v>428</v>
      </c>
      <c r="T262" t="s">
        <v>467</v>
      </c>
      <c r="U262">
        <v>2.3672622152123752E-2</v>
      </c>
      <c r="V262" t="s">
        <v>158</v>
      </c>
    </row>
    <row r="263" spans="9:22" x14ac:dyDescent="0.45">
      <c r="I263" t="s">
        <v>179</v>
      </c>
      <c r="J263" t="s">
        <v>456</v>
      </c>
      <c r="K263">
        <v>0.21092904509559179</v>
      </c>
      <c r="L263" t="s">
        <v>158</v>
      </c>
      <c r="N263" t="s">
        <v>315</v>
      </c>
      <c r="O263" t="s">
        <v>456</v>
      </c>
      <c r="P263">
        <v>9.3520764722394387E-2</v>
      </c>
      <c r="Q263" t="s">
        <v>158</v>
      </c>
      <c r="S263" t="s">
        <v>429</v>
      </c>
      <c r="T263" t="s">
        <v>456</v>
      </c>
      <c r="U263">
        <v>0.13090405156544335</v>
      </c>
      <c r="V263" t="s">
        <v>158</v>
      </c>
    </row>
    <row r="264" spans="9:22" x14ac:dyDescent="0.45">
      <c r="I264" t="s">
        <v>179</v>
      </c>
      <c r="J264" t="s">
        <v>457</v>
      </c>
      <c r="K264">
        <v>0</v>
      </c>
      <c r="L264" t="s">
        <v>158</v>
      </c>
      <c r="N264" t="s">
        <v>315</v>
      </c>
      <c r="O264" t="s">
        <v>457</v>
      </c>
      <c r="P264">
        <v>6.4497681113179647E-2</v>
      </c>
      <c r="Q264" t="s">
        <v>158</v>
      </c>
      <c r="S264" t="s">
        <v>429</v>
      </c>
      <c r="T264" t="s">
        <v>457</v>
      </c>
      <c r="U264">
        <v>0.13149863045471455</v>
      </c>
      <c r="V264" t="s">
        <v>158</v>
      </c>
    </row>
    <row r="265" spans="9:22" x14ac:dyDescent="0.45">
      <c r="I265" t="s">
        <v>179</v>
      </c>
      <c r="J265" t="s">
        <v>458</v>
      </c>
      <c r="K265">
        <v>1.0774187755972608E-2</v>
      </c>
      <c r="L265" t="s">
        <v>158</v>
      </c>
      <c r="N265" t="s">
        <v>315</v>
      </c>
      <c r="O265" t="s">
        <v>458</v>
      </c>
      <c r="P265">
        <v>2.2750467164494317E-2</v>
      </c>
      <c r="Q265" t="s">
        <v>158</v>
      </c>
      <c r="S265" t="s">
        <v>429</v>
      </c>
      <c r="T265" t="s">
        <v>458</v>
      </c>
      <c r="U265">
        <v>2.4295838729922893E-2</v>
      </c>
      <c r="V265" t="s">
        <v>158</v>
      </c>
    </row>
    <row r="266" spans="9:22" x14ac:dyDescent="0.45">
      <c r="I266" t="s">
        <v>179</v>
      </c>
      <c r="J266" t="s">
        <v>459</v>
      </c>
      <c r="K266">
        <v>0.22519968923675301</v>
      </c>
      <c r="L266" t="s">
        <v>158</v>
      </c>
      <c r="N266" t="s">
        <v>315</v>
      </c>
      <c r="O266" t="s">
        <v>459</v>
      </c>
      <c r="P266">
        <v>0.16953884501582744</v>
      </c>
      <c r="Q266" t="s">
        <v>158</v>
      </c>
      <c r="S266" t="s">
        <v>429</v>
      </c>
      <c r="T266" t="s">
        <v>459</v>
      </c>
      <c r="U266">
        <v>8.614909573712061E-2</v>
      </c>
      <c r="V266" t="s">
        <v>158</v>
      </c>
    </row>
    <row r="267" spans="9:22" x14ac:dyDescent="0.45">
      <c r="I267" t="s">
        <v>179</v>
      </c>
      <c r="J267" t="s">
        <v>460</v>
      </c>
      <c r="K267">
        <v>1.041451427011148E-5</v>
      </c>
      <c r="L267" t="s">
        <v>158</v>
      </c>
      <c r="N267" t="s">
        <v>315</v>
      </c>
      <c r="O267" t="s">
        <v>460</v>
      </c>
      <c r="P267">
        <v>0.16247431605807175</v>
      </c>
      <c r="Q267" t="s">
        <v>158</v>
      </c>
      <c r="S267" t="s">
        <v>429</v>
      </c>
      <c r="T267" t="s">
        <v>460</v>
      </c>
      <c r="U267">
        <v>8.7521149325434769E-2</v>
      </c>
      <c r="V267" t="s">
        <v>158</v>
      </c>
    </row>
    <row r="268" spans="9:22" x14ac:dyDescent="0.45">
      <c r="I268" t="s">
        <v>179</v>
      </c>
      <c r="J268" t="s">
        <v>461</v>
      </c>
      <c r="K268">
        <v>2.0436652355275805E-2</v>
      </c>
      <c r="L268" t="s">
        <v>158</v>
      </c>
      <c r="N268" t="s">
        <v>315</v>
      </c>
      <c r="O268" t="s">
        <v>461</v>
      </c>
      <c r="P268">
        <v>4.6346826921208686E-2</v>
      </c>
      <c r="Q268" t="s">
        <v>158</v>
      </c>
      <c r="S268" t="s">
        <v>429</v>
      </c>
      <c r="T268" t="s">
        <v>461</v>
      </c>
      <c r="U268">
        <v>1.7094009206950974E-2</v>
      </c>
      <c r="V268" t="s">
        <v>158</v>
      </c>
    </row>
    <row r="269" spans="9:22" x14ac:dyDescent="0.45">
      <c r="I269" t="s">
        <v>179</v>
      </c>
      <c r="J269" t="s">
        <v>462</v>
      </c>
      <c r="K269">
        <v>0.31638225585647894</v>
      </c>
      <c r="L269" t="s">
        <v>158</v>
      </c>
      <c r="N269" t="s">
        <v>315</v>
      </c>
      <c r="O269" t="s">
        <v>462</v>
      </c>
      <c r="P269">
        <v>0.13186331029618961</v>
      </c>
      <c r="Q269" t="s">
        <v>158</v>
      </c>
      <c r="S269" t="s">
        <v>429</v>
      </c>
      <c r="T269" t="s">
        <v>462</v>
      </c>
      <c r="U269">
        <v>9.9611117556845541E-2</v>
      </c>
      <c r="V269" t="s">
        <v>158</v>
      </c>
    </row>
    <row r="270" spans="9:22" x14ac:dyDescent="0.45">
      <c r="I270" t="s">
        <v>179</v>
      </c>
      <c r="J270" t="s">
        <v>463</v>
      </c>
      <c r="K270">
        <v>3.1146082911266697E-3</v>
      </c>
      <c r="L270" t="s">
        <v>158</v>
      </c>
      <c r="N270" t="s">
        <v>315</v>
      </c>
      <c r="O270" t="s">
        <v>463</v>
      </c>
      <c r="P270">
        <v>0.12536275719538981</v>
      </c>
      <c r="Q270" t="s">
        <v>158</v>
      </c>
      <c r="S270" t="s">
        <v>429</v>
      </c>
      <c r="T270" t="s">
        <v>463</v>
      </c>
      <c r="U270">
        <v>0.11031388088225572</v>
      </c>
      <c r="V270" t="s">
        <v>158</v>
      </c>
    </row>
    <row r="271" spans="9:22" x14ac:dyDescent="0.45">
      <c r="I271" t="s">
        <v>179</v>
      </c>
      <c r="J271" t="s">
        <v>464</v>
      </c>
      <c r="K271">
        <v>3.2353664065907922E-2</v>
      </c>
      <c r="L271" t="s">
        <v>158</v>
      </c>
      <c r="N271" t="s">
        <v>315</v>
      </c>
      <c r="O271" t="s">
        <v>464</v>
      </c>
      <c r="P271">
        <v>3.0312563121575271E-2</v>
      </c>
      <c r="Q271" t="s">
        <v>158</v>
      </c>
      <c r="S271" t="s">
        <v>429</v>
      </c>
      <c r="T271" t="s">
        <v>464</v>
      </c>
      <c r="U271">
        <v>2.0271069918218535E-2</v>
      </c>
      <c r="V271" t="s">
        <v>158</v>
      </c>
    </row>
    <row r="272" spans="9:22" x14ac:dyDescent="0.45">
      <c r="I272" t="s">
        <v>179</v>
      </c>
      <c r="J272" t="s">
        <v>465</v>
      </c>
      <c r="K272">
        <v>0.17389399292817495</v>
      </c>
      <c r="L272" t="s">
        <v>158</v>
      </c>
      <c r="N272" t="s">
        <v>315</v>
      </c>
      <c r="O272" t="s">
        <v>465</v>
      </c>
      <c r="P272">
        <v>7.1062507932351249E-2</v>
      </c>
      <c r="Q272" t="s">
        <v>158</v>
      </c>
      <c r="S272" t="s">
        <v>429</v>
      </c>
      <c r="T272" t="s">
        <v>465</v>
      </c>
      <c r="U272">
        <v>0.13052314741717178</v>
      </c>
      <c r="V272" t="s">
        <v>158</v>
      </c>
    </row>
    <row r="273" spans="9:22" x14ac:dyDescent="0.45">
      <c r="I273" t="s">
        <v>179</v>
      </c>
      <c r="J273" t="s">
        <v>466</v>
      </c>
      <c r="K273">
        <v>0</v>
      </c>
      <c r="L273" t="s">
        <v>158</v>
      </c>
      <c r="N273" t="s">
        <v>315</v>
      </c>
      <c r="O273" t="s">
        <v>466</v>
      </c>
      <c r="P273">
        <v>6.5669931903425363E-2</v>
      </c>
      <c r="Q273" t="s">
        <v>158</v>
      </c>
      <c r="S273" t="s">
        <v>429</v>
      </c>
      <c r="T273" t="s">
        <v>466</v>
      </c>
      <c r="U273">
        <v>0.1368888927580808</v>
      </c>
      <c r="V273" t="s">
        <v>158</v>
      </c>
    </row>
    <row r="274" spans="9:22" x14ac:dyDescent="0.45">
      <c r="I274" t="s">
        <v>179</v>
      </c>
      <c r="J274" t="s">
        <v>467</v>
      </c>
      <c r="K274">
        <v>6.9054899004463459E-3</v>
      </c>
      <c r="L274" t="s">
        <v>158</v>
      </c>
      <c r="N274" t="s">
        <v>315</v>
      </c>
      <c r="O274" t="s">
        <v>467</v>
      </c>
      <c r="P274">
        <v>1.6600028555889903E-2</v>
      </c>
      <c r="Q274" t="s">
        <v>158</v>
      </c>
      <c r="S274" t="s">
        <v>429</v>
      </c>
      <c r="T274" t="s">
        <v>467</v>
      </c>
      <c r="U274">
        <v>2.492911644784258E-2</v>
      </c>
      <c r="V274" t="s">
        <v>158</v>
      </c>
    </row>
    <row r="275" spans="9:22" x14ac:dyDescent="0.45">
      <c r="I275" t="s">
        <v>180</v>
      </c>
      <c r="J275" t="s">
        <v>456</v>
      </c>
      <c r="K275">
        <v>0.21306808315488812</v>
      </c>
      <c r="L275" t="s">
        <v>158</v>
      </c>
      <c r="N275" t="s">
        <v>316</v>
      </c>
      <c r="O275" t="s">
        <v>456</v>
      </c>
      <c r="P275">
        <v>7.5169419108583588E-2</v>
      </c>
      <c r="Q275" t="s">
        <v>158</v>
      </c>
      <c r="S275" t="s">
        <v>430</v>
      </c>
      <c r="T275" t="s">
        <v>456</v>
      </c>
      <c r="U275">
        <v>0.12144037347908149</v>
      </c>
      <c r="V275" t="s">
        <v>158</v>
      </c>
    </row>
    <row r="276" spans="9:22" x14ac:dyDescent="0.45">
      <c r="I276" t="s">
        <v>180</v>
      </c>
      <c r="J276" t="s">
        <v>457</v>
      </c>
      <c r="K276">
        <v>2.5826326351200797E-5</v>
      </c>
      <c r="L276" t="s">
        <v>158</v>
      </c>
      <c r="N276" t="s">
        <v>316</v>
      </c>
      <c r="O276" t="s">
        <v>457</v>
      </c>
      <c r="P276">
        <v>0.11714192053593053</v>
      </c>
      <c r="Q276" t="s">
        <v>158</v>
      </c>
      <c r="S276" t="s">
        <v>430</v>
      </c>
      <c r="T276" t="s">
        <v>457</v>
      </c>
      <c r="U276">
        <v>0.11642002296470538</v>
      </c>
      <c r="V276" t="s">
        <v>158</v>
      </c>
    </row>
    <row r="277" spans="9:22" x14ac:dyDescent="0.45">
      <c r="I277" t="s">
        <v>180</v>
      </c>
      <c r="J277" t="s">
        <v>458</v>
      </c>
      <c r="K277">
        <v>1.5514148024341142E-2</v>
      </c>
      <c r="L277" t="s">
        <v>158</v>
      </c>
      <c r="N277" t="s">
        <v>316</v>
      </c>
      <c r="O277" t="s">
        <v>458</v>
      </c>
      <c r="P277">
        <v>1.6800117647767485E-2</v>
      </c>
      <c r="Q277" t="s">
        <v>158</v>
      </c>
      <c r="S277" t="s">
        <v>430</v>
      </c>
      <c r="T277" t="s">
        <v>458</v>
      </c>
      <c r="U277">
        <v>2.2111467912064874E-2</v>
      </c>
      <c r="V277" t="s">
        <v>158</v>
      </c>
    </row>
    <row r="278" spans="9:22" x14ac:dyDescent="0.45">
      <c r="I278" t="s">
        <v>180</v>
      </c>
      <c r="J278" t="s">
        <v>459</v>
      </c>
      <c r="K278">
        <v>0.26199604246295394</v>
      </c>
      <c r="L278" t="s">
        <v>158</v>
      </c>
      <c r="N278" t="s">
        <v>316</v>
      </c>
      <c r="O278" t="s">
        <v>459</v>
      </c>
      <c r="P278">
        <v>0.14048144129662307</v>
      </c>
      <c r="Q278" t="s">
        <v>158</v>
      </c>
      <c r="S278" t="s">
        <v>430</v>
      </c>
      <c r="T278" t="s">
        <v>459</v>
      </c>
      <c r="U278">
        <v>9.7040329094323849E-2</v>
      </c>
      <c r="V278" t="s">
        <v>158</v>
      </c>
    </row>
    <row r="279" spans="9:22" x14ac:dyDescent="0.45">
      <c r="I279" t="s">
        <v>180</v>
      </c>
      <c r="J279" t="s">
        <v>460</v>
      </c>
      <c r="K279">
        <v>2.2283994087079853E-3</v>
      </c>
      <c r="L279" t="s">
        <v>158</v>
      </c>
      <c r="N279" t="s">
        <v>316</v>
      </c>
      <c r="O279" t="s">
        <v>460</v>
      </c>
      <c r="P279">
        <v>0.16413519059668374</v>
      </c>
      <c r="Q279" t="s">
        <v>158</v>
      </c>
      <c r="S279" t="s">
        <v>430</v>
      </c>
      <c r="T279" t="s">
        <v>460</v>
      </c>
      <c r="U279">
        <v>9.4440636527511737E-2</v>
      </c>
      <c r="V279" t="s">
        <v>158</v>
      </c>
    </row>
    <row r="280" spans="9:22" x14ac:dyDescent="0.45">
      <c r="I280" t="s">
        <v>180</v>
      </c>
      <c r="J280" t="s">
        <v>461</v>
      </c>
      <c r="K280">
        <v>2.9772068889816237E-2</v>
      </c>
      <c r="L280" t="s">
        <v>158</v>
      </c>
      <c r="N280" t="s">
        <v>316</v>
      </c>
      <c r="O280" t="s">
        <v>461</v>
      </c>
      <c r="P280">
        <v>2.5303130369432027E-2</v>
      </c>
      <c r="Q280" t="s">
        <v>158</v>
      </c>
      <c r="S280" t="s">
        <v>430</v>
      </c>
      <c r="T280" t="s">
        <v>461</v>
      </c>
      <c r="U280">
        <v>1.7064134896303203E-2</v>
      </c>
      <c r="V280" t="s">
        <v>158</v>
      </c>
    </row>
    <row r="281" spans="9:22" x14ac:dyDescent="0.45">
      <c r="I281" t="s">
        <v>180</v>
      </c>
      <c r="J281" t="s">
        <v>462</v>
      </c>
      <c r="K281">
        <v>0.22842579464641849</v>
      </c>
      <c r="L281" t="s">
        <v>158</v>
      </c>
      <c r="N281" t="s">
        <v>316</v>
      </c>
      <c r="O281" t="s">
        <v>462</v>
      </c>
      <c r="P281">
        <v>0.10250337109962898</v>
      </c>
      <c r="Q281" t="s">
        <v>158</v>
      </c>
      <c r="S281" t="s">
        <v>430</v>
      </c>
      <c r="T281" t="s">
        <v>462</v>
      </c>
      <c r="U281">
        <v>0.1257644774354921</v>
      </c>
      <c r="V281" t="s">
        <v>158</v>
      </c>
    </row>
    <row r="282" spans="9:22" x14ac:dyDescent="0.45">
      <c r="I282" t="s">
        <v>180</v>
      </c>
      <c r="J282" t="s">
        <v>463</v>
      </c>
      <c r="K282">
        <v>4.9174516920465266E-3</v>
      </c>
      <c r="L282" t="s">
        <v>158</v>
      </c>
      <c r="N282" t="s">
        <v>316</v>
      </c>
      <c r="O282" t="s">
        <v>463</v>
      </c>
      <c r="P282">
        <v>0.14947916136657505</v>
      </c>
      <c r="Q282" t="s">
        <v>158</v>
      </c>
      <c r="S282" t="s">
        <v>430</v>
      </c>
      <c r="T282" t="s">
        <v>463</v>
      </c>
      <c r="U282">
        <v>0.13828695233210039</v>
      </c>
      <c r="V282" t="s">
        <v>158</v>
      </c>
    </row>
    <row r="283" spans="9:22" x14ac:dyDescent="0.45">
      <c r="I283" t="s">
        <v>180</v>
      </c>
      <c r="J283" t="s">
        <v>464</v>
      </c>
      <c r="K283">
        <v>2.7897524909250081E-2</v>
      </c>
      <c r="L283" t="s">
        <v>158</v>
      </c>
      <c r="N283" t="s">
        <v>316</v>
      </c>
      <c r="O283" t="s">
        <v>464</v>
      </c>
      <c r="P283">
        <v>1.93842747661177E-2</v>
      </c>
      <c r="Q283" t="s">
        <v>158</v>
      </c>
      <c r="S283" t="s">
        <v>430</v>
      </c>
      <c r="T283" t="s">
        <v>464</v>
      </c>
      <c r="U283">
        <v>2.346820826395701E-2</v>
      </c>
      <c r="V283" t="s">
        <v>158</v>
      </c>
    </row>
    <row r="284" spans="9:22" x14ac:dyDescent="0.45">
      <c r="I284" t="s">
        <v>180</v>
      </c>
      <c r="J284" t="s">
        <v>465</v>
      </c>
      <c r="K284">
        <v>0.20303087978858955</v>
      </c>
      <c r="L284" t="s">
        <v>158</v>
      </c>
      <c r="N284" t="s">
        <v>316</v>
      </c>
      <c r="O284" t="s">
        <v>465</v>
      </c>
      <c r="P284">
        <v>7.1268567965636978E-2</v>
      </c>
      <c r="Q284" t="s">
        <v>158</v>
      </c>
      <c r="S284" t="s">
        <v>430</v>
      </c>
      <c r="T284" t="s">
        <v>465</v>
      </c>
      <c r="U284">
        <v>0.11277410510557934</v>
      </c>
      <c r="V284" t="s">
        <v>158</v>
      </c>
    </row>
    <row r="285" spans="9:22" x14ac:dyDescent="0.45">
      <c r="I285" t="s">
        <v>180</v>
      </c>
      <c r="J285" t="s">
        <v>466</v>
      </c>
      <c r="K285">
        <v>0</v>
      </c>
      <c r="L285" t="s">
        <v>158</v>
      </c>
      <c r="N285" t="s">
        <v>316</v>
      </c>
      <c r="O285" t="s">
        <v>466</v>
      </c>
      <c r="P285">
        <v>0.10243472343165314</v>
      </c>
      <c r="Q285" t="s">
        <v>158</v>
      </c>
      <c r="S285" t="s">
        <v>430</v>
      </c>
      <c r="T285" t="s">
        <v>466</v>
      </c>
      <c r="U285">
        <v>0.11027573266591197</v>
      </c>
      <c r="V285" t="s">
        <v>158</v>
      </c>
    </row>
    <row r="286" spans="9:22" x14ac:dyDescent="0.45">
      <c r="I286" t="s">
        <v>180</v>
      </c>
      <c r="J286" t="s">
        <v>467</v>
      </c>
      <c r="K286">
        <v>1.3123780696638046E-2</v>
      </c>
      <c r="L286" t="s">
        <v>158</v>
      </c>
      <c r="N286" t="s">
        <v>316</v>
      </c>
      <c r="O286" t="s">
        <v>467</v>
      </c>
      <c r="P286">
        <v>1.5898681815370335E-2</v>
      </c>
      <c r="Q286" t="s">
        <v>158</v>
      </c>
      <c r="S286" t="s">
        <v>430</v>
      </c>
      <c r="T286" t="s">
        <v>467</v>
      </c>
      <c r="U286">
        <v>2.0913559322964525E-2</v>
      </c>
      <c r="V286" t="s">
        <v>158</v>
      </c>
    </row>
    <row r="287" spans="9:22" x14ac:dyDescent="0.45">
      <c r="I287" t="s">
        <v>181</v>
      </c>
      <c r="J287" t="s">
        <v>456</v>
      </c>
      <c r="K287">
        <v>0.21427598543384158</v>
      </c>
      <c r="L287" t="s">
        <v>158</v>
      </c>
      <c r="N287" t="s">
        <v>317</v>
      </c>
      <c r="O287" t="s">
        <v>456</v>
      </c>
      <c r="P287">
        <v>8.3939115019580554E-2</v>
      </c>
      <c r="Q287" t="s">
        <v>158</v>
      </c>
      <c r="S287" t="s">
        <v>431</v>
      </c>
      <c r="T287" t="s">
        <v>456</v>
      </c>
      <c r="U287">
        <v>0.1123259009913888</v>
      </c>
      <c r="V287" t="s">
        <v>158</v>
      </c>
    </row>
    <row r="288" spans="9:22" x14ac:dyDescent="0.45">
      <c r="I288" t="s">
        <v>181</v>
      </c>
      <c r="J288" t="s">
        <v>457</v>
      </c>
      <c r="K288">
        <v>6.2446161140042175E-6</v>
      </c>
      <c r="L288" t="s">
        <v>158</v>
      </c>
      <c r="N288" t="s">
        <v>317</v>
      </c>
      <c r="O288" t="s">
        <v>457</v>
      </c>
      <c r="P288">
        <v>9.3568333131543446E-2</v>
      </c>
      <c r="Q288" t="s">
        <v>158</v>
      </c>
      <c r="S288" t="s">
        <v>431</v>
      </c>
      <c r="T288" t="s">
        <v>457</v>
      </c>
      <c r="U288">
        <v>0.10596071558849647</v>
      </c>
      <c r="V288" t="s">
        <v>158</v>
      </c>
    </row>
    <row r="289" spans="9:22" x14ac:dyDescent="0.45">
      <c r="I289" t="s">
        <v>181</v>
      </c>
      <c r="J289" t="s">
        <v>458</v>
      </c>
      <c r="K289">
        <v>1.5365102921456823E-2</v>
      </c>
      <c r="L289" t="s">
        <v>158</v>
      </c>
      <c r="N289" t="s">
        <v>317</v>
      </c>
      <c r="O289" t="s">
        <v>458</v>
      </c>
      <c r="P289">
        <v>1.8693459283030171E-2</v>
      </c>
      <c r="Q289" t="s">
        <v>158</v>
      </c>
      <c r="S289" t="s">
        <v>431</v>
      </c>
      <c r="T289" t="s">
        <v>458</v>
      </c>
      <c r="U289">
        <v>2.0205857836449674E-2</v>
      </c>
      <c r="V289" t="s">
        <v>158</v>
      </c>
    </row>
    <row r="290" spans="9:22" x14ac:dyDescent="0.45">
      <c r="I290" t="s">
        <v>181</v>
      </c>
      <c r="J290" t="s">
        <v>459</v>
      </c>
      <c r="K290">
        <v>0.26005639449577156</v>
      </c>
      <c r="L290" t="s">
        <v>158</v>
      </c>
      <c r="N290" t="s">
        <v>317</v>
      </c>
      <c r="O290" t="s">
        <v>459</v>
      </c>
      <c r="P290">
        <v>0.1515052831497633</v>
      </c>
      <c r="Q290" t="s">
        <v>158</v>
      </c>
      <c r="S290" t="s">
        <v>431</v>
      </c>
      <c r="T290" t="s">
        <v>459</v>
      </c>
      <c r="U290">
        <v>0.11632178550042116</v>
      </c>
      <c r="V290" t="s">
        <v>158</v>
      </c>
    </row>
    <row r="291" spans="9:22" x14ac:dyDescent="0.45">
      <c r="I291" t="s">
        <v>181</v>
      </c>
      <c r="J291" t="s">
        <v>460</v>
      </c>
      <c r="K291">
        <v>1.8542659595780142E-3</v>
      </c>
      <c r="L291" t="s">
        <v>158</v>
      </c>
      <c r="N291" t="s">
        <v>317</v>
      </c>
      <c r="O291" t="s">
        <v>460</v>
      </c>
      <c r="P291">
        <v>0.15666015885520992</v>
      </c>
      <c r="Q291" t="s">
        <v>158</v>
      </c>
      <c r="S291" t="s">
        <v>431</v>
      </c>
      <c r="T291" t="s">
        <v>460</v>
      </c>
      <c r="U291">
        <v>0.11711144931897706</v>
      </c>
      <c r="V291" t="s">
        <v>158</v>
      </c>
    </row>
    <row r="292" spans="9:22" x14ac:dyDescent="0.45">
      <c r="I292" t="s">
        <v>181</v>
      </c>
      <c r="J292" t="s">
        <v>461</v>
      </c>
      <c r="K292">
        <v>2.8929735818614358E-2</v>
      </c>
      <c r="L292" t="s">
        <v>158</v>
      </c>
      <c r="N292" t="s">
        <v>317</v>
      </c>
      <c r="O292" t="s">
        <v>461</v>
      </c>
      <c r="P292">
        <v>3.341279831103143E-2</v>
      </c>
      <c r="Q292" t="s">
        <v>158</v>
      </c>
      <c r="S292" t="s">
        <v>431</v>
      </c>
      <c r="T292" t="s">
        <v>461</v>
      </c>
      <c r="U292">
        <v>1.9320462719506815E-2</v>
      </c>
      <c r="V292" t="s">
        <v>158</v>
      </c>
    </row>
    <row r="293" spans="9:22" x14ac:dyDescent="0.45">
      <c r="I293" t="s">
        <v>181</v>
      </c>
      <c r="J293" t="s">
        <v>462</v>
      </c>
      <c r="K293">
        <v>0.2322898850672559</v>
      </c>
      <c r="L293" t="s">
        <v>158</v>
      </c>
      <c r="N293" t="s">
        <v>317</v>
      </c>
      <c r="O293" t="s">
        <v>462</v>
      </c>
      <c r="P293">
        <v>0.11465185947743207</v>
      </c>
      <c r="Q293" t="s">
        <v>158</v>
      </c>
      <c r="S293" t="s">
        <v>431</v>
      </c>
      <c r="T293" t="s">
        <v>462</v>
      </c>
      <c r="U293">
        <v>0.1215017895152905</v>
      </c>
      <c r="V293" t="s">
        <v>158</v>
      </c>
    </row>
    <row r="294" spans="9:22" x14ac:dyDescent="0.45">
      <c r="I294" t="s">
        <v>181</v>
      </c>
      <c r="J294" t="s">
        <v>463</v>
      </c>
      <c r="K294">
        <v>4.6141708846403505E-3</v>
      </c>
      <c r="L294" t="s">
        <v>158</v>
      </c>
      <c r="N294" t="s">
        <v>317</v>
      </c>
      <c r="O294" t="s">
        <v>463</v>
      </c>
      <c r="P294">
        <v>0.14970037661439134</v>
      </c>
      <c r="Q294" t="s">
        <v>158</v>
      </c>
      <c r="S294" t="s">
        <v>431</v>
      </c>
      <c r="T294" t="s">
        <v>463</v>
      </c>
      <c r="U294">
        <v>0.14499417459465758</v>
      </c>
      <c r="V294" t="s">
        <v>158</v>
      </c>
    </row>
    <row r="295" spans="9:22" x14ac:dyDescent="0.45">
      <c r="I295" t="s">
        <v>181</v>
      </c>
      <c r="J295" t="s">
        <v>464</v>
      </c>
      <c r="K295">
        <v>2.6756618639250267E-2</v>
      </c>
      <c r="L295" t="s">
        <v>158</v>
      </c>
      <c r="N295" t="s">
        <v>317</v>
      </c>
      <c r="O295" t="s">
        <v>464</v>
      </c>
      <c r="P295">
        <v>2.2912573172839287E-2</v>
      </c>
      <c r="Q295" t="s">
        <v>158</v>
      </c>
      <c r="S295" t="s">
        <v>431</v>
      </c>
      <c r="T295" t="s">
        <v>464</v>
      </c>
      <c r="U295">
        <v>2.4210104292844009E-2</v>
      </c>
      <c r="V295" t="s">
        <v>158</v>
      </c>
    </row>
    <row r="296" spans="9:22" x14ac:dyDescent="0.45">
      <c r="I296" t="s">
        <v>181</v>
      </c>
      <c r="J296" t="s">
        <v>465</v>
      </c>
      <c r="K296">
        <v>0.2025323842376606</v>
      </c>
      <c r="L296" t="s">
        <v>158</v>
      </c>
      <c r="N296" t="s">
        <v>317</v>
      </c>
      <c r="O296" t="s">
        <v>465</v>
      </c>
      <c r="P296">
        <v>7.6934505674444695E-2</v>
      </c>
      <c r="Q296" t="s">
        <v>158</v>
      </c>
      <c r="S296" t="s">
        <v>431</v>
      </c>
      <c r="T296" t="s">
        <v>465</v>
      </c>
      <c r="U296">
        <v>9.9739132799071081E-2</v>
      </c>
      <c r="V296" t="s">
        <v>158</v>
      </c>
    </row>
    <row r="297" spans="9:22" x14ac:dyDescent="0.45">
      <c r="I297" t="s">
        <v>181</v>
      </c>
      <c r="J297" t="s">
        <v>466</v>
      </c>
      <c r="K297">
        <v>0</v>
      </c>
      <c r="L297" t="s">
        <v>158</v>
      </c>
      <c r="N297" t="s">
        <v>317</v>
      </c>
      <c r="O297" t="s">
        <v>466</v>
      </c>
      <c r="P297">
        <v>8.2877498016575901E-2</v>
      </c>
      <c r="Q297" t="s">
        <v>158</v>
      </c>
      <c r="S297" t="s">
        <v>431</v>
      </c>
      <c r="T297" t="s">
        <v>466</v>
      </c>
      <c r="U297">
        <v>9.9164668631086653E-2</v>
      </c>
      <c r="V297" t="s">
        <v>158</v>
      </c>
    </row>
    <row r="298" spans="9:22" x14ac:dyDescent="0.45">
      <c r="I298" t="s">
        <v>181</v>
      </c>
      <c r="J298" t="s">
        <v>467</v>
      </c>
      <c r="K298">
        <v>1.331921192581895E-2</v>
      </c>
      <c r="L298" t="s">
        <v>158</v>
      </c>
      <c r="N298" t="s">
        <v>317</v>
      </c>
      <c r="O298" t="s">
        <v>467</v>
      </c>
      <c r="P298">
        <v>1.5144039294161494E-2</v>
      </c>
      <c r="Q298" t="s">
        <v>158</v>
      </c>
      <c r="S298" t="s">
        <v>431</v>
      </c>
      <c r="T298" t="s">
        <v>467</v>
      </c>
      <c r="U298">
        <v>1.9143958211807824E-2</v>
      </c>
      <c r="V298" t="s">
        <v>158</v>
      </c>
    </row>
    <row r="299" spans="9:22" x14ac:dyDescent="0.45">
      <c r="I299" t="s">
        <v>182</v>
      </c>
      <c r="J299" t="s">
        <v>456</v>
      </c>
      <c r="K299">
        <v>0.24112313075925934</v>
      </c>
      <c r="L299" t="s">
        <v>158</v>
      </c>
      <c r="N299" t="s">
        <v>318</v>
      </c>
      <c r="O299" t="s">
        <v>456</v>
      </c>
      <c r="P299">
        <v>8.1906753333797391E-2</v>
      </c>
      <c r="Q299" t="s">
        <v>158</v>
      </c>
      <c r="S299" t="s">
        <v>432</v>
      </c>
      <c r="T299" t="s">
        <v>456</v>
      </c>
      <c r="U299">
        <v>0.12088120949600924</v>
      </c>
      <c r="V299" t="s">
        <v>158</v>
      </c>
    </row>
    <row r="300" spans="9:22" x14ac:dyDescent="0.45">
      <c r="I300" t="s">
        <v>182</v>
      </c>
      <c r="J300" t="s">
        <v>457</v>
      </c>
      <c r="K300">
        <v>0</v>
      </c>
      <c r="L300" t="s">
        <v>158</v>
      </c>
      <c r="N300" t="s">
        <v>318</v>
      </c>
      <c r="O300" t="s">
        <v>457</v>
      </c>
      <c r="P300">
        <v>0.13042431328338749</v>
      </c>
      <c r="Q300" t="s">
        <v>158</v>
      </c>
      <c r="S300" t="s">
        <v>432</v>
      </c>
      <c r="T300" t="s">
        <v>457</v>
      </c>
      <c r="U300">
        <v>0.11295309726570728</v>
      </c>
      <c r="V300" t="s">
        <v>158</v>
      </c>
    </row>
    <row r="301" spans="9:22" x14ac:dyDescent="0.45">
      <c r="I301" t="s">
        <v>182</v>
      </c>
      <c r="J301" t="s">
        <v>458</v>
      </c>
      <c r="K301">
        <v>1.8664295077405163E-2</v>
      </c>
      <c r="L301" t="s">
        <v>158</v>
      </c>
      <c r="N301" t="s">
        <v>318</v>
      </c>
      <c r="O301" t="s">
        <v>458</v>
      </c>
      <c r="P301">
        <v>1.702025705901113E-2</v>
      </c>
      <c r="Q301" t="s">
        <v>158</v>
      </c>
      <c r="S301" t="s">
        <v>432</v>
      </c>
      <c r="T301" t="s">
        <v>458</v>
      </c>
      <c r="U301">
        <v>2.1289091101008292E-2</v>
      </c>
      <c r="V301" t="s">
        <v>158</v>
      </c>
    </row>
    <row r="302" spans="9:22" x14ac:dyDescent="0.45">
      <c r="I302" t="s">
        <v>182</v>
      </c>
      <c r="J302" t="s">
        <v>459</v>
      </c>
      <c r="K302">
        <v>0.22295657206635919</v>
      </c>
      <c r="L302" t="s">
        <v>158</v>
      </c>
      <c r="N302" t="s">
        <v>318</v>
      </c>
      <c r="O302" t="s">
        <v>459</v>
      </c>
      <c r="P302">
        <v>0.11953678787013985</v>
      </c>
      <c r="Q302" t="s">
        <v>158</v>
      </c>
      <c r="S302" t="s">
        <v>432</v>
      </c>
      <c r="T302" t="s">
        <v>459</v>
      </c>
      <c r="U302">
        <v>0.11380290899720193</v>
      </c>
      <c r="V302" t="s">
        <v>158</v>
      </c>
    </row>
    <row r="303" spans="9:22" x14ac:dyDescent="0.45">
      <c r="I303" t="s">
        <v>182</v>
      </c>
      <c r="J303" t="s">
        <v>460</v>
      </c>
      <c r="K303">
        <v>1.8780557163166117E-3</v>
      </c>
      <c r="L303" t="s">
        <v>158</v>
      </c>
      <c r="N303" t="s">
        <v>318</v>
      </c>
      <c r="O303" t="s">
        <v>460</v>
      </c>
      <c r="P303">
        <v>0.19454907878538305</v>
      </c>
      <c r="Q303" t="s">
        <v>158</v>
      </c>
      <c r="S303" t="s">
        <v>432</v>
      </c>
      <c r="T303" t="s">
        <v>460</v>
      </c>
      <c r="U303">
        <v>0.10481904947457711</v>
      </c>
      <c r="V303" t="s">
        <v>158</v>
      </c>
    </row>
    <row r="304" spans="9:22" x14ac:dyDescent="0.45">
      <c r="I304" t="s">
        <v>182</v>
      </c>
      <c r="J304" t="s">
        <v>461</v>
      </c>
      <c r="K304">
        <v>2.6191243154743402E-2</v>
      </c>
      <c r="L304" t="s">
        <v>158</v>
      </c>
      <c r="N304" t="s">
        <v>318</v>
      </c>
      <c r="O304" t="s">
        <v>461</v>
      </c>
      <c r="P304">
        <v>2.4394670698354912E-2</v>
      </c>
      <c r="Q304" t="s">
        <v>158</v>
      </c>
      <c r="S304" t="s">
        <v>432</v>
      </c>
      <c r="T304" t="s">
        <v>461</v>
      </c>
      <c r="U304">
        <v>1.9176432221231707E-2</v>
      </c>
      <c r="V304" t="s">
        <v>158</v>
      </c>
    </row>
    <row r="305" spans="9:22" x14ac:dyDescent="0.45">
      <c r="I305" t="s">
        <v>182</v>
      </c>
      <c r="J305" t="s">
        <v>462</v>
      </c>
      <c r="K305">
        <v>0.25635372682434365</v>
      </c>
      <c r="L305" t="s">
        <v>158</v>
      </c>
      <c r="N305" t="s">
        <v>318</v>
      </c>
      <c r="O305" t="s">
        <v>462</v>
      </c>
      <c r="P305">
        <v>0.11464078847881277</v>
      </c>
      <c r="Q305" t="s">
        <v>158</v>
      </c>
      <c r="S305" t="s">
        <v>432</v>
      </c>
      <c r="T305" t="s">
        <v>462</v>
      </c>
      <c r="U305">
        <v>0.11659687884841959</v>
      </c>
      <c r="V305" t="s">
        <v>158</v>
      </c>
    </row>
    <row r="306" spans="9:22" x14ac:dyDescent="0.45">
      <c r="I306" t="s">
        <v>182</v>
      </c>
      <c r="J306" t="s">
        <v>463</v>
      </c>
      <c r="K306">
        <v>5.3267551184107897E-3</v>
      </c>
      <c r="L306" t="s">
        <v>158</v>
      </c>
      <c r="N306" t="s">
        <v>318</v>
      </c>
      <c r="O306" t="s">
        <v>463</v>
      </c>
      <c r="P306">
        <v>0.20159101455592462</v>
      </c>
      <c r="Q306" t="s">
        <v>158</v>
      </c>
      <c r="S306" t="s">
        <v>432</v>
      </c>
      <c r="T306" t="s">
        <v>463</v>
      </c>
      <c r="U306">
        <v>0.12904754995836629</v>
      </c>
      <c r="V306" t="s">
        <v>158</v>
      </c>
    </row>
    <row r="307" spans="9:22" x14ac:dyDescent="0.45">
      <c r="I307" t="s">
        <v>182</v>
      </c>
      <c r="J307" t="s">
        <v>464</v>
      </c>
      <c r="K307">
        <v>2.9984302377845311E-2</v>
      </c>
      <c r="L307" t="s">
        <v>158</v>
      </c>
      <c r="N307" t="s">
        <v>318</v>
      </c>
      <c r="O307" t="s">
        <v>464</v>
      </c>
      <c r="P307">
        <v>2.4104191079378355E-2</v>
      </c>
      <c r="Q307" t="s">
        <v>158</v>
      </c>
      <c r="S307" t="s">
        <v>432</v>
      </c>
      <c r="T307" t="s">
        <v>464</v>
      </c>
      <c r="U307">
        <v>2.0795076664499063E-2</v>
      </c>
      <c r="V307" t="s">
        <v>158</v>
      </c>
    </row>
    <row r="308" spans="9:22" x14ac:dyDescent="0.45">
      <c r="I308" t="s">
        <v>182</v>
      </c>
      <c r="J308" t="s">
        <v>465</v>
      </c>
      <c r="K308">
        <v>0.18474909331565381</v>
      </c>
      <c r="L308" t="s">
        <v>158</v>
      </c>
      <c r="N308" t="s">
        <v>318</v>
      </c>
      <c r="O308" t="s">
        <v>465</v>
      </c>
      <c r="P308">
        <v>3.2654822023224006E-2</v>
      </c>
      <c r="Q308" t="s">
        <v>158</v>
      </c>
      <c r="S308" t="s">
        <v>432</v>
      </c>
      <c r="T308" t="s">
        <v>465</v>
      </c>
      <c r="U308">
        <v>0.11012382786018203</v>
      </c>
      <c r="V308" t="s">
        <v>158</v>
      </c>
    </row>
    <row r="309" spans="9:22" x14ac:dyDescent="0.45">
      <c r="I309" t="s">
        <v>182</v>
      </c>
      <c r="J309" t="s">
        <v>466</v>
      </c>
      <c r="K309">
        <v>0</v>
      </c>
      <c r="L309" t="s">
        <v>158</v>
      </c>
      <c r="N309" t="s">
        <v>318</v>
      </c>
      <c r="O309" t="s">
        <v>466</v>
      </c>
      <c r="P309">
        <v>5.2599696579769623E-2</v>
      </c>
      <c r="Q309" t="s">
        <v>158</v>
      </c>
      <c r="S309" t="s">
        <v>432</v>
      </c>
      <c r="T309" t="s">
        <v>466</v>
      </c>
      <c r="U309">
        <v>0.10991741044866837</v>
      </c>
      <c r="V309" t="s">
        <v>158</v>
      </c>
    </row>
    <row r="310" spans="9:22" x14ac:dyDescent="0.45">
      <c r="I310" t="s">
        <v>182</v>
      </c>
      <c r="J310" t="s">
        <v>467</v>
      </c>
      <c r="K310">
        <v>1.2772825589662725E-2</v>
      </c>
      <c r="L310" t="s">
        <v>158</v>
      </c>
      <c r="N310" t="s">
        <v>318</v>
      </c>
      <c r="O310" t="s">
        <v>467</v>
      </c>
      <c r="P310">
        <v>6.577626252816402E-3</v>
      </c>
      <c r="Q310" t="s">
        <v>158</v>
      </c>
      <c r="S310" t="s">
        <v>432</v>
      </c>
      <c r="T310" t="s">
        <v>467</v>
      </c>
      <c r="U310">
        <v>2.0597467664128302E-2</v>
      </c>
      <c r="V310" t="s">
        <v>158</v>
      </c>
    </row>
    <row r="311" spans="9:22" x14ac:dyDescent="0.45">
      <c r="I311" t="s">
        <v>183</v>
      </c>
      <c r="J311" t="s">
        <v>456</v>
      </c>
      <c r="K311">
        <v>0.22245839685637631</v>
      </c>
      <c r="L311" t="s">
        <v>158</v>
      </c>
      <c r="N311" t="s">
        <v>319</v>
      </c>
      <c r="O311" t="s">
        <v>456</v>
      </c>
      <c r="P311">
        <v>6.2765261532284053E-2</v>
      </c>
      <c r="Q311" t="s">
        <v>158</v>
      </c>
      <c r="S311" t="s">
        <v>433</v>
      </c>
      <c r="T311" t="s">
        <v>456</v>
      </c>
      <c r="U311">
        <v>9.999802770596683E-2</v>
      </c>
      <c r="V311" t="s">
        <v>158</v>
      </c>
    </row>
    <row r="312" spans="9:22" x14ac:dyDescent="0.45">
      <c r="I312" t="s">
        <v>183</v>
      </c>
      <c r="J312" t="s">
        <v>457</v>
      </c>
      <c r="K312">
        <v>3.7696632788254951E-6</v>
      </c>
      <c r="L312" t="s">
        <v>158</v>
      </c>
      <c r="N312" t="s">
        <v>319</v>
      </c>
      <c r="O312" t="s">
        <v>457</v>
      </c>
      <c r="P312">
        <v>0.12499893902761307</v>
      </c>
      <c r="Q312" t="s">
        <v>158</v>
      </c>
      <c r="S312" t="s">
        <v>433</v>
      </c>
      <c r="T312" t="s">
        <v>457</v>
      </c>
      <c r="U312">
        <v>0.10302049007258816</v>
      </c>
      <c r="V312" t="s">
        <v>158</v>
      </c>
    </row>
    <row r="313" spans="9:22" x14ac:dyDescent="0.45">
      <c r="I313" t="s">
        <v>183</v>
      </c>
      <c r="J313" t="s">
        <v>458</v>
      </c>
      <c r="K313">
        <v>1.6328848207774086E-2</v>
      </c>
      <c r="L313" t="s">
        <v>158</v>
      </c>
      <c r="N313" t="s">
        <v>319</v>
      </c>
      <c r="O313" t="s">
        <v>458</v>
      </c>
      <c r="P313">
        <v>2.2307100565935486E-2</v>
      </c>
      <c r="Q313" t="s">
        <v>158</v>
      </c>
      <c r="S313" t="s">
        <v>433</v>
      </c>
      <c r="T313" t="s">
        <v>458</v>
      </c>
      <c r="U313">
        <v>1.7226505929803002E-2</v>
      </c>
      <c r="V313" t="s">
        <v>158</v>
      </c>
    </row>
    <row r="314" spans="9:22" x14ac:dyDescent="0.45">
      <c r="I314" t="s">
        <v>183</v>
      </c>
      <c r="J314" t="s">
        <v>459</v>
      </c>
      <c r="K314">
        <v>0.25006075172462133</v>
      </c>
      <c r="L314" t="s">
        <v>158</v>
      </c>
      <c r="N314" t="s">
        <v>319</v>
      </c>
      <c r="O314" t="s">
        <v>459</v>
      </c>
      <c r="P314">
        <v>0.10802331063871556</v>
      </c>
      <c r="Q314" t="s">
        <v>158</v>
      </c>
      <c r="S314" t="s">
        <v>433</v>
      </c>
      <c r="T314" t="s">
        <v>459</v>
      </c>
      <c r="U314">
        <v>0.13903338983825167</v>
      </c>
      <c r="V314" t="s">
        <v>158</v>
      </c>
    </row>
    <row r="315" spans="9:22" x14ac:dyDescent="0.45">
      <c r="I315" t="s">
        <v>183</v>
      </c>
      <c r="J315" t="s">
        <v>460</v>
      </c>
      <c r="K315">
        <v>1.885434229953815E-3</v>
      </c>
      <c r="L315" t="s">
        <v>158</v>
      </c>
      <c r="N315" t="s">
        <v>319</v>
      </c>
      <c r="O315" t="s">
        <v>460</v>
      </c>
      <c r="P315">
        <v>0.21269684570995229</v>
      </c>
      <c r="Q315" t="s">
        <v>158</v>
      </c>
      <c r="S315" t="s">
        <v>433</v>
      </c>
      <c r="T315" t="s">
        <v>460</v>
      </c>
      <c r="U315">
        <v>0.13715023426316508</v>
      </c>
      <c r="V315" t="s">
        <v>158</v>
      </c>
    </row>
    <row r="316" spans="9:22" x14ac:dyDescent="0.45">
      <c r="I316" t="s">
        <v>183</v>
      </c>
      <c r="J316" t="s">
        <v>461</v>
      </c>
      <c r="K316">
        <v>2.8225092093987249E-2</v>
      </c>
      <c r="L316" t="s">
        <v>158</v>
      </c>
      <c r="N316" t="s">
        <v>319</v>
      </c>
      <c r="O316" t="s">
        <v>461</v>
      </c>
      <c r="P316">
        <v>2.9230219418895174E-2</v>
      </c>
      <c r="Q316" t="s">
        <v>158</v>
      </c>
      <c r="S316" t="s">
        <v>433</v>
      </c>
      <c r="T316" t="s">
        <v>461</v>
      </c>
      <c r="U316">
        <v>2.2887156096845645E-2</v>
      </c>
      <c r="V316" t="s">
        <v>158</v>
      </c>
    </row>
    <row r="317" spans="9:22" x14ac:dyDescent="0.45">
      <c r="I317" t="s">
        <v>183</v>
      </c>
      <c r="J317" t="s">
        <v>462</v>
      </c>
      <c r="K317">
        <v>0.2401312062930229</v>
      </c>
      <c r="L317" t="s">
        <v>158</v>
      </c>
      <c r="N317" t="s">
        <v>319</v>
      </c>
      <c r="O317" t="s">
        <v>462</v>
      </c>
      <c r="P317">
        <v>0.10173439293293417</v>
      </c>
      <c r="Q317" t="s">
        <v>158</v>
      </c>
      <c r="S317" t="s">
        <v>433</v>
      </c>
      <c r="T317" t="s">
        <v>462</v>
      </c>
      <c r="U317">
        <v>0.10463270338760286</v>
      </c>
      <c r="V317" t="s">
        <v>158</v>
      </c>
    </row>
    <row r="318" spans="9:22" x14ac:dyDescent="0.45">
      <c r="I318" t="s">
        <v>183</v>
      </c>
      <c r="J318" t="s">
        <v>463</v>
      </c>
      <c r="K318">
        <v>4.8748405893913544E-3</v>
      </c>
      <c r="L318" t="s">
        <v>158</v>
      </c>
      <c r="N318" t="s">
        <v>319</v>
      </c>
      <c r="O318" t="s">
        <v>463</v>
      </c>
      <c r="P318">
        <v>0.22408000987612975</v>
      </c>
      <c r="Q318" t="s">
        <v>158</v>
      </c>
      <c r="S318" t="s">
        <v>433</v>
      </c>
      <c r="T318" t="s">
        <v>463</v>
      </c>
      <c r="U318">
        <v>0.12028816657455926</v>
      </c>
      <c r="V318" t="s">
        <v>158</v>
      </c>
    </row>
    <row r="319" spans="9:22" x14ac:dyDescent="0.45">
      <c r="I319" t="s">
        <v>183</v>
      </c>
      <c r="J319" t="s">
        <v>464</v>
      </c>
      <c r="K319">
        <v>2.7873876347726433E-2</v>
      </c>
      <c r="L319" t="s">
        <v>158</v>
      </c>
      <c r="N319" t="s">
        <v>319</v>
      </c>
      <c r="O319" t="s">
        <v>464</v>
      </c>
      <c r="P319">
        <v>3.2902301706144978E-2</v>
      </c>
      <c r="Q319" t="s">
        <v>158</v>
      </c>
      <c r="S319" t="s">
        <v>433</v>
      </c>
      <c r="T319" t="s">
        <v>464</v>
      </c>
      <c r="U319">
        <v>1.8740355603156289E-2</v>
      </c>
      <c r="V319" t="s">
        <v>158</v>
      </c>
    </row>
    <row r="320" spans="9:22" x14ac:dyDescent="0.45">
      <c r="I320" t="s">
        <v>183</v>
      </c>
      <c r="J320" t="s">
        <v>465</v>
      </c>
      <c r="K320">
        <v>0.19520586612696339</v>
      </c>
      <c r="L320" t="s">
        <v>158</v>
      </c>
      <c r="N320" t="s">
        <v>319</v>
      </c>
      <c r="O320" t="s">
        <v>465</v>
      </c>
      <c r="P320">
        <v>2.8448747589679239E-2</v>
      </c>
      <c r="Q320" t="s">
        <v>158</v>
      </c>
      <c r="S320" t="s">
        <v>433</v>
      </c>
      <c r="T320" t="s">
        <v>465</v>
      </c>
      <c r="U320">
        <v>0.11125557629305791</v>
      </c>
      <c r="V320" t="s">
        <v>158</v>
      </c>
    </row>
    <row r="321" spans="9:22" x14ac:dyDescent="0.45">
      <c r="I321" t="s">
        <v>183</v>
      </c>
      <c r="J321" t="s">
        <v>466</v>
      </c>
      <c r="K321">
        <v>0</v>
      </c>
      <c r="L321" t="s">
        <v>158</v>
      </c>
      <c r="N321" t="s">
        <v>319</v>
      </c>
      <c r="O321" t="s">
        <v>466</v>
      </c>
      <c r="P321">
        <v>4.45901125004909E-2</v>
      </c>
      <c r="Q321" t="s">
        <v>158</v>
      </c>
      <c r="S321" t="s">
        <v>433</v>
      </c>
      <c r="T321" t="s">
        <v>466</v>
      </c>
      <c r="U321">
        <v>0.10571301036653992</v>
      </c>
      <c r="V321" t="s">
        <v>158</v>
      </c>
    </row>
    <row r="322" spans="9:22" x14ac:dyDescent="0.45">
      <c r="I322" t="s">
        <v>183</v>
      </c>
      <c r="J322" t="s">
        <v>467</v>
      </c>
      <c r="K322">
        <v>1.2951917866901443E-2</v>
      </c>
      <c r="L322" t="s">
        <v>158</v>
      </c>
      <c r="N322" t="s">
        <v>319</v>
      </c>
      <c r="O322" t="s">
        <v>467</v>
      </c>
      <c r="P322">
        <v>8.2227585012234015E-3</v>
      </c>
      <c r="Q322" t="s">
        <v>158</v>
      </c>
      <c r="S322" t="s">
        <v>433</v>
      </c>
      <c r="T322" t="s">
        <v>467</v>
      </c>
      <c r="U322">
        <v>2.0054383868462197E-2</v>
      </c>
      <c r="V322" t="s">
        <v>158</v>
      </c>
    </row>
    <row r="323" spans="9:22" x14ac:dyDescent="0.45">
      <c r="I323" t="s">
        <v>184</v>
      </c>
      <c r="J323" t="s">
        <v>456</v>
      </c>
      <c r="K323">
        <v>0.21489305930057867</v>
      </c>
      <c r="L323" t="s">
        <v>158</v>
      </c>
      <c r="N323" t="s">
        <v>320</v>
      </c>
      <c r="O323" t="s">
        <v>456</v>
      </c>
      <c r="P323">
        <v>7.7426008934284724E-2</v>
      </c>
      <c r="Q323" t="s">
        <v>158</v>
      </c>
      <c r="S323" t="s">
        <v>434</v>
      </c>
      <c r="T323" t="s">
        <v>456</v>
      </c>
      <c r="U323">
        <v>9.6253755326000376E-2</v>
      </c>
      <c r="V323" t="s">
        <v>158</v>
      </c>
    </row>
    <row r="324" spans="9:22" x14ac:dyDescent="0.45">
      <c r="I324" t="s">
        <v>184</v>
      </c>
      <c r="J324" t="s">
        <v>457</v>
      </c>
      <c r="K324">
        <v>0</v>
      </c>
      <c r="L324" t="s">
        <v>158</v>
      </c>
      <c r="N324" t="s">
        <v>320</v>
      </c>
      <c r="O324" t="s">
        <v>457</v>
      </c>
      <c r="P324">
        <v>0.11732332102746633</v>
      </c>
      <c r="Q324" t="s">
        <v>158</v>
      </c>
      <c r="S324" t="s">
        <v>434</v>
      </c>
      <c r="T324" t="s">
        <v>457</v>
      </c>
      <c r="U324">
        <v>0.10147169284560947</v>
      </c>
      <c r="V324" t="s">
        <v>158</v>
      </c>
    </row>
    <row r="325" spans="9:22" x14ac:dyDescent="0.45">
      <c r="I325" t="s">
        <v>184</v>
      </c>
      <c r="J325" t="s">
        <v>458</v>
      </c>
      <c r="K325">
        <v>1.3003850753448841E-2</v>
      </c>
      <c r="L325" t="s">
        <v>158</v>
      </c>
      <c r="N325" t="s">
        <v>320</v>
      </c>
      <c r="O325" t="s">
        <v>458</v>
      </c>
      <c r="P325">
        <v>2.2468898773674136E-2</v>
      </c>
      <c r="Q325" t="s">
        <v>158</v>
      </c>
      <c r="S325" t="s">
        <v>434</v>
      </c>
      <c r="T325" t="s">
        <v>458</v>
      </c>
      <c r="U325">
        <v>1.7335731080973756E-2</v>
      </c>
      <c r="V325" t="s">
        <v>158</v>
      </c>
    </row>
    <row r="326" spans="9:22" x14ac:dyDescent="0.45">
      <c r="I326" t="s">
        <v>184</v>
      </c>
      <c r="J326" t="s">
        <v>459</v>
      </c>
      <c r="K326">
        <v>0.2637517940960738</v>
      </c>
      <c r="L326" t="s">
        <v>158</v>
      </c>
      <c r="N326" t="s">
        <v>320</v>
      </c>
      <c r="O326" t="s">
        <v>459</v>
      </c>
      <c r="P326">
        <v>0.13109295379349278</v>
      </c>
      <c r="Q326" t="s">
        <v>158</v>
      </c>
      <c r="S326" t="s">
        <v>434</v>
      </c>
      <c r="T326" t="s">
        <v>459</v>
      </c>
      <c r="U326">
        <v>0.14506591488553228</v>
      </c>
      <c r="V326" t="s">
        <v>158</v>
      </c>
    </row>
    <row r="327" spans="9:22" x14ac:dyDescent="0.45">
      <c r="I327" t="s">
        <v>184</v>
      </c>
      <c r="J327" t="s">
        <v>460</v>
      </c>
      <c r="K327">
        <v>9.2978585688029993E-4</v>
      </c>
      <c r="L327" t="s">
        <v>158</v>
      </c>
      <c r="N327" t="s">
        <v>320</v>
      </c>
      <c r="O327" t="s">
        <v>460</v>
      </c>
      <c r="P327">
        <v>0.18510908665700837</v>
      </c>
      <c r="Q327" t="s">
        <v>158</v>
      </c>
      <c r="S327" t="s">
        <v>434</v>
      </c>
      <c r="T327" t="s">
        <v>460</v>
      </c>
      <c r="U327">
        <v>0.14078495898754062</v>
      </c>
      <c r="V327" t="s">
        <v>158</v>
      </c>
    </row>
    <row r="328" spans="9:22" x14ac:dyDescent="0.45">
      <c r="I328" t="s">
        <v>184</v>
      </c>
      <c r="J328" t="s">
        <v>461</v>
      </c>
      <c r="K328">
        <v>2.7906665130477831E-2</v>
      </c>
      <c r="L328" t="s">
        <v>158</v>
      </c>
      <c r="N328" t="s">
        <v>320</v>
      </c>
      <c r="O328" t="s">
        <v>461</v>
      </c>
      <c r="P328">
        <v>3.4246198384380942E-2</v>
      </c>
      <c r="Q328" t="s">
        <v>158</v>
      </c>
      <c r="S328" t="s">
        <v>434</v>
      </c>
      <c r="T328" t="s">
        <v>461</v>
      </c>
      <c r="U328">
        <v>2.637454514275165E-2</v>
      </c>
      <c r="V328" t="s">
        <v>158</v>
      </c>
    </row>
    <row r="329" spans="9:22" x14ac:dyDescent="0.45">
      <c r="I329" t="s">
        <v>184</v>
      </c>
      <c r="J329" t="s">
        <v>462</v>
      </c>
      <c r="K329">
        <v>0.24358047765222404</v>
      </c>
      <c r="L329" t="s">
        <v>158</v>
      </c>
      <c r="N329" t="s">
        <v>320</v>
      </c>
      <c r="O329" t="s">
        <v>462</v>
      </c>
      <c r="P329">
        <v>0.10681932392435141</v>
      </c>
      <c r="Q329" t="s">
        <v>158</v>
      </c>
      <c r="S329" t="s">
        <v>434</v>
      </c>
      <c r="T329" t="s">
        <v>462</v>
      </c>
      <c r="U329">
        <v>9.2265251542203136E-2</v>
      </c>
      <c r="V329" t="s">
        <v>158</v>
      </c>
    </row>
    <row r="330" spans="9:22" x14ac:dyDescent="0.45">
      <c r="I330" t="s">
        <v>184</v>
      </c>
      <c r="J330" t="s">
        <v>463</v>
      </c>
      <c r="K330">
        <v>3.7405583426882902E-3</v>
      </c>
      <c r="L330" t="s">
        <v>158</v>
      </c>
      <c r="N330" t="s">
        <v>320</v>
      </c>
      <c r="O330" t="s">
        <v>463</v>
      </c>
      <c r="P330">
        <v>0.2046953524022341</v>
      </c>
      <c r="Q330" t="s">
        <v>158</v>
      </c>
      <c r="S330" t="s">
        <v>434</v>
      </c>
      <c r="T330" t="s">
        <v>463</v>
      </c>
      <c r="U330">
        <v>9.7951550330257792E-2</v>
      </c>
      <c r="V330" t="s">
        <v>158</v>
      </c>
    </row>
    <row r="331" spans="9:22" x14ac:dyDescent="0.45">
      <c r="I331" t="s">
        <v>184</v>
      </c>
      <c r="J331" t="s">
        <v>464</v>
      </c>
      <c r="K331">
        <v>2.6554277562936764E-2</v>
      </c>
      <c r="L331" t="s">
        <v>158</v>
      </c>
      <c r="N331" t="s">
        <v>320</v>
      </c>
      <c r="O331" t="s">
        <v>464</v>
      </c>
      <c r="P331">
        <v>3.6204690992397537E-2</v>
      </c>
      <c r="Q331" t="s">
        <v>158</v>
      </c>
      <c r="S331" t="s">
        <v>434</v>
      </c>
      <c r="T331" t="s">
        <v>464</v>
      </c>
      <c r="U331">
        <v>1.7249396293766792E-2</v>
      </c>
      <c r="V331" t="s">
        <v>158</v>
      </c>
    </row>
    <row r="332" spans="9:22" x14ac:dyDescent="0.45">
      <c r="I332" t="s">
        <v>184</v>
      </c>
      <c r="J332" t="s">
        <v>465</v>
      </c>
      <c r="K332">
        <v>0.19405794554052871</v>
      </c>
      <c r="L332" t="s">
        <v>158</v>
      </c>
      <c r="N332" t="s">
        <v>320</v>
      </c>
      <c r="O332" t="s">
        <v>465</v>
      </c>
      <c r="P332">
        <v>2.7348770034340927E-2</v>
      </c>
      <c r="Q332" t="s">
        <v>158</v>
      </c>
      <c r="S332" t="s">
        <v>434</v>
      </c>
      <c r="T332" t="s">
        <v>465</v>
      </c>
      <c r="U332">
        <v>0.12094983068732447</v>
      </c>
      <c r="V332" t="s">
        <v>158</v>
      </c>
    </row>
    <row r="333" spans="9:22" x14ac:dyDescent="0.45">
      <c r="I333" t="s">
        <v>184</v>
      </c>
      <c r="J333" t="s">
        <v>466</v>
      </c>
      <c r="K333">
        <v>0</v>
      </c>
      <c r="L333" t="s">
        <v>158</v>
      </c>
      <c r="N333" t="s">
        <v>320</v>
      </c>
      <c r="O333" t="s">
        <v>466</v>
      </c>
      <c r="P333">
        <v>5.0009226305970905E-2</v>
      </c>
      <c r="Q333" t="s">
        <v>158</v>
      </c>
      <c r="S333" t="s">
        <v>434</v>
      </c>
      <c r="T333" t="s">
        <v>466</v>
      </c>
      <c r="U333">
        <v>0.12165175819879886</v>
      </c>
      <c r="V333" t="s">
        <v>158</v>
      </c>
    </row>
    <row r="334" spans="9:22" x14ac:dyDescent="0.45">
      <c r="I334" t="s">
        <v>184</v>
      </c>
      <c r="J334" t="s">
        <v>467</v>
      </c>
      <c r="K334">
        <v>1.1581585764159323E-2</v>
      </c>
      <c r="L334" t="s">
        <v>158</v>
      </c>
      <c r="N334" t="s">
        <v>320</v>
      </c>
      <c r="O334" t="s">
        <v>467</v>
      </c>
      <c r="P334">
        <v>7.2561687704019223E-3</v>
      </c>
      <c r="Q334" t="s">
        <v>158</v>
      </c>
      <c r="S334" t="s">
        <v>434</v>
      </c>
      <c r="T334" t="s">
        <v>467</v>
      </c>
      <c r="U334">
        <v>2.2645614679242913E-2</v>
      </c>
      <c r="V334" t="s">
        <v>158</v>
      </c>
    </row>
    <row r="335" spans="9:22" x14ac:dyDescent="0.45">
      <c r="I335" t="s">
        <v>185</v>
      </c>
      <c r="J335" t="s">
        <v>456</v>
      </c>
      <c r="K335">
        <v>0.22109401479610782</v>
      </c>
      <c r="L335" t="s">
        <v>158</v>
      </c>
      <c r="N335" t="s">
        <v>321</v>
      </c>
      <c r="O335" t="s">
        <v>456</v>
      </c>
      <c r="P335">
        <v>0.12149327993128856</v>
      </c>
      <c r="Q335" t="s">
        <v>158</v>
      </c>
      <c r="S335" t="s">
        <v>435</v>
      </c>
      <c r="T335" t="s">
        <v>456</v>
      </c>
      <c r="U335">
        <v>9.2242412518331929E-2</v>
      </c>
      <c r="V335" t="s">
        <v>158</v>
      </c>
    </row>
    <row r="336" spans="9:22" x14ac:dyDescent="0.45">
      <c r="I336" t="s">
        <v>185</v>
      </c>
      <c r="J336" t="s">
        <v>457</v>
      </c>
      <c r="K336">
        <v>0</v>
      </c>
      <c r="L336" t="s">
        <v>158</v>
      </c>
      <c r="N336" t="s">
        <v>321</v>
      </c>
      <c r="O336" t="s">
        <v>457</v>
      </c>
      <c r="P336">
        <v>0.11406485636819114</v>
      </c>
      <c r="Q336" t="s">
        <v>158</v>
      </c>
      <c r="S336" t="s">
        <v>435</v>
      </c>
      <c r="T336" t="s">
        <v>457</v>
      </c>
      <c r="U336">
        <v>9.725047495954911E-2</v>
      </c>
      <c r="V336" t="s">
        <v>158</v>
      </c>
    </row>
    <row r="337" spans="9:22" x14ac:dyDescent="0.45">
      <c r="I337" t="s">
        <v>185</v>
      </c>
      <c r="J337" t="s">
        <v>458</v>
      </c>
      <c r="K337">
        <v>1.3822385804559606E-2</v>
      </c>
      <c r="L337" t="s">
        <v>158</v>
      </c>
      <c r="N337" t="s">
        <v>321</v>
      </c>
      <c r="O337" t="s">
        <v>458</v>
      </c>
      <c r="P337">
        <v>2.4188803973645617E-2</v>
      </c>
      <c r="Q337" t="s">
        <v>158</v>
      </c>
      <c r="S337" t="s">
        <v>435</v>
      </c>
      <c r="T337" t="s">
        <v>458</v>
      </c>
      <c r="U337">
        <v>1.6774537185963077E-2</v>
      </c>
      <c r="V337" t="s">
        <v>158</v>
      </c>
    </row>
    <row r="338" spans="9:22" x14ac:dyDescent="0.45">
      <c r="I338" t="s">
        <v>185</v>
      </c>
      <c r="J338" t="s">
        <v>459</v>
      </c>
      <c r="K338">
        <v>0.25388143870942803</v>
      </c>
      <c r="L338" t="s">
        <v>158</v>
      </c>
      <c r="N338" t="s">
        <v>321</v>
      </c>
      <c r="O338" t="s">
        <v>459</v>
      </c>
      <c r="P338">
        <v>0.14382100313535554</v>
      </c>
      <c r="Q338" t="s">
        <v>158</v>
      </c>
      <c r="S338" t="s">
        <v>435</v>
      </c>
      <c r="T338" t="s">
        <v>459</v>
      </c>
      <c r="U338">
        <v>0.14729785967060327</v>
      </c>
      <c r="V338" t="s">
        <v>158</v>
      </c>
    </row>
    <row r="339" spans="9:22" x14ac:dyDescent="0.45">
      <c r="I339" t="s">
        <v>185</v>
      </c>
      <c r="J339" t="s">
        <v>460</v>
      </c>
      <c r="K339">
        <v>7.9481005799438887E-4</v>
      </c>
      <c r="L339" t="s">
        <v>158</v>
      </c>
      <c r="N339" t="s">
        <v>321</v>
      </c>
      <c r="O339" t="s">
        <v>460</v>
      </c>
      <c r="P339">
        <v>0.1207432923291486</v>
      </c>
      <c r="Q339" t="s">
        <v>158</v>
      </c>
      <c r="S339" t="s">
        <v>435</v>
      </c>
      <c r="T339" t="s">
        <v>460</v>
      </c>
      <c r="U339">
        <v>0.14718236297063958</v>
      </c>
      <c r="V339" t="s">
        <v>158</v>
      </c>
    </row>
    <row r="340" spans="9:22" x14ac:dyDescent="0.45">
      <c r="I340" t="s">
        <v>185</v>
      </c>
      <c r="J340" t="s">
        <v>461</v>
      </c>
      <c r="K340">
        <v>2.7333187887639096E-2</v>
      </c>
      <c r="L340" t="s">
        <v>158</v>
      </c>
      <c r="N340" t="s">
        <v>321</v>
      </c>
      <c r="O340" t="s">
        <v>461</v>
      </c>
      <c r="P340">
        <v>2.8051437672557786E-2</v>
      </c>
      <c r="Q340" t="s">
        <v>158</v>
      </c>
      <c r="S340" t="s">
        <v>435</v>
      </c>
      <c r="T340" t="s">
        <v>461</v>
      </c>
      <c r="U340">
        <v>2.5207893981838564E-2</v>
      </c>
      <c r="V340" t="s">
        <v>158</v>
      </c>
    </row>
    <row r="341" spans="9:22" x14ac:dyDescent="0.45">
      <c r="I341" t="s">
        <v>185</v>
      </c>
      <c r="J341" t="s">
        <v>462</v>
      </c>
      <c r="K341">
        <v>0.25627644506427627</v>
      </c>
      <c r="L341" t="s">
        <v>158</v>
      </c>
      <c r="N341" t="s">
        <v>321</v>
      </c>
      <c r="O341" t="s">
        <v>462</v>
      </c>
      <c r="P341">
        <v>9.0034684959586136E-2</v>
      </c>
      <c r="Q341" t="s">
        <v>158</v>
      </c>
      <c r="S341" t="s">
        <v>435</v>
      </c>
      <c r="T341" t="s">
        <v>462</v>
      </c>
      <c r="U341">
        <v>9.9937987538551099E-2</v>
      </c>
      <c r="V341" t="s">
        <v>158</v>
      </c>
    </row>
    <row r="342" spans="9:22" x14ac:dyDescent="0.45">
      <c r="I342" t="s">
        <v>185</v>
      </c>
      <c r="J342" t="s">
        <v>463</v>
      </c>
      <c r="K342">
        <v>3.9154709360496292E-3</v>
      </c>
      <c r="L342" t="s">
        <v>158</v>
      </c>
      <c r="N342" t="s">
        <v>321</v>
      </c>
      <c r="O342" t="s">
        <v>463</v>
      </c>
      <c r="P342">
        <v>5.2316127766593008E-2</v>
      </c>
      <c r="Q342" t="s">
        <v>158</v>
      </c>
      <c r="S342" t="s">
        <v>435</v>
      </c>
      <c r="T342" t="s">
        <v>463</v>
      </c>
      <c r="U342">
        <v>0.11302571562184065</v>
      </c>
      <c r="V342" t="s">
        <v>158</v>
      </c>
    </row>
    <row r="343" spans="9:22" x14ac:dyDescent="0.45">
      <c r="I343" t="s">
        <v>185</v>
      </c>
      <c r="J343" t="s">
        <v>464</v>
      </c>
      <c r="K343">
        <v>2.7390577599758398E-2</v>
      </c>
      <c r="L343" t="s">
        <v>158</v>
      </c>
      <c r="N343" t="s">
        <v>321</v>
      </c>
      <c r="O343" t="s">
        <v>464</v>
      </c>
      <c r="P343">
        <v>1.9744129479782005E-2</v>
      </c>
      <c r="Q343" t="s">
        <v>158</v>
      </c>
      <c r="S343" t="s">
        <v>435</v>
      </c>
      <c r="T343" t="s">
        <v>464</v>
      </c>
      <c r="U343">
        <v>1.7642641485779788E-2</v>
      </c>
      <c r="V343" t="s">
        <v>158</v>
      </c>
    </row>
    <row r="344" spans="9:22" x14ac:dyDescent="0.45">
      <c r="I344" t="s">
        <v>185</v>
      </c>
      <c r="J344" t="s">
        <v>465</v>
      </c>
      <c r="K344">
        <v>0.18491660249284564</v>
      </c>
      <c r="L344" t="s">
        <v>158</v>
      </c>
      <c r="N344" t="s">
        <v>321</v>
      </c>
      <c r="O344" t="s">
        <v>465</v>
      </c>
      <c r="P344">
        <v>0.12474358342841295</v>
      </c>
      <c r="Q344" t="s">
        <v>158</v>
      </c>
      <c r="S344" t="s">
        <v>435</v>
      </c>
      <c r="T344" t="s">
        <v>465</v>
      </c>
      <c r="U344">
        <v>0.11319487053917854</v>
      </c>
      <c r="V344" t="s">
        <v>158</v>
      </c>
    </row>
    <row r="345" spans="9:22" x14ac:dyDescent="0.45">
      <c r="I345" t="s">
        <v>185</v>
      </c>
      <c r="J345" t="s">
        <v>466</v>
      </c>
      <c r="K345">
        <v>0</v>
      </c>
      <c r="L345" t="s">
        <v>158</v>
      </c>
      <c r="N345" t="s">
        <v>321</v>
      </c>
      <c r="O345" t="s">
        <v>466</v>
      </c>
      <c r="P345">
        <v>0.13530108655129117</v>
      </c>
      <c r="Q345" t="s">
        <v>158</v>
      </c>
      <c r="S345" t="s">
        <v>435</v>
      </c>
      <c r="T345" t="s">
        <v>466</v>
      </c>
      <c r="U345">
        <v>0.10988329756488766</v>
      </c>
      <c r="V345" t="s">
        <v>158</v>
      </c>
    </row>
    <row r="346" spans="9:22" x14ac:dyDescent="0.45">
      <c r="I346" t="s">
        <v>185</v>
      </c>
      <c r="J346" t="s">
        <v>467</v>
      </c>
      <c r="K346">
        <v>1.0575066651340658E-2</v>
      </c>
      <c r="L346" t="s">
        <v>158</v>
      </c>
      <c r="N346" t="s">
        <v>321</v>
      </c>
      <c r="O346" t="s">
        <v>467</v>
      </c>
      <c r="P346">
        <v>2.549771440414858E-2</v>
      </c>
      <c r="Q346" t="s">
        <v>158</v>
      </c>
      <c r="S346" t="s">
        <v>435</v>
      </c>
      <c r="T346" t="s">
        <v>467</v>
      </c>
      <c r="U346">
        <v>2.0359945962837349E-2</v>
      </c>
      <c r="V346" t="s">
        <v>158</v>
      </c>
    </row>
    <row r="347" spans="9:22" x14ac:dyDescent="0.45">
      <c r="I347" t="s">
        <v>186</v>
      </c>
      <c r="J347" t="s">
        <v>456</v>
      </c>
      <c r="K347">
        <v>0.26511869612544614</v>
      </c>
      <c r="L347" t="s">
        <v>158</v>
      </c>
      <c r="N347" t="s">
        <v>322</v>
      </c>
      <c r="O347" t="s">
        <v>456</v>
      </c>
      <c r="P347">
        <v>0.10163358293684222</v>
      </c>
      <c r="Q347" t="s">
        <v>158</v>
      </c>
      <c r="S347" t="s">
        <v>436</v>
      </c>
      <c r="T347" t="s">
        <v>456</v>
      </c>
      <c r="U347">
        <v>8.6219997282577551E-2</v>
      </c>
      <c r="V347" t="s">
        <v>158</v>
      </c>
    </row>
    <row r="348" spans="9:22" x14ac:dyDescent="0.45">
      <c r="I348" t="s">
        <v>186</v>
      </c>
      <c r="J348" t="s">
        <v>457</v>
      </c>
      <c r="K348">
        <v>0</v>
      </c>
      <c r="L348" t="s">
        <v>158</v>
      </c>
      <c r="N348" t="s">
        <v>322</v>
      </c>
      <c r="O348" t="s">
        <v>457</v>
      </c>
      <c r="P348">
        <v>0.10226011959214661</v>
      </c>
      <c r="Q348" t="s">
        <v>158</v>
      </c>
      <c r="S348" t="s">
        <v>436</v>
      </c>
      <c r="T348" t="s">
        <v>457</v>
      </c>
      <c r="U348">
        <v>0.10093800059085889</v>
      </c>
      <c r="V348" t="s">
        <v>158</v>
      </c>
    </row>
    <row r="349" spans="9:22" x14ac:dyDescent="0.45">
      <c r="I349" t="s">
        <v>186</v>
      </c>
      <c r="J349" t="s">
        <v>458</v>
      </c>
      <c r="K349">
        <v>1.4710324393978231E-2</v>
      </c>
      <c r="L349" t="s">
        <v>158</v>
      </c>
      <c r="N349" t="s">
        <v>322</v>
      </c>
      <c r="O349" t="s">
        <v>458</v>
      </c>
      <c r="P349">
        <v>2.2544185317207224E-2</v>
      </c>
      <c r="Q349" t="s">
        <v>158</v>
      </c>
      <c r="S349" t="s">
        <v>436</v>
      </c>
      <c r="T349" t="s">
        <v>458</v>
      </c>
      <c r="U349">
        <v>2.0940659588638767E-2</v>
      </c>
      <c r="V349" t="s">
        <v>158</v>
      </c>
    </row>
    <row r="350" spans="9:22" x14ac:dyDescent="0.45">
      <c r="I350" t="s">
        <v>186</v>
      </c>
      <c r="J350" t="s">
        <v>459</v>
      </c>
      <c r="K350">
        <v>0.20246873228261114</v>
      </c>
      <c r="L350" t="s">
        <v>158</v>
      </c>
      <c r="N350" t="s">
        <v>322</v>
      </c>
      <c r="O350" t="s">
        <v>459</v>
      </c>
      <c r="P350">
        <v>0.15479136462917237</v>
      </c>
      <c r="Q350" t="s">
        <v>158</v>
      </c>
      <c r="S350" t="s">
        <v>436</v>
      </c>
      <c r="T350" t="s">
        <v>459</v>
      </c>
      <c r="U350">
        <v>0.16405139601679744</v>
      </c>
      <c r="V350" t="s">
        <v>158</v>
      </c>
    </row>
    <row r="351" spans="9:22" x14ac:dyDescent="0.45">
      <c r="I351" t="s">
        <v>186</v>
      </c>
      <c r="J351" t="s">
        <v>460</v>
      </c>
      <c r="K351">
        <v>0</v>
      </c>
      <c r="L351" t="s">
        <v>158</v>
      </c>
      <c r="N351" t="s">
        <v>322</v>
      </c>
      <c r="O351" t="s">
        <v>460</v>
      </c>
      <c r="P351">
        <v>0.14172889060407828</v>
      </c>
      <c r="Q351" t="s">
        <v>158</v>
      </c>
      <c r="S351" t="s">
        <v>436</v>
      </c>
      <c r="T351" t="s">
        <v>460</v>
      </c>
      <c r="U351">
        <v>0.17235187960579226</v>
      </c>
      <c r="V351" t="s">
        <v>158</v>
      </c>
    </row>
    <row r="352" spans="9:22" x14ac:dyDescent="0.45">
      <c r="I352" t="s">
        <v>186</v>
      </c>
      <c r="J352" t="s">
        <v>461</v>
      </c>
      <c r="K352">
        <v>1.8575595524101488E-2</v>
      </c>
      <c r="L352" t="s">
        <v>158</v>
      </c>
      <c r="N352" t="s">
        <v>322</v>
      </c>
      <c r="O352" t="s">
        <v>461</v>
      </c>
      <c r="P352">
        <v>3.0850348710168903E-2</v>
      </c>
      <c r="Q352" t="s">
        <v>158</v>
      </c>
      <c r="S352" t="s">
        <v>436</v>
      </c>
      <c r="T352" t="s">
        <v>461</v>
      </c>
      <c r="U352">
        <v>3.3221463873840208E-2</v>
      </c>
      <c r="V352" t="s">
        <v>158</v>
      </c>
    </row>
    <row r="353" spans="9:22" x14ac:dyDescent="0.45">
      <c r="I353" t="s">
        <v>186</v>
      </c>
      <c r="J353" t="s">
        <v>462</v>
      </c>
      <c r="K353">
        <v>0.28642040558975662</v>
      </c>
      <c r="L353" t="s">
        <v>158</v>
      </c>
      <c r="N353" t="s">
        <v>322</v>
      </c>
      <c r="O353" t="s">
        <v>462</v>
      </c>
      <c r="P353">
        <v>0.11789590993412434</v>
      </c>
      <c r="Q353" t="s">
        <v>158</v>
      </c>
      <c r="S353" t="s">
        <v>436</v>
      </c>
      <c r="T353" t="s">
        <v>462</v>
      </c>
      <c r="U353">
        <v>9.0021748106322186E-2</v>
      </c>
      <c r="V353" t="s">
        <v>158</v>
      </c>
    </row>
    <row r="354" spans="9:22" x14ac:dyDescent="0.45">
      <c r="I354" t="s">
        <v>186</v>
      </c>
      <c r="J354" t="s">
        <v>463</v>
      </c>
      <c r="K354">
        <v>5.1806896267866068E-5</v>
      </c>
      <c r="L354" t="s">
        <v>158</v>
      </c>
      <c r="N354" t="s">
        <v>322</v>
      </c>
      <c r="O354" t="s">
        <v>463</v>
      </c>
      <c r="P354">
        <v>0.11403239953116158</v>
      </c>
      <c r="Q354" t="s">
        <v>158</v>
      </c>
      <c r="S354" t="s">
        <v>436</v>
      </c>
      <c r="T354" t="s">
        <v>463</v>
      </c>
      <c r="U354">
        <v>9.9191437174583882E-2</v>
      </c>
      <c r="V354" t="s">
        <v>158</v>
      </c>
    </row>
    <row r="355" spans="9:22" x14ac:dyDescent="0.45">
      <c r="I355" t="s">
        <v>186</v>
      </c>
      <c r="J355" t="s">
        <v>464</v>
      </c>
      <c r="K355">
        <v>3.0432154652288157E-2</v>
      </c>
      <c r="L355" t="s">
        <v>158</v>
      </c>
      <c r="N355" t="s">
        <v>322</v>
      </c>
      <c r="O355" t="s">
        <v>464</v>
      </c>
      <c r="P355">
        <v>2.7637867562816363E-2</v>
      </c>
      <c r="Q355" t="s">
        <v>158</v>
      </c>
      <c r="S355" t="s">
        <v>436</v>
      </c>
      <c r="T355" t="s">
        <v>464</v>
      </c>
      <c r="U355">
        <v>1.7703903595882586E-2</v>
      </c>
      <c r="V355" t="s">
        <v>158</v>
      </c>
    </row>
    <row r="356" spans="9:22" x14ac:dyDescent="0.45">
      <c r="I356" t="s">
        <v>186</v>
      </c>
      <c r="J356" t="s">
        <v>465</v>
      </c>
      <c r="K356">
        <v>0.17382490170054907</v>
      </c>
      <c r="L356" t="s">
        <v>158</v>
      </c>
      <c r="N356" t="s">
        <v>322</v>
      </c>
      <c r="O356" t="s">
        <v>465</v>
      </c>
      <c r="P356">
        <v>7.7797258677228628E-2</v>
      </c>
      <c r="Q356" t="s">
        <v>158</v>
      </c>
      <c r="S356" t="s">
        <v>436</v>
      </c>
      <c r="T356" t="s">
        <v>465</v>
      </c>
      <c r="U356">
        <v>9.8329723063007468E-2</v>
      </c>
      <c r="V356" t="s">
        <v>158</v>
      </c>
    </row>
    <row r="357" spans="9:22" x14ac:dyDescent="0.45">
      <c r="I357" t="s">
        <v>186</v>
      </c>
      <c r="J357" t="s">
        <v>466</v>
      </c>
      <c r="K357">
        <v>0</v>
      </c>
      <c r="L357" t="s">
        <v>158</v>
      </c>
      <c r="N357" t="s">
        <v>322</v>
      </c>
      <c r="O357" t="s">
        <v>466</v>
      </c>
      <c r="P357">
        <v>9.1427637533489647E-2</v>
      </c>
      <c r="Q357" t="s">
        <v>158</v>
      </c>
      <c r="S357" t="s">
        <v>436</v>
      </c>
      <c r="T357" t="s">
        <v>466</v>
      </c>
      <c r="U357">
        <v>9.822469062439769E-2</v>
      </c>
      <c r="V357" t="s">
        <v>158</v>
      </c>
    </row>
    <row r="358" spans="9:22" x14ac:dyDescent="0.45">
      <c r="I358" t="s">
        <v>186</v>
      </c>
      <c r="J358" t="s">
        <v>467</v>
      </c>
      <c r="K358">
        <v>8.3973828349991758E-3</v>
      </c>
      <c r="L358" t="s">
        <v>158</v>
      </c>
      <c r="N358" t="s">
        <v>322</v>
      </c>
      <c r="O358" t="s">
        <v>467</v>
      </c>
      <c r="P358">
        <v>1.7400434971564932E-2</v>
      </c>
      <c r="Q358" t="s">
        <v>158</v>
      </c>
      <c r="S358" t="s">
        <v>436</v>
      </c>
      <c r="T358" t="s">
        <v>467</v>
      </c>
      <c r="U358">
        <v>1.8805100477301294E-2</v>
      </c>
      <c r="V358" t="s">
        <v>158</v>
      </c>
    </row>
    <row r="359" spans="9:22" x14ac:dyDescent="0.45">
      <c r="I359" t="s">
        <v>187</v>
      </c>
      <c r="J359" t="s">
        <v>456</v>
      </c>
      <c r="K359">
        <v>0.25567645191131816</v>
      </c>
      <c r="L359" t="s">
        <v>158</v>
      </c>
      <c r="N359" t="s">
        <v>323</v>
      </c>
      <c r="O359" t="s">
        <v>456</v>
      </c>
      <c r="P359">
        <v>8.983455253123955E-2</v>
      </c>
      <c r="Q359" t="s">
        <v>158</v>
      </c>
      <c r="S359" t="s">
        <v>437</v>
      </c>
      <c r="T359" t="s">
        <v>456</v>
      </c>
      <c r="U359">
        <v>9.3275993245624869E-2</v>
      </c>
      <c r="V359" t="s">
        <v>158</v>
      </c>
    </row>
    <row r="360" spans="9:22" x14ac:dyDescent="0.45">
      <c r="I360" t="s">
        <v>187</v>
      </c>
      <c r="J360" t="s">
        <v>457</v>
      </c>
      <c r="K360">
        <v>0</v>
      </c>
      <c r="L360" t="s">
        <v>158</v>
      </c>
      <c r="N360" t="s">
        <v>323</v>
      </c>
      <c r="O360" t="s">
        <v>457</v>
      </c>
      <c r="P360">
        <v>0.11941083325934697</v>
      </c>
      <c r="Q360" t="s">
        <v>158</v>
      </c>
      <c r="S360" t="s">
        <v>437</v>
      </c>
      <c r="T360" t="s">
        <v>457</v>
      </c>
      <c r="U360">
        <v>0.10370431255210123</v>
      </c>
      <c r="V360" t="s">
        <v>158</v>
      </c>
    </row>
    <row r="361" spans="9:22" x14ac:dyDescent="0.45">
      <c r="I361" t="s">
        <v>187</v>
      </c>
      <c r="J361" t="s">
        <v>458</v>
      </c>
      <c r="K361">
        <v>1.1479542899179402E-2</v>
      </c>
      <c r="L361" t="s">
        <v>158</v>
      </c>
      <c r="N361" t="s">
        <v>323</v>
      </c>
      <c r="O361" t="s">
        <v>458</v>
      </c>
      <c r="P361">
        <v>2.096894811171222E-2</v>
      </c>
      <c r="Q361" t="s">
        <v>158</v>
      </c>
      <c r="S361" t="s">
        <v>437</v>
      </c>
      <c r="T361" t="s">
        <v>458</v>
      </c>
      <c r="U361">
        <v>1.7844919515824318E-2</v>
      </c>
      <c r="V361" t="s">
        <v>158</v>
      </c>
    </row>
    <row r="362" spans="9:22" x14ac:dyDescent="0.45">
      <c r="I362" t="s">
        <v>187</v>
      </c>
      <c r="J362" t="s">
        <v>459</v>
      </c>
      <c r="K362">
        <v>0.20698951418572001</v>
      </c>
      <c r="L362" t="s">
        <v>158</v>
      </c>
      <c r="N362" t="s">
        <v>323</v>
      </c>
      <c r="O362" t="s">
        <v>459</v>
      </c>
      <c r="P362">
        <v>0.14178393416060053</v>
      </c>
      <c r="Q362" t="s">
        <v>158</v>
      </c>
      <c r="S362" t="s">
        <v>437</v>
      </c>
      <c r="T362" t="s">
        <v>459</v>
      </c>
      <c r="U362">
        <v>0.14451981657200999</v>
      </c>
      <c r="V362" t="s">
        <v>158</v>
      </c>
    </row>
    <row r="363" spans="9:22" x14ac:dyDescent="0.45">
      <c r="I363" t="s">
        <v>187</v>
      </c>
      <c r="J363" t="s">
        <v>460</v>
      </c>
      <c r="K363">
        <v>0</v>
      </c>
      <c r="L363" t="s">
        <v>158</v>
      </c>
      <c r="N363" t="s">
        <v>323</v>
      </c>
      <c r="O363" t="s">
        <v>460</v>
      </c>
      <c r="P363">
        <v>0.17965173954578201</v>
      </c>
      <c r="Q363" t="s">
        <v>158</v>
      </c>
      <c r="S363" t="s">
        <v>437</v>
      </c>
      <c r="T363" t="s">
        <v>460</v>
      </c>
      <c r="U363">
        <v>0.15653134638691768</v>
      </c>
      <c r="V363" t="s">
        <v>158</v>
      </c>
    </row>
    <row r="364" spans="9:22" x14ac:dyDescent="0.45">
      <c r="I364" t="s">
        <v>187</v>
      </c>
      <c r="J364" t="s">
        <v>461</v>
      </c>
      <c r="K364">
        <v>1.5954388359197869E-2</v>
      </c>
      <c r="L364" t="s">
        <v>158</v>
      </c>
      <c r="N364" t="s">
        <v>323</v>
      </c>
      <c r="O364" t="s">
        <v>461</v>
      </c>
      <c r="P364">
        <v>3.2473457338115172E-2</v>
      </c>
      <c r="Q364" t="s">
        <v>158</v>
      </c>
      <c r="S364" t="s">
        <v>437</v>
      </c>
      <c r="T364" t="s">
        <v>461</v>
      </c>
      <c r="U364">
        <v>2.67069636632952E-2</v>
      </c>
      <c r="V364" t="s">
        <v>158</v>
      </c>
    </row>
    <row r="365" spans="9:22" x14ac:dyDescent="0.45">
      <c r="I365" t="s">
        <v>187</v>
      </c>
      <c r="J365" t="s">
        <v>462</v>
      </c>
      <c r="K365">
        <v>0.29126996884184503</v>
      </c>
      <c r="L365" t="s">
        <v>158</v>
      </c>
      <c r="N365" t="s">
        <v>323</v>
      </c>
      <c r="O365" t="s">
        <v>462</v>
      </c>
      <c r="P365">
        <v>0.1072858259370517</v>
      </c>
      <c r="Q365" t="s">
        <v>158</v>
      </c>
      <c r="S365" t="s">
        <v>437</v>
      </c>
      <c r="T365" t="s">
        <v>462</v>
      </c>
      <c r="U365">
        <v>8.6082726780097193E-2</v>
      </c>
      <c r="V365" t="s">
        <v>158</v>
      </c>
    </row>
    <row r="366" spans="9:22" x14ac:dyDescent="0.45">
      <c r="I366" t="s">
        <v>187</v>
      </c>
      <c r="J366" t="s">
        <v>463</v>
      </c>
      <c r="K366">
        <v>0</v>
      </c>
      <c r="L366" t="s">
        <v>158</v>
      </c>
      <c r="N366" t="s">
        <v>323</v>
      </c>
      <c r="O366" t="s">
        <v>463</v>
      </c>
      <c r="P366">
        <v>0.17432126005912027</v>
      </c>
      <c r="Q366" t="s">
        <v>158</v>
      </c>
      <c r="S366" t="s">
        <v>437</v>
      </c>
      <c r="T366" t="s">
        <v>463</v>
      </c>
      <c r="U366">
        <v>9.6425298357778272E-2</v>
      </c>
      <c r="V366" t="s">
        <v>158</v>
      </c>
    </row>
    <row r="367" spans="9:22" x14ac:dyDescent="0.45">
      <c r="I367" t="s">
        <v>187</v>
      </c>
      <c r="J367" t="s">
        <v>464</v>
      </c>
      <c r="K367">
        <v>2.5954656824190011E-2</v>
      </c>
      <c r="L367" t="s">
        <v>158</v>
      </c>
      <c r="N367" t="s">
        <v>323</v>
      </c>
      <c r="O367" t="s">
        <v>464</v>
      </c>
      <c r="P367">
        <v>2.9230012516823708E-2</v>
      </c>
      <c r="Q367" t="s">
        <v>158</v>
      </c>
      <c r="S367" t="s">
        <v>437</v>
      </c>
      <c r="T367" t="s">
        <v>464</v>
      </c>
      <c r="U367">
        <v>1.7372022689585521E-2</v>
      </c>
      <c r="V367" t="s">
        <v>158</v>
      </c>
    </row>
    <row r="368" spans="9:22" x14ac:dyDescent="0.45">
      <c r="I368" t="s">
        <v>187</v>
      </c>
      <c r="J368" t="s">
        <v>465</v>
      </c>
      <c r="K368">
        <v>0.18522431582014171</v>
      </c>
      <c r="L368" t="s">
        <v>158</v>
      </c>
      <c r="N368" t="s">
        <v>323</v>
      </c>
      <c r="O368" t="s">
        <v>465</v>
      </c>
      <c r="P368">
        <v>4.1738626529887218E-2</v>
      </c>
      <c r="Q368" t="s">
        <v>158</v>
      </c>
      <c r="S368" t="s">
        <v>437</v>
      </c>
      <c r="T368" t="s">
        <v>465</v>
      </c>
      <c r="U368">
        <v>0.1169816659254138</v>
      </c>
      <c r="V368" t="s">
        <v>158</v>
      </c>
    </row>
    <row r="369" spans="9:22" x14ac:dyDescent="0.45">
      <c r="I369" t="s">
        <v>187</v>
      </c>
      <c r="J369" t="s">
        <v>466</v>
      </c>
      <c r="K369">
        <v>0</v>
      </c>
      <c r="L369" t="s">
        <v>158</v>
      </c>
      <c r="N369" t="s">
        <v>323</v>
      </c>
      <c r="O369" t="s">
        <v>466</v>
      </c>
      <c r="P369">
        <v>5.7591015291546983E-2</v>
      </c>
      <c r="Q369" t="s">
        <v>158</v>
      </c>
      <c r="S369" t="s">
        <v>437</v>
      </c>
      <c r="T369" t="s">
        <v>466</v>
      </c>
      <c r="U369">
        <v>0.11845262177930262</v>
      </c>
      <c r="V369" t="s">
        <v>158</v>
      </c>
    </row>
    <row r="370" spans="9:22" x14ac:dyDescent="0.45">
      <c r="I370" t="s">
        <v>187</v>
      </c>
      <c r="J370" t="s">
        <v>467</v>
      </c>
      <c r="K370">
        <v>7.4511611584102827E-3</v>
      </c>
      <c r="L370" t="s">
        <v>158</v>
      </c>
      <c r="N370" t="s">
        <v>323</v>
      </c>
      <c r="O370" t="s">
        <v>467</v>
      </c>
      <c r="P370">
        <v>5.7097947187714111E-3</v>
      </c>
      <c r="Q370" t="s">
        <v>158</v>
      </c>
      <c r="S370" t="s">
        <v>437</v>
      </c>
      <c r="T370" t="s">
        <v>467</v>
      </c>
      <c r="U370">
        <v>2.2102312532051249E-2</v>
      </c>
      <c r="V370" t="s">
        <v>158</v>
      </c>
    </row>
    <row r="371" spans="9:22" x14ac:dyDescent="0.45">
      <c r="I371" t="s">
        <v>188</v>
      </c>
      <c r="J371" t="s">
        <v>456</v>
      </c>
      <c r="K371">
        <v>0.22895989598050287</v>
      </c>
      <c r="L371" t="s">
        <v>158</v>
      </c>
      <c r="N371" t="s">
        <v>324</v>
      </c>
      <c r="O371" t="s">
        <v>456</v>
      </c>
      <c r="P371">
        <v>0.11196733606590267</v>
      </c>
      <c r="Q371" t="s">
        <v>158</v>
      </c>
      <c r="S371" t="s">
        <v>438</v>
      </c>
      <c r="T371" t="s">
        <v>456</v>
      </c>
      <c r="U371">
        <v>0.10593233939970237</v>
      </c>
      <c r="V371" t="s">
        <v>158</v>
      </c>
    </row>
    <row r="372" spans="9:22" x14ac:dyDescent="0.45">
      <c r="I372" t="s">
        <v>188</v>
      </c>
      <c r="J372" t="s">
        <v>457</v>
      </c>
      <c r="K372">
        <v>0</v>
      </c>
      <c r="L372" t="s">
        <v>158</v>
      </c>
      <c r="N372" t="s">
        <v>324</v>
      </c>
      <c r="O372" t="s">
        <v>457</v>
      </c>
      <c r="P372">
        <v>0.10379384447138475</v>
      </c>
      <c r="Q372" t="s">
        <v>158</v>
      </c>
      <c r="S372" t="s">
        <v>438</v>
      </c>
      <c r="T372" t="s">
        <v>457</v>
      </c>
      <c r="U372">
        <v>0.12191029795770854</v>
      </c>
      <c r="V372" t="s">
        <v>158</v>
      </c>
    </row>
    <row r="373" spans="9:22" x14ac:dyDescent="0.45">
      <c r="I373" t="s">
        <v>188</v>
      </c>
      <c r="J373" t="s">
        <v>458</v>
      </c>
      <c r="K373">
        <v>1.2838383976425982E-2</v>
      </c>
      <c r="L373" t="s">
        <v>158</v>
      </c>
      <c r="N373" t="s">
        <v>324</v>
      </c>
      <c r="O373" t="s">
        <v>458</v>
      </c>
      <c r="P373">
        <v>2.1040639969263818E-2</v>
      </c>
      <c r="Q373" t="s">
        <v>158</v>
      </c>
      <c r="S373" t="s">
        <v>438</v>
      </c>
      <c r="T373" t="s">
        <v>458</v>
      </c>
      <c r="U373">
        <v>2.0678991601124779E-2</v>
      </c>
      <c r="V373" t="s">
        <v>158</v>
      </c>
    </row>
    <row r="374" spans="9:22" x14ac:dyDescent="0.45">
      <c r="I374" t="s">
        <v>188</v>
      </c>
      <c r="J374" t="s">
        <v>459</v>
      </c>
      <c r="K374">
        <v>0.22193782476137619</v>
      </c>
      <c r="L374" t="s">
        <v>158</v>
      </c>
      <c r="N374" t="s">
        <v>324</v>
      </c>
      <c r="O374" t="s">
        <v>459</v>
      </c>
      <c r="P374">
        <v>0.13694402943185394</v>
      </c>
      <c r="Q374" t="s">
        <v>158</v>
      </c>
      <c r="S374" t="s">
        <v>438</v>
      </c>
      <c r="T374" t="s">
        <v>459</v>
      </c>
      <c r="U374">
        <v>0.13756480951182712</v>
      </c>
      <c r="V374" t="s">
        <v>158</v>
      </c>
    </row>
    <row r="375" spans="9:22" x14ac:dyDescent="0.45">
      <c r="I375" t="s">
        <v>188</v>
      </c>
      <c r="J375" t="s">
        <v>460</v>
      </c>
      <c r="K375">
        <v>0</v>
      </c>
      <c r="L375" t="s">
        <v>158</v>
      </c>
      <c r="N375" t="s">
        <v>324</v>
      </c>
      <c r="O375" t="s">
        <v>460</v>
      </c>
      <c r="P375">
        <v>0.12831504219646506</v>
      </c>
      <c r="Q375" t="s">
        <v>158</v>
      </c>
      <c r="S375" t="s">
        <v>438</v>
      </c>
      <c r="T375" t="s">
        <v>460</v>
      </c>
      <c r="U375">
        <v>0.15015261625509396</v>
      </c>
      <c r="V375" t="s">
        <v>158</v>
      </c>
    </row>
    <row r="376" spans="9:22" x14ac:dyDescent="0.45">
      <c r="I376" t="s">
        <v>188</v>
      </c>
      <c r="J376" t="s">
        <v>461</v>
      </c>
      <c r="K376">
        <v>2.0274458153826103E-2</v>
      </c>
      <c r="L376" t="s">
        <v>158</v>
      </c>
      <c r="N376" t="s">
        <v>324</v>
      </c>
      <c r="O376" t="s">
        <v>461</v>
      </c>
      <c r="P376">
        <v>2.6642357797656266E-2</v>
      </c>
      <c r="Q376" t="s">
        <v>158</v>
      </c>
      <c r="S376" t="s">
        <v>438</v>
      </c>
      <c r="T376" t="s">
        <v>461</v>
      </c>
      <c r="U376">
        <v>2.8377666967259987E-2</v>
      </c>
      <c r="V376" t="s">
        <v>158</v>
      </c>
    </row>
    <row r="377" spans="9:22" x14ac:dyDescent="0.45">
      <c r="I377" t="s">
        <v>188</v>
      </c>
      <c r="J377" t="s">
        <v>462</v>
      </c>
      <c r="K377">
        <v>0.30300558084168944</v>
      </c>
      <c r="L377" t="s">
        <v>158</v>
      </c>
      <c r="N377" t="s">
        <v>324</v>
      </c>
      <c r="O377" t="s">
        <v>462</v>
      </c>
      <c r="P377">
        <v>8.371256028069983E-2</v>
      </c>
      <c r="Q377" t="s">
        <v>158</v>
      </c>
      <c r="S377" t="s">
        <v>438</v>
      </c>
      <c r="T377" t="s">
        <v>462</v>
      </c>
      <c r="U377">
        <v>7.6723956358486223E-2</v>
      </c>
      <c r="V377" t="s">
        <v>158</v>
      </c>
    </row>
    <row r="378" spans="9:22" x14ac:dyDescent="0.45">
      <c r="I378" t="s">
        <v>188</v>
      </c>
      <c r="J378" t="s">
        <v>463</v>
      </c>
      <c r="K378">
        <v>2.3035720577221567E-3</v>
      </c>
      <c r="L378" t="s">
        <v>158</v>
      </c>
      <c r="N378" t="s">
        <v>324</v>
      </c>
      <c r="O378" t="s">
        <v>463</v>
      </c>
      <c r="P378">
        <v>9.5502152768173157E-2</v>
      </c>
      <c r="Q378" t="s">
        <v>158</v>
      </c>
      <c r="S378" t="s">
        <v>438</v>
      </c>
      <c r="T378" t="s">
        <v>463</v>
      </c>
      <c r="U378">
        <v>9.1528590795716513E-2</v>
      </c>
      <c r="V378" t="s">
        <v>158</v>
      </c>
    </row>
    <row r="379" spans="9:22" x14ac:dyDescent="0.45">
      <c r="I379" t="s">
        <v>188</v>
      </c>
      <c r="J379" t="s">
        <v>464</v>
      </c>
      <c r="K379">
        <v>3.4066124684960529E-2</v>
      </c>
      <c r="L379" t="s">
        <v>158</v>
      </c>
      <c r="N379" t="s">
        <v>324</v>
      </c>
      <c r="O379" t="s">
        <v>464</v>
      </c>
      <c r="P379">
        <v>1.926228884004081E-2</v>
      </c>
      <c r="Q379" t="s">
        <v>158</v>
      </c>
      <c r="S379" t="s">
        <v>438</v>
      </c>
      <c r="T379" t="s">
        <v>464</v>
      </c>
      <c r="U379">
        <v>1.4736077484770981E-2</v>
      </c>
      <c r="V379" t="s">
        <v>158</v>
      </c>
    </row>
    <row r="380" spans="9:22" x14ac:dyDescent="0.45">
      <c r="I380" t="s">
        <v>188</v>
      </c>
      <c r="J380" t="s">
        <v>465</v>
      </c>
      <c r="K380">
        <v>0.16859904716299312</v>
      </c>
      <c r="L380" t="s">
        <v>158</v>
      </c>
      <c r="N380" t="s">
        <v>324</v>
      </c>
      <c r="O380" t="s">
        <v>465</v>
      </c>
      <c r="P380">
        <v>0.12585799365692116</v>
      </c>
      <c r="Q380" t="s">
        <v>158</v>
      </c>
      <c r="S380" t="s">
        <v>438</v>
      </c>
      <c r="T380" t="s">
        <v>465</v>
      </c>
      <c r="U380">
        <v>0.11111092361787894</v>
      </c>
      <c r="V380" t="s">
        <v>158</v>
      </c>
    </row>
    <row r="381" spans="9:22" x14ac:dyDescent="0.45">
      <c r="I381" t="s">
        <v>188</v>
      </c>
      <c r="J381" t="s">
        <v>466</v>
      </c>
      <c r="K381">
        <v>0</v>
      </c>
      <c r="L381" t="s">
        <v>158</v>
      </c>
      <c r="N381" t="s">
        <v>324</v>
      </c>
      <c r="O381" t="s">
        <v>466</v>
      </c>
      <c r="P381">
        <v>0.12479609800138544</v>
      </c>
      <c r="Q381" t="s">
        <v>158</v>
      </c>
      <c r="S381" t="s">
        <v>438</v>
      </c>
      <c r="T381" t="s">
        <v>466</v>
      </c>
      <c r="U381">
        <v>0.11867702817285884</v>
      </c>
      <c r="V381" t="s">
        <v>158</v>
      </c>
    </row>
    <row r="382" spans="9:22" x14ac:dyDescent="0.45">
      <c r="I382" t="s">
        <v>188</v>
      </c>
      <c r="J382" t="s">
        <v>467</v>
      </c>
      <c r="K382">
        <v>8.0151123805057029E-3</v>
      </c>
      <c r="L382" t="s">
        <v>158</v>
      </c>
      <c r="N382" t="s">
        <v>324</v>
      </c>
      <c r="O382" t="s">
        <v>467</v>
      </c>
      <c r="P382">
        <v>2.216565652025183E-2</v>
      </c>
      <c r="Q382" t="s">
        <v>158</v>
      </c>
      <c r="S382" t="s">
        <v>438</v>
      </c>
      <c r="T382" t="s">
        <v>467</v>
      </c>
      <c r="U382">
        <v>2.2606701877574745E-2</v>
      </c>
      <c r="V382" t="s">
        <v>158</v>
      </c>
    </row>
    <row r="383" spans="9:22" x14ac:dyDescent="0.45">
      <c r="I383" t="s">
        <v>189</v>
      </c>
      <c r="J383" t="s">
        <v>456</v>
      </c>
      <c r="K383">
        <v>0.23854362399603304</v>
      </c>
      <c r="L383" t="s">
        <v>158</v>
      </c>
      <c r="N383" t="s">
        <v>325</v>
      </c>
      <c r="O383" t="s">
        <v>456</v>
      </c>
      <c r="P383">
        <v>8.6664092181320401E-2</v>
      </c>
      <c r="Q383" t="s">
        <v>158</v>
      </c>
      <c r="S383" t="s">
        <v>439</v>
      </c>
      <c r="T383" t="s">
        <v>456</v>
      </c>
      <c r="U383">
        <v>9.1654187394015721E-2</v>
      </c>
      <c r="V383" t="s">
        <v>158</v>
      </c>
    </row>
    <row r="384" spans="9:22" x14ac:dyDescent="0.45">
      <c r="I384" t="s">
        <v>189</v>
      </c>
      <c r="J384" t="s">
        <v>457</v>
      </c>
      <c r="K384">
        <v>0</v>
      </c>
      <c r="L384" t="s">
        <v>158</v>
      </c>
      <c r="N384" t="s">
        <v>325</v>
      </c>
      <c r="O384" t="s">
        <v>457</v>
      </c>
      <c r="P384">
        <v>0.10909894786470847</v>
      </c>
      <c r="Q384" t="s">
        <v>158</v>
      </c>
      <c r="S384" t="s">
        <v>439</v>
      </c>
      <c r="T384" t="s">
        <v>457</v>
      </c>
      <c r="U384">
        <v>0.10953693546226156</v>
      </c>
      <c r="V384" t="s">
        <v>158</v>
      </c>
    </row>
    <row r="385" spans="9:22" x14ac:dyDescent="0.45">
      <c r="I385" t="s">
        <v>189</v>
      </c>
      <c r="J385" t="s">
        <v>458</v>
      </c>
      <c r="K385">
        <v>7.7700862462549408E-3</v>
      </c>
      <c r="L385" t="s">
        <v>158</v>
      </c>
      <c r="N385" t="s">
        <v>325</v>
      </c>
      <c r="O385" t="s">
        <v>458</v>
      </c>
      <c r="P385">
        <v>1.8334254158700065E-2</v>
      </c>
      <c r="Q385" t="s">
        <v>158</v>
      </c>
      <c r="S385" t="s">
        <v>439</v>
      </c>
      <c r="T385" t="s">
        <v>458</v>
      </c>
      <c r="U385">
        <v>1.8478482198589909E-2</v>
      </c>
      <c r="V385" t="s">
        <v>158</v>
      </c>
    </row>
    <row r="386" spans="9:22" x14ac:dyDescent="0.45">
      <c r="I386" t="s">
        <v>189</v>
      </c>
      <c r="J386" t="s">
        <v>459</v>
      </c>
      <c r="K386">
        <v>0.22592161110747799</v>
      </c>
      <c r="L386" t="s">
        <v>158</v>
      </c>
      <c r="N386" t="s">
        <v>325</v>
      </c>
      <c r="O386" t="s">
        <v>459</v>
      </c>
      <c r="P386">
        <v>0.13095642935506371</v>
      </c>
      <c r="Q386" t="s">
        <v>158</v>
      </c>
      <c r="S386" t="s">
        <v>439</v>
      </c>
      <c r="T386" t="s">
        <v>459</v>
      </c>
      <c r="U386">
        <v>0.1430399102350712</v>
      </c>
      <c r="V386" t="s">
        <v>158</v>
      </c>
    </row>
    <row r="387" spans="9:22" x14ac:dyDescent="0.45">
      <c r="I387" t="s">
        <v>189</v>
      </c>
      <c r="J387" t="s">
        <v>460</v>
      </c>
      <c r="K387">
        <v>0</v>
      </c>
      <c r="L387" t="s">
        <v>158</v>
      </c>
      <c r="N387" t="s">
        <v>325</v>
      </c>
      <c r="O387" t="s">
        <v>460</v>
      </c>
      <c r="P387">
        <v>0.15656950821307425</v>
      </c>
      <c r="Q387" t="s">
        <v>158</v>
      </c>
      <c r="S387" t="s">
        <v>439</v>
      </c>
      <c r="T387" t="s">
        <v>460</v>
      </c>
      <c r="U387">
        <v>0.16328095887139424</v>
      </c>
      <c r="V387" t="s">
        <v>158</v>
      </c>
    </row>
    <row r="388" spans="9:22" x14ac:dyDescent="0.45">
      <c r="I388" t="s">
        <v>189</v>
      </c>
      <c r="J388" t="s">
        <v>461</v>
      </c>
      <c r="K388">
        <v>1.5684825470774242E-2</v>
      </c>
      <c r="L388" t="s">
        <v>158</v>
      </c>
      <c r="N388" t="s">
        <v>325</v>
      </c>
      <c r="O388" t="s">
        <v>461</v>
      </c>
      <c r="P388">
        <v>3.5972151758005382E-2</v>
      </c>
      <c r="Q388" t="s">
        <v>158</v>
      </c>
      <c r="S388" t="s">
        <v>439</v>
      </c>
      <c r="T388" t="s">
        <v>461</v>
      </c>
      <c r="U388">
        <v>2.6566681375153247E-2</v>
      </c>
      <c r="V388" t="s">
        <v>158</v>
      </c>
    </row>
    <row r="389" spans="9:22" x14ac:dyDescent="0.45">
      <c r="I389" t="s">
        <v>189</v>
      </c>
      <c r="J389" t="s">
        <v>462</v>
      </c>
      <c r="K389">
        <v>0.29721375791323124</v>
      </c>
      <c r="L389" t="s">
        <v>158</v>
      </c>
      <c r="N389" t="s">
        <v>325</v>
      </c>
      <c r="O389" t="s">
        <v>462</v>
      </c>
      <c r="P389">
        <v>0.10737941649154815</v>
      </c>
      <c r="Q389" t="s">
        <v>158</v>
      </c>
      <c r="S389" t="s">
        <v>439</v>
      </c>
      <c r="T389" t="s">
        <v>462</v>
      </c>
      <c r="U389">
        <v>8.0580630432551259E-2</v>
      </c>
      <c r="V389" t="s">
        <v>158</v>
      </c>
    </row>
    <row r="390" spans="9:22" x14ac:dyDescent="0.45">
      <c r="I390" t="s">
        <v>189</v>
      </c>
      <c r="J390" t="s">
        <v>463</v>
      </c>
      <c r="K390">
        <v>0</v>
      </c>
      <c r="L390" t="s">
        <v>158</v>
      </c>
      <c r="N390" t="s">
        <v>325</v>
      </c>
      <c r="O390" t="s">
        <v>463</v>
      </c>
      <c r="P390">
        <v>0.15253575274899789</v>
      </c>
      <c r="Q390" t="s">
        <v>158</v>
      </c>
      <c r="S390" t="s">
        <v>439</v>
      </c>
      <c r="T390" t="s">
        <v>463</v>
      </c>
      <c r="U390">
        <v>0.10030159161685243</v>
      </c>
      <c r="V390" t="s">
        <v>158</v>
      </c>
    </row>
    <row r="391" spans="9:22" x14ac:dyDescent="0.45">
      <c r="I391" t="s">
        <v>189</v>
      </c>
      <c r="J391" t="s">
        <v>464</v>
      </c>
      <c r="K391">
        <v>2.3739423484945631E-2</v>
      </c>
      <c r="L391" t="s">
        <v>158</v>
      </c>
      <c r="N391" t="s">
        <v>325</v>
      </c>
      <c r="O391" t="s">
        <v>464</v>
      </c>
      <c r="P391">
        <v>3.4110310428634452E-2</v>
      </c>
      <c r="Q391" t="s">
        <v>158</v>
      </c>
      <c r="S391" t="s">
        <v>439</v>
      </c>
      <c r="T391" t="s">
        <v>464</v>
      </c>
      <c r="U391">
        <v>1.6529074618721159E-2</v>
      </c>
      <c r="V391" t="s">
        <v>158</v>
      </c>
    </row>
    <row r="392" spans="9:22" x14ac:dyDescent="0.45">
      <c r="I392" t="s">
        <v>189</v>
      </c>
      <c r="J392" t="s">
        <v>465</v>
      </c>
      <c r="K392">
        <v>0.18612974288715173</v>
      </c>
      <c r="L392" t="s">
        <v>158</v>
      </c>
      <c r="N392" t="s">
        <v>325</v>
      </c>
      <c r="O392" t="s">
        <v>465</v>
      </c>
      <c r="P392">
        <v>6.9217496525724495E-2</v>
      </c>
      <c r="Q392" t="s">
        <v>158</v>
      </c>
      <c r="S392" t="s">
        <v>439</v>
      </c>
      <c r="T392" t="s">
        <v>465</v>
      </c>
      <c r="U392">
        <v>0.11474544482191001</v>
      </c>
      <c r="V392" t="s">
        <v>158</v>
      </c>
    </row>
    <row r="393" spans="9:22" x14ac:dyDescent="0.45">
      <c r="I393" t="s">
        <v>189</v>
      </c>
      <c r="J393" t="s">
        <v>466</v>
      </c>
      <c r="K393">
        <v>0</v>
      </c>
      <c r="L393" t="s">
        <v>158</v>
      </c>
      <c r="N393" t="s">
        <v>325</v>
      </c>
      <c r="O393" t="s">
        <v>466</v>
      </c>
      <c r="P393">
        <v>8.5621379763864122E-2</v>
      </c>
      <c r="Q393" t="s">
        <v>158</v>
      </c>
      <c r="S393" t="s">
        <v>439</v>
      </c>
      <c r="T393" t="s">
        <v>466</v>
      </c>
      <c r="U393">
        <v>0.11390086573898471</v>
      </c>
      <c r="V393" t="s">
        <v>158</v>
      </c>
    </row>
    <row r="394" spans="9:22" x14ac:dyDescent="0.45">
      <c r="I394" t="s">
        <v>189</v>
      </c>
      <c r="J394" t="s">
        <v>467</v>
      </c>
      <c r="K394">
        <v>4.9969288941309519E-3</v>
      </c>
      <c r="L394" t="s">
        <v>158</v>
      </c>
      <c r="N394" t="s">
        <v>325</v>
      </c>
      <c r="O394" t="s">
        <v>467</v>
      </c>
      <c r="P394">
        <v>1.3540260510357619E-2</v>
      </c>
      <c r="Q394" t="s">
        <v>158</v>
      </c>
      <c r="S394" t="s">
        <v>439</v>
      </c>
      <c r="T394" t="s">
        <v>467</v>
      </c>
      <c r="U394">
        <v>2.138523723449498E-2</v>
      </c>
      <c r="V394" t="s">
        <v>158</v>
      </c>
    </row>
    <row r="395" spans="9:22" x14ac:dyDescent="0.45">
      <c r="I395" t="s">
        <v>190</v>
      </c>
      <c r="J395" t="s">
        <v>456</v>
      </c>
      <c r="K395">
        <v>0.23183903256414112</v>
      </c>
      <c r="L395" t="s">
        <v>158</v>
      </c>
      <c r="N395" t="s">
        <v>326</v>
      </c>
      <c r="O395" t="s">
        <v>456</v>
      </c>
      <c r="P395">
        <v>9.5088269960280677E-2</v>
      </c>
      <c r="Q395" t="s">
        <v>158</v>
      </c>
      <c r="S395" t="s">
        <v>440</v>
      </c>
      <c r="T395" t="s">
        <v>456</v>
      </c>
      <c r="U395">
        <v>0.10031006181648253</v>
      </c>
      <c r="V395" t="s">
        <v>158</v>
      </c>
    </row>
    <row r="396" spans="9:22" x14ac:dyDescent="0.45">
      <c r="I396" t="s">
        <v>190</v>
      </c>
      <c r="J396" t="s">
        <v>457</v>
      </c>
      <c r="K396">
        <v>0</v>
      </c>
      <c r="L396" t="s">
        <v>158</v>
      </c>
      <c r="N396" t="s">
        <v>326</v>
      </c>
      <c r="O396" t="s">
        <v>457</v>
      </c>
      <c r="P396">
        <v>8.035123496094089E-2</v>
      </c>
      <c r="Q396" t="s">
        <v>158</v>
      </c>
      <c r="S396" t="s">
        <v>440</v>
      </c>
      <c r="T396" t="s">
        <v>457</v>
      </c>
      <c r="U396">
        <v>0.11407380031814941</v>
      </c>
      <c r="V396" t="s">
        <v>158</v>
      </c>
    </row>
    <row r="397" spans="9:22" x14ac:dyDescent="0.45">
      <c r="I397" t="s">
        <v>190</v>
      </c>
      <c r="J397" t="s">
        <v>458</v>
      </c>
      <c r="K397">
        <v>1.0202455672684749E-2</v>
      </c>
      <c r="L397" t="s">
        <v>158</v>
      </c>
      <c r="N397" t="s">
        <v>326</v>
      </c>
      <c r="O397" t="s">
        <v>458</v>
      </c>
      <c r="P397">
        <v>2.1043187944281935E-2</v>
      </c>
      <c r="Q397" t="s">
        <v>158</v>
      </c>
      <c r="S397" t="s">
        <v>440</v>
      </c>
      <c r="T397" t="s">
        <v>458</v>
      </c>
      <c r="U397">
        <v>2.0290097327115144E-2</v>
      </c>
      <c r="V397" t="s">
        <v>158</v>
      </c>
    </row>
    <row r="398" spans="9:22" x14ac:dyDescent="0.45">
      <c r="I398" t="s">
        <v>190</v>
      </c>
      <c r="J398" t="s">
        <v>459</v>
      </c>
      <c r="K398">
        <v>0.22111628454293761</v>
      </c>
      <c r="L398" t="s">
        <v>158</v>
      </c>
      <c r="N398" t="s">
        <v>326</v>
      </c>
      <c r="O398" t="s">
        <v>459</v>
      </c>
      <c r="P398">
        <v>0.14822722160038324</v>
      </c>
      <c r="Q398" t="s">
        <v>158</v>
      </c>
      <c r="S398" t="s">
        <v>440</v>
      </c>
      <c r="T398" t="s">
        <v>459</v>
      </c>
      <c r="U398">
        <v>0.14493291516336332</v>
      </c>
      <c r="V398" t="s">
        <v>158</v>
      </c>
    </row>
    <row r="399" spans="9:22" x14ac:dyDescent="0.45">
      <c r="I399" t="s">
        <v>190</v>
      </c>
      <c r="J399" t="s">
        <v>460</v>
      </c>
      <c r="K399">
        <v>0</v>
      </c>
      <c r="L399" t="s">
        <v>158</v>
      </c>
      <c r="N399" t="s">
        <v>326</v>
      </c>
      <c r="O399" t="s">
        <v>460</v>
      </c>
      <c r="P399">
        <v>0.13934196156609055</v>
      </c>
      <c r="Q399" t="s">
        <v>158</v>
      </c>
      <c r="S399" t="s">
        <v>440</v>
      </c>
      <c r="T399" t="s">
        <v>460</v>
      </c>
      <c r="U399">
        <v>0.15991975999580771</v>
      </c>
      <c r="V399" t="s">
        <v>158</v>
      </c>
    </row>
    <row r="400" spans="9:22" x14ac:dyDescent="0.45">
      <c r="I400" t="s">
        <v>190</v>
      </c>
      <c r="J400" t="s">
        <v>461</v>
      </c>
      <c r="K400">
        <v>1.8770749378007601E-2</v>
      </c>
      <c r="L400" t="s">
        <v>158</v>
      </c>
      <c r="N400" t="s">
        <v>326</v>
      </c>
      <c r="O400" t="s">
        <v>461</v>
      </c>
      <c r="P400">
        <v>3.5890410825055896E-2</v>
      </c>
      <c r="Q400" t="s">
        <v>158</v>
      </c>
      <c r="S400" t="s">
        <v>440</v>
      </c>
      <c r="T400" t="s">
        <v>461</v>
      </c>
      <c r="U400">
        <v>2.7480922217850957E-2</v>
      </c>
      <c r="V400" t="s">
        <v>158</v>
      </c>
    </row>
    <row r="401" spans="9:22" x14ac:dyDescent="0.45">
      <c r="I401" t="s">
        <v>190</v>
      </c>
      <c r="J401" t="s">
        <v>462</v>
      </c>
      <c r="K401">
        <v>0.30188690997384549</v>
      </c>
      <c r="L401" t="s">
        <v>158</v>
      </c>
      <c r="N401" t="s">
        <v>326</v>
      </c>
      <c r="O401" t="s">
        <v>462</v>
      </c>
      <c r="P401">
        <v>0.13892217761536579</v>
      </c>
      <c r="Q401" t="s">
        <v>158</v>
      </c>
      <c r="S401" t="s">
        <v>440</v>
      </c>
      <c r="T401" t="s">
        <v>462</v>
      </c>
      <c r="U401">
        <v>9.1685453608711942E-2</v>
      </c>
      <c r="V401" t="s">
        <v>158</v>
      </c>
    </row>
    <row r="402" spans="9:22" x14ac:dyDescent="0.45">
      <c r="I402" t="s">
        <v>190</v>
      </c>
      <c r="J402" t="s">
        <v>463</v>
      </c>
      <c r="K402">
        <v>3.2763059547391138E-5</v>
      </c>
      <c r="L402" t="s">
        <v>158</v>
      </c>
      <c r="N402" t="s">
        <v>326</v>
      </c>
      <c r="O402" t="s">
        <v>463</v>
      </c>
      <c r="P402">
        <v>0.14639861562029516</v>
      </c>
      <c r="Q402" t="s">
        <v>158</v>
      </c>
      <c r="S402" t="s">
        <v>440</v>
      </c>
      <c r="T402" t="s">
        <v>463</v>
      </c>
      <c r="U402">
        <v>9.9516367097196246E-2</v>
      </c>
      <c r="V402" t="s">
        <v>158</v>
      </c>
    </row>
    <row r="403" spans="9:22" x14ac:dyDescent="0.45">
      <c r="I403" t="s">
        <v>190</v>
      </c>
      <c r="J403" t="s">
        <v>464</v>
      </c>
      <c r="K403">
        <v>2.864215875967744E-2</v>
      </c>
      <c r="L403" t="s">
        <v>158</v>
      </c>
      <c r="N403" t="s">
        <v>326</v>
      </c>
      <c r="O403" t="s">
        <v>464</v>
      </c>
      <c r="P403">
        <v>3.0857740793973673E-2</v>
      </c>
      <c r="Q403" t="s">
        <v>158</v>
      </c>
      <c r="S403" t="s">
        <v>440</v>
      </c>
      <c r="T403" t="s">
        <v>464</v>
      </c>
      <c r="U403">
        <v>1.8546151011868434E-2</v>
      </c>
      <c r="V403" t="s">
        <v>158</v>
      </c>
    </row>
    <row r="404" spans="9:22" x14ac:dyDescent="0.45">
      <c r="I404" t="s">
        <v>190</v>
      </c>
      <c r="J404" t="s">
        <v>465</v>
      </c>
      <c r="K404">
        <v>0.18089200185775856</v>
      </c>
      <c r="L404" t="s">
        <v>158</v>
      </c>
      <c r="N404" t="s">
        <v>326</v>
      </c>
      <c r="O404" t="s">
        <v>465</v>
      </c>
      <c r="P404">
        <v>7.3557269519322635E-2</v>
      </c>
      <c r="Q404" t="s">
        <v>158</v>
      </c>
      <c r="S404" t="s">
        <v>440</v>
      </c>
      <c r="T404" t="s">
        <v>465</v>
      </c>
      <c r="U404">
        <v>9.7454984686774521E-2</v>
      </c>
      <c r="V404" t="s">
        <v>158</v>
      </c>
    </row>
    <row r="405" spans="9:22" x14ac:dyDescent="0.45">
      <c r="I405" t="s">
        <v>190</v>
      </c>
      <c r="J405" t="s">
        <v>466</v>
      </c>
      <c r="K405">
        <v>0</v>
      </c>
      <c r="L405" t="s">
        <v>158</v>
      </c>
      <c r="N405" t="s">
        <v>326</v>
      </c>
      <c r="O405" t="s">
        <v>466</v>
      </c>
      <c r="P405">
        <v>7.3489932855668225E-2</v>
      </c>
      <c r="Q405" t="s">
        <v>158</v>
      </c>
      <c r="S405" t="s">
        <v>440</v>
      </c>
      <c r="T405" t="s">
        <v>466</v>
      </c>
      <c r="U405">
        <v>0.10833885658645888</v>
      </c>
      <c r="V405" t="s">
        <v>158</v>
      </c>
    </row>
    <row r="406" spans="9:22" x14ac:dyDescent="0.45">
      <c r="I406" t="s">
        <v>190</v>
      </c>
      <c r="J406" t="s">
        <v>467</v>
      </c>
      <c r="K406">
        <v>6.6176441914007414E-3</v>
      </c>
      <c r="L406" t="s">
        <v>158</v>
      </c>
      <c r="N406" t="s">
        <v>326</v>
      </c>
      <c r="O406" t="s">
        <v>467</v>
      </c>
      <c r="P406">
        <v>1.683197673834096E-2</v>
      </c>
      <c r="Q406" t="s">
        <v>158</v>
      </c>
      <c r="S406" t="s">
        <v>440</v>
      </c>
      <c r="T406" t="s">
        <v>467</v>
      </c>
      <c r="U406">
        <v>1.7450630170220052E-2</v>
      </c>
      <c r="V406" t="s">
        <v>158</v>
      </c>
    </row>
    <row r="407" spans="9:22" x14ac:dyDescent="0.45">
      <c r="I407" t="s">
        <v>191</v>
      </c>
      <c r="J407" t="s">
        <v>456</v>
      </c>
      <c r="K407">
        <v>0.18645599473712388</v>
      </c>
      <c r="L407" t="s">
        <v>158</v>
      </c>
      <c r="N407" t="s">
        <v>327</v>
      </c>
      <c r="O407" t="s">
        <v>456</v>
      </c>
      <c r="P407">
        <v>6.621413423134441E-2</v>
      </c>
      <c r="Q407" t="s">
        <v>158</v>
      </c>
      <c r="S407" t="s">
        <v>441</v>
      </c>
      <c r="T407" t="s">
        <v>456</v>
      </c>
      <c r="U407">
        <v>8.8354294778656819E-2</v>
      </c>
      <c r="V407" t="s">
        <v>158</v>
      </c>
    </row>
    <row r="408" spans="9:22" x14ac:dyDescent="0.45">
      <c r="I408" t="s">
        <v>191</v>
      </c>
      <c r="J408" t="s">
        <v>457</v>
      </c>
      <c r="K408">
        <v>0</v>
      </c>
      <c r="L408" t="s">
        <v>158</v>
      </c>
      <c r="N408" t="s">
        <v>327</v>
      </c>
      <c r="O408" t="s">
        <v>457</v>
      </c>
      <c r="P408">
        <v>0.10811971481866366</v>
      </c>
      <c r="Q408" t="s">
        <v>158</v>
      </c>
      <c r="S408" t="s">
        <v>441</v>
      </c>
      <c r="T408" t="s">
        <v>457</v>
      </c>
      <c r="U408">
        <v>0.11080328042012068</v>
      </c>
      <c r="V408" t="s">
        <v>158</v>
      </c>
    </row>
    <row r="409" spans="9:22" x14ac:dyDescent="0.45">
      <c r="I409" t="s">
        <v>191</v>
      </c>
      <c r="J409" t="s">
        <v>458</v>
      </c>
      <c r="K409">
        <v>1.3932008794844063E-2</v>
      </c>
      <c r="L409" t="s">
        <v>158</v>
      </c>
      <c r="N409" t="s">
        <v>327</v>
      </c>
      <c r="O409" t="s">
        <v>458</v>
      </c>
      <c r="P409">
        <v>1.4026804210194468E-2</v>
      </c>
      <c r="Q409" t="s">
        <v>158</v>
      </c>
      <c r="S409" t="s">
        <v>441</v>
      </c>
      <c r="T409" t="s">
        <v>458</v>
      </c>
      <c r="U409">
        <v>1.7784800833874608E-2</v>
      </c>
      <c r="V409" t="s">
        <v>158</v>
      </c>
    </row>
    <row r="410" spans="9:22" x14ac:dyDescent="0.45">
      <c r="I410" t="s">
        <v>191</v>
      </c>
      <c r="J410" t="s">
        <v>459</v>
      </c>
      <c r="K410">
        <v>0.25067678781292668</v>
      </c>
      <c r="L410" t="s">
        <v>158</v>
      </c>
      <c r="N410" t="s">
        <v>327</v>
      </c>
      <c r="O410" t="s">
        <v>459</v>
      </c>
      <c r="P410">
        <v>0.10425079830277699</v>
      </c>
      <c r="Q410" t="s">
        <v>158</v>
      </c>
      <c r="S410" t="s">
        <v>441</v>
      </c>
      <c r="T410" t="s">
        <v>459</v>
      </c>
      <c r="U410">
        <v>0.14677160910364836</v>
      </c>
      <c r="V410" t="s">
        <v>158</v>
      </c>
    </row>
    <row r="411" spans="9:22" x14ac:dyDescent="0.45">
      <c r="I411" t="s">
        <v>191</v>
      </c>
      <c r="J411" t="s">
        <v>460</v>
      </c>
      <c r="K411">
        <v>9.0309957218919336E-4</v>
      </c>
      <c r="L411" t="s">
        <v>158</v>
      </c>
      <c r="N411" t="s">
        <v>327</v>
      </c>
      <c r="O411" t="s">
        <v>460</v>
      </c>
      <c r="P411">
        <v>0.16532565274276076</v>
      </c>
      <c r="Q411" t="s">
        <v>158</v>
      </c>
      <c r="S411" t="s">
        <v>441</v>
      </c>
      <c r="T411" t="s">
        <v>460</v>
      </c>
      <c r="U411">
        <v>0.17184740814985422</v>
      </c>
      <c r="V411" t="s">
        <v>158</v>
      </c>
    </row>
    <row r="412" spans="9:22" x14ac:dyDescent="0.45">
      <c r="I412" t="s">
        <v>191</v>
      </c>
      <c r="J412" t="s">
        <v>461</v>
      </c>
      <c r="K412">
        <v>2.6798843666073387E-2</v>
      </c>
      <c r="L412" t="s">
        <v>158</v>
      </c>
      <c r="N412" t="s">
        <v>327</v>
      </c>
      <c r="O412" t="s">
        <v>461</v>
      </c>
      <c r="P412">
        <v>2.462634228384078E-2</v>
      </c>
      <c r="Q412" t="s">
        <v>158</v>
      </c>
      <c r="S412" t="s">
        <v>441</v>
      </c>
      <c r="T412" t="s">
        <v>461</v>
      </c>
      <c r="U412">
        <v>2.4403956468757638E-2</v>
      </c>
      <c r="V412" t="s">
        <v>158</v>
      </c>
    </row>
    <row r="413" spans="9:22" x14ac:dyDescent="0.45">
      <c r="I413" t="s">
        <v>191</v>
      </c>
      <c r="J413" t="s">
        <v>462</v>
      </c>
      <c r="K413">
        <v>0.28802135826630382</v>
      </c>
      <c r="L413" t="s">
        <v>158</v>
      </c>
      <c r="N413" t="s">
        <v>327</v>
      </c>
      <c r="O413" t="s">
        <v>462</v>
      </c>
      <c r="P413">
        <v>0.12004412421446982</v>
      </c>
      <c r="Q413" t="s">
        <v>158</v>
      </c>
      <c r="S413" t="s">
        <v>441</v>
      </c>
      <c r="T413" t="s">
        <v>462</v>
      </c>
      <c r="U413">
        <v>7.8656517602515769E-2</v>
      </c>
      <c r="V413" t="s">
        <v>158</v>
      </c>
    </row>
    <row r="414" spans="9:22" x14ac:dyDescent="0.45">
      <c r="I414" t="s">
        <v>191</v>
      </c>
      <c r="J414" t="s">
        <v>463</v>
      </c>
      <c r="K414">
        <v>5.2118051307611336E-3</v>
      </c>
      <c r="L414" t="s">
        <v>158</v>
      </c>
      <c r="N414" t="s">
        <v>327</v>
      </c>
      <c r="O414" t="s">
        <v>463</v>
      </c>
      <c r="P414">
        <v>0.20812658335562312</v>
      </c>
      <c r="Q414" t="s">
        <v>158</v>
      </c>
      <c r="S414" t="s">
        <v>441</v>
      </c>
      <c r="T414" t="s">
        <v>463</v>
      </c>
      <c r="U414">
        <v>0.10808203581904735</v>
      </c>
      <c r="V414" t="s">
        <v>158</v>
      </c>
    </row>
    <row r="415" spans="9:22" x14ac:dyDescent="0.45">
      <c r="I415" t="s">
        <v>191</v>
      </c>
      <c r="J415" t="s">
        <v>464</v>
      </c>
      <c r="K415">
        <v>3.5630405428607216E-2</v>
      </c>
      <c r="L415" t="s">
        <v>158</v>
      </c>
      <c r="N415" t="s">
        <v>327</v>
      </c>
      <c r="O415" t="s">
        <v>464</v>
      </c>
      <c r="P415">
        <v>2.6294514934002481E-2</v>
      </c>
      <c r="Q415" t="s">
        <v>158</v>
      </c>
      <c r="S415" t="s">
        <v>441</v>
      </c>
      <c r="T415" t="s">
        <v>464</v>
      </c>
      <c r="U415">
        <v>1.5208877956390598E-2</v>
      </c>
      <c r="V415" t="s">
        <v>158</v>
      </c>
    </row>
    <row r="416" spans="9:22" x14ac:dyDescent="0.45">
      <c r="I416" t="s">
        <v>191</v>
      </c>
      <c r="J416" t="s">
        <v>465</v>
      </c>
      <c r="K416">
        <v>0.17607036855821023</v>
      </c>
      <c r="L416" t="s">
        <v>158</v>
      </c>
      <c r="N416" t="s">
        <v>327</v>
      </c>
      <c r="O416" t="s">
        <v>465</v>
      </c>
      <c r="P416">
        <v>5.6712929478984465E-2</v>
      </c>
      <c r="Q416" t="s">
        <v>158</v>
      </c>
      <c r="S416" t="s">
        <v>441</v>
      </c>
      <c r="T416" t="s">
        <v>465</v>
      </c>
      <c r="U416">
        <v>0.1133390973460227</v>
      </c>
      <c r="V416" t="s">
        <v>158</v>
      </c>
    </row>
    <row r="417" spans="9:22" x14ac:dyDescent="0.45">
      <c r="I417" t="s">
        <v>191</v>
      </c>
      <c r="J417" t="s">
        <v>466</v>
      </c>
      <c r="K417">
        <v>0</v>
      </c>
      <c r="L417" t="s">
        <v>158</v>
      </c>
      <c r="N417" t="s">
        <v>327</v>
      </c>
      <c r="O417" t="s">
        <v>466</v>
      </c>
      <c r="P417">
        <v>9.3428510387345426E-2</v>
      </c>
      <c r="Q417" t="s">
        <v>158</v>
      </c>
      <c r="S417" t="s">
        <v>441</v>
      </c>
      <c r="T417" t="s">
        <v>466</v>
      </c>
      <c r="U417">
        <v>0.10626605816493412</v>
      </c>
      <c r="V417" t="s">
        <v>158</v>
      </c>
    </row>
    <row r="418" spans="9:22" x14ac:dyDescent="0.45">
      <c r="I418" t="s">
        <v>191</v>
      </c>
      <c r="J418" t="s">
        <v>467</v>
      </c>
      <c r="K418">
        <v>1.6299328032963117E-2</v>
      </c>
      <c r="L418" t="s">
        <v>158</v>
      </c>
      <c r="N418" t="s">
        <v>327</v>
      </c>
      <c r="O418" t="s">
        <v>467</v>
      </c>
      <c r="P418">
        <v>1.2829891039992927E-2</v>
      </c>
      <c r="Q418" t="s">
        <v>158</v>
      </c>
      <c r="S418" t="s">
        <v>441</v>
      </c>
      <c r="T418" t="s">
        <v>467</v>
      </c>
      <c r="U418">
        <v>1.8482063356174257E-2</v>
      </c>
      <c r="V418" t="s">
        <v>158</v>
      </c>
    </row>
    <row r="419" spans="9:22" x14ac:dyDescent="0.45">
      <c r="I419" t="s">
        <v>192</v>
      </c>
      <c r="J419" t="s">
        <v>456</v>
      </c>
      <c r="K419">
        <v>0.20391907560189726</v>
      </c>
      <c r="L419" t="s">
        <v>158</v>
      </c>
      <c r="N419" t="s">
        <v>328</v>
      </c>
      <c r="O419" t="s">
        <v>456</v>
      </c>
      <c r="P419">
        <v>5.3941214271105008E-2</v>
      </c>
      <c r="Q419" t="s">
        <v>158</v>
      </c>
    </row>
    <row r="420" spans="9:22" x14ac:dyDescent="0.45">
      <c r="I420" t="s">
        <v>192</v>
      </c>
      <c r="J420" t="s">
        <v>457</v>
      </c>
      <c r="K420">
        <v>0</v>
      </c>
      <c r="L420" t="s">
        <v>158</v>
      </c>
      <c r="N420" t="s">
        <v>328</v>
      </c>
      <c r="O420" t="s">
        <v>457</v>
      </c>
      <c r="P420">
        <v>9.938128582420809E-2</v>
      </c>
      <c r="Q420" t="s">
        <v>158</v>
      </c>
    </row>
    <row r="421" spans="9:22" x14ac:dyDescent="0.45">
      <c r="I421" t="s">
        <v>192</v>
      </c>
      <c r="J421" t="s">
        <v>458</v>
      </c>
      <c r="K421">
        <v>1.4165618008332118E-2</v>
      </c>
      <c r="L421" t="s">
        <v>158</v>
      </c>
      <c r="N421" t="s">
        <v>328</v>
      </c>
      <c r="O421" t="s">
        <v>458</v>
      </c>
      <c r="P421">
        <v>2.3377476858203114E-2</v>
      </c>
      <c r="Q421" t="s">
        <v>158</v>
      </c>
    </row>
    <row r="422" spans="9:22" x14ac:dyDescent="0.45">
      <c r="I422" t="s">
        <v>192</v>
      </c>
      <c r="J422" t="s">
        <v>459</v>
      </c>
      <c r="K422">
        <v>0.24163570716155555</v>
      </c>
      <c r="L422" t="s">
        <v>158</v>
      </c>
      <c r="N422" t="s">
        <v>328</v>
      </c>
      <c r="O422" t="s">
        <v>459</v>
      </c>
      <c r="P422">
        <v>9.8138972378235809E-2</v>
      </c>
      <c r="Q422" t="s">
        <v>158</v>
      </c>
    </row>
    <row r="423" spans="9:22" x14ac:dyDescent="0.45">
      <c r="I423" t="s">
        <v>192</v>
      </c>
      <c r="J423" t="s">
        <v>460</v>
      </c>
      <c r="K423">
        <v>4.4944932069588953E-4</v>
      </c>
      <c r="L423" t="s">
        <v>158</v>
      </c>
      <c r="N423" t="s">
        <v>328</v>
      </c>
      <c r="O423" t="s">
        <v>460</v>
      </c>
      <c r="P423">
        <v>0.16747492171697528</v>
      </c>
      <c r="Q423" t="s">
        <v>158</v>
      </c>
    </row>
    <row r="424" spans="9:22" x14ac:dyDescent="0.45">
      <c r="I424" t="s">
        <v>192</v>
      </c>
      <c r="J424" t="s">
        <v>461</v>
      </c>
      <c r="K424">
        <v>2.4702014144321469E-2</v>
      </c>
      <c r="L424" t="s">
        <v>158</v>
      </c>
      <c r="N424" t="s">
        <v>328</v>
      </c>
      <c r="O424" t="s">
        <v>461</v>
      </c>
      <c r="P424">
        <v>4.2878900915135562E-2</v>
      </c>
      <c r="Q424" t="s">
        <v>158</v>
      </c>
    </row>
    <row r="425" spans="9:22" x14ac:dyDescent="0.45">
      <c r="I425" t="s">
        <v>192</v>
      </c>
      <c r="J425" t="s">
        <v>462</v>
      </c>
      <c r="K425">
        <v>0.30343537669057452</v>
      </c>
      <c r="L425" t="s">
        <v>158</v>
      </c>
      <c r="N425" t="s">
        <v>328</v>
      </c>
      <c r="O425" t="s">
        <v>462</v>
      </c>
      <c r="P425">
        <v>0.12222158683286309</v>
      </c>
      <c r="Q425" t="s">
        <v>158</v>
      </c>
    </row>
    <row r="426" spans="9:22" x14ac:dyDescent="0.45">
      <c r="I426" t="s">
        <v>192</v>
      </c>
      <c r="J426" t="s">
        <v>463</v>
      </c>
      <c r="K426">
        <v>5.3515588567066407E-3</v>
      </c>
      <c r="L426" t="s">
        <v>158</v>
      </c>
      <c r="N426" t="s">
        <v>328</v>
      </c>
      <c r="O426" t="s">
        <v>463</v>
      </c>
      <c r="P426">
        <v>0.22467983624757815</v>
      </c>
      <c r="Q426" t="s">
        <v>158</v>
      </c>
    </row>
    <row r="427" spans="9:22" x14ac:dyDescent="0.45">
      <c r="I427" t="s">
        <v>192</v>
      </c>
      <c r="J427" t="s">
        <v>464</v>
      </c>
      <c r="K427">
        <v>3.7706151221535922E-2</v>
      </c>
      <c r="L427" t="s">
        <v>158</v>
      </c>
      <c r="N427" t="s">
        <v>328</v>
      </c>
      <c r="O427" t="s">
        <v>464</v>
      </c>
      <c r="P427">
        <v>5.7440190832585558E-2</v>
      </c>
      <c r="Q427" t="s">
        <v>158</v>
      </c>
    </row>
    <row r="428" spans="9:22" x14ac:dyDescent="0.45">
      <c r="I428" t="s">
        <v>192</v>
      </c>
      <c r="J428" t="s">
        <v>465</v>
      </c>
      <c r="K428">
        <v>0.15864170110891632</v>
      </c>
      <c r="L428" t="s">
        <v>158</v>
      </c>
      <c r="N428" t="s">
        <v>328</v>
      </c>
      <c r="O428" t="s">
        <v>465</v>
      </c>
      <c r="P428">
        <v>3.9920333739787019E-2</v>
      </c>
      <c r="Q428" t="s">
        <v>158</v>
      </c>
    </row>
    <row r="429" spans="9:22" x14ac:dyDescent="0.45">
      <c r="I429" t="s">
        <v>192</v>
      </c>
      <c r="J429" t="s">
        <v>466</v>
      </c>
      <c r="K429">
        <v>0</v>
      </c>
      <c r="L429" t="s">
        <v>158</v>
      </c>
      <c r="N429" t="s">
        <v>328</v>
      </c>
      <c r="O429" t="s">
        <v>466</v>
      </c>
      <c r="P429">
        <v>5.9484986432319274E-2</v>
      </c>
      <c r="Q429" t="s">
        <v>158</v>
      </c>
    </row>
    <row r="430" spans="9:22" x14ac:dyDescent="0.45">
      <c r="I430" t="s">
        <v>192</v>
      </c>
      <c r="J430" t="s">
        <v>467</v>
      </c>
      <c r="K430">
        <v>9.9933478854641444E-3</v>
      </c>
      <c r="L430" t="s">
        <v>158</v>
      </c>
      <c r="N430" t="s">
        <v>328</v>
      </c>
      <c r="O430" t="s">
        <v>467</v>
      </c>
      <c r="P430">
        <v>1.1060293951006528E-2</v>
      </c>
      <c r="Q430" t="s">
        <v>158</v>
      </c>
    </row>
    <row r="431" spans="9:22" x14ac:dyDescent="0.45">
      <c r="I431" t="s">
        <v>193</v>
      </c>
      <c r="J431" t="s">
        <v>456</v>
      </c>
      <c r="K431">
        <v>0.24552066847765897</v>
      </c>
      <c r="L431" t="s">
        <v>158</v>
      </c>
      <c r="N431" t="s">
        <v>329</v>
      </c>
      <c r="O431" t="s">
        <v>456</v>
      </c>
      <c r="P431">
        <v>5.955551041332359E-2</v>
      </c>
      <c r="Q431" t="s">
        <v>158</v>
      </c>
    </row>
    <row r="432" spans="9:22" x14ac:dyDescent="0.45">
      <c r="I432" t="s">
        <v>193</v>
      </c>
      <c r="J432" t="s">
        <v>457</v>
      </c>
      <c r="K432">
        <v>0</v>
      </c>
      <c r="L432" t="s">
        <v>158</v>
      </c>
      <c r="N432" t="s">
        <v>329</v>
      </c>
      <c r="O432" t="s">
        <v>457</v>
      </c>
      <c r="P432">
        <v>8.2548839718073169E-2</v>
      </c>
      <c r="Q432" t="s">
        <v>158</v>
      </c>
    </row>
    <row r="433" spans="9:17" x14ac:dyDescent="0.45">
      <c r="I433" t="s">
        <v>193</v>
      </c>
      <c r="J433" t="s">
        <v>458</v>
      </c>
      <c r="K433">
        <v>1.5709354961981042E-2</v>
      </c>
      <c r="L433" t="s">
        <v>158</v>
      </c>
      <c r="N433" t="s">
        <v>329</v>
      </c>
      <c r="O433" t="s">
        <v>458</v>
      </c>
      <c r="P433">
        <v>1.3817046350751068E-2</v>
      </c>
      <c r="Q433" t="s">
        <v>158</v>
      </c>
    </row>
    <row r="434" spans="9:17" x14ac:dyDescent="0.45">
      <c r="I434" t="s">
        <v>193</v>
      </c>
      <c r="J434" t="s">
        <v>459</v>
      </c>
      <c r="K434">
        <v>0.22415743410498717</v>
      </c>
      <c r="L434" t="s">
        <v>158</v>
      </c>
      <c r="N434" t="s">
        <v>329</v>
      </c>
      <c r="O434" t="s">
        <v>459</v>
      </c>
      <c r="P434">
        <v>0.12837468659576332</v>
      </c>
      <c r="Q434" t="s">
        <v>158</v>
      </c>
    </row>
    <row r="435" spans="9:17" x14ac:dyDescent="0.45">
      <c r="I435" t="s">
        <v>193</v>
      </c>
      <c r="J435" t="s">
        <v>460</v>
      </c>
      <c r="K435">
        <v>6.2057036971621942E-7</v>
      </c>
      <c r="L435" t="s">
        <v>158</v>
      </c>
      <c r="N435" t="s">
        <v>329</v>
      </c>
      <c r="O435" t="s">
        <v>460</v>
      </c>
      <c r="P435">
        <v>0.23166007396966534</v>
      </c>
      <c r="Q435" t="s">
        <v>158</v>
      </c>
    </row>
    <row r="436" spans="9:17" x14ac:dyDescent="0.45">
      <c r="I436" t="s">
        <v>193</v>
      </c>
      <c r="J436" t="s">
        <v>461</v>
      </c>
      <c r="K436">
        <v>2.3869327819382606E-2</v>
      </c>
      <c r="L436" t="s">
        <v>158</v>
      </c>
      <c r="N436" t="s">
        <v>329</v>
      </c>
      <c r="O436" t="s">
        <v>461</v>
      </c>
      <c r="P436">
        <v>3.9823303435823521E-2</v>
      </c>
      <c r="Q436" t="s">
        <v>158</v>
      </c>
    </row>
    <row r="437" spans="9:17" x14ac:dyDescent="0.45">
      <c r="I437" t="s">
        <v>193</v>
      </c>
      <c r="J437" t="s">
        <v>462</v>
      </c>
      <c r="K437">
        <v>0.27506579930625741</v>
      </c>
      <c r="L437" t="s">
        <v>158</v>
      </c>
      <c r="N437" t="s">
        <v>329</v>
      </c>
      <c r="O437" t="s">
        <v>462</v>
      </c>
      <c r="P437">
        <v>0.11412740266298729</v>
      </c>
      <c r="Q437" t="s">
        <v>158</v>
      </c>
    </row>
    <row r="438" spans="9:17" x14ac:dyDescent="0.45">
      <c r="I438" t="s">
        <v>193</v>
      </c>
      <c r="J438" t="s">
        <v>463</v>
      </c>
      <c r="K438">
        <v>2.8720811679225477E-3</v>
      </c>
      <c r="L438" t="s">
        <v>158</v>
      </c>
      <c r="N438" t="s">
        <v>329</v>
      </c>
      <c r="O438" t="s">
        <v>463</v>
      </c>
      <c r="P438">
        <v>0.23726896884453361</v>
      </c>
      <c r="Q438" t="s">
        <v>158</v>
      </c>
    </row>
    <row r="439" spans="9:17" x14ac:dyDescent="0.45">
      <c r="I439" t="s">
        <v>193</v>
      </c>
      <c r="J439" t="s">
        <v>464</v>
      </c>
      <c r="K439">
        <v>3.2064459028383376E-2</v>
      </c>
      <c r="L439" t="s">
        <v>158</v>
      </c>
      <c r="N439" t="s">
        <v>329</v>
      </c>
      <c r="O439" t="s">
        <v>464</v>
      </c>
      <c r="P439">
        <v>4.3167799705956557E-2</v>
      </c>
      <c r="Q439" t="s">
        <v>158</v>
      </c>
    </row>
    <row r="440" spans="9:17" x14ac:dyDescent="0.45">
      <c r="I440" t="s">
        <v>193</v>
      </c>
      <c r="J440" t="s">
        <v>465</v>
      </c>
      <c r="K440">
        <v>0.17056980543513356</v>
      </c>
      <c r="L440" t="s">
        <v>158</v>
      </c>
      <c r="N440" t="s">
        <v>329</v>
      </c>
      <c r="O440" t="s">
        <v>465</v>
      </c>
      <c r="P440">
        <v>2.1264132973466215E-2</v>
      </c>
      <c r="Q440" t="s">
        <v>158</v>
      </c>
    </row>
    <row r="441" spans="9:17" x14ac:dyDescent="0.45">
      <c r="I441" t="s">
        <v>193</v>
      </c>
      <c r="J441" t="s">
        <v>466</v>
      </c>
      <c r="K441">
        <v>0</v>
      </c>
      <c r="L441" t="s">
        <v>158</v>
      </c>
      <c r="N441" t="s">
        <v>329</v>
      </c>
      <c r="O441" t="s">
        <v>466</v>
      </c>
      <c r="P441">
        <v>2.4628230359210444E-2</v>
      </c>
      <c r="Q441" t="s">
        <v>158</v>
      </c>
    </row>
    <row r="442" spans="9:17" x14ac:dyDescent="0.45">
      <c r="I442" t="s">
        <v>193</v>
      </c>
      <c r="J442" t="s">
        <v>467</v>
      </c>
      <c r="K442">
        <v>1.0170449127924126E-2</v>
      </c>
      <c r="L442" t="s">
        <v>158</v>
      </c>
      <c r="N442" t="s">
        <v>329</v>
      </c>
      <c r="O442" t="s">
        <v>467</v>
      </c>
      <c r="P442">
        <v>3.7640049704449965E-3</v>
      </c>
      <c r="Q442" t="s">
        <v>158</v>
      </c>
    </row>
    <row r="443" spans="9:17" x14ac:dyDescent="0.45">
      <c r="I443" t="s">
        <v>194</v>
      </c>
      <c r="J443" t="s">
        <v>456</v>
      </c>
      <c r="K443">
        <v>0.21551821485633865</v>
      </c>
      <c r="L443" t="s">
        <v>158</v>
      </c>
      <c r="N443" t="s">
        <v>330</v>
      </c>
      <c r="O443" t="s">
        <v>456</v>
      </c>
      <c r="P443">
        <v>7.3446239600717403E-2</v>
      </c>
      <c r="Q443" t="s">
        <v>158</v>
      </c>
    </row>
    <row r="444" spans="9:17" x14ac:dyDescent="0.45">
      <c r="I444" t="s">
        <v>194</v>
      </c>
      <c r="J444" t="s">
        <v>457</v>
      </c>
      <c r="K444">
        <v>0</v>
      </c>
      <c r="L444" t="s">
        <v>158</v>
      </c>
      <c r="N444" t="s">
        <v>330</v>
      </c>
      <c r="O444" t="s">
        <v>457</v>
      </c>
      <c r="P444">
        <v>9.8527713245364301E-2</v>
      </c>
      <c r="Q444" t="s">
        <v>158</v>
      </c>
    </row>
    <row r="445" spans="9:17" x14ac:dyDescent="0.45">
      <c r="I445" t="s">
        <v>194</v>
      </c>
      <c r="J445" t="s">
        <v>458</v>
      </c>
      <c r="K445">
        <v>1.61398164979491E-2</v>
      </c>
      <c r="L445" t="s">
        <v>158</v>
      </c>
      <c r="N445" t="s">
        <v>330</v>
      </c>
      <c r="O445" t="s">
        <v>458</v>
      </c>
      <c r="P445">
        <v>1.5838351659104088E-2</v>
      </c>
      <c r="Q445" t="s">
        <v>158</v>
      </c>
    </row>
    <row r="446" spans="9:17" x14ac:dyDescent="0.45">
      <c r="I446" t="s">
        <v>194</v>
      </c>
      <c r="J446" t="s">
        <v>459</v>
      </c>
      <c r="K446">
        <v>0.24973241226046322</v>
      </c>
      <c r="L446" t="s">
        <v>158</v>
      </c>
      <c r="N446" t="s">
        <v>330</v>
      </c>
      <c r="O446" t="s">
        <v>459</v>
      </c>
      <c r="P446">
        <v>0.13127446323641834</v>
      </c>
      <c r="Q446" t="s">
        <v>158</v>
      </c>
    </row>
    <row r="447" spans="9:17" x14ac:dyDescent="0.45">
      <c r="I447" t="s">
        <v>194</v>
      </c>
      <c r="J447" t="s">
        <v>460</v>
      </c>
      <c r="K447">
        <v>1.9141138832265919E-4</v>
      </c>
      <c r="L447" t="s">
        <v>158</v>
      </c>
      <c r="N447" t="s">
        <v>330</v>
      </c>
      <c r="O447" t="s">
        <v>460</v>
      </c>
      <c r="P447">
        <v>0.19149608779588012</v>
      </c>
      <c r="Q447" t="s">
        <v>158</v>
      </c>
    </row>
    <row r="448" spans="9:17" x14ac:dyDescent="0.45">
      <c r="I448" t="s">
        <v>194</v>
      </c>
      <c r="J448" t="s">
        <v>461</v>
      </c>
      <c r="K448">
        <v>2.9455705784227688E-2</v>
      </c>
      <c r="L448" t="s">
        <v>158</v>
      </c>
      <c r="N448" t="s">
        <v>330</v>
      </c>
      <c r="O448" t="s">
        <v>461</v>
      </c>
      <c r="P448">
        <v>3.0532192449506348E-2</v>
      </c>
      <c r="Q448" t="s">
        <v>158</v>
      </c>
    </row>
    <row r="449" spans="9:17" x14ac:dyDescent="0.45">
      <c r="I449" t="s">
        <v>194</v>
      </c>
      <c r="J449" t="s">
        <v>462</v>
      </c>
      <c r="K449">
        <v>0.26857587097752189</v>
      </c>
      <c r="L449" t="s">
        <v>158</v>
      </c>
      <c r="N449" t="s">
        <v>330</v>
      </c>
      <c r="O449" t="s">
        <v>462</v>
      </c>
      <c r="P449">
        <v>0.13052207535245391</v>
      </c>
      <c r="Q449" t="s">
        <v>158</v>
      </c>
    </row>
    <row r="450" spans="9:17" x14ac:dyDescent="0.45">
      <c r="I450" t="s">
        <v>194</v>
      </c>
      <c r="J450" t="s">
        <v>463</v>
      </c>
      <c r="K450">
        <v>4.4740183750429079E-3</v>
      </c>
      <c r="L450" t="s">
        <v>158</v>
      </c>
      <c r="N450" t="s">
        <v>330</v>
      </c>
      <c r="O450" t="s">
        <v>463</v>
      </c>
      <c r="P450">
        <v>0.20333059645752716</v>
      </c>
      <c r="Q450" t="s">
        <v>158</v>
      </c>
    </row>
    <row r="451" spans="9:17" x14ac:dyDescent="0.45">
      <c r="I451" t="s">
        <v>194</v>
      </c>
      <c r="J451" t="s">
        <v>464</v>
      </c>
      <c r="K451">
        <v>3.1818729479354831E-2</v>
      </c>
      <c r="L451" t="s">
        <v>158</v>
      </c>
      <c r="N451" t="s">
        <v>330</v>
      </c>
      <c r="O451" t="s">
        <v>464</v>
      </c>
      <c r="P451">
        <v>3.3082550374809311E-2</v>
      </c>
      <c r="Q451" t="s">
        <v>158</v>
      </c>
    </row>
    <row r="452" spans="9:17" x14ac:dyDescent="0.45">
      <c r="I452" t="s">
        <v>194</v>
      </c>
      <c r="J452" t="s">
        <v>465</v>
      </c>
      <c r="K452">
        <v>0.17004291689087642</v>
      </c>
      <c r="L452" t="s">
        <v>158</v>
      </c>
      <c r="N452" t="s">
        <v>330</v>
      </c>
      <c r="O452" t="s">
        <v>465</v>
      </c>
      <c r="P452">
        <v>4.0225527122490445E-2</v>
      </c>
      <c r="Q452" t="s">
        <v>158</v>
      </c>
    </row>
    <row r="453" spans="9:17" x14ac:dyDescent="0.45">
      <c r="I453" t="s">
        <v>194</v>
      </c>
      <c r="J453" t="s">
        <v>466</v>
      </c>
      <c r="K453">
        <v>0</v>
      </c>
      <c r="L453" t="s">
        <v>158</v>
      </c>
      <c r="N453" t="s">
        <v>330</v>
      </c>
      <c r="O453" t="s">
        <v>466</v>
      </c>
      <c r="P453">
        <v>4.40091802143915E-2</v>
      </c>
      <c r="Q453" t="s">
        <v>158</v>
      </c>
    </row>
    <row r="454" spans="9:17" x14ac:dyDescent="0.45">
      <c r="I454" t="s">
        <v>194</v>
      </c>
      <c r="J454" t="s">
        <v>467</v>
      </c>
      <c r="K454">
        <v>1.4050903489901997E-2</v>
      </c>
      <c r="L454" t="s">
        <v>158</v>
      </c>
      <c r="N454" t="s">
        <v>330</v>
      </c>
      <c r="O454" t="s">
        <v>467</v>
      </c>
      <c r="P454">
        <v>7.7150224913363156E-3</v>
      </c>
      <c r="Q454" t="s">
        <v>158</v>
      </c>
    </row>
    <row r="455" spans="9:17" x14ac:dyDescent="0.45">
      <c r="I455" t="s">
        <v>195</v>
      </c>
      <c r="J455" t="s">
        <v>456</v>
      </c>
      <c r="K455">
        <v>0.23634609887826605</v>
      </c>
      <c r="L455" t="s">
        <v>158</v>
      </c>
      <c r="N455" t="s">
        <v>331</v>
      </c>
      <c r="O455" t="s">
        <v>456</v>
      </c>
      <c r="P455">
        <v>0.10029697496428122</v>
      </c>
      <c r="Q455" t="s">
        <v>158</v>
      </c>
    </row>
    <row r="456" spans="9:17" x14ac:dyDescent="0.45">
      <c r="I456" t="s">
        <v>195</v>
      </c>
      <c r="J456" t="s">
        <v>457</v>
      </c>
      <c r="K456">
        <v>0</v>
      </c>
      <c r="L456" t="s">
        <v>158</v>
      </c>
      <c r="N456" t="s">
        <v>331</v>
      </c>
      <c r="O456" t="s">
        <v>457</v>
      </c>
      <c r="P456">
        <v>9.5625319875640463E-2</v>
      </c>
      <c r="Q456" t="s">
        <v>158</v>
      </c>
    </row>
    <row r="457" spans="9:17" x14ac:dyDescent="0.45">
      <c r="I457" t="s">
        <v>195</v>
      </c>
      <c r="J457" t="s">
        <v>458</v>
      </c>
      <c r="K457">
        <v>1.5752455881329969E-2</v>
      </c>
      <c r="L457" t="s">
        <v>158</v>
      </c>
      <c r="N457" t="s">
        <v>331</v>
      </c>
      <c r="O457" t="s">
        <v>458</v>
      </c>
      <c r="P457">
        <v>1.8598638969647793E-2</v>
      </c>
      <c r="Q457" t="s">
        <v>158</v>
      </c>
    </row>
    <row r="458" spans="9:17" x14ac:dyDescent="0.45">
      <c r="I458" t="s">
        <v>195</v>
      </c>
      <c r="J458" t="s">
        <v>459</v>
      </c>
      <c r="K458">
        <v>0.2390854190476418</v>
      </c>
      <c r="L458" t="s">
        <v>158</v>
      </c>
      <c r="N458" t="s">
        <v>331</v>
      </c>
      <c r="O458" t="s">
        <v>459</v>
      </c>
      <c r="P458">
        <v>0.15128168107922266</v>
      </c>
      <c r="Q458" t="s">
        <v>158</v>
      </c>
    </row>
    <row r="459" spans="9:17" x14ac:dyDescent="0.45">
      <c r="I459" t="s">
        <v>195</v>
      </c>
      <c r="J459" t="s">
        <v>460</v>
      </c>
      <c r="K459">
        <v>5.3975862579430222E-4</v>
      </c>
      <c r="L459" t="s">
        <v>158</v>
      </c>
      <c r="N459" t="s">
        <v>331</v>
      </c>
      <c r="O459" t="s">
        <v>460</v>
      </c>
      <c r="P459">
        <v>0.15261955051302911</v>
      </c>
      <c r="Q459" t="s">
        <v>158</v>
      </c>
    </row>
    <row r="460" spans="9:17" x14ac:dyDescent="0.45">
      <c r="I460" t="s">
        <v>195</v>
      </c>
      <c r="J460" t="s">
        <v>461</v>
      </c>
      <c r="K460">
        <v>2.586800730267513E-2</v>
      </c>
      <c r="L460" t="s">
        <v>158</v>
      </c>
      <c r="N460" t="s">
        <v>331</v>
      </c>
      <c r="O460" t="s">
        <v>461</v>
      </c>
      <c r="P460">
        <v>3.36059504180794E-2</v>
      </c>
      <c r="Q460" t="s">
        <v>158</v>
      </c>
    </row>
    <row r="461" spans="9:17" x14ac:dyDescent="0.45">
      <c r="I461" t="s">
        <v>195</v>
      </c>
      <c r="J461" t="s">
        <v>462</v>
      </c>
      <c r="K461">
        <v>0.2627472964876939</v>
      </c>
      <c r="L461" t="s">
        <v>158</v>
      </c>
      <c r="N461" t="s">
        <v>331</v>
      </c>
      <c r="O461" t="s">
        <v>462</v>
      </c>
      <c r="P461">
        <v>0.13786102864353567</v>
      </c>
      <c r="Q461" t="s">
        <v>158</v>
      </c>
    </row>
    <row r="462" spans="9:17" x14ac:dyDescent="0.45">
      <c r="I462" t="s">
        <v>195</v>
      </c>
      <c r="J462" t="s">
        <v>463</v>
      </c>
      <c r="K462">
        <v>4.3069888189801184E-3</v>
      </c>
      <c r="L462" t="s">
        <v>158</v>
      </c>
      <c r="N462" t="s">
        <v>331</v>
      </c>
      <c r="O462" t="s">
        <v>463</v>
      </c>
      <c r="P462">
        <v>0.14646210276250468</v>
      </c>
      <c r="Q462" t="s">
        <v>158</v>
      </c>
    </row>
    <row r="463" spans="9:17" x14ac:dyDescent="0.45">
      <c r="I463" t="s">
        <v>195</v>
      </c>
      <c r="J463" t="s">
        <v>464</v>
      </c>
      <c r="K463">
        <v>2.8978897748689621E-2</v>
      </c>
      <c r="L463" t="s">
        <v>158</v>
      </c>
      <c r="N463" t="s">
        <v>331</v>
      </c>
      <c r="O463" t="s">
        <v>464</v>
      </c>
      <c r="P463">
        <v>3.1151500854510499E-2</v>
      </c>
      <c r="Q463" t="s">
        <v>158</v>
      </c>
    </row>
    <row r="464" spans="9:17" x14ac:dyDescent="0.45">
      <c r="I464" t="s">
        <v>195</v>
      </c>
      <c r="J464" t="s">
        <v>465</v>
      </c>
      <c r="K464">
        <v>0.17585481486939686</v>
      </c>
      <c r="L464" t="s">
        <v>158</v>
      </c>
      <c r="N464" t="s">
        <v>331</v>
      </c>
      <c r="O464" t="s">
        <v>465</v>
      </c>
      <c r="P464">
        <v>6.0902736392611123E-2</v>
      </c>
      <c r="Q464" t="s">
        <v>158</v>
      </c>
    </row>
    <row r="465" spans="9:17" x14ac:dyDescent="0.45">
      <c r="I465" t="s">
        <v>195</v>
      </c>
      <c r="J465" t="s">
        <v>466</v>
      </c>
      <c r="K465">
        <v>0</v>
      </c>
      <c r="L465" t="s">
        <v>158</v>
      </c>
      <c r="N465" t="s">
        <v>331</v>
      </c>
      <c r="O465" t="s">
        <v>466</v>
      </c>
      <c r="P465">
        <v>6.0604590942115587E-2</v>
      </c>
      <c r="Q465" t="s">
        <v>158</v>
      </c>
    </row>
    <row r="466" spans="9:17" x14ac:dyDescent="0.45">
      <c r="I466" t="s">
        <v>195</v>
      </c>
      <c r="J466" t="s">
        <v>467</v>
      </c>
      <c r="K466">
        <v>1.0520262339531794E-2</v>
      </c>
      <c r="L466" t="s">
        <v>158</v>
      </c>
      <c r="N466" t="s">
        <v>331</v>
      </c>
      <c r="O466" t="s">
        <v>467</v>
      </c>
      <c r="P466">
        <v>1.098992458482069E-2</v>
      </c>
      <c r="Q466" t="s">
        <v>158</v>
      </c>
    </row>
    <row r="467" spans="9:17" x14ac:dyDescent="0.45">
      <c r="I467" t="s">
        <v>196</v>
      </c>
      <c r="J467" t="s">
        <v>456</v>
      </c>
      <c r="K467">
        <v>0.24901602157564573</v>
      </c>
      <c r="L467" t="s">
        <v>158</v>
      </c>
      <c r="N467" t="s">
        <v>332</v>
      </c>
      <c r="O467" t="s">
        <v>456</v>
      </c>
      <c r="P467">
        <v>9.2670997198757821E-2</v>
      </c>
      <c r="Q467" t="s">
        <v>158</v>
      </c>
    </row>
    <row r="468" spans="9:17" x14ac:dyDescent="0.45">
      <c r="I468" t="s">
        <v>196</v>
      </c>
      <c r="J468" t="s">
        <v>457</v>
      </c>
      <c r="K468">
        <v>0</v>
      </c>
      <c r="L468" t="s">
        <v>158</v>
      </c>
      <c r="N468" t="s">
        <v>332</v>
      </c>
      <c r="O468" t="s">
        <v>457</v>
      </c>
      <c r="P468">
        <v>9.6576706428243383E-2</v>
      </c>
      <c r="Q468" t="s">
        <v>158</v>
      </c>
    </row>
    <row r="469" spans="9:17" x14ac:dyDescent="0.45">
      <c r="I469" t="s">
        <v>196</v>
      </c>
      <c r="J469" t="s">
        <v>458</v>
      </c>
      <c r="K469">
        <v>1.8338152034269094E-2</v>
      </c>
      <c r="L469" t="s">
        <v>158</v>
      </c>
      <c r="N469" t="s">
        <v>332</v>
      </c>
      <c r="O469" t="s">
        <v>458</v>
      </c>
      <c r="P469">
        <v>2.0327152985474897E-2</v>
      </c>
      <c r="Q469" t="s">
        <v>158</v>
      </c>
    </row>
    <row r="470" spans="9:17" x14ac:dyDescent="0.45">
      <c r="I470" t="s">
        <v>196</v>
      </c>
      <c r="J470" t="s">
        <v>459</v>
      </c>
      <c r="K470">
        <v>0.23055317136535017</v>
      </c>
      <c r="L470" t="s">
        <v>158</v>
      </c>
      <c r="N470" t="s">
        <v>332</v>
      </c>
      <c r="O470" t="s">
        <v>459</v>
      </c>
      <c r="P470">
        <v>0.13673682540104165</v>
      </c>
      <c r="Q470" t="s">
        <v>158</v>
      </c>
    </row>
    <row r="471" spans="9:17" x14ac:dyDescent="0.45">
      <c r="I471" t="s">
        <v>196</v>
      </c>
      <c r="J471" t="s">
        <v>460</v>
      </c>
      <c r="K471">
        <v>5.3272175785488009E-4</v>
      </c>
      <c r="L471" t="s">
        <v>158</v>
      </c>
      <c r="N471" t="s">
        <v>332</v>
      </c>
      <c r="O471" t="s">
        <v>460</v>
      </c>
      <c r="P471">
        <v>0.14610258421037484</v>
      </c>
      <c r="Q471" t="s">
        <v>158</v>
      </c>
    </row>
    <row r="472" spans="9:17" x14ac:dyDescent="0.45">
      <c r="I472" t="s">
        <v>196</v>
      </c>
      <c r="J472" t="s">
        <v>461</v>
      </c>
      <c r="K472">
        <v>2.3731498163298448E-2</v>
      </c>
      <c r="L472" t="s">
        <v>158</v>
      </c>
      <c r="N472" t="s">
        <v>332</v>
      </c>
      <c r="O472" t="s">
        <v>461</v>
      </c>
      <c r="P472">
        <v>3.4884049109244135E-2</v>
      </c>
      <c r="Q472" t="s">
        <v>158</v>
      </c>
    </row>
    <row r="473" spans="9:17" x14ac:dyDescent="0.45">
      <c r="I473" t="s">
        <v>196</v>
      </c>
      <c r="J473" t="s">
        <v>462</v>
      </c>
      <c r="K473">
        <v>0.26048731042031148</v>
      </c>
      <c r="L473" t="s">
        <v>158</v>
      </c>
      <c r="N473" t="s">
        <v>332</v>
      </c>
      <c r="O473" t="s">
        <v>462</v>
      </c>
      <c r="P473">
        <v>0.12017915962045458</v>
      </c>
      <c r="Q473" t="s">
        <v>158</v>
      </c>
    </row>
    <row r="474" spans="9:17" x14ac:dyDescent="0.45">
      <c r="I474" t="s">
        <v>196</v>
      </c>
      <c r="J474" t="s">
        <v>463</v>
      </c>
      <c r="K474">
        <v>4.8888996857356778E-3</v>
      </c>
      <c r="L474" t="s">
        <v>158</v>
      </c>
      <c r="N474" t="s">
        <v>332</v>
      </c>
      <c r="O474" t="s">
        <v>463</v>
      </c>
      <c r="P474">
        <v>0.15191144570362486</v>
      </c>
      <c r="Q474" t="s">
        <v>158</v>
      </c>
    </row>
    <row r="475" spans="9:17" x14ac:dyDescent="0.45">
      <c r="I475" t="s">
        <v>196</v>
      </c>
      <c r="J475" t="s">
        <v>464</v>
      </c>
      <c r="K475">
        <v>2.9297493476546546E-2</v>
      </c>
      <c r="L475" t="s">
        <v>158</v>
      </c>
      <c r="N475" t="s">
        <v>332</v>
      </c>
      <c r="O475" t="s">
        <v>464</v>
      </c>
      <c r="P475">
        <v>3.5259946105701628E-2</v>
      </c>
      <c r="Q475" t="s">
        <v>158</v>
      </c>
    </row>
    <row r="476" spans="9:17" x14ac:dyDescent="0.45">
      <c r="I476" t="s">
        <v>196</v>
      </c>
      <c r="J476" t="s">
        <v>465</v>
      </c>
      <c r="K476">
        <v>0.17107573908978513</v>
      </c>
      <c r="L476" t="s">
        <v>158</v>
      </c>
      <c r="N476" t="s">
        <v>332</v>
      </c>
      <c r="O476" t="s">
        <v>465</v>
      </c>
      <c r="P476">
        <v>7.1641797138007973E-2</v>
      </c>
      <c r="Q476" t="s">
        <v>158</v>
      </c>
    </row>
    <row r="477" spans="9:17" x14ac:dyDescent="0.45">
      <c r="I477" t="s">
        <v>196</v>
      </c>
      <c r="J477" t="s">
        <v>466</v>
      </c>
      <c r="K477">
        <v>0</v>
      </c>
      <c r="L477" t="s">
        <v>158</v>
      </c>
      <c r="N477" t="s">
        <v>332</v>
      </c>
      <c r="O477" t="s">
        <v>466</v>
      </c>
      <c r="P477">
        <v>7.9385556092633355E-2</v>
      </c>
      <c r="Q477" t="s">
        <v>158</v>
      </c>
    </row>
    <row r="478" spans="9:17" x14ac:dyDescent="0.45">
      <c r="I478" t="s">
        <v>196</v>
      </c>
      <c r="J478" t="s">
        <v>467</v>
      </c>
      <c r="K478">
        <v>1.2078992431203004E-2</v>
      </c>
      <c r="L478" t="s">
        <v>158</v>
      </c>
      <c r="N478" t="s">
        <v>332</v>
      </c>
      <c r="O478" t="s">
        <v>467</v>
      </c>
      <c r="P478">
        <v>1.4323780006434703E-2</v>
      </c>
      <c r="Q478" t="s">
        <v>158</v>
      </c>
    </row>
    <row r="479" spans="9:17" x14ac:dyDescent="0.45">
      <c r="I479" t="s">
        <v>197</v>
      </c>
      <c r="J479" t="s">
        <v>456</v>
      </c>
      <c r="K479">
        <v>0.25555880434810374</v>
      </c>
      <c r="L479" t="s">
        <v>158</v>
      </c>
      <c r="N479" t="s">
        <v>333</v>
      </c>
      <c r="O479" t="s">
        <v>456</v>
      </c>
      <c r="P479">
        <v>9.8932605649662983E-2</v>
      </c>
      <c r="Q479" t="s">
        <v>158</v>
      </c>
    </row>
    <row r="480" spans="9:17" x14ac:dyDescent="0.45">
      <c r="I480" t="s">
        <v>197</v>
      </c>
      <c r="J480" t="s">
        <v>457</v>
      </c>
      <c r="K480">
        <v>0</v>
      </c>
      <c r="L480" t="s">
        <v>158</v>
      </c>
      <c r="N480" t="s">
        <v>333</v>
      </c>
      <c r="O480" t="s">
        <v>457</v>
      </c>
      <c r="P480">
        <v>7.1595610425805076E-2</v>
      </c>
      <c r="Q480" t="s">
        <v>158</v>
      </c>
    </row>
    <row r="481" spans="9:17" x14ac:dyDescent="0.45">
      <c r="I481" t="s">
        <v>197</v>
      </c>
      <c r="J481" t="s">
        <v>458</v>
      </c>
      <c r="K481">
        <v>2.2252619310946201E-2</v>
      </c>
      <c r="L481" t="s">
        <v>158</v>
      </c>
      <c r="N481" t="s">
        <v>333</v>
      </c>
      <c r="O481" t="s">
        <v>458</v>
      </c>
      <c r="P481">
        <v>2.0438594599388051E-2</v>
      </c>
      <c r="Q481" t="s">
        <v>158</v>
      </c>
    </row>
    <row r="482" spans="9:17" x14ac:dyDescent="0.45">
      <c r="I482" t="s">
        <v>197</v>
      </c>
      <c r="J482" t="s">
        <v>459</v>
      </c>
      <c r="K482">
        <v>0.21542830362187521</v>
      </c>
      <c r="L482" t="s">
        <v>158</v>
      </c>
      <c r="N482" t="s">
        <v>333</v>
      </c>
      <c r="O482" t="s">
        <v>459</v>
      </c>
      <c r="P482">
        <v>0.17978389166742942</v>
      </c>
      <c r="Q482" t="s">
        <v>158</v>
      </c>
    </row>
    <row r="483" spans="9:17" x14ac:dyDescent="0.45">
      <c r="I483" t="s">
        <v>197</v>
      </c>
      <c r="J483" t="s">
        <v>460</v>
      </c>
      <c r="K483">
        <v>1.0388050561072316E-3</v>
      </c>
      <c r="L483" t="s">
        <v>158</v>
      </c>
      <c r="N483" t="s">
        <v>333</v>
      </c>
      <c r="O483" t="s">
        <v>460</v>
      </c>
      <c r="P483">
        <v>0.11506050834782269</v>
      </c>
      <c r="Q483" t="s">
        <v>158</v>
      </c>
    </row>
    <row r="484" spans="9:17" x14ac:dyDescent="0.45">
      <c r="I484" t="s">
        <v>197</v>
      </c>
      <c r="J484" t="s">
        <v>461</v>
      </c>
      <c r="K484">
        <v>2.3763809337905836E-2</v>
      </c>
      <c r="L484" t="s">
        <v>158</v>
      </c>
      <c r="N484" t="s">
        <v>333</v>
      </c>
      <c r="O484" t="s">
        <v>461</v>
      </c>
      <c r="P484">
        <v>4.4525173023066862E-2</v>
      </c>
      <c r="Q484" t="s">
        <v>158</v>
      </c>
    </row>
    <row r="485" spans="9:17" x14ac:dyDescent="0.45">
      <c r="I485" t="s">
        <v>197</v>
      </c>
      <c r="J485" t="s">
        <v>462</v>
      </c>
      <c r="K485">
        <v>0.22810797438654262</v>
      </c>
      <c r="L485" t="s">
        <v>158</v>
      </c>
      <c r="N485" t="s">
        <v>333</v>
      </c>
      <c r="O485" t="s">
        <v>462</v>
      </c>
      <c r="P485">
        <v>0.17326447067847586</v>
      </c>
      <c r="Q485" t="s">
        <v>158</v>
      </c>
    </row>
    <row r="486" spans="9:17" x14ac:dyDescent="0.45">
      <c r="I486" t="s">
        <v>197</v>
      </c>
      <c r="J486" t="s">
        <v>463</v>
      </c>
      <c r="K486">
        <v>5.0399790699738245E-3</v>
      </c>
      <c r="L486" t="s">
        <v>158</v>
      </c>
      <c r="N486" t="s">
        <v>333</v>
      </c>
      <c r="O486" t="s">
        <v>463</v>
      </c>
      <c r="P486">
        <v>0.11738140731034868</v>
      </c>
      <c r="Q486" t="s">
        <v>158</v>
      </c>
    </row>
    <row r="487" spans="9:17" x14ac:dyDescent="0.45">
      <c r="I487" t="s">
        <v>197</v>
      </c>
      <c r="J487" t="s">
        <v>464</v>
      </c>
      <c r="K487">
        <v>2.8141592762804375E-2</v>
      </c>
      <c r="L487" t="s">
        <v>158</v>
      </c>
      <c r="N487" t="s">
        <v>333</v>
      </c>
      <c r="O487" t="s">
        <v>464</v>
      </c>
      <c r="P487">
        <v>5.4388566603013666E-2</v>
      </c>
      <c r="Q487" t="s">
        <v>158</v>
      </c>
    </row>
    <row r="488" spans="9:17" x14ac:dyDescent="0.45">
      <c r="I488" t="s">
        <v>197</v>
      </c>
      <c r="J488" t="s">
        <v>465</v>
      </c>
      <c r="K488">
        <v>0.20132725772389046</v>
      </c>
      <c r="L488" t="s">
        <v>158</v>
      </c>
      <c r="N488" t="s">
        <v>333</v>
      </c>
      <c r="O488" t="s">
        <v>465</v>
      </c>
      <c r="P488">
        <v>5.6534915379284199E-2</v>
      </c>
      <c r="Q488" t="s">
        <v>158</v>
      </c>
    </row>
    <row r="489" spans="9:17" x14ac:dyDescent="0.45">
      <c r="I489" t="s">
        <v>197</v>
      </c>
      <c r="J489" t="s">
        <v>466</v>
      </c>
      <c r="K489">
        <v>0</v>
      </c>
      <c r="L489" t="s">
        <v>158</v>
      </c>
      <c r="N489" t="s">
        <v>333</v>
      </c>
      <c r="O489" t="s">
        <v>466</v>
      </c>
      <c r="P489">
        <v>5.9524325812376815E-2</v>
      </c>
      <c r="Q489" t="s">
        <v>158</v>
      </c>
    </row>
    <row r="490" spans="9:17" x14ac:dyDescent="0.45">
      <c r="I490" t="s">
        <v>197</v>
      </c>
      <c r="J490" t="s">
        <v>467</v>
      </c>
      <c r="K490">
        <v>1.9340854381850653E-2</v>
      </c>
      <c r="L490" t="s">
        <v>158</v>
      </c>
      <c r="N490" t="s">
        <v>333</v>
      </c>
      <c r="O490" t="s">
        <v>467</v>
      </c>
      <c r="P490">
        <v>8.5699305033251905E-3</v>
      </c>
      <c r="Q490" t="s">
        <v>158</v>
      </c>
    </row>
    <row r="491" spans="9:17" x14ac:dyDescent="0.45">
      <c r="I491" t="s">
        <v>198</v>
      </c>
      <c r="J491" t="s">
        <v>456</v>
      </c>
      <c r="K491">
        <v>0.25212329231515773</v>
      </c>
      <c r="L491" t="s">
        <v>158</v>
      </c>
      <c r="N491" t="s">
        <v>334</v>
      </c>
      <c r="O491" t="s">
        <v>456</v>
      </c>
      <c r="P491">
        <v>9.0347435275999186E-2</v>
      </c>
      <c r="Q491" t="s">
        <v>158</v>
      </c>
    </row>
    <row r="492" spans="9:17" x14ac:dyDescent="0.45">
      <c r="I492" t="s">
        <v>198</v>
      </c>
      <c r="J492" t="s">
        <v>457</v>
      </c>
      <c r="K492">
        <v>0</v>
      </c>
      <c r="L492" t="s">
        <v>158</v>
      </c>
      <c r="N492" t="s">
        <v>334</v>
      </c>
      <c r="O492" t="s">
        <v>457</v>
      </c>
      <c r="P492">
        <v>0.12366556492152617</v>
      </c>
      <c r="Q492" t="s">
        <v>158</v>
      </c>
    </row>
    <row r="493" spans="9:17" x14ac:dyDescent="0.45">
      <c r="I493" t="s">
        <v>198</v>
      </c>
      <c r="J493" t="s">
        <v>458</v>
      </c>
      <c r="K493">
        <v>2.0302304231492315E-2</v>
      </c>
      <c r="L493" t="s">
        <v>158</v>
      </c>
      <c r="N493" t="s">
        <v>334</v>
      </c>
      <c r="O493" t="s">
        <v>458</v>
      </c>
      <c r="P493">
        <v>1.7923081733630632E-2</v>
      </c>
      <c r="Q493" t="s">
        <v>158</v>
      </c>
    </row>
    <row r="494" spans="9:17" x14ac:dyDescent="0.45">
      <c r="I494" t="s">
        <v>198</v>
      </c>
      <c r="J494" t="s">
        <v>459</v>
      </c>
      <c r="K494">
        <v>0.20953091921098191</v>
      </c>
      <c r="L494" t="s">
        <v>158</v>
      </c>
      <c r="N494" t="s">
        <v>334</v>
      </c>
      <c r="O494" t="s">
        <v>459</v>
      </c>
      <c r="P494">
        <v>0.12325748465760722</v>
      </c>
      <c r="Q494" t="s">
        <v>158</v>
      </c>
    </row>
    <row r="495" spans="9:17" x14ac:dyDescent="0.45">
      <c r="I495" t="s">
        <v>198</v>
      </c>
      <c r="J495" t="s">
        <v>460</v>
      </c>
      <c r="K495">
        <v>1.5995768897976313E-3</v>
      </c>
      <c r="L495" t="s">
        <v>158</v>
      </c>
      <c r="N495" t="s">
        <v>334</v>
      </c>
      <c r="O495" t="s">
        <v>460</v>
      </c>
      <c r="P495">
        <v>0.16831225211135631</v>
      </c>
      <c r="Q495" t="s">
        <v>158</v>
      </c>
    </row>
    <row r="496" spans="9:17" x14ac:dyDescent="0.45">
      <c r="I496" t="s">
        <v>198</v>
      </c>
      <c r="J496" t="s">
        <v>461</v>
      </c>
      <c r="K496">
        <v>2.3101475723211379E-2</v>
      </c>
      <c r="L496" t="s">
        <v>158</v>
      </c>
      <c r="N496" t="s">
        <v>334</v>
      </c>
      <c r="O496" t="s">
        <v>461</v>
      </c>
      <c r="P496">
        <v>2.568026734180302E-2</v>
      </c>
      <c r="Q496" t="s">
        <v>158</v>
      </c>
    </row>
    <row r="497" spans="9:17" x14ac:dyDescent="0.45">
      <c r="I497" t="s">
        <v>198</v>
      </c>
      <c r="J497" t="s">
        <v>462</v>
      </c>
      <c r="K497">
        <v>0.25899100006278625</v>
      </c>
      <c r="L497" t="s">
        <v>158</v>
      </c>
      <c r="N497" t="s">
        <v>334</v>
      </c>
      <c r="O497" t="s">
        <v>462</v>
      </c>
      <c r="P497">
        <v>0.10718441269912329</v>
      </c>
      <c r="Q497" t="s">
        <v>158</v>
      </c>
    </row>
    <row r="498" spans="9:17" x14ac:dyDescent="0.45">
      <c r="I498" t="s">
        <v>198</v>
      </c>
      <c r="J498" t="s">
        <v>463</v>
      </c>
      <c r="K498">
        <v>5.5726594654264289E-3</v>
      </c>
      <c r="L498" t="s">
        <v>158</v>
      </c>
      <c r="N498" t="s">
        <v>334</v>
      </c>
      <c r="O498" t="s">
        <v>463</v>
      </c>
      <c r="P498">
        <v>0.1794259130461954</v>
      </c>
      <c r="Q498" t="s">
        <v>158</v>
      </c>
    </row>
    <row r="499" spans="9:17" x14ac:dyDescent="0.45">
      <c r="I499" t="s">
        <v>198</v>
      </c>
      <c r="J499" t="s">
        <v>464</v>
      </c>
      <c r="K499">
        <v>2.9974392165347818E-2</v>
      </c>
      <c r="L499" t="s">
        <v>158</v>
      </c>
      <c r="N499" t="s">
        <v>334</v>
      </c>
      <c r="O499" t="s">
        <v>464</v>
      </c>
      <c r="P499">
        <v>2.7640368861217186E-2</v>
      </c>
      <c r="Q499" t="s">
        <v>158</v>
      </c>
    </row>
    <row r="500" spans="9:17" x14ac:dyDescent="0.45">
      <c r="I500" t="s">
        <v>198</v>
      </c>
      <c r="J500" t="s">
        <v>465</v>
      </c>
      <c r="K500">
        <v>0.18457772646531054</v>
      </c>
      <c r="L500" t="s">
        <v>158</v>
      </c>
      <c r="N500" t="s">
        <v>334</v>
      </c>
      <c r="O500" t="s">
        <v>465</v>
      </c>
      <c r="P500">
        <v>5.2040253425984229E-2</v>
      </c>
      <c r="Q500" t="s">
        <v>158</v>
      </c>
    </row>
    <row r="501" spans="9:17" x14ac:dyDescent="0.45">
      <c r="I501" t="s">
        <v>198</v>
      </c>
      <c r="J501" t="s">
        <v>466</v>
      </c>
      <c r="K501">
        <v>0</v>
      </c>
      <c r="L501" t="s">
        <v>158</v>
      </c>
      <c r="N501" t="s">
        <v>334</v>
      </c>
      <c r="O501" t="s">
        <v>466</v>
      </c>
      <c r="P501">
        <v>7.3636517426060213E-2</v>
      </c>
      <c r="Q501" t="s">
        <v>158</v>
      </c>
    </row>
    <row r="502" spans="9:17" x14ac:dyDescent="0.45">
      <c r="I502" t="s">
        <v>198</v>
      </c>
      <c r="J502" t="s">
        <v>467</v>
      </c>
      <c r="K502">
        <v>1.4226653470488484E-2</v>
      </c>
      <c r="L502" t="s">
        <v>158</v>
      </c>
      <c r="N502" t="s">
        <v>334</v>
      </c>
      <c r="O502" t="s">
        <v>467</v>
      </c>
      <c r="P502">
        <v>1.0886448499499234E-2</v>
      </c>
      <c r="Q502" t="s">
        <v>158</v>
      </c>
    </row>
    <row r="503" spans="9:17" x14ac:dyDescent="0.45">
      <c r="I503" t="s">
        <v>199</v>
      </c>
      <c r="J503" t="s">
        <v>456</v>
      </c>
      <c r="K503">
        <v>0.25701713023864348</v>
      </c>
      <c r="L503" t="s">
        <v>158</v>
      </c>
      <c r="N503" t="s">
        <v>335</v>
      </c>
      <c r="O503" t="s">
        <v>456</v>
      </c>
      <c r="P503">
        <v>8.9102467842020153E-2</v>
      </c>
      <c r="Q503" t="s">
        <v>158</v>
      </c>
    </row>
    <row r="504" spans="9:17" x14ac:dyDescent="0.45">
      <c r="I504" t="s">
        <v>199</v>
      </c>
      <c r="J504" t="s">
        <v>457</v>
      </c>
      <c r="K504">
        <v>0</v>
      </c>
      <c r="L504" t="s">
        <v>158</v>
      </c>
      <c r="N504" t="s">
        <v>335</v>
      </c>
      <c r="O504" t="s">
        <v>457</v>
      </c>
      <c r="P504">
        <v>0.11633733694793215</v>
      </c>
      <c r="Q504" t="s">
        <v>158</v>
      </c>
    </row>
    <row r="505" spans="9:17" x14ac:dyDescent="0.45">
      <c r="I505" t="s">
        <v>199</v>
      </c>
      <c r="J505" t="s">
        <v>458</v>
      </c>
      <c r="K505">
        <v>2.0894544967044303E-2</v>
      </c>
      <c r="L505" t="s">
        <v>158</v>
      </c>
      <c r="N505" t="s">
        <v>335</v>
      </c>
      <c r="O505" t="s">
        <v>458</v>
      </c>
      <c r="P505">
        <v>2.0592417914782613E-2</v>
      </c>
      <c r="Q505" t="s">
        <v>158</v>
      </c>
    </row>
    <row r="506" spans="9:17" x14ac:dyDescent="0.45">
      <c r="I506" t="s">
        <v>199</v>
      </c>
      <c r="J506" t="s">
        <v>459</v>
      </c>
      <c r="K506">
        <v>0.21182832191030812</v>
      </c>
      <c r="L506" t="s">
        <v>158</v>
      </c>
      <c r="N506" t="s">
        <v>335</v>
      </c>
      <c r="O506" t="s">
        <v>459</v>
      </c>
      <c r="P506">
        <v>0.1293647146340271</v>
      </c>
      <c r="Q506" t="s">
        <v>158</v>
      </c>
    </row>
    <row r="507" spans="9:17" x14ac:dyDescent="0.45">
      <c r="I507" t="s">
        <v>199</v>
      </c>
      <c r="J507" t="s">
        <v>460</v>
      </c>
      <c r="K507">
        <v>1.1814522764095326E-3</v>
      </c>
      <c r="L507" t="s">
        <v>158</v>
      </c>
      <c r="N507" t="s">
        <v>335</v>
      </c>
      <c r="O507" t="s">
        <v>460</v>
      </c>
      <c r="P507">
        <v>0.18230869055636456</v>
      </c>
      <c r="Q507" t="s">
        <v>158</v>
      </c>
    </row>
    <row r="508" spans="9:17" x14ac:dyDescent="0.45">
      <c r="I508" t="s">
        <v>199</v>
      </c>
      <c r="J508" t="s">
        <v>461</v>
      </c>
      <c r="K508">
        <v>2.3294950775260989E-2</v>
      </c>
      <c r="L508" t="s">
        <v>158</v>
      </c>
      <c r="N508" t="s">
        <v>335</v>
      </c>
      <c r="O508" t="s">
        <v>461</v>
      </c>
      <c r="P508">
        <v>3.2479510109378183E-2</v>
      </c>
      <c r="Q508" t="s">
        <v>158</v>
      </c>
    </row>
    <row r="509" spans="9:17" x14ac:dyDescent="0.45">
      <c r="I509" t="s">
        <v>199</v>
      </c>
      <c r="J509" t="s">
        <v>462</v>
      </c>
      <c r="K509">
        <v>0.24690862762854313</v>
      </c>
      <c r="L509" t="s">
        <v>158</v>
      </c>
      <c r="N509" t="s">
        <v>335</v>
      </c>
      <c r="O509" t="s">
        <v>462</v>
      </c>
      <c r="P509">
        <v>0.10507254447628085</v>
      </c>
      <c r="Q509" t="s">
        <v>158</v>
      </c>
    </row>
    <row r="510" spans="9:17" x14ac:dyDescent="0.45">
      <c r="I510" t="s">
        <v>199</v>
      </c>
      <c r="J510" t="s">
        <v>463</v>
      </c>
      <c r="K510">
        <v>5.4276400194851982E-3</v>
      </c>
      <c r="L510" t="s">
        <v>158</v>
      </c>
      <c r="N510" t="s">
        <v>335</v>
      </c>
      <c r="O510" t="s">
        <v>463</v>
      </c>
      <c r="P510">
        <v>0.18874375571872776</v>
      </c>
      <c r="Q510" t="s">
        <v>158</v>
      </c>
    </row>
    <row r="511" spans="9:17" x14ac:dyDescent="0.45">
      <c r="I511" t="s">
        <v>199</v>
      </c>
      <c r="J511" t="s">
        <v>464</v>
      </c>
      <c r="K511">
        <v>2.92541866101034E-2</v>
      </c>
      <c r="L511" t="s">
        <v>158</v>
      </c>
      <c r="N511" t="s">
        <v>335</v>
      </c>
      <c r="O511" t="s">
        <v>464</v>
      </c>
      <c r="P511">
        <v>3.5200794940359673E-2</v>
      </c>
      <c r="Q511" t="s">
        <v>158</v>
      </c>
    </row>
    <row r="512" spans="9:17" x14ac:dyDescent="0.45">
      <c r="I512" t="s">
        <v>199</v>
      </c>
      <c r="J512" t="s">
        <v>465</v>
      </c>
      <c r="K512">
        <v>0.18942005920839478</v>
      </c>
      <c r="L512" t="s">
        <v>158</v>
      </c>
      <c r="N512" t="s">
        <v>335</v>
      </c>
      <c r="O512" t="s">
        <v>465</v>
      </c>
      <c r="P512">
        <v>3.978636083552483E-2</v>
      </c>
      <c r="Q512" t="s">
        <v>158</v>
      </c>
    </row>
    <row r="513" spans="9:17" x14ac:dyDescent="0.45">
      <c r="I513" t="s">
        <v>199</v>
      </c>
      <c r="J513" t="s">
        <v>466</v>
      </c>
      <c r="K513">
        <v>0</v>
      </c>
      <c r="L513" t="s">
        <v>158</v>
      </c>
      <c r="N513" t="s">
        <v>335</v>
      </c>
      <c r="O513" t="s">
        <v>466</v>
      </c>
      <c r="P513">
        <v>5.2050793159144848E-2</v>
      </c>
      <c r="Q513" t="s">
        <v>158</v>
      </c>
    </row>
    <row r="514" spans="9:17" x14ac:dyDescent="0.45">
      <c r="I514" t="s">
        <v>199</v>
      </c>
      <c r="J514" t="s">
        <v>467</v>
      </c>
      <c r="K514">
        <v>1.4773086365807875E-2</v>
      </c>
      <c r="L514" t="s">
        <v>158</v>
      </c>
      <c r="N514" t="s">
        <v>335</v>
      </c>
      <c r="O514" t="s">
        <v>467</v>
      </c>
      <c r="P514">
        <v>8.9606128654576879E-3</v>
      </c>
      <c r="Q514" t="s">
        <v>158</v>
      </c>
    </row>
    <row r="515" spans="9:17" x14ac:dyDescent="0.45">
      <c r="I515" t="s">
        <v>200</v>
      </c>
      <c r="J515" t="s">
        <v>456</v>
      </c>
      <c r="K515">
        <v>0.26572948635874827</v>
      </c>
      <c r="L515" t="s">
        <v>158</v>
      </c>
      <c r="N515" t="s">
        <v>336</v>
      </c>
      <c r="O515" t="s">
        <v>456</v>
      </c>
      <c r="P515">
        <v>0.11593453108745295</v>
      </c>
      <c r="Q515" t="s">
        <v>158</v>
      </c>
    </row>
    <row r="516" spans="9:17" x14ac:dyDescent="0.45">
      <c r="I516" t="s">
        <v>200</v>
      </c>
      <c r="J516" t="s">
        <v>457</v>
      </c>
      <c r="K516">
        <v>0</v>
      </c>
      <c r="L516" t="s">
        <v>158</v>
      </c>
      <c r="N516" t="s">
        <v>336</v>
      </c>
      <c r="O516" t="s">
        <v>457</v>
      </c>
      <c r="P516">
        <v>0.12270705406745815</v>
      </c>
      <c r="Q516" t="s">
        <v>158</v>
      </c>
    </row>
    <row r="517" spans="9:17" x14ac:dyDescent="0.45">
      <c r="I517" t="s">
        <v>200</v>
      </c>
      <c r="J517" t="s">
        <v>458</v>
      </c>
      <c r="K517">
        <v>8.8989753390248272E-3</v>
      </c>
      <c r="L517" t="s">
        <v>158</v>
      </c>
      <c r="N517" t="s">
        <v>336</v>
      </c>
      <c r="O517" t="s">
        <v>458</v>
      </c>
      <c r="P517">
        <v>2.1817794324098416E-2</v>
      </c>
      <c r="Q517" t="s">
        <v>158</v>
      </c>
    </row>
    <row r="518" spans="9:17" x14ac:dyDescent="0.45">
      <c r="I518" t="s">
        <v>200</v>
      </c>
      <c r="J518" t="s">
        <v>459</v>
      </c>
      <c r="K518">
        <v>0.21060608168582032</v>
      </c>
      <c r="L518" t="s">
        <v>158</v>
      </c>
      <c r="N518" t="s">
        <v>336</v>
      </c>
      <c r="O518" t="s">
        <v>459</v>
      </c>
      <c r="P518">
        <v>0.14577059640741982</v>
      </c>
      <c r="Q518" t="s">
        <v>158</v>
      </c>
    </row>
    <row r="519" spans="9:17" x14ac:dyDescent="0.45">
      <c r="I519" t="s">
        <v>200</v>
      </c>
      <c r="J519" t="s">
        <v>460</v>
      </c>
      <c r="K519">
        <v>0</v>
      </c>
      <c r="L519" t="s">
        <v>158</v>
      </c>
      <c r="N519" t="s">
        <v>336</v>
      </c>
      <c r="O519" t="s">
        <v>460</v>
      </c>
      <c r="P519">
        <v>0.14986347724732846</v>
      </c>
      <c r="Q519" t="s">
        <v>158</v>
      </c>
    </row>
    <row r="520" spans="9:17" x14ac:dyDescent="0.45">
      <c r="I520" t="s">
        <v>200</v>
      </c>
      <c r="J520" t="s">
        <v>461</v>
      </c>
      <c r="K520">
        <v>1.1305230690712677E-2</v>
      </c>
      <c r="L520" t="s">
        <v>158</v>
      </c>
      <c r="N520" t="s">
        <v>336</v>
      </c>
      <c r="O520" t="s">
        <v>461</v>
      </c>
      <c r="P520">
        <v>3.142811020434675E-2</v>
      </c>
      <c r="Q520" t="s">
        <v>158</v>
      </c>
    </row>
    <row r="521" spans="9:17" x14ac:dyDescent="0.45">
      <c r="I521" t="s">
        <v>200</v>
      </c>
      <c r="J521" t="s">
        <v>462</v>
      </c>
      <c r="K521">
        <v>0.23954656250633474</v>
      </c>
      <c r="L521" t="s">
        <v>158</v>
      </c>
      <c r="N521" t="s">
        <v>336</v>
      </c>
      <c r="O521" t="s">
        <v>462</v>
      </c>
      <c r="P521">
        <v>0.10629943168312272</v>
      </c>
      <c r="Q521" t="s">
        <v>158</v>
      </c>
    </row>
    <row r="522" spans="9:17" x14ac:dyDescent="0.45">
      <c r="I522" t="s">
        <v>200</v>
      </c>
      <c r="J522" t="s">
        <v>463</v>
      </c>
      <c r="K522">
        <v>0</v>
      </c>
      <c r="L522" t="s">
        <v>158</v>
      </c>
      <c r="N522" t="s">
        <v>336</v>
      </c>
      <c r="O522" t="s">
        <v>463</v>
      </c>
      <c r="P522">
        <v>0.12570682526526183</v>
      </c>
      <c r="Q522" t="s">
        <v>158</v>
      </c>
    </row>
    <row r="523" spans="9:17" x14ac:dyDescent="0.45">
      <c r="I523" t="s">
        <v>200</v>
      </c>
      <c r="J523" t="s">
        <v>464</v>
      </c>
      <c r="K523">
        <v>1.707532243086661E-2</v>
      </c>
      <c r="L523" t="s">
        <v>158</v>
      </c>
      <c r="N523" t="s">
        <v>336</v>
      </c>
      <c r="O523" t="s">
        <v>464</v>
      </c>
      <c r="P523">
        <v>2.5031655198987E-2</v>
      </c>
      <c r="Q523" t="s">
        <v>158</v>
      </c>
    </row>
    <row r="524" spans="9:17" x14ac:dyDescent="0.45">
      <c r="I524" t="s">
        <v>200</v>
      </c>
      <c r="J524" t="s">
        <v>465</v>
      </c>
      <c r="K524">
        <v>0.2373957902208963</v>
      </c>
      <c r="L524" t="s">
        <v>158</v>
      </c>
      <c r="N524" t="s">
        <v>336</v>
      </c>
      <c r="O524" t="s">
        <v>465</v>
      </c>
      <c r="P524">
        <v>6.3227189394470501E-2</v>
      </c>
      <c r="Q524" t="s">
        <v>158</v>
      </c>
    </row>
    <row r="525" spans="9:17" x14ac:dyDescent="0.45">
      <c r="I525" t="s">
        <v>200</v>
      </c>
      <c r="J525" t="s">
        <v>466</v>
      </c>
      <c r="K525">
        <v>0</v>
      </c>
      <c r="L525" t="s">
        <v>158</v>
      </c>
      <c r="N525" t="s">
        <v>336</v>
      </c>
      <c r="O525" t="s">
        <v>466</v>
      </c>
      <c r="P525">
        <v>7.8464736092633477E-2</v>
      </c>
      <c r="Q525" t="s">
        <v>158</v>
      </c>
    </row>
    <row r="526" spans="9:17" x14ac:dyDescent="0.45">
      <c r="I526" t="s">
        <v>200</v>
      </c>
      <c r="J526" t="s">
        <v>467</v>
      </c>
      <c r="K526">
        <v>9.4425507675951013E-3</v>
      </c>
      <c r="L526" t="s">
        <v>158</v>
      </c>
      <c r="N526" t="s">
        <v>336</v>
      </c>
      <c r="O526" t="s">
        <v>467</v>
      </c>
      <c r="P526">
        <v>1.3748599027414612E-2</v>
      </c>
      <c r="Q526" t="s">
        <v>158</v>
      </c>
    </row>
    <row r="527" spans="9:17" x14ac:dyDescent="0.45">
      <c r="I527" t="s">
        <v>201</v>
      </c>
      <c r="J527" t="s">
        <v>456</v>
      </c>
      <c r="K527">
        <v>0.27924140243489298</v>
      </c>
      <c r="L527" t="s">
        <v>158</v>
      </c>
      <c r="N527" t="s">
        <v>337</v>
      </c>
      <c r="O527" t="s">
        <v>456</v>
      </c>
      <c r="P527">
        <v>8.1775174586094443E-2</v>
      </c>
      <c r="Q527" t="s">
        <v>158</v>
      </c>
    </row>
    <row r="528" spans="9:17" x14ac:dyDescent="0.45">
      <c r="I528" t="s">
        <v>201</v>
      </c>
      <c r="J528" t="s">
        <v>457</v>
      </c>
      <c r="K528">
        <v>0</v>
      </c>
      <c r="L528" t="s">
        <v>158</v>
      </c>
      <c r="N528" t="s">
        <v>337</v>
      </c>
      <c r="O528" t="s">
        <v>457</v>
      </c>
      <c r="P528">
        <v>8.799254827991089E-2</v>
      </c>
      <c r="Q528" t="s">
        <v>158</v>
      </c>
    </row>
    <row r="529" spans="9:17" x14ac:dyDescent="0.45">
      <c r="I529" t="s">
        <v>201</v>
      </c>
      <c r="J529" t="s">
        <v>458</v>
      </c>
      <c r="K529">
        <v>1.1777245067025483E-2</v>
      </c>
      <c r="L529" t="s">
        <v>158</v>
      </c>
      <c r="N529" t="s">
        <v>337</v>
      </c>
      <c r="O529" t="s">
        <v>458</v>
      </c>
      <c r="P529">
        <v>1.6348599087817016E-2</v>
      </c>
      <c r="Q529" t="s">
        <v>158</v>
      </c>
    </row>
    <row r="530" spans="9:17" x14ac:dyDescent="0.45">
      <c r="I530" t="s">
        <v>201</v>
      </c>
      <c r="J530" t="s">
        <v>459</v>
      </c>
      <c r="K530">
        <v>0.19298359414929706</v>
      </c>
      <c r="L530" t="s">
        <v>158</v>
      </c>
      <c r="N530" t="s">
        <v>337</v>
      </c>
      <c r="O530" t="s">
        <v>459</v>
      </c>
      <c r="P530">
        <v>0.10211829443206558</v>
      </c>
      <c r="Q530" t="s">
        <v>158</v>
      </c>
    </row>
    <row r="531" spans="9:17" x14ac:dyDescent="0.45">
      <c r="I531" t="s">
        <v>201</v>
      </c>
      <c r="J531" t="s">
        <v>460</v>
      </c>
      <c r="K531">
        <v>0</v>
      </c>
      <c r="L531" t="s">
        <v>158</v>
      </c>
      <c r="N531" t="s">
        <v>337</v>
      </c>
      <c r="O531" t="s">
        <v>460</v>
      </c>
      <c r="P531">
        <v>9.732618834200113E-2</v>
      </c>
      <c r="Q531" t="s">
        <v>158</v>
      </c>
    </row>
    <row r="532" spans="9:17" x14ac:dyDescent="0.45">
      <c r="I532" t="s">
        <v>201</v>
      </c>
      <c r="J532" t="s">
        <v>461</v>
      </c>
      <c r="K532">
        <v>1.1689066576553693E-2</v>
      </c>
      <c r="L532" t="s">
        <v>158</v>
      </c>
      <c r="N532" t="s">
        <v>337</v>
      </c>
      <c r="O532" t="s">
        <v>461</v>
      </c>
      <c r="P532">
        <v>1.7527589602533471E-2</v>
      </c>
      <c r="Q532" t="s">
        <v>158</v>
      </c>
    </row>
    <row r="533" spans="9:17" x14ac:dyDescent="0.45">
      <c r="I533" t="s">
        <v>201</v>
      </c>
      <c r="J533" t="s">
        <v>462</v>
      </c>
      <c r="K533">
        <v>0.26321472011275399</v>
      </c>
      <c r="L533" t="s">
        <v>158</v>
      </c>
      <c r="N533" t="s">
        <v>337</v>
      </c>
      <c r="O533" t="s">
        <v>462</v>
      </c>
      <c r="P533">
        <v>0.22181631316276212</v>
      </c>
      <c r="Q533" t="s">
        <v>158</v>
      </c>
    </row>
    <row r="534" spans="9:17" x14ac:dyDescent="0.45">
      <c r="I534" t="s">
        <v>201</v>
      </c>
      <c r="J534" t="s">
        <v>463</v>
      </c>
      <c r="K534">
        <v>0</v>
      </c>
      <c r="L534" t="s">
        <v>158</v>
      </c>
      <c r="N534" t="s">
        <v>337</v>
      </c>
      <c r="O534" t="s">
        <v>463</v>
      </c>
      <c r="P534">
        <v>0.18712320092886595</v>
      </c>
      <c r="Q534" t="s">
        <v>158</v>
      </c>
    </row>
    <row r="535" spans="9:17" x14ac:dyDescent="0.45">
      <c r="I535" t="s">
        <v>201</v>
      </c>
      <c r="J535" t="s">
        <v>464</v>
      </c>
      <c r="K535">
        <v>2.0163446659742977E-2</v>
      </c>
      <c r="L535" t="s">
        <v>158</v>
      </c>
      <c r="N535" t="s">
        <v>337</v>
      </c>
      <c r="O535" t="s">
        <v>464</v>
      </c>
      <c r="P535">
        <v>2.5058789304301603E-2</v>
      </c>
      <c r="Q535" t="s">
        <v>158</v>
      </c>
    </row>
    <row r="536" spans="9:17" x14ac:dyDescent="0.45">
      <c r="I536" t="s">
        <v>201</v>
      </c>
      <c r="J536" t="s">
        <v>465</v>
      </c>
      <c r="K536">
        <v>0.212360374238206</v>
      </c>
      <c r="L536" t="s">
        <v>158</v>
      </c>
      <c r="N536" t="s">
        <v>337</v>
      </c>
      <c r="O536" t="s">
        <v>465</v>
      </c>
      <c r="P536">
        <v>6.8425311964726301E-2</v>
      </c>
      <c r="Q536" t="s">
        <v>158</v>
      </c>
    </row>
    <row r="537" spans="9:17" x14ac:dyDescent="0.45">
      <c r="I537" t="s">
        <v>201</v>
      </c>
      <c r="J537" t="s">
        <v>466</v>
      </c>
      <c r="K537">
        <v>0</v>
      </c>
      <c r="L537" t="s">
        <v>158</v>
      </c>
      <c r="N537" t="s">
        <v>337</v>
      </c>
      <c r="O537" t="s">
        <v>466</v>
      </c>
      <c r="P537">
        <v>7.9648042184008838E-2</v>
      </c>
      <c r="Q537" t="s">
        <v>158</v>
      </c>
    </row>
    <row r="538" spans="9:17" x14ac:dyDescent="0.45">
      <c r="I538" t="s">
        <v>201</v>
      </c>
      <c r="J538" t="s">
        <v>467</v>
      </c>
      <c r="K538">
        <v>8.5701507615298968E-3</v>
      </c>
      <c r="L538" t="s">
        <v>158</v>
      </c>
      <c r="N538" t="s">
        <v>337</v>
      </c>
      <c r="O538" t="s">
        <v>467</v>
      </c>
      <c r="P538">
        <v>1.4839948124912067E-2</v>
      </c>
      <c r="Q538" t="s">
        <v>158</v>
      </c>
    </row>
    <row r="539" spans="9:17" x14ac:dyDescent="0.45">
      <c r="I539" t="s">
        <v>202</v>
      </c>
      <c r="J539" t="s">
        <v>456</v>
      </c>
      <c r="K539">
        <v>0.25712929218617786</v>
      </c>
      <c r="L539" t="s">
        <v>158</v>
      </c>
      <c r="N539" t="s">
        <v>338</v>
      </c>
      <c r="O539" t="s">
        <v>456</v>
      </c>
      <c r="P539">
        <v>9.0859376325974642E-2</v>
      </c>
      <c r="Q539" t="s">
        <v>158</v>
      </c>
    </row>
    <row r="540" spans="9:17" x14ac:dyDescent="0.45">
      <c r="I540" t="s">
        <v>202</v>
      </c>
      <c r="J540" t="s">
        <v>457</v>
      </c>
      <c r="K540">
        <v>0</v>
      </c>
      <c r="L540" t="s">
        <v>158</v>
      </c>
      <c r="N540" t="s">
        <v>338</v>
      </c>
      <c r="O540" t="s">
        <v>457</v>
      </c>
      <c r="P540">
        <v>0.10976368693495825</v>
      </c>
      <c r="Q540" t="s">
        <v>158</v>
      </c>
    </row>
    <row r="541" spans="9:17" x14ac:dyDescent="0.45">
      <c r="I541" t="s">
        <v>202</v>
      </c>
      <c r="J541" t="s">
        <v>458</v>
      </c>
      <c r="K541">
        <v>1.1035514680500952E-2</v>
      </c>
      <c r="L541" t="s">
        <v>158</v>
      </c>
      <c r="N541" t="s">
        <v>338</v>
      </c>
      <c r="O541" t="s">
        <v>458</v>
      </c>
      <c r="P541">
        <v>2.0446420701969607E-2</v>
      </c>
      <c r="Q541" t="s">
        <v>158</v>
      </c>
    </row>
    <row r="542" spans="9:17" x14ac:dyDescent="0.45">
      <c r="I542" t="s">
        <v>202</v>
      </c>
      <c r="J542" t="s">
        <v>459</v>
      </c>
      <c r="K542">
        <v>0.20791048466187528</v>
      </c>
      <c r="L542" t="s">
        <v>158</v>
      </c>
      <c r="N542" t="s">
        <v>338</v>
      </c>
      <c r="O542" t="s">
        <v>459</v>
      </c>
      <c r="P542">
        <v>9.8567132553767547E-2</v>
      </c>
      <c r="Q542" t="s">
        <v>158</v>
      </c>
    </row>
    <row r="543" spans="9:17" x14ac:dyDescent="0.45">
      <c r="I543" t="s">
        <v>202</v>
      </c>
      <c r="J543" t="s">
        <v>460</v>
      </c>
      <c r="K543">
        <v>0</v>
      </c>
      <c r="L543" t="s">
        <v>158</v>
      </c>
      <c r="N543" t="s">
        <v>338</v>
      </c>
      <c r="O543" t="s">
        <v>460</v>
      </c>
      <c r="P543">
        <v>9.3035096628819661E-2</v>
      </c>
      <c r="Q543" t="s">
        <v>158</v>
      </c>
    </row>
    <row r="544" spans="9:17" x14ac:dyDescent="0.45">
      <c r="I544" t="s">
        <v>202</v>
      </c>
      <c r="J544" t="s">
        <v>461</v>
      </c>
      <c r="K544">
        <v>1.4838706216580434E-2</v>
      </c>
      <c r="L544" t="s">
        <v>158</v>
      </c>
      <c r="N544" t="s">
        <v>338</v>
      </c>
      <c r="O544" t="s">
        <v>461</v>
      </c>
      <c r="P544">
        <v>1.5424946320765631E-2</v>
      </c>
      <c r="Q544" t="s">
        <v>158</v>
      </c>
    </row>
    <row r="545" spans="9:17" x14ac:dyDescent="0.45">
      <c r="I545" t="s">
        <v>202</v>
      </c>
      <c r="J545" t="s">
        <v>462</v>
      </c>
      <c r="K545">
        <v>0.2547323519065644</v>
      </c>
      <c r="L545" t="s">
        <v>158</v>
      </c>
      <c r="N545" t="s">
        <v>338</v>
      </c>
      <c r="O545" t="s">
        <v>462</v>
      </c>
      <c r="P545">
        <v>0.17157276451692391</v>
      </c>
      <c r="Q545" t="s">
        <v>158</v>
      </c>
    </row>
    <row r="546" spans="9:17" x14ac:dyDescent="0.45">
      <c r="I546" t="s">
        <v>202</v>
      </c>
      <c r="J546" t="s">
        <v>463</v>
      </c>
      <c r="K546">
        <v>0</v>
      </c>
      <c r="L546" t="s">
        <v>158</v>
      </c>
      <c r="N546" t="s">
        <v>338</v>
      </c>
      <c r="O546" t="s">
        <v>463</v>
      </c>
      <c r="P546">
        <v>0.19312727088573506</v>
      </c>
      <c r="Q546" t="s">
        <v>158</v>
      </c>
    </row>
    <row r="547" spans="9:17" x14ac:dyDescent="0.45">
      <c r="I547" t="s">
        <v>202</v>
      </c>
      <c r="J547" t="s">
        <v>464</v>
      </c>
      <c r="K547">
        <v>1.9270431236777501E-2</v>
      </c>
      <c r="L547" t="s">
        <v>158</v>
      </c>
      <c r="N547" t="s">
        <v>338</v>
      </c>
      <c r="O547" t="s">
        <v>464</v>
      </c>
      <c r="P547">
        <v>2.2562239431754259E-2</v>
      </c>
      <c r="Q547" t="s">
        <v>158</v>
      </c>
    </row>
    <row r="548" spans="9:17" x14ac:dyDescent="0.45">
      <c r="I548" t="s">
        <v>202</v>
      </c>
      <c r="J548" t="s">
        <v>465</v>
      </c>
      <c r="K548">
        <v>0.22516524878957833</v>
      </c>
      <c r="L548" t="s">
        <v>158</v>
      </c>
      <c r="N548" t="s">
        <v>338</v>
      </c>
      <c r="O548" t="s">
        <v>465</v>
      </c>
      <c r="P548">
        <v>7.2900149147378884E-2</v>
      </c>
      <c r="Q548" t="s">
        <v>158</v>
      </c>
    </row>
    <row r="549" spans="9:17" x14ac:dyDescent="0.45">
      <c r="I549" t="s">
        <v>202</v>
      </c>
      <c r="J549" t="s">
        <v>466</v>
      </c>
      <c r="K549">
        <v>0</v>
      </c>
      <c r="L549" t="s">
        <v>158</v>
      </c>
      <c r="N549" t="s">
        <v>338</v>
      </c>
      <c r="O549" t="s">
        <v>466</v>
      </c>
      <c r="P549">
        <v>9.6889128601039626E-2</v>
      </c>
      <c r="Q549" t="s">
        <v>158</v>
      </c>
    </row>
    <row r="550" spans="9:17" x14ac:dyDescent="0.45">
      <c r="I550" t="s">
        <v>202</v>
      </c>
      <c r="J550" t="s">
        <v>467</v>
      </c>
      <c r="K550">
        <v>9.9179703219458917E-3</v>
      </c>
      <c r="L550" t="s">
        <v>158</v>
      </c>
      <c r="N550" t="s">
        <v>338</v>
      </c>
      <c r="O550" t="s">
        <v>467</v>
      </c>
      <c r="P550">
        <v>1.4851787950917066E-2</v>
      </c>
      <c r="Q550" t="s">
        <v>158</v>
      </c>
    </row>
    <row r="551" spans="9:17" x14ac:dyDescent="0.45">
      <c r="I551" t="s">
        <v>203</v>
      </c>
      <c r="J551" t="s">
        <v>456</v>
      </c>
      <c r="K551">
        <v>0.25358421726744607</v>
      </c>
      <c r="L551" t="s">
        <v>158</v>
      </c>
      <c r="N551" t="s">
        <v>339</v>
      </c>
      <c r="O551" t="s">
        <v>456</v>
      </c>
      <c r="P551">
        <v>9.147899503103063E-2</v>
      </c>
      <c r="Q551" t="s">
        <v>158</v>
      </c>
    </row>
    <row r="552" spans="9:17" x14ac:dyDescent="0.45">
      <c r="I552" t="s">
        <v>203</v>
      </c>
      <c r="J552" t="s">
        <v>457</v>
      </c>
      <c r="K552">
        <v>0</v>
      </c>
      <c r="L552" t="s">
        <v>158</v>
      </c>
      <c r="N552" t="s">
        <v>339</v>
      </c>
      <c r="O552" t="s">
        <v>457</v>
      </c>
      <c r="P552">
        <v>8.1075520391354267E-2</v>
      </c>
      <c r="Q552" t="s">
        <v>158</v>
      </c>
    </row>
    <row r="553" spans="9:17" x14ac:dyDescent="0.45">
      <c r="I553" t="s">
        <v>203</v>
      </c>
      <c r="J553" t="s">
        <v>458</v>
      </c>
      <c r="K553">
        <v>7.1691137526673516E-3</v>
      </c>
      <c r="L553" t="s">
        <v>158</v>
      </c>
      <c r="N553" t="s">
        <v>339</v>
      </c>
      <c r="O553" t="s">
        <v>458</v>
      </c>
      <c r="P553">
        <v>1.7435377053441767E-2</v>
      </c>
      <c r="Q553" t="s">
        <v>158</v>
      </c>
    </row>
    <row r="554" spans="9:17" x14ac:dyDescent="0.45">
      <c r="I554" t="s">
        <v>203</v>
      </c>
      <c r="J554" t="s">
        <v>459</v>
      </c>
      <c r="K554">
        <v>0.22400166285935688</v>
      </c>
      <c r="L554" t="s">
        <v>158</v>
      </c>
      <c r="N554" t="s">
        <v>339</v>
      </c>
      <c r="O554" t="s">
        <v>459</v>
      </c>
      <c r="P554">
        <v>0.11828209258076011</v>
      </c>
      <c r="Q554" t="s">
        <v>158</v>
      </c>
    </row>
    <row r="555" spans="9:17" x14ac:dyDescent="0.45">
      <c r="I555" t="s">
        <v>203</v>
      </c>
      <c r="J555" t="s">
        <v>460</v>
      </c>
      <c r="K555">
        <v>4.3857035156605056E-6</v>
      </c>
      <c r="L555" t="s">
        <v>158</v>
      </c>
      <c r="N555" t="s">
        <v>339</v>
      </c>
      <c r="O555" t="s">
        <v>460</v>
      </c>
      <c r="P555">
        <v>8.9089478693495788E-2</v>
      </c>
      <c r="Q555" t="s">
        <v>158</v>
      </c>
    </row>
    <row r="556" spans="9:17" x14ac:dyDescent="0.45">
      <c r="I556" t="s">
        <v>203</v>
      </c>
      <c r="J556" t="s">
        <v>461</v>
      </c>
      <c r="K556">
        <v>1.2668324914203548E-2</v>
      </c>
      <c r="L556" t="s">
        <v>158</v>
      </c>
      <c r="N556" t="s">
        <v>339</v>
      </c>
      <c r="O556" t="s">
        <v>461</v>
      </c>
      <c r="P556">
        <v>1.7879312636422041E-2</v>
      </c>
      <c r="Q556" t="s">
        <v>158</v>
      </c>
    </row>
    <row r="557" spans="9:17" x14ac:dyDescent="0.45">
      <c r="I557" t="s">
        <v>203</v>
      </c>
      <c r="J557" t="s">
        <v>462</v>
      </c>
      <c r="K557">
        <v>0.28407810049017224</v>
      </c>
      <c r="L557" t="s">
        <v>158</v>
      </c>
      <c r="N557" t="s">
        <v>339</v>
      </c>
      <c r="O557" t="s">
        <v>462</v>
      </c>
      <c r="P557">
        <v>0.19112407868305722</v>
      </c>
      <c r="Q557" t="s">
        <v>158</v>
      </c>
    </row>
    <row r="558" spans="9:17" x14ac:dyDescent="0.45">
      <c r="I558" t="s">
        <v>203</v>
      </c>
      <c r="J558" t="s">
        <v>463</v>
      </c>
      <c r="K558">
        <v>4.3070962863784465E-5</v>
      </c>
      <c r="L558" t="s">
        <v>158</v>
      </c>
      <c r="N558" t="s">
        <v>339</v>
      </c>
      <c r="O558" t="s">
        <v>463</v>
      </c>
      <c r="P558">
        <v>0.16176947486654664</v>
      </c>
      <c r="Q558" t="s">
        <v>158</v>
      </c>
    </row>
    <row r="559" spans="9:17" x14ac:dyDescent="0.45">
      <c r="I559" t="s">
        <v>203</v>
      </c>
      <c r="J559" t="s">
        <v>464</v>
      </c>
      <c r="K559">
        <v>2.0464191361362596E-2</v>
      </c>
      <c r="L559" t="s">
        <v>158</v>
      </c>
      <c r="N559" t="s">
        <v>339</v>
      </c>
      <c r="O559" t="s">
        <v>464</v>
      </c>
      <c r="P559">
        <v>2.2564117067126434E-2</v>
      </c>
      <c r="Q559" t="s">
        <v>158</v>
      </c>
    </row>
    <row r="560" spans="9:17" x14ac:dyDescent="0.45">
      <c r="I560" t="s">
        <v>203</v>
      </c>
      <c r="J560" t="s">
        <v>465</v>
      </c>
      <c r="K560">
        <v>0.19400467856425171</v>
      </c>
      <c r="L560" t="s">
        <v>158</v>
      </c>
      <c r="N560" t="s">
        <v>339</v>
      </c>
      <c r="O560" t="s">
        <v>465</v>
      </c>
      <c r="P560">
        <v>9.3912067020533924E-2</v>
      </c>
      <c r="Q560" t="s">
        <v>158</v>
      </c>
    </row>
    <row r="561" spans="9:17" x14ac:dyDescent="0.45">
      <c r="I561" t="s">
        <v>203</v>
      </c>
      <c r="J561" t="s">
        <v>466</v>
      </c>
      <c r="K561">
        <v>0</v>
      </c>
      <c r="L561" t="s">
        <v>158</v>
      </c>
      <c r="N561" t="s">
        <v>339</v>
      </c>
      <c r="O561" t="s">
        <v>466</v>
      </c>
      <c r="P561">
        <v>9.7118737306720784E-2</v>
      </c>
      <c r="Q561" t="s">
        <v>158</v>
      </c>
    </row>
    <row r="562" spans="9:17" x14ac:dyDescent="0.45">
      <c r="I562" t="s">
        <v>203</v>
      </c>
      <c r="J562" t="s">
        <v>467</v>
      </c>
      <c r="K562">
        <v>3.9822541241605943E-3</v>
      </c>
      <c r="L562" t="s">
        <v>158</v>
      </c>
      <c r="N562" t="s">
        <v>339</v>
      </c>
      <c r="O562" t="s">
        <v>467</v>
      </c>
      <c r="P562">
        <v>1.8270748669513691E-2</v>
      </c>
      <c r="Q562" t="s">
        <v>158</v>
      </c>
    </row>
    <row r="563" spans="9:17" x14ac:dyDescent="0.45">
      <c r="I563" t="s">
        <v>204</v>
      </c>
      <c r="J563" t="s">
        <v>456</v>
      </c>
      <c r="K563">
        <v>0.27633678334430939</v>
      </c>
      <c r="L563" t="s">
        <v>158</v>
      </c>
      <c r="N563" t="s">
        <v>340</v>
      </c>
      <c r="O563" t="s">
        <v>456</v>
      </c>
      <c r="P563">
        <v>9.8538984853084474E-2</v>
      </c>
      <c r="Q563" t="s">
        <v>158</v>
      </c>
    </row>
    <row r="564" spans="9:17" x14ac:dyDescent="0.45">
      <c r="I564" t="s">
        <v>204</v>
      </c>
      <c r="J564" t="s">
        <v>457</v>
      </c>
      <c r="K564">
        <v>0</v>
      </c>
      <c r="L564" t="s">
        <v>158</v>
      </c>
      <c r="N564" t="s">
        <v>340</v>
      </c>
      <c r="O564" t="s">
        <v>457</v>
      </c>
      <c r="P564">
        <v>9.4976535694871148E-2</v>
      </c>
      <c r="Q564" t="s">
        <v>158</v>
      </c>
    </row>
    <row r="565" spans="9:17" x14ac:dyDescent="0.45">
      <c r="I565" t="s">
        <v>204</v>
      </c>
      <c r="J565" t="s">
        <v>458</v>
      </c>
      <c r="K565">
        <v>8.5530797763596813E-3</v>
      </c>
      <c r="L565" t="s">
        <v>158</v>
      </c>
      <c r="N565" t="s">
        <v>340</v>
      </c>
      <c r="O565" t="s">
        <v>458</v>
      </c>
      <c r="P565">
        <v>2.193069907055753E-2</v>
      </c>
      <c r="Q565" t="s">
        <v>158</v>
      </c>
    </row>
    <row r="566" spans="9:17" x14ac:dyDescent="0.45">
      <c r="I566" t="s">
        <v>204</v>
      </c>
      <c r="J566" t="s">
        <v>459</v>
      </c>
      <c r="K566">
        <v>0.204970422849167</v>
      </c>
      <c r="L566" t="s">
        <v>158</v>
      </c>
      <c r="N566" t="s">
        <v>340</v>
      </c>
      <c r="O566" t="s">
        <v>459</v>
      </c>
      <c r="P566">
        <v>0.10030704678197223</v>
      </c>
      <c r="Q566" t="s">
        <v>158</v>
      </c>
    </row>
    <row r="567" spans="9:17" x14ac:dyDescent="0.45">
      <c r="I567" t="s">
        <v>204</v>
      </c>
      <c r="J567" t="s">
        <v>460</v>
      </c>
      <c r="K567">
        <v>0</v>
      </c>
      <c r="L567" t="s">
        <v>158</v>
      </c>
      <c r="N567" t="s">
        <v>340</v>
      </c>
      <c r="O567" t="s">
        <v>460</v>
      </c>
      <c r="P567">
        <v>0.10826251611741319</v>
      </c>
      <c r="Q567" t="s">
        <v>158</v>
      </c>
    </row>
    <row r="568" spans="9:17" x14ac:dyDescent="0.45">
      <c r="I568" t="s">
        <v>204</v>
      </c>
      <c r="J568" t="s">
        <v>461</v>
      </c>
      <c r="K568">
        <v>1.0929404505609024E-2</v>
      </c>
      <c r="L568" t="s">
        <v>158</v>
      </c>
      <c r="N568" t="s">
        <v>340</v>
      </c>
      <c r="O568" t="s">
        <v>461</v>
      </c>
      <c r="P568">
        <v>1.6237097692501864E-2</v>
      </c>
      <c r="Q568" t="s">
        <v>158</v>
      </c>
    </row>
    <row r="569" spans="9:17" x14ac:dyDescent="0.45">
      <c r="I569" t="s">
        <v>204</v>
      </c>
      <c r="J569" t="s">
        <v>462</v>
      </c>
      <c r="K569">
        <v>0.26123654466014984</v>
      </c>
      <c r="L569" t="s">
        <v>158</v>
      </c>
      <c r="N569" t="s">
        <v>340</v>
      </c>
      <c r="O569" t="s">
        <v>462</v>
      </c>
      <c r="P569">
        <v>0.16796933465651653</v>
      </c>
      <c r="Q569" t="s">
        <v>158</v>
      </c>
    </row>
    <row r="570" spans="9:17" x14ac:dyDescent="0.45">
      <c r="I570" t="s">
        <v>204</v>
      </c>
      <c r="J570" t="s">
        <v>463</v>
      </c>
      <c r="K570">
        <v>0</v>
      </c>
      <c r="L570" t="s">
        <v>158</v>
      </c>
      <c r="N570" t="s">
        <v>340</v>
      </c>
      <c r="O570" t="s">
        <v>463</v>
      </c>
      <c r="P570">
        <v>0.18226749517050572</v>
      </c>
      <c r="Q570" t="s">
        <v>158</v>
      </c>
    </row>
    <row r="571" spans="9:17" x14ac:dyDescent="0.45">
      <c r="I571" t="s">
        <v>204</v>
      </c>
      <c r="J571" t="s">
        <v>464</v>
      </c>
      <c r="K571">
        <v>1.9377014382373322E-2</v>
      </c>
      <c r="L571" t="s">
        <v>158</v>
      </c>
      <c r="N571" t="s">
        <v>340</v>
      </c>
      <c r="O571" t="s">
        <v>464</v>
      </c>
      <c r="P571">
        <v>2.1677433737056336E-2</v>
      </c>
      <c r="Q571" t="s">
        <v>158</v>
      </c>
    </row>
    <row r="572" spans="9:17" x14ac:dyDescent="0.45">
      <c r="I572" t="s">
        <v>204</v>
      </c>
      <c r="J572" t="s">
        <v>465</v>
      </c>
      <c r="K572">
        <v>0.2123321664320505</v>
      </c>
      <c r="L572" t="s">
        <v>158</v>
      </c>
      <c r="N572" t="s">
        <v>340</v>
      </c>
      <c r="O572" t="s">
        <v>465</v>
      </c>
      <c r="P572">
        <v>7.9408338949656002E-2</v>
      </c>
      <c r="Q572" t="s">
        <v>158</v>
      </c>
    </row>
    <row r="573" spans="9:17" x14ac:dyDescent="0.45">
      <c r="I573" t="s">
        <v>204</v>
      </c>
      <c r="J573" t="s">
        <v>466</v>
      </c>
      <c r="K573">
        <v>0</v>
      </c>
      <c r="L573" t="s">
        <v>158</v>
      </c>
      <c r="N573" t="s">
        <v>340</v>
      </c>
      <c r="O573" t="s">
        <v>466</v>
      </c>
      <c r="P573">
        <v>9.0426501671039258E-2</v>
      </c>
      <c r="Q573" t="s">
        <v>158</v>
      </c>
    </row>
    <row r="574" spans="9:17" x14ac:dyDescent="0.45">
      <c r="I574" t="s">
        <v>204</v>
      </c>
      <c r="J574" t="s">
        <v>467</v>
      </c>
      <c r="K574">
        <v>6.2645840499819345E-3</v>
      </c>
      <c r="L574" t="s">
        <v>158</v>
      </c>
      <c r="N574" t="s">
        <v>340</v>
      </c>
      <c r="O574" t="s">
        <v>467</v>
      </c>
      <c r="P574">
        <v>1.7998015604828312E-2</v>
      </c>
      <c r="Q574" t="s">
        <v>158</v>
      </c>
    </row>
    <row r="575" spans="9:17" x14ac:dyDescent="0.45">
      <c r="I575" t="s">
        <v>205</v>
      </c>
      <c r="J575" t="s">
        <v>456</v>
      </c>
      <c r="K575">
        <v>0.22929842305189535</v>
      </c>
      <c r="L575" t="s">
        <v>158</v>
      </c>
      <c r="N575" t="s">
        <v>341</v>
      </c>
      <c r="O575" t="s">
        <v>456</v>
      </c>
      <c r="P575">
        <v>9.668233751882617E-2</v>
      </c>
      <c r="Q575" t="s">
        <v>158</v>
      </c>
    </row>
    <row r="576" spans="9:17" x14ac:dyDescent="0.45">
      <c r="I576" t="s">
        <v>205</v>
      </c>
      <c r="J576" t="s">
        <v>457</v>
      </c>
      <c r="K576">
        <v>0</v>
      </c>
      <c r="L576" t="s">
        <v>158</v>
      </c>
      <c r="N576" t="s">
        <v>341</v>
      </c>
      <c r="O576" t="s">
        <v>457</v>
      </c>
      <c r="P576">
        <v>0.11169013087255836</v>
      </c>
      <c r="Q576" t="s">
        <v>158</v>
      </c>
    </row>
    <row r="577" spans="9:17" x14ac:dyDescent="0.45">
      <c r="I577" t="s">
        <v>205</v>
      </c>
      <c r="J577" t="s">
        <v>458</v>
      </c>
      <c r="K577">
        <v>1.0481433755764182E-2</v>
      </c>
      <c r="L577" t="s">
        <v>158</v>
      </c>
      <c r="N577" t="s">
        <v>341</v>
      </c>
      <c r="O577" t="s">
        <v>458</v>
      </c>
      <c r="P577">
        <v>2.0291324226432476E-2</v>
      </c>
      <c r="Q577" t="s">
        <v>158</v>
      </c>
    </row>
    <row r="578" spans="9:17" x14ac:dyDescent="0.45">
      <c r="I578" t="s">
        <v>205</v>
      </c>
      <c r="J578" t="s">
        <v>459</v>
      </c>
      <c r="K578">
        <v>0.24538926566247748</v>
      </c>
      <c r="L578" t="s">
        <v>158</v>
      </c>
      <c r="N578" t="s">
        <v>341</v>
      </c>
      <c r="O578" t="s">
        <v>459</v>
      </c>
      <c r="P578">
        <v>0.12766128149127548</v>
      </c>
      <c r="Q578" t="s">
        <v>158</v>
      </c>
    </row>
    <row r="579" spans="9:17" x14ac:dyDescent="0.45">
      <c r="I579" t="s">
        <v>205</v>
      </c>
      <c r="J579" t="s">
        <v>460</v>
      </c>
      <c r="K579">
        <v>0</v>
      </c>
      <c r="L579" t="s">
        <v>158</v>
      </c>
      <c r="N579" t="s">
        <v>341</v>
      </c>
      <c r="O579" t="s">
        <v>460</v>
      </c>
      <c r="P579">
        <v>0.1390404847191917</v>
      </c>
      <c r="Q579" t="s">
        <v>158</v>
      </c>
    </row>
    <row r="580" spans="9:17" x14ac:dyDescent="0.45">
      <c r="I580" t="s">
        <v>205</v>
      </c>
      <c r="J580" t="s">
        <v>461</v>
      </c>
      <c r="K580">
        <v>2.1949147034381701E-2</v>
      </c>
      <c r="L580" t="s">
        <v>158</v>
      </c>
      <c r="N580" t="s">
        <v>341</v>
      </c>
      <c r="O580" t="s">
        <v>461</v>
      </c>
      <c r="P580">
        <v>2.2776760856248884E-2</v>
      </c>
      <c r="Q580" t="s">
        <v>158</v>
      </c>
    </row>
    <row r="581" spans="9:17" x14ac:dyDescent="0.45">
      <c r="I581" t="s">
        <v>205</v>
      </c>
      <c r="J581" t="s">
        <v>462</v>
      </c>
      <c r="K581">
        <v>0.24807464864915105</v>
      </c>
      <c r="L581" t="s">
        <v>158</v>
      </c>
      <c r="N581" t="s">
        <v>341</v>
      </c>
      <c r="O581" t="s">
        <v>462</v>
      </c>
      <c r="P581">
        <v>0.14247463698342794</v>
      </c>
      <c r="Q581" t="s">
        <v>158</v>
      </c>
    </row>
    <row r="582" spans="9:17" x14ac:dyDescent="0.45">
      <c r="I582" t="s">
        <v>205</v>
      </c>
      <c r="J582" t="s">
        <v>463</v>
      </c>
      <c r="K582">
        <v>0</v>
      </c>
      <c r="L582" t="s">
        <v>158</v>
      </c>
      <c r="N582" t="s">
        <v>341</v>
      </c>
      <c r="O582" t="s">
        <v>463</v>
      </c>
      <c r="P582">
        <v>0.13171546813801135</v>
      </c>
      <c r="Q582" t="s">
        <v>158</v>
      </c>
    </row>
    <row r="583" spans="9:17" x14ac:dyDescent="0.45">
      <c r="I583" t="s">
        <v>205</v>
      </c>
      <c r="J583" t="s">
        <v>464</v>
      </c>
      <c r="K583">
        <v>2.1251544008726586E-2</v>
      </c>
      <c r="L583" t="s">
        <v>158</v>
      </c>
      <c r="N583" t="s">
        <v>341</v>
      </c>
      <c r="O583" t="s">
        <v>464</v>
      </c>
      <c r="P583">
        <v>2.0690668844178764E-2</v>
      </c>
      <c r="Q583" t="s">
        <v>158</v>
      </c>
    </row>
    <row r="584" spans="9:17" x14ac:dyDescent="0.45">
      <c r="I584" t="s">
        <v>205</v>
      </c>
      <c r="J584" t="s">
        <v>465</v>
      </c>
      <c r="K584">
        <v>0.21187153610811715</v>
      </c>
      <c r="L584" t="s">
        <v>158</v>
      </c>
      <c r="N584" t="s">
        <v>341</v>
      </c>
      <c r="O584" t="s">
        <v>465</v>
      </c>
      <c r="P584">
        <v>7.853123493883582E-2</v>
      </c>
      <c r="Q584" t="s">
        <v>158</v>
      </c>
    </row>
    <row r="585" spans="9:17" x14ac:dyDescent="0.45">
      <c r="I585" t="s">
        <v>205</v>
      </c>
      <c r="J585" t="s">
        <v>466</v>
      </c>
      <c r="K585">
        <v>0</v>
      </c>
      <c r="L585" t="s">
        <v>158</v>
      </c>
      <c r="N585" t="s">
        <v>341</v>
      </c>
      <c r="O585" t="s">
        <v>466</v>
      </c>
      <c r="P585">
        <v>9.2180506164284998E-2</v>
      </c>
      <c r="Q585" t="s">
        <v>158</v>
      </c>
    </row>
    <row r="586" spans="9:17" x14ac:dyDescent="0.45">
      <c r="I586" t="s">
        <v>205</v>
      </c>
      <c r="J586" t="s">
        <v>467</v>
      </c>
      <c r="K586">
        <v>1.1684001729487949E-2</v>
      </c>
      <c r="L586" t="s">
        <v>158</v>
      </c>
      <c r="N586" t="s">
        <v>341</v>
      </c>
      <c r="O586" t="s">
        <v>467</v>
      </c>
      <c r="P586">
        <v>1.6265165246729326E-2</v>
      </c>
      <c r="Q586" t="s">
        <v>158</v>
      </c>
    </row>
    <row r="587" spans="9:17" x14ac:dyDescent="0.45">
      <c r="I587" t="s">
        <v>206</v>
      </c>
      <c r="J587" t="s">
        <v>456</v>
      </c>
      <c r="K587">
        <v>0.2137077205449347</v>
      </c>
      <c r="L587" t="s">
        <v>158</v>
      </c>
      <c r="N587" t="s">
        <v>342</v>
      </c>
      <c r="O587" t="s">
        <v>456</v>
      </c>
      <c r="P587">
        <v>0.10418363811261058</v>
      </c>
      <c r="Q587" t="s">
        <v>158</v>
      </c>
    </row>
    <row r="588" spans="9:17" x14ac:dyDescent="0.45">
      <c r="I588" t="s">
        <v>206</v>
      </c>
      <c r="J588" t="s">
        <v>457</v>
      </c>
      <c r="K588">
        <v>0</v>
      </c>
      <c r="L588" t="s">
        <v>158</v>
      </c>
      <c r="N588" t="s">
        <v>342</v>
      </c>
      <c r="O588" t="s">
        <v>457</v>
      </c>
      <c r="P588">
        <v>0.13915689249303376</v>
      </c>
      <c r="Q588" t="s">
        <v>158</v>
      </c>
    </row>
    <row r="589" spans="9:17" x14ac:dyDescent="0.45">
      <c r="I589" t="s">
        <v>206</v>
      </c>
      <c r="J589" t="s">
        <v>458</v>
      </c>
      <c r="K589">
        <v>9.5759177352798923E-3</v>
      </c>
      <c r="L589" t="s">
        <v>158</v>
      </c>
      <c r="N589" t="s">
        <v>342</v>
      </c>
      <c r="O589" t="s">
        <v>458</v>
      </c>
      <c r="P589">
        <v>2.2730170880339094E-2</v>
      </c>
      <c r="Q589" t="s">
        <v>158</v>
      </c>
    </row>
    <row r="590" spans="9:17" x14ac:dyDescent="0.45">
      <c r="I590" t="s">
        <v>206</v>
      </c>
      <c r="J590" t="s">
        <v>459</v>
      </c>
      <c r="K590">
        <v>0.26817010662120222</v>
      </c>
      <c r="L590" t="s">
        <v>158</v>
      </c>
      <c r="N590" t="s">
        <v>342</v>
      </c>
      <c r="O590" t="s">
        <v>459</v>
      </c>
      <c r="P590">
        <v>9.5138226604932333E-2</v>
      </c>
      <c r="Q590" t="s">
        <v>158</v>
      </c>
    </row>
    <row r="591" spans="9:17" x14ac:dyDescent="0.45">
      <c r="I591" t="s">
        <v>206</v>
      </c>
      <c r="J591" t="s">
        <v>460</v>
      </c>
      <c r="K591">
        <v>0</v>
      </c>
      <c r="L591" t="s">
        <v>158</v>
      </c>
      <c r="N591" t="s">
        <v>342</v>
      </c>
      <c r="O591" t="s">
        <v>460</v>
      </c>
      <c r="P591">
        <v>0.10124022058136545</v>
      </c>
      <c r="Q591" t="s">
        <v>158</v>
      </c>
    </row>
    <row r="592" spans="9:17" x14ac:dyDescent="0.45">
      <c r="I592" t="s">
        <v>206</v>
      </c>
      <c r="J592" t="s">
        <v>461</v>
      </c>
      <c r="K592">
        <v>2.4220346044134651E-2</v>
      </c>
      <c r="L592" t="s">
        <v>158</v>
      </c>
      <c r="N592" t="s">
        <v>342</v>
      </c>
      <c r="O592" t="s">
        <v>461</v>
      </c>
      <c r="P592">
        <v>1.6249431355389976E-2</v>
      </c>
      <c r="Q592" t="s">
        <v>158</v>
      </c>
    </row>
    <row r="593" spans="9:17" x14ac:dyDescent="0.45">
      <c r="I593" t="s">
        <v>206</v>
      </c>
      <c r="J593" t="s">
        <v>462</v>
      </c>
      <c r="K593">
        <v>0.24786814210843056</v>
      </c>
      <c r="L593" t="s">
        <v>158</v>
      </c>
      <c r="N593" t="s">
        <v>342</v>
      </c>
      <c r="O593" t="s">
        <v>462</v>
      </c>
      <c r="P593">
        <v>0.1432897343232927</v>
      </c>
      <c r="Q593" t="s">
        <v>158</v>
      </c>
    </row>
    <row r="594" spans="9:17" x14ac:dyDescent="0.45">
      <c r="I594" t="s">
        <v>206</v>
      </c>
      <c r="J594" t="s">
        <v>463</v>
      </c>
      <c r="K594">
        <v>0</v>
      </c>
      <c r="L594" t="s">
        <v>158</v>
      </c>
      <c r="N594" t="s">
        <v>342</v>
      </c>
      <c r="O594" t="s">
        <v>463</v>
      </c>
      <c r="P594">
        <v>0.1599468926831705</v>
      </c>
      <c r="Q594" t="s">
        <v>158</v>
      </c>
    </row>
    <row r="595" spans="9:17" x14ac:dyDescent="0.45">
      <c r="I595" t="s">
        <v>206</v>
      </c>
      <c r="J595" t="s">
        <v>464</v>
      </c>
      <c r="K595">
        <v>2.0153961245592371E-2</v>
      </c>
      <c r="L595" t="s">
        <v>158</v>
      </c>
      <c r="N595" t="s">
        <v>342</v>
      </c>
      <c r="O595" t="s">
        <v>464</v>
      </c>
      <c r="P595">
        <v>1.8654830982393775E-2</v>
      </c>
      <c r="Q595" t="s">
        <v>158</v>
      </c>
    </row>
    <row r="596" spans="9:17" x14ac:dyDescent="0.45">
      <c r="I596" t="s">
        <v>206</v>
      </c>
      <c r="J596" t="s">
        <v>465</v>
      </c>
      <c r="K596">
        <v>0.20424212232375347</v>
      </c>
      <c r="L596" t="s">
        <v>158</v>
      </c>
      <c r="N596" t="s">
        <v>342</v>
      </c>
      <c r="O596" t="s">
        <v>465</v>
      </c>
      <c r="P596">
        <v>7.6365533940566097E-2</v>
      </c>
      <c r="Q596" t="s">
        <v>158</v>
      </c>
    </row>
    <row r="597" spans="9:17" x14ac:dyDescent="0.45">
      <c r="I597" t="s">
        <v>206</v>
      </c>
      <c r="J597" t="s">
        <v>466</v>
      </c>
      <c r="K597">
        <v>0</v>
      </c>
      <c r="L597" t="s">
        <v>158</v>
      </c>
      <c r="N597" t="s">
        <v>342</v>
      </c>
      <c r="O597" t="s">
        <v>466</v>
      </c>
      <c r="P597">
        <v>0.1075784339388027</v>
      </c>
      <c r="Q597" t="s">
        <v>158</v>
      </c>
    </row>
    <row r="598" spans="9:17" x14ac:dyDescent="0.45">
      <c r="I598" t="s">
        <v>206</v>
      </c>
      <c r="J598" t="s">
        <v>467</v>
      </c>
      <c r="K598">
        <v>1.2061683376672159E-2</v>
      </c>
      <c r="L598" t="s">
        <v>158</v>
      </c>
      <c r="N598" t="s">
        <v>342</v>
      </c>
      <c r="O598" t="s">
        <v>467</v>
      </c>
      <c r="P598">
        <v>1.5465994104099334E-2</v>
      </c>
      <c r="Q598" t="s">
        <v>158</v>
      </c>
    </row>
    <row r="599" spans="9:17" x14ac:dyDescent="0.45">
      <c r="I599" t="s">
        <v>207</v>
      </c>
      <c r="J599" t="s">
        <v>456</v>
      </c>
      <c r="K599">
        <v>0.25996673198935788</v>
      </c>
      <c r="L599" t="s">
        <v>158</v>
      </c>
      <c r="N599" t="s">
        <v>343</v>
      </c>
      <c r="O599" t="s">
        <v>456</v>
      </c>
      <c r="P599">
        <v>7.8830700017999578E-2</v>
      </c>
      <c r="Q599" t="s">
        <v>158</v>
      </c>
    </row>
    <row r="600" spans="9:17" x14ac:dyDescent="0.45">
      <c r="I600" t="s">
        <v>207</v>
      </c>
      <c r="J600" t="s">
        <v>457</v>
      </c>
      <c r="K600">
        <v>0</v>
      </c>
      <c r="L600" t="s">
        <v>158</v>
      </c>
      <c r="N600" t="s">
        <v>343</v>
      </c>
      <c r="O600" t="s">
        <v>457</v>
      </c>
      <c r="P600">
        <v>0.11232215167625322</v>
      </c>
      <c r="Q600" t="s">
        <v>158</v>
      </c>
    </row>
    <row r="601" spans="9:17" x14ac:dyDescent="0.45">
      <c r="I601" t="s">
        <v>207</v>
      </c>
      <c r="J601" t="s">
        <v>458</v>
      </c>
      <c r="K601">
        <v>1.3088029154845717E-2</v>
      </c>
      <c r="L601" t="s">
        <v>158</v>
      </c>
      <c r="N601" t="s">
        <v>343</v>
      </c>
      <c r="O601" t="s">
        <v>458</v>
      </c>
      <c r="P601">
        <v>1.4188614787193047E-2</v>
      </c>
      <c r="Q601" t="s">
        <v>158</v>
      </c>
    </row>
    <row r="602" spans="9:17" x14ac:dyDescent="0.45">
      <c r="I602" t="s">
        <v>207</v>
      </c>
      <c r="J602" t="s">
        <v>459</v>
      </c>
      <c r="K602">
        <v>0.21467614378098845</v>
      </c>
      <c r="L602" t="s">
        <v>158</v>
      </c>
      <c r="N602" t="s">
        <v>343</v>
      </c>
      <c r="O602" t="s">
        <v>459</v>
      </c>
      <c r="P602">
        <v>0.13836474242551694</v>
      </c>
      <c r="Q602" t="s">
        <v>158</v>
      </c>
    </row>
    <row r="603" spans="9:17" x14ac:dyDescent="0.45">
      <c r="I603" t="s">
        <v>207</v>
      </c>
      <c r="J603" t="s">
        <v>460</v>
      </c>
      <c r="K603">
        <v>0</v>
      </c>
      <c r="L603" t="s">
        <v>158</v>
      </c>
      <c r="N603" t="s">
        <v>343</v>
      </c>
      <c r="O603" t="s">
        <v>460</v>
      </c>
      <c r="P603">
        <v>0.19430899708462362</v>
      </c>
      <c r="Q603" t="s">
        <v>158</v>
      </c>
    </row>
    <row r="604" spans="9:17" x14ac:dyDescent="0.45">
      <c r="I604" t="s">
        <v>207</v>
      </c>
      <c r="J604" t="s">
        <v>461</v>
      </c>
      <c r="K604">
        <v>1.8299444742494918E-2</v>
      </c>
      <c r="L604" t="s">
        <v>158</v>
      </c>
      <c r="N604" t="s">
        <v>343</v>
      </c>
      <c r="O604" t="s">
        <v>461</v>
      </c>
      <c r="P604">
        <v>2.3217274513397314E-2</v>
      </c>
      <c r="Q604" t="s">
        <v>158</v>
      </c>
    </row>
    <row r="605" spans="9:17" x14ac:dyDescent="0.45">
      <c r="I605" t="s">
        <v>207</v>
      </c>
      <c r="J605" t="s">
        <v>462</v>
      </c>
      <c r="K605">
        <v>0.26575478564530469</v>
      </c>
      <c r="L605" t="s">
        <v>158</v>
      </c>
      <c r="N605" t="s">
        <v>343</v>
      </c>
      <c r="O605" t="s">
        <v>462</v>
      </c>
      <c r="P605">
        <v>0.10642438648297813</v>
      </c>
      <c r="Q605" t="s">
        <v>158</v>
      </c>
    </row>
    <row r="606" spans="9:17" x14ac:dyDescent="0.45">
      <c r="I606" t="s">
        <v>207</v>
      </c>
      <c r="J606" t="s">
        <v>463</v>
      </c>
      <c r="K606">
        <v>0</v>
      </c>
      <c r="L606" t="s">
        <v>158</v>
      </c>
      <c r="N606" t="s">
        <v>343</v>
      </c>
      <c r="O606" t="s">
        <v>463</v>
      </c>
      <c r="P606">
        <v>0.13837405639843137</v>
      </c>
      <c r="Q606" t="s">
        <v>158</v>
      </c>
    </row>
    <row r="607" spans="9:17" x14ac:dyDescent="0.45">
      <c r="I607" t="s">
        <v>207</v>
      </c>
      <c r="J607" t="s">
        <v>464</v>
      </c>
      <c r="K607">
        <v>2.2540537768784862E-2</v>
      </c>
      <c r="L607" t="s">
        <v>158</v>
      </c>
      <c r="N607" t="s">
        <v>343</v>
      </c>
      <c r="O607" t="s">
        <v>464</v>
      </c>
      <c r="P607">
        <v>1.7699593666027278E-2</v>
      </c>
      <c r="Q607" t="s">
        <v>158</v>
      </c>
    </row>
    <row r="608" spans="9:17" x14ac:dyDescent="0.45">
      <c r="I608" t="s">
        <v>207</v>
      </c>
      <c r="J608" t="s">
        <v>465</v>
      </c>
      <c r="K608">
        <v>0.19587730356958197</v>
      </c>
      <c r="L608" t="s">
        <v>158</v>
      </c>
      <c r="N608" t="s">
        <v>343</v>
      </c>
      <c r="O608" t="s">
        <v>465</v>
      </c>
      <c r="P608">
        <v>6.5881473372774446E-2</v>
      </c>
      <c r="Q608" t="s">
        <v>158</v>
      </c>
    </row>
    <row r="609" spans="9:17" x14ac:dyDescent="0.45">
      <c r="I609" t="s">
        <v>207</v>
      </c>
      <c r="J609" t="s">
        <v>466</v>
      </c>
      <c r="K609">
        <v>0</v>
      </c>
      <c r="L609" t="s">
        <v>158</v>
      </c>
      <c r="N609" t="s">
        <v>343</v>
      </c>
      <c r="O609" t="s">
        <v>466</v>
      </c>
      <c r="P609">
        <v>9.9832422746807106E-2</v>
      </c>
      <c r="Q609" t="s">
        <v>158</v>
      </c>
    </row>
    <row r="610" spans="9:17" x14ac:dyDescent="0.45">
      <c r="I610" t="s">
        <v>207</v>
      </c>
      <c r="J610" t="s">
        <v>467</v>
      </c>
      <c r="K610">
        <v>9.7970233486420269E-3</v>
      </c>
      <c r="L610" t="s">
        <v>158</v>
      </c>
      <c r="N610" t="s">
        <v>343</v>
      </c>
      <c r="O610" t="s">
        <v>467</v>
      </c>
      <c r="P610">
        <v>1.0555586827998498E-2</v>
      </c>
      <c r="Q610" t="s">
        <v>158</v>
      </c>
    </row>
    <row r="611" spans="9:17" x14ac:dyDescent="0.45">
      <c r="I611" t="s">
        <v>208</v>
      </c>
      <c r="J611" t="s">
        <v>456</v>
      </c>
      <c r="K611">
        <v>0.25824535686103312</v>
      </c>
      <c r="L611" t="s">
        <v>158</v>
      </c>
      <c r="N611" t="s">
        <v>344</v>
      </c>
      <c r="O611" t="s">
        <v>456</v>
      </c>
      <c r="P611">
        <v>9.8271178687598201E-2</v>
      </c>
      <c r="Q611" t="s">
        <v>158</v>
      </c>
    </row>
    <row r="612" spans="9:17" x14ac:dyDescent="0.45">
      <c r="I612" t="s">
        <v>208</v>
      </c>
      <c r="J612" t="s">
        <v>457</v>
      </c>
      <c r="K612">
        <v>0</v>
      </c>
      <c r="L612" t="s">
        <v>158</v>
      </c>
      <c r="N612" t="s">
        <v>344</v>
      </c>
      <c r="O612" t="s">
        <v>457</v>
      </c>
      <c r="P612">
        <v>0.11132906696148608</v>
      </c>
      <c r="Q612" t="s">
        <v>158</v>
      </c>
    </row>
    <row r="613" spans="9:17" x14ac:dyDescent="0.45">
      <c r="I613" t="s">
        <v>208</v>
      </c>
      <c r="J613" t="s">
        <v>458</v>
      </c>
      <c r="K613">
        <v>1.5414537022108148E-2</v>
      </c>
      <c r="L613" t="s">
        <v>158</v>
      </c>
      <c r="N613" t="s">
        <v>344</v>
      </c>
      <c r="O613" t="s">
        <v>458</v>
      </c>
      <c r="P613">
        <v>1.9423497374086565E-2</v>
      </c>
      <c r="Q613" t="s">
        <v>158</v>
      </c>
    </row>
    <row r="614" spans="9:17" x14ac:dyDescent="0.45">
      <c r="I614" t="s">
        <v>208</v>
      </c>
      <c r="J614" t="s">
        <v>459</v>
      </c>
      <c r="K614">
        <v>0.22075811944220064</v>
      </c>
      <c r="L614" t="s">
        <v>158</v>
      </c>
      <c r="N614" t="s">
        <v>344</v>
      </c>
      <c r="O614" t="s">
        <v>459</v>
      </c>
      <c r="P614">
        <v>0.12874116085913725</v>
      </c>
      <c r="Q614" t="s">
        <v>158</v>
      </c>
    </row>
    <row r="615" spans="9:17" x14ac:dyDescent="0.45">
      <c r="I615" t="s">
        <v>208</v>
      </c>
      <c r="J615" t="s">
        <v>460</v>
      </c>
      <c r="K615">
        <v>0</v>
      </c>
      <c r="L615" t="s">
        <v>158</v>
      </c>
      <c r="N615" t="s">
        <v>344</v>
      </c>
      <c r="O615" t="s">
        <v>460</v>
      </c>
      <c r="P615">
        <v>0.16960640559839441</v>
      </c>
      <c r="Q615" t="s">
        <v>158</v>
      </c>
    </row>
    <row r="616" spans="9:17" x14ac:dyDescent="0.45">
      <c r="I616" t="s">
        <v>208</v>
      </c>
      <c r="J616" t="s">
        <v>461</v>
      </c>
      <c r="K616">
        <v>2.2547954805628958E-2</v>
      </c>
      <c r="L616" t="s">
        <v>158</v>
      </c>
      <c r="N616" t="s">
        <v>344</v>
      </c>
      <c r="O616" t="s">
        <v>461</v>
      </c>
      <c r="P616">
        <v>2.4615363284089583E-2</v>
      </c>
      <c r="Q616" t="s">
        <v>158</v>
      </c>
    </row>
    <row r="617" spans="9:17" x14ac:dyDescent="0.45">
      <c r="I617" t="s">
        <v>208</v>
      </c>
      <c r="J617" t="s">
        <v>462</v>
      </c>
      <c r="K617">
        <v>0.26940417574569353</v>
      </c>
      <c r="L617" t="s">
        <v>158</v>
      </c>
      <c r="N617" t="s">
        <v>344</v>
      </c>
      <c r="O617" t="s">
        <v>462</v>
      </c>
      <c r="P617">
        <v>0.1020197555737376</v>
      </c>
      <c r="Q617" t="s">
        <v>158</v>
      </c>
    </row>
    <row r="618" spans="9:17" x14ac:dyDescent="0.45">
      <c r="I618" t="s">
        <v>208</v>
      </c>
      <c r="J618" t="s">
        <v>463</v>
      </c>
      <c r="K618">
        <v>6.7044347206964461E-4</v>
      </c>
      <c r="L618" t="s">
        <v>158</v>
      </c>
      <c r="N618" t="s">
        <v>344</v>
      </c>
      <c r="O618" t="s">
        <v>463</v>
      </c>
      <c r="P618">
        <v>0.12893940637692342</v>
      </c>
      <c r="Q618" t="s">
        <v>158</v>
      </c>
    </row>
    <row r="619" spans="9:17" x14ac:dyDescent="0.45">
      <c r="I619" t="s">
        <v>208</v>
      </c>
      <c r="J619" t="s">
        <v>464</v>
      </c>
      <c r="K619">
        <v>2.6875132627492797E-2</v>
      </c>
      <c r="L619" t="s">
        <v>158</v>
      </c>
      <c r="N619" t="s">
        <v>344</v>
      </c>
      <c r="O619" t="s">
        <v>464</v>
      </c>
      <c r="P619">
        <v>1.9123699139098921E-2</v>
      </c>
      <c r="Q619" t="s">
        <v>158</v>
      </c>
    </row>
    <row r="620" spans="9:17" x14ac:dyDescent="0.45">
      <c r="I620" t="s">
        <v>208</v>
      </c>
      <c r="J620" t="s">
        <v>465</v>
      </c>
      <c r="K620">
        <v>0.17589926223527713</v>
      </c>
      <c r="L620" t="s">
        <v>158</v>
      </c>
      <c r="N620" t="s">
        <v>344</v>
      </c>
      <c r="O620" t="s">
        <v>465</v>
      </c>
      <c r="P620">
        <v>8.367493987784913E-2</v>
      </c>
      <c r="Q620" t="s">
        <v>158</v>
      </c>
    </row>
    <row r="621" spans="9:17" x14ac:dyDescent="0.45">
      <c r="I621" t="s">
        <v>208</v>
      </c>
      <c r="J621" t="s">
        <v>466</v>
      </c>
      <c r="K621">
        <v>0</v>
      </c>
      <c r="L621" t="s">
        <v>158</v>
      </c>
      <c r="N621" t="s">
        <v>344</v>
      </c>
      <c r="O621" t="s">
        <v>466</v>
      </c>
      <c r="P621">
        <v>9.8530462974274341E-2</v>
      </c>
      <c r="Q621" t="s">
        <v>158</v>
      </c>
    </row>
    <row r="622" spans="9:17" x14ac:dyDescent="0.45">
      <c r="I622" t="s">
        <v>208</v>
      </c>
      <c r="J622" t="s">
        <v>467</v>
      </c>
      <c r="K622">
        <v>1.0185017788495253E-2</v>
      </c>
      <c r="L622" t="s">
        <v>158</v>
      </c>
      <c r="N622" t="s">
        <v>344</v>
      </c>
      <c r="O622" t="s">
        <v>467</v>
      </c>
      <c r="P622">
        <v>1.5725063293325771E-2</v>
      </c>
      <c r="Q622" t="s">
        <v>158</v>
      </c>
    </row>
    <row r="623" spans="9:17" x14ac:dyDescent="0.45">
      <c r="I623" t="s">
        <v>209</v>
      </c>
      <c r="J623" t="s">
        <v>456</v>
      </c>
      <c r="K623">
        <v>0.21913846279936489</v>
      </c>
      <c r="L623" t="s">
        <v>158</v>
      </c>
      <c r="N623" t="s">
        <v>345</v>
      </c>
      <c r="O623" t="s">
        <v>456</v>
      </c>
      <c r="P623">
        <v>0.10945349014190124</v>
      </c>
      <c r="Q623" t="s">
        <v>158</v>
      </c>
    </row>
    <row r="624" spans="9:17" x14ac:dyDescent="0.45">
      <c r="I624" t="s">
        <v>209</v>
      </c>
      <c r="J624" t="s">
        <v>457</v>
      </c>
      <c r="K624">
        <v>0</v>
      </c>
      <c r="L624" t="s">
        <v>158</v>
      </c>
      <c r="N624" t="s">
        <v>345</v>
      </c>
      <c r="O624" t="s">
        <v>457</v>
      </c>
      <c r="P624">
        <v>0.10663439915275771</v>
      </c>
      <c r="Q624" t="s">
        <v>158</v>
      </c>
    </row>
    <row r="625" spans="9:17" x14ac:dyDescent="0.45">
      <c r="I625" t="s">
        <v>209</v>
      </c>
      <c r="J625" t="s">
        <v>458</v>
      </c>
      <c r="K625">
        <v>8.6187278592373077E-3</v>
      </c>
      <c r="L625" t="s">
        <v>158</v>
      </c>
      <c r="N625" t="s">
        <v>345</v>
      </c>
      <c r="O625" t="s">
        <v>458</v>
      </c>
      <c r="P625">
        <v>2.0385279794158027E-2</v>
      </c>
      <c r="Q625" t="s">
        <v>158</v>
      </c>
    </row>
    <row r="626" spans="9:17" x14ac:dyDescent="0.45">
      <c r="I626" t="s">
        <v>209</v>
      </c>
      <c r="J626" t="s">
        <v>459</v>
      </c>
      <c r="K626">
        <v>0.28532025350894386</v>
      </c>
      <c r="L626" t="s">
        <v>158</v>
      </c>
      <c r="N626" t="s">
        <v>345</v>
      </c>
      <c r="O626" t="s">
        <v>459</v>
      </c>
      <c r="P626">
        <v>0.11520834085350465</v>
      </c>
      <c r="Q626" t="s">
        <v>158</v>
      </c>
    </row>
    <row r="627" spans="9:17" x14ac:dyDescent="0.45">
      <c r="I627" t="s">
        <v>209</v>
      </c>
      <c r="J627" t="s">
        <v>460</v>
      </c>
      <c r="K627">
        <v>1.4311988249185886E-3</v>
      </c>
      <c r="L627" t="s">
        <v>158</v>
      </c>
      <c r="N627" t="s">
        <v>345</v>
      </c>
      <c r="O627" t="s">
        <v>460</v>
      </c>
      <c r="P627">
        <v>0.12768905451947138</v>
      </c>
      <c r="Q627" t="s">
        <v>158</v>
      </c>
    </row>
    <row r="628" spans="9:17" x14ac:dyDescent="0.45">
      <c r="I628" t="s">
        <v>209</v>
      </c>
      <c r="J628" t="s">
        <v>461</v>
      </c>
      <c r="K628">
        <v>2.1722979135916563E-2</v>
      </c>
      <c r="L628" t="s">
        <v>158</v>
      </c>
      <c r="N628" t="s">
        <v>345</v>
      </c>
      <c r="O628" t="s">
        <v>461</v>
      </c>
      <c r="P628">
        <v>2.121646894058243E-2</v>
      </c>
      <c r="Q628" t="s">
        <v>158</v>
      </c>
    </row>
    <row r="629" spans="9:17" x14ac:dyDescent="0.45">
      <c r="I629" t="s">
        <v>209</v>
      </c>
      <c r="J629" t="s">
        <v>462</v>
      </c>
      <c r="K629">
        <v>0.21765799487857967</v>
      </c>
      <c r="L629" t="s">
        <v>158</v>
      </c>
      <c r="N629" t="s">
        <v>345</v>
      </c>
      <c r="O629" t="s">
        <v>462</v>
      </c>
      <c r="P629">
        <v>0.11495362173325405</v>
      </c>
      <c r="Q629" t="s">
        <v>158</v>
      </c>
    </row>
    <row r="630" spans="9:17" x14ac:dyDescent="0.45">
      <c r="I630" t="s">
        <v>209</v>
      </c>
      <c r="J630" t="s">
        <v>463</v>
      </c>
      <c r="K630">
        <v>3.3795878558673916E-3</v>
      </c>
      <c r="L630" t="s">
        <v>158</v>
      </c>
      <c r="N630" t="s">
        <v>345</v>
      </c>
      <c r="O630" t="s">
        <v>463</v>
      </c>
      <c r="P630">
        <v>0.14124195252259616</v>
      </c>
      <c r="Q630" t="s">
        <v>158</v>
      </c>
    </row>
    <row r="631" spans="9:17" x14ac:dyDescent="0.45">
      <c r="I631" t="s">
        <v>209</v>
      </c>
      <c r="J631" t="s">
        <v>464</v>
      </c>
      <c r="K631">
        <v>2.0722931906382649E-2</v>
      </c>
      <c r="L631" t="s">
        <v>158</v>
      </c>
      <c r="N631" t="s">
        <v>345</v>
      </c>
      <c r="O631" t="s">
        <v>464</v>
      </c>
      <c r="P631">
        <v>2.4807897944621279E-2</v>
      </c>
      <c r="Q631" t="s">
        <v>158</v>
      </c>
    </row>
    <row r="632" spans="9:17" x14ac:dyDescent="0.45">
      <c r="I632" t="s">
        <v>209</v>
      </c>
      <c r="J632" t="s">
        <v>465</v>
      </c>
      <c r="K632">
        <v>0.21795752280281605</v>
      </c>
      <c r="L632" t="s">
        <v>158</v>
      </c>
      <c r="N632" t="s">
        <v>345</v>
      </c>
      <c r="O632" t="s">
        <v>465</v>
      </c>
      <c r="P632">
        <v>9.9798640530696592E-2</v>
      </c>
      <c r="Q632" t="s">
        <v>158</v>
      </c>
    </row>
    <row r="633" spans="9:17" x14ac:dyDescent="0.45">
      <c r="I633" t="s">
        <v>209</v>
      </c>
      <c r="J633" t="s">
        <v>466</v>
      </c>
      <c r="K633">
        <v>0</v>
      </c>
      <c r="L633" t="s">
        <v>158</v>
      </c>
      <c r="N633" t="s">
        <v>345</v>
      </c>
      <c r="O633" t="s">
        <v>466</v>
      </c>
      <c r="P633">
        <v>9.9406445353707865E-2</v>
      </c>
      <c r="Q633" t="s">
        <v>158</v>
      </c>
    </row>
    <row r="634" spans="9:17" x14ac:dyDescent="0.45">
      <c r="I634" t="s">
        <v>209</v>
      </c>
      <c r="J634" t="s">
        <v>467</v>
      </c>
      <c r="K634">
        <v>4.0503404279746257E-3</v>
      </c>
      <c r="L634" t="s">
        <v>158</v>
      </c>
      <c r="N634" t="s">
        <v>345</v>
      </c>
      <c r="O634" t="s">
        <v>467</v>
      </c>
      <c r="P634">
        <v>1.920440851275327E-2</v>
      </c>
      <c r="Q634" t="s">
        <v>158</v>
      </c>
    </row>
    <row r="635" spans="9:17" x14ac:dyDescent="0.45">
      <c r="I635" t="s">
        <v>210</v>
      </c>
      <c r="J635" t="s">
        <v>456</v>
      </c>
      <c r="K635">
        <v>0.22331576323955321</v>
      </c>
      <c r="L635" t="s">
        <v>158</v>
      </c>
      <c r="N635" t="s">
        <v>346</v>
      </c>
      <c r="O635" t="s">
        <v>456</v>
      </c>
      <c r="P635">
        <v>0.13380383634904791</v>
      </c>
      <c r="Q635" t="s">
        <v>158</v>
      </c>
    </row>
    <row r="636" spans="9:17" x14ac:dyDescent="0.45">
      <c r="I636" t="s">
        <v>210</v>
      </c>
      <c r="J636" t="s">
        <v>457</v>
      </c>
      <c r="K636">
        <v>0</v>
      </c>
      <c r="L636" t="s">
        <v>158</v>
      </c>
      <c r="N636" t="s">
        <v>346</v>
      </c>
      <c r="O636" t="s">
        <v>457</v>
      </c>
      <c r="P636">
        <v>0.10588379835435556</v>
      </c>
      <c r="Q636" t="s">
        <v>158</v>
      </c>
    </row>
    <row r="637" spans="9:17" x14ac:dyDescent="0.45">
      <c r="I637" t="s">
        <v>210</v>
      </c>
      <c r="J637" t="s">
        <v>458</v>
      </c>
      <c r="K637">
        <v>6.8131535653677983E-3</v>
      </c>
      <c r="L637" t="s">
        <v>158</v>
      </c>
      <c r="N637" t="s">
        <v>346</v>
      </c>
      <c r="O637" t="s">
        <v>458</v>
      </c>
      <c r="P637">
        <v>2.5517316721554641E-2</v>
      </c>
      <c r="Q637" t="s">
        <v>158</v>
      </c>
    </row>
    <row r="638" spans="9:17" x14ac:dyDescent="0.45">
      <c r="I638" t="s">
        <v>210</v>
      </c>
      <c r="J638" t="s">
        <v>459</v>
      </c>
      <c r="K638">
        <v>0.28703150872469524</v>
      </c>
      <c r="L638" t="s">
        <v>158</v>
      </c>
      <c r="N638" t="s">
        <v>346</v>
      </c>
      <c r="O638" t="s">
        <v>459</v>
      </c>
      <c r="P638">
        <v>0.10879638125757946</v>
      </c>
      <c r="Q638" t="s">
        <v>158</v>
      </c>
    </row>
    <row r="639" spans="9:17" x14ac:dyDescent="0.45">
      <c r="I639" t="s">
        <v>210</v>
      </c>
      <c r="J639" t="s">
        <v>460</v>
      </c>
      <c r="K639">
        <v>1.8871599819838506E-3</v>
      </c>
      <c r="L639" t="s">
        <v>158</v>
      </c>
      <c r="N639" t="s">
        <v>346</v>
      </c>
      <c r="O639" t="s">
        <v>460</v>
      </c>
      <c r="P639">
        <v>0.10552470126380556</v>
      </c>
      <c r="Q639" t="s">
        <v>158</v>
      </c>
    </row>
    <row r="640" spans="9:17" x14ac:dyDescent="0.45">
      <c r="I640" t="s">
        <v>210</v>
      </c>
      <c r="J640" t="s">
        <v>461</v>
      </c>
      <c r="K640">
        <v>1.9496603130609969E-2</v>
      </c>
      <c r="L640" t="s">
        <v>158</v>
      </c>
      <c r="N640" t="s">
        <v>346</v>
      </c>
      <c r="O640" t="s">
        <v>461</v>
      </c>
      <c r="P640">
        <v>2.249771890213359E-2</v>
      </c>
      <c r="Q640" t="s">
        <v>158</v>
      </c>
    </row>
    <row r="641" spans="9:17" x14ac:dyDescent="0.45">
      <c r="I641" t="s">
        <v>210</v>
      </c>
      <c r="J641" t="s">
        <v>462</v>
      </c>
      <c r="K641">
        <v>0.21437468665559353</v>
      </c>
      <c r="L641" t="s">
        <v>158</v>
      </c>
      <c r="N641" t="s">
        <v>346</v>
      </c>
      <c r="O641" t="s">
        <v>462</v>
      </c>
      <c r="P641">
        <v>0.12875698843711916</v>
      </c>
      <c r="Q641" t="s">
        <v>158</v>
      </c>
    </row>
    <row r="642" spans="9:17" x14ac:dyDescent="0.45">
      <c r="I642" t="s">
        <v>210</v>
      </c>
      <c r="J642" t="s">
        <v>463</v>
      </c>
      <c r="K642">
        <v>3.8343201842013599E-3</v>
      </c>
      <c r="L642" t="s">
        <v>158</v>
      </c>
      <c r="N642" t="s">
        <v>346</v>
      </c>
      <c r="O642" t="s">
        <v>463</v>
      </c>
      <c r="P642">
        <v>0.13668424726228287</v>
      </c>
      <c r="Q642" t="s">
        <v>158</v>
      </c>
    </row>
    <row r="643" spans="9:17" x14ac:dyDescent="0.45">
      <c r="I643" t="s">
        <v>210</v>
      </c>
      <c r="J643" t="s">
        <v>464</v>
      </c>
      <c r="K643">
        <v>1.976002528664789E-2</v>
      </c>
      <c r="L643" t="s">
        <v>158</v>
      </c>
      <c r="N643" t="s">
        <v>346</v>
      </c>
      <c r="O643" t="s">
        <v>464</v>
      </c>
      <c r="P643">
        <v>2.77672976440957E-2</v>
      </c>
      <c r="Q643" t="s">
        <v>158</v>
      </c>
    </row>
    <row r="644" spans="9:17" x14ac:dyDescent="0.45">
      <c r="I644" t="s">
        <v>210</v>
      </c>
      <c r="J644" t="s">
        <v>465</v>
      </c>
      <c r="K644">
        <v>0.2201870412756195</v>
      </c>
      <c r="L644" t="s">
        <v>158</v>
      </c>
      <c r="N644" t="s">
        <v>346</v>
      </c>
      <c r="O644" t="s">
        <v>465</v>
      </c>
      <c r="P644">
        <v>9.425466668306004E-2</v>
      </c>
      <c r="Q644" t="s">
        <v>158</v>
      </c>
    </row>
    <row r="645" spans="9:17" x14ac:dyDescent="0.45">
      <c r="I645" t="s">
        <v>210</v>
      </c>
      <c r="J645" t="s">
        <v>466</v>
      </c>
      <c r="K645">
        <v>0</v>
      </c>
      <c r="L645" t="s">
        <v>158</v>
      </c>
      <c r="N645" t="s">
        <v>346</v>
      </c>
      <c r="O645" t="s">
        <v>466</v>
      </c>
      <c r="P645">
        <v>8.978514975099236E-2</v>
      </c>
      <c r="Q645" t="s">
        <v>158</v>
      </c>
    </row>
    <row r="646" spans="9:17" x14ac:dyDescent="0.45">
      <c r="I646" t="s">
        <v>210</v>
      </c>
      <c r="J646" t="s">
        <v>467</v>
      </c>
      <c r="K646">
        <v>3.2997379557278034E-3</v>
      </c>
      <c r="L646" t="s">
        <v>158</v>
      </c>
      <c r="N646" t="s">
        <v>346</v>
      </c>
      <c r="O646" t="s">
        <v>467</v>
      </c>
      <c r="P646">
        <v>2.0727897373975856E-2</v>
      </c>
      <c r="Q646" t="s">
        <v>158</v>
      </c>
    </row>
    <row r="647" spans="9:17" x14ac:dyDescent="0.45">
      <c r="I647" t="s">
        <v>211</v>
      </c>
      <c r="J647" t="s">
        <v>456</v>
      </c>
      <c r="K647">
        <v>0.21187439961134122</v>
      </c>
      <c r="L647" t="s">
        <v>158</v>
      </c>
      <c r="N647" t="s">
        <v>347</v>
      </c>
      <c r="O647" t="s">
        <v>456</v>
      </c>
      <c r="P647">
        <v>8.7884224789718607E-2</v>
      </c>
      <c r="Q647" t="s">
        <v>158</v>
      </c>
    </row>
    <row r="648" spans="9:17" x14ac:dyDescent="0.45">
      <c r="I648" t="s">
        <v>211</v>
      </c>
      <c r="J648" t="s">
        <v>457</v>
      </c>
      <c r="K648">
        <v>0</v>
      </c>
      <c r="L648" t="s">
        <v>158</v>
      </c>
      <c r="N648" t="s">
        <v>347</v>
      </c>
      <c r="O648" t="s">
        <v>457</v>
      </c>
      <c r="P648">
        <v>0.11114045665942258</v>
      </c>
      <c r="Q648" t="s">
        <v>158</v>
      </c>
    </row>
    <row r="649" spans="9:17" x14ac:dyDescent="0.45">
      <c r="I649" t="s">
        <v>211</v>
      </c>
      <c r="J649" t="s">
        <v>458</v>
      </c>
      <c r="K649">
        <v>1.1550056075763463E-2</v>
      </c>
      <c r="L649" t="s">
        <v>158</v>
      </c>
      <c r="N649" t="s">
        <v>347</v>
      </c>
      <c r="O649" t="s">
        <v>458</v>
      </c>
      <c r="P649">
        <v>1.847296746428222E-2</v>
      </c>
      <c r="Q649" t="s">
        <v>158</v>
      </c>
    </row>
    <row r="650" spans="9:17" x14ac:dyDescent="0.45">
      <c r="I650" t="s">
        <v>211</v>
      </c>
      <c r="J650" t="s">
        <v>459</v>
      </c>
      <c r="K650">
        <v>0.28751791182816888</v>
      </c>
      <c r="L650" t="s">
        <v>158</v>
      </c>
      <c r="N650" t="s">
        <v>347</v>
      </c>
      <c r="O650" t="s">
        <v>459</v>
      </c>
      <c r="P650">
        <v>0.12926423254411654</v>
      </c>
      <c r="Q650" t="s">
        <v>158</v>
      </c>
    </row>
    <row r="651" spans="9:17" x14ac:dyDescent="0.45">
      <c r="I651" t="s">
        <v>211</v>
      </c>
      <c r="J651" t="s">
        <v>460</v>
      </c>
      <c r="K651">
        <v>1.4012678179042362E-3</v>
      </c>
      <c r="L651" t="s">
        <v>158</v>
      </c>
      <c r="N651" t="s">
        <v>347</v>
      </c>
      <c r="O651" t="s">
        <v>460</v>
      </c>
      <c r="P651">
        <v>0.17985793583171469</v>
      </c>
      <c r="Q651" t="s">
        <v>158</v>
      </c>
    </row>
    <row r="652" spans="9:17" x14ac:dyDescent="0.45">
      <c r="I652" t="s">
        <v>211</v>
      </c>
      <c r="J652" t="s">
        <v>461</v>
      </c>
      <c r="K652">
        <v>3.0488107567921651E-2</v>
      </c>
      <c r="L652" t="s">
        <v>158</v>
      </c>
      <c r="N652" t="s">
        <v>347</v>
      </c>
      <c r="O652" t="s">
        <v>461</v>
      </c>
      <c r="P652">
        <v>2.7667458213786265E-2</v>
      </c>
      <c r="Q652" t="s">
        <v>158</v>
      </c>
    </row>
    <row r="653" spans="9:17" x14ac:dyDescent="0.45">
      <c r="I653" t="s">
        <v>211</v>
      </c>
      <c r="J653" t="s">
        <v>462</v>
      </c>
      <c r="K653">
        <v>0.22227622524053997</v>
      </c>
      <c r="L653" t="s">
        <v>158</v>
      </c>
      <c r="N653" t="s">
        <v>347</v>
      </c>
      <c r="O653" t="s">
        <v>462</v>
      </c>
      <c r="P653">
        <v>9.5050002284749011E-2</v>
      </c>
      <c r="Q653" t="s">
        <v>158</v>
      </c>
    </row>
    <row r="654" spans="9:17" x14ac:dyDescent="0.45">
      <c r="I654" t="s">
        <v>211</v>
      </c>
      <c r="J654" t="s">
        <v>463</v>
      </c>
      <c r="K654">
        <v>3.8465429466232673E-3</v>
      </c>
      <c r="L654" t="s">
        <v>158</v>
      </c>
      <c r="N654" t="s">
        <v>347</v>
      </c>
      <c r="O654" t="s">
        <v>463</v>
      </c>
      <c r="P654">
        <v>0.1497598261526514</v>
      </c>
      <c r="Q654" t="s">
        <v>158</v>
      </c>
    </row>
    <row r="655" spans="9:17" x14ac:dyDescent="0.45">
      <c r="I655" t="s">
        <v>211</v>
      </c>
      <c r="J655" t="s">
        <v>464</v>
      </c>
      <c r="K655">
        <v>2.7397430888521711E-2</v>
      </c>
      <c r="L655" t="s">
        <v>158</v>
      </c>
      <c r="N655" t="s">
        <v>347</v>
      </c>
      <c r="O655" t="s">
        <v>464</v>
      </c>
      <c r="P655">
        <v>2.1219957521543199E-2</v>
      </c>
      <c r="Q655" t="s">
        <v>158</v>
      </c>
    </row>
    <row r="656" spans="9:17" x14ac:dyDescent="0.45">
      <c r="I656" t="s">
        <v>211</v>
      </c>
      <c r="J656" t="s">
        <v>465</v>
      </c>
      <c r="K656">
        <v>0.19590390936962288</v>
      </c>
      <c r="L656" t="s">
        <v>158</v>
      </c>
      <c r="N656" t="s">
        <v>347</v>
      </c>
      <c r="O656" t="s">
        <v>465</v>
      </c>
      <c r="P656">
        <v>5.9969011480294244E-2</v>
      </c>
      <c r="Q656" t="s">
        <v>158</v>
      </c>
    </row>
    <row r="657" spans="9:17" x14ac:dyDescent="0.45">
      <c r="I657" t="s">
        <v>211</v>
      </c>
      <c r="J657" t="s">
        <v>466</v>
      </c>
      <c r="K657">
        <v>0</v>
      </c>
      <c r="L657" t="s">
        <v>158</v>
      </c>
      <c r="N657" t="s">
        <v>347</v>
      </c>
      <c r="O657" t="s">
        <v>466</v>
      </c>
      <c r="P657">
        <v>0.10189484214812854</v>
      </c>
      <c r="Q657" t="s">
        <v>158</v>
      </c>
    </row>
    <row r="658" spans="9:17" x14ac:dyDescent="0.45">
      <c r="I658" t="s">
        <v>211</v>
      </c>
      <c r="J658" t="s">
        <v>467</v>
      </c>
      <c r="K658">
        <v>7.7441486535921528E-3</v>
      </c>
      <c r="L658" t="s">
        <v>158</v>
      </c>
      <c r="N658" t="s">
        <v>347</v>
      </c>
      <c r="O658" t="s">
        <v>467</v>
      </c>
      <c r="P658">
        <v>1.7819084909595263E-2</v>
      </c>
      <c r="Q658" t="s">
        <v>158</v>
      </c>
    </row>
    <row r="659" spans="9:17" x14ac:dyDescent="0.45">
      <c r="I659" t="s">
        <v>212</v>
      </c>
      <c r="J659" t="s">
        <v>456</v>
      </c>
      <c r="K659">
        <v>0.21132849142510587</v>
      </c>
      <c r="L659" t="s">
        <v>158</v>
      </c>
      <c r="N659" t="s">
        <v>348</v>
      </c>
      <c r="O659" t="s">
        <v>456</v>
      </c>
      <c r="P659">
        <v>0.10465538683389704</v>
      </c>
      <c r="Q659" t="s">
        <v>158</v>
      </c>
    </row>
    <row r="660" spans="9:17" x14ac:dyDescent="0.45">
      <c r="I660" t="s">
        <v>212</v>
      </c>
      <c r="J660" t="s">
        <v>457</v>
      </c>
      <c r="K660">
        <v>0</v>
      </c>
      <c r="L660" t="s">
        <v>158</v>
      </c>
      <c r="N660" t="s">
        <v>348</v>
      </c>
      <c r="O660" t="s">
        <v>457</v>
      </c>
      <c r="P660">
        <v>0.10704991284630269</v>
      </c>
      <c r="Q660" t="s">
        <v>158</v>
      </c>
    </row>
    <row r="661" spans="9:17" x14ac:dyDescent="0.45">
      <c r="I661" t="s">
        <v>212</v>
      </c>
      <c r="J661" t="s">
        <v>458</v>
      </c>
      <c r="K661">
        <v>1.0629926364496976E-2</v>
      </c>
      <c r="L661" t="s">
        <v>158</v>
      </c>
      <c r="N661" t="s">
        <v>348</v>
      </c>
      <c r="O661" t="s">
        <v>458</v>
      </c>
      <c r="P661">
        <v>1.8824926130577183E-2</v>
      </c>
      <c r="Q661" t="s">
        <v>158</v>
      </c>
    </row>
    <row r="662" spans="9:17" x14ac:dyDescent="0.45">
      <c r="I662" t="s">
        <v>212</v>
      </c>
      <c r="J662" t="s">
        <v>459</v>
      </c>
      <c r="K662">
        <v>0.28220404732145188</v>
      </c>
      <c r="L662" t="s">
        <v>158</v>
      </c>
      <c r="N662" t="s">
        <v>348</v>
      </c>
      <c r="O662" t="s">
        <v>459</v>
      </c>
      <c r="P662">
        <v>0.11809477476196852</v>
      </c>
      <c r="Q662" t="s">
        <v>158</v>
      </c>
    </row>
    <row r="663" spans="9:17" x14ac:dyDescent="0.45">
      <c r="I663" t="s">
        <v>212</v>
      </c>
      <c r="J663" t="s">
        <v>460</v>
      </c>
      <c r="K663">
        <v>1.372424631009614E-3</v>
      </c>
      <c r="L663" t="s">
        <v>158</v>
      </c>
      <c r="N663" t="s">
        <v>348</v>
      </c>
      <c r="O663" t="s">
        <v>460</v>
      </c>
      <c r="P663">
        <v>0.12382104197165837</v>
      </c>
      <c r="Q663" t="s">
        <v>158</v>
      </c>
    </row>
    <row r="664" spans="9:17" x14ac:dyDescent="0.45">
      <c r="I664" t="s">
        <v>212</v>
      </c>
      <c r="J664" t="s">
        <v>461</v>
      </c>
      <c r="K664">
        <v>2.7870862746848125E-2</v>
      </c>
      <c r="L664" t="s">
        <v>158</v>
      </c>
      <c r="N664" t="s">
        <v>348</v>
      </c>
      <c r="O664" t="s">
        <v>461</v>
      </c>
      <c r="P664">
        <v>2.2538918222770897E-2</v>
      </c>
      <c r="Q664" t="s">
        <v>158</v>
      </c>
    </row>
    <row r="665" spans="9:17" x14ac:dyDescent="0.45">
      <c r="I665" t="s">
        <v>212</v>
      </c>
      <c r="J665" t="s">
        <v>462</v>
      </c>
      <c r="K665">
        <v>0.21807617003650023</v>
      </c>
      <c r="L665" t="s">
        <v>158</v>
      </c>
      <c r="N665" t="s">
        <v>348</v>
      </c>
      <c r="O665" t="s">
        <v>462</v>
      </c>
      <c r="P665">
        <v>0.16395016070256263</v>
      </c>
      <c r="Q665" t="s">
        <v>158</v>
      </c>
    </row>
    <row r="666" spans="9:17" x14ac:dyDescent="0.45">
      <c r="I666" t="s">
        <v>212</v>
      </c>
      <c r="J666" t="s">
        <v>463</v>
      </c>
      <c r="K666">
        <v>3.9738729617275637E-3</v>
      </c>
      <c r="L666" t="s">
        <v>158</v>
      </c>
      <c r="N666" t="s">
        <v>348</v>
      </c>
      <c r="O666" t="s">
        <v>463</v>
      </c>
      <c r="P666">
        <v>0.13567733273630211</v>
      </c>
      <c r="Q666" t="s">
        <v>158</v>
      </c>
    </row>
    <row r="667" spans="9:17" x14ac:dyDescent="0.45">
      <c r="I667" t="s">
        <v>212</v>
      </c>
      <c r="J667" t="s">
        <v>464</v>
      </c>
      <c r="K667">
        <v>2.4630109624058694E-2</v>
      </c>
      <c r="L667" t="s">
        <v>158</v>
      </c>
      <c r="N667" t="s">
        <v>348</v>
      </c>
      <c r="O667" t="s">
        <v>464</v>
      </c>
      <c r="P667">
        <v>1.9914360738415744E-2</v>
      </c>
      <c r="Q667" t="s">
        <v>158</v>
      </c>
    </row>
    <row r="668" spans="9:17" x14ac:dyDescent="0.45">
      <c r="I668" t="s">
        <v>212</v>
      </c>
      <c r="J668" t="s">
        <v>465</v>
      </c>
      <c r="K668">
        <v>0.21259288889083386</v>
      </c>
      <c r="L668" t="s">
        <v>158</v>
      </c>
      <c r="N668" t="s">
        <v>348</v>
      </c>
      <c r="O668" t="s">
        <v>465</v>
      </c>
      <c r="P668">
        <v>8.1456428365158998E-2</v>
      </c>
      <c r="Q668" t="s">
        <v>158</v>
      </c>
    </row>
    <row r="669" spans="9:17" x14ac:dyDescent="0.45">
      <c r="I669" t="s">
        <v>212</v>
      </c>
      <c r="J669" t="s">
        <v>466</v>
      </c>
      <c r="K669">
        <v>0</v>
      </c>
      <c r="L669" t="s">
        <v>158</v>
      </c>
      <c r="N669" t="s">
        <v>348</v>
      </c>
      <c r="O669" t="s">
        <v>466</v>
      </c>
      <c r="P669">
        <v>8.8378769562209733E-2</v>
      </c>
      <c r="Q669" t="s">
        <v>158</v>
      </c>
    </row>
    <row r="670" spans="9:17" x14ac:dyDescent="0.45">
      <c r="I670" t="s">
        <v>212</v>
      </c>
      <c r="J670" t="s">
        <v>467</v>
      </c>
      <c r="K670">
        <v>7.3212059979647888E-3</v>
      </c>
      <c r="L670" t="s">
        <v>158</v>
      </c>
      <c r="N670" t="s">
        <v>348</v>
      </c>
      <c r="O670" t="s">
        <v>467</v>
      </c>
      <c r="P670">
        <v>1.5637987128177454E-2</v>
      </c>
      <c r="Q670" t="s">
        <v>158</v>
      </c>
    </row>
    <row r="671" spans="9:17" x14ac:dyDescent="0.45">
      <c r="I671" t="s">
        <v>213</v>
      </c>
      <c r="J671" t="s">
        <v>456</v>
      </c>
      <c r="K671">
        <v>0.21396770872612408</v>
      </c>
      <c r="L671" t="s">
        <v>158</v>
      </c>
      <c r="N671" t="s">
        <v>349</v>
      </c>
      <c r="O671" t="s">
        <v>456</v>
      </c>
      <c r="P671">
        <v>7.991502946645615E-2</v>
      </c>
      <c r="Q671" t="s">
        <v>158</v>
      </c>
    </row>
    <row r="672" spans="9:17" x14ac:dyDescent="0.45">
      <c r="I672" t="s">
        <v>213</v>
      </c>
      <c r="J672" t="s">
        <v>457</v>
      </c>
      <c r="K672">
        <v>0</v>
      </c>
      <c r="L672" t="s">
        <v>158</v>
      </c>
      <c r="N672" t="s">
        <v>349</v>
      </c>
      <c r="O672" t="s">
        <v>457</v>
      </c>
      <c r="P672">
        <v>0.10730606106131918</v>
      </c>
      <c r="Q672" t="s">
        <v>158</v>
      </c>
    </row>
    <row r="673" spans="9:17" x14ac:dyDescent="0.45">
      <c r="I673" t="s">
        <v>213</v>
      </c>
      <c r="J673" t="s">
        <v>458</v>
      </c>
      <c r="K673">
        <v>9.5854383755022126E-3</v>
      </c>
      <c r="L673" t="s">
        <v>158</v>
      </c>
      <c r="N673" t="s">
        <v>349</v>
      </c>
      <c r="O673" t="s">
        <v>458</v>
      </c>
      <c r="P673">
        <v>1.6287416363601759E-2</v>
      </c>
      <c r="Q673" t="s">
        <v>158</v>
      </c>
    </row>
    <row r="674" spans="9:17" x14ac:dyDescent="0.45">
      <c r="I674" t="s">
        <v>213</v>
      </c>
      <c r="J674" t="s">
        <v>459</v>
      </c>
      <c r="K674">
        <v>0.2902956333455099</v>
      </c>
      <c r="L674" t="s">
        <v>158</v>
      </c>
      <c r="N674" t="s">
        <v>349</v>
      </c>
      <c r="O674" t="s">
        <v>459</v>
      </c>
      <c r="P674">
        <v>0.11243033172091704</v>
      </c>
      <c r="Q674" t="s">
        <v>158</v>
      </c>
    </row>
    <row r="675" spans="9:17" x14ac:dyDescent="0.45">
      <c r="I675" t="s">
        <v>213</v>
      </c>
      <c r="J675" t="s">
        <v>460</v>
      </c>
      <c r="K675">
        <v>1.1730267015077334E-3</v>
      </c>
      <c r="L675" t="s">
        <v>158</v>
      </c>
      <c r="N675" t="s">
        <v>349</v>
      </c>
      <c r="O675" t="s">
        <v>460</v>
      </c>
      <c r="P675">
        <v>0.14043262116171989</v>
      </c>
      <c r="Q675" t="s">
        <v>158</v>
      </c>
    </row>
    <row r="676" spans="9:17" x14ac:dyDescent="0.45">
      <c r="I676" t="s">
        <v>213</v>
      </c>
      <c r="J676" t="s">
        <v>461</v>
      </c>
      <c r="K676">
        <v>2.6427938396201674E-2</v>
      </c>
      <c r="L676" t="s">
        <v>158</v>
      </c>
      <c r="N676" t="s">
        <v>349</v>
      </c>
      <c r="O676" t="s">
        <v>461</v>
      </c>
      <c r="P676">
        <v>1.9235171703004525E-2</v>
      </c>
      <c r="Q676" t="s">
        <v>158</v>
      </c>
    </row>
    <row r="677" spans="9:17" x14ac:dyDescent="0.45">
      <c r="I677" t="s">
        <v>213</v>
      </c>
      <c r="J677" t="s">
        <v>462</v>
      </c>
      <c r="K677">
        <v>0.20842801886437323</v>
      </c>
      <c r="L677" t="s">
        <v>158</v>
      </c>
      <c r="N677" t="s">
        <v>349</v>
      </c>
      <c r="O677" t="s">
        <v>462</v>
      </c>
      <c r="P677">
        <v>0.15844633205872649</v>
      </c>
      <c r="Q677" t="s">
        <v>158</v>
      </c>
    </row>
    <row r="678" spans="9:17" x14ac:dyDescent="0.45">
      <c r="I678" t="s">
        <v>213</v>
      </c>
      <c r="J678" t="s">
        <v>463</v>
      </c>
      <c r="K678">
        <v>3.2646862113077878E-3</v>
      </c>
      <c r="L678" t="s">
        <v>158</v>
      </c>
      <c r="N678" t="s">
        <v>349</v>
      </c>
      <c r="O678" t="s">
        <v>463</v>
      </c>
      <c r="P678">
        <v>0.18019868841508857</v>
      </c>
      <c r="Q678" t="s">
        <v>158</v>
      </c>
    </row>
    <row r="679" spans="9:17" x14ac:dyDescent="0.45">
      <c r="I679" t="s">
        <v>213</v>
      </c>
      <c r="J679" t="s">
        <v>464</v>
      </c>
      <c r="K679">
        <v>2.3024247557193917E-2</v>
      </c>
      <c r="L679" t="s">
        <v>158</v>
      </c>
      <c r="N679" t="s">
        <v>349</v>
      </c>
      <c r="O679" t="s">
        <v>464</v>
      </c>
      <c r="P679">
        <v>1.9549923691979953E-2</v>
      </c>
      <c r="Q679" t="s">
        <v>158</v>
      </c>
    </row>
    <row r="680" spans="9:17" x14ac:dyDescent="0.45">
      <c r="I680" t="s">
        <v>213</v>
      </c>
      <c r="J680" t="s">
        <v>465</v>
      </c>
      <c r="K680">
        <v>0.21781436699566314</v>
      </c>
      <c r="L680" t="s">
        <v>158</v>
      </c>
      <c r="N680" t="s">
        <v>349</v>
      </c>
      <c r="O680" t="s">
        <v>465</v>
      </c>
      <c r="P680">
        <v>6.2943411699067753E-2</v>
      </c>
      <c r="Q680" t="s">
        <v>158</v>
      </c>
    </row>
    <row r="681" spans="9:17" x14ac:dyDescent="0.45">
      <c r="I681" t="s">
        <v>213</v>
      </c>
      <c r="J681" t="s">
        <v>466</v>
      </c>
      <c r="K681">
        <v>0</v>
      </c>
      <c r="L681" t="s">
        <v>158</v>
      </c>
      <c r="N681" t="s">
        <v>349</v>
      </c>
      <c r="O681" t="s">
        <v>466</v>
      </c>
      <c r="P681">
        <v>9.0417372739634475E-2</v>
      </c>
      <c r="Q681" t="s">
        <v>158</v>
      </c>
    </row>
    <row r="682" spans="9:17" x14ac:dyDescent="0.45">
      <c r="I682" t="s">
        <v>213</v>
      </c>
      <c r="J682" t="s">
        <v>467</v>
      </c>
      <c r="K682">
        <v>6.0189348266185992E-3</v>
      </c>
      <c r="L682" t="s">
        <v>158</v>
      </c>
      <c r="N682" t="s">
        <v>349</v>
      </c>
      <c r="O682" t="s">
        <v>467</v>
      </c>
      <c r="P682">
        <v>1.2837639918477988E-2</v>
      </c>
      <c r="Q682" t="s">
        <v>158</v>
      </c>
    </row>
    <row r="683" spans="9:17" x14ac:dyDescent="0.45">
      <c r="I683" t="s">
        <v>214</v>
      </c>
      <c r="J683" t="s">
        <v>456</v>
      </c>
      <c r="K683">
        <v>0.21614229756945702</v>
      </c>
      <c r="L683" t="s">
        <v>158</v>
      </c>
      <c r="N683" t="s">
        <v>350</v>
      </c>
      <c r="O683" t="s">
        <v>456</v>
      </c>
      <c r="P683">
        <v>6.7801447886921079E-2</v>
      </c>
      <c r="Q683" t="s">
        <v>158</v>
      </c>
    </row>
    <row r="684" spans="9:17" x14ac:dyDescent="0.45">
      <c r="I684" t="s">
        <v>214</v>
      </c>
      <c r="J684" t="s">
        <v>457</v>
      </c>
      <c r="K684">
        <v>0</v>
      </c>
      <c r="L684" t="s">
        <v>158</v>
      </c>
      <c r="N684" t="s">
        <v>350</v>
      </c>
      <c r="O684" t="s">
        <v>457</v>
      </c>
      <c r="P684">
        <v>0.1015269129739494</v>
      </c>
      <c r="Q684" t="s">
        <v>158</v>
      </c>
    </row>
    <row r="685" spans="9:17" x14ac:dyDescent="0.45">
      <c r="I685" t="s">
        <v>214</v>
      </c>
      <c r="J685" t="s">
        <v>458</v>
      </c>
      <c r="K685">
        <v>8.479158847071679E-3</v>
      </c>
      <c r="L685" t="s">
        <v>158</v>
      </c>
      <c r="N685" t="s">
        <v>350</v>
      </c>
      <c r="O685" t="s">
        <v>458</v>
      </c>
      <c r="P685">
        <v>1.4616074447894936E-2</v>
      </c>
      <c r="Q685" t="s">
        <v>158</v>
      </c>
    </row>
    <row r="686" spans="9:17" x14ac:dyDescent="0.45">
      <c r="I686" t="s">
        <v>214</v>
      </c>
      <c r="J686" t="s">
        <v>459</v>
      </c>
      <c r="K686">
        <v>0.29279478519445967</v>
      </c>
      <c r="L686" t="s">
        <v>158</v>
      </c>
      <c r="N686" t="s">
        <v>350</v>
      </c>
      <c r="O686" t="s">
        <v>459</v>
      </c>
      <c r="P686">
        <v>0.14272827364494464</v>
      </c>
      <c r="Q686" t="s">
        <v>158</v>
      </c>
    </row>
    <row r="687" spans="9:17" x14ac:dyDescent="0.45">
      <c r="I687" t="s">
        <v>214</v>
      </c>
      <c r="J687" t="s">
        <v>460</v>
      </c>
      <c r="K687">
        <v>1.8516736005375579E-3</v>
      </c>
      <c r="L687" t="s">
        <v>158</v>
      </c>
      <c r="N687" t="s">
        <v>350</v>
      </c>
      <c r="O687" t="s">
        <v>460</v>
      </c>
      <c r="P687">
        <v>0.2021586658573577</v>
      </c>
      <c r="Q687" t="s">
        <v>158</v>
      </c>
    </row>
    <row r="688" spans="9:17" x14ac:dyDescent="0.45">
      <c r="I688" t="s">
        <v>214</v>
      </c>
      <c r="J688" t="s">
        <v>461</v>
      </c>
      <c r="K688">
        <v>2.4519607766512398E-2</v>
      </c>
      <c r="L688" t="s">
        <v>158</v>
      </c>
      <c r="N688" t="s">
        <v>350</v>
      </c>
      <c r="O688" t="s">
        <v>461</v>
      </c>
      <c r="P688">
        <v>2.7070462181741105E-2</v>
      </c>
      <c r="Q688" t="s">
        <v>158</v>
      </c>
    </row>
    <row r="689" spans="9:17" x14ac:dyDescent="0.45">
      <c r="I689" t="s">
        <v>214</v>
      </c>
      <c r="J689" t="s">
        <v>462</v>
      </c>
      <c r="K689">
        <v>0.21747859118046822</v>
      </c>
      <c r="L689" t="s">
        <v>158</v>
      </c>
      <c r="N689" t="s">
        <v>350</v>
      </c>
      <c r="O689" t="s">
        <v>462</v>
      </c>
      <c r="P689">
        <v>0.12562985592546747</v>
      </c>
      <c r="Q689" t="s">
        <v>158</v>
      </c>
    </row>
    <row r="690" spans="9:17" x14ac:dyDescent="0.45">
      <c r="I690" t="s">
        <v>214</v>
      </c>
      <c r="J690" t="s">
        <v>463</v>
      </c>
      <c r="K690">
        <v>4.255477222794843E-3</v>
      </c>
      <c r="L690" t="s">
        <v>158</v>
      </c>
      <c r="N690" t="s">
        <v>350</v>
      </c>
      <c r="O690" t="s">
        <v>463</v>
      </c>
      <c r="P690">
        <v>0.13958736429714469</v>
      </c>
      <c r="Q690" t="s">
        <v>158</v>
      </c>
    </row>
    <row r="691" spans="9:17" x14ac:dyDescent="0.45">
      <c r="I691" t="s">
        <v>214</v>
      </c>
      <c r="J691" t="s">
        <v>464</v>
      </c>
      <c r="K691">
        <v>2.2293953085470303E-2</v>
      </c>
      <c r="L691" t="s">
        <v>158</v>
      </c>
      <c r="N691" t="s">
        <v>350</v>
      </c>
      <c r="O691" t="s">
        <v>464</v>
      </c>
      <c r="P691">
        <v>2.0748452477089539E-2</v>
      </c>
      <c r="Q691" t="s">
        <v>158</v>
      </c>
    </row>
    <row r="692" spans="9:17" x14ac:dyDescent="0.45">
      <c r="I692" t="s">
        <v>214</v>
      </c>
      <c r="J692" t="s">
        <v>465</v>
      </c>
      <c r="K692">
        <v>0.20805860685846994</v>
      </c>
      <c r="L692" t="s">
        <v>158</v>
      </c>
      <c r="N692" t="s">
        <v>350</v>
      </c>
      <c r="O692" t="s">
        <v>465</v>
      </c>
      <c r="P692">
        <v>5.6741974748050379E-2</v>
      </c>
      <c r="Q692" t="s">
        <v>158</v>
      </c>
    </row>
    <row r="693" spans="9:17" x14ac:dyDescent="0.45">
      <c r="I693" t="s">
        <v>214</v>
      </c>
      <c r="J693" t="s">
        <v>466</v>
      </c>
      <c r="K693">
        <v>0</v>
      </c>
      <c r="L693" t="s">
        <v>158</v>
      </c>
      <c r="N693" t="s">
        <v>350</v>
      </c>
      <c r="O693" t="s">
        <v>466</v>
      </c>
      <c r="P693">
        <v>8.9085782002942274E-2</v>
      </c>
      <c r="Q693" t="s">
        <v>158</v>
      </c>
    </row>
    <row r="694" spans="9:17" x14ac:dyDescent="0.45">
      <c r="I694" t="s">
        <v>214</v>
      </c>
      <c r="J694" t="s">
        <v>467</v>
      </c>
      <c r="K694">
        <v>4.1258486747593279E-3</v>
      </c>
      <c r="L694" t="s">
        <v>158</v>
      </c>
      <c r="N694" t="s">
        <v>350</v>
      </c>
      <c r="O694" t="s">
        <v>467</v>
      </c>
      <c r="P694">
        <v>1.2304733556497995E-2</v>
      </c>
      <c r="Q694" t="s">
        <v>158</v>
      </c>
    </row>
    <row r="695" spans="9:17" x14ac:dyDescent="0.45">
      <c r="I695" t="s">
        <v>215</v>
      </c>
      <c r="J695" t="s">
        <v>456</v>
      </c>
      <c r="K695">
        <v>0.21084588827366724</v>
      </c>
      <c r="L695" t="s">
        <v>158</v>
      </c>
      <c r="N695" t="s">
        <v>351</v>
      </c>
      <c r="O695" t="s">
        <v>456</v>
      </c>
      <c r="P695">
        <v>7.0280463327104387E-2</v>
      </c>
      <c r="Q695" t="s">
        <v>158</v>
      </c>
    </row>
    <row r="696" spans="9:17" x14ac:dyDescent="0.45">
      <c r="I696" t="s">
        <v>215</v>
      </c>
      <c r="J696" t="s">
        <v>457</v>
      </c>
      <c r="K696">
        <v>0</v>
      </c>
      <c r="L696" t="s">
        <v>158</v>
      </c>
      <c r="N696" t="s">
        <v>351</v>
      </c>
      <c r="O696" t="s">
        <v>457</v>
      </c>
      <c r="P696">
        <v>9.0006689768984557E-2</v>
      </c>
      <c r="Q696" t="s">
        <v>158</v>
      </c>
    </row>
    <row r="697" spans="9:17" x14ac:dyDescent="0.45">
      <c r="I697" t="s">
        <v>215</v>
      </c>
      <c r="J697" t="s">
        <v>458</v>
      </c>
      <c r="K697">
        <v>1.1283554655417301E-2</v>
      </c>
      <c r="L697" t="s">
        <v>158</v>
      </c>
      <c r="N697" t="s">
        <v>351</v>
      </c>
      <c r="O697" t="s">
        <v>458</v>
      </c>
      <c r="P697">
        <v>1.40657167542173E-2</v>
      </c>
      <c r="Q697" t="s">
        <v>158</v>
      </c>
    </row>
    <row r="698" spans="9:17" x14ac:dyDescent="0.45">
      <c r="I698" t="s">
        <v>215</v>
      </c>
      <c r="J698" t="s">
        <v>459</v>
      </c>
      <c r="K698">
        <v>0.28147259100010136</v>
      </c>
      <c r="L698" t="s">
        <v>158</v>
      </c>
      <c r="N698" t="s">
        <v>351</v>
      </c>
      <c r="O698" t="s">
        <v>459</v>
      </c>
      <c r="P698">
        <v>0.12535658495908697</v>
      </c>
      <c r="Q698" t="s">
        <v>158</v>
      </c>
    </row>
    <row r="699" spans="9:17" x14ac:dyDescent="0.45">
      <c r="I699" t="s">
        <v>215</v>
      </c>
      <c r="J699" t="s">
        <v>460</v>
      </c>
      <c r="K699">
        <v>1.9454056188258776E-3</v>
      </c>
      <c r="L699" t="s">
        <v>158</v>
      </c>
      <c r="N699" t="s">
        <v>351</v>
      </c>
      <c r="O699" t="s">
        <v>460</v>
      </c>
      <c r="P699">
        <v>0.15914065635042779</v>
      </c>
      <c r="Q699" t="s">
        <v>158</v>
      </c>
    </row>
    <row r="700" spans="9:17" x14ac:dyDescent="0.45">
      <c r="I700" t="s">
        <v>215</v>
      </c>
      <c r="J700" t="s">
        <v>461</v>
      </c>
      <c r="K700">
        <v>2.8623332730093213E-2</v>
      </c>
      <c r="L700" t="s">
        <v>158</v>
      </c>
      <c r="N700" t="s">
        <v>351</v>
      </c>
      <c r="O700" t="s">
        <v>461</v>
      </c>
      <c r="P700">
        <v>2.5208896844440751E-2</v>
      </c>
      <c r="Q700" t="s">
        <v>158</v>
      </c>
    </row>
    <row r="701" spans="9:17" x14ac:dyDescent="0.45">
      <c r="I701" t="s">
        <v>215</v>
      </c>
      <c r="J701" t="s">
        <v>462</v>
      </c>
      <c r="K701">
        <v>0.22373914269674969</v>
      </c>
      <c r="L701" t="s">
        <v>158</v>
      </c>
      <c r="N701" t="s">
        <v>351</v>
      </c>
      <c r="O701" t="s">
        <v>462</v>
      </c>
      <c r="P701">
        <v>0.15923520870540059</v>
      </c>
      <c r="Q701" t="s">
        <v>158</v>
      </c>
    </row>
    <row r="702" spans="9:17" x14ac:dyDescent="0.45">
      <c r="I702" t="s">
        <v>215</v>
      </c>
      <c r="J702" t="s">
        <v>463</v>
      </c>
      <c r="K702">
        <v>4.9422441696443499E-3</v>
      </c>
      <c r="L702" t="s">
        <v>158</v>
      </c>
      <c r="N702" t="s">
        <v>351</v>
      </c>
      <c r="O702" t="s">
        <v>463</v>
      </c>
      <c r="P702">
        <v>0.1681707565983597</v>
      </c>
      <c r="Q702" t="s">
        <v>158</v>
      </c>
    </row>
    <row r="703" spans="9:17" x14ac:dyDescent="0.45">
      <c r="I703" t="s">
        <v>215</v>
      </c>
      <c r="J703" t="s">
        <v>464</v>
      </c>
      <c r="K703">
        <v>2.6060733875986428E-2</v>
      </c>
      <c r="L703" t="s">
        <v>158</v>
      </c>
      <c r="N703" t="s">
        <v>351</v>
      </c>
      <c r="O703" t="s">
        <v>464</v>
      </c>
      <c r="P703">
        <v>2.4961790971570051E-2</v>
      </c>
      <c r="Q703" t="s">
        <v>158</v>
      </c>
    </row>
    <row r="704" spans="9:17" x14ac:dyDescent="0.45">
      <c r="I704" t="s">
        <v>215</v>
      </c>
      <c r="J704" t="s">
        <v>465</v>
      </c>
      <c r="K704">
        <v>0.2039456670336236</v>
      </c>
      <c r="L704" t="s">
        <v>158</v>
      </c>
      <c r="N704" t="s">
        <v>351</v>
      </c>
      <c r="O704" t="s">
        <v>465</v>
      </c>
      <c r="P704">
        <v>6.6618543956627599E-2</v>
      </c>
      <c r="Q704" t="s">
        <v>158</v>
      </c>
    </row>
    <row r="705" spans="9:17" x14ac:dyDescent="0.45">
      <c r="I705" t="s">
        <v>215</v>
      </c>
      <c r="J705" t="s">
        <v>466</v>
      </c>
      <c r="K705">
        <v>0</v>
      </c>
      <c r="L705" t="s">
        <v>158</v>
      </c>
      <c r="N705" t="s">
        <v>351</v>
      </c>
      <c r="O705" t="s">
        <v>466</v>
      </c>
      <c r="P705">
        <v>8.3766848176316799E-2</v>
      </c>
      <c r="Q705" t="s">
        <v>158</v>
      </c>
    </row>
    <row r="706" spans="9:17" x14ac:dyDescent="0.45">
      <c r="I706" t="s">
        <v>215</v>
      </c>
      <c r="J706" t="s">
        <v>467</v>
      </c>
      <c r="K706">
        <v>7.1414399458887409E-3</v>
      </c>
      <c r="L706" t="s">
        <v>158</v>
      </c>
      <c r="N706" t="s">
        <v>351</v>
      </c>
      <c r="O706" t="s">
        <v>467</v>
      </c>
      <c r="P706">
        <v>1.318784358746272E-2</v>
      </c>
      <c r="Q706" t="s">
        <v>158</v>
      </c>
    </row>
    <row r="707" spans="9:17" x14ac:dyDescent="0.45">
      <c r="I707" t="s">
        <v>216</v>
      </c>
      <c r="J707" t="s">
        <v>456</v>
      </c>
      <c r="K707">
        <v>0.21180527240545086</v>
      </c>
      <c r="L707" t="s">
        <v>158</v>
      </c>
      <c r="N707" t="s">
        <v>352</v>
      </c>
      <c r="O707" t="s">
        <v>456</v>
      </c>
      <c r="P707">
        <v>0.12888991340147327</v>
      </c>
      <c r="Q707" t="s">
        <v>158</v>
      </c>
    </row>
    <row r="708" spans="9:17" x14ac:dyDescent="0.45">
      <c r="I708" t="s">
        <v>216</v>
      </c>
      <c r="J708" t="s">
        <v>457</v>
      </c>
      <c r="K708">
        <v>0</v>
      </c>
      <c r="L708" t="s">
        <v>158</v>
      </c>
      <c r="N708" t="s">
        <v>352</v>
      </c>
      <c r="O708" t="s">
        <v>457</v>
      </c>
      <c r="P708">
        <v>0.14345219577569907</v>
      </c>
      <c r="Q708" t="s">
        <v>158</v>
      </c>
    </row>
    <row r="709" spans="9:17" x14ac:dyDescent="0.45">
      <c r="I709" t="s">
        <v>216</v>
      </c>
      <c r="J709" t="s">
        <v>458</v>
      </c>
      <c r="K709">
        <v>9.6949752242266145E-3</v>
      </c>
      <c r="L709" t="s">
        <v>158</v>
      </c>
      <c r="N709" t="s">
        <v>352</v>
      </c>
      <c r="O709" t="s">
        <v>458</v>
      </c>
      <c r="P709">
        <v>2.4273250702633718E-2</v>
      </c>
      <c r="Q709" t="s">
        <v>158</v>
      </c>
    </row>
    <row r="710" spans="9:17" x14ac:dyDescent="0.45">
      <c r="I710" t="s">
        <v>216</v>
      </c>
      <c r="J710" t="s">
        <v>459</v>
      </c>
      <c r="K710">
        <v>0.28866992793684609</v>
      </c>
      <c r="L710" t="s">
        <v>158</v>
      </c>
      <c r="N710" t="s">
        <v>352</v>
      </c>
      <c r="O710" t="s">
        <v>459</v>
      </c>
      <c r="P710">
        <v>9.0776860322860184E-2</v>
      </c>
      <c r="Q710" t="s">
        <v>158</v>
      </c>
    </row>
    <row r="711" spans="9:17" x14ac:dyDescent="0.45">
      <c r="I711" t="s">
        <v>216</v>
      </c>
      <c r="J711" t="s">
        <v>460</v>
      </c>
      <c r="K711">
        <v>1.7320030050282603E-3</v>
      </c>
      <c r="L711" t="s">
        <v>158</v>
      </c>
      <c r="N711" t="s">
        <v>352</v>
      </c>
      <c r="O711" t="s">
        <v>460</v>
      </c>
      <c r="P711">
        <v>8.9060627443862353E-2</v>
      </c>
      <c r="Q711" t="s">
        <v>158</v>
      </c>
    </row>
    <row r="712" spans="9:17" x14ac:dyDescent="0.45">
      <c r="I712" t="s">
        <v>216</v>
      </c>
      <c r="J712" t="s">
        <v>461</v>
      </c>
      <c r="K712">
        <v>2.680853168035784E-2</v>
      </c>
      <c r="L712" t="s">
        <v>158</v>
      </c>
      <c r="N712" t="s">
        <v>352</v>
      </c>
      <c r="O712" t="s">
        <v>461</v>
      </c>
      <c r="P712">
        <v>1.4246526012113986E-2</v>
      </c>
      <c r="Q712" t="s">
        <v>158</v>
      </c>
    </row>
    <row r="713" spans="9:17" x14ac:dyDescent="0.45">
      <c r="I713" t="s">
        <v>216</v>
      </c>
      <c r="J713" t="s">
        <v>462</v>
      </c>
      <c r="K713">
        <v>0.21863159480751534</v>
      </c>
      <c r="L713" t="s">
        <v>158</v>
      </c>
      <c r="N713" t="s">
        <v>352</v>
      </c>
      <c r="O713" t="s">
        <v>462</v>
      </c>
      <c r="P713">
        <v>0.12325088983863543</v>
      </c>
      <c r="Q713" t="s">
        <v>158</v>
      </c>
    </row>
    <row r="714" spans="9:17" x14ac:dyDescent="0.45">
      <c r="I714" t="s">
        <v>216</v>
      </c>
      <c r="J714" t="s">
        <v>463</v>
      </c>
      <c r="K714">
        <v>4.4508824980564561E-3</v>
      </c>
      <c r="L714" t="s">
        <v>158</v>
      </c>
      <c r="N714" t="s">
        <v>352</v>
      </c>
      <c r="O714" t="s">
        <v>463</v>
      </c>
      <c r="P714">
        <v>0.10115298718047591</v>
      </c>
      <c r="Q714" t="s">
        <v>158</v>
      </c>
    </row>
    <row r="715" spans="9:17" x14ac:dyDescent="0.45">
      <c r="I715" t="s">
        <v>216</v>
      </c>
      <c r="J715" t="s">
        <v>464</v>
      </c>
      <c r="K715">
        <v>2.4191384313835648E-2</v>
      </c>
      <c r="L715" t="s">
        <v>158</v>
      </c>
      <c r="N715" t="s">
        <v>352</v>
      </c>
      <c r="O715" t="s">
        <v>464</v>
      </c>
      <c r="P715">
        <v>1.5952699498223886E-2</v>
      </c>
      <c r="Q715" t="s">
        <v>158</v>
      </c>
    </row>
    <row r="716" spans="9:17" x14ac:dyDescent="0.45">
      <c r="I716" t="s">
        <v>216</v>
      </c>
      <c r="J716" t="s">
        <v>465</v>
      </c>
      <c r="K716">
        <v>0.2081372182905539</v>
      </c>
      <c r="L716" t="s">
        <v>158</v>
      </c>
      <c r="N716" t="s">
        <v>352</v>
      </c>
      <c r="O716" t="s">
        <v>465</v>
      </c>
      <c r="P716">
        <v>0.11543613151444686</v>
      </c>
      <c r="Q716" t="s">
        <v>158</v>
      </c>
    </row>
    <row r="717" spans="9:17" x14ac:dyDescent="0.45">
      <c r="I717" t="s">
        <v>216</v>
      </c>
      <c r="J717" t="s">
        <v>466</v>
      </c>
      <c r="K717">
        <v>0</v>
      </c>
      <c r="L717" t="s">
        <v>158</v>
      </c>
      <c r="N717" t="s">
        <v>352</v>
      </c>
      <c r="O717" t="s">
        <v>466</v>
      </c>
      <c r="P717">
        <v>0.13128506203941795</v>
      </c>
      <c r="Q717" t="s">
        <v>158</v>
      </c>
    </row>
    <row r="718" spans="9:17" x14ac:dyDescent="0.45">
      <c r="I718" t="s">
        <v>216</v>
      </c>
      <c r="J718" t="s">
        <v>467</v>
      </c>
      <c r="K718">
        <v>5.8782098381286625E-3</v>
      </c>
      <c r="L718" t="s">
        <v>158</v>
      </c>
      <c r="N718" t="s">
        <v>352</v>
      </c>
      <c r="O718" t="s">
        <v>467</v>
      </c>
      <c r="P718">
        <v>2.2222856270157729E-2</v>
      </c>
      <c r="Q718" t="s">
        <v>158</v>
      </c>
    </row>
    <row r="719" spans="9:17" x14ac:dyDescent="0.45">
      <c r="I719" t="s">
        <v>217</v>
      </c>
      <c r="J719" t="s">
        <v>456</v>
      </c>
      <c r="K719">
        <v>0.20426236122612926</v>
      </c>
      <c r="L719" t="s">
        <v>158</v>
      </c>
      <c r="N719" t="s">
        <v>353</v>
      </c>
      <c r="O719" t="s">
        <v>456</v>
      </c>
      <c r="P719">
        <v>0.12013736590751881</v>
      </c>
      <c r="Q719" t="s">
        <v>158</v>
      </c>
    </row>
    <row r="720" spans="9:17" x14ac:dyDescent="0.45">
      <c r="I720" t="s">
        <v>217</v>
      </c>
      <c r="J720" t="s">
        <v>457</v>
      </c>
      <c r="K720">
        <v>3.5671821983248708E-4</v>
      </c>
      <c r="L720" t="s">
        <v>158</v>
      </c>
      <c r="N720" t="s">
        <v>353</v>
      </c>
      <c r="O720" t="s">
        <v>457</v>
      </c>
      <c r="P720">
        <v>0.12369186849480909</v>
      </c>
      <c r="Q720" t="s">
        <v>158</v>
      </c>
    </row>
    <row r="721" spans="9:17" x14ac:dyDescent="0.45">
      <c r="I721" t="s">
        <v>217</v>
      </c>
      <c r="J721" t="s">
        <v>458</v>
      </c>
      <c r="K721">
        <v>1.7109100765667688E-2</v>
      </c>
      <c r="L721" t="s">
        <v>158</v>
      </c>
      <c r="N721" t="s">
        <v>353</v>
      </c>
      <c r="O721" t="s">
        <v>458</v>
      </c>
      <c r="P721">
        <v>1.7623069338903549E-2</v>
      </c>
      <c r="Q721" t="s">
        <v>158</v>
      </c>
    </row>
    <row r="722" spans="9:17" x14ac:dyDescent="0.45">
      <c r="I722" t="s">
        <v>217</v>
      </c>
      <c r="J722" t="s">
        <v>459</v>
      </c>
      <c r="K722">
        <v>0.27383836435429987</v>
      </c>
      <c r="L722" t="s">
        <v>158</v>
      </c>
      <c r="N722" t="s">
        <v>353</v>
      </c>
      <c r="O722" t="s">
        <v>459</v>
      </c>
      <c r="P722">
        <v>0.11480167162321268</v>
      </c>
      <c r="Q722" t="s">
        <v>158</v>
      </c>
    </row>
    <row r="723" spans="9:17" x14ac:dyDescent="0.45">
      <c r="I723" t="s">
        <v>217</v>
      </c>
      <c r="J723" t="s">
        <v>460</v>
      </c>
      <c r="K723">
        <v>4.311558208557064E-3</v>
      </c>
      <c r="L723" t="s">
        <v>158</v>
      </c>
      <c r="N723" t="s">
        <v>353</v>
      </c>
      <c r="O723" t="s">
        <v>460</v>
      </c>
      <c r="P723">
        <v>9.822254690272629E-2</v>
      </c>
      <c r="Q723" t="s">
        <v>158</v>
      </c>
    </row>
    <row r="724" spans="9:17" x14ac:dyDescent="0.45">
      <c r="I724" t="s">
        <v>217</v>
      </c>
      <c r="J724" t="s">
        <v>461</v>
      </c>
      <c r="K724">
        <v>3.3344111229676565E-2</v>
      </c>
      <c r="L724" t="s">
        <v>158</v>
      </c>
      <c r="N724" t="s">
        <v>353</v>
      </c>
      <c r="O724" t="s">
        <v>461</v>
      </c>
      <c r="P724">
        <v>1.6752909909710935E-2</v>
      </c>
      <c r="Q724" t="s">
        <v>158</v>
      </c>
    </row>
    <row r="725" spans="9:17" x14ac:dyDescent="0.45">
      <c r="I725" t="s">
        <v>217</v>
      </c>
      <c r="J725" t="s">
        <v>462</v>
      </c>
      <c r="K725">
        <v>0.21149725154713447</v>
      </c>
      <c r="L725" t="s">
        <v>158</v>
      </c>
      <c r="N725" t="s">
        <v>353</v>
      </c>
      <c r="O725" t="s">
        <v>462</v>
      </c>
      <c r="P725">
        <v>0.13276196042796212</v>
      </c>
      <c r="Q725" t="s">
        <v>158</v>
      </c>
    </row>
    <row r="726" spans="9:17" x14ac:dyDescent="0.45">
      <c r="I726" t="s">
        <v>217</v>
      </c>
      <c r="J726" t="s">
        <v>463</v>
      </c>
      <c r="K726">
        <v>8.4207363364497897E-3</v>
      </c>
      <c r="L726" t="s">
        <v>158</v>
      </c>
      <c r="N726" t="s">
        <v>353</v>
      </c>
      <c r="O726" t="s">
        <v>463</v>
      </c>
      <c r="P726">
        <v>0.11649006412765926</v>
      </c>
      <c r="Q726" t="s">
        <v>158</v>
      </c>
    </row>
    <row r="727" spans="9:17" x14ac:dyDescent="0.45">
      <c r="I727" t="s">
        <v>217</v>
      </c>
      <c r="J727" t="s">
        <v>464</v>
      </c>
      <c r="K727">
        <v>2.8985805211820297E-2</v>
      </c>
      <c r="L727" t="s">
        <v>158</v>
      </c>
      <c r="N727" t="s">
        <v>353</v>
      </c>
      <c r="O727" t="s">
        <v>464</v>
      </c>
      <c r="P727">
        <v>1.9429202350527856E-2</v>
      </c>
      <c r="Q727" t="s">
        <v>158</v>
      </c>
    </row>
    <row r="728" spans="9:17" x14ac:dyDescent="0.45">
      <c r="I728" t="s">
        <v>217</v>
      </c>
      <c r="J728" t="s">
        <v>465</v>
      </c>
      <c r="K728">
        <v>0.20570451217141339</v>
      </c>
      <c r="L728" t="s">
        <v>158</v>
      </c>
      <c r="N728" t="s">
        <v>353</v>
      </c>
      <c r="O728" t="s">
        <v>465</v>
      </c>
      <c r="P728">
        <v>0.10400971910305114</v>
      </c>
      <c r="Q728" t="s">
        <v>158</v>
      </c>
    </row>
    <row r="729" spans="9:17" x14ac:dyDescent="0.45">
      <c r="I729" t="s">
        <v>217</v>
      </c>
      <c r="J729" t="s">
        <v>466</v>
      </c>
      <c r="K729">
        <v>0</v>
      </c>
      <c r="L729" t="s">
        <v>158</v>
      </c>
      <c r="N729" t="s">
        <v>353</v>
      </c>
      <c r="O729" t="s">
        <v>466</v>
      </c>
      <c r="P729">
        <v>0.11912332781629488</v>
      </c>
      <c r="Q729" t="s">
        <v>158</v>
      </c>
    </row>
    <row r="730" spans="9:17" x14ac:dyDescent="0.45">
      <c r="I730" t="s">
        <v>217</v>
      </c>
      <c r="J730" t="s">
        <v>467</v>
      </c>
      <c r="K730">
        <v>1.2169480729021446E-2</v>
      </c>
      <c r="L730" t="s">
        <v>158</v>
      </c>
      <c r="N730" t="s">
        <v>353</v>
      </c>
      <c r="O730" t="s">
        <v>467</v>
      </c>
      <c r="P730">
        <v>1.6956293997623891E-2</v>
      </c>
      <c r="Q730" t="s">
        <v>158</v>
      </c>
    </row>
    <row r="731" spans="9:17" x14ac:dyDescent="0.45">
      <c r="I731" t="s">
        <v>218</v>
      </c>
      <c r="J731" t="s">
        <v>456</v>
      </c>
      <c r="K731">
        <v>0.20059531839608055</v>
      </c>
      <c r="L731" t="s">
        <v>158</v>
      </c>
      <c r="N731" t="s">
        <v>354</v>
      </c>
      <c r="O731" t="s">
        <v>456</v>
      </c>
      <c r="P731">
        <v>0.13743750666519786</v>
      </c>
      <c r="Q731" t="s">
        <v>158</v>
      </c>
    </row>
    <row r="732" spans="9:17" x14ac:dyDescent="0.45">
      <c r="I732" t="s">
        <v>218</v>
      </c>
      <c r="J732" t="s">
        <v>457</v>
      </c>
      <c r="K732">
        <v>3.0516486986950615E-4</v>
      </c>
      <c r="L732" t="s">
        <v>158</v>
      </c>
      <c r="N732" t="s">
        <v>354</v>
      </c>
      <c r="O732" t="s">
        <v>457</v>
      </c>
      <c r="P732">
        <v>0.13129978342704501</v>
      </c>
      <c r="Q732" t="s">
        <v>158</v>
      </c>
    </row>
    <row r="733" spans="9:17" x14ac:dyDescent="0.45">
      <c r="I733" t="s">
        <v>218</v>
      </c>
      <c r="J733" t="s">
        <v>458</v>
      </c>
      <c r="K733">
        <v>1.5882400473814794E-2</v>
      </c>
      <c r="L733" t="s">
        <v>158</v>
      </c>
      <c r="N733" t="s">
        <v>354</v>
      </c>
      <c r="O733" t="s">
        <v>458</v>
      </c>
      <c r="P733">
        <v>2.0609498202027791E-2</v>
      </c>
      <c r="Q733" t="s">
        <v>158</v>
      </c>
    </row>
    <row r="734" spans="9:17" x14ac:dyDescent="0.45">
      <c r="I734" t="s">
        <v>218</v>
      </c>
      <c r="J734" t="s">
        <v>459</v>
      </c>
      <c r="K734">
        <v>0.27834326332334741</v>
      </c>
      <c r="L734" t="s">
        <v>158</v>
      </c>
      <c r="N734" t="s">
        <v>354</v>
      </c>
      <c r="O734" t="s">
        <v>459</v>
      </c>
      <c r="P734">
        <v>0.10189571265887977</v>
      </c>
      <c r="Q734" t="s">
        <v>158</v>
      </c>
    </row>
    <row r="735" spans="9:17" x14ac:dyDescent="0.45">
      <c r="I735" t="s">
        <v>218</v>
      </c>
      <c r="J735" t="s">
        <v>460</v>
      </c>
      <c r="K735">
        <v>4.6317775971354645E-3</v>
      </c>
      <c r="L735" t="s">
        <v>158</v>
      </c>
      <c r="N735" t="s">
        <v>354</v>
      </c>
      <c r="O735" t="s">
        <v>460</v>
      </c>
      <c r="P735">
        <v>0.10905724076529524</v>
      </c>
      <c r="Q735" t="s">
        <v>158</v>
      </c>
    </row>
    <row r="736" spans="9:17" x14ac:dyDescent="0.45">
      <c r="I736" t="s">
        <v>218</v>
      </c>
      <c r="J736" t="s">
        <v>461</v>
      </c>
      <c r="K736">
        <v>3.2343429260886764E-2</v>
      </c>
      <c r="L736" t="s">
        <v>158</v>
      </c>
      <c r="N736" t="s">
        <v>354</v>
      </c>
      <c r="O736" t="s">
        <v>461</v>
      </c>
      <c r="P736">
        <v>1.6621302454695959E-2</v>
      </c>
      <c r="Q736" t="s">
        <v>158</v>
      </c>
    </row>
    <row r="737" spans="9:17" x14ac:dyDescent="0.45">
      <c r="I737" t="s">
        <v>218</v>
      </c>
      <c r="J737" t="s">
        <v>462</v>
      </c>
      <c r="K737">
        <v>0.21790337242413477</v>
      </c>
      <c r="L737" t="s">
        <v>158</v>
      </c>
      <c r="N737" t="s">
        <v>354</v>
      </c>
      <c r="O737" t="s">
        <v>462</v>
      </c>
      <c r="P737">
        <v>0.10050396354359244</v>
      </c>
      <c r="Q737" t="s">
        <v>158</v>
      </c>
    </row>
    <row r="738" spans="9:17" x14ac:dyDescent="0.45">
      <c r="I738" t="s">
        <v>218</v>
      </c>
      <c r="J738" t="s">
        <v>463</v>
      </c>
      <c r="K738">
        <v>9.9874634917109639E-3</v>
      </c>
      <c r="L738" t="s">
        <v>158</v>
      </c>
      <c r="N738" t="s">
        <v>354</v>
      </c>
      <c r="O738" t="s">
        <v>463</v>
      </c>
      <c r="P738">
        <v>0.10696310417320613</v>
      </c>
      <c r="Q738" t="s">
        <v>158</v>
      </c>
    </row>
    <row r="739" spans="9:17" x14ac:dyDescent="0.45">
      <c r="I739" t="s">
        <v>218</v>
      </c>
      <c r="J739" t="s">
        <v>464</v>
      </c>
      <c r="K739">
        <v>2.9219833746405695E-2</v>
      </c>
      <c r="L739" t="s">
        <v>158</v>
      </c>
      <c r="N739" t="s">
        <v>354</v>
      </c>
      <c r="O739" t="s">
        <v>464</v>
      </c>
      <c r="P739">
        <v>1.5624711405048152E-2</v>
      </c>
      <c r="Q739" t="s">
        <v>158</v>
      </c>
    </row>
    <row r="740" spans="9:17" x14ac:dyDescent="0.45">
      <c r="I740" t="s">
        <v>218</v>
      </c>
      <c r="J740" t="s">
        <v>465</v>
      </c>
      <c r="K740">
        <v>0.2012332187083076</v>
      </c>
      <c r="L740" t="s">
        <v>158</v>
      </c>
      <c r="N740" t="s">
        <v>354</v>
      </c>
      <c r="O740" t="s">
        <v>465</v>
      </c>
      <c r="P740">
        <v>0.11673849710417933</v>
      </c>
      <c r="Q740" t="s">
        <v>158</v>
      </c>
    </row>
    <row r="741" spans="9:17" x14ac:dyDescent="0.45">
      <c r="I741" t="s">
        <v>218</v>
      </c>
      <c r="J741" t="s">
        <v>466</v>
      </c>
      <c r="K741">
        <v>0</v>
      </c>
      <c r="L741" t="s">
        <v>158</v>
      </c>
      <c r="N741" t="s">
        <v>354</v>
      </c>
      <c r="O741" t="s">
        <v>466</v>
      </c>
      <c r="P741">
        <v>0.12563730308262308</v>
      </c>
      <c r="Q741" t="s">
        <v>158</v>
      </c>
    </row>
    <row r="742" spans="9:17" x14ac:dyDescent="0.45">
      <c r="I742" t="s">
        <v>218</v>
      </c>
      <c r="J742" t="s">
        <v>467</v>
      </c>
      <c r="K742">
        <v>9.5547577083054513E-3</v>
      </c>
      <c r="L742" t="s">
        <v>158</v>
      </c>
      <c r="N742" t="s">
        <v>354</v>
      </c>
      <c r="O742" t="s">
        <v>467</v>
      </c>
      <c r="P742">
        <v>1.7611376518210764E-2</v>
      </c>
      <c r="Q742" t="s">
        <v>158</v>
      </c>
    </row>
    <row r="743" spans="9:17" x14ac:dyDescent="0.45">
      <c r="I743" t="s">
        <v>219</v>
      </c>
      <c r="J743" t="s">
        <v>456</v>
      </c>
      <c r="K743">
        <v>0.20647806949677996</v>
      </c>
      <c r="L743" t="s">
        <v>158</v>
      </c>
      <c r="N743" t="s">
        <v>355</v>
      </c>
      <c r="O743" t="s">
        <v>456</v>
      </c>
      <c r="P743">
        <v>0.13863549753300222</v>
      </c>
      <c r="Q743" t="s">
        <v>158</v>
      </c>
    </row>
    <row r="744" spans="9:17" x14ac:dyDescent="0.45">
      <c r="I744" t="s">
        <v>219</v>
      </c>
      <c r="J744" t="s">
        <v>457</v>
      </c>
      <c r="K744">
        <v>0</v>
      </c>
      <c r="L744" t="s">
        <v>158</v>
      </c>
      <c r="N744" t="s">
        <v>355</v>
      </c>
      <c r="O744" t="s">
        <v>457</v>
      </c>
      <c r="P744">
        <v>0.13888000476498005</v>
      </c>
      <c r="Q744" t="s">
        <v>158</v>
      </c>
    </row>
    <row r="745" spans="9:17" x14ac:dyDescent="0.45">
      <c r="I745" t="s">
        <v>219</v>
      </c>
      <c r="J745" t="s">
        <v>458</v>
      </c>
      <c r="K745">
        <v>5.8594221413244942E-3</v>
      </c>
      <c r="L745" t="s">
        <v>158</v>
      </c>
      <c r="N745" t="s">
        <v>355</v>
      </c>
      <c r="O745" t="s">
        <v>458</v>
      </c>
      <c r="P745">
        <v>2.5953878249866787E-2</v>
      </c>
      <c r="Q745" t="s">
        <v>158</v>
      </c>
    </row>
    <row r="746" spans="9:17" x14ac:dyDescent="0.45">
      <c r="I746" t="s">
        <v>219</v>
      </c>
      <c r="J746" t="s">
        <v>459</v>
      </c>
      <c r="K746">
        <v>0.2977321156989805</v>
      </c>
      <c r="L746" t="s">
        <v>158</v>
      </c>
      <c r="N746" t="s">
        <v>355</v>
      </c>
      <c r="O746" t="s">
        <v>459</v>
      </c>
      <c r="P746">
        <v>9.1517869756114367E-2</v>
      </c>
      <c r="Q746" t="s">
        <v>158</v>
      </c>
    </row>
    <row r="747" spans="9:17" x14ac:dyDescent="0.45">
      <c r="I747" t="s">
        <v>219</v>
      </c>
      <c r="J747" t="s">
        <v>460</v>
      </c>
      <c r="K747">
        <v>3.4145701422590175E-3</v>
      </c>
      <c r="L747" t="s">
        <v>158</v>
      </c>
      <c r="N747" t="s">
        <v>355</v>
      </c>
      <c r="O747" t="s">
        <v>460</v>
      </c>
      <c r="P747">
        <v>9.0870507838247433E-2</v>
      </c>
      <c r="Q747" t="s">
        <v>158</v>
      </c>
    </row>
    <row r="748" spans="9:17" x14ac:dyDescent="0.45">
      <c r="I748" t="s">
        <v>219</v>
      </c>
      <c r="J748" t="s">
        <v>461</v>
      </c>
      <c r="K748">
        <v>2.1823910596386484E-2</v>
      </c>
      <c r="L748" t="s">
        <v>158</v>
      </c>
      <c r="N748" t="s">
        <v>355</v>
      </c>
      <c r="O748" t="s">
        <v>461</v>
      </c>
      <c r="P748">
        <v>1.8928618777817898E-2</v>
      </c>
      <c r="Q748" t="s">
        <v>158</v>
      </c>
    </row>
    <row r="749" spans="9:17" x14ac:dyDescent="0.45">
      <c r="I749" t="s">
        <v>219</v>
      </c>
      <c r="J749" t="s">
        <v>462</v>
      </c>
      <c r="K749">
        <v>0.2279725199116254</v>
      </c>
      <c r="L749" t="s">
        <v>158</v>
      </c>
      <c r="N749" t="s">
        <v>355</v>
      </c>
      <c r="O749" t="s">
        <v>462</v>
      </c>
      <c r="P749">
        <v>9.0405995381698273E-2</v>
      </c>
      <c r="Q749" t="s">
        <v>158</v>
      </c>
    </row>
    <row r="750" spans="9:17" x14ac:dyDescent="0.45">
      <c r="I750" t="s">
        <v>219</v>
      </c>
      <c r="J750" t="s">
        <v>463</v>
      </c>
      <c r="K750">
        <v>6.968343340853742E-3</v>
      </c>
      <c r="L750" t="s">
        <v>158</v>
      </c>
      <c r="N750" t="s">
        <v>355</v>
      </c>
      <c r="O750" t="s">
        <v>463</v>
      </c>
      <c r="P750">
        <v>9.6788163840512545E-2</v>
      </c>
      <c r="Q750" t="s">
        <v>158</v>
      </c>
    </row>
    <row r="751" spans="9:17" x14ac:dyDescent="0.45">
      <c r="I751" t="s">
        <v>219</v>
      </c>
      <c r="J751" t="s">
        <v>464</v>
      </c>
      <c r="K751">
        <v>2.1492877956846259E-2</v>
      </c>
      <c r="L751" t="s">
        <v>158</v>
      </c>
      <c r="N751" t="s">
        <v>355</v>
      </c>
      <c r="O751" t="s">
        <v>464</v>
      </c>
      <c r="P751">
        <v>1.8961807063682303E-2</v>
      </c>
      <c r="Q751" t="s">
        <v>158</v>
      </c>
    </row>
    <row r="752" spans="9:17" x14ac:dyDescent="0.45">
      <c r="I752" t="s">
        <v>219</v>
      </c>
      <c r="J752" t="s">
        <v>465</v>
      </c>
      <c r="K752">
        <v>0.20612267734136533</v>
      </c>
      <c r="L752" t="s">
        <v>158</v>
      </c>
      <c r="N752" t="s">
        <v>355</v>
      </c>
      <c r="O752" t="s">
        <v>465</v>
      </c>
      <c r="P752">
        <v>0.12841521427150052</v>
      </c>
      <c r="Q752" t="s">
        <v>158</v>
      </c>
    </row>
    <row r="753" spans="9:17" x14ac:dyDescent="0.45">
      <c r="I753" t="s">
        <v>219</v>
      </c>
      <c r="J753" t="s">
        <v>466</v>
      </c>
      <c r="K753">
        <v>0</v>
      </c>
      <c r="L753" t="s">
        <v>158</v>
      </c>
      <c r="N753" t="s">
        <v>355</v>
      </c>
      <c r="O753" t="s">
        <v>466</v>
      </c>
      <c r="P753">
        <v>0.13569065215990248</v>
      </c>
      <c r="Q753" t="s">
        <v>158</v>
      </c>
    </row>
    <row r="754" spans="9:17" x14ac:dyDescent="0.45">
      <c r="I754" t="s">
        <v>219</v>
      </c>
      <c r="J754" t="s">
        <v>467</v>
      </c>
      <c r="K754">
        <v>2.1354933735806482E-3</v>
      </c>
      <c r="L754" t="s">
        <v>158</v>
      </c>
      <c r="N754" t="s">
        <v>355</v>
      </c>
      <c r="O754" t="s">
        <v>467</v>
      </c>
      <c r="P754">
        <v>2.4951790362675176E-2</v>
      </c>
      <c r="Q754" t="s">
        <v>158</v>
      </c>
    </row>
    <row r="755" spans="9:17" x14ac:dyDescent="0.45">
      <c r="I755" t="s">
        <v>220</v>
      </c>
      <c r="J755" t="s">
        <v>456</v>
      </c>
      <c r="K755">
        <v>0.20348015523875113</v>
      </c>
      <c r="L755" t="s">
        <v>158</v>
      </c>
      <c r="N755" t="s">
        <v>356</v>
      </c>
      <c r="O755" t="s">
        <v>456</v>
      </c>
      <c r="P755">
        <v>8.3584795789430705E-2</v>
      </c>
      <c r="Q755" t="s">
        <v>158</v>
      </c>
    </row>
    <row r="756" spans="9:17" x14ac:dyDescent="0.45">
      <c r="I756" t="s">
        <v>220</v>
      </c>
      <c r="J756" t="s">
        <v>457</v>
      </c>
      <c r="K756">
        <v>0</v>
      </c>
      <c r="L756" t="s">
        <v>158</v>
      </c>
      <c r="N756" t="s">
        <v>356</v>
      </c>
      <c r="O756" t="s">
        <v>457</v>
      </c>
      <c r="P756">
        <v>7.6597649493258438E-2</v>
      </c>
      <c r="Q756" t="s">
        <v>158</v>
      </c>
    </row>
    <row r="757" spans="9:17" x14ac:dyDescent="0.45">
      <c r="I757" t="s">
        <v>220</v>
      </c>
      <c r="J757" t="s">
        <v>458</v>
      </c>
      <c r="K757">
        <v>6.8686725114310513E-3</v>
      </c>
      <c r="L757" t="s">
        <v>158</v>
      </c>
      <c r="N757" t="s">
        <v>356</v>
      </c>
      <c r="O757" t="s">
        <v>458</v>
      </c>
      <c r="P757">
        <v>1.4837025298324532E-2</v>
      </c>
      <c r="Q757" t="s">
        <v>158</v>
      </c>
    </row>
    <row r="758" spans="9:17" x14ac:dyDescent="0.45">
      <c r="I758" t="s">
        <v>220</v>
      </c>
      <c r="J758" t="s">
        <v>459</v>
      </c>
      <c r="K758">
        <v>0.29944284076067096</v>
      </c>
      <c r="L758" t="s">
        <v>158</v>
      </c>
      <c r="N758" t="s">
        <v>356</v>
      </c>
      <c r="O758" t="s">
        <v>459</v>
      </c>
      <c r="P758">
        <v>0.13875742395139831</v>
      </c>
      <c r="Q758" t="s">
        <v>158</v>
      </c>
    </row>
    <row r="759" spans="9:17" x14ac:dyDescent="0.45">
      <c r="I759" t="s">
        <v>220</v>
      </c>
      <c r="J759" t="s">
        <v>460</v>
      </c>
      <c r="K759">
        <v>3.5809734353177084E-3</v>
      </c>
      <c r="L759" t="s">
        <v>158</v>
      </c>
      <c r="N759" t="s">
        <v>356</v>
      </c>
      <c r="O759" t="s">
        <v>460</v>
      </c>
      <c r="P759">
        <v>0.13823204173669812</v>
      </c>
      <c r="Q759" t="s">
        <v>158</v>
      </c>
    </row>
    <row r="760" spans="9:17" x14ac:dyDescent="0.45">
      <c r="I760" t="s">
        <v>220</v>
      </c>
      <c r="J760" t="s">
        <v>461</v>
      </c>
      <c r="K760">
        <v>2.1709328303695475E-2</v>
      </c>
      <c r="L760" t="s">
        <v>158</v>
      </c>
      <c r="N760" t="s">
        <v>356</v>
      </c>
      <c r="O760" t="s">
        <v>461</v>
      </c>
      <c r="P760">
        <v>2.7889129443871664E-2</v>
      </c>
      <c r="Q760" t="s">
        <v>158</v>
      </c>
    </row>
    <row r="761" spans="9:17" x14ac:dyDescent="0.45">
      <c r="I761" t="s">
        <v>220</v>
      </c>
      <c r="J761" t="s">
        <v>462</v>
      </c>
      <c r="K761">
        <v>0.23403010617764422</v>
      </c>
      <c r="L761" t="s">
        <v>158</v>
      </c>
      <c r="N761" t="s">
        <v>356</v>
      </c>
      <c r="O761" t="s">
        <v>462</v>
      </c>
      <c r="P761">
        <v>0.13529309766202935</v>
      </c>
      <c r="Q761" t="s">
        <v>158</v>
      </c>
    </row>
    <row r="762" spans="9:17" x14ac:dyDescent="0.45">
      <c r="I762" t="s">
        <v>220</v>
      </c>
      <c r="J762" t="s">
        <v>463</v>
      </c>
      <c r="K762">
        <v>8.0009559725301681E-3</v>
      </c>
      <c r="L762" t="s">
        <v>158</v>
      </c>
      <c r="N762" t="s">
        <v>356</v>
      </c>
      <c r="O762" t="s">
        <v>463</v>
      </c>
      <c r="P762">
        <v>0.12006235568860957</v>
      </c>
      <c r="Q762" t="s">
        <v>158</v>
      </c>
    </row>
    <row r="763" spans="9:17" x14ac:dyDescent="0.45">
      <c r="I763" t="s">
        <v>220</v>
      </c>
      <c r="J763" t="s">
        <v>464</v>
      </c>
      <c r="K763">
        <v>2.3779688057613352E-2</v>
      </c>
      <c r="L763" t="s">
        <v>158</v>
      </c>
      <c r="N763" t="s">
        <v>356</v>
      </c>
      <c r="O763" t="s">
        <v>464</v>
      </c>
      <c r="P763">
        <v>2.0094884458325652E-2</v>
      </c>
      <c r="Q763" t="s">
        <v>158</v>
      </c>
    </row>
    <row r="764" spans="9:17" x14ac:dyDescent="0.45">
      <c r="I764" t="s">
        <v>220</v>
      </c>
      <c r="J764" t="s">
        <v>465</v>
      </c>
      <c r="K764">
        <v>0.19656599903046185</v>
      </c>
      <c r="L764" t="s">
        <v>158</v>
      </c>
      <c r="N764" t="s">
        <v>356</v>
      </c>
      <c r="O764" t="s">
        <v>465</v>
      </c>
      <c r="P764">
        <v>0.11038938844013572</v>
      </c>
      <c r="Q764" t="s">
        <v>158</v>
      </c>
    </row>
    <row r="765" spans="9:17" x14ac:dyDescent="0.45">
      <c r="I765" t="s">
        <v>220</v>
      </c>
      <c r="J765" t="s">
        <v>466</v>
      </c>
      <c r="K765">
        <v>0</v>
      </c>
      <c r="L765" t="s">
        <v>158</v>
      </c>
      <c r="N765" t="s">
        <v>356</v>
      </c>
      <c r="O765" t="s">
        <v>466</v>
      </c>
      <c r="P765">
        <v>0.11296124175995159</v>
      </c>
      <c r="Q765" t="s">
        <v>158</v>
      </c>
    </row>
    <row r="766" spans="9:17" x14ac:dyDescent="0.45">
      <c r="I766" t="s">
        <v>220</v>
      </c>
      <c r="J766" t="s">
        <v>467</v>
      </c>
      <c r="K766">
        <v>2.5412805118835043E-3</v>
      </c>
      <c r="L766" t="s">
        <v>158</v>
      </c>
      <c r="N766" t="s">
        <v>356</v>
      </c>
      <c r="O766" t="s">
        <v>467</v>
      </c>
      <c r="P766">
        <v>2.1300966277965894E-2</v>
      </c>
      <c r="Q766" t="s">
        <v>158</v>
      </c>
    </row>
    <row r="767" spans="9:17" x14ac:dyDescent="0.45">
      <c r="I767" t="s">
        <v>221</v>
      </c>
      <c r="J767" t="s">
        <v>456</v>
      </c>
      <c r="K767">
        <v>0.19939124027513028</v>
      </c>
      <c r="L767" t="s">
        <v>158</v>
      </c>
      <c r="N767" t="s">
        <v>357</v>
      </c>
      <c r="O767" t="s">
        <v>456</v>
      </c>
      <c r="P767">
        <v>0.1085325745960237</v>
      </c>
      <c r="Q767" t="s">
        <v>158</v>
      </c>
    </row>
    <row r="768" spans="9:17" x14ac:dyDescent="0.45">
      <c r="I768" t="s">
        <v>221</v>
      </c>
      <c r="J768" t="s">
        <v>457</v>
      </c>
      <c r="K768">
        <v>0</v>
      </c>
      <c r="L768" t="s">
        <v>158</v>
      </c>
      <c r="N768" t="s">
        <v>357</v>
      </c>
      <c r="O768" t="s">
        <v>457</v>
      </c>
      <c r="P768">
        <v>0.11460637250382058</v>
      </c>
      <c r="Q768" t="s">
        <v>158</v>
      </c>
    </row>
    <row r="769" spans="9:17" x14ac:dyDescent="0.45">
      <c r="I769" t="s">
        <v>221</v>
      </c>
      <c r="J769" t="s">
        <v>458</v>
      </c>
      <c r="K769">
        <v>7.1819550036812405E-3</v>
      </c>
      <c r="L769" t="s">
        <v>158</v>
      </c>
      <c r="N769" t="s">
        <v>357</v>
      </c>
      <c r="O769" t="s">
        <v>458</v>
      </c>
      <c r="P769">
        <v>1.707526697737748E-2</v>
      </c>
      <c r="Q769" t="s">
        <v>158</v>
      </c>
    </row>
    <row r="770" spans="9:17" x14ac:dyDescent="0.45">
      <c r="I770" t="s">
        <v>221</v>
      </c>
      <c r="J770" t="s">
        <v>459</v>
      </c>
      <c r="K770">
        <v>0.30875265305235799</v>
      </c>
      <c r="L770" t="s">
        <v>158</v>
      </c>
      <c r="N770" t="s">
        <v>357</v>
      </c>
      <c r="O770" t="s">
        <v>459</v>
      </c>
      <c r="P770">
        <v>0.13277856402860574</v>
      </c>
      <c r="Q770" t="s">
        <v>158</v>
      </c>
    </row>
    <row r="771" spans="9:17" x14ac:dyDescent="0.45">
      <c r="I771" t="s">
        <v>221</v>
      </c>
      <c r="J771" t="s">
        <v>460</v>
      </c>
      <c r="K771">
        <v>3.252768243131116E-3</v>
      </c>
      <c r="L771" t="s">
        <v>158</v>
      </c>
      <c r="N771" t="s">
        <v>357</v>
      </c>
      <c r="O771" t="s">
        <v>460</v>
      </c>
      <c r="P771">
        <v>0.12804577252482724</v>
      </c>
      <c r="Q771" t="s">
        <v>158</v>
      </c>
    </row>
    <row r="772" spans="9:17" x14ac:dyDescent="0.45">
      <c r="I772" t="s">
        <v>221</v>
      </c>
      <c r="J772" t="s">
        <v>461</v>
      </c>
      <c r="K772">
        <v>2.3394617088633454E-2</v>
      </c>
      <c r="L772" t="s">
        <v>158</v>
      </c>
      <c r="N772" t="s">
        <v>357</v>
      </c>
      <c r="O772" t="s">
        <v>461</v>
      </c>
      <c r="P772">
        <v>2.3186178392814737E-2</v>
      </c>
      <c r="Q772" t="s">
        <v>158</v>
      </c>
    </row>
    <row r="773" spans="9:17" x14ac:dyDescent="0.45">
      <c r="I773" t="s">
        <v>221</v>
      </c>
      <c r="J773" t="s">
        <v>462</v>
      </c>
      <c r="K773">
        <v>0.22545017786783639</v>
      </c>
      <c r="L773" t="s">
        <v>158</v>
      </c>
      <c r="N773" t="s">
        <v>357</v>
      </c>
      <c r="O773" t="s">
        <v>462</v>
      </c>
      <c r="P773">
        <v>0.10335533607581053</v>
      </c>
      <c r="Q773" t="s">
        <v>158</v>
      </c>
    </row>
    <row r="774" spans="9:17" x14ac:dyDescent="0.45">
      <c r="I774" t="s">
        <v>221</v>
      </c>
      <c r="J774" t="s">
        <v>463</v>
      </c>
      <c r="K774">
        <v>6.5097253863058606E-3</v>
      </c>
      <c r="L774" t="s">
        <v>158</v>
      </c>
      <c r="N774" t="s">
        <v>357</v>
      </c>
      <c r="O774" t="s">
        <v>463</v>
      </c>
      <c r="P774">
        <v>0.10270918287494442</v>
      </c>
      <c r="Q774" t="s">
        <v>158</v>
      </c>
    </row>
    <row r="775" spans="9:17" x14ac:dyDescent="0.45">
      <c r="I775" t="s">
        <v>221</v>
      </c>
      <c r="J775" t="s">
        <v>464</v>
      </c>
      <c r="K775">
        <v>2.267017819525978E-2</v>
      </c>
      <c r="L775" t="s">
        <v>158</v>
      </c>
      <c r="N775" t="s">
        <v>357</v>
      </c>
      <c r="O775" t="s">
        <v>464</v>
      </c>
      <c r="P775">
        <v>1.6343708686392386E-2</v>
      </c>
      <c r="Q775" t="s">
        <v>158</v>
      </c>
    </row>
    <row r="776" spans="9:17" x14ac:dyDescent="0.45">
      <c r="I776" t="s">
        <v>221</v>
      </c>
      <c r="J776" t="s">
        <v>465</v>
      </c>
      <c r="K776">
        <v>0.20009785962922969</v>
      </c>
      <c r="L776" t="s">
        <v>158</v>
      </c>
      <c r="N776" t="s">
        <v>357</v>
      </c>
      <c r="O776" t="s">
        <v>465</v>
      </c>
      <c r="P776">
        <v>0.11811960446954267</v>
      </c>
      <c r="Q776" t="s">
        <v>158</v>
      </c>
    </row>
    <row r="777" spans="9:17" x14ac:dyDescent="0.45">
      <c r="I777" t="s">
        <v>221</v>
      </c>
      <c r="J777" t="s">
        <v>466</v>
      </c>
      <c r="K777">
        <v>0</v>
      </c>
      <c r="L777" t="s">
        <v>158</v>
      </c>
      <c r="N777" t="s">
        <v>357</v>
      </c>
      <c r="O777" t="s">
        <v>466</v>
      </c>
      <c r="P777">
        <v>0.11651155426888671</v>
      </c>
      <c r="Q777" t="s">
        <v>158</v>
      </c>
    </row>
    <row r="778" spans="9:17" x14ac:dyDescent="0.45">
      <c r="I778" t="s">
        <v>221</v>
      </c>
      <c r="J778" t="s">
        <v>467</v>
      </c>
      <c r="K778">
        <v>3.2988252584340793E-3</v>
      </c>
      <c r="L778" t="s">
        <v>158</v>
      </c>
      <c r="N778" t="s">
        <v>357</v>
      </c>
      <c r="O778" t="s">
        <v>467</v>
      </c>
      <c r="P778">
        <v>1.8735884600952633E-2</v>
      </c>
      <c r="Q778" t="s">
        <v>158</v>
      </c>
    </row>
    <row r="779" spans="9:17" x14ac:dyDescent="0.45">
      <c r="I779" t="s">
        <v>222</v>
      </c>
      <c r="J779" t="s">
        <v>456</v>
      </c>
      <c r="K779">
        <v>0.21186985103789541</v>
      </c>
      <c r="L779" t="s">
        <v>158</v>
      </c>
      <c r="N779" t="s">
        <v>358</v>
      </c>
      <c r="O779" t="s">
        <v>456</v>
      </c>
      <c r="P779">
        <v>0.10242096039870072</v>
      </c>
      <c r="Q779" t="s">
        <v>158</v>
      </c>
    </row>
    <row r="780" spans="9:17" x14ac:dyDescent="0.45">
      <c r="I780" t="s">
        <v>222</v>
      </c>
      <c r="J780" t="s">
        <v>457</v>
      </c>
      <c r="K780">
        <v>0</v>
      </c>
      <c r="L780" t="s">
        <v>158</v>
      </c>
      <c r="N780" t="s">
        <v>358</v>
      </c>
      <c r="O780" t="s">
        <v>457</v>
      </c>
      <c r="P780">
        <v>0.10835184767432256</v>
      </c>
      <c r="Q780" t="s">
        <v>158</v>
      </c>
    </row>
    <row r="781" spans="9:17" x14ac:dyDescent="0.45">
      <c r="I781" t="s">
        <v>222</v>
      </c>
      <c r="J781" t="s">
        <v>458</v>
      </c>
      <c r="K781">
        <v>6.3500463498816755E-3</v>
      </c>
      <c r="L781" t="s">
        <v>158</v>
      </c>
      <c r="N781" t="s">
        <v>358</v>
      </c>
      <c r="O781" t="s">
        <v>458</v>
      </c>
      <c r="P781">
        <v>1.7112648529836127E-2</v>
      </c>
      <c r="Q781" t="s">
        <v>158</v>
      </c>
    </row>
    <row r="782" spans="9:17" x14ac:dyDescent="0.45">
      <c r="I782" t="s">
        <v>222</v>
      </c>
      <c r="J782" t="s">
        <v>459</v>
      </c>
      <c r="K782">
        <v>0.29678390283926354</v>
      </c>
      <c r="L782" t="s">
        <v>158</v>
      </c>
      <c r="N782" t="s">
        <v>358</v>
      </c>
      <c r="O782" t="s">
        <v>459</v>
      </c>
      <c r="P782">
        <v>0.12526378892842194</v>
      </c>
      <c r="Q782" t="s">
        <v>158</v>
      </c>
    </row>
    <row r="783" spans="9:17" x14ac:dyDescent="0.45">
      <c r="I783" t="s">
        <v>222</v>
      </c>
      <c r="J783" t="s">
        <v>460</v>
      </c>
      <c r="K783">
        <v>2.7426878428543572E-3</v>
      </c>
      <c r="L783" t="s">
        <v>158</v>
      </c>
      <c r="N783" t="s">
        <v>358</v>
      </c>
      <c r="O783" t="s">
        <v>460</v>
      </c>
      <c r="P783">
        <v>0.13147588545594821</v>
      </c>
      <c r="Q783" t="s">
        <v>158</v>
      </c>
    </row>
    <row r="784" spans="9:17" x14ac:dyDescent="0.45">
      <c r="I784" t="s">
        <v>222</v>
      </c>
      <c r="J784" t="s">
        <v>461</v>
      </c>
      <c r="K784">
        <v>2.1435669356039046E-2</v>
      </c>
      <c r="L784" t="s">
        <v>158</v>
      </c>
      <c r="N784" t="s">
        <v>358</v>
      </c>
      <c r="O784" t="s">
        <v>461</v>
      </c>
      <c r="P784">
        <v>2.224554113038819E-2</v>
      </c>
      <c r="Q784" t="s">
        <v>158</v>
      </c>
    </row>
    <row r="785" spans="9:17" x14ac:dyDescent="0.45">
      <c r="I785" t="s">
        <v>222</v>
      </c>
      <c r="J785" t="s">
        <v>462</v>
      </c>
      <c r="K785">
        <v>0.22544598416561681</v>
      </c>
      <c r="L785" t="s">
        <v>158</v>
      </c>
      <c r="N785" t="s">
        <v>358</v>
      </c>
      <c r="O785" t="s">
        <v>462</v>
      </c>
      <c r="P785">
        <v>0.10048378250812523</v>
      </c>
      <c r="Q785" t="s">
        <v>158</v>
      </c>
    </row>
    <row r="786" spans="9:17" x14ac:dyDescent="0.45">
      <c r="I786" t="s">
        <v>222</v>
      </c>
      <c r="J786" t="s">
        <v>463</v>
      </c>
      <c r="K786">
        <v>5.4463118476044065E-3</v>
      </c>
      <c r="L786" t="s">
        <v>158</v>
      </c>
      <c r="N786" t="s">
        <v>358</v>
      </c>
      <c r="O786" t="s">
        <v>463</v>
      </c>
      <c r="P786">
        <v>9.9750226656215538E-2</v>
      </c>
      <c r="Q786" t="s">
        <v>158</v>
      </c>
    </row>
    <row r="787" spans="9:17" x14ac:dyDescent="0.45">
      <c r="I787" t="s">
        <v>222</v>
      </c>
      <c r="J787" t="s">
        <v>464</v>
      </c>
      <c r="K787">
        <v>2.063142438634067E-2</v>
      </c>
      <c r="L787" t="s">
        <v>158</v>
      </c>
      <c r="N787" t="s">
        <v>358</v>
      </c>
      <c r="O787" t="s">
        <v>464</v>
      </c>
      <c r="P787">
        <v>1.5778379858513873E-2</v>
      </c>
      <c r="Q787" t="s">
        <v>158</v>
      </c>
    </row>
    <row r="788" spans="9:17" x14ac:dyDescent="0.45">
      <c r="I788" t="s">
        <v>222</v>
      </c>
      <c r="J788" t="s">
        <v>465</v>
      </c>
      <c r="K788">
        <v>0.20667023168608362</v>
      </c>
      <c r="L788" t="s">
        <v>158</v>
      </c>
      <c r="N788" t="s">
        <v>358</v>
      </c>
      <c r="O788" t="s">
        <v>465</v>
      </c>
      <c r="P788">
        <v>0.12747494363119402</v>
      </c>
      <c r="Q788" t="s">
        <v>158</v>
      </c>
    </row>
    <row r="789" spans="9:17" x14ac:dyDescent="0.45">
      <c r="I789" t="s">
        <v>222</v>
      </c>
      <c r="J789" t="s">
        <v>466</v>
      </c>
      <c r="K789">
        <v>0</v>
      </c>
      <c r="L789" t="s">
        <v>158</v>
      </c>
      <c r="N789" t="s">
        <v>358</v>
      </c>
      <c r="O789" t="s">
        <v>466</v>
      </c>
      <c r="P789">
        <v>0.12964914378396167</v>
      </c>
      <c r="Q789" t="s">
        <v>158</v>
      </c>
    </row>
    <row r="790" spans="9:17" x14ac:dyDescent="0.45">
      <c r="I790" t="s">
        <v>222</v>
      </c>
      <c r="J790" t="s">
        <v>467</v>
      </c>
      <c r="K790">
        <v>2.6238904884218809E-3</v>
      </c>
      <c r="L790" t="s">
        <v>158</v>
      </c>
      <c r="N790" t="s">
        <v>358</v>
      </c>
      <c r="O790" t="s">
        <v>467</v>
      </c>
      <c r="P790">
        <v>1.99928514443737E-2</v>
      </c>
      <c r="Q790" t="s">
        <v>158</v>
      </c>
    </row>
    <row r="791" spans="9:17" x14ac:dyDescent="0.45">
      <c r="I791" t="s">
        <v>223</v>
      </c>
      <c r="J791" t="s">
        <v>456</v>
      </c>
      <c r="K791">
        <v>0.20328579248472242</v>
      </c>
      <c r="L791" t="s">
        <v>158</v>
      </c>
      <c r="N791" t="s">
        <v>359</v>
      </c>
      <c r="O791" t="s">
        <v>456</v>
      </c>
      <c r="P791">
        <v>8.4846850132534304E-2</v>
      </c>
      <c r="Q791" t="s">
        <v>158</v>
      </c>
    </row>
    <row r="792" spans="9:17" x14ac:dyDescent="0.45">
      <c r="I792" t="s">
        <v>223</v>
      </c>
      <c r="J792" t="s">
        <v>457</v>
      </c>
      <c r="K792">
        <v>0</v>
      </c>
      <c r="L792" t="s">
        <v>158</v>
      </c>
      <c r="N792" t="s">
        <v>359</v>
      </c>
      <c r="O792" t="s">
        <v>457</v>
      </c>
      <c r="P792">
        <v>8.0128608249378161E-2</v>
      </c>
      <c r="Q792" t="s">
        <v>158</v>
      </c>
    </row>
    <row r="793" spans="9:17" x14ac:dyDescent="0.45">
      <c r="I793" t="s">
        <v>223</v>
      </c>
      <c r="J793" t="s">
        <v>458</v>
      </c>
      <c r="K793">
        <v>9.8802916338645609E-3</v>
      </c>
      <c r="L793" t="s">
        <v>158</v>
      </c>
      <c r="N793" t="s">
        <v>359</v>
      </c>
      <c r="O793" t="s">
        <v>458</v>
      </c>
      <c r="P793">
        <v>1.488080596548237E-2</v>
      </c>
      <c r="Q793" t="s">
        <v>158</v>
      </c>
    </row>
    <row r="794" spans="9:17" x14ac:dyDescent="0.45">
      <c r="I794" t="s">
        <v>223</v>
      </c>
      <c r="J794" t="s">
        <v>459</v>
      </c>
      <c r="K794">
        <v>0.30124069216355831</v>
      </c>
      <c r="L794" t="s">
        <v>158</v>
      </c>
      <c r="N794" t="s">
        <v>359</v>
      </c>
      <c r="O794" t="s">
        <v>459</v>
      </c>
      <c r="P794">
        <v>0.12378107888146749</v>
      </c>
      <c r="Q794" t="s">
        <v>158</v>
      </c>
    </row>
    <row r="795" spans="9:17" x14ac:dyDescent="0.45">
      <c r="I795" t="s">
        <v>223</v>
      </c>
      <c r="J795" t="s">
        <v>460</v>
      </c>
      <c r="K795">
        <v>2.8815526876919432E-3</v>
      </c>
      <c r="L795" t="s">
        <v>158</v>
      </c>
      <c r="N795" t="s">
        <v>359</v>
      </c>
      <c r="O795" t="s">
        <v>460</v>
      </c>
      <c r="P795">
        <v>0.11787071145902087</v>
      </c>
      <c r="Q795" t="s">
        <v>158</v>
      </c>
    </row>
    <row r="796" spans="9:17" x14ac:dyDescent="0.45">
      <c r="I796" t="s">
        <v>223</v>
      </c>
      <c r="J796" t="s">
        <v>461</v>
      </c>
      <c r="K796">
        <v>2.6438293729893488E-2</v>
      </c>
      <c r="L796" t="s">
        <v>158</v>
      </c>
      <c r="N796" t="s">
        <v>359</v>
      </c>
      <c r="O796" t="s">
        <v>461</v>
      </c>
      <c r="P796">
        <v>2.1036251089126535E-2</v>
      </c>
      <c r="Q796" t="s">
        <v>158</v>
      </c>
    </row>
    <row r="797" spans="9:17" x14ac:dyDescent="0.45">
      <c r="I797" t="s">
        <v>223</v>
      </c>
      <c r="J797" t="s">
        <v>462</v>
      </c>
      <c r="K797">
        <v>0.22130911958852506</v>
      </c>
      <c r="L797" t="s">
        <v>158</v>
      </c>
      <c r="N797" t="s">
        <v>359</v>
      </c>
      <c r="O797" t="s">
        <v>462</v>
      </c>
      <c r="P797">
        <v>0.17585842916840189</v>
      </c>
      <c r="Q797" t="s">
        <v>158</v>
      </c>
    </row>
    <row r="798" spans="9:17" x14ac:dyDescent="0.45">
      <c r="I798" t="s">
        <v>223</v>
      </c>
      <c r="J798" t="s">
        <v>463</v>
      </c>
      <c r="K798">
        <v>6.6876664875169427E-3</v>
      </c>
      <c r="L798" t="s">
        <v>158</v>
      </c>
      <c r="N798" t="s">
        <v>359</v>
      </c>
      <c r="O798" t="s">
        <v>463</v>
      </c>
      <c r="P798">
        <v>0.15129651189793658</v>
      </c>
      <c r="Q798" t="s">
        <v>158</v>
      </c>
    </row>
    <row r="799" spans="9:17" x14ac:dyDescent="0.45">
      <c r="I799" t="s">
        <v>223</v>
      </c>
      <c r="J799" t="s">
        <v>464</v>
      </c>
      <c r="K799">
        <v>2.4867113340475172E-2</v>
      </c>
      <c r="L799" t="s">
        <v>158</v>
      </c>
      <c r="N799" t="s">
        <v>359</v>
      </c>
      <c r="O799" t="s">
        <v>464</v>
      </c>
      <c r="P799">
        <v>1.8931656631125445E-2</v>
      </c>
      <c r="Q799" t="s">
        <v>158</v>
      </c>
    </row>
    <row r="800" spans="9:17" x14ac:dyDescent="0.45">
      <c r="I800" t="s">
        <v>223</v>
      </c>
      <c r="J800" t="s">
        <v>465</v>
      </c>
      <c r="K800">
        <v>0.19887619614799409</v>
      </c>
      <c r="L800" t="s">
        <v>158</v>
      </c>
      <c r="N800" t="s">
        <v>359</v>
      </c>
      <c r="O800" t="s">
        <v>465</v>
      </c>
      <c r="P800">
        <v>9.2259171947638052E-2</v>
      </c>
      <c r="Q800" t="s">
        <v>158</v>
      </c>
    </row>
    <row r="801" spans="9:17" x14ac:dyDescent="0.45">
      <c r="I801" t="s">
        <v>223</v>
      </c>
      <c r="J801" t="s">
        <v>466</v>
      </c>
      <c r="K801">
        <v>0</v>
      </c>
      <c r="L801" t="s">
        <v>158</v>
      </c>
      <c r="N801" t="s">
        <v>359</v>
      </c>
      <c r="O801" t="s">
        <v>466</v>
      </c>
      <c r="P801">
        <v>0.10049168330747472</v>
      </c>
      <c r="Q801" t="s">
        <v>158</v>
      </c>
    </row>
    <row r="802" spans="9:17" x14ac:dyDescent="0.45">
      <c r="I802" t="s">
        <v>223</v>
      </c>
      <c r="J802" t="s">
        <v>467</v>
      </c>
      <c r="K802">
        <v>4.5332817357602662E-3</v>
      </c>
      <c r="L802" t="s">
        <v>158</v>
      </c>
      <c r="N802" t="s">
        <v>359</v>
      </c>
      <c r="O802" t="s">
        <v>467</v>
      </c>
      <c r="P802">
        <v>1.8618241270412939E-2</v>
      </c>
      <c r="Q802" t="s">
        <v>158</v>
      </c>
    </row>
    <row r="803" spans="9:17" x14ac:dyDescent="0.45">
      <c r="I803" t="s">
        <v>224</v>
      </c>
      <c r="J803" t="s">
        <v>456</v>
      </c>
      <c r="K803">
        <v>0.20406569582255982</v>
      </c>
      <c r="L803" t="s">
        <v>158</v>
      </c>
      <c r="N803" t="s">
        <v>360</v>
      </c>
      <c r="O803" t="s">
        <v>456</v>
      </c>
      <c r="P803">
        <v>7.4517393317069691E-2</v>
      </c>
      <c r="Q803" t="s">
        <v>158</v>
      </c>
    </row>
    <row r="804" spans="9:17" x14ac:dyDescent="0.45">
      <c r="I804" t="s">
        <v>224</v>
      </c>
      <c r="J804" t="s">
        <v>457</v>
      </c>
      <c r="K804">
        <v>0</v>
      </c>
      <c r="L804" t="s">
        <v>158</v>
      </c>
      <c r="N804" t="s">
        <v>360</v>
      </c>
      <c r="O804" t="s">
        <v>457</v>
      </c>
      <c r="P804">
        <v>6.8443302163613634E-2</v>
      </c>
      <c r="Q804" t="s">
        <v>158</v>
      </c>
    </row>
    <row r="805" spans="9:17" x14ac:dyDescent="0.45">
      <c r="I805" t="s">
        <v>224</v>
      </c>
      <c r="J805" t="s">
        <v>458</v>
      </c>
      <c r="K805">
        <v>8.3797422977212044E-3</v>
      </c>
      <c r="L805" t="s">
        <v>158</v>
      </c>
      <c r="N805" t="s">
        <v>360</v>
      </c>
      <c r="O805" t="s">
        <v>458</v>
      </c>
      <c r="P805">
        <v>1.4294098471415361E-2</v>
      </c>
      <c r="Q805" t="s">
        <v>158</v>
      </c>
    </row>
    <row r="806" spans="9:17" x14ac:dyDescent="0.45">
      <c r="I806" t="s">
        <v>224</v>
      </c>
      <c r="J806" t="s">
        <v>459</v>
      </c>
      <c r="K806">
        <v>0.3052752794482394</v>
      </c>
      <c r="L806" t="s">
        <v>158</v>
      </c>
      <c r="N806" t="s">
        <v>360</v>
      </c>
      <c r="O806" t="s">
        <v>459</v>
      </c>
      <c r="P806">
        <v>0.11264994695069785</v>
      </c>
      <c r="Q806" t="s">
        <v>158</v>
      </c>
    </row>
    <row r="807" spans="9:17" x14ac:dyDescent="0.45">
      <c r="I807" t="s">
        <v>224</v>
      </c>
      <c r="J807" t="s">
        <v>460</v>
      </c>
      <c r="K807">
        <v>2.593914638909337E-3</v>
      </c>
      <c r="L807" t="s">
        <v>158</v>
      </c>
      <c r="N807" t="s">
        <v>360</v>
      </c>
      <c r="O807" t="s">
        <v>460</v>
      </c>
      <c r="P807">
        <v>0.10975127657290865</v>
      </c>
      <c r="Q807" t="s">
        <v>158</v>
      </c>
    </row>
    <row r="808" spans="9:17" x14ac:dyDescent="0.45">
      <c r="I808" t="s">
        <v>224</v>
      </c>
      <c r="J808" t="s">
        <v>461</v>
      </c>
      <c r="K808">
        <v>2.5449748830212105E-2</v>
      </c>
      <c r="L808" t="s">
        <v>158</v>
      </c>
      <c r="N808" t="s">
        <v>360</v>
      </c>
      <c r="O808" t="s">
        <v>461</v>
      </c>
      <c r="P808">
        <v>2.146110164562114E-2</v>
      </c>
      <c r="Q808" t="s">
        <v>158</v>
      </c>
    </row>
    <row r="809" spans="9:17" x14ac:dyDescent="0.45">
      <c r="I809" t="s">
        <v>224</v>
      </c>
      <c r="J809" t="s">
        <v>462</v>
      </c>
      <c r="K809">
        <v>0.21996599226462316</v>
      </c>
      <c r="L809" t="s">
        <v>158</v>
      </c>
      <c r="N809" t="s">
        <v>360</v>
      </c>
      <c r="O809" t="s">
        <v>462</v>
      </c>
      <c r="P809">
        <v>0.22779323626658166</v>
      </c>
      <c r="Q809" t="s">
        <v>158</v>
      </c>
    </row>
    <row r="810" spans="9:17" x14ac:dyDescent="0.45">
      <c r="I810" t="s">
        <v>224</v>
      </c>
      <c r="J810" t="s">
        <v>463</v>
      </c>
      <c r="K810">
        <v>5.389643266046077E-3</v>
      </c>
      <c r="L810" t="s">
        <v>158</v>
      </c>
      <c r="N810" t="s">
        <v>360</v>
      </c>
      <c r="O810" t="s">
        <v>463</v>
      </c>
      <c r="P810">
        <v>0.19380801360531566</v>
      </c>
      <c r="Q810" t="s">
        <v>158</v>
      </c>
    </row>
    <row r="811" spans="9:17" x14ac:dyDescent="0.45">
      <c r="I811" t="s">
        <v>224</v>
      </c>
      <c r="J811" t="s">
        <v>464</v>
      </c>
      <c r="K811">
        <v>2.3096888248619062E-2</v>
      </c>
      <c r="L811" t="s">
        <v>158</v>
      </c>
      <c r="N811" t="s">
        <v>360</v>
      </c>
      <c r="O811" t="s">
        <v>464</v>
      </c>
      <c r="P811">
        <v>2.5893397962491366E-2</v>
      </c>
      <c r="Q811" t="s">
        <v>158</v>
      </c>
    </row>
    <row r="812" spans="9:17" x14ac:dyDescent="0.45">
      <c r="I812" t="s">
        <v>224</v>
      </c>
      <c r="J812" t="s">
        <v>465</v>
      </c>
      <c r="K812">
        <v>0.20205787862812458</v>
      </c>
      <c r="L812" t="s">
        <v>158</v>
      </c>
      <c r="N812" t="s">
        <v>360</v>
      </c>
      <c r="O812" t="s">
        <v>465</v>
      </c>
      <c r="P812">
        <v>6.7637652745350468E-2</v>
      </c>
      <c r="Q812" t="s">
        <v>158</v>
      </c>
    </row>
    <row r="813" spans="9:17" x14ac:dyDescent="0.45">
      <c r="I813" t="s">
        <v>224</v>
      </c>
      <c r="J813" t="s">
        <v>466</v>
      </c>
      <c r="K813">
        <v>0</v>
      </c>
      <c r="L813" t="s">
        <v>158</v>
      </c>
      <c r="N813" t="s">
        <v>360</v>
      </c>
      <c r="O813" t="s">
        <v>466</v>
      </c>
      <c r="P813">
        <v>6.7766114191075894E-2</v>
      </c>
      <c r="Q813" t="s">
        <v>158</v>
      </c>
    </row>
    <row r="814" spans="9:17" x14ac:dyDescent="0.45">
      <c r="I814" t="s">
        <v>224</v>
      </c>
      <c r="J814" t="s">
        <v>467</v>
      </c>
      <c r="K814">
        <v>3.7252165549470644E-3</v>
      </c>
      <c r="L814" t="s">
        <v>158</v>
      </c>
      <c r="N814" t="s">
        <v>360</v>
      </c>
      <c r="O814" t="s">
        <v>467</v>
      </c>
      <c r="P814">
        <v>1.5984466107862545E-2</v>
      </c>
      <c r="Q814" t="s">
        <v>158</v>
      </c>
    </row>
    <row r="815" spans="9:17" x14ac:dyDescent="0.45">
      <c r="I815" t="s">
        <v>225</v>
      </c>
      <c r="J815" t="s">
        <v>456</v>
      </c>
      <c r="K815">
        <v>0.19297449411200515</v>
      </c>
      <c r="L815" t="s">
        <v>158</v>
      </c>
      <c r="N815" t="s">
        <v>361</v>
      </c>
      <c r="O815" t="s">
        <v>456</v>
      </c>
      <c r="P815">
        <v>5.4450288843310372E-2</v>
      </c>
      <c r="Q815" t="s">
        <v>158</v>
      </c>
    </row>
    <row r="816" spans="9:17" x14ac:dyDescent="0.45">
      <c r="I816" t="s">
        <v>225</v>
      </c>
      <c r="J816" t="s">
        <v>457</v>
      </c>
      <c r="K816">
        <v>4.2975983993311947E-4</v>
      </c>
      <c r="L816" t="s">
        <v>158</v>
      </c>
      <c r="N816" t="s">
        <v>361</v>
      </c>
      <c r="O816" t="s">
        <v>457</v>
      </c>
      <c r="P816">
        <v>3.7676446024092647E-2</v>
      </c>
      <c r="Q816" t="s">
        <v>158</v>
      </c>
    </row>
    <row r="817" spans="9:17" x14ac:dyDescent="0.45">
      <c r="I817" t="s">
        <v>225</v>
      </c>
      <c r="J817" t="s">
        <v>458</v>
      </c>
      <c r="K817">
        <v>1.2634292512699152E-2</v>
      </c>
      <c r="L817" t="s">
        <v>158</v>
      </c>
      <c r="N817" t="s">
        <v>361</v>
      </c>
      <c r="O817" t="s">
        <v>458</v>
      </c>
      <c r="P817">
        <v>1.4001406729012872E-2</v>
      </c>
      <c r="Q817" t="s">
        <v>158</v>
      </c>
    </row>
    <row r="818" spans="9:17" x14ac:dyDescent="0.45">
      <c r="I818" t="s">
        <v>225</v>
      </c>
      <c r="J818" t="s">
        <v>459</v>
      </c>
      <c r="K818">
        <v>0.28866029049908215</v>
      </c>
      <c r="L818" t="s">
        <v>158</v>
      </c>
      <c r="N818" t="s">
        <v>361</v>
      </c>
      <c r="O818" t="s">
        <v>459</v>
      </c>
      <c r="P818">
        <v>0.24633840356781112</v>
      </c>
      <c r="Q818" t="s">
        <v>158</v>
      </c>
    </row>
    <row r="819" spans="9:17" x14ac:dyDescent="0.45">
      <c r="I819" t="s">
        <v>225</v>
      </c>
      <c r="J819" t="s">
        <v>460</v>
      </c>
      <c r="K819">
        <v>5.1237454687363213E-3</v>
      </c>
      <c r="L819" t="s">
        <v>158</v>
      </c>
      <c r="N819" t="s">
        <v>361</v>
      </c>
      <c r="O819" t="s">
        <v>460</v>
      </c>
      <c r="P819">
        <v>0.13812946369901255</v>
      </c>
      <c r="Q819" t="s">
        <v>158</v>
      </c>
    </row>
    <row r="820" spans="9:17" x14ac:dyDescent="0.45">
      <c r="I820" t="s">
        <v>225</v>
      </c>
      <c r="J820" t="s">
        <v>461</v>
      </c>
      <c r="K820">
        <v>3.6326755573251823E-2</v>
      </c>
      <c r="L820" t="s">
        <v>158</v>
      </c>
      <c r="N820" t="s">
        <v>361</v>
      </c>
      <c r="O820" t="s">
        <v>461</v>
      </c>
      <c r="P820">
        <v>6.0385423972650273E-2</v>
      </c>
      <c r="Q820" t="s">
        <v>158</v>
      </c>
    </row>
    <row r="821" spans="9:17" x14ac:dyDescent="0.45">
      <c r="I821" t="s">
        <v>225</v>
      </c>
      <c r="J821" t="s">
        <v>462</v>
      </c>
      <c r="K821">
        <v>0.23141351957001832</v>
      </c>
      <c r="L821" t="s">
        <v>158</v>
      </c>
      <c r="N821" t="s">
        <v>361</v>
      </c>
      <c r="O821" t="s">
        <v>462</v>
      </c>
      <c r="P821">
        <v>5.6566462162744073E-2</v>
      </c>
      <c r="Q821" t="s">
        <v>158</v>
      </c>
    </row>
    <row r="822" spans="9:17" x14ac:dyDescent="0.45">
      <c r="I822" t="s">
        <v>225</v>
      </c>
      <c r="J822" t="s">
        <v>463</v>
      </c>
      <c r="K822">
        <v>1.1463437695087253E-2</v>
      </c>
      <c r="L822" t="s">
        <v>158</v>
      </c>
      <c r="N822" t="s">
        <v>361</v>
      </c>
      <c r="O822" t="s">
        <v>463</v>
      </c>
      <c r="P822">
        <v>4.1741060564254133E-2</v>
      </c>
      <c r="Q822" t="s">
        <v>158</v>
      </c>
    </row>
    <row r="823" spans="9:17" x14ac:dyDescent="0.45">
      <c r="I823" t="s">
        <v>225</v>
      </c>
      <c r="J823" t="s">
        <v>464</v>
      </c>
      <c r="K823">
        <v>3.1972590435571338E-2</v>
      </c>
      <c r="L823" t="s">
        <v>158</v>
      </c>
      <c r="N823" t="s">
        <v>361</v>
      </c>
      <c r="O823" t="s">
        <v>464</v>
      </c>
      <c r="P823">
        <v>9.3859532353545039E-3</v>
      </c>
      <c r="Q823" t="s">
        <v>158</v>
      </c>
    </row>
    <row r="824" spans="9:17" x14ac:dyDescent="0.45">
      <c r="I824" t="s">
        <v>225</v>
      </c>
      <c r="J824" t="s">
        <v>465</v>
      </c>
      <c r="K824">
        <v>0.18058404521613555</v>
      </c>
      <c r="L824" t="s">
        <v>158</v>
      </c>
      <c r="N824" t="s">
        <v>361</v>
      </c>
      <c r="O824" t="s">
        <v>465</v>
      </c>
      <c r="P824">
        <v>0.19008758176727736</v>
      </c>
      <c r="Q824" t="s">
        <v>158</v>
      </c>
    </row>
    <row r="825" spans="9:17" x14ac:dyDescent="0.45">
      <c r="I825" t="s">
        <v>225</v>
      </c>
      <c r="J825" t="s">
        <v>466</v>
      </c>
      <c r="K825">
        <v>0</v>
      </c>
      <c r="L825" t="s">
        <v>158</v>
      </c>
      <c r="N825" t="s">
        <v>361</v>
      </c>
      <c r="O825" t="s">
        <v>466</v>
      </c>
      <c r="P825">
        <v>0.10529421581507806</v>
      </c>
      <c r="Q825" t="s">
        <v>158</v>
      </c>
    </row>
    <row r="826" spans="9:17" x14ac:dyDescent="0.45">
      <c r="I826" t="s">
        <v>225</v>
      </c>
      <c r="J826" t="s">
        <v>467</v>
      </c>
      <c r="K826">
        <v>8.4170690774795377E-3</v>
      </c>
      <c r="L826" t="s">
        <v>158</v>
      </c>
      <c r="N826" t="s">
        <v>361</v>
      </c>
      <c r="O826" t="s">
        <v>467</v>
      </c>
      <c r="P826">
        <v>4.5943293619403316E-2</v>
      </c>
      <c r="Q826" t="s">
        <v>158</v>
      </c>
    </row>
    <row r="827" spans="9:17" x14ac:dyDescent="0.45">
      <c r="I827" t="s">
        <v>226</v>
      </c>
      <c r="J827" t="s">
        <v>456</v>
      </c>
      <c r="K827">
        <v>0.19960964466489683</v>
      </c>
      <c r="L827" t="s">
        <v>158</v>
      </c>
      <c r="N827" t="s">
        <v>362</v>
      </c>
      <c r="O827" t="s">
        <v>456</v>
      </c>
      <c r="P827">
        <v>7.1017821757291197E-2</v>
      </c>
      <c r="Q827" t="s">
        <v>158</v>
      </c>
    </row>
    <row r="828" spans="9:17" x14ac:dyDescent="0.45">
      <c r="I828" t="s">
        <v>226</v>
      </c>
      <c r="J828" t="s">
        <v>457</v>
      </c>
      <c r="K828">
        <v>2.4263513489383202E-4</v>
      </c>
      <c r="L828" t="s">
        <v>158</v>
      </c>
      <c r="N828" t="s">
        <v>362</v>
      </c>
      <c r="O828" t="s">
        <v>457</v>
      </c>
      <c r="P828">
        <v>5.6953643929491107E-2</v>
      </c>
      <c r="Q828" t="s">
        <v>158</v>
      </c>
    </row>
    <row r="829" spans="9:17" x14ac:dyDescent="0.45">
      <c r="I829" t="s">
        <v>226</v>
      </c>
      <c r="J829" t="s">
        <v>458</v>
      </c>
      <c r="K829">
        <v>1.1214794145079674E-2</v>
      </c>
      <c r="L829" t="s">
        <v>158</v>
      </c>
      <c r="N829" t="s">
        <v>362</v>
      </c>
      <c r="O829" t="s">
        <v>458</v>
      </c>
      <c r="P829">
        <v>1.5880912789258555E-2</v>
      </c>
      <c r="Q829" t="s">
        <v>158</v>
      </c>
    </row>
    <row r="830" spans="9:17" x14ac:dyDescent="0.45">
      <c r="I830" t="s">
        <v>226</v>
      </c>
      <c r="J830" t="s">
        <v>459</v>
      </c>
      <c r="K830">
        <v>0.28540783259229052</v>
      </c>
      <c r="L830" t="s">
        <v>158</v>
      </c>
      <c r="N830" t="s">
        <v>362</v>
      </c>
      <c r="O830" t="s">
        <v>459</v>
      </c>
      <c r="P830">
        <v>0.17837295064211586</v>
      </c>
      <c r="Q830" t="s">
        <v>158</v>
      </c>
    </row>
    <row r="831" spans="9:17" x14ac:dyDescent="0.45">
      <c r="I831" t="s">
        <v>226</v>
      </c>
      <c r="J831" t="s">
        <v>460</v>
      </c>
      <c r="K831">
        <v>4.8774928995788886E-3</v>
      </c>
      <c r="L831" t="s">
        <v>158</v>
      </c>
      <c r="N831" t="s">
        <v>362</v>
      </c>
      <c r="O831" t="s">
        <v>460</v>
      </c>
      <c r="P831">
        <v>0.13367562980574277</v>
      </c>
      <c r="Q831" t="s">
        <v>158</v>
      </c>
    </row>
    <row r="832" spans="9:17" x14ac:dyDescent="0.45">
      <c r="I832" t="s">
        <v>226</v>
      </c>
      <c r="J832" t="s">
        <v>461</v>
      </c>
      <c r="K832">
        <v>2.9474685992016882E-2</v>
      </c>
      <c r="L832" t="s">
        <v>158</v>
      </c>
      <c r="N832" t="s">
        <v>362</v>
      </c>
      <c r="O832" t="s">
        <v>461</v>
      </c>
      <c r="P832">
        <v>3.7360450230958631E-2</v>
      </c>
      <c r="Q832" t="s">
        <v>158</v>
      </c>
    </row>
    <row r="833" spans="9:17" x14ac:dyDescent="0.45">
      <c r="I833" t="s">
        <v>226</v>
      </c>
      <c r="J833" t="s">
        <v>462</v>
      </c>
      <c r="K833">
        <v>0.24146312857512373</v>
      </c>
      <c r="L833" t="s">
        <v>158</v>
      </c>
      <c r="N833" t="s">
        <v>362</v>
      </c>
      <c r="O833" t="s">
        <v>462</v>
      </c>
      <c r="P833">
        <v>9.4699961106619282E-2</v>
      </c>
      <c r="Q833" t="s">
        <v>158</v>
      </c>
    </row>
    <row r="834" spans="9:17" x14ac:dyDescent="0.45">
      <c r="I834" t="s">
        <v>226</v>
      </c>
      <c r="J834" t="s">
        <v>463</v>
      </c>
      <c r="K834">
        <v>1.1989784625977808E-2</v>
      </c>
      <c r="L834" t="s">
        <v>158</v>
      </c>
      <c r="N834" t="s">
        <v>362</v>
      </c>
      <c r="O834" t="s">
        <v>463</v>
      </c>
      <c r="P834">
        <v>7.7180203729539668E-2</v>
      </c>
      <c r="Q834" t="s">
        <v>158</v>
      </c>
    </row>
    <row r="835" spans="9:17" x14ac:dyDescent="0.45">
      <c r="I835" t="s">
        <v>226</v>
      </c>
      <c r="J835" t="s">
        <v>464</v>
      </c>
      <c r="K835">
        <v>3.0573992418557884E-2</v>
      </c>
      <c r="L835" t="s">
        <v>158</v>
      </c>
      <c r="N835" t="s">
        <v>362</v>
      </c>
      <c r="O835" t="s">
        <v>464</v>
      </c>
      <c r="P835">
        <v>1.3859924304472051E-2</v>
      </c>
      <c r="Q835" t="s">
        <v>158</v>
      </c>
    </row>
    <row r="836" spans="9:17" x14ac:dyDescent="0.45">
      <c r="I836" t="s">
        <v>226</v>
      </c>
      <c r="J836" t="s">
        <v>465</v>
      </c>
      <c r="K836">
        <v>0.18008252324008117</v>
      </c>
      <c r="L836" t="s">
        <v>158</v>
      </c>
      <c r="N836" t="s">
        <v>362</v>
      </c>
      <c r="O836" t="s">
        <v>465</v>
      </c>
      <c r="P836">
        <v>0.16025855982367077</v>
      </c>
      <c r="Q836" t="s">
        <v>158</v>
      </c>
    </row>
    <row r="837" spans="9:17" x14ac:dyDescent="0.45">
      <c r="I837" t="s">
        <v>226</v>
      </c>
      <c r="J837" t="s">
        <v>466</v>
      </c>
      <c r="K837">
        <v>0</v>
      </c>
      <c r="L837" t="s">
        <v>158</v>
      </c>
      <c r="N837" t="s">
        <v>362</v>
      </c>
      <c r="O837" t="s">
        <v>466</v>
      </c>
      <c r="P837">
        <v>0.12539114327343207</v>
      </c>
      <c r="Q837" t="s">
        <v>158</v>
      </c>
    </row>
    <row r="838" spans="9:17" x14ac:dyDescent="0.45">
      <c r="I838" t="s">
        <v>226</v>
      </c>
      <c r="J838" t="s">
        <v>467</v>
      </c>
      <c r="K838">
        <v>5.0634857115035414E-3</v>
      </c>
      <c r="L838" t="s">
        <v>158</v>
      </c>
      <c r="N838" t="s">
        <v>362</v>
      </c>
      <c r="O838" t="s">
        <v>467</v>
      </c>
      <c r="P838">
        <v>3.5348798607405314E-2</v>
      </c>
      <c r="Q838" t="s">
        <v>158</v>
      </c>
    </row>
    <row r="839" spans="9:17" x14ac:dyDescent="0.45">
      <c r="I839" t="s">
        <v>227</v>
      </c>
      <c r="J839" t="s">
        <v>456</v>
      </c>
      <c r="K839">
        <v>0.20217933997509813</v>
      </c>
      <c r="L839" t="s">
        <v>158</v>
      </c>
      <c r="N839" t="s">
        <v>363</v>
      </c>
      <c r="O839" t="s">
        <v>456</v>
      </c>
      <c r="P839">
        <v>0.11726949892831032</v>
      </c>
      <c r="Q839" t="s">
        <v>158</v>
      </c>
    </row>
    <row r="840" spans="9:17" x14ac:dyDescent="0.45">
      <c r="I840" t="s">
        <v>227</v>
      </c>
      <c r="J840" t="s">
        <v>457</v>
      </c>
      <c r="K840">
        <v>1.1619887505125444E-4</v>
      </c>
      <c r="L840" t="s">
        <v>158</v>
      </c>
      <c r="N840" t="s">
        <v>363</v>
      </c>
      <c r="O840" t="s">
        <v>457</v>
      </c>
      <c r="P840">
        <v>0.10910804233460177</v>
      </c>
      <c r="Q840" t="s">
        <v>158</v>
      </c>
    </row>
    <row r="841" spans="9:17" x14ac:dyDescent="0.45">
      <c r="I841" t="s">
        <v>227</v>
      </c>
      <c r="J841" t="s">
        <v>458</v>
      </c>
      <c r="K841">
        <v>1.0645668247959612E-2</v>
      </c>
      <c r="L841" t="s">
        <v>158</v>
      </c>
      <c r="N841" t="s">
        <v>363</v>
      </c>
      <c r="O841" t="s">
        <v>458</v>
      </c>
      <c r="P841">
        <v>2.2095587865005335E-2</v>
      </c>
      <c r="Q841" t="s">
        <v>158</v>
      </c>
    </row>
    <row r="842" spans="9:17" x14ac:dyDescent="0.45">
      <c r="I842" t="s">
        <v>227</v>
      </c>
      <c r="J842" t="s">
        <v>459</v>
      </c>
      <c r="K842">
        <v>0.29089250682624201</v>
      </c>
      <c r="L842" t="s">
        <v>158</v>
      </c>
      <c r="N842" t="s">
        <v>363</v>
      </c>
      <c r="O842" t="s">
        <v>459</v>
      </c>
      <c r="P842">
        <v>0.17221931275437041</v>
      </c>
      <c r="Q842" t="s">
        <v>158</v>
      </c>
    </row>
    <row r="843" spans="9:17" x14ac:dyDescent="0.45">
      <c r="I843" t="s">
        <v>227</v>
      </c>
      <c r="J843" t="s">
        <v>460</v>
      </c>
      <c r="K843">
        <v>4.2099324016576121E-3</v>
      </c>
      <c r="L843" t="s">
        <v>158</v>
      </c>
      <c r="N843" t="s">
        <v>363</v>
      </c>
      <c r="O843" t="s">
        <v>460</v>
      </c>
      <c r="P843">
        <v>0.13379110275258493</v>
      </c>
      <c r="Q843" t="s">
        <v>158</v>
      </c>
    </row>
    <row r="844" spans="9:17" x14ac:dyDescent="0.45">
      <c r="I844" t="s">
        <v>227</v>
      </c>
      <c r="J844" t="s">
        <v>461</v>
      </c>
      <c r="K844">
        <v>3.2728482475376228E-2</v>
      </c>
      <c r="L844" t="s">
        <v>158</v>
      </c>
      <c r="N844" t="s">
        <v>363</v>
      </c>
      <c r="O844" t="s">
        <v>461</v>
      </c>
      <c r="P844">
        <v>2.9112566188769333E-2</v>
      </c>
      <c r="Q844" t="s">
        <v>158</v>
      </c>
    </row>
    <row r="845" spans="9:17" x14ac:dyDescent="0.45">
      <c r="I845" t="s">
        <v>227</v>
      </c>
      <c r="J845" t="s">
        <v>462</v>
      </c>
      <c r="K845">
        <v>0.23405660882423976</v>
      </c>
      <c r="L845" t="s">
        <v>158</v>
      </c>
      <c r="N845" t="s">
        <v>363</v>
      </c>
      <c r="O845" t="s">
        <v>462</v>
      </c>
      <c r="P845">
        <v>5.7511004295116464E-2</v>
      </c>
      <c r="Q845" t="s">
        <v>158</v>
      </c>
    </row>
    <row r="846" spans="9:17" x14ac:dyDescent="0.45">
      <c r="I846" t="s">
        <v>227</v>
      </c>
      <c r="J846" t="s">
        <v>463</v>
      </c>
      <c r="K846">
        <v>9.9823168556785382E-3</v>
      </c>
      <c r="L846" t="s">
        <v>158</v>
      </c>
      <c r="N846" t="s">
        <v>363</v>
      </c>
      <c r="O846" t="s">
        <v>463</v>
      </c>
      <c r="P846">
        <v>5.1024774063470078E-2</v>
      </c>
      <c r="Q846" t="s">
        <v>158</v>
      </c>
    </row>
    <row r="847" spans="9:17" x14ac:dyDescent="0.45">
      <c r="I847" t="s">
        <v>227</v>
      </c>
      <c r="J847" t="s">
        <v>464</v>
      </c>
      <c r="K847">
        <v>2.8686948786291726E-2</v>
      </c>
      <c r="L847" t="s">
        <v>158</v>
      </c>
      <c r="N847" t="s">
        <v>363</v>
      </c>
      <c r="O847" t="s">
        <v>464</v>
      </c>
      <c r="P847">
        <v>1.0263617673792778E-2</v>
      </c>
      <c r="Q847" t="s">
        <v>158</v>
      </c>
    </row>
    <row r="848" spans="9:17" x14ac:dyDescent="0.45">
      <c r="I848" t="s">
        <v>227</v>
      </c>
      <c r="J848" t="s">
        <v>465</v>
      </c>
      <c r="K848">
        <v>0.18088581161294587</v>
      </c>
      <c r="L848" t="s">
        <v>158</v>
      </c>
      <c r="N848" t="s">
        <v>363</v>
      </c>
      <c r="O848" t="s">
        <v>465</v>
      </c>
      <c r="P848">
        <v>0.13660711234320974</v>
      </c>
      <c r="Q848" t="s">
        <v>158</v>
      </c>
    </row>
    <row r="849" spans="9:17" x14ac:dyDescent="0.45">
      <c r="I849" t="s">
        <v>227</v>
      </c>
      <c r="J849" t="s">
        <v>466</v>
      </c>
      <c r="K849">
        <v>0</v>
      </c>
      <c r="L849" t="s">
        <v>158</v>
      </c>
      <c r="N849" t="s">
        <v>363</v>
      </c>
      <c r="O849" t="s">
        <v>466</v>
      </c>
      <c r="P849">
        <v>0.13358506456296074</v>
      </c>
      <c r="Q849" t="s">
        <v>158</v>
      </c>
    </row>
    <row r="850" spans="9:17" x14ac:dyDescent="0.45">
      <c r="I850" t="s">
        <v>227</v>
      </c>
      <c r="J850" t="s">
        <v>467</v>
      </c>
      <c r="K850">
        <v>5.6161851194600409E-3</v>
      </c>
      <c r="L850" t="s">
        <v>158</v>
      </c>
      <c r="N850" t="s">
        <v>363</v>
      </c>
      <c r="O850" t="s">
        <v>467</v>
      </c>
      <c r="P850">
        <v>2.7412316237803967E-2</v>
      </c>
      <c r="Q850" t="s">
        <v>158</v>
      </c>
    </row>
    <row r="851" spans="9:17" x14ac:dyDescent="0.45">
      <c r="I851" t="s">
        <v>228</v>
      </c>
      <c r="J851" t="s">
        <v>456</v>
      </c>
      <c r="K851">
        <v>0.20861504698510633</v>
      </c>
      <c r="L851" t="s">
        <v>158</v>
      </c>
      <c r="N851" t="s">
        <v>364</v>
      </c>
      <c r="O851" t="s">
        <v>456</v>
      </c>
      <c r="P851">
        <v>0.11739053351166136</v>
      </c>
      <c r="Q851" t="s">
        <v>158</v>
      </c>
    </row>
    <row r="852" spans="9:17" x14ac:dyDescent="0.45">
      <c r="I852" t="s">
        <v>228</v>
      </c>
      <c r="J852" t="s">
        <v>457</v>
      </c>
      <c r="K852">
        <v>0</v>
      </c>
      <c r="L852" t="s">
        <v>158</v>
      </c>
      <c r="N852" t="s">
        <v>364</v>
      </c>
      <c r="O852" t="s">
        <v>457</v>
      </c>
      <c r="P852">
        <v>0.12644014690040944</v>
      </c>
      <c r="Q852" t="s">
        <v>158</v>
      </c>
    </row>
    <row r="853" spans="9:17" x14ac:dyDescent="0.45">
      <c r="I853" t="s">
        <v>228</v>
      </c>
      <c r="J853" t="s">
        <v>458</v>
      </c>
      <c r="K853">
        <v>1.238911238798272E-2</v>
      </c>
      <c r="L853" t="s">
        <v>158</v>
      </c>
      <c r="N853" t="s">
        <v>364</v>
      </c>
      <c r="O853" t="s">
        <v>458</v>
      </c>
      <c r="P853">
        <v>2.2706248528682683E-2</v>
      </c>
      <c r="Q853" t="s">
        <v>158</v>
      </c>
    </row>
    <row r="854" spans="9:17" x14ac:dyDescent="0.45">
      <c r="I854" t="s">
        <v>228</v>
      </c>
      <c r="J854" t="s">
        <v>459</v>
      </c>
      <c r="K854">
        <v>0.28140708337471737</v>
      </c>
      <c r="L854" t="s">
        <v>158</v>
      </c>
      <c r="N854" t="s">
        <v>364</v>
      </c>
      <c r="O854" t="s">
        <v>459</v>
      </c>
      <c r="P854">
        <v>0.13923479286311635</v>
      </c>
      <c r="Q854" t="s">
        <v>158</v>
      </c>
    </row>
    <row r="855" spans="9:17" x14ac:dyDescent="0.45">
      <c r="I855" t="s">
        <v>228</v>
      </c>
      <c r="J855" t="s">
        <v>460</v>
      </c>
      <c r="K855">
        <v>3.1225271015643359E-3</v>
      </c>
      <c r="L855" t="s">
        <v>158</v>
      </c>
      <c r="N855" t="s">
        <v>364</v>
      </c>
      <c r="O855" t="s">
        <v>460</v>
      </c>
      <c r="P855">
        <v>0.14375642270071093</v>
      </c>
      <c r="Q855" t="s">
        <v>158</v>
      </c>
    </row>
    <row r="856" spans="9:17" x14ac:dyDescent="0.45">
      <c r="I856" t="s">
        <v>228</v>
      </c>
      <c r="J856" t="s">
        <v>461</v>
      </c>
      <c r="K856">
        <v>3.3561514087069783E-2</v>
      </c>
      <c r="L856" t="s">
        <v>158</v>
      </c>
      <c r="N856" t="s">
        <v>364</v>
      </c>
      <c r="O856" t="s">
        <v>461</v>
      </c>
      <c r="P856">
        <v>2.6365609702985949E-2</v>
      </c>
      <c r="Q856" t="s">
        <v>158</v>
      </c>
    </row>
    <row r="857" spans="9:17" x14ac:dyDescent="0.45">
      <c r="I857" t="s">
        <v>228</v>
      </c>
      <c r="J857" t="s">
        <v>462</v>
      </c>
      <c r="K857">
        <v>0.22309705657039017</v>
      </c>
      <c r="L857" t="s">
        <v>158</v>
      </c>
      <c r="N857" t="s">
        <v>364</v>
      </c>
      <c r="O857" t="s">
        <v>462</v>
      </c>
      <c r="P857">
        <v>5.6786188612876889E-2</v>
      </c>
      <c r="Q857" t="s">
        <v>158</v>
      </c>
    </row>
    <row r="858" spans="9:17" x14ac:dyDescent="0.45">
      <c r="I858" t="s">
        <v>228</v>
      </c>
      <c r="J858" t="s">
        <v>463</v>
      </c>
      <c r="K858">
        <v>6.7381728016115451E-3</v>
      </c>
      <c r="L858" t="s">
        <v>158</v>
      </c>
      <c r="N858" t="s">
        <v>364</v>
      </c>
      <c r="O858" t="s">
        <v>463</v>
      </c>
      <c r="P858">
        <v>6.7815027952010568E-2</v>
      </c>
      <c r="Q858" t="s">
        <v>158</v>
      </c>
    </row>
    <row r="859" spans="9:17" x14ac:dyDescent="0.45">
      <c r="I859" t="s">
        <v>228</v>
      </c>
      <c r="J859" t="s">
        <v>464</v>
      </c>
      <c r="K859">
        <v>2.6744805397858149E-2</v>
      </c>
      <c r="L859" t="s">
        <v>158</v>
      </c>
      <c r="N859" t="s">
        <v>364</v>
      </c>
      <c r="O859" t="s">
        <v>464</v>
      </c>
      <c r="P859">
        <v>1.0893885184570814E-2</v>
      </c>
      <c r="Q859" t="s">
        <v>158</v>
      </c>
    </row>
    <row r="860" spans="9:17" x14ac:dyDescent="0.45">
      <c r="I860" t="s">
        <v>228</v>
      </c>
      <c r="J860" t="s">
        <v>465</v>
      </c>
      <c r="K860">
        <v>0.19662063773337837</v>
      </c>
      <c r="L860" t="s">
        <v>158</v>
      </c>
      <c r="N860" t="s">
        <v>364</v>
      </c>
      <c r="O860" t="s">
        <v>465</v>
      </c>
      <c r="P860">
        <v>0.11963202724169729</v>
      </c>
      <c r="Q860" t="s">
        <v>158</v>
      </c>
    </row>
    <row r="861" spans="9:17" x14ac:dyDescent="0.45">
      <c r="I861" t="s">
        <v>228</v>
      </c>
      <c r="J861" t="s">
        <v>466</v>
      </c>
      <c r="K861">
        <v>0</v>
      </c>
      <c r="L861" t="s">
        <v>158</v>
      </c>
      <c r="N861" t="s">
        <v>364</v>
      </c>
      <c r="O861" t="s">
        <v>466</v>
      </c>
      <c r="P861">
        <v>0.14396447685175778</v>
      </c>
      <c r="Q861" t="s">
        <v>158</v>
      </c>
    </row>
    <row r="862" spans="9:17" x14ac:dyDescent="0.45">
      <c r="I862" t="s">
        <v>228</v>
      </c>
      <c r="J862" t="s">
        <v>467</v>
      </c>
      <c r="K862">
        <v>7.7040435603246823E-3</v>
      </c>
      <c r="L862" t="s">
        <v>158</v>
      </c>
      <c r="N862" t="s">
        <v>364</v>
      </c>
      <c r="O862" t="s">
        <v>467</v>
      </c>
      <c r="P862">
        <v>2.5014639949515919E-2</v>
      </c>
      <c r="Q862" t="s">
        <v>158</v>
      </c>
    </row>
    <row r="863" spans="9:17" x14ac:dyDescent="0.45">
      <c r="I863" t="s">
        <v>229</v>
      </c>
      <c r="J863" t="s">
        <v>456</v>
      </c>
      <c r="K863">
        <v>0.20231729691560899</v>
      </c>
      <c r="L863" t="s">
        <v>158</v>
      </c>
      <c r="N863" t="s">
        <v>365</v>
      </c>
      <c r="O863" t="s">
        <v>456</v>
      </c>
      <c r="P863">
        <v>0.12641270613284478</v>
      </c>
      <c r="Q863" t="s">
        <v>158</v>
      </c>
    </row>
    <row r="864" spans="9:17" x14ac:dyDescent="0.45">
      <c r="I864" t="s">
        <v>229</v>
      </c>
      <c r="J864" t="s">
        <v>457</v>
      </c>
      <c r="K864">
        <v>1.3141847899499163E-4</v>
      </c>
      <c r="L864" t="s">
        <v>158</v>
      </c>
      <c r="N864" t="s">
        <v>365</v>
      </c>
      <c r="O864" t="s">
        <v>457</v>
      </c>
      <c r="P864">
        <v>0.12822447467338541</v>
      </c>
      <c r="Q864" t="s">
        <v>158</v>
      </c>
    </row>
    <row r="865" spans="9:17" x14ac:dyDescent="0.45">
      <c r="I865" t="s">
        <v>229</v>
      </c>
      <c r="J865" t="s">
        <v>458</v>
      </c>
      <c r="K865">
        <v>1.232939797705276E-2</v>
      </c>
      <c r="L865" t="s">
        <v>158</v>
      </c>
      <c r="N865" t="s">
        <v>365</v>
      </c>
      <c r="O865" t="s">
        <v>458</v>
      </c>
      <c r="P865">
        <v>2.4412257302011259E-2</v>
      </c>
      <c r="Q865" t="s">
        <v>158</v>
      </c>
    </row>
    <row r="866" spans="9:17" x14ac:dyDescent="0.45">
      <c r="I866" t="s">
        <v>229</v>
      </c>
      <c r="J866" t="s">
        <v>459</v>
      </c>
      <c r="K866">
        <v>0.29400752582970624</v>
      </c>
      <c r="L866" t="s">
        <v>158</v>
      </c>
      <c r="N866" t="s">
        <v>365</v>
      </c>
      <c r="O866" t="s">
        <v>459</v>
      </c>
      <c r="P866">
        <v>0.16534783712743498</v>
      </c>
      <c r="Q866" t="s">
        <v>158</v>
      </c>
    </row>
    <row r="867" spans="9:17" x14ac:dyDescent="0.45">
      <c r="I867" t="s">
        <v>229</v>
      </c>
      <c r="J867" t="s">
        <v>460</v>
      </c>
      <c r="K867">
        <v>3.8363244840126202E-3</v>
      </c>
      <c r="L867" t="s">
        <v>158</v>
      </c>
      <c r="N867" t="s">
        <v>365</v>
      </c>
      <c r="O867" t="s">
        <v>460</v>
      </c>
      <c r="P867">
        <v>0.14626136187190616</v>
      </c>
      <c r="Q867" t="s">
        <v>158</v>
      </c>
    </row>
    <row r="868" spans="9:17" x14ac:dyDescent="0.45">
      <c r="I868" t="s">
        <v>229</v>
      </c>
      <c r="J868" t="s">
        <v>461</v>
      </c>
      <c r="K868">
        <v>3.6431154951767519E-2</v>
      </c>
      <c r="L868" t="s">
        <v>158</v>
      </c>
      <c r="N868" t="s">
        <v>365</v>
      </c>
      <c r="O868" t="s">
        <v>461</v>
      </c>
      <c r="P868">
        <v>2.9479984953821793E-2</v>
      </c>
      <c r="Q868" t="s">
        <v>158</v>
      </c>
    </row>
    <row r="869" spans="9:17" x14ac:dyDescent="0.45">
      <c r="I869" t="s">
        <v>229</v>
      </c>
      <c r="J869" t="s">
        <v>462</v>
      </c>
      <c r="K869">
        <v>0.22440825229972147</v>
      </c>
      <c r="L869" t="s">
        <v>158</v>
      </c>
      <c r="N869" t="s">
        <v>365</v>
      </c>
      <c r="O869" t="s">
        <v>462</v>
      </c>
      <c r="P869">
        <v>6.8931185936695852E-2</v>
      </c>
      <c r="Q869" t="s">
        <v>158</v>
      </c>
    </row>
    <row r="870" spans="9:17" x14ac:dyDescent="0.45">
      <c r="I870" t="s">
        <v>229</v>
      </c>
      <c r="J870" t="s">
        <v>463</v>
      </c>
      <c r="K870">
        <v>8.4563206866539835E-3</v>
      </c>
      <c r="L870" t="s">
        <v>158</v>
      </c>
      <c r="N870" t="s">
        <v>365</v>
      </c>
      <c r="O870" t="s">
        <v>463</v>
      </c>
      <c r="P870">
        <v>7.5551005646485703E-2</v>
      </c>
      <c r="Q870" t="s">
        <v>158</v>
      </c>
    </row>
    <row r="871" spans="9:17" x14ac:dyDescent="0.45">
      <c r="I871" t="s">
        <v>229</v>
      </c>
      <c r="J871" t="s">
        <v>464</v>
      </c>
      <c r="K871">
        <v>2.8593153110973286E-2</v>
      </c>
      <c r="L871" t="s">
        <v>158</v>
      </c>
      <c r="N871" t="s">
        <v>365</v>
      </c>
      <c r="O871" t="s">
        <v>464</v>
      </c>
      <c r="P871">
        <v>1.174903708321208E-2</v>
      </c>
      <c r="Q871" t="s">
        <v>158</v>
      </c>
    </row>
    <row r="872" spans="9:17" x14ac:dyDescent="0.45">
      <c r="I872" t="s">
        <v>229</v>
      </c>
      <c r="J872" t="s">
        <v>465</v>
      </c>
      <c r="K872">
        <v>0.1816170597311785</v>
      </c>
      <c r="L872" t="s">
        <v>158</v>
      </c>
      <c r="N872" t="s">
        <v>365</v>
      </c>
      <c r="O872" t="s">
        <v>465</v>
      </c>
      <c r="P872">
        <v>9.6810676570445106E-2</v>
      </c>
      <c r="Q872" t="s">
        <v>158</v>
      </c>
    </row>
    <row r="873" spans="9:17" x14ac:dyDescent="0.45">
      <c r="I873" t="s">
        <v>229</v>
      </c>
      <c r="J873" t="s">
        <v>466</v>
      </c>
      <c r="K873">
        <v>0</v>
      </c>
      <c r="L873" t="s">
        <v>158</v>
      </c>
      <c r="N873" t="s">
        <v>365</v>
      </c>
      <c r="O873" t="s">
        <v>466</v>
      </c>
      <c r="P873">
        <v>0.10389587785264083</v>
      </c>
      <c r="Q873" t="s">
        <v>158</v>
      </c>
    </row>
    <row r="874" spans="9:17" x14ac:dyDescent="0.45">
      <c r="I874" t="s">
        <v>229</v>
      </c>
      <c r="J874" t="s">
        <v>467</v>
      </c>
      <c r="K874">
        <v>7.8720955343307558E-3</v>
      </c>
      <c r="L874" t="s">
        <v>158</v>
      </c>
      <c r="N874" t="s">
        <v>365</v>
      </c>
      <c r="O874" t="s">
        <v>467</v>
      </c>
      <c r="P874">
        <v>2.2923594849114423E-2</v>
      </c>
      <c r="Q874" t="s">
        <v>158</v>
      </c>
    </row>
    <row r="875" spans="9:17" x14ac:dyDescent="0.45">
      <c r="I875" t="s">
        <v>230</v>
      </c>
      <c r="J875" t="s">
        <v>456</v>
      </c>
      <c r="K875">
        <v>0.20977864826227868</v>
      </c>
      <c r="L875" t="s">
        <v>158</v>
      </c>
      <c r="N875" t="s">
        <v>366</v>
      </c>
      <c r="O875" t="s">
        <v>456</v>
      </c>
      <c r="P875">
        <v>0.13132483919680385</v>
      </c>
      <c r="Q875" t="s">
        <v>158</v>
      </c>
    </row>
    <row r="876" spans="9:17" x14ac:dyDescent="0.45">
      <c r="I876" t="s">
        <v>230</v>
      </c>
      <c r="J876" t="s">
        <v>457</v>
      </c>
      <c r="K876">
        <v>0</v>
      </c>
      <c r="L876" t="s">
        <v>158</v>
      </c>
      <c r="N876" t="s">
        <v>366</v>
      </c>
      <c r="O876" t="s">
        <v>457</v>
      </c>
      <c r="P876">
        <v>0.14854691710292148</v>
      </c>
      <c r="Q876" t="s">
        <v>158</v>
      </c>
    </row>
    <row r="877" spans="9:17" x14ac:dyDescent="0.45">
      <c r="I877" t="s">
        <v>230</v>
      </c>
      <c r="J877" t="s">
        <v>458</v>
      </c>
      <c r="K877">
        <v>1.157471766705937E-2</v>
      </c>
      <c r="L877" t="s">
        <v>158</v>
      </c>
      <c r="N877" t="s">
        <v>366</v>
      </c>
      <c r="O877" t="s">
        <v>458</v>
      </c>
      <c r="P877">
        <v>2.4328847984854088E-2</v>
      </c>
      <c r="Q877" t="s">
        <v>158</v>
      </c>
    </row>
    <row r="878" spans="9:17" x14ac:dyDescent="0.45">
      <c r="I878" t="s">
        <v>230</v>
      </c>
      <c r="J878" t="s">
        <v>459</v>
      </c>
      <c r="K878">
        <v>0.28752695505699122</v>
      </c>
      <c r="L878" t="s">
        <v>158</v>
      </c>
      <c r="N878" t="s">
        <v>366</v>
      </c>
      <c r="O878" t="s">
        <v>459</v>
      </c>
      <c r="P878">
        <v>0.12968187796420852</v>
      </c>
      <c r="Q878" t="s">
        <v>158</v>
      </c>
    </row>
    <row r="879" spans="9:17" x14ac:dyDescent="0.45">
      <c r="I879" t="s">
        <v>230</v>
      </c>
      <c r="J879" t="s">
        <v>460</v>
      </c>
      <c r="K879">
        <v>3.3979182299883055E-3</v>
      </c>
      <c r="L879" t="s">
        <v>158</v>
      </c>
      <c r="N879" t="s">
        <v>366</v>
      </c>
      <c r="O879" t="s">
        <v>460</v>
      </c>
      <c r="P879">
        <v>0.16153462139712779</v>
      </c>
      <c r="Q879" t="s">
        <v>158</v>
      </c>
    </row>
    <row r="880" spans="9:17" x14ac:dyDescent="0.45">
      <c r="I880" t="s">
        <v>230</v>
      </c>
      <c r="J880" t="s">
        <v>461</v>
      </c>
      <c r="K880">
        <v>3.0892523918696211E-2</v>
      </c>
      <c r="L880" t="s">
        <v>158</v>
      </c>
      <c r="N880" t="s">
        <v>366</v>
      </c>
      <c r="O880" t="s">
        <v>461</v>
      </c>
      <c r="P880">
        <v>2.2875294438489159E-2</v>
      </c>
      <c r="Q880" t="s">
        <v>158</v>
      </c>
    </row>
    <row r="881" spans="9:17" x14ac:dyDescent="0.45">
      <c r="I881" t="s">
        <v>230</v>
      </c>
      <c r="J881" t="s">
        <v>462</v>
      </c>
      <c r="K881">
        <v>0.22308093697550033</v>
      </c>
      <c r="L881" t="s">
        <v>158</v>
      </c>
      <c r="N881" t="s">
        <v>366</v>
      </c>
      <c r="O881" t="s">
        <v>462</v>
      </c>
      <c r="P881">
        <v>7.1024910900442606E-2</v>
      </c>
      <c r="Q881" t="s">
        <v>158</v>
      </c>
    </row>
    <row r="882" spans="9:17" x14ac:dyDescent="0.45">
      <c r="I882" t="s">
        <v>230</v>
      </c>
      <c r="J882" t="s">
        <v>463</v>
      </c>
      <c r="K882">
        <v>7.819809862158876E-3</v>
      </c>
      <c r="L882" t="s">
        <v>158</v>
      </c>
      <c r="N882" t="s">
        <v>366</v>
      </c>
      <c r="O882" t="s">
        <v>463</v>
      </c>
      <c r="P882">
        <v>9.2611222517006153E-2</v>
      </c>
      <c r="Q882" t="s">
        <v>158</v>
      </c>
    </row>
    <row r="883" spans="9:17" x14ac:dyDescent="0.45">
      <c r="I883" t="s">
        <v>230</v>
      </c>
      <c r="J883" t="s">
        <v>464</v>
      </c>
      <c r="K883">
        <v>2.5535492449040693E-2</v>
      </c>
      <c r="L883" t="s">
        <v>158</v>
      </c>
      <c r="N883" t="s">
        <v>366</v>
      </c>
      <c r="O883" t="s">
        <v>464</v>
      </c>
      <c r="P883">
        <v>1.2501465662288484E-2</v>
      </c>
      <c r="Q883" t="s">
        <v>158</v>
      </c>
    </row>
    <row r="884" spans="9:17" x14ac:dyDescent="0.45">
      <c r="I884" t="s">
        <v>230</v>
      </c>
      <c r="J884" t="s">
        <v>465</v>
      </c>
      <c r="K884">
        <v>0.19443624608526291</v>
      </c>
      <c r="L884" t="s">
        <v>158</v>
      </c>
      <c r="N884" t="s">
        <v>366</v>
      </c>
      <c r="O884" t="s">
        <v>465</v>
      </c>
      <c r="P884">
        <v>7.8739493352040987E-2</v>
      </c>
      <c r="Q884" t="s">
        <v>158</v>
      </c>
    </row>
    <row r="885" spans="9:17" x14ac:dyDescent="0.45">
      <c r="I885" t="s">
        <v>230</v>
      </c>
      <c r="J885" t="s">
        <v>466</v>
      </c>
      <c r="K885">
        <v>0</v>
      </c>
      <c r="L885" t="s">
        <v>158</v>
      </c>
      <c r="N885" t="s">
        <v>366</v>
      </c>
      <c r="O885" t="s">
        <v>466</v>
      </c>
      <c r="P885">
        <v>0.11048487130650227</v>
      </c>
      <c r="Q885" t="s">
        <v>158</v>
      </c>
    </row>
    <row r="886" spans="9:17" x14ac:dyDescent="0.45">
      <c r="I886" t="s">
        <v>230</v>
      </c>
      <c r="J886" t="s">
        <v>467</v>
      </c>
      <c r="K886">
        <v>5.9567514930220422E-3</v>
      </c>
      <c r="L886" t="s">
        <v>158</v>
      </c>
      <c r="N886" t="s">
        <v>366</v>
      </c>
      <c r="O886" t="s">
        <v>467</v>
      </c>
      <c r="P886">
        <v>1.6345638177316386E-2</v>
      </c>
      <c r="Q886" t="s">
        <v>158</v>
      </c>
    </row>
    <row r="887" spans="9:17" x14ac:dyDescent="0.45">
      <c r="I887" t="s">
        <v>231</v>
      </c>
      <c r="J887" t="s">
        <v>456</v>
      </c>
      <c r="K887">
        <v>0.20648362403363699</v>
      </c>
      <c r="L887" t="s">
        <v>158</v>
      </c>
      <c r="N887" t="s">
        <v>367</v>
      </c>
      <c r="O887" t="s">
        <v>456</v>
      </c>
      <c r="P887">
        <v>0.1359344369796921</v>
      </c>
      <c r="Q887" t="s">
        <v>158</v>
      </c>
    </row>
    <row r="888" spans="9:17" x14ac:dyDescent="0.45">
      <c r="I888" t="s">
        <v>231</v>
      </c>
      <c r="J888" t="s">
        <v>457</v>
      </c>
      <c r="K888">
        <v>0</v>
      </c>
      <c r="L888" t="s">
        <v>158</v>
      </c>
      <c r="N888" t="s">
        <v>367</v>
      </c>
      <c r="O888" t="s">
        <v>457</v>
      </c>
      <c r="P888">
        <v>0.13478346129905636</v>
      </c>
      <c r="Q888" t="s">
        <v>158</v>
      </c>
    </row>
    <row r="889" spans="9:17" x14ac:dyDescent="0.45">
      <c r="I889" t="s">
        <v>231</v>
      </c>
      <c r="J889" t="s">
        <v>458</v>
      </c>
      <c r="K889">
        <v>1.0947248425483534E-2</v>
      </c>
      <c r="L889" t="s">
        <v>158</v>
      </c>
      <c r="N889" t="s">
        <v>367</v>
      </c>
      <c r="O889" t="s">
        <v>458</v>
      </c>
      <c r="P889">
        <v>2.7284254355523736E-2</v>
      </c>
      <c r="Q889" t="s">
        <v>158</v>
      </c>
    </row>
    <row r="890" spans="9:17" x14ac:dyDescent="0.45">
      <c r="I890" t="s">
        <v>231</v>
      </c>
      <c r="J890" t="s">
        <v>459</v>
      </c>
      <c r="K890">
        <v>0.28999918012168086</v>
      </c>
      <c r="L890" t="s">
        <v>158</v>
      </c>
      <c r="N890" t="s">
        <v>367</v>
      </c>
      <c r="O890" t="s">
        <v>459</v>
      </c>
      <c r="P890">
        <v>0.15072369359329491</v>
      </c>
      <c r="Q890" t="s">
        <v>158</v>
      </c>
    </row>
    <row r="891" spans="9:17" x14ac:dyDescent="0.45">
      <c r="I891" t="s">
        <v>231</v>
      </c>
      <c r="J891" t="s">
        <v>460</v>
      </c>
      <c r="K891">
        <v>2.5164359675489217E-3</v>
      </c>
      <c r="L891" t="s">
        <v>158</v>
      </c>
      <c r="N891" t="s">
        <v>367</v>
      </c>
      <c r="O891" t="s">
        <v>460</v>
      </c>
      <c r="P891">
        <v>0.14379834431264502</v>
      </c>
      <c r="Q891" t="s">
        <v>158</v>
      </c>
    </row>
    <row r="892" spans="9:17" x14ac:dyDescent="0.45">
      <c r="I892" t="s">
        <v>231</v>
      </c>
      <c r="J892" t="s">
        <v>461</v>
      </c>
      <c r="K892">
        <v>2.8987107706924326E-2</v>
      </c>
      <c r="L892" t="s">
        <v>158</v>
      </c>
      <c r="N892" t="s">
        <v>367</v>
      </c>
      <c r="O892" t="s">
        <v>461</v>
      </c>
      <c r="P892">
        <v>2.6940423438461734E-2</v>
      </c>
      <c r="Q892" t="s">
        <v>158</v>
      </c>
    </row>
    <row r="893" spans="9:17" x14ac:dyDescent="0.45">
      <c r="I893" t="s">
        <v>231</v>
      </c>
      <c r="J893" t="s">
        <v>462</v>
      </c>
      <c r="K893">
        <v>0.22517338114096938</v>
      </c>
      <c r="L893" t="s">
        <v>158</v>
      </c>
      <c r="N893" t="s">
        <v>367</v>
      </c>
      <c r="O893" t="s">
        <v>462</v>
      </c>
      <c r="P893">
        <v>6.8618585063351556E-2</v>
      </c>
      <c r="Q893" t="s">
        <v>158</v>
      </c>
    </row>
    <row r="894" spans="9:17" x14ac:dyDescent="0.45">
      <c r="I894" t="s">
        <v>231</v>
      </c>
      <c r="J894" t="s">
        <v>463</v>
      </c>
      <c r="K894">
        <v>5.9202818165435545E-3</v>
      </c>
      <c r="L894" t="s">
        <v>158</v>
      </c>
      <c r="N894" t="s">
        <v>367</v>
      </c>
      <c r="O894" t="s">
        <v>463</v>
      </c>
      <c r="P894">
        <v>7.5395420391926857E-2</v>
      </c>
      <c r="Q894" t="s">
        <v>158</v>
      </c>
    </row>
    <row r="895" spans="9:17" x14ac:dyDescent="0.45">
      <c r="I895" t="s">
        <v>231</v>
      </c>
      <c r="J895" t="s">
        <v>464</v>
      </c>
      <c r="K895">
        <v>2.6182978121561659E-2</v>
      </c>
      <c r="L895" t="s">
        <v>158</v>
      </c>
      <c r="N895" t="s">
        <v>367</v>
      </c>
      <c r="O895" t="s">
        <v>464</v>
      </c>
      <c r="P895">
        <v>1.1762108678508507E-2</v>
      </c>
      <c r="Q895" t="s">
        <v>158</v>
      </c>
    </row>
    <row r="896" spans="9:17" x14ac:dyDescent="0.45">
      <c r="I896" t="s">
        <v>231</v>
      </c>
      <c r="J896" t="s">
        <v>465</v>
      </c>
      <c r="K896">
        <v>0.19799106359004257</v>
      </c>
      <c r="L896" t="s">
        <v>158</v>
      </c>
      <c r="N896" t="s">
        <v>367</v>
      </c>
      <c r="O896" t="s">
        <v>465</v>
      </c>
      <c r="P896">
        <v>8.6859853822106453E-2</v>
      </c>
      <c r="Q896" t="s">
        <v>158</v>
      </c>
    </row>
    <row r="897" spans="9:17" x14ac:dyDescent="0.45">
      <c r="I897" t="s">
        <v>231</v>
      </c>
      <c r="J897" t="s">
        <v>466</v>
      </c>
      <c r="K897">
        <v>0</v>
      </c>
      <c r="L897" t="s">
        <v>158</v>
      </c>
      <c r="N897" t="s">
        <v>367</v>
      </c>
      <c r="O897" t="s">
        <v>466</v>
      </c>
      <c r="P897">
        <v>0.11484927018084809</v>
      </c>
      <c r="Q897" t="s">
        <v>158</v>
      </c>
    </row>
    <row r="898" spans="9:17" x14ac:dyDescent="0.45">
      <c r="I898" t="s">
        <v>231</v>
      </c>
      <c r="J898" t="s">
        <v>467</v>
      </c>
      <c r="K898">
        <v>5.7986990756097824E-3</v>
      </c>
      <c r="L898" t="s">
        <v>158</v>
      </c>
      <c r="N898" t="s">
        <v>367</v>
      </c>
      <c r="O898" t="s">
        <v>467</v>
      </c>
      <c r="P898">
        <v>2.3050147884586463E-2</v>
      </c>
      <c r="Q898" t="s">
        <v>158</v>
      </c>
    </row>
    <row r="899" spans="9:17" x14ac:dyDescent="0.45">
      <c r="I899" t="s">
        <v>232</v>
      </c>
      <c r="J899" t="s">
        <v>456</v>
      </c>
      <c r="K899">
        <v>0.2097435811762218</v>
      </c>
      <c r="L899" t="s">
        <v>158</v>
      </c>
      <c r="N899" t="s">
        <v>368</v>
      </c>
      <c r="O899" t="s">
        <v>456</v>
      </c>
      <c r="P899">
        <v>0.13597576372474932</v>
      </c>
      <c r="Q899" t="s">
        <v>158</v>
      </c>
    </row>
    <row r="900" spans="9:17" x14ac:dyDescent="0.45">
      <c r="I900" t="s">
        <v>232</v>
      </c>
      <c r="J900" t="s">
        <v>457</v>
      </c>
      <c r="K900">
        <v>0</v>
      </c>
      <c r="L900" t="s">
        <v>158</v>
      </c>
      <c r="N900" t="s">
        <v>368</v>
      </c>
      <c r="O900" t="s">
        <v>457</v>
      </c>
      <c r="P900">
        <v>0.1503221986378715</v>
      </c>
      <c r="Q900" t="s">
        <v>158</v>
      </c>
    </row>
    <row r="901" spans="9:17" x14ac:dyDescent="0.45">
      <c r="I901" t="s">
        <v>232</v>
      </c>
      <c r="J901" t="s">
        <v>458</v>
      </c>
      <c r="K901">
        <v>9.978681957655151E-3</v>
      </c>
      <c r="L901" t="s">
        <v>158</v>
      </c>
      <c r="N901" t="s">
        <v>368</v>
      </c>
      <c r="O901" t="s">
        <v>458</v>
      </c>
      <c r="P901">
        <v>2.9126513657887921E-2</v>
      </c>
      <c r="Q901" t="s">
        <v>158</v>
      </c>
    </row>
    <row r="902" spans="9:17" x14ac:dyDescent="0.45">
      <c r="I902" t="s">
        <v>232</v>
      </c>
      <c r="J902" t="s">
        <v>459</v>
      </c>
      <c r="K902">
        <v>0.29093485449183731</v>
      </c>
      <c r="L902" t="s">
        <v>158</v>
      </c>
      <c r="N902" t="s">
        <v>368</v>
      </c>
      <c r="O902" t="s">
        <v>459</v>
      </c>
      <c r="P902">
        <v>0.15377228166804133</v>
      </c>
      <c r="Q902" t="s">
        <v>158</v>
      </c>
    </row>
    <row r="903" spans="9:17" x14ac:dyDescent="0.45">
      <c r="I903" t="s">
        <v>232</v>
      </c>
      <c r="J903" t="s">
        <v>460</v>
      </c>
      <c r="K903">
        <v>3.8496746270327183E-3</v>
      </c>
      <c r="L903" t="s">
        <v>158</v>
      </c>
      <c r="N903" t="s">
        <v>368</v>
      </c>
      <c r="O903" t="s">
        <v>460</v>
      </c>
      <c r="P903">
        <v>0.15057671165885153</v>
      </c>
      <c r="Q903" t="s">
        <v>158</v>
      </c>
    </row>
    <row r="904" spans="9:17" x14ac:dyDescent="0.45">
      <c r="I904" t="s">
        <v>232</v>
      </c>
      <c r="J904" t="s">
        <v>461</v>
      </c>
      <c r="K904">
        <v>2.5864613533572271E-2</v>
      </c>
      <c r="L904" t="s">
        <v>158</v>
      </c>
      <c r="N904" t="s">
        <v>368</v>
      </c>
      <c r="O904" t="s">
        <v>461</v>
      </c>
      <c r="P904">
        <v>2.4365956621942166E-2</v>
      </c>
      <c r="Q904" t="s">
        <v>158</v>
      </c>
    </row>
    <row r="905" spans="9:17" x14ac:dyDescent="0.45">
      <c r="I905" t="s">
        <v>232</v>
      </c>
      <c r="J905" t="s">
        <v>462</v>
      </c>
      <c r="K905">
        <v>0.22967382823780386</v>
      </c>
      <c r="L905" t="s">
        <v>158</v>
      </c>
      <c r="N905" t="s">
        <v>368</v>
      </c>
      <c r="O905" t="s">
        <v>462</v>
      </c>
      <c r="P905">
        <v>8.5430790281045943E-2</v>
      </c>
      <c r="Q905" t="s">
        <v>158</v>
      </c>
    </row>
    <row r="906" spans="9:17" x14ac:dyDescent="0.45">
      <c r="I906" t="s">
        <v>232</v>
      </c>
      <c r="J906" t="s">
        <v>463</v>
      </c>
      <c r="K906">
        <v>1.0081247904759791E-2</v>
      </c>
      <c r="L906" t="s">
        <v>158</v>
      </c>
      <c r="N906" t="s">
        <v>368</v>
      </c>
      <c r="O906" t="s">
        <v>463</v>
      </c>
      <c r="P906">
        <v>9.9164066955569605E-2</v>
      </c>
      <c r="Q906" t="s">
        <v>158</v>
      </c>
    </row>
    <row r="907" spans="9:17" x14ac:dyDescent="0.45">
      <c r="I907" t="s">
        <v>232</v>
      </c>
      <c r="J907" t="s">
        <v>464</v>
      </c>
      <c r="K907">
        <v>2.6573209799942404E-2</v>
      </c>
      <c r="L907" t="s">
        <v>158</v>
      </c>
      <c r="N907" t="s">
        <v>368</v>
      </c>
      <c r="O907" t="s">
        <v>464</v>
      </c>
      <c r="P907">
        <v>1.4314512856946895E-2</v>
      </c>
      <c r="Q907" t="s">
        <v>158</v>
      </c>
    </row>
    <row r="908" spans="9:17" x14ac:dyDescent="0.45">
      <c r="I908" t="s">
        <v>232</v>
      </c>
      <c r="J908" t="s">
        <v>465</v>
      </c>
      <c r="K908">
        <v>0.18954499676377135</v>
      </c>
      <c r="L908" t="s">
        <v>158</v>
      </c>
      <c r="N908" t="s">
        <v>368</v>
      </c>
      <c r="O908" t="s">
        <v>465</v>
      </c>
      <c r="P908">
        <v>5.5591846105210778E-2</v>
      </c>
      <c r="Q908" t="s">
        <v>158</v>
      </c>
    </row>
    <row r="909" spans="9:17" x14ac:dyDescent="0.45">
      <c r="I909" t="s">
        <v>232</v>
      </c>
      <c r="J909" t="s">
        <v>466</v>
      </c>
      <c r="K909">
        <v>0</v>
      </c>
      <c r="L909" t="s">
        <v>158</v>
      </c>
      <c r="N909" t="s">
        <v>368</v>
      </c>
      <c r="O909" t="s">
        <v>466</v>
      </c>
      <c r="P909">
        <v>8.5014591185871388E-2</v>
      </c>
      <c r="Q909" t="s">
        <v>158</v>
      </c>
    </row>
    <row r="910" spans="9:17" x14ac:dyDescent="0.45">
      <c r="I910" t="s">
        <v>232</v>
      </c>
      <c r="J910" t="s">
        <v>467</v>
      </c>
      <c r="K910">
        <v>3.7553115074029247E-3</v>
      </c>
      <c r="L910" t="s">
        <v>158</v>
      </c>
      <c r="N910" t="s">
        <v>368</v>
      </c>
      <c r="O910" t="s">
        <v>467</v>
      </c>
      <c r="P910">
        <v>1.6344766646011824E-2</v>
      </c>
      <c r="Q910" t="s">
        <v>158</v>
      </c>
    </row>
    <row r="911" spans="9:17" x14ac:dyDescent="0.45">
      <c r="I911" t="s">
        <v>233</v>
      </c>
      <c r="J911" t="s">
        <v>456</v>
      </c>
      <c r="K911">
        <v>0.20942794779473528</v>
      </c>
      <c r="L911" t="s">
        <v>158</v>
      </c>
      <c r="N911" t="s">
        <v>369</v>
      </c>
      <c r="O911" t="s">
        <v>456</v>
      </c>
      <c r="P911">
        <v>0.1446001913351917</v>
      </c>
      <c r="Q911" t="s">
        <v>158</v>
      </c>
    </row>
    <row r="912" spans="9:17" x14ac:dyDescent="0.45">
      <c r="I912" t="s">
        <v>233</v>
      </c>
      <c r="J912" t="s">
        <v>457</v>
      </c>
      <c r="K912">
        <v>0</v>
      </c>
      <c r="L912" t="s">
        <v>158</v>
      </c>
      <c r="N912" t="s">
        <v>369</v>
      </c>
      <c r="O912" t="s">
        <v>457</v>
      </c>
      <c r="P912">
        <v>0.13985655932718422</v>
      </c>
      <c r="Q912" t="s">
        <v>158</v>
      </c>
    </row>
    <row r="913" spans="9:17" x14ac:dyDescent="0.45">
      <c r="I913" t="s">
        <v>233</v>
      </c>
      <c r="J913" t="s">
        <v>458</v>
      </c>
      <c r="K913">
        <v>1.0585750190048185E-2</v>
      </c>
      <c r="L913" t="s">
        <v>158</v>
      </c>
      <c r="N913" t="s">
        <v>369</v>
      </c>
      <c r="O913" t="s">
        <v>458</v>
      </c>
      <c r="P913">
        <v>2.8986490003790256E-2</v>
      </c>
      <c r="Q913" t="s">
        <v>158</v>
      </c>
    </row>
    <row r="914" spans="9:17" x14ac:dyDescent="0.45">
      <c r="I914" t="s">
        <v>233</v>
      </c>
      <c r="J914" t="s">
        <v>459</v>
      </c>
      <c r="K914">
        <v>0.29174189262753331</v>
      </c>
      <c r="L914" t="s">
        <v>158</v>
      </c>
      <c r="N914" t="s">
        <v>369</v>
      </c>
      <c r="O914" t="s">
        <v>459</v>
      </c>
      <c r="P914">
        <v>0.16950183491935081</v>
      </c>
      <c r="Q914" t="s">
        <v>158</v>
      </c>
    </row>
    <row r="915" spans="9:17" x14ac:dyDescent="0.45">
      <c r="I915" t="s">
        <v>233</v>
      </c>
      <c r="J915" t="s">
        <v>460</v>
      </c>
      <c r="K915">
        <v>3.552725347330696E-3</v>
      </c>
      <c r="L915" t="s">
        <v>158</v>
      </c>
      <c r="N915" t="s">
        <v>369</v>
      </c>
      <c r="O915" t="s">
        <v>460</v>
      </c>
      <c r="P915">
        <v>0.16983841919997858</v>
      </c>
      <c r="Q915" t="s">
        <v>158</v>
      </c>
    </row>
    <row r="916" spans="9:17" x14ac:dyDescent="0.45">
      <c r="I916" t="s">
        <v>233</v>
      </c>
      <c r="J916" t="s">
        <v>461</v>
      </c>
      <c r="K916">
        <v>2.8310388416048569E-2</v>
      </c>
      <c r="L916" t="s">
        <v>158</v>
      </c>
      <c r="N916" t="s">
        <v>369</v>
      </c>
      <c r="O916" t="s">
        <v>461</v>
      </c>
      <c r="P916">
        <v>3.1572483249355646E-2</v>
      </c>
      <c r="Q916" t="s">
        <v>158</v>
      </c>
    </row>
    <row r="917" spans="9:17" x14ac:dyDescent="0.45">
      <c r="I917" t="s">
        <v>233</v>
      </c>
      <c r="J917" t="s">
        <v>462</v>
      </c>
      <c r="K917">
        <v>0.22432614752867294</v>
      </c>
      <c r="L917" t="s">
        <v>158</v>
      </c>
      <c r="N917" t="s">
        <v>369</v>
      </c>
      <c r="O917" t="s">
        <v>462</v>
      </c>
      <c r="P917">
        <v>7.7462935000676927E-2</v>
      </c>
      <c r="Q917" t="s">
        <v>158</v>
      </c>
    </row>
    <row r="918" spans="9:17" x14ac:dyDescent="0.45">
      <c r="I918" t="s">
        <v>233</v>
      </c>
      <c r="J918" t="s">
        <v>463</v>
      </c>
      <c r="K918">
        <v>8.5973417519774661E-3</v>
      </c>
      <c r="L918" t="s">
        <v>158</v>
      </c>
      <c r="N918" t="s">
        <v>369</v>
      </c>
      <c r="O918" t="s">
        <v>463</v>
      </c>
      <c r="P918">
        <v>7.5676358347749065E-2</v>
      </c>
      <c r="Q918" t="s">
        <v>158</v>
      </c>
    </row>
    <row r="919" spans="9:17" x14ac:dyDescent="0.45">
      <c r="I919" t="s">
        <v>233</v>
      </c>
      <c r="J919" t="s">
        <v>464</v>
      </c>
      <c r="K919">
        <v>2.58213195434394E-2</v>
      </c>
      <c r="L919" t="s">
        <v>158</v>
      </c>
      <c r="N919" t="s">
        <v>369</v>
      </c>
      <c r="O919" t="s">
        <v>464</v>
      </c>
      <c r="P919">
        <v>1.4050198442881532E-2</v>
      </c>
      <c r="Q919" t="s">
        <v>158</v>
      </c>
    </row>
    <row r="920" spans="9:17" x14ac:dyDescent="0.45">
      <c r="I920" t="s">
        <v>233</v>
      </c>
      <c r="J920" t="s">
        <v>465</v>
      </c>
      <c r="K920">
        <v>0.19297630853669548</v>
      </c>
      <c r="L920" t="s">
        <v>158</v>
      </c>
      <c r="N920" t="s">
        <v>369</v>
      </c>
      <c r="O920" t="s">
        <v>465</v>
      </c>
      <c r="P920">
        <v>5.4982339519774277E-2</v>
      </c>
      <c r="Q920" t="s">
        <v>158</v>
      </c>
    </row>
    <row r="921" spans="9:17" x14ac:dyDescent="0.45">
      <c r="I921" t="s">
        <v>233</v>
      </c>
      <c r="J921" t="s">
        <v>466</v>
      </c>
      <c r="K921">
        <v>0</v>
      </c>
      <c r="L921" t="s">
        <v>158</v>
      </c>
      <c r="N921" t="s">
        <v>369</v>
      </c>
      <c r="O921" t="s">
        <v>466</v>
      </c>
      <c r="P921">
        <v>7.8749801620801224E-2</v>
      </c>
      <c r="Q921" t="s">
        <v>158</v>
      </c>
    </row>
    <row r="922" spans="9:17" x14ac:dyDescent="0.45">
      <c r="I922" t="s">
        <v>233</v>
      </c>
      <c r="J922" t="s">
        <v>467</v>
      </c>
      <c r="K922">
        <v>4.6601782635176817E-3</v>
      </c>
      <c r="L922" t="s">
        <v>158</v>
      </c>
      <c r="N922" t="s">
        <v>369</v>
      </c>
      <c r="O922" t="s">
        <v>467</v>
      </c>
      <c r="P922">
        <v>1.4722389033270977E-2</v>
      </c>
      <c r="Q922" t="s">
        <v>158</v>
      </c>
    </row>
    <row r="923" spans="9:17" x14ac:dyDescent="0.45">
      <c r="I923" t="s">
        <v>234</v>
      </c>
      <c r="J923" t="s">
        <v>456</v>
      </c>
      <c r="K923">
        <v>0.20802948914521585</v>
      </c>
      <c r="L923" t="s">
        <v>158</v>
      </c>
      <c r="N923" t="s">
        <v>370</v>
      </c>
      <c r="O923" t="s">
        <v>456</v>
      </c>
      <c r="P923">
        <v>0.13658499611405292</v>
      </c>
      <c r="Q923" t="s">
        <v>158</v>
      </c>
    </row>
    <row r="924" spans="9:17" x14ac:dyDescent="0.45">
      <c r="I924" t="s">
        <v>234</v>
      </c>
      <c r="J924" t="s">
        <v>457</v>
      </c>
      <c r="K924">
        <v>0</v>
      </c>
      <c r="L924" t="s">
        <v>158</v>
      </c>
      <c r="N924" t="s">
        <v>370</v>
      </c>
      <c r="O924" t="s">
        <v>457</v>
      </c>
      <c r="P924">
        <v>0.14383729215035018</v>
      </c>
      <c r="Q924" t="s">
        <v>158</v>
      </c>
    </row>
    <row r="925" spans="9:17" x14ac:dyDescent="0.45">
      <c r="I925" t="s">
        <v>234</v>
      </c>
      <c r="J925" t="s">
        <v>458</v>
      </c>
      <c r="K925">
        <v>8.0670129543557595E-3</v>
      </c>
      <c r="L925" t="s">
        <v>158</v>
      </c>
      <c r="N925" t="s">
        <v>370</v>
      </c>
      <c r="O925" t="s">
        <v>458</v>
      </c>
      <c r="P925">
        <v>2.6905924670987683E-2</v>
      </c>
      <c r="Q925" t="s">
        <v>158</v>
      </c>
    </row>
    <row r="926" spans="9:17" x14ac:dyDescent="0.45">
      <c r="I926" t="s">
        <v>234</v>
      </c>
      <c r="J926" t="s">
        <v>459</v>
      </c>
      <c r="K926">
        <v>0.29385074459796007</v>
      </c>
      <c r="L926" t="s">
        <v>158</v>
      </c>
      <c r="N926" t="s">
        <v>370</v>
      </c>
      <c r="O926" t="s">
        <v>459</v>
      </c>
      <c r="P926">
        <v>0.14861274707434211</v>
      </c>
      <c r="Q926" t="s">
        <v>158</v>
      </c>
    </row>
    <row r="927" spans="9:17" x14ac:dyDescent="0.45">
      <c r="I927" t="s">
        <v>234</v>
      </c>
      <c r="J927" t="s">
        <v>460</v>
      </c>
      <c r="K927">
        <v>4.1501236976907449E-3</v>
      </c>
      <c r="L927" t="s">
        <v>158</v>
      </c>
      <c r="N927" t="s">
        <v>370</v>
      </c>
      <c r="O927" t="s">
        <v>460</v>
      </c>
      <c r="P927">
        <v>0.15899753037372522</v>
      </c>
      <c r="Q927" t="s">
        <v>158</v>
      </c>
    </row>
    <row r="928" spans="9:17" x14ac:dyDescent="0.45">
      <c r="I928" t="s">
        <v>234</v>
      </c>
      <c r="J928" t="s">
        <v>461</v>
      </c>
      <c r="K928">
        <v>2.4183238785378931E-2</v>
      </c>
      <c r="L928" t="s">
        <v>158</v>
      </c>
      <c r="N928" t="s">
        <v>370</v>
      </c>
      <c r="O928" t="s">
        <v>461</v>
      </c>
      <c r="P928">
        <v>2.8114004324207777E-2</v>
      </c>
      <c r="Q928" t="s">
        <v>158</v>
      </c>
    </row>
    <row r="929" spans="9:17" x14ac:dyDescent="0.45">
      <c r="I929" t="s">
        <v>234</v>
      </c>
      <c r="J929" t="s">
        <v>462</v>
      </c>
      <c r="K929">
        <v>0.2354756797510032</v>
      </c>
      <c r="L929" t="s">
        <v>158</v>
      </c>
      <c r="N929" t="s">
        <v>370</v>
      </c>
      <c r="O929" t="s">
        <v>462</v>
      </c>
      <c r="P929">
        <v>7.30597171919318E-2</v>
      </c>
      <c r="Q929" t="s">
        <v>158</v>
      </c>
    </row>
    <row r="930" spans="9:17" x14ac:dyDescent="0.45">
      <c r="I930" t="s">
        <v>234</v>
      </c>
      <c r="J930" t="s">
        <v>463</v>
      </c>
      <c r="K930">
        <v>1.0264274493013084E-2</v>
      </c>
      <c r="L930" t="s">
        <v>158</v>
      </c>
      <c r="N930" t="s">
        <v>370</v>
      </c>
      <c r="O930" t="s">
        <v>463</v>
      </c>
      <c r="P930">
        <v>7.6478555968976028E-2</v>
      </c>
      <c r="Q930" t="s">
        <v>158</v>
      </c>
    </row>
    <row r="931" spans="9:17" x14ac:dyDescent="0.45">
      <c r="I931" t="s">
        <v>234</v>
      </c>
      <c r="J931" t="s">
        <v>464</v>
      </c>
      <c r="K931">
        <v>2.6564701971985238E-2</v>
      </c>
      <c r="L931" t="s">
        <v>158</v>
      </c>
      <c r="N931" t="s">
        <v>370</v>
      </c>
      <c r="O931" t="s">
        <v>464</v>
      </c>
      <c r="P931">
        <v>1.3084224542320388E-2</v>
      </c>
      <c r="Q931" t="s">
        <v>158</v>
      </c>
    </row>
    <row r="932" spans="9:17" x14ac:dyDescent="0.45">
      <c r="I932" t="s">
        <v>234</v>
      </c>
      <c r="J932" t="s">
        <v>465</v>
      </c>
      <c r="K932">
        <v>0.18664122775429959</v>
      </c>
      <c r="L932" t="s">
        <v>158</v>
      </c>
      <c r="N932" t="s">
        <v>370</v>
      </c>
      <c r="O932" t="s">
        <v>465</v>
      </c>
      <c r="P932">
        <v>7.8371929106707261E-2</v>
      </c>
      <c r="Q932" t="s">
        <v>158</v>
      </c>
    </row>
    <row r="933" spans="9:17" x14ac:dyDescent="0.45">
      <c r="I933" t="s">
        <v>234</v>
      </c>
      <c r="J933" t="s">
        <v>466</v>
      </c>
      <c r="K933">
        <v>0</v>
      </c>
      <c r="L933" t="s">
        <v>158</v>
      </c>
      <c r="N933" t="s">
        <v>370</v>
      </c>
      <c r="O933" t="s">
        <v>466</v>
      </c>
      <c r="P933">
        <v>9.7193576140400875E-2</v>
      </c>
      <c r="Q933" t="s">
        <v>158</v>
      </c>
    </row>
    <row r="934" spans="9:17" x14ac:dyDescent="0.45">
      <c r="I934" t="s">
        <v>234</v>
      </c>
      <c r="J934" t="s">
        <v>467</v>
      </c>
      <c r="K934">
        <v>2.7735068490967935E-3</v>
      </c>
      <c r="L934" t="s">
        <v>158</v>
      </c>
      <c r="N934" t="s">
        <v>370</v>
      </c>
      <c r="O934" t="s">
        <v>467</v>
      </c>
      <c r="P934">
        <v>1.8759502341999482E-2</v>
      </c>
      <c r="Q934" t="s">
        <v>158</v>
      </c>
    </row>
    <row r="935" spans="9:17" x14ac:dyDescent="0.45">
      <c r="I935" t="s">
        <v>235</v>
      </c>
      <c r="J935" t="s">
        <v>456</v>
      </c>
      <c r="K935">
        <v>0.20635467199697158</v>
      </c>
      <c r="L935" t="s">
        <v>158</v>
      </c>
      <c r="N935" t="s">
        <v>371</v>
      </c>
      <c r="O935" t="s">
        <v>456</v>
      </c>
      <c r="P935">
        <v>0.1344783929754271</v>
      </c>
      <c r="Q935" t="s">
        <v>158</v>
      </c>
    </row>
    <row r="936" spans="9:17" x14ac:dyDescent="0.45">
      <c r="I936" t="s">
        <v>235</v>
      </c>
      <c r="J936" t="s">
        <v>457</v>
      </c>
      <c r="K936">
        <v>0</v>
      </c>
      <c r="L936" t="s">
        <v>158</v>
      </c>
      <c r="N936" t="s">
        <v>371</v>
      </c>
      <c r="O936" t="s">
        <v>457</v>
      </c>
      <c r="P936">
        <v>0.13343927011536708</v>
      </c>
      <c r="Q936" t="s">
        <v>158</v>
      </c>
    </row>
    <row r="937" spans="9:17" x14ac:dyDescent="0.45">
      <c r="I937" t="s">
        <v>235</v>
      </c>
      <c r="J937" t="s">
        <v>458</v>
      </c>
      <c r="K937">
        <v>8.4125834850591798E-3</v>
      </c>
      <c r="L937" t="s">
        <v>158</v>
      </c>
      <c r="N937" t="s">
        <v>371</v>
      </c>
      <c r="O937" t="s">
        <v>458</v>
      </c>
      <c r="P937">
        <v>2.6150363945043432E-2</v>
      </c>
      <c r="Q937" t="s">
        <v>158</v>
      </c>
    </row>
    <row r="938" spans="9:17" x14ac:dyDescent="0.45">
      <c r="I938" t="s">
        <v>235</v>
      </c>
      <c r="J938" t="s">
        <v>459</v>
      </c>
      <c r="K938">
        <v>0.3001934743380984</v>
      </c>
      <c r="L938" t="s">
        <v>158</v>
      </c>
      <c r="N938" t="s">
        <v>371</v>
      </c>
      <c r="O938" t="s">
        <v>459</v>
      </c>
      <c r="P938">
        <v>0.14356856207228266</v>
      </c>
      <c r="Q938" t="s">
        <v>158</v>
      </c>
    </row>
    <row r="939" spans="9:17" x14ac:dyDescent="0.45">
      <c r="I939" t="s">
        <v>235</v>
      </c>
      <c r="J939" t="s">
        <v>460</v>
      </c>
      <c r="K939">
        <v>3.619560343710808E-3</v>
      </c>
      <c r="L939" t="s">
        <v>158</v>
      </c>
      <c r="N939" t="s">
        <v>371</v>
      </c>
      <c r="O939" t="s">
        <v>460</v>
      </c>
      <c r="P939">
        <v>0.14170694919238097</v>
      </c>
      <c r="Q939" t="s">
        <v>158</v>
      </c>
    </row>
    <row r="940" spans="9:17" x14ac:dyDescent="0.45">
      <c r="I940" t="s">
        <v>235</v>
      </c>
      <c r="J940" t="s">
        <v>461</v>
      </c>
      <c r="K940">
        <v>2.4059245877183447E-2</v>
      </c>
      <c r="L940" t="s">
        <v>158</v>
      </c>
      <c r="N940" t="s">
        <v>371</v>
      </c>
      <c r="O940" t="s">
        <v>461</v>
      </c>
      <c r="P940">
        <v>2.3907243009771258E-2</v>
      </c>
      <c r="Q940" t="s">
        <v>158</v>
      </c>
    </row>
    <row r="941" spans="9:17" x14ac:dyDescent="0.45">
      <c r="I941" t="s">
        <v>235</v>
      </c>
      <c r="J941" t="s">
        <v>462</v>
      </c>
      <c r="K941">
        <v>0.22916350136488439</v>
      </c>
      <c r="L941" t="s">
        <v>158</v>
      </c>
      <c r="N941" t="s">
        <v>371</v>
      </c>
      <c r="O941" t="s">
        <v>462</v>
      </c>
      <c r="P941">
        <v>6.4019560750831747E-2</v>
      </c>
      <c r="Q941" t="s">
        <v>158</v>
      </c>
    </row>
    <row r="942" spans="9:17" x14ac:dyDescent="0.45">
      <c r="I942" t="s">
        <v>235</v>
      </c>
      <c r="J942" t="s">
        <v>463</v>
      </c>
      <c r="K942">
        <v>8.2099226280815361E-3</v>
      </c>
      <c r="L942" t="s">
        <v>158</v>
      </c>
      <c r="N942" t="s">
        <v>371</v>
      </c>
      <c r="O942" t="s">
        <v>463</v>
      </c>
      <c r="P942">
        <v>6.0204149444810576E-2</v>
      </c>
      <c r="Q942" t="s">
        <v>158</v>
      </c>
    </row>
    <row r="943" spans="9:17" x14ac:dyDescent="0.45">
      <c r="I943" t="s">
        <v>235</v>
      </c>
      <c r="J943" t="s">
        <v>464</v>
      </c>
      <c r="K943">
        <v>2.4602797370042458E-2</v>
      </c>
      <c r="L943" t="s">
        <v>158</v>
      </c>
      <c r="N943" t="s">
        <v>371</v>
      </c>
      <c r="O943" t="s">
        <v>464</v>
      </c>
      <c r="P943">
        <v>1.1326404485452413E-2</v>
      </c>
      <c r="Q943" t="s">
        <v>158</v>
      </c>
    </row>
    <row r="944" spans="9:17" x14ac:dyDescent="0.45">
      <c r="I944" t="s">
        <v>235</v>
      </c>
      <c r="J944" t="s">
        <v>465</v>
      </c>
      <c r="K944">
        <v>0.19224019177906906</v>
      </c>
      <c r="L944" t="s">
        <v>158</v>
      </c>
      <c r="N944" t="s">
        <v>371</v>
      </c>
      <c r="O944" t="s">
        <v>465</v>
      </c>
      <c r="P944">
        <v>0.10819201603057149</v>
      </c>
      <c r="Q944" t="s">
        <v>158</v>
      </c>
    </row>
    <row r="945" spans="9:17" x14ac:dyDescent="0.45">
      <c r="I945" t="s">
        <v>235</v>
      </c>
      <c r="J945" t="s">
        <v>466</v>
      </c>
      <c r="K945">
        <v>0</v>
      </c>
      <c r="L945" t="s">
        <v>158</v>
      </c>
      <c r="N945" t="s">
        <v>371</v>
      </c>
      <c r="O945" t="s">
        <v>466</v>
      </c>
      <c r="P945">
        <v>0.13031233985899038</v>
      </c>
      <c r="Q945" t="s">
        <v>158</v>
      </c>
    </row>
    <row r="946" spans="9:17" x14ac:dyDescent="0.45">
      <c r="I946" t="s">
        <v>235</v>
      </c>
      <c r="J946" t="s">
        <v>467</v>
      </c>
      <c r="K946">
        <v>3.1440508168993973E-3</v>
      </c>
      <c r="L946" t="s">
        <v>158</v>
      </c>
      <c r="N946" t="s">
        <v>371</v>
      </c>
      <c r="O946" t="s">
        <v>467</v>
      </c>
      <c r="P946">
        <v>2.2694748119070601E-2</v>
      </c>
      <c r="Q946" t="s">
        <v>158</v>
      </c>
    </row>
    <row r="947" spans="9:17" x14ac:dyDescent="0.45">
      <c r="I947" t="s">
        <v>236</v>
      </c>
      <c r="J947" t="s">
        <v>456</v>
      </c>
      <c r="K947">
        <v>0.19728998576517373</v>
      </c>
      <c r="L947" t="s">
        <v>158</v>
      </c>
      <c r="N947" t="s">
        <v>372</v>
      </c>
      <c r="O947" t="s">
        <v>456</v>
      </c>
      <c r="P947">
        <v>0.12898830411655315</v>
      </c>
      <c r="Q947" t="s">
        <v>158</v>
      </c>
    </row>
    <row r="948" spans="9:17" x14ac:dyDescent="0.45">
      <c r="I948" t="s">
        <v>236</v>
      </c>
      <c r="J948" t="s">
        <v>457</v>
      </c>
      <c r="K948">
        <v>0</v>
      </c>
      <c r="L948" t="s">
        <v>158</v>
      </c>
      <c r="N948" t="s">
        <v>372</v>
      </c>
      <c r="O948" t="s">
        <v>457</v>
      </c>
      <c r="P948">
        <v>0.14937547641596982</v>
      </c>
      <c r="Q948" t="s">
        <v>158</v>
      </c>
    </row>
    <row r="949" spans="9:17" x14ac:dyDescent="0.45">
      <c r="I949" t="s">
        <v>236</v>
      </c>
      <c r="J949" t="s">
        <v>458</v>
      </c>
      <c r="K949">
        <v>8.6789883497782622E-3</v>
      </c>
      <c r="L949" t="s">
        <v>158</v>
      </c>
      <c r="N949" t="s">
        <v>372</v>
      </c>
      <c r="O949" t="s">
        <v>458</v>
      </c>
      <c r="P949">
        <v>2.5958366212889564E-2</v>
      </c>
      <c r="Q949" t="s">
        <v>158</v>
      </c>
    </row>
    <row r="950" spans="9:17" x14ac:dyDescent="0.45">
      <c r="I950" t="s">
        <v>236</v>
      </c>
      <c r="J950" t="s">
        <v>459</v>
      </c>
      <c r="K950">
        <v>0.29728718509158086</v>
      </c>
      <c r="L950" t="s">
        <v>158</v>
      </c>
      <c r="N950" t="s">
        <v>372</v>
      </c>
      <c r="O950" t="s">
        <v>459</v>
      </c>
      <c r="P950">
        <v>0.1541910656704798</v>
      </c>
      <c r="Q950" t="s">
        <v>158</v>
      </c>
    </row>
    <row r="951" spans="9:17" x14ac:dyDescent="0.45">
      <c r="I951" t="s">
        <v>236</v>
      </c>
      <c r="J951" t="s">
        <v>460</v>
      </c>
      <c r="K951">
        <v>5.5108766706480992E-3</v>
      </c>
      <c r="L951" t="s">
        <v>158</v>
      </c>
      <c r="N951" t="s">
        <v>372</v>
      </c>
      <c r="O951" t="s">
        <v>460</v>
      </c>
      <c r="P951">
        <v>0.16484919719234786</v>
      </c>
      <c r="Q951" t="s">
        <v>158</v>
      </c>
    </row>
    <row r="952" spans="9:17" x14ac:dyDescent="0.45">
      <c r="I952" t="s">
        <v>236</v>
      </c>
      <c r="J952" t="s">
        <v>461</v>
      </c>
      <c r="K952">
        <v>2.6566429818582055E-2</v>
      </c>
      <c r="L952" t="s">
        <v>158</v>
      </c>
      <c r="N952" t="s">
        <v>372</v>
      </c>
      <c r="O952" t="s">
        <v>461</v>
      </c>
      <c r="P952">
        <v>2.3757043876847919E-2</v>
      </c>
      <c r="Q952" t="s">
        <v>158</v>
      </c>
    </row>
    <row r="953" spans="9:17" x14ac:dyDescent="0.45">
      <c r="I953" t="s">
        <v>236</v>
      </c>
      <c r="J953" t="s">
        <v>462</v>
      </c>
      <c r="K953">
        <v>0.24361305144081533</v>
      </c>
      <c r="L953" t="s">
        <v>158</v>
      </c>
      <c r="N953" t="s">
        <v>372</v>
      </c>
      <c r="O953" t="s">
        <v>462</v>
      </c>
      <c r="P953">
        <v>8.1414872212806341E-2</v>
      </c>
      <c r="Q953" t="s">
        <v>158</v>
      </c>
    </row>
    <row r="954" spans="9:17" x14ac:dyDescent="0.45">
      <c r="I954" t="s">
        <v>236</v>
      </c>
      <c r="J954" t="s">
        <v>463</v>
      </c>
      <c r="K954">
        <v>1.4112740193289867E-2</v>
      </c>
      <c r="L954" t="s">
        <v>158</v>
      </c>
      <c r="N954" t="s">
        <v>372</v>
      </c>
      <c r="O954" t="s">
        <v>463</v>
      </c>
      <c r="P954">
        <v>9.8898026787504853E-2</v>
      </c>
      <c r="Q954" t="s">
        <v>158</v>
      </c>
    </row>
    <row r="955" spans="9:17" x14ac:dyDescent="0.45">
      <c r="I955" t="s">
        <v>236</v>
      </c>
      <c r="J955" t="s">
        <v>464</v>
      </c>
      <c r="K955">
        <v>2.9562268285927947E-2</v>
      </c>
      <c r="L955" t="s">
        <v>158</v>
      </c>
      <c r="N955" t="s">
        <v>372</v>
      </c>
      <c r="O955" t="s">
        <v>464</v>
      </c>
      <c r="P955">
        <v>1.2460507705179667E-2</v>
      </c>
      <c r="Q955" t="s">
        <v>158</v>
      </c>
    </row>
    <row r="956" spans="9:17" x14ac:dyDescent="0.45">
      <c r="I956" t="s">
        <v>236</v>
      </c>
      <c r="J956" t="s">
        <v>465</v>
      </c>
      <c r="K956">
        <v>0.17426505946145235</v>
      </c>
      <c r="L956" t="s">
        <v>158</v>
      </c>
      <c r="N956" t="s">
        <v>372</v>
      </c>
      <c r="O956" t="s">
        <v>465</v>
      </c>
      <c r="P956">
        <v>5.6268587284850673E-2</v>
      </c>
      <c r="Q956" t="s">
        <v>158</v>
      </c>
    </row>
    <row r="957" spans="9:17" x14ac:dyDescent="0.45">
      <c r="I957" t="s">
        <v>236</v>
      </c>
      <c r="J957" t="s">
        <v>466</v>
      </c>
      <c r="K957">
        <v>0</v>
      </c>
      <c r="L957" t="s">
        <v>158</v>
      </c>
      <c r="N957" t="s">
        <v>372</v>
      </c>
      <c r="O957" t="s">
        <v>466</v>
      </c>
      <c r="P957">
        <v>8.9826283945431865E-2</v>
      </c>
      <c r="Q957" t="s">
        <v>158</v>
      </c>
    </row>
    <row r="958" spans="9:17" x14ac:dyDescent="0.45">
      <c r="I958" t="s">
        <v>236</v>
      </c>
      <c r="J958" t="s">
        <v>467</v>
      </c>
      <c r="K958">
        <v>3.1134149227520802E-3</v>
      </c>
      <c r="L958" t="s">
        <v>158</v>
      </c>
      <c r="N958" t="s">
        <v>372</v>
      </c>
      <c r="O958" t="s">
        <v>467</v>
      </c>
      <c r="P958">
        <v>1.4012268579137595E-2</v>
      </c>
      <c r="Q958" t="s">
        <v>158</v>
      </c>
    </row>
    <row r="959" spans="9:17" x14ac:dyDescent="0.45">
      <c r="I959" t="s">
        <v>237</v>
      </c>
      <c r="J959" t="s">
        <v>456</v>
      </c>
      <c r="K959">
        <v>0.20294900351977072</v>
      </c>
      <c r="L959" t="s">
        <v>158</v>
      </c>
      <c r="N959" t="s">
        <v>373</v>
      </c>
      <c r="O959" t="s">
        <v>456</v>
      </c>
      <c r="P959">
        <v>0.11567137091710575</v>
      </c>
      <c r="Q959" t="s">
        <v>158</v>
      </c>
    </row>
    <row r="960" spans="9:17" x14ac:dyDescent="0.45">
      <c r="I960" t="s">
        <v>237</v>
      </c>
      <c r="J960" t="s">
        <v>457</v>
      </c>
      <c r="K960">
        <v>0</v>
      </c>
      <c r="L960" t="s">
        <v>158</v>
      </c>
      <c r="N960" t="s">
        <v>373</v>
      </c>
      <c r="O960" t="s">
        <v>457</v>
      </c>
      <c r="P960">
        <v>0.13840321247395385</v>
      </c>
      <c r="Q960" t="s">
        <v>158</v>
      </c>
    </row>
    <row r="961" spans="9:17" x14ac:dyDescent="0.45">
      <c r="I961" t="s">
        <v>237</v>
      </c>
      <c r="J961" t="s">
        <v>458</v>
      </c>
      <c r="K961">
        <v>8.0170758425591928E-3</v>
      </c>
      <c r="L961" t="s">
        <v>158</v>
      </c>
      <c r="N961" t="s">
        <v>373</v>
      </c>
      <c r="O961" t="s">
        <v>458</v>
      </c>
      <c r="P961">
        <v>2.1757569071058504E-2</v>
      </c>
      <c r="Q961" t="s">
        <v>158</v>
      </c>
    </row>
    <row r="962" spans="9:17" x14ac:dyDescent="0.45">
      <c r="I962" t="s">
        <v>237</v>
      </c>
      <c r="J962" t="s">
        <v>459</v>
      </c>
      <c r="K962">
        <v>0.29360028790252601</v>
      </c>
      <c r="L962" t="s">
        <v>158</v>
      </c>
      <c r="N962" t="s">
        <v>373</v>
      </c>
      <c r="O962" t="s">
        <v>459</v>
      </c>
      <c r="P962">
        <v>0.14558841664546288</v>
      </c>
      <c r="Q962" t="s">
        <v>158</v>
      </c>
    </row>
    <row r="963" spans="9:17" x14ac:dyDescent="0.45">
      <c r="I963" t="s">
        <v>237</v>
      </c>
      <c r="J963" t="s">
        <v>460</v>
      </c>
      <c r="K963">
        <v>5.0935761024437278E-3</v>
      </c>
      <c r="L963" t="s">
        <v>158</v>
      </c>
      <c r="N963" t="s">
        <v>373</v>
      </c>
      <c r="O963" t="s">
        <v>460</v>
      </c>
      <c r="P963">
        <v>0.17691313941553385</v>
      </c>
      <c r="Q963" t="s">
        <v>158</v>
      </c>
    </row>
    <row r="964" spans="9:17" x14ac:dyDescent="0.45">
      <c r="I964" t="s">
        <v>237</v>
      </c>
      <c r="J964" t="s">
        <v>461</v>
      </c>
      <c r="K964">
        <v>2.5333831280436495E-2</v>
      </c>
      <c r="L964" t="s">
        <v>158</v>
      </c>
      <c r="N964" t="s">
        <v>373</v>
      </c>
      <c r="O964" t="s">
        <v>461</v>
      </c>
      <c r="P964">
        <v>2.2604453910668138E-2</v>
      </c>
      <c r="Q964" t="s">
        <v>158</v>
      </c>
    </row>
    <row r="965" spans="9:17" x14ac:dyDescent="0.45">
      <c r="I965" t="s">
        <v>237</v>
      </c>
      <c r="J965" t="s">
        <v>462</v>
      </c>
      <c r="K965">
        <v>0.23969119888702431</v>
      </c>
      <c r="L965" t="s">
        <v>158</v>
      </c>
      <c r="N965" t="s">
        <v>373</v>
      </c>
      <c r="O965" t="s">
        <v>462</v>
      </c>
      <c r="P965">
        <v>7.2946568038613158E-2</v>
      </c>
      <c r="Q965" t="s">
        <v>158</v>
      </c>
    </row>
    <row r="966" spans="9:17" x14ac:dyDescent="0.45">
      <c r="I966" t="s">
        <v>237</v>
      </c>
      <c r="J966" t="s">
        <v>463</v>
      </c>
      <c r="K966">
        <v>1.3170812408959787E-2</v>
      </c>
      <c r="L966" t="s">
        <v>158</v>
      </c>
      <c r="N966" t="s">
        <v>373</v>
      </c>
      <c r="O966" t="s">
        <v>463</v>
      </c>
      <c r="P966">
        <v>9.1006815990255674E-2</v>
      </c>
      <c r="Q966" t="s">
        <v>158</v>
      </c>
    </row>
    <row r="967" spans="9:17" x14ac:dyDescent="0.45">
      <c r="I967" t="s">
        <v>237</v>
      </c>
      <c r="J967" t="s">
        <v>464</v>
      </c>
      <c r="K967">
        <v>2.9004853836104561E-2</v>
      </c>
      <c r="L967" t="s">
        <v>158</v>
      </c>
      <c r="N967" t="s">
        <v>373</v>
      </c>
      <c r="O967" t="s">
        <v>464</v>
      </c>
      <c r="P967">
        <v>1.2369448943954364E-2</v>
      </c>
      <c r="Q967" t="s">
        <v>158</v>
      </c>
    </row>
    <row r="968" spans="9:17" x14ac:dyDescent="0.45">
      <c r="I968" t="s">
        <v>237</v>
      </c>
      <c r="J968" t="s">
        <v>465</v>
      </c>
      <c r="K968">
        <v>0.1804053484686225</v>
      </c>
      <c r="L968" t="s">
        <v>158</v>
      </c>
      <c r="N968" t="s">
        <v>373</v>
      </c>
      <c r="O968" t="s">
        <v>465</v>
      </c>
      <c r="P968">
        <v>7.772212510379066E-2</v>
      </c>
      <c r="Q968" t="s">
        <v>158</v>
      </c>
    </row>
    <row r="969" spans="9:17" x14ac:dyDescent="0.45">
      <c r="I969" t="s">
        <v>237</v>
      </c>
      <c r="J969" t="s">
        <v>466</v>
      </c>
      <c r="K969">
        <v>0</v>
      </c>
      <c r="L969" t="s">
        <v>158</v>
      </c>
      <c r="N969" t="s">
        <v>373</v>
      </c>
      <c r="O969" t="s">
        <v>466</v>
      </c>
      <c r="P969">
        <v>0.11091722516127181</v>
      </c>
      <c r="Q969" t="s">
        <v>158</v>
      </c>
    </row>
    <row r="970" spans="9:17" x14ac:dyDescent="0.45">
      <c r="I970" t="s">
        <v>237</v>
      </c>
      <c r="J970" t="s">
        <v>467</v>
      </c>
      <c r="K970">
        <v>2.7340117515542218E-3</v>
      </c>
      <c r="L970" t="s">
        <v>158</v>
      </c>
      <c r="N970" t="s">
        <v>373</v>
      </c>
      <c r="O970" t="s">
        <v>467</v>
      </c>
      <c r="P970">
        <v>1.4099654328329643E-2</v>
      </c>
      <c r="Q970" t="s">
        <v>158</v>
      </c>
    </row>
    <row r="971" spans="9:17" x14ac:dyDescent="0.45">
      <c r="I971" t="s">
        <v>238</v>
      </c>
      <c r="J971" t="s">
        <v>456</v>
      </c>
      <c r="K971">
        <v>0.19611288130652732</v>
      </c>
      <c r="L971" t="s">
        <v>158</v>
      </c>
      <c r="N971" t="s">
        <v>374</v>
      </c>
      <c r="O971" t="s">
        <v>456</v>
      </c>
      <c r="P971">
        <v>0.13624768924310932</v>
      </c>
      <c r="Q971" t="s">
        <v>158</v>
      </c>
    </row>
    <row r="972" spans="9:17" x14ac:dyDescent="0.45">
      <c r="I972" t="s">
        <v>238</v>
      </c>
      <c r="J972" t="s">
        <v>457</v>
      </c>
      <c r="K972">
        <v>1.7880843058264381E-4</v>
      </c>
      <c r="L972" t="s">
        <v>158</v>
      </c>
      <c r="N972" t="s">
        <v>374</v>
      </c>
      <c r="O972" t="s">
        <v>457</v>
      </c>
      <c r="P972">
        <v>0.15394163527718563</v>
      </c>
      <c r="Q972" t="s">
        <v>158</v>
      </c>
    </row>
    <row r="973" spans="9:17" x14ac:dyDescent="0.45">
      <c r="I973" t="s">
        <v>238</v>
      </c>
      <c r="J973" t="s">
        <v>458</v>
      </c>
      <c r="K973">
        <v>9.7299357698573414E-3</v>
      </c>
      <c r="L973" t="s">
        <v>158</v>
      </c>
      <c r="N973" t="s">
        <v>374</v>
      </c>
      <c r="O973" t="s">
        <v>458</v>
      </c>
      <c r="P973">
        <v>2.8049898235546378E-2</v>
      </c>
      <c r="Q973" t="s">
        <v>158</v>
      </c>
    </row>
    <row r="974" spans="9:17" x14ac:dyDescent="0.45">
      <c r="I974" t="s">
        <v>238</v>
      </c>
      <c r="J974" t="s">
        <v>459</v>
      </c>
      <c r="K974">
        <v>0.2892340725764157</v>
      </c>
      <c r="L974" t="s">
        <v>158</v>
      </c>
      <c r="N974" t="s">
        <v>374</v>
      </c>
      <c r="O974" t="s">
        <v>459</v>
      </c>
      <c r="P974">
        <v>0.15099573593530194</v>
      </c>
      <c r="Q974" t="s">
        <v>158</v>
      </c>
    </row>
    <row r="975" spans="9:17" x14ac:dyDescent="0.45">
      <c r="I975" t="s">
        <v>238</v>
      </c>
      <c r="J975" t="s">
        <v>460</v>
      </c>
      <c r="K975">
        <v>5.2165334570833518E-3</v>
      </c>
      <c r="L975" t="s">
        <v>158</v>
      </c>
      <c r="N975" t="s">
        <v>374</v>
      </c>
      <c r="O975" t="s">
        <v>460</v>
      </c>
      <c r="P975">
        <v>0.15601858634140847</v>
      </c>
      <c r="Q975" t="s">
        <v>158</v>
      </c>
    </row>
    <row r="976" spans="9:17" x14ac:dyDescent="0.45">
      <c r="I976" t="s">
        <v>238</v>
      </c>
      <c r="J976" t="s">
        <v>461</v>
      </c>
      <c r="K976">
        <v>2.7783793429663969E-2</v>
      </c>
      <c r="L976" t="s">
        <v>158</v>
      </c>
      <c r="N976" t="s">
        <v>374</v>
      </c>
      <c r="O976" t="s">
        <v>461</v>
      </c>
      <c r="P976">
        <v>2.0127488646042167E-2</v>
      </c>
      <c r="Q976" t="s">
        <v>158</v>
      </c>
    </row>
    <row r="977" spans="9:17" x14ac:dyDescent="0.45">
      <c r="I977" t="s">
        <v>238</v>
      </c>
      <c r="J977" t="s">
        <v>462</v>
      </c>
      <c r="K977">
        <v>0.24748097924695703</v>
      </c>
      <c r="L977" t="s">
        <v>158</v>
      </c>
      <c r="N977" t="s">
        <v>374</v>
      </c>
      <c r="O977" t="s">
        <v>462</v>
      </c>
      <c r="P977">
        <v>7.379001624471869E-2</v>
      </c>
      <c r="Q977" t="s">
        <v>158</v>
      </c>
    </row>
    <row r="978" spans="9:17" x14ac:dyDescent="0.45">
      <c r="I978" t="s">
        <v>238</v>
      </c>
      <c r="J978" t="s">
        <v>463</v>
      </c>
      <c r="K978">
        <v>1.4222844690467104E-2</v>
      </c>
      <c r="L978" t="s">
        <v>158</v>
      </c>
      <c r="N978" t="s">
        <v>374</v>
      </c>
      <c r="O978" t="s">
        <v>463</v>
      </c>
      <c r="P978">
        <v>9.2907875043705804E-2</v>
      </c>
      <c r="Q978" t="s">
        <v>158</v>
      </c>
    </row>
    <row r="979" spans="9:17" x14ac:dyDescent="0.45">
      <c r="I979" t="s">
        <v>238</v>
      </c>
      <c r="J979" t="s">
        <v>464</v>
      </c>
      <c r="K979">
        <v>3.1324856087680895E-2</v>
      </c>
      <c r="L979" t="s">
        <v>158</v>
      </c>
      <c r="N979" t="s">
        <v>374</v>
      </c>
      <c r="O979" t="s">
        <v>464</v>
      </c>
      <c r="P979">
        <v>1.2530191246611783E-2</v>
      </c>
      <c r="Q979" t="s">
        <v>158</v>
      </c>
    </row>
    <row r="980" spans="9:17" x14ac:dyDescent="0.45">
      <c r="I980" t="s">
        <v>238</v>
      </c>
      <c r="J980" t="s">
        <v>465</v>
      </c>
      <c r="K980">
        <v>0.17455508312958695</v>
      </c>
      <c r="L980" t="s">
        <v>158</v>
      </c>
      <c r="N980" t="s">
        <v>374</v>
      </c>
      <c r="O980" t="s">
        <v>465</v>
      </c>
      <c r="P980">
        <v>6.573482285340973E-2</v>
      </c>
      <c r="Q980" t="s">
        <v>158</v>
      </c>
    </row>
    <row r="981" spans="9:17" x14ac:dyDescent="0.45">
      <c r="I981" t="s">
        <v>238</v>
      </c>
      <c r="J981" t="s">
        <v>466</v>
      </c>
      <c r="K981">
        <v>0</v>
      </c>
      <c r="L981" t="s">
        <v>158</v>
      </c>
      <c r="N981" t="s">
        <v>374</v>
      </c>
      <c r="O981" t="s">
        <v>466</v>
      </c>
      <c r="P981">
        <v>9.6203611435428854E-2</v>
      </c>
      <c r="Q981" t="s">
        <v>158</v>
      </c>
    </row>
    <row r="982" spans="9:17" x14ac:dyDescent="0.45">
      <c r="I982" t="s">
        <v>238</v>
      </c>
      <c r="J982" t="s">
        <v>467</v>
      </c>
      <c r="K982">
        <v>4.1602118751796315E-3</v>
      </c>
      <c r="L982" t="s">
        <v>158</v>
      </c>
      <c r="N982" t="s">
        <v>374</v>
      </c>
      <c r="O982" t="s">
        <v>467</v>
      </c>
      <c r="P982">
        <v>1.3452449497528354E-2</v>
      </c>
      <c r="Q982" t="s">
        <v>158</v>
      </c>
    </row>
    <row r="983" spans="9:17" x14ac:dyDescent="0.45">
      <c r="I983" t="s">
        <v>239</v>
      </c>
      <c r="J983" t="s">
        <v>456</v>
      </c>
      <c r="K983">
        <v>0.20536943151595935</v>
      </c>
      <c r="L983" t="s">
        <v>158</v>
      </c>
      <c r="N983" t="s">
        <v>375</v>
      </c>
      <c r="O983" t="s">
        <v>456</v>
      </c>
      <c r="P983">
        <v>0.13476807824313802</v>
      </c>
      <c r="Q983" t="s">
        <v>158</v>
      </c>
    </row>
    <row r="984" spans="9:17" x14ac:dyDescent="0.45">
      <c r="I984" t="s">
        <v>239</v>
      </c>
      <c r="J984" t="s">
        <v>457</v>
      </c>
      <c r="K984">
        <v>6.4902174229251362E-6</v>
      </c>
      <c r="L984" t="s">
        <v>158</v>
      </c>
      <c r="N984" t="s">
        <v>375</v>
      </c>
      <c r="O984" t="s">
        <v>457</v>
      </c>
      <c r="P984">
        <v>0.13533656852770853</v>
      </c>
      <c r="Q984" t="s">
        <v>158</v>
      </c>
    </row>
    <row r="985" spans="9:17" x14ac:dyDescent="0.45">
      <c r="I985" t="s">
        <v>239</v>
      </c>
      <c r="J985" t="s">
        <v>458</v>
      </c>
      <c r="K985">
        <v>1.0239370597391238E-2</v>
      </c>
      <c r="L985" t="s">
        <v>158</v>
      </c>
      <c r="N985" t="s">
        <v>375</v>
      </c>
      <c r="O985" t="s">
        <v>458</v>
      </c>
      <c r="P985">
        <v>2.591540103606078E-2</v>
      </c>
      <c r="Q985" t="s">
        <v>158</v>
      </c>
    </row>
    <row r="986" spans="9:17" x14ac:dyDescent="0.45">
      <c r="I986" t="s">
        <v>239</v>
      </c>
      <c r="J986" t="s">
        <v>459</v>
      </c>
      <c r="K986">
        <v>0.29478038180148963</v>
      </c>
      <c r="L986" t="s">
        <v>158</v>
      </c>
      <c r="N986" t="s">
        <v>375</v>
      </c>
      <c r="O986" t="s">
        <v>459</v>
      </c>
      <c r="P986">
        <v>0.15263948147050557</v>
      </c>
      <c r="Q986" t="s">
        <v>158</v>
      </c>
    </row>
    <row r="987" spans="9:17" x14ac:dyDescent="0.45">
      <c r="I987" t="s">
        <v>239</v>
      </c>
      <c r="J987" t="s">
        <v>460</v>
      </c>
      <c r="K987">
        <v>4.3703341493687778E-3</v>
      </c>
      <c r="L987" t="s">
        <v>158</v>
      </c>
      <c r="N987" t="s">
        <v>375</v>
      </c>
      <c r="O987" t="s">
        <v>460</v>
      </c>
      <c r="P987">
        <v>0.14757006692722044</v>
      </c>
      <c r="Q987" t="s">
        <v>158</v>
      </c>
    </row>
    <row r="988" spans="9:17" x14ac:dyDescent="0.45">
      <c r="I988" t="s">
        <v>239</v>
      </c>
      <c r="J988" t="s">
        <v>461</v>
      </c>
      <c r="K988">
        <v>2.7240255366066023E-2</v>
      </c>
      <c r="L988" t="s">
        <v>158</v>
      </c>
      <c r="N988" t="s">
        <v>375</v>
      </c>
      <c r="O988" t="s">
        <v>461</v>
      </c>
      <c r="P988">
        <v>2.1260539270302446E-2</v>
      </c>
      <c r="Q988" t="s">
        <v>158</v>
      </c>
    </row>
    <row r="989" spans="9:17" x14ac:dyDescent="0.45">
      <c r="I989" t="s">
        <v>239</v>
      </c>
      <c r="J989" t="s">
        <v>462</v>
      </c>
      <c r="K989">
        <v>0.2319961254694009</v>
      </c>
      <c r="L989" t="s">
        <v>158</v>
      </c>
      <c r="N989" t="s">
        <v>375</v>
      </c>
      <c r="O989" t="s">
        <v>462</v>
      </c>
      <c r="P989">
        <v>7.0569704282850518E-2</v>
      </c>
      <c r="Q989" t="s">
        <v>158</v>
      </c>
    </row>
    <row r="990" spans="9:17" x14ac:dyDescent="0.45">
      <c r="I990" t="s">
        <v>239</v>
      </c>
      <c r="J990" t="s">
        <v>463</v>
      </c>
      <c r="K990">
        <v>1.1336145830768762E-2</v>
      </c>
      <c r="L990" t="s">
        <v>158</v>
      </c>
      <c r="N990" t="s">
        <v>375</v>
      </c>
      <c r="O990" t="s">
        <v>463</v>
      </c>
      <c r="P990">
        <v>8.1788140776962198E-2</v>
      </c>
      <c r="Q990" t="s">
        <v>158</v>
      </c>
    </row>
    <row r="991" spans="9:17" x14ac:dyDescent="0.45">
      <c r="I991" t="s">
        <v>239</v>
      </c>
      <c r="J991" t="s">
        <v>464</v>
      </c>
      <c r="K991">
        <v>2.7899593253600825E-2</v>
      </c>
      <c r="L991" t="s">
        <v>158</v>
      </c>
      <c r="N991" t="s">
        <v>375</v>
      </c>
      <c r="O991" t="s">
        <v>464</v>
      </c>
      <c r="P991">
        <v>1.280736168057745E-2</v>
      </c>
      <c r="Q991" t="s">
        <v>158</v>
      </c>
    </row>
    <row r="992" spans="9:17" x14ac:dyDescent="0.45">
      <c r="I992" t="s">
        <v>239</v>
      </c>
      <c r="J992" t="s">
        <v>465</v>
      </c>
      <c r="K992">
        <v>0.18273379736561451</v>
      </c>
      <c r="L992" t="s">
        <v>158</v>
      </c>
      <c r="N992" t="s">
        <v>375</v>
      </c>
      <c r="O992" t="s">
        <v>465</v>
      </c>
      <c r="P992">
        <v>8.4972797917279463E-2</v>
      </c>
      <c r="Q992" t="s">
        <v>158</v>
      </c>
    </row>
    <row r="993" spans="9:17" x14ac:dyDescent="0.45">
      <c r="I993" t="s">
        <v>239</v>
      </c>
      <c r="J993" t="s">
        <v>466</v>
      </c>
      <c r="K993">
        <v>0</v>
      </c>
      <c r="L993" t="s">
        <v>158</v>
      </c>
      <c r="N993" t="s">
        <v>375</v>
      </c>
      <c r="O993" t="s">
        <v>466</v>
      </c>
      <c r="P993">
        <v>0.11325032265833178</v>
      </c>
      <c r="Q993" t="s">
        <v>158</v>
      </c>
    </row>
    <row r="994" spans="9:17" x14ac:dyDescent="0.45">
      <c r="I994" t="s">
        <v>239</v>
      </c>
      <c r="J994" t="s">
        <v>467</v>
      </c>
      <c r="K994">
        <v>4.0280744329156612E-3</v>
      </c>
      <c r="L994" t="s">
        <v>158</v>
      </c>
      <c r="N994" t="s">
        <v>375</v>
      </c>
      <c r="O994" t="s">
        <v>467</v>
      </c>
      <c r="P994">
        <v>1.9121537209065696E-2</v>
      </c>
      <c r="Q994" t="s">
        <v>158</v>
      </c>
    </row>
    <row r="995" spans="9:17" x14ac:dyDescent="0.45">
      <c r="I995" t="s">
        <v>240</v>
      </c>
      <c r="J995" t="s">
        <v>456</v>
      </c>
      <c r="K995">
        <v>0.22009251441717562</v>
      </c>
      <c r="L995" t="s">
        <v>158</v>
      </c>
      <c r="N995" t="s">
        <v>376</v>
      </c>
      <c r="O995" t="s">
        <v>456</v>
      </c>
      <c r="P995">
        <v>0.11293362517422342</v>
      </c>
      <c r="Q995" t="s">
        <v>158</v>
      </c>
    </row>
    <row r="996" spans="9:17" x14ac:dyDescent="0.45">
      <c r="I996" t="s">
        <v>240</v>
      </c>
      <c r="J996" t="s">
        <v>457</v>
      </c>
      <c r="K996">
        <v>0</v>
      </c>
      <c r="L996" t="s">
        <v>158</v>
      </c>
      <c r="N996" t="s">
        <v>376</v>
      </c>
      <c r="O996" t="s">
        <v>457</v>
      </c>
      <c r="P996">
        <v>9.9779396006712054E-2</v>
      </c>
      <c r="Q996" t="s">
        <v>158</v>
      </c>
    </row>
    <row r="997" spans="9:17" x14ac:dyDescent="0.45">
      <c r="I997" t="s">
        <v>240</v>
      </c>
      <c r="J997" t="s">
        <v>458</v>
      </c>
      <c r="K997">
        <v>6.109923857389692E-3</v>
      </c>
      <c r="L997" t="s">
        <v>158</v>
      </c>
      <c r="N997" t="s">
        <v>376</v>
      </c>
      <c r="O997" t="s">
        <v>458</v>
      </c>
      <c r="P997">
        <v>2.2744267097337564E-2</v>
      </c>
      <c r="Q997" t="s">
        <v>158</v>
      </c>
    </row>
    <row r="998" spans="9:17" x14ac:dyDescent="0.45">
      <c r="I998" t="s">
        <v>240</v>
      </c>
      <c r="J998" t="s">
        <v>459</v>
      </c>
      <c r="K998">
        <v>0.27350974441554721</v>
      </c>
      <c r="L998" t="s">
        <v>158</v>
      </c>
      <c r="N998" t="s">
        <v>376</v>
      </c>
      <c r="O998" t="s">
        <v>459</v>
      </c>
      <c r="P998">
        <v>0.17426604597965104</v>
      </c>
      <c r="Q998" t="s">
        <v>158</v>
      </c>
    </row>
    <row r="999" spans="9:17" x14ac:dyDescent="0.45">
      <c r="I999" t="s">
        <v>240</v>
      </c>
      <c r="J999" t="s">
        <v>460</v>
      </c>
      <c r="K999">
        <v>1.0611335152661556E-3</v>
      </c>
      <c r="L999" t="s">
        <v>158</v>
      </c>
      <c r="N999" t="s">
        <v>376</v>
      </c>
      <c r="O999" t="s">
        <v>460</v>
      </c>
      <c r="P999">
        <v>0.16718941799112147</v>
      </c>
      <c r="Q999" t="s">
        <v>158</v>
      </c>
    </row>
    <row r="1000" spans="9:17" x14ac:dyDescent="0.45">
      <c r="I1000" t="s">
        <v>240</v>
      </c>
      <c r="J1000" t="s">
        <v>461</v>
      </c>
      <c r="K1000">
        <v>1.8370268455956993E-2</v>
      </c>
      <c r="L1000" t="s">
        <v>158</v>
      </c>
      <c r="N1000" t="s">
        <v>376</v>
      </c>
      <c r="O1000" t="s">
        <v>461</v>
      </c>
      <c r="P1000">
        <v>4.0475089689553018E-2</v>
      </c>
      <c r="Q1000" t="s">
        <v>158</v>
      </c>
    </row>
    <row r="1001" spans="9:17" x14ac:dyDescent="0.45">
      <c r="I1001" t="s">
        <v>240</v>
      </c>
      <c r="J1001" t="s">
        <v>462</v>
      </c>
      <c r="K1001">
        <v>0.24105674574749641</v>
      </c>
      <c r="L1001" t="s">
        <v>158</v>
      </c>
      <c r="N1001" t="s">
        <v>376</v>
      </c>
      <c r="O1001" t="s">
        <v>462</v>
      </c>
      <c r="P1001">
        <v>6.5463646689793334E-2</v>
      </c>
      <c r="Q1001" t="s">
        <v>158</v>
      </c>
    </row>
    <row r="1002" spans="9:17" x14ac:dyDescent="0.45">
      <c r="I1002" t="s">
        <v>240</v>
      </c>
      <c r="J1002" t="s">
        <v>463</v>
      </c>
      <c r="K1002">
        <v>4.1549832241326067E-3</v>
      </c>
      <c r="L1002" t="s">
        <v>158</v>
      </c>
      <c r="N1002" t="s">
        <v>376</v>
      </c>
      <c r="O1002" t="s">
        <v>463</v>
      </c>
      <c r="P1002">
        <v>6.9961104140599903E-2</v>
      </c>
      <c r="Q1002" t="s">
        <v>158</v>
      </c>
    </row>
    <row r="1003" spans="9:17" x14ac:dyDescent="0.45">
      <c r="I1003" t="s">
        <v>240</v>
      </c>
      <c r="J1003" t="s">
        <v>464</v>
      </c>
      <c r="K1003">
        <v>1.9667530156971508E-2</v>
      </c>
      <c r="L1003" t="s">
        <v>158</v>
      </c>
      <c r="N1003" t="s">
        <v>376</v>
      </c>
      <c r="O1003" t="s">
        <v>464</v>
      </c>
      <c r="P1003">
        <v>1.5003001410087518E-2</v>
      </c>
      <c r="Q1003" t="s">
        <v>158</v>
      </c>
    </row>
    <row r="1004" spans="9:17" x14ac:dyDescent="0.45">
      <c r="I1004" t="s">
        <v>240</v>
      </c>
      <c r="J1004" t="s">
        <v>465</v>
      </c>
      <c r="K1004">
        <v>0.21226217453304363</v>
      </c>
      <c r="L1004" t="s">
        <v>158</v>
      </c>
      <c r="N1004" t="s">
        <v>376</v>
      </c>
      <c r="O1004" t="s">
        <v>465</v>
      </c>
      <c r="P1004">
        <v>9.8066302353175802E-2</v>
      </c>
      <c r="Q1004" t="s">
        <v>158</v>
      </c>
    </row>
    <row r="1005" spans="9:17" x14ac:dyDescent="0.45">
      <c r="I1005" t="s">
        <v>240</v>
      </c>
      <c r="J1005" t="s">
        <v>466</v>
      </c>
      <c r="K1005">
        <v>0</v>
      </c>
      <c r="L1005" t="s">
        <v>158</v>
      </c>
      <c r="N1005" t="s">
        <v>376</v>
      </c>
      <c r="O1005" t="s">
        <v>466</v>
      </c>
      <c r="P1005">
        <v>0.11336048129560633</v>
      </c>
      <c r="Q1005" t="s">
        <v>158</v>
      </c>
    </row>
    <row r="1006" spans="9:17" x14ac:dyDescent="0.45">
      <c r="I1006" t="s">
        <v>240</v>
      </c>
      <c r="J1006" t="s">
        <v>467</v>
      </c>
      <c r="K1006">
        <v>3.7149816770237205E-3</v>
      </c>
      <c r="L1006" t="s">
        <v>158</v>
      </c>
      <c r="N1006" t="s">
        <v>376</v>
      </c>
      <c r="O1006" t="s">
        <v>467</v>
      </c>
      <c r="P1006">
        <v>2.0757622172141124E-2</v>
      </c>
      <c r="Q1006" t="s">
        <v>158</v>
      </c>
    </row>
    <row r="1007" spans="9:17" x14ac:dyDescent="0.45">
      <c r="I1007" t="s">
        <v>241</v>
      </c>
      <c r="J1007" t="s">
        <v>456</v>
      </c>
      <c r="K1007">
        <v>0.22284321022496431</v>
      </c>
      <c r="L1007" t="s">
        <v>158</v>
      </c>
      <c r="N1007" t="s">
        <v>377</v>
      </c>
      <c r="O1007" t="s">
        <v>456</v>
      </c>
      <c r="P1007">
        <v>0.14319996013012734</v>
      </c>
      <c r="Q1007" t="s">
        <v>158</v>
      </c>
    </row>
    <row r="1008" spans="9:17" x14ac:dyDescent="0.45">
      <c r="I1008" t="s">
        <v>241</v>
      </c>
      <c r="J1008" t="s">
        <v>457</v>
      </c>
      <c r="K1008">
        <v>0</v>
      </c>
      <c r="L1008" t="s">
        <v>158</v>
      </c>
      <c r="N1008" t="s">
        <v>377</v>
      </c>
      <c r="O1008" t="s">
        <v>457</v>
      </c>
      <c r="P1008">
        <v>9.1018530255557728E-2</v>
      </c>
      <c r="Q1008" t="s">
        <v>158</v>
      </c>
    </row>
    <row r="1009" spans="9:17" x14ac:dyDescent="0.45">
      <c r="I1009" t="s">
        <v>241</v>
      </c>
      <c r="J1009" t="s">
        <v>458</v>
      </c>
      <c r="K1009">
        <v>7.5309854807666882E-3</v>
      </c>
      <c r="L1009" t="s">
        <v>158</v>
      </c>
      <c r="N1009" t="s">
        <v>377</v>
      </c>
      <c r="O1009" t="s">
        <v>458</v>
      </c>
      <c r="P1009">
        <v>1.8879409101650941E-2</v>
      </c>
      <c r="Q1009" t="s">
        <v>158</v>
      </c>
    </row>
    <row r="1010" spans="9:17" x14ac:dyDescent="0.45">
      <c r="I1010" t="s">
        <v>241</v>
      </c>
      <c r="J1010" t="s">
        <v>459</v>
      </c>
      <c r="K1010">
        <v>0.26963908912644446</v>
      </c>
      <c r="L1010" t="s">
        <v>158</v>
      </c>
      <c r="N1010" t="s">
        <v>377</v>
      </c>
      <c r="O1010" t="s">
        <v>459</v>
      </c>
      <c r="P1010">
        <v>0.21875005430086636</v>
      </c>
      <c r="Q1010" t="s">
        <v>158</v>
      </c>
    </row>
    <row r="1011" spans="9:17" x14ac:dyDescent="0.45">
      <c r="I1011" t="s">
        <v>241</v>
      </c>
      <c r="J1011" t="s">
        <v>460</v>
      </c>
      <c r="K1011">
        <v>8.6632225908735584E-4</v>
      </c>
      <c r="L1011" t="s">
        <v>158</v>
      </c>
      <c r="N1011" t="s">
        <v>377</v>
      </c>
      <c r="O1011" t="s">
        <v>460</v>
      </c>
      <c r="P1011">
        <v>0.10710021230137708</v>
      </c>
      <c r="Q1011" t="s">
        <v>158</v>
      </c>
    </row>
    <row r="1012" spans="9:17" x14ac:dyDescent="0.45">
      <c r="I1012" t="s">
        <v>241</v>
      </c>
      <c r="J1012" t="s">
        <v>461</v>
      </c>
      <c r="K1012">
        <v>2.0548665183256497E-2</v>
      </c>
      <c r="L1012" t="s">
        <v>158</v>
      </c>
      <c r="N1012" t="s">
        <v>377</v>
      </c>
      <c r="O1012" t="s">
        <v>461</v>
      </c>
      <c r="P1012">
        <v>3.1481043838141938E-2</v>
      </c>
      <c r="Q1012" t="s">
        <v>158</v>
      </c>
    </row>
    <row r="1013" spans="9:17" x14ac:dyDescent="0.45">
      <c r="I1013" t="s">
        <v>241</v>
      </c>
      <c r="J1013" t="s">
        <v>462</v>
      </c>
      <c r="K1013">
        <v>0.23685705480804195</v>
      </c>
      <c r="L1013" t="s">
        <v>158</v>
      </c>
      <c r="N1013" t="s">
        <v>377</v>
      </c>
      <c r="O1013" t="s">
        <v>462</v>
      </c>
      <c r="P1013">
        <v>6.2172878201964467E-2</v>
      </c>
      <c r="Q1013" t="s">
        <v>158</v>
      </c>
    </row>
    <row r="1014" spans="9:17" x14ac:dyDescent="0.45">
      <c r="I1014" t="s">
        <v>241</v>
      </c>
      <c r="J1014" t="s">
        <v>463</v>
      </c>
      <c r="K1014">
        <v>3.7830085025540431E-3</v>
      </c>
      <c r="L1014" t="s">
        <v>158</v>
      </c>
      <c r="N1014" t="s">
        <v>377</v>
      </c>
      <c r="O1014" t="s">
        <v>463</v>
      </c>
      <c r="P1014">
        <v>2.6291373445492278E-2</v>
      </c>
      <c r="Q1014" t="s">
        <v>158</v>
      </c>
    </row>
    <row r="1015" spans="9:17" x14ac:dyDescent="0.45">
      <c r="I1015" t="s">
        <v>241</v>
      </c>
      <c r="J1015" t="s">
        <v>464</v>
      </c>
      <c r="K1015">
        <v>2.0551104808762027E-2</v>
      </c>
      <c r="L1015" t="s">
        <v>158</v>
      </c>
      <c r="N1015" t="s">
        <v>377</v>
      </c>
      <c r="O1015" t="s">
        <v>464</v>
      </c>
      <c r="P1015">
        <v>8.0593173522728514E-3</v>
      </c>
      <c r="Q1015" t="s">
        <v>158</v>
      </c>
    </row>
    <row r="1016" spans="9:17" x14ac:dyDescent="0.45">
      <c r="I1016" t="s">
        <v>241</v>
      </c>
      <c r="J1016" t="s">
        <v>465</v>
      </c>
      <c r="K1016">
        <v>0.21197309860200889</v>
      </c>
      <c r="L1016" t="s">
        <v>158</v>
      </c>
      <c r="N1016" t="s">
        <v>377</v>
      </c>
      <c r="O1016" t="s">
        <v>465</v>
      </c>
      <c r="P1016">
        <v>0.15900266732265392</v>
      </c>
      <c r="Q1016" t="s">
        <v>158</v>
      </c>
    </row>
    <row r="1017" spans="9:17" x14ac:dyDescent="0.45">
      <c r="I1017" t="s">
        <v>241</v>
      </c>
      <c r="J1017" t="s">
        <v>466</v>
      </c>
      <c r="K1017">
        <v>0</v>
      </c>
      <c r="L1017" t="s">
        <v>158</v>
      </c>
      <c r="N1017" t="s">
        <v>377</v>
      </c>
      <c r="O1017" t="s">
        <v>466</v>
      </c>
      <c r="P1017">
        <v>0.11321491809096897</v>
      </c>
      <c r="Q1017" t="s">
        <v>158</v>
      </c>
    </row>
    <row r="1018" spans="9:17" x14ac:dyDescent="0.45">
      <c r="I1018" t="s">
        <v>241</v>
      </c>
      <c r="J1018" t="s">
        <v>467</v>
      </c>
      <c r="K1018">
        <v>5.4074610041123386E-3</v>
      </c>
      <c r="L1018" t="s">
        <v>158</v>
      </c>
      <c r="N1018" t="s">
        <v>377</v>
      </c>
      <c r="O1018" t="s">
        <v>467</v>
      </c>
      <c r="P1018">
        <v>2.0829635658923578E-2</v>
      </c>
      <c r="Q1018" t="s">
        <v>158</v>
      </c>
    </row>
    <row r="1019" spans="9:17" x14ac:dyDescent="0.45">
      <c r="I1019" t="s">
        <v>242</v>
      </c>
      <c r="J1019" t="s">
        <v>456</v>
      </c>
      <c r="K1019">
        <v>0.20331209018575433</v>
      </c>
      <c r="L1019" t="s">
        <v>158</v>
      </c>
      <c r="N1019" t="s">
        <v>378</v>
      </c>
      <c r="O1019" t="s">
        <v>456</v>
      </c>
      <c r="P1019">
        <v>0.12496558541780729</v>
      </c>
      <c r="Q1019" t="s">
        <v>158</v>
      </c>
    </row>
    <row r="1020" spans="9:17" x14ac:dyDescent="0.45">
      <c r="I1020" t="s">
        <v>242</v>
      </c>
      <c r="J1020" t="s">
        <v>457</v>
      </c>
      <c r="K1020">
        <v>0</v>
      </c>
      <c r="L1020" t="s">
        <v>158</v>
      </c>
      <c r="N1020" t="s">
        <v>378</v>
      </c>
      <c r="O1020" t="s">
        <v>457</v>
      </c>
      <c r="P1020">
        <v>9.6353233110439612E-2</v>
      </c>
      <c r="Q1020" t="s">
        <v>158</v>
      </c>
    </row>
    <row r="1021" spans="9:17" x14ac:dyDescent="0.45">
      <c r="I1021" t="s">
        <v>242</v>
      </c>
      <c r="J1021" t="s">
        <v>458</v>
      </c>
      <c r="K1021">
        <v>5.0128845888725267E-3</v>
      </c>
      <c r="L1021" t="s">
        <v>158</v>
      </c>
      <c r="N1021" t="s">
        <v>378</v>
      </c>
      <c r="O1021" t="s">
        <v>458</v>
      </c>
      <c r="P1021">
        <v>2.1624395659034176E-2</v>
      </c>
      <c r="Q1021" t="s">
        <v>158</v>
      </c>
    </row>
    <row r="1022" spans="9:17" x14ac:dyDescent="0.45">
      <c r="I1022" t="s">
        <v>242</v>
      </c>
      <c r="J1022" t="s">
        <v>459</v>
      </c>
      <c r="K1022">
        <v>0.30132623020648197</v>
      </c>
      <c r="L1022" t="s">
        <v>158</v>
      </c>
      <c r="N1022" t="s">
        <v>378</v>
      </c>
      <c r="O1022" t="s">
        <v>459</v>
      </c>
      <c r="P1022">
        <v>0.16436612049294458</v>
      </c>
      <c r="Q1022" t="s">
        <v>158</v>
      </c>
    </row>
    <row r="1023" spans="9:17" x14ac:dyDescent="0.45">
      <c r="I1023" t="s">
        <v>242</v>
      </c>
      <c r="J1023" t="s">
        <v>460</v>
      </c>
      <c r="K1023">
        <v>3.5081767276696394E-3</v>
      </c>
      <c r="L1023" t="s">
        <v>158</v>
      </c>
      <c r="N1023" t="s">
        <v>378</v>
      </c>
      <c r="O1023" t="s">
        <v>460</v>
      </c>
      <c r="P1023">
        <v>0.12302289561306057</v>
      </c>
      <c r="Q1023" t="s">
        <v>158</v>
      </c>
    </row>
    <row r="1024" spans="9:17" x14ac:dyDescent="0.45">
      <c r="I1024" t="s">
        <v>242</v>
      </c>
      <c r="J1024" t="s">
        <v>461</v>
      </c>
      <c r="K1024">
        <v>2.128386943539785E-2</v>
      </c>
      <c r="L1024" t="s">
        <v>158</v>
      </c>
      <c r="N1024" t="s">
        <v>378</v>
      </c>
      <c r="O1024" t="s">
        <v>461</v>
      </c>
      <c r="P1024">
        <v>3.2147923418433713E-2</v>
      </c>
      <c r="Q1024" t="s">
        <v>158</v>
      </c>
    </row>
    <row r="1025" spans="9:17" x14ac:dyDescent="0.45">
      <c r="I1025" t="s">
        <v>242</v>
      </c>
      <c r="J1025" t="s">
        <v>462</v>
      </c>
      <c r="K1025">
        <v>0.24170182217630598</v>
      </c>
      <c r="L1025" t="s">
        <v>158</v>
      </c>
      <c r="N1025" t="s">
        <v>378</v>
      </c>
      <c r="O1025" t="s">
        <v>462</v>
      </c>
      <c r="P1025">
        <v>6.4185891443484355E-2</v>
      </c>
      <c r="Q1025" t="s">
        <v>158</v>
      </c>
    </row>
    <row r="1026" spans="9:17" x14ac:dyDescent="0.45">
      <c r="I1026" t="s">
        <v>242</v>
      </c>
      <c r="J1026" t="s">
        <v>463</v>
      </c>
      <c r="K1026">
        <v>7.2898555743065125E-3</v>
      </c>
      <c r="L1026" t="s">
        <v>158</v>
      </c>
      <c r="N1026" t="s">
        <v>378</v>
      </c>
      <c r="O1026" t="s">
        <v>463</v>
      </c>
      <c r="P1026">
        <v>4.8056939069147708E-2</v>
      </c>
      <c r="Q1026" t="s">
        <v>158</v>
      </c>
    </row>
    <row r="1027" spans="9:17" x14ac:dyDescent="0.45">
      <c r="I1027" t="s">
        <v>242</v>
      </c>
      <c r="J1027" t="s">
        <v>464</v>
      </c>
      <c r="K1027">
        <v>2.3165334767709503E-2</v>
      </c>
      <c r="L1027" t="s">
        <v>158</v>
      </c>
      <c r="N1027" t="s">
        <v>378</v>
      </c>
      <c r="O1027" t="s">
        <v>464</v>
      </c>
      <c r="P1027">
        <v>1.027106622030685E-2</v>
      </c>
      <c r="Q1027" t="s">
        <v>158</v>
      </c>
    </row>
    <row r="1028" spans="9:17" x14ac:dyDescent="0.45">
      <c r="I1028" t="s">
        <v>242</v>
      </c>
      <c r="J1028" t="s">
        <v>465</v>
      </c>
      <c r="K1028">
        <v>0.19152127824181106</v>
      </c>
      <c r="L1028" t="s">
        <v>158</v>
      </c>
      <c r="N1028" t="s">
        <v>378</v>
      </c>
      <c r="O1028" t="s">
        <v>465</v>
      </c>
      <c r="P1028">
        <v>0.15484433603573308</v>
      </c>
      <c r="Q1028" t="s">
        <v>158</v>
      </c>
    </row>
    <row r="1029" spans="9:17" x14ac:dyDescent="0.45">
      <c r="I1029" t="s">
        <v>242</v>
      </c>
      <c r="J1029" t="s">
        <v>466</v>
      </c>
      <c r="K1029">
        <v>0</v>
      </c>
      <c r="L1029" t="s">
        <v>158</v>
      </c>
      <c r="N1029" t="s">
        <v>378</v>
      </c>
      <c r="O1029" t="s">
        <v>466</v>
      </c>
      <c r="P1029">
        <v>0.13478305761900022</v>
      </c>
      <c r="Q1029" t="s">
        <v>158</v>
      </c>
    </row>
    <row r="1030" spans="9:17" x14ac:dyDescent="0.45">
      <c r="I1030" t="s">
        <v>242</v>
      </c>
      <c r="J1030" t="s">
        <v>467</v>
      </c>
      <c r="K1030">
        <v>1.8784580956917906E-3</v>
      </c>
      <c r="L1030" t="s">
        <v>158</v>
      </c>
      <c r="N1030" t="s">
        <v>378</v>
      </c>
      <c r="O1030" t="s">
        <v>467</v>
      </c>
      <c r="P1030">
        <v>2.5378555900606135E-2</v>
      </c>
      <c r="Q1030" t="s">
        <v>158</v>
      </c>
    </row>
    <row r="1031" spans="9:17" x14ac:dyDescent="0.45">
      <c r="I1031" t="s">
        <v>243</v>
      </c>
      <c r="J1031" t="s">
        <v>456</v>
      </c>
      <c r="K1031">
        <v>0.21426755218507068</v>
      </c>
      <c r="L1031" t="s">
        <v>158</v>
      </c>
      <c r="N1031" t="s">
        <v>379</v>
      </c>
      <c r="O1031" t="s">
        <v>456</v>
      </c>
      <c r="P1031">
        <v>0.1072943140426357</v>
      </c>
      <c r="Q1031" t="s">
        <v>158</v>
      </c>
    </row>
    <row r="1032" spans="9:17" x14ac:dyDescent="0.45">
      <c r="I1032" t="s">
        <v>243</v>
      </c>
      <c r="J1032" t="s">
        <v>457</v>
      </c>
      <c r="K1032">
        <v>0</v>
      </c>
      <c r="L1032" t="s">
        <v>158</v>
      </c>
      <c r="N1032" t="s">
        <v>379</v>
      </c>
      <c r="O1032" t="s">
        <v>457</v>
      </c>
      <c r="P1032">
        <v>9.5324009855080466E-2</v>
      </c>
      <c r="Q1032" t="s">
        <v>158</v>
      </c>
    </row>
    <row r="1033" spans="9:17" x14ac:dyDescent="0.45">
      <c r="I1033" t="s">
        <v>243</v>
      </c>
      <c r="J1033" t="s">
        <v>458</v>
      </c>
      <c r="K1033">
        <v>6.9246301382017723E-3</v>
      </c>
      <c r="L1033" t="s">
        <v>158</v>
      </c>
      <c r="N1033" t="s">
        <v>379</v>
      </c>
      <c r="O1033" t="s">
        <v>458</v>
      </c>
      <c r="P1033">
        <v>2.3620074944301111E-2</v>
      </c>
      <c r="Q1033" t="s">
        <v>158</v>
      </c>
    </row>
    <row r="1034" spans="9:17" x14ac:dyDescent="0.45">
      <c r="I1034" t="s">
        <v>243</v>
      </c>
      <c r="J1034" t="s">
        <v>459</v>
      </c>
      <c r="K1034">
        <v>0.27865177154108195</v>
      </c>
      <c r="L1034" t="s">
        <v>158</v>
      </c>
      <c r="N1034" t="s">
        <v>379</v>
      </c>
      <c r="O1034" t="s">
        <v>459</v>
      </c>
      <c r="P1034">
        <v>0.18676135834521926</v>
      </c>
      <c r="Q1034" t="s">
        <v>158</v>
      </c>
    </row>
    <row r="1035" spans="9:17" x14ac:dyDescent="0.45">
      <c r="I1035" t="s">
        <v>243</v>
      </c>
      <c r="J1035" t="s">
        <v>460</v>
      </c>
      <c r="K1035">
        <v>1.4949775982926081E-3</v>
      </c>
      <c r="L1035" t="s">
        <v>158</v>
      </c>
      <c r="N1035" t="s">
        <v>379</v>
      </c>
      <c r="O1035" t="s">
        <v>460</v>
      </c>
      <c r="P1035">
        <v>0.14925247956213514</v>
      </c>
      <c r="Q1035" t="s">
        <v>158</v>
      </c>
    </row>
    <row r="1036" spans="9:17" x14ac:dyDescent="0.45">
      <c r="I1036" t="s">
        <v>243</v>
      </c>
      <c r="J1036" t="s">
        <v>461</v>
      </c>
      <c r="K1036">
        <v>2.08897545323408E-2</v>
      </c>
      <c r="L1036" t="s">
        <v>158</v>
      </c>
      <c r="N1036" t="s">
        <v>379</v>
      </c>
      <c r="O1036" t="s">
        <v>461</v>
      </c>
      <c r="P1036">
        <v>3.5375091382593614E-2</v>
      </c>
      <c r="Q1036" t="s">
        <v>158</v>
      </c>
    </row>
    <row r="1037" spans="9:17" x14ac:dyDescent="0.45">
      <c r="I1037" t="s">
        <v>243</v>
      </c>
      <c r="J1037" t="s">
        <v>462</v>
      </c>
      <c r="K1037">
        <v>0.24708231966639499</v>
      </c>
      <c r="L1037" t="s">
        <v>158</v>
      </c>
      <c r="N1037" t="s">
        <v>379</v>
      </c>
      <c r="O1037" t="s">
        <v>462</v>
      </c>
      <c r="P1037">
        <v>8.1133942243906479E-2</v>
      </c>
      <c r="Q1037" t="s">
        <v>158</v>
      </c>
    </row>
    <row r="1038" spans="9:17" x14ac:dyDescent="0.45">
      <c r="I1038" t="s">
        <v>243</v>
      </c>
      <c r="J1038" t="s">
        <v>463</v>
      </c>
      <c r="K1038">
        <v>4.9369140220453184E-3</v>
      </c>
      <c r="L1038" t="s">
        <v>158</v>
      </c>
      <c r="N1038" t="s">
        <v>379</v>
      </c>
      <c r="O1038" t="s">
        <v>463</v>
      </c>
      <c r="P1038">
        <v>8.4822880009399595E-2</v>
      </c>
      <c r="Q1038" t="s">
        <v>158</v>
      </c>
    </row>
    <row r="1039" spans="9:17" x14ac:dyDescent="0.45">
      <c r="I1039" t="s">
        <v>243</v>
      </c>
      <c r="J1039" t="s">
        <v>464</v>
      </c>
      <c r="K1039">
        <v>2.2642726344610755E-2</v>
      </c>
      <c r="L1039" t="s">
        <v>158</v>
      </c>
      <c r="N1039" t="s">
        <v>379</v>
      </c>
      <c r="O1039" t="s">
        <v>464</v>
      </c>
      <c r="P1039">
        <v>2.0906589945357549E-2</v>
      </c>
      <c r="Q1039" t="s">
        <v>158</v>
      </c>
    </row>
    <row r="1040" spans="9:17" x14ac:dyDescent="0.45">
      <c r="I1040" t="s">
        <v>243</v>
      </c>
      <c r="J1040" t="s">
        <v>465</v>
      </c>
      <c r="K1040">
        <v>0.19950791405683799</v>
      </c>
      <c r="L1040" t="s">
        <v>158</v>
      </c>
      <c r="N1040" t="s">
        <v>379</v>
      </c>
      <c r="O1040" t="s">
        <v>465</v>
      </c>
      <c r="P1040">
        <v>9.3554565699409592E-2</v>
      </c>
      <c r="Q1040" t="s">
        <v>158</v>
      </c>
    </row>
    <row r="1041" spans="9:17" x14ac:dyDescent="0.45">
      <c r="I1041" t="s">
        <v>243</v>
      </c>
      <c r="J1041" t="s">
        <v>466</v>
      </c>
      <c r="K1041">
        <v>0</v>
      </c>
      <c r="L1041" t="s">
        <v>158</v>
      </c>
      <c r="N1041" t="s">
        <v>379</v>
      </c>
      <c r="O1041" t="s">
        <v>466</v>
      </c>
      <c r="P1041">
        <v>9.8763217218450383E-2</v>
      </c>
      <c r="Q1041" t="s">
        <v>158</v>
      </c>
    </row>
    <row r="1042" spans="9:17" x14ac:dyDescent="0.45">
      <c r="I1042" t="s">
        <v>243</v>
      </c>
      <c r="J1042" t="s">
        <v>467</v>
      </c>
      <c r="K1042">
        <v>3.6014399151263442E-3</v>
      </c>
      <c r="L1042" t="s">
        <v>158</v>
      </c>
      <c r="N1042" t="s">
        <v>379</v>
      </c>
      <c r="O1042" t="s">
        <v>467</v>
      </c>
      <c r="P1042">
        <v>2.3191476751514544E-2</v>
      </c>
      <c r="Q1042" t="s">
        <v>158</v>
      </c>
    </row>
    <row r="1043" spans="9:17" x14ac:dyDescent="0.45">
      <c r="I1043" t="s">
        <v>244</v>
      </c>
      <c r="J1043" t="s">
        <v>456</v>
      </c>
      <c r="K1043">
        <v>0.21802810254303176</v>
      </c>
      <c r="L1043" t="s">
        <v>158</v>
      </c>
      <c r="N1043" t="s">
        <v>380</v>
      </c>
      <c r="O1043" t="s">
        <v>456</v>
      </c>
      <c r="P1043">
        <v>0.13084907966278184</v>
      </c>
      <c r="Q1043" t="s">
        <v>158</v>
      </c>
    </row>
    <row r="1044" spans="9:17" x14ac:dyDescent="0.45">
      <c r="I1044" t="s">
        <v>244</v>
      </c>
      <c r="J1044" t="s">
        <v>457</v>
      </c>
      <c r="K1044">
        <v>0</v>
      </c>
      <c r="L1044" t="s">
        <v>158</v>
      </c>
      <c r="N1044" t="s">
        <v>380</v>
      </c>
      <c r="O1044" t="s">
        <v>457</v>
      </c>
      <c r="P1044">
        <v>8.1397569041030779E-2</v>
      </c>
      <c r="Q1044" t="s">
        <v>158</v>
      </c>
    </row>
    <row r="1045" spans="9:17" x14ac:dyDescent="0.45">
      <c r="I1045" t="s">
        <v>244</v>
      </c>
      <c r="J1045" t="s">
        <v>458</v>
      </c>
      <c r="K1045">
        <v>1.0242659765732685E-2</v>
      </c>
      <c r="L1045" t="s">
        <v>158</v>
      </c>
      <c r="N1045" t="s">
        <v>380</v>
      </c>
      <c r="O1045" t="s">
        <v>458</v>
      </c>
      <c r="P1045">
        <v>2.0049943252816851E-2</v>
      </c>
      <c r="Q1045" t="s">
        <v>158</v>
      </c>
    </row>
    <row r="1046" spans="9:17" x14ac:dyDescent="0.45">
      <c r="I1046" t="s">
        <v>244</v>
      </c>
      <c r="J1046" t="s">
        <v>459</v>
      </c>
      <c r="K1046">
        <v>0.26981624462492365</v>
      </c>
      <c r="L1046" t="s">
        <v>158</v>
      </c>
      <c r="N1046" t="s">
        <v>380</v>
      </c>
      <c r="O1046" t="s">
        <v>459</v>
      </c>
      <c r="P1046">
        <v>0.23445060218591443</v>
      </c>
      <c r="Q1046" t="s">
        <v>158</v>
      </c>
    </row>
    <row r="1047" spans="9:17" x14ac:dyDescent="0.45">
      <c r="I1047" t="s">
        <v>244</v>
      </c>
      <c r="J1047" t="s">
        <v>460</v>
      </c>
      <c r="K1047">
        <v>1.7214681574827138E-3</v>
      </c>
      <c r="L1047" t="s">
        <v>158</v>
      </c>
      <c r="N1047" t="s">
        <v>380</v>
      </c>
      <c r="O1047" t="s">
        <v>460</v>
      </c>
      <c r="P1047">
        <v>0.12195624901954638</v>
      </c>
      <c r="Q1047" t="s">
        <v>158</v>
      </c>
    </row>
    <row r="1048" spans="9:17" x14ac:dyDescent="0.45">
      <c r="I1048" t="s">
        <v>244</v>
      </c>
      <c r="J1048" t="s">
        <v>461</v>
      </c>
      <c r="K1048">
        <v>2.896509770737354E-2</v>
      </c>
      <c r="L1048" t="s">
        <v>158</v>
      </c>
      <c r="N1048" t="s">
        <v>380</v>
      </c>
      <c r="O1048" t="s">
        <v>461</v>
      </c>
      <c r="P1048">
        <v>3.740696427075673E-2</v>
      </c>
      <c r="Q1048" t="s">
        <v>158</v>
      </c>
    </row>
    <row r="1049" spans="9:17" x14ac:dyDescent="0.45">
      <c r="I1049" t="s">
        <v>244</v>
      </c>
      <c r="J1049" t="s">
        <v>462</v>
      </c>
      <c r="K1049">
        <v>0.24394333639631727</v>
      </c>
      <c r="L1049" t="s">
        <v>158</v>
      </c>
      <c r="N1049" t="s">
        <v>380</v>
      </c>
      <c r="O1049" t="s">
        <v>462</v>
      </c>
      <c r="P1049">
        <v>6.6630850712385406E-2</v>
      </c>
      <c r="Q1049" t="s">
        <v>158</v>
      </c>
    </row>
    <row r="1050" spans="9:17" x14ac:dyDescent="0.45">
      <c r="I1050" t="s">
        <v>244</v>
      </c>
      <c r="J1050" t="s">
        <v>463</v>
      </c>
      <c r="K1050">
        <v>5.3827243701090885E-3</v>
      </c>
      <c r="L1050" t="s">
        <v>158</v>
      </c>
      <c r="N1050" t="s">
        <v>380</v>
      </c>
      <c r="O1050" t="s">
        <v>463</v>
      </c>
      <c r="P1050">
        <v>3.7289315786251061E-2</v>
      </c>
      <c r="Q1050" t="s">
        <v>158</v>
      </c>
    </row>
    <row r="1051" spans="9:17" x14ac:dyDescent="0.45">
      <c r="I1051" t="s">
        <v>244</v>
      </c>
      <c r="J1051" t="s">
        <v>464</v>
      </c>
      <c r="K1051">
        <v>2.6998982732715459E-2</v>
      </c>
      <c r="L1051" t="s">
        <v>158</v>
      </c>
      <c r="N1051" t="s">
        <v>380</v>
      </c>
      <c r="O1051" t="s">
        <v>464</v>
      </c>
      <c r="P1051">
        <v>1.0885185517664705E-2</v>
      </c>
      <c r="Q1051" t="s">
        <v>158</v>
      </c>
    </row>
    <row r="1052" spans="9:17" x14ac:dyDescent="0.45">
      <c r="I1052" t="s">
        <v>244</v>
      </c>
      <c r="J1052" t="s">
        <v>465</v>
      </c>
      <c r="K1052">
        <v>0.18886368109370788</v>
      </c>
      <c r="L1052" t="s">
        <v>158</v>
      </c>
      <c r="N1052" t="s">
        <v>380</v>
      </c>
      <c r="O1052" t="s">
        <v>465</v>
      </c>
      <c r="P1052">
        <v>0.13326841400197681</v>
      </c>
      <c r="Q1052" t="s">
        <v>158</v>
      </c>
    </row>
    <row r="1053" spans="9:17" x14ac:dyDescent="0.45">
      <c r="I1053" t="s">
        <v>244</v>
      </c>
      <c r="J1053" t="s">
        <v>466</v>
      </c>
      <c r="K1053">
        <v>0</v>
      </c>
      <c r="L1053" t="s">
        <v>158</v>
      </c>
      <c r="N1053" t="s">
        <v>380</v>
      </c>
      <c r="O1053" t="s">
        <v>466</v>
      </c>
      <c r="P1053">
        <v>0.10429433995474408</v>
      </c>
      <c r="Q1053" t="s">
        <v>158</v>
      </c>
    </row>
    <row r="1054" spans="9:17" x14ac:dyDescent="0.45">
      <c r="I1054" t="s">
        <v>244</v>
      </c>
      <c r="J1054" t="s">
        <v>467</v>
      </c>
      <c r="K1054">
        <v>6.0377026086041062E-3</v>
      </c>
      <c r="L1054" t="s">
        <v>158</v>
      </c>
      <c r="N1054" t="s">
        <v>380</v>
      </c>
      <c r="O1054" t="s">
        <v>467</v>
      </c>
      <c r="P1054">
        <v>2.1521486594131077E-2</v>
      </c>
      <c r="Q1054" t="s">
        <v>158</v>
      </c>
    </row>
    <row r="1055" spans="9:17" x14ac:dyDescent="0.45">
      <c r="I1055" t="s">
        <v>245</v>
      </c>
      <c r="J1055" t="s">
        <v>456</v>
      </c>
      <c r="K1055">
        <v>0.22649947578833657</v>
      </c>
      <c r="L1055" t="s">
        <v>158</v>
      </c>
      <c r="N1055" t="s">
        <v>381</v>
      </c>
      <c r="O1055" t="s">
        <v>456</v>
      </c>
      <c r="P1055">
        <v>0.10821065062397509</v>
      </c>
      <c r="Q1055" t="s">
        <v>158</v>
      </c>
    </row>
    <row r="1056" spans="9:17" x14ac:dyDescent="0.45">
      <c r="I1056" t="s">
        <v>245</v>
      </c>
      <c r="J1056" t="s">
        <v>457</v>
      </c>
      <c r="K1056">
        <v>0</v>
      </c>
      <c r="L1056" t="s">
        <v>158</v>
      </c>
      <c r="N1056" t="s">
        <v>381</v>
      </c>
      <c r="O1056" t="s">
        <v>457</v>
      </c>
      <c r="P1056">
        <v>8.8945378051178692E-2</v>
      </c>
      <c r="Q1056" t="s">
        <v>158</v>
      </c>
    </row>
    <row r="1057" spans="9:17" x14ac:dyDescent="0.45">
      <c r="I1057" t="s">
        <v>245</v>
      </c>
      <c r="J1057" t="s">
        <v>458</v>
      </c>
      <c r="K1057">
        <v>6.9985142682765832E-3</v>
      </c>
      <c r="L1057" t="s">
        <v>158</v>
      </c>
      <c r="N1057" t="s">
        <v>381</v>
      </c>
      <c r="O1057" t="s">
        <v>458</v>
      </c>
      <c r="P1057">
        <v>1.8699292607755665E-2</v>
      </c>
      <c r="Q1057" t="s">
        <v>158</v>
      </c>
    </row>
    <row r="1058" spans="9:17" x14ac:dyDescent="0.45">
      <c r="I1058" t="s">
        <v>245</v>
      </c>
      <c r="J1058" t="s">
        <v>459</v>
      </c>
      <c r="K1058">
        <v>0.27144940485882102</v>
      </c>
      <c r="L1058" t="s">
        <v>158</v>
      </c>
      <c r="N1058" t="s">
        <v>381</v>
      </c>
      <c r="O1058" t="s">
        <v>459</v>
      </c>
      <c r="P1058">
        <v>0.2301372622929426</v>
      </c>
      <c r="Q1058" t="s">
        <v>158</v>
      </c>
    </row>
    <row r="1059" spans="9:17" x14ac:dyDescent="0.45">
      <c r="I1059" t="s">
        <v>245</v>
      </c>
      <c r="J1059" t="s">
        <v>460</v>
      </c>
      <c r="K1059">
        <v>1.3119045240922633E-3</v>
      </c>
      <c r="L1059" t="s">
        <v>158</v>
      </c>
      <c r="N1059" t="s">
        <v>381</v>
      </c>
      <c r="O1059" t="s">
        <v>460</v>
      </c>
      <c r="P1059">
        <v>0.14590223301299768</v>
      </c>
      <c r="Q1059" t="s">
        <v>158</v>
      </c>
    </row>
    <row r="1060" spans="9:17" x14ac:dyDescent="0.45">
      <c r="I1060" t="s">
        <v>245</v>
      </c>
      <c r="J1060" t="s">
        <v>461</v>
      </c>
      <c r="K1060">
        <v>2.1598381932828415E-2</v>
      </c>
      <c r="L1060" t="s">
        <v>158</v>
      </c>
      <c r="N1060" t="s">
        <v>381</v>
      </c>
      <c r="O1060" t="s">
        <v>461</v>
      </c>
      <c r="P1060">
        <v>3.5751466305788356E-2</v>
      </c>
      <c r="Q1060" t="s">
        <v>158</v>
      </c>
    </row>
    <row r="1061" spans="9:17" x14ac:dyDescent="0.45">
      <c r="I1061" t="s">
        <v>245</v>
      </c>
      <c r="J1061" t="s">
        <v>462</v>
      </c>
      <c r="K1061">
        <v>0.24666548716839401</v>
      </c>
      <c r="L1061" t="s">
        <v>158</v>
      </c>
      <c r="N1061" t="s">
        <v>381</v>
      </c>
      <c r="O1061" t="s">
        <v>462</v>
      </c>
      <c r="P1061">
        <v>6.8029067545932756E-2</v>
      </c>
      <c r="Q1061" t="s">
        <v>158</v>
      </c>
    </row>
    <row r="1062" spans="9:17" x14ac:dyDescent="0.45">
      <c r="I1062" t="s">
        <v>245</v>
      </c>
      <c r="J1062" t="s">
        <v>463</v>
      </c>
      <c r="K1062">
        <v>4.7315635798822423E-3</v>
      </c>
      <c r="L1062" t="s">
        <v>158</v>
      </c>
      <c r="N1062" t="s">
        <v>381</v>
      </c>
      <c r="O1062" t="s">
        <v>463</v>
      </c>
      <c r="P1062">
        <v>5.9578835541259305E-2</v>
      </c>
      <c r="Q1062" t="s">
        <v>158</v>
      </c>
    </row>
    <row r="1063" spans="9:17" x14ac:dyDescent="0.45">
      <c r="I1063" t="s">
        <v>245</v>
      </c>
      <c r="J1063" t="s">
        <v>464</v>
      </c>
      <c r="K1063">
        <v>2.3533993261104853E-2</v>
      </c>
      <c r="L1063" t="s">
        <v>158</v>
      </c>
      <c r="N1063" t="s">
        <v>381</v>
      </c>
      <c r="O1063" t="s">
        <v>464</v>
      </c>
      <c r="P1063">
        <v>1.4723027161276318E-2</v>
      </c>
      <c r="Q1063" t="s">
        <v>158</v>
      </c>
    </row>
    <row r="1064" spans="9:17" x14ac:dyDescent="0.45">
      <c r="I1064" t="s">
        <v>245</v>
      </c>
      <c r="J1064" t="s">
        <v>465</v>
      </c>
      <c r="K1064">
        <v>0.19360822096947286</v>
      </c>
      <c r="L1064" t="s">
        <v>158</v>
      </c>
      <c r="N1064" t="s">
        <v>381</v>
      </c>
      <c r="O1064" t="s">
        <v>465</v>
      </c>
      <c r="P1064">
        <v>0.10594615233745015</v>
      </c>
      <c r="Q1064" t="s">
        <v>158</v>
      </c>
    </row>
    <row r="1065" spans="9:17" x14ac:dyDescent="0.45">
      <c r="I1065" t="s">
        <v>245</v>
      </c>
      <c r="J1065" t="s">
        <v>466</v>
      </c>
      <c r="K1065">
        <v>0</v>
      </c>
      <c r="L1065" t="s">
        <v>158</v>
      </c>
      <c r="N1065" t="s">
        <v>381</v>
      </c>
      <c r="O1065" t="s">
        <v>466</v>
      </c>
      <c r="P1065">
        <v>0.10339736941383268</v>
      </c>
      <c r="Q1065" t="s">
        <v>158</v>
      </c>
    </row>
    <row r="1066" spans="9:17" x14ac:dyDescent="0.45">
      <c r="I1066" t="s">
        <v>245</v>
      </c>
      <c r="J1066" t="s">
        <v>467</v>
      </c>
      <c r="K1066">
        <v>3.6030536487921413E-3</v>
      </c>
      <c r="L1066" t="s">
        <v>158</v>
      </c>
      <c r="N1066" t="s">
        <v>381</v>
      </c>
      <c r="O1066" t="s">
        <v>467</v>
      </c>
      <c r="P1066">
        <v>2.0679265105605707E-2</v>
      </c>
      <c r="Q1066" t="s">
        <v>158</v>
      </c>
    </row>
    <row r="1067" spans="9:17" x14ac:dyDescent="0.45">
      <c r="I1067" t="s">
        <v>246</v>
      </c>
      <c r="J1067" t="s">
        <v>456</v>
      </c>
      <c r="K1067">
        <v>0.22945911266379426</v>
      </c>
      <c r="L1067" t="s">
        <v>158</v>
      </c>
      <c r="N1067" t="s">
        <v>382</v>
      </c>
      <c r="O1067" t="s">
        <v>456</v>
      </c>
      <c r="P1067">
        <v>7.8919203393339701E-2</v>
      </c>
      <c r="Q1067" t="s">
        <v>158</v>
      </c>
    </row>
    <row r="1068" spans="9:17" x14ac:dyDescent="0.45">
      <c r="I1068" t="s">
        <v>246</v>
      </c>
      <c r="J1068" t="s">
        <v>457</v>
      </c>
      <c r="K1068">
        <v>0</v>
      </c>
      <c r="L1068" t="s">
        <v>158</v>
      </c>
      <c r="N1068" t="s">
        <v>382</v>
      </c>
      <c r="O1068" t="s">
        <v>457</v>
      </c>
      <c r="P1068">
        <v>0.10641062675096892</v>
      </c>
      <c r="Q1068" t="s">
        <v>158</v>
      </c>
    </row>
    <row r="1069" spans="9:17" x14ac:dyDescent="0.45">
      <c r="I1069" t="s">
        <v>246</v>
      </c>
      <c r="J1069" t="s">
        <v>458</v>
      </c>
      <c r="K1069">
        <v>6.5335566021723478E-3</v>
      </c>
      <c r="L1069" t="s">
        <v>158</v>
      </c>
      <c r="N1069" t="s">
        <v>382</v>
      </c>
      <c r="O1069" t="s">
        <v>458</v>
      </c>
      <c r="P1069">
        <v>1.8618979868198025E-2</v>
      </c>
      <c r="Q1069" t="s">
        <v>158</v>
      </c>
    </row>
    <row r="1070" spans="9:17" x14ac:dyDescent="0.45">
      <c r="I1070" t="s">
        <v>246</v>
      </c>
      <c r="J1070" t="s">
        <v>459</v>
      </c>
      <c r="K1070">
        <v>0.27310595586179393</v>
      </c>
      <c r="L1070" t="s">
        <v>158</v>
      </c>
      <c r="N1070" t="s">
        <v>382</v>
      </c>
      <c r="O1070" t="s">
        <v>459</v>
      </c>
      <c r="P1070">
        <v>0.14415590028149886</v>
      </c>
      <c r="Q1070" t="s">
        <v>158</v>
      </c>
    </row>
    <row r="1071" spans="9:17" x14ac:dyDescent="0.45">
      <c r="I1071" t="s">
        <v>246</v>
      </c>
      <c r="J1071" t="s">
        <v>460</v>
      </c>
      <c r="K1071">
        <v>1.1699241214744983E-3</v>
      </c>
      <c r="L1071" t="s">
        <v>158</v>
      </c>
      <c r="N1071" t="s">
        <v>382</v>
      </c>
      <c r="O1071" t="s">
        <v>460</v>
      </c>
      <c r="P1071">
        <v>0.15293520964601706</v>
      </c>
      <c r="Q1071" t="s">
        <v>158</v>
      </c>
    </row>
    <row r="1072" spans="9:17" x14ac:dyDescent="0.45">
      <c r="I1072" t="s">
        <v>246</v>
      </c>
      <c r="J1072" t="s">
        <v>461</v>
      </c>
      <c r="K1072">
        <v>2.0970855747108188E-2</v>
      </c>
      <c r="L1072" t="s">
        <v>158</v>
      </c>
      <c r="N1072" t="s">
        <v>382</v>
      </c>
      <c r="O1072" t="s">
        <v>461</v>
      </c>
      <c r="P1072">
        <v>2.6383460936252927E-2</v>
      </c>
      <c r="Q1072" t="s">
        <v>158</v>
      </c>
    </row>
    <row r="1073" spans="9:17" x14ac:dyDescent="0.45">
      <c r="I1073" t="s">
        <v>246</v>
      </c>
      <c r="J1073" t="s">
        <v>462</v>
      </c>
      <c r="K1073">
        <v>0.23208135419056375</v>
      </c>
      <c r="L1073" t="s">
        <v>158</v>
      </c>
      <c r="N1073" t="s">
        <v>382</v>
      </c>
      <c r="O1073" t="s">
        <v>462</v>
      </c>
      <c r="P1073">
        <v>0.12054121909080832</v>
      </c>
      <c r="Q1073" t="s">
        <v>158</v>
      </c>
    </row>
    <row r="1074" spans="9:17" x14ac:dyDescent="0.45">
      <c r="I1074" t="s">
        <v>246</v>
      </c>
      <c r="J1074" t="s">
        <v>463</v>
      </c>
      <c r="K1074">
        <v>4.5994550113688136E-3</v>
      </c>
      <c r="L1074" t="s">
        <v>158</v>
      </c>
      <c r="N1074" t="s">
        <v>382</v>
      </c>
      <c r="O1074" t="s">
        <v>463</v>
      </c>
      <c r="P1074">
        <v>0.13052486405168862</v>
      </c>
      <c r="Q1074" t="s">
        <v>158</v>
      </c>
    </row>
    <row r="1075" spans="9:17" x14ac:dyDescent="0.45">
      <c r="I1075" t="s">
        <v>246</v>
      </c>
      <c r="J1075" t="s">
        <v>464</v>
      </c>
      <c r="K1075">
        <v>2.2150925190237224E-2</v>
      </c>
      <c r="L1075" t="s">
        <v>158</v>
      </c>
      <c r="N1075" t="s">
        <v>382</v>
      </c>
      <c r="O1075" t="s">
        <v>464</v>
      </c>
      <c r="P1075">
        <v>2.3096161921862864E-2</v>
      </c>
      <c r="Q1075" t="s">
        <v>158</v>
      </c>
    </row>
    <row r="1076" spans="9:17" x14ac:dyDescent="0.45">
      <c r="I1076" t="s">
        <v>246</v>
      </c>
      <c r="J1076" t="s">
        <v>465</v>
      </c>
      <c r="K1076">
        <v>0.2063168943650735</v>
      </c>
      <c r="L1076" t="s">
        <v>158</v>
      </c>
      <c r="N1076" t="s">
        <v>382</v>
      </c>
      <c r="O1076" t="s">
        <v>465</v>
      </c>
      <c r="P1076">
        <v>7.8769584938656489E-2</v>
      </c>
      <c r="Q1076" t="s">
        <v>158</v>
      </c>
    </row>
    <row r="1077" spans="9:17" x14ac:dyDescent="0.45">
      <c r="I1077" t="s">
        <v>246</v>
      </c>
      <c r="J1077" t="s">
        <v>466</v>
      </c>
      <c r="K1077">
        <v>0</v>
      </c>
      <c r="L1077" t="s">
        <v>158</v>
      </c>
      <c r="N1077" t="s">
        <v>382</v>
      </c>
      <c r="O1077" t="s">
        <v>466</v>
      </c>
      <c r="P1077">
        <v>9.9723366685903619E-2</v>
      </c>
      <c r="Q1077" t="s">
        <v>158</v>
      </c>
    </row>
    <row r="1078" spans="9:17" x14ac:dyDescent="0.45">
      <c r="I1078" t="s">
        <v>246</v>
      </c>
      <c r="J1078" t="s">
        <v>467</v>
      </c>
      <c r="K1078">
        <v>3.6119662464160112E-3</v>
      </c>
      <c r="L1078" t="s">
        <v>158</v>
      </c>
      <c r="N1078" t="s">
        <v>382</v>
      </c>
      <c r="O1078" t="s">
        <v>467</v>
      </c>
      <c r="P1078">
        <v>1.9921422434807309E-2</v>
      </c>
      <c r="Q1078" t="s">
        <v>158</v>
      </c>
    </row>
    <row r="1079" spans="9:17" x14ac:dyDescent="0.45">
      <c r="I1079" t="s">
        <v>247</v>
      </c>
      <c r="J1079" t="s">
        <v>456</v>
      </c>
      <c r="K1079">
        <v>0.21485077748374012</v>
      </c>
      <c r="L1079" t="s">
        <v>158</v>
      </c>
      <c r="N1079" t="s">
        <v>383</v>
      </c>
      <c r="O1079" t="s">
        <v>456</v>
      </c>
      <c r="P1079">
        <v>8.0359803418515591E-2</v>
      </c>
      <c r="Q1079" t="s">
        <v>158</v>
      </c>
    </row>
    <row r="1080" spans="9:17" x14ac:dyDescent="0.45">
      <c r="I1080" t="s">
        <v>247</v>
      </c>
      <c r="J1080" t="s">
        <v>457</v>
      </c>
      <c r="K1080">
        <v>0</v>
      </c>
      <c r="L1080" t="s">
        <v>158</v>
      </c>
      <c r="N1080" t="s">
        <v>383</v>
      </c>
      <c r="O1080" t="s">
        <v>457</v>
      </c>
      <c r="P1080">
        <v>8.6414779814128775E-2</v>
      </c>
      <c r="Q1080" t="s">
        <v>158</v>
      </c>
    </row>
    <row r="1081" spans="9:17" x14ac:dyDescent="0.45">
      <c r="I1081" t="s">
        <v>247</v>
      </c>
      <c r="J1081" t="s">
        <v>458</v>
      </c>
      <c r="K1081">
        <v>1.1683651710813245E-2</v>
      </c>
      <c r="L1081" t="s">
        <v>158</v>
      </c>
      <c r="N1081" t="s">
        <v>383</v>
      </c>
      <c r="O1081" t="s">
        <v>458</v>
      </c>
      <c r="P1081">
        <v>1.9773612870559485E-2</v>
      </c>
      <c r="Q1081" t="s">
        <v>158</v>
      </c>
    </row>
    <row r="1082" spans="9:17" x14ac:dyDescent="0.45">
      <c r="I1082" t="s">
        <v>247</v>
      </c>
      <c r="J1082" t="s">
        <v>459</v>
      </c>
      <c r="K1082">
        <v>0.25687980591883486</v>
      </c>
      <c r="L1082" t="s">
        <v>158</v>
      </c>
      <c r="N1082" t="s">
        <v>383</v>
      </c>
      <c r="O1082" t="s">
        <v>459</v>
      </c>
      <c r="P1082">
        <v>0.12561765494964339</v>
      </c>
      <c r="Q1082" t="s">
        <v>158</v>
      </c>
    </row>
    <row r="1083" spans="9:17" x14ac:dyDescent="0.45">
      <c r="I1083" t="s">
        <v>247</v>
      </c>
      <c r="J1083" t="s">
        <v>460</v>
      </c>
      <c r="K1083">
        <v>1.7113352011937216E-3</v>
      </c>
      <c r="L1083" t="s">
        <v>158</v>
      </c>
      <c r="N1083" t="s">
        <v>383</v>
      </c>
      <c r="O1083" t="s">
        <v>460</v>
      </c>
      <c r="P1083">
        <v>0.14338665170377496</v>
      </c>
      <c r="Q1083" t="s">
        <v>158</v>
      </c>
    </row>
    <row r="1084" spans="9:17" x14ac:dyDescent="0.45">
      <c r="I1084" t="s">
        <v>247</v>
      </c>
      <c r="J1084" t="s">
        <v>461</v>
      </c>
      <c r="K1084">
        <v>2.9168122867733643E-2</v>
      </c>
      <c r="L1084" t="s">
        <v>158</v>
      </c>
      <c r="N1084" t="s">
        <v>383</v>
      </c>
      <c r="O1084" t="s">
        <v>461</v>
      </c>
      <c r="P1084">
        <v>2.9382580577772439E-2</v>
      </c>
      <c r="Q1084" t="s">
        <v>158</v>
      </c>
    </row>
    <row r="1085" spans="9:17" x14ac:dyDescent="0.45">
      <c r="I1085" t="s">
        <v>247</v>
      </c>
      <c r="J1085" t="s">
        <v>462</v>
      </c>
      <c r="K1085">
        <v>0.24741920380228041</v>
      </c>
      <c r="L1085" t="s">
        <v>158</v>
      </c>
      <c r="N1085" t="s">
        <v>383</v>
      </c>
      <c r="O1085" t="s">
        <v>462</v>
      </c>
      <c r="P1085">
        <v>0.16287960122842346</v>
      </c>
      <c r="Q1085" t="s">
        <v>158</v>
      </c>
    </row>
    <row r="1086" spans="9:17" x14ac:dyDescent="0.45">
      <c r="I1086" t="s">
        <v>247</v>
      </c>
      <c r="J1086" t="s">
        <v>463</v>
      </c>
      <c r="K1086">
        <v>6.1000165284503622E-3</v>
      </c>
      <c r="L1086" t="s">
        <v>158</v>
      </c>
      <c r="N1086" t="s">
        <v>383</v>
      </c>
      <c r="O1086" t="s">
        <v>463</v>
      </c>
      <c r="P1086">
        <v>0.15979247864755056</v>
      </c>
      <c r="Q1086" t="s">
        <v>158</v>
      </c>
    </row>
    <row r="1087" spans="9:17" x14ac:dyDescent="0.45">
      <c r="I1087" t="s">
        <v>247</v>
      </c>
      <c r="J1087" t="s">
        <v>464</v>
      </c>
      <c r="K1087">
        <v>3.0134795412487678E-2</v>
      </c>
      <c r="L1087" t="s">
        <v>158</v>
      </c>
      <c r="N1087" t="s">
        <v>383</v>
      </c>
      <c r="O1087" t="s">
        <v>464</v>
      </c>
      <c r="P1087">
        <v>3.1737779511744009E-2</v>
      </c>
      <c r="Q1087" t="s">
        <v>158</v>
      </c>
    </row>
    <row r="1088" spans="9:17" x14ac:dyDescent="0.45">
      <c r="I1088" t="s">
        <v>247</v>
      </c>
      <c r="J1088" t="s">
        <v>465</v>
      </c>
      <c r="K1088">
        <v>0.19381837572882155</v>
      </c>
      <c r="L1088" t="s">
        <v>158</v>
      </c>
      <c r="N1088" t="s">
        <v>383</v>
      </c>
      <c r="O1088" t="s">
        <v>465</v>
      </c>
      <c r="P1088">
        <v>6.7993471095139466E-2</v>
      </c>
      <c r="Q1088" t="s">
        <v>158</v>
      </c>
    </row>
    <row r="1089" spans="9:17" x14ac:dyDescent="0.45">
      <c r="I1089" t="s">
        <v>247</v>
      </c>
      <c r="J1089" t="s">
        <v>466</v>
      </c>
      <c r="K1089">
        <v>0</v>
      </c>
      <c r="L1089" t="s">
        <v>158</v>
      </c>
      <c r="N1089" t="s">
        <v>383</v>
      </c>
      <c r="O1089" t="s">
        <v>466</v>
      </c>
      <c r="P1089">
        <v>7.5264534185598184E-2</v>
      </c>
      <c r="Q1089" t="s">
        <v>158</v>
      </c>
    </row>
    <row r="1090" spans="9:17" x14ac:dyDescent="0.45">
      <c r="I1090" t="s">
        <v>247</v>
      </c>
      <c r="J1090" t="s">
        <v>467</v>
      </c>
      <c r="K1090">
        <v>8.2339153456421916E-3</v>
      </c>
      <c r="L1090" t="s">
        <v>158</v>
      </c>
      <c r="N1090" t="s">
        <v>383</v>
      </c>
      <c r="O1090" t="s">
        <v>467</v>
      </c>
      <c r="P1090">
        <v>1.7397051997150675E-2</v>
      </c>
      <c r="Q1090" t="s">
        <v>158</v>
      </c>
    </row>
    <row r="1091" spans="9:17" x14ac:dyDescent="0.45">
      <c r="I1091" t="s">
        <v>248</v>
      </c>
      <c r="J1091" t="s">
        <v>456</v>
      </c>
      <c r="K1091">
        <v>0.21649216637303714</v>
      </c>
      <c r="L1091" t="s">
        <v>158</v>
      </c>
      <c r="N1091" t="s">
        <v>384</v>
      </c>
      <c r="O1091" t="s">
        <v>456</v>
      </c>
      <c r="P1091">
        <v>8.4356539335351158E-2</v>
      </c>
      <c r="Q1091" t="s">
        <v>158</v>
      </c>
    </row>
    <row r="1092" spans="9:17" x14ac:dyDescent="0.45">
      <c r="I1092" t="s">
        <v>248</v>
      </c>
      <c r="J1092" t="s">
        <v>457</v>
      </c>
      <c r="K1092">
        <v>0</v>
      </c>
      <c r="L1092" t="s">
        <v>158</v>
      </c>
      <c r="N1092" t="s">
        <v>384</v>
      </c>
      <c r="O1092" t="s">
        <v>457</v>
      </c>
      <c r="P1092">
        <v>0.10806514430706338</v>
      </c>
      <c r="Q1092" t="s">
        <v>158</v>
      </c>
    </row>
    <row r="1093" spans="9:17" x14ac:dyDescent="0.45">
      <c r="I1093" t="s">
        <v>248</v>
      </c>
      <c r="J1093" t="s">
        <v>458</v>
      </c>
      <c r="K1093">
        <v>6.9419111244061159E-3</v>
      </c>
      <c r="L1093" t="s">
        <v>158</v>
      </c>
      <c r="N1093" t="s">
        <v>384</v>
      </c>
      <c r="O1093" t="s">
        <v>458</v>
      </c>
      <c r="P1093">
        <v>1.4494553124592588E-2</v>
      </c>
      <c r="Q1093" t="s">
        <v>158</v>
      </c>
    </row>
    <row r="1094" spans="9:17" x14ac:dyDescent="0.45">
      <c r="I1094" t="s">
        <v>248</v>
      </c>
      <c r="J1094" t="s">
        <v>459</v>
      </c>
      <c r="K1094">
        <v>0.27138879896691359</v>
      </c>
      <c r="L1094" t="s">
        <v>158</v>
      </c>
      <c r="N1094" t="s">
        <v>384</v>
      </c>
      <c r="O1094" t="s">
        <v>459</v>
      </c>
      <c r="P1094">
        <v>0.16283145571642776</v>
      </c>
      <c r="Q1094" t="s">
        <v>158</v>
      </c>
    </row>
    <row r="1095" spans="9:17" x14ac:dyDescent="0.45">
      <c r="I1095" t="s">
        <v>248</v>
      </c>
      <c r="J1095" t="s">
        <v>460</v>
      </c>
      <c r="K1095">
        <v>2.0805772786470266E-3</v>
      </c>
      <c r="L1095" t="s">
        <v>158</v>
      </c>
      <c r="N1095" t="s">
        <v>384</v>
      </c>
      <c r="O1095" t="s">
        <v>460</v>
      </c>
      <c r="P1095">
        <v>0.18554657347883774</v>
      </c>
      <c r="Q1095" t="s">
        <v>158</v>
      </c>
    </row>
    <row r="1096" spans="9:17" x14ac:dyDescent="0.45">
      <c r="I1096" t="s">
        <v>248</v>
      </c>
      <c r="J1096" t="s">
        <v>461</v>
      </c>
      <c r="K1096">
        <v>2.5391135712237174E-2</v>
      </c>
      <c r="L1096" t="s">
        <v>158</v>
      </c>
      <c r="N1096" t="s">
        <v>384</v>
      </c>
      <c r="O1096" t="s">
        <v>461</v>
      </c>
      <c r="P1096">
        <v>2.9084185057924726E-2</v>
      </c>
      <c r="Q1096" t="s">
        <v>158</v>
      </c>
    </row>
    <row r="1097" spans="9:17" x14ac:dyDescent="0.45">
      <c r="I1097" t="s">
        <v>248</v>
      </c>
      <c r="J1097" t="s">
        <v>462</v>
      </c>
      <c r="K1097">
        <v>0.24807826587554963</v>
      </c>
      <c r="L1097" t="s">
        <v>158</v>
      </c>
      <c r="N1097" t="s">
        <v>384</v>
      </c>
      <c r="O1097" t="s">
        <v>462</v>
      </c>
      <c r="P1097">
        <v>9.5106825986126825E-2</v>
      </c>
      <c r="Q1097" t="s">
        <v>158</v>
      </c>
    </row>
    <row r="1098" spans="9:17" x14ac:dyDescent="0.45">
      <c r="I1098" t="s">
        <v>248</v>
      </c>
      <c r="J1098" t="s">
        <v>463</v>
      </c>
      <c r="K1098">
        <v>6.1481435413192819E-3</v>
      </c>
      <c r="L1098" t="s">
        <v>158</v>
      </c>
      <c r="N1098" t="s">
        <v>384</v>
      </c>
      <c r="O1098" t="s">
        <v>463</v>
      </c>
      <c r="P1098">
        <v>0.11663354769412788</v>
      </c>
      <c r="Q1098" t="s">
        <v>158</v>
      </c>
    </row>
    <row r="1099" spans="9:17" x14ac:dyDescent="0.45">
      <c r="I1099" t="s">
        <v>248</v>
      </c>
      <c r="J1099" t="s">
        <v>464</v>
      </c>
      <c r="K1099">
        <v>2.5595675965171791E-2</v>
      </c>
      <c r="L1099" t="s">
        <v>158</v>
      </c>
      <c r="N1099" t="s">
        <v>384</v>
      </c>
      <c r="O1099" t="s">
        <v>464</v>
      </c>
      <c r="P1099">
        <v>1.7145227507694216E-2</v>
      </c>
      <c r="Q1099" t="s">
        <v>158</v>
      </c>
    </row>
    <row r="1100" spans="9:17" x14ac:dyDescent="0.45">
      <c r="I1100" t="s">
        <v>248</v>
      </c>
      <c r="J1100" t="s">
        <v>465</v>
      </c>
      <c r="K1100">
        <v>0.1934306413849412</v>
      </c>
      <c r="L1100" t="s">
        <v>158</v>
      </c>
      <c r="N1100" t="s">
        <v>384</v>
      </c>
      <c r="O1100" t="s">
        <v>465</v>
      </c>
      <c r="P1100">
        <v>6.8414780831690281E-2</v>
      </c>
      <c r="Q1100" t="s">
        <v>158</v>
      </c>
    </row>
    <row r="1101" spans="9:17" x14ac:dyDescent="0.45">
      <c r="I1101" t="s">
        <v>248</v>
      </c>
      <c r="J1101" t="s">
        <v>466</v>
      </c>
      <c r="K1101">
        <v>0</v>
      </c>
      <c r="L1101" t="s">
        <v>158</v>
      </c>
      <c r="N1101" t="s">
        <v>384</v>
      </c>
      <c r="O1101" t="s">
        <v>466</v>
      </c>
      <c r="P1101">
        <v>0.10207282882095432</v>
      </c>
      <c r="Q1101" t="s">
        <v>158</v>
      </c>
    </row>
    <row r="1102" spans="9:17" x14ac:dyDescent="0.45">
      <c r="I1102" t="s">
        <v>248</v>
      </c>
      <c r="J1102" t="s">
        <v>467</v>
      </c>
      <c r="K1102">
        <v>4.4526837777811596E-3</v>
      </c>
      <c r="L1102" t="s">
        <v>158</v>
      </c>
      <c r="N1102" t="s">
        <v>384</v>
      </c>
      <c r="O1102" t="s">
        <v>467</v>
      </c>
      <c r="P1102">
        <v>1.6248338139207993E-2</v>
      </c>
      <c r="Q1102" t="s">
        <v>158</v>
      </c>
    </row>
    <row r="1103" spans="9:17" x14ac:dyDescent="0.45">
      <c r="I1103" t="s">
        <v>249</v>
      </c>
      <c r="J1103" t="s">
        <v>456</v>
      </c>
      <c r="K1103">
        <v>0.22764050465597832</v>
      </c>
      <c r="L1103" t="s">
        <v>158</v>
      </c>
      <c r="N1103" t="s">
        <v>385</v>
      </c>
      <c r="O1103" t="s">
        <v>456</v>
      </c>
      <c r="P1103">
        <v>8.870931687660065E-2</v>
      </c>
      <c r="Q1103" t="s">
        <v>158</v>
      </c>
    </row>
    <row r="1104" spans="9:17" x14ac:dyDescent="0.45">
      <c r="I1104" t="s">
        <v>249</v>
      </c>
      <c r="J1104" t="s">
        <v>457</v>
      </c>
      <c r="K1104">
        <v>0</v>
      </c>
      <c r="L1104" t="s">
        <v>158</v>
      </c>
      <c r="N1104" t="s">
        <v>385</v>
      </c>
      <c r="O1104" t="s">
        <v>457</v>
      </c>
      <c r="P1104">
        <v>0.10547951656684551</v>
      </c>
      <c r="Q1104" t="s">
        <v>158</v>
      </c>
    </row>
    <row r="1105" spans="9:17" x14ac:dyDescent="0.45">
      <c r="I1105" t="s">
        <v>249</v>
      </c>
      <c r="J1105" t="s">
        <v>458</v>
      </c>
      <c r="K1105">
        <v>6.5629109370376132E-3</v>
      </c>
      <c r="L1105" t="s">
        <v>158</v>
      </c>
      <c r="N1105" t="s">
        <v>385</v>
      </c>
      <c r="O1105" t="s">
        <v>458</v>
      </c>
      <c r="P1105">
        <v>1.660316403227912E-2</v>
      </c>
      <c r="Q1105" t="s">
        <v>158</v>
      </c>
    </row>
    <row r="1106" spans="9:17" x14ac:dyDescent="0.45">
      <c r="I1106" t="s">
        <v>249</v>
      </c>
      <c r="J1106" t="s">
        <v>459</v>
      </c>
      <c r="K1106">
        <v>0.26600426449846443</v>
      </c>
      <c r="L1106" t="s">
        <v>158</v>
      </c>
      <c r="N1106" t="s">
        <v>385</v>
      </c>
      <c r="O1106" t="s">
        <v>459</v>
      </c>
      <c r="P1106">
        <v>0.17279726224223516</v>
      </c>
      <c r="Q1106" t="s">
        <v>158</v>
      </c>
    </row>
    <row r="1107" spans="9:17" x14ac:dyDescent="0.45">
      <c r="I1107" t="s">
        <v>249</v>
      </c>
      <c r="J1107" t="s">
        <v>460</v>
      </c>
      <c r="K1107">
        <v>1.5869607945052508E-3</v>
      </c>
      <c r="L1107" t="s">
        <v>158</v>
      </c>
      <c r="N1107" t="s">
        <v>385</v>
      </c>
      <c r="O1107" t="s">
        <v>460</v>
      </c>
      <c r="P1107">
        <v>0.16976379643192691</v>
      </c>
      <c r="Q1107" t="s">
        <v>158</v>
      </c>
    </row>
    <row r="1108" spans="9:17" x14ac:dyDescent="0.45">
      <c r="I1108" t="s">
        <v>249</v>
      </c>
      <c r="J1108" t="s">
        <v>461</v>
      </c>
      <c r="K1108">
        <v>2.2693535046953688E-2</v>
      </c>
      <c r="L1108" t="s">
        <v>158</v>
      </c>
      <c r="N1108" t="s">
        <v>385</v>
      </c>
      <c r="O1108" t="s">
        <v>461</v>
      </c>
      <c r="P1108">
        <v>3.4818837592877135E-2</v>
      </c>
      <c r="Q1108" t="s">
        <v>158</v>
      </c>
    </row>
    <row r="1109" spans="9:17" x14ac:dyDescent="0.45">
      <c r="I1109" t="s">
        <v>249</v>
      </c>
      <c r="J1109" t="s">
        <v>462</v>
      </c>
      <c r="K1109">
        <v>0.24730395008357187</v>
      </c>
      <c r="L1109" t="s">
        <v>158</v>
      </c>
      <c r="N1109" t="s">
        <v>385</v>
      </c>
      <c r="O1109" t="s">
        <v>462</v>
      </c>
      <c r="P1109">
        <v>9.69081892419804E-2</v>
      </c>
      <c r="Q1109" t="s">
        <v>158</v>
      </c>
    </row>
    <row r="1110" spans="9:17" x14ac:dyDescent="0.45">
      <c r="I1110" t="s">
        <v>249</v>
      </c>
      <c r="J1110" t="s">
        <v>463</v>
      </c>
      <c r="K1110">
        <v>5.5347038858877271E-3</v>
      </c>
      <c r="L1110" t="s">
        <v>158</v>
      </c>
      <c r="N1110" t="s">
        <v>385</v>
      </c>
      <c r="O1110" t="s">
        <v>463</v>
      </c>
      <c r="P1110">
        <v>0.11319468342499742</v>
      </c>
      <c r="Q1110" t="s">
        <v>158</v>
      </c>
    </row>
    <row r="1111" spans="9:17" x14ac:dyDescent="0.45">
      <c r="I1111" t="s">
        <v>249</v>
      </c>
      <c r="J1111" t="s">
        <v>464</v>
      </c>
      <c r="K1111">
        <v>2.5701229791731992E-2</v>
      </c>
      <c r="L1111" t="s">
        <v>158</v>
      </c>
      <c r="N1111" t="s">
        <v>385</v>
      </c>
      <c r="O1111" t="s">
        <v>464</v>
      </c>
      <c r="P1111">
        <v>1.8915663329292801E-2</v>
      </c>
      <c r="Q1111" t="s">
        <v>158</v>
      </c>
    </row>
    <row r="1112" spans="9:17" x14ac:dyDescent="0.45">
      <c r="I1112" t="s">
        <v>249</v>
      </c>
      <c r="J1112" t="s">
        <v>465</v>
      </c>
      <c r="K1112">
        <v>0.19306081735036001</v>
      </c>
      <c r="L1112" t="s">
        <v>158</v>
      </c>
      <c r="N1112" t="s">
        <v>385</v>
      </c>
      <c r="O1112" t="s">
        <v>465</v>
      </c>
      <c r="P1112">
        <v>7.1521779389339027E-2</v>
      </c>
      <c r="Q1112" t="s">
        <v>158</v>
      </c>
    </row>
    <row r="1113" spans="9:17" x14ac:dyDescent="0.45">
      <c r="I1113" t="s">
        <v>249</v>
      </c>
      <c r="J1113" t="s">
        <v>466</v>
      </c>
      <c r="K1113">
        <v>0</v>
      </c>
      <c r="L1113" t="s">
        <v>158</v>
      </c>
      <c r="N1113" t="s">
        <v>385</v>
      </c>
      <c r="O1113" t="s">
        <v>466</v>
      </c>
      <c r="P1113">
        <v>9.558646249924603E-2</v>
      </c>
      <c r="Q1113" t="s">
        <v>158</v>
      </c>
    </row>
    <row r="1114" spans="9:17" x14ac:dyDescent="0.45">
      <c r="I1114" t="s">
        <v>249</v>
      </c>
      <c r="J1114" t="s">
        <v>467</v>
      </c>
      <c r="K1114">
        <v>3.9111229555097715E-3</v>
      </c>
      <c r="L1114" t="s">
        <v>158</v>
      </c>
      <c r="N1114" t="s">
        <v>385</v>
      </c>
      <c r="O1114" t="s">
        <v>467</v>
      </c>
      <c r="P1114">
        <v>1.5701328372372671E-2</v>
      </c>
      <c r="Q1114" t="s">
        <v>158</v>
      </c>
    </row>
    <row r="1115" spans="9:17" x14ac:dyDescent="0.45">
      <c r="I1115" t="s">
        <v>250</v>
      </c>
      <c r="J1115" t="s">
        <v>456</v>
      </c>
      <c r="K1115">
        <v>0.22551700755730836</v>
      </c>
      <c r="L1115" t="s">
        <v>158</v>
      </c>
      <c r="N1115" t="s">
        <v>386</v>
      </c>
      <c r="O1115" t="s">
        <v>456</v>
      </c>
      <c r="P1115">
        <v>0.11712900168300852</v>
      </c>
      <c r="Q1115" t="s">
        <v>158</v>
      </c>
    </row>
    <row r="1116" spans="9:17" x14ac:dyDescent="0.45">
      <c r="I1116" t="s">
        <v>250</v>
      </c>
      <c r="J1116" t="s">
        <v>457</v>
      </c>
      <c r="K1116">
        <v>0</v>
      </c>
      <c r="L1116" t="s">
        <v>158</v>
      </c>
      <c r="N1116" t="s">
        <v>386</v>
      </c>
      <c r="O1116" t="s">
        <v>457</v>
      </c>
      <c r="P1116">
        <v>9.8675982951075936E-2</v>
      </c>
      <c r="Q1116" t="s">
        <v>158</v>
      </c>
    </row>
    <row r="1117" spans="9:17" x14ac:dyDescent="0.45">
      <c r="I1117" t="s">
        <v>250</v>
      </c>
      <c r="J1117" t="s">
        <v>458</v>
      </c>
      <c r="K1117">
        <v>9.4914926212122403E-3</v>
      </c>
      <c r="L1117" t="s">
        <v>158</v>
      </c>
      <c r="N1117" t="s">
        <v>386</v>
      </c>
      <c r="O1117" t="s">
        <v>458</v>
      </c>
      <c r="P1117">
        <v>2.2508297160956987E-2</v>
      </c>
      <c r="Q1117" t="s">
        <v>158</v>
      </c>
    </row>
    <row r="1118" spans="9:17" x14ac:dyDescent="0.45">
      <c r="I1118" t="s">
        <v>250</v>
      </c>
      <c r="J1118" t="s">
        <v>459</v>
      </c>
      <c r="K1118">
        <v>0.26125639228019648</v>
      </c>
      <c r="L1118" t="s">
        <v>158</v>
      </c>
      <c r="N1118" t="s">
        <v>386</v>
      </c>
      <c r="O1118" t="s">
        <v>459</v>
      </c>
      <c r="P1118">
        <v>0.18893313117063276</v>
      </c>
      <c r="Q1118" t="s">
        <v>158</v>
      </c>
    </row>
    <row r="1119" spans="9:17" x14ac:dyDescent="0.45">
      <c r="I1119" t="s">
        <v>250</v>
      </c>
      <c r="J1119" t="s">
        <v>460</v>
      </c>
      <c r="K1119">
        <v>1.0200703875995539E-3</v>
      </c>
      <c r="L1119" t="s">
        <v>158</v>
      </c>
      <c r="N1119" t="s">
        <v>386</v>
      </c>
      <c r="O1119" t="s">
        <v>460</v>
      </c>
      <c r="P1119">
        <v>0.13533637943446561</v>
      </c>
      <c r="Q1119" t="s">
        <v>158</v>
      </c>
    </row>
    <row r="1120" spans="9:17" x14ac:dyDescent="0.45">
      <c r="I1120" t="s">
        <v>250</v>
      </c>
      <c r="J1120" t="s">
        <v>461</v>
      </c>
      <c r="K1120">
        <v>2.4647652867285135E-2</v>
      </c>
      <c r="L1120" t="s">
        <v>158</v>
      </c>
      <c r="N1120" t="s">
        <v>386</v>
      </c>
      <c r="O1120" t="s">
        <v>461</v>
      </c>
      <c r="P1120">
        <v>3.6342287625344485E-2</v>
      </c>
      <c r="Q1120" t="s">
        <v>158</v>
      </c>
    </row>
    <row r="1121" spans="9:17" x14ac:dyDescent="0.45">
      <c r="I1121" t="s">
        <v>250</v>
      </c>
      <c r="J1121" t="s">
        <v>462</v>
      </c>
      <c r="K1121">
        <v>0.23962369633765257</v>
      </c>
      <c r="L1121" t="s">
        <v>158</v>
      </c>
      <c r="N1121" t="s">
        <v>386</v>
      </c>
      <c r="O1121" t="s">
        <v>462</v>
      </c>
      <c r="P1121">
        <v>8.5977667169652369E-2</v>
      </c>
      <c r="Q1121" t="s">
        <v>158</v>
      </c>
    </row>
    <row r="1122" spans="9:17" x14ac:dyDescent="0.45">
      <c r="I1122" t="s">
        <v>250</v>
      </c>
      <c r="J1122" t="s">
        <v>463</v>
      </c>
      <c r="K1122">
        <v>4.947637204313471E-3</v>
      </c>
      <c r="L1122" t="s">
        <v>158</v>
      </c>
      <c r="N1122" t="s">
        <v>386</v>
      </c>
      <c r="O1122" t="s">
        <v>463</v>
      </c>
      <c r="P1122">
        <v>6.9140551801377986E-2</v>
      </c>
      <c r="Q1122" t="s">
        <v>158</v>
      </c>
    </row>
    <row r="1123" spans="9:17" x14ac:dyDescent="0.45">
      <c r="I1123" t="s">
        <v>250</v>
      </c>
      <c r="J1123" t="s">
        <v>464</v>
      </c>
      <c r="K1123">
        <v>2.6246904296569298E-2</v>
      </c>
      <c r="L1123" t="s">
        <v>158</v>
      </c>
      <c r="N1123" t="s">
        <v>386</v>
      </c>
      <c r="O1123" t="s">
        <v>464</v>
      </c>
      <c r="P1123">
        <v>1.498618777991171E-2</v>
      </c>
      <c r="Q1123" t="s">
        <v>158</v>
      </c>
    </row>
    <row r="1124" spans="9:17" x14ac:dyDescent="0.45">
      <c r="I1124" t="s">
        <v>250</v>
      </c>
      <c r="J1124" t="s">
        <v>465</v>
      </c>
      <c r="K1124">
        <v>0.20082292894111398</v>
      </c>
      <c r="L1124" t="s">
        <v>158</v>
      </c>
      <c r="N1124" t="s">
        <v>386</v>
      </c>
      <c r="O1124" t="s">
        <v>465</v>
      </c>
      <c r="P1124">
        <v>0.10547269968993876</v>
      </c>
      <c r="Q1124" t="s">
        <v>158</v>
      </c>
    </row>
    <row r="1125" spans="9:17" x14ac:dyDescent="0.45">
      <c r="I1125" t="s">
        <v>250</v>
      </c>
      <c r="J1125" t="s">
        <v>466</v>
      </c>
      <c r="K1125">
        <v>0</v>
      </c>
      <c r="L1125" t="s">
        <v>158</v>
      </c>
      <c r="N1125" t="s">
        <v>386</v>
      </c>
      <c r="O1125" t="s">
        <v>466</v>
      </c>
      <c r="P1125">
        <v>0.10450425431706024</v>
      </c>
      <c r="Q1125" t="s">
        <v>158</v>
      </c>
    </row>
    <row r="1126" spans="9:17" x14ac:dyDescent="0.45">
      <c r="I1126" t="s">
        <v>250</v>
      </c>
      <c r="J1126" t="s">
        <v>467</v>
      </c>
      <c r="K1126">
        <v>6.4262175067471543E-3</v>
      </c>
      <c r="L1126" t="s">
        <v>158</v>
      </c>
      <c r="N1126" t="s">
        <v>386</v>
      </c>
      <c r="O1126" t="s">
        <v>467</v>
      </c>
      <c r="P1126">
        <v>2.0993559216572415E-2</v>
      </c>
      <c r="Q1126" t="s">
        <v>158</v>
      </c>
    </row>
    <row r="1127" spans="9:17" x14ac:dyDescent="0.45">
      <c r="I1127" t="s">
        <v>251</v>
      </c>
      <c r="J1127" t="s">
        <v>456</v>
      </c>
      <c r="K1127">
        <v>0.2027845973073325</v>
      </c>
      <c r="L1127" t="s">
        <v>158</v>
      </c>
      <c r="N1127" t="s">
        <v>387</v>
      </c>
      <c r="O1127" t="s">
        <v>456</v>
      </c>
      <c r="P1127">
        <v>8.3029702120379606E-2</v>
      </c>
      <c r="Q1127" t="s">
        <v>158</v>
      </c>
    </row>
    <row r="1128" spans="9:17" x14ac:dyDescent="0.45">
      <c r="I1128" t="s">
        <v>251</v>
      </c>
      <c r="J1128" t="s">
        <v>457</v>
      </c>
      <c r="K1128">
        <v>0</v>
      </c>
      <c r="L1128" t="s">
        <v>158</v>
      </c>
      <c r="N1128" t="s">
        <v>387</v>
      </c>
      <c r="O1128" t="s">
        <v>457</v>
      </c>
      <c r="P1128">
        <v>0.11559902444166309</v>
      </c>
      <c r="Q1128" t="s">
        <v>158</v>
      </c>
    </row>
    <row r="1129" spans="9:17" x14ac:dyDescent="0.45">
      <c r="I1129" t="s">
        <v>251</v>
      </c>
      <c r="J1129" t="s">
        <v>458</v>
      </c>
      <c r="K1129">
        <v>6.6543658268631558E-3</v>
      </c>
      <c r="L1129" t="s">
        <v>158</v>
      </c>
      <c r="N1129" t="s">
        <v>387</v>
      </c>
      <c r="O1129" t="s">
        <v>458</v>
      </c>
      <c r="P1129">
        <v>1.7565396762373609E-2</v>
      </c>
      <c r="Q1129" t="s">
        <v>158</v>
      </c>
    </row>
    <row r="1130" spans="9:17" x14ac:dyDescent="0.45">
      <c r="I1130" t="s">
        <v>251</v>
      </c>
      <c r="J1130" t="s">
        <v>459</v>
      </c>
      <c r="K1130">
        <v>0.28660061040890472</v>
      </c>
      <c r="L1130" t="s">
        <v>158</v>
      </c>
      <c r="N1130" t="s">
        <v>387</v>
      </c>
      <c r="O1130" t="s">
        <v>459</v>
      </c>
      <c r="P1130">
        <v>0.15021649080343824</v>
      </c>
      <c r="Q1130" t="s">
        <v>158</v>
      </c>
    </row>
    <row r="1131" spans="9:17" x14ac:dyDescent="0.45">
      <c r="I1131" t="s">
        <v>251</v>
      </c>
      <c r="J1131" t="s">
        <v>460</v>
      </c>
      <c r="K1131">
        <v>4.5040578096507029E-3</v>
      </c>
      <c r="L1131" t="s">
        <v>158</v>
      </c>
      <c r="N1131" t="s">
        <v>387</v>
      </c>
      <c r="O1131" t="s">
        <v>460</v>
      </c>
      <c r="P1131">
        <v>0.16072770246148038</v>
      </c>
      <c r="Q1131" t="s">
        <v>158</v>
      </c>
    </row>
    <row r="1132" spans="9:17" x14ac:dyDescent="0.45">
      <c r="I1132" t="s">
        <v>251</v>
      </c>
      <c r="J1132" t="s">
        <v>461</v>
      </c>
      <c r="K1132">
        <v>2.7774677913944616E-2</v>
      </c>
      <c r="L1132" t="s">
        <v>158</v>
      </c>
      <c r="N1132" t="s">
        <v>387</v>
      </c>
      <c r="O1132" t="s">
        <v>461</v>
      </c>
      <c r="P1132">
        <v>2.9500681497159814E-2</v>
      </c>
      <c r="Q1132" t="s">
        <v>158</v>
      </c>
    </row>
    <row r="1133" spans="9:17" x14ac:dyDescent="0.45">
      <c r="I1133" t="s">
        <v>251</v>
      </c>
      <c r="J1133" t="s">
        <v>462</v>
      </c>
      <c r="K1133">
        <v>0.26796122747623863</v>
      </c>
      <c r="L1133" t="s">
        <v>158</v>
      </c>
      <c r="N1133" t="s">
        <v>387</v>
      </c>
      <c r="O1133" t="s">
        <v>462</v>
      </c>
      <c r="P1133">
        <v>9.5418872781541139E-2</v>
      </c>
      <c r="Q1133" t="s">
        <v>158</v>
      </c>
    </row>
    <row r="1134" spans="9:17" x14ac:dyDescent="0.45">
      <c r="I1134" t="s">
        <v>251</v>
      </c>
      <c r="J1134" t="s">
        <v>463</v>
      </c>
      <c r="K1134">
        <v>9.2669288548427667E-3</v>
      </c>
      <c r="L1134" t="s">
        <v>158</v>
      </c>
      <c r="N1134" t="s">
        <v>387</v>
      </c>
      <c r="O1134" t="s">
        <v>463</v>
      </c>
      <c r="P1134">
        <v>0.12921182308375692</v>
      </c>
      <c r="Q1134" t="s">
        <v>158</v>
      </c>
    </row>
    <row r="1135" spans="9:17" x14ac:dyDescent="0.45">
      <c r="I1135" t="s">
        <v>251</v>
      </c>
      <c r="J1135" t="s">
        <v>464</v>
      </c>
      <c r="K1135">
        <v>2.6321586232547888E-2</v>
      </c>
      <c r="L1135" t="s">
        <v>158</v>
      </c>
      <c r="N1135" t="s">
        <v>387</v>
      </c>
      <c r="O1135" t="s">
        <v>464</v>
      </c>
      <c r="P1135">
        <v>1.7508634573617742E-2</v>
      </c>
      <c r="Q1135" t="s">
        <v>158</v>
      </c>
    </row>
    <row r="1136" spans="9:17" x14ac:dyDescent="0.45">
      <c r="I1136" t="s">
        <v>251</v>
      </c>
      <c r="J1136" t="s">
        <v>465</v>
      </c>
      <c r="K1136">
        <v>0.16543569580977627</v>
      </c>
      <c r="L1136" t="s">
        <v>158</v>
      </c>
      <c r="N1136" t="s">
        <v>387</v>
      </c>
      <c r="O1136" t="s">
        <v>465</v>
      </c>
      <c r="P1136">
        <v>7.6105706908077358E-2</v>
      </c>
      <c r="Q1136" t="s">
        <v>158</v>
      </c>
    </row>
    <row r="1137" spans="9:17" x14ac:dyDescent="0.45">
      <c r="I1137" t="s">
        <v>251</v>
      </c>
      <c r="J1137" t="s">
        <v>466</v>
      </c>
      <c r="K1137">
        <v>0</v>
      </c>
      <c r="L1137" t="s">
        <v>158</v>
      </c>
      <c r="N1137" t="s">
        <v>387</v>
      </c>
      <c r="O1137" t="s">
        <v>466</v>
      </c>
      <c r="P1137">
        <v>0.10818518247436115</v>
      </c>
      <c r="Q1137" t="s">
        <v>158</v>
      </c>
    </row>
    <row r="1138" spans="9:17" x14ac:dyDescent="0.45">
      <c r="I1138" t="s">
        <v>251</v>
      </c>
      <c r="J1138" t="s">
        <v>467</v>
      </c>
      <c r="K1138">
        <v>2.6962523598981448E-3</v>
      </c>
      <c r="L1138" t="s">
        <v>158</v>
      </c>
      <c r="N1138" t="s">
        <v>387</v>
      </c>
      <c r="O1138" t="s">
        <v>467</v>
      </c>
      <c r="P1138">
        <v>1.6930782092151143E-2</v>
      </c>
      <c r="Q1138" t="s">
        <v>158</v>
      </c>
    </row>
    <row r="1139" spans="9:17" x14ac:dyDescent="0.45">
      <c r="I1139" t="s">
        <v>252</v>
      </c>
      <c r="J1139" t="s">
        <v>456</v>
      </c>
      <c r="K1139">
        <v>0.21508436065003997</v>
      </c>
      <c r="L1139" t="s">
        <v>158</v>
      </c>
      <c r="N1139" t="s">
        <v>388</v>
      </c>
      <c r="O1139" t="s">
        <v>456</v>
      </c>
      <c r="P1139">
        <v>0.10892938017473941</v>
      </c>
      <c r="Q1139" t="s">
        <v>158</v>
      </c>
    </row>
    <row r="1140" spans="9:17" x14ac:dyDescent="0.45">
      <c r="I1140" t="s">
        <v>252</v>
      </c>
      <c r="J1140" t="s">
        <v>457</v>
      </c>
      <c r="K1140">
        <v>0</v>
      </c>
      <c r="L1140" t="s">
        <v>158</v>
      </c>
      <c r="N1140" t="s">
        <v>388</v>
      </c>
      <c r="O1140" t="s">
        <v>457</v>
      </c>
      <c r="P1140">
        <v>0.11803631990142065</v>
      </c>
      <c r="Q1140" t="s">
        <v>158</v>
      </c>
    </row>
    <row r="1141" spans="9:17" x14ac:dyDescent="0.45">
      <c r="I1141" t="s">
        <v>252</v>
      </c>
      <c r="J1141" t="s">
        <v>458</v>
      </c>
      <c r="K1141">
        <v>6.3053381506284218E-3</v>
      </c>
      <c r="L1141" t="s">
        <v>158</v>
      </c>
      <c r="N1141" t="s">
        <v>388</v>
      </c>
      <c r="O1141" t="s">
        <v>458</v>
      </c>
      <c r="P1141">
        <v>2.1171126026206914E-2</v>
      </c>
      <c r="Q1141" t="s">
        <v>158</v>
      </c>
    </row>
    <row r="1142" spans="9:17" x14ac:dyDescent="0.45">
      <c r="I1142" t="s">
        <v>252</v>
      </c>
      <c r="J1142" t="s">
        <v>459</v>
      </c>
      <c r="K1142">
        <v>0.2787603600412179</v>
      </c>
      <c r="L1142" t="s">
        <v>158</v>
      </c>
      <c r="N1142" t="s">
        <v>388</v>
      </c>
      <c r="O1142" t="s">
        <v>459</v>
      </c>
      <c r="P1142">
        <v>0.15388731383740992</v>
      </c>
      <c r="Q1142" t="s">
        <v>158</v>
      </c>
    </row>
    <row r="1143" spans="9:17" x14ac:dyDescent="0.45">
      <c r="I1143" t="s">
        <v>252</v>
      </c>
      <c r="J1143" t="s">
        <v>460</v>
      </c>
      <c r="K1143">
        <v>2.467082833894416E-3</v>
      </c>
      <c r="L1143" t="s">
        <v>158</v>
      </c>
      <c r="N1143" t="s">
        <v>388</v>
      </c>
      <c r="O1143" t="s">
        <v>460</v>
      </c>
      <c r="P1143">
        <v>0.13817707657346426</v>
      </c>
      <c r="Q1143" t="s">
        <v>158</v>
      </c>
    </row>
    <row r="1144" spans="9:17" x14ac:dyDescent="0.45">
      <c r="I1144" t="s">
        <v>252</v>
      </c>
      <c r="J1144" t="s">
        <v>461</v>
      </c>
      <c r="K1144">
        <v>2.5187046408648966E-2</v>
      </c>
      <c r="L1144" t="s">
        <v>158</v>
      </c>
      <c r="N1144" t="s">
        <v>388</v>
      </c>
      <c r="O1144" t="s">
        <v>461</v>
      </c>
      <c r="P1144">
        <v>2.8609595279979971E-2</v>
      </c>
      <c r="Q1144" t="s">
        <v>158</v>
      </c>
    </row>
    <row r="1145" spans="9:17" x14ac:dyDescent="0.45">
      <c r="I1145" t="s">
        <v>252</v>
      </c>
      <c r="J1145" t="s">
        <v>462</v>
      </c>
      <c r="K1145">
        <v>0.24224790266777557</v>
      </c>
      <c r="L1145" t="s">
        <v>158</v>
      </c>
      <c r="N1145" t="s">
        <v>388</v>
      </c>
      <c r="O1145" t="s">
        <v>462</v>
      </c>
      <c r="P1145">
        <v>8.710223722425478E-2</v>
      </c>
      <c r="Q1145" t="s">
        <v>158</v>
      </c>
    </row>
    <row r="1146" spans="9:17" x14ac:dyDescent="0.45">
      <c r="I1146" t="s">
        <v>252</v>
      </c>
      <c r="J1146" t="s">
        <v>463</v>
      </c>
      <c r="K1146">
        <v>6.2790881196989196E-3</v>
      </c>
      <c r="L1146" t="s">
        <v>158</v>
      </c>
      <c r="N1146" t="s">
        <v>388</v>
      </c>
      <c r="O1146" t="s">
        <v>463</v>
      </c>
      <c r="P1146">
        <v>8.5407187248837932E-2</v>
      </c>
      <c r="Q1146" t="s">
        <v>158</v>
      </c>
    </row>
    <row r="1147" spans="9:17" x14ac:dyDescent="0.45">
      <c r="I1147" t="s">
        <v>252</v>
      </c>
      <c r="J1147" t="s">
        <v>464</v>
      </c>
      <c r="K1147">
        <v>2.278344584372986E-2</v>
      </c>
      <c r="L1147" t="s">
        <v>158</v>
      </c>
      <c r="N1147" t="s">
        <v>388</v>
      </c>
      <c r="O1147" t="s">
        <v>464</v>
      </c>
      <c r="P1147">
        <v>1.5029771708140731E-2</v>
      </c>
      <c r="Q1147" t="s">
        <v>158</v>
      </c>
    </row>
    <row r="1148" spans="9:17" x14ac:dyDescent="0.45">
      <c r="I1148" t="s">
        <v>252</v>
      </c>
      <c r="J1148" t="s">
        <v>465</v>
      </c>
      <c r="K1148">
        <v>0.1971556537272347</v>
      </c>
      <c r="L1148" t="s">
        <v>158</v>
      </c>
      <c r="N1148" t="s">
        <v>388</v>
      </c>
      <c r="O1148" t="s">
        <v>465</v>
      </c>
      <c r="P1148">
        <v>0.10754448603545712</v>
      </c>
      <c r="Q1148" t="s">
        <v>158</v>
      </c>
    </row>
    <row r="1149" spans="9:17" x14ac:dyDescent="0.45">
      <c r="I1149" t="s">
        <v>252</v>
      </c>
      <c r="J1149" t="s">
        <v>466</v>
      </c>
      <c r="K1149">
        <v>0</v>
      </c>
      <c r="L1149" t="s">
        <v>158</v>
      </c>
      <c r="N1149" t="s">
        <v>388</v>
      </c>
      <c r="O1149" t="s">
        <v>466</v>
      </c>
      <c r="P1149">
        <v>0.11301637611165347</v>
      </c>
      <c r="Q1149" t="s">
        <v>158</v>
      </c>
    </row>
    <row r="1150" spans="9:17" x14ac:dyDescent="0.45">
      <c r="I1150" t="s">
        <v>252</v>
      </c>
      <c r="J1150" t="s">
        <v>467</v>
      </c>
      <c r="K1150">
        <v>3.7297215571346571E-3</v>
      </c>
      <c r="L1150" t="s">
        <v>158</v>
      </c>
      <c r="N1150" t="s">
        <v>388</v>
      </c>
      <c r="O1150" t="s">
        <v>467</v>
      </c>
      <c r="P1150">
        <v>2.3089129878440973E-2</v>
      </c>
      <c r="Q1150" t="s">
        <v>158</v>
      </c>
    </row>
    <row r="1151" spans="9:17" x14ac:dyDescent="0.45">
      <c r="I1151" t="s">
        <v>253</v>
      </c>
      <c r="J1151" t="s">
        <v>456</v>
      </c>
      <c r="K1151">
        <v>0.2109463784336939</v>
      </c>
      <c r="L1151" t="s">
        <v>158</v>
      </c>
      <c r="N1151" t="s">
        <v>389</v>
      </c>
      <c r="O1151" t="s">
        <v>456</v>
      </c>
      <c r="P1151">
        <v>8.8775052643357374E-2</v>
      </c>
      <c r="Q1151" t="s">
        <v>158</v>
      </c>
    </row>
    <row r="1152" spans="9:17" x14ac:dyDescent="0.45">
      <c r="I1152" t="s">
        <v>253</v>
      </c>
      <c r="J1152" t="s">
        <v>457</v>
      </c>
      <c r="K1152">
        <v>0</v>
      </c>
      <c r="L1152" t="s">
        <v>158</v>
      </c>
      <c r="N1152" t="s">
        <v>389</v>
      </c>
      <c r="O1152" t="s">
        <v>457</v>
      </c>
      <c r="P1152">
        <v>0.10349023008308529</v>
      </c>
      <c r="Q1152" t="s">
        <v>158</v>
      </c>
    </row>
    <row r="1153" spans="9:17" x14ac:dyDescent="0.45">
      <c r="I1153" t="s">
        <v>253</v>
      </c>
      <c r="J1153" t="s">
        <v>458</v>
      </c>
      <c r="K1153">
        <v>7.2915203824386546E-3</v>
      </c>
      <c r="L1153" t="s">
        <v>158</v>
      </c>
      <c r="N1153" t="s">
        <v>389</v>
      </c>
      <c r="O1153" t="s">
        <v>458</v>
      </c>
      <c r="P1153">
        <v>1.9254572780017697E-2</v>
      </c>
      <c r="Q1153" t="s">
        <v>158</v>
      </c>
    </row>
    <row r="1154" spans="9:17" x14ac:dyDescent="0.45">
      <c r="I1154" t="s">
        <v>253</v>
      </c>
      <c r="J1154" t="s">
        <v>459</v>
      </c>
      <c r="K1154">
        <v>0.27653098829777689</v>
      </c>
      <c r="L1154" t="s">
        <v>158</v>
      </c>
      <c r="N1154" t="s">
        <v>389</v>
      </c>
      <c r="O1154" t="s">
        <v>459</v>
      </c>
      <c r="P1154">
        <v>0.15201757843932612</v>
      </c>
      <c r="Q1154" t="s">
        <v>158</v>
      </c>
    </row>
    <row r="1155" spans="9:17" x14ac:dyDescent="0.45">
      <c r="I1155" t="s">
        <v>253</v>
      </c>
      <c r="J1155" t="s">
        <v>460</v>
      </c>
      <c r="K1155">
        <v>3.2207443634684222E-3</v>
      </c>
      <c r="L1155" t="s">
        <v>158</v>
      </c>
      <c r="N1155" t="s">
        <v>389</v>
      </c>
      <c r="O1155" t="s">
        <v>460</v>
      </c>
      <c r="P1155">
        <v>0.1667035383115559</v>
      </c>
      <c r="Q1155" t="s">
        <v>158</v>
      </c>
    </row>
    <row r="1156" spans="9:17" x14ac:dyDescent="0.45">
      <c r="I1156" t="s">
        <v>253</v>
      </c>
      <c r="J1156" t="s">
        <v>461</v>
      </c>
      <c r="K1156">
        <v>2.6947436186734636E-2</v>
      </c>
      <c r="L1156" t="s">
        <v>158</v>
      </c>
      <c r="N1156" t="s">
        <v>389</v>
      </c>
      <c r="O1156" t="s">
        <v>461</v>
      </c>
      <c r="P1156">
        <v>2.9049416912434439E-2</v>
      </c>
      <c r="Q1156" t="s">
        <v>158</v>
      </c>
    </row>
    <row r="1157" spans="9:17" x14ac:dyDescent="0.45">
      <c r="I1157" t="s">
        <v>253</v>
      </c>
      <c r="J1157" t="s">
        <v>462</v>
      </c>
      <c r="K1157">
        <v>0.26230284070987059</v>
      </c>
      <c r="L1157" t="s">
        <v>158</v>
      </c>
      <c r="N1157" t="s">
        <v>389</v>
      </c>
      <c r="O1157" t="s">
        <v>462</v>
      </c>
      <c r="P1157">
        <v>9.1859744130123655E-2</v>
      </c>
      <c r="Q1157" t="s">
        <v>158</v>
      </c>
    </row>
    <row r="1158" spans="9:17" x14ac:dyDescent="0.45">
      <c r="I1158" t="s">
        <v>253</v>
      </c>
      <c r="J1158" t="s">
        <v>463</v>
      </c>
      <c r="K1158">
        <v>7.5814172193196588E-3</v>
      </c>
      <c r="L1158" t="s">
        <v>158</v>
      </c>
      <c r="N1158" t="s">
        <v>389</v>
      </c>
      <c r="O1158" t="s">
        <v>463</v>
      </c>
      <c r="P1158">
        <v>0.10457980036385466</v>
      </c>
      <c r="Q1158" t="s">
        <v>158</v>
      </c>
    </row>
    <row r="1159" spans="9:17" x14ac:dyDescent="0.45">
      <c r="I1159" t="s">
        <v>253</v>
      </c>
      <c r="J1159" t="s">
        <v>464</v>
      </c>
      <c r="K1159">
        <v>2.5613118691899004E-2</v>
      </c>
      <c r="L1159" t="s">
        <v>158</v>
      </c>
      <c r="N1159" t="s">
        <v>389</v>
      </c>
      <c r="O1159" t="s">
        <v>464</v>
      </c>
      <c r="P1159">
        <v>1.8273659970603155E-2</v>
      </c>
      <c r="Q1159" t="s">
        <v>158</v>
      </c>
    </row>
    <row r="1160" spans="9:17" x14ac:dyDescent="0.45">
      <c r="I1160" t="s">
        <v>253</v>
      </c>
      <c r="J1160" t="s">
        <v>465</v>
      </c>
      <c r="K1160">
        <v>0.17589368879076508</v>
      </c>
      <c r="L1160" t="s">
        <v>158</v>
      </c>
      <c r="N1160" t="s">
        <v>389</v>
      </c>
      <c r="O1160" t="s">
        <v>465</v>
      </c>
      <c r="P1160">
        <v>0.1029702784154133</v>
      </c>
      <c r="Q1160" t="s">
        <v>158</v>
      </c>
    </row>
    <row r="1161" spans="9:17" x14ac:dyDescent="0.45">
      <c r="I1161" t="s">
        <v>253</v>
      </c>
      <c r="J1161" t="s">
        <v>466</v>
      </c>
      <c r="K1161">
        <v>0</v>
      </c>
      <c r="L1161" t="s">
        <v>158</v>
      </c>
      <c r="N1161" t="s">
        <v>389</v>
      </c>
      <c r="O1161" t="s">
        <v>466</v>
      </c>
      <c r="P1161">
        <v>0.10433017716392666</v>
      </c>
      <c r="Q1161" t="s">
        <v>158</v>
      </c>
    </row>
    <row r="1162" spans="9:17" x14ac:dyDescent="0.45">
      <c r="I1162" t="s">
        <v>253</v>
      </c>
      <c r="J1162" t="s">
        <v>467</v>
      </c>
      <c r="K1162">
        <v>3.6718669240351238E-3</v>
      </c>
      <c r="L1162" t="s">
        <v>158</v>
      </c>
      <c r="N1162" t="s">
        <v>389</v>
      </c>
      <c r="O1162" t="s">
        <v>467</v>
      </c>
      <c r="P1162">
        <v>1.8695950786303026E-2</v>
      </c>
      <c r="Q1162" t="s">
        <v>158</v>
      </c>
    </row>
    <row r="1163" spans="9:17" x14ac:dyDescent="0.45">
      <c r="I1163" t="s">
        <v>254</v>
      </c>
      <c r="J1163" t="s">
        <v>456</v>
      </c>
      <c r="K1163">
        <v>0.18922771581235315</v>
      </c>
      <c r="L1163" t="s">
        <v>158</v>
      </c>
      <c r="N1163" t="s">
        <v>390</v>
      </c>
      <c r="O1163" t="s">
        <v>456</v>
      </c>
      <c r="P1163">
        <v>9.3816086224959822E-2</v>
      </c>
      <c r="Q1163" t="s">
        <v>158</v>
      </c>
    </row>
    <row r="1164" spans="9:17" x14ac:dyDescent="0.45">
      <c r="I1164" t="s">
        <v>254</v>
      </c>
      <c r="J1164" t="s">
        <v>457</v>
      </c>
      <c r="K1164">
        <v>5.1653724457966172E-4</v>
      </c>
      <c r="L1164" t="s">
        <v>158</v>
      </c>
      <c r="N1164" t="s">
        <v>390</v>
      </c>
      <c r="O1164" t="s">
        <v>457</v>
      </c>
      <c r="P1164">
        <v>0.11469714623608042</v>
      </c>
      <c r="Q1164" t="s">
        <v>158</v>
      </c>
    </row>
    <row r="1165" spans="9:17" x14ac:dyDescent="0.45">
      <c r="I1165" t="s">
        <v>254</v>
      </c>
      <c r="J1165" t="s">
        <v>458</v>
      </c>
      <c r="K1165">
        <v>1.3948257169046019E-2</v>
      </c>
      <c r="L1165" t="s">
        <v>158</v>
      </c>
      <c r="N1165" t="s">
        <v>390</v>
      </c>
      <c r="O1165" t="s">
        <v>458</v>
      </c>
      <c r="P1165">
        <v>1.8892165401544821E-2</v>
      </c>
      <c r="Q1165" t="s">
        <v>158</v>
      </c>
    </row>
    <row r="1166" spans="9:17" x14ac:dyDescent="0.45">
      <c r="I1166" t="s">
        <v>254</v>
      </c>
      <c r="J1166" t="s">
        <v>459</v>
      </c>
      <c r="K1166">
        <v>0.27935017199994938</v>
      </c>
      <c r="L1166" t="s">
        <v>158</v>
      </c>
      <c r="N1166" t="s">
        <v>390</v>
      </c>
      <c r="O1166" t="s">
        <v>459</v>
      </c>
      <c r="P1166">
        <v>0.14391124661250379</v>
      </c>
      <c r="Q1166" t="s">
        <v>158</v>
      </c>
    </row>
    <row r="1167" spans="9:17" x14ac:dyDescent="0.45">
      <c r="I1167" t="s">
        <v>254</v>
      </c>
      <c r="J1167" t="s">
        <v>460</v>
      </c>
      <c r="K1167">
        <v>7.720280158349668E-3</v>
      </c>
      <c r="L1167" t="s">
        <v>158</v>
      </c>
      <c r="N1167" t="s">
        <v>390</v>
      </c>
      <c r="O1167" t="s">
        <v>460</v>
      </c>
      <c r="P1167">
        <v>0.17042540091278699</v>
      </c>
      <c r="Q1167" t="s">
        <v>158</v>
      </c>
    </row>
    <row r="1168" spans="9:17" x14ac:dyDescent="0.45">
      <c r="I1168" t="s">
        <v>254</v>
      </c>
      <c r="J1168" t="s">
        <v>461</v>
      </c>
      <c r="K1168">
        <v>4.1392006247527563E-2</v>
      </c>
      <c r="L1168" t="s">
        <v>158</v>
      </c>
      <c r="N1168" t="s">
        <v>390</v>
      </c>
      <c r="O1168" t="s">
        <v>461</v>
      </c>
      <c r="P1168">
        <v>2.4951097366275283E-2</v>
      </c>
      <c r="Q1168" t="s">
        <v>158</v>
      </c>
    </row>
    <row r="1169" spans="9:17" x14ac:dyDescent="0.45">
      <c r="I1169" t="s">
        <v>254</v>
      </c>
      <c r="J1169" t="s">
        <v>462</v>
      </c>
      <c r="K1169">
        <v>0.25837519833519029</v>
      </c>
      <c r="L1169" t="s">
        <v>158</v>
      </c>
      <c r="N1169" t="s">
        <v>390</v>
      </c>
      <c r="O1169" t="s">
        <v>462</v>
      </c>
      <c r="P1169">
        <v>8.1382902533124329E-2</v>
      </c>
      <c r="Q1169" t="s">
        <v>158</v>
      </c>
    </row>
    <row r="1170" spans="9:17" x14ac:dyDescent="0.45">
      <c r="I1170" t="s">
        <v>254</v>
      </c>
      <c r="J1170" t="s">
        <v>463</v>
      </c>
      <c r="K1170">
        <v>1.3249069457467266E-2</v>
      </c>
      <c r="L1170" t="s">
        <v>158</v>
      </c>
      <c r="N1170" t="s">
        <v>390</v>
      </c>
      <c r="O1170" t="s">
        <v>463</v>
      </c>
      <c r="P1170">
        <v>0.1075207841740061</v>
      </c>
      <c r="Q1170" t="s">
        <v>158</v>
      </c>
    </row>
    <row r="1171" spans="9:17" x14ac:dyDescent="0.45">
      <c r="I1171" t="s">
        <v>254</v>
      </c>
      <c r="J1171" t="s">
        <v>464</v>
      </c>
      <c r="K1171">
        <v>3.5107625638112129E-2</v>
      </c>
      <c r="L1171" t="s">
        <v>158</v>
      </c>
      <c r="N1171" t="s">
        <v>390</v>
      </c>
      <c r="O1171" t="s">
        <v>464</v>
      </c>
      <c r="P1171">
        <v>1.5797420749052986E-2</v>
      </c>
      <c r="Q1171" t="s">
        <v>158</v>
      </c>
    </row>
    <row r="1172" spans="9:17" x14ac:dyDescent="0.45">
      <c r="I1172" t="s">
        <v>254</v>
      </c>
      <c r="J1172" t="s">
        <v>465</v>
      </c>
      <c r="K1172">
        <v>0.15415099411782152</v>
      </c>
      <c r="L1172" t="s">
        <v>158</v>
      </c>
      <c r="N1172" t="s">
        <v>390</v>
      </c>
      <c r="O1172" t="s">
        <v>465</v>
      </c>
      <c r="P1172">
        <v>0.10463073358977416</v>
      </c>
      <c r="Q1172" t="s">
        <v>158</v>
      </c>
    </row>
    <row r="1173" spans="9:17" x14ac:dyDescent="0.45">
      <c r="I1173" t="s">
        <v>254</v>
      </c>
      <c r="J1173" t="s">
        <v>466</v>
      </c>
      <c r="K1173">
        <v>0</v>
      </c>
      <c r="L1173" t="s">
        <v>158</v>
      </c>
      <c r="N1173" t="s">
        <v>390</v>
      </c>
      <c r="O1173" t="s">
        <v>466</v>
      </c>
      <c r="P1173">
        <v>0.1068741673237656</v>
      </c>
      <c r="Q1173" t="s">
        <v>158</v>
      </c>
    </row>
    <row r="1174" spans="9:17" x14ac:dyDescent="0.45">
      <c r="I1174" t="s">
        <v>254</v>
      </c>
      <c r="J1174" t="s">
        <v>467</v>
      </c>
      <c r="K1174">
        <v>6.9621438196060381E-3</v>
      </c>
      <c r="L1174" t="s">
        <v>158</v>
      </c>
      <c r="N1174" t="s">
        <v>390</v>
      </c>
      <c r="O1174" t="s">
        <v>467</v>
      </c>
      <c r="P1174">
        <v>1.710084887612514E-2</v>
      </c>
      <c r="Q1174" t="s">
        <v>158</v>
      </c>
    </row>
    <row r="1175" spans="9:17" x14ac:dyDescent="0.45">
      <c r="I1175" t="s">
        <v>255</v>
      </c>
      <c r="J1175" t="s">
        <v>456</v>
      </c>
      <c r="K1175">
        <v>0.19963075044675224</v>
      </c>
      <c r="L1175" t="s">
        <v>158</v>
      </c>
      <c r="N1175" t="s">
        <v>391</v>
      </c>
      <c r="O1175" t="s">
        <v>456</v>
      </c>
      <c r="P1175">
        <v>8.2103340038281167E-2</v>
      </c>
      <c r="Q1175" t="s">
        <v>158</v>
      </c>
    </row>
    <row r="1176" spans="9:17" x14ac:dyDescent="0.45">
      <c r="I1176" t="s">
        <v>255</v>
      </c>
      <c r="J1176" t="s">
        <v>457</v>
      </c>
      <c r="K1176">
        <v>3.2201434309127151E-4</v>
      </c>
      <c r="L1176" t="s">
        <v>158</v>
      </c>
      <c r="N1176" t="s">
        <v>391</v>
      </c>
      <c r="O1176" t="s">
        <v>457</v>
      </c>
      <c r="P1176">
        <v>0.12536155730294543</v>
      </c>
      <c r="Q1176" t="s">
        <v>158</v>
      </c>
    </row>
    <row r="1177" spans="9:17" x14ac:dyDescent="0.45">
      <c r="I1177" t="s">
        <v>255</v>
      </c>
      <c r="J1177" t="s">
        <v>458</v>
      </c>
      <c r="K1177">
        <v>1.4693816148696867E-2</v>
      </c>
      <c r="L1177" t="s">
        <v>158</v>
      </c>
      <c r="N1177" t="s">
        <v>391</v>
      </c>
      <c r="O1177" t="s">
        <v>458</v>
      </c>
      <c r="P1177">
        <v>1.7220554680273968E-2</v>
      </c>
      <c r="Q1177" t="s">
        <v>158</v>
      </c>
    </row>
    <row r="1178" spans="9:17" x14ac:dyDescent="0.45">
      <c r="I1178" t="s">
        <v>255</v>
      </c>
      <c r="J1178" t="s">
        <v>459</v>
      </c>
      <c r="K1178">
        <v>0.26908812452551356</v>
      </c>
      <c r="L1178" t="s">
        <v>158</v>
      </c>
      <c r="N1178" t="s">
        <v>391</v>
      </c>
      <c r="O1178" t="s">
        <v>459</v>
      </c>
      <c r="P1178">
        <v>0.15125825605225679</v>
      </c>
      <c r="Q1178" t="s">
        <v>158</v>
      </c>
    </row>
    <row r="1179" spans="9:17" x14ac:dyDescent="0.45">
      <c r="I1179" t="s">
        <v>255</v>
      </c>
      <c r="J1179" t="s">
        <v>460</v>
      </c>
      <c r="K1179">
        <v>5.7181511820745996E-3</v>
      </c>
      <c r="L1179" t="s">
        <v>158</v>
      </c>
      <c r="N1179" t="s">
        <v>391</v>
      </c>
      <c r="O1179" t="s">
        <v>460</v>
      </c>
      <c r="P1179">
        <v>0.2138357146964642</v>
      </c>
      <c r="Q1179" t="s">
        <v>158</v>
      </c>
    </row>
    <row r="1180" spans="9:17" x14ac:dyDescent="0.45">
      <c r="I1180" t="s">
        <v>255</v>
      </c>
      <c r="J1180" t="s">
        <v>461</v>
      </c>
      <c r="K1180">
        <v>3.738275394306767E-2</v>
      </c>
      <c r="L1180" t="s">
        <v>158</v>
      </c>
      <c r="N1180" t="s">
        <v>391</v>
      </c>
      <c r="O1180" t="s">
        <v>461</v>
      </c>
      <c r="P1180">
        <v>2.915168157555445E-2</v>
      </c>
      <c r="Q1180" t="s">
        <v>158</v>
      </c>
    </row>
    <row r="1181" spans="9:17" x14ac:dyDescent="0.45">
      <c r="I1181" t="s">
        <v>255</v>
      </c>
      <c r="J1181" t="s">
        <v>462</v>
      </c>
      <c r="K1181">
        <v>0.25683765069513198</v>
      </c>
      <c r="L1181" t="s">
        <v>158</v>
      </c>
      <c r="N1181" t="s">
        <v>391</v>
      </c>
      <c r="O1181" t="s">
        <v>462</v>
      </c>
      <c r="P1181">
        <v>6.9189980577879784E-2</v>
      </c>
      <c r="Q1181" t="s">
        <v>158</v>
      </c>
    </row>
    <row r="1182" spans="9:17" x14ac:dyDescent="0.45">
      <c r="I1182" t="s">
        <v>255</v>
      </c>
      <c r="J1182" t="s">
        <v>463</v>
      </c>
      <c r="K1182">
        <v>1.0527704269130526E-2</v>
      </c>
      <c r="L1182" t="s">
        <v>158</v>
      </c>
      <c r="N1182" t="s">
        <v>391</v>
      </c>
      <c r="O1182" t="s">
        <v>463</v>
      </c>
      <c r="P1182">
        <v>0.11843537153832083</v>
      </c>
      <c r="Q1182" t="s">
        <v>158</v>
      </c>
    </row>
    <row r="1183" spans="9:17" x14ac:dyDescent="0.45">
      <c r="I1183" t="s">
        <v>255</v>
      </c>
      <c r="J1183" t="s">
        <v>464</v>
      </c>
      <c r="K1183">
        <v>3.4907358588364322E-2</v>
      </c>
      <c r="L1183" t="s">
        <v>158</v>
      </c>
      <c r="N1183" t="s">
        <v>391</v>
      </c>
      <c r="O1183" t="s">
        <v>464</v>
      </c>
      <c r="P1183">
        <v>1.3749623134383739E-2</v>
      </c>
      <c r="Q1183" t="s">
        <v>158</v>
      </c>
    </row>
    <row r="1184" spans="9:17" x14ac:dyDescent="0.45">
      <c r="I1184" t="s">
        <v>255</v>
      </c>
      <c r="J1184" t="s">
        <v>465</v>
      </c>
      <c r="K1184">
        <v>0.16214853928904072</v>
      </c>
      <c r="L1184" t="s">
        <v>158</v>
      </c>
      <c r="N1184" t="s">
        <v>391</v>
      </c>
      <c r="O1184" t="s">
        <v>465</v>
      </c>
      <c r="P1184">
        <v>6.523762261236532E-2</v>
      </c>
      <c r="Q1184" t="s">
        <v>158</v>
      </c>
    </row>
    <row r="1185" spans="9:17" x14ac:dyDescent="0.45">
      <c r="I1185" t="s">
        <v>255</v>
      </c>
      <c r="J1185" t="s">
        <v>466</v>
      </c>
      <c r="K1185">
        <v>0</v>
      </c>
      <c r="L1185" t="s">
        <v>158</v>
      </c>
      <c r="N1185" t="s">
        <v>391</v>
      </c>
      <c r="O1185" t="s">
        <v>466</v>
      </c>
      <c r="P1185">
        <v>0.10180496404423173</v>
      </c>
      <c r="Q1185" t="s">
        <v>158</v>
      </c>
    </row>
    <row r="1186" spans="9:17" x14ac:dyDescent="0.45">
      <c r="I1186" t="s">
        <v>255</v>
      </c>
      <c r="J1186" t="s">
        <v>467</v>
      </c>
      <c r="K1186">
        <v>8.7431365691349721E-3</v>
      </c>
      <c r="L1186" t="s">
        <v>158</v>
      </c>
      <c r="N1186" t="s">
        <v>391</v>
      </c>
      <c r="O1186" t="s">
        <v>467</v>
      </c>
      <c r="P1186">
        <v>1.2651333747043967E-2</v>
      </c>
      <c r="Q1186" t="s">
        <v>158</v>
      </c>
    </row>
    <row r="1187" spans="9:17" x14ac:dyDescent="0.45">
      <c r="I1187" t="s">
        <v>256</v>
      </c>
      <c r="J1187" t="s">
        <v>456</v>
      </c>
      <c r="K1187">
        <v>0.21457922980967906</v>
      </c>
      <c r="L1187" t="s">
        <v>158</v>
      </c>
      <c r="N1187" t="s">
        <v>392</v>
      </c>
      <c r="O1187" t="s">
        <v>456</v>
      </c>
      <c r="P1187">
        <v>8.8807884708666296E-2</v>
      </c>
      <c r="Q1187" t="s">
        <v>158</v>
      </c>
    </row>
    <row r="1188" spans="9:17" x14ac:dyDescent="0.45">
      <c r="I1188" t="s">
        <v>256</v>
      </c>
      <c r="J1188" t="s">
        <v>457</v>
      </c>
      <c r="K1188">
        <v>0</v>
      </c>
      <c r="L1188" t="s">
        <v>158</v>
      </c>
      <c r="N1188" t="s">
        <v>392</v>
      </c>
      <c r="O1188" t="s">
        <v>457</v>
      </c>
      <c r="P1188">
        <v>0.1175862772043319</v>
      </c>
      <c r="Q1188" t="s">
        <v>158</v>
      </c>
    </row>
    <row r="1189" spans="9:17" x14ac:dyDescent="0.45">
      <c r="I1189" t="s">
        <v>256</v>
      </c>
      <c r="J1189" t="s">
        <v>458</v>
      </c>
      <c r="K1189">
        <v>1.4207014991878457E-2</v>
      </c>
      <c r="L1189" t="s">
        <v>158</v>
      </c>
      <c r="N1189" t="s">
        <v>392</v>
      </c>
      <c r="O1189" t="s">
        <v>458</v>
      </c>
      <c r="P1189">
        <v>1.8445386255855522E-2</v>
      </c>
      <c r="Q1189" t="s">
        <v>158</v>
      </c>
    </row>
    <row r="1190" spans="9:17" x14ac:dyDescent="0.45">
      <c r="I1190" t="s">
        <v>256</v>
      </c>
      <c r="J1190" t="s">
        <v>459</v>
      </c>
      <c r="K1190">
        <v>0.26444230898357446</v>
      </c>
      <c r="L1190" t="s">
        <v>158</v>
      </c>
      <c r="N1190" t="s">
        <v>392</v>
      </c>
      <c r="O1190" t="s">
        <v>459</v>
      </c>
      <c r="P1190">
        <v>0.14863555478323262</v>
      </c>
      <c r="Q1190" t="s">
        <v>158</v>
      </c>
    </row>
    <row r="1191" spans="9:17" x14ac:dyDescent="0.45">
      <c r="I1191" t="s">
        <v>256</v>
      </c>
      <c r="J1191" t="s">
        <v>460</v>
      </c>
      <c r="K1191">
        <v>2.1986648433632823E-3</v>
      </c>
      <c r="L1191" t="s">
        <v>158</v>
      </c>
      <c r="N1191" t="s">
        <v>392</v>
      </c>
      <c r="O1191" t="s">
        <v>460</v>
      </c>
      <c r="P1191">
        <v>0.20358831626657503</v>
      </c>
      <c r="Q1191" t="s">
        <v>158</v>
      </c>
    </row>
    <row r="1192" spans="9:17" x14ac:dyDescent="0.45">
      <c r="I1192" t="s">
        <v>256</v>
      </c>
      <c r="J1192" t="s">
        <v>461</v>
      </c>
      <c r="K1192">
        <v>3.3921870929759436E-2</v>
      </c>
      <c r="L1192" t="s">
        <v>158</v>
      </c>
      <c r="N1192" t="s">
        <v>392</v>
      </c>
      <c r="O1192" t="s">
        <v>461</v>
      </c>
      <c r="P1192">
        <v>3.1790832074510257E-2</v>
      </c>
      <c r="Q1192" t="s">
        <v>158</v>
      </c>
    </row>
    <row r="1193" spans="9:17" x14ac:dyDescent="0.45">
      <c r="I1193" t="s">
        <v>256</v>
      </c>
      <c r="J1193" t="s">
        <v>462</v>
      </c>
      <c r="K1193">
        <v>0.23764523883762484</v>
      </c>
      <c r="L1193" t="s">
        <v>158</v>
      </c>
      <c r="N1193" t="s">
        <v>392</v>
      </c>
      <c r="O1193" t="s">
        <v>462</v>
      </c>
      <c r="P1193">
        <v>6.6008903221792384E-2</v>
      </c>
      <c r="Q1193" t="s">
        <v>158</v>
      </c>
    </row>
    <row r="1194" spans="9:17" x14ac:dyDescent="0.45">
      <c r="I1194" t="s">
        <v>256</v>
      </c>
      <c r="J1194" t="s">
        <v>463</v>
      </c>
      <c r="K1194">
        <v>5.9221676960518705E-3</v>
      </c>
      <c r="L1194" t="s">
        <v>158</v>
      </c>
      <c r="N1194" t="s">
        <v>392</v>
      </c>
      <c r="O1194" t="s">
        <v>463</v>
      </c>
      <c r="P1194">
        <v>0.10533594969295186</v>
      </c>
      <c r="Q1194" t="s">
        <v>158</v>
      </c>
    </row>
    <row r="1195" spans="9:17" x14ac:dyDescent="0.45">
      <c r="I1195" t="s">
        <v>256</v>
      </c>
      <c r="J1195" t="s">
        <v>464</v>
      </c>
      <c r="K1195">
        <v>3.0411896968282864E-2</v>
      </c>
      <c r="L1195" t="s">
        <v>158</v>
      </c>
      <c r="N1195" t="s">
        <v>392</v>
      </c>
      <c r="O1195" t="s">
        <v>464</v>
      </c>
      <c r="P1195">
        <v>1.4865165924224219E-2</v>
      </c>
      <c r="Q1195" t="s">
        <v>158</v>
      </c>
    </row>
    <row r="1196" spans="9:17" x14ac:dyDescent="0.45">
      <c r="I1196" t="s">
        <v>256</v>
      </c>
      <c r="J1196" t="s">
        <v>465</v>
      </c>
      <c r="K1196">
        <v>0.18730104821902915</v>
      </c>
      <c r="L1196" t="s">
        <v>158</v>
      </c>
      <c r="N1196" t="s">
        <v>392</v>
      </c>
      <c r="O1196" t="s">
        <v>465</v>
      </c>
      <c r="P1196">
        <v>8.0941324423386529E-2</v>
      </c>
      <c r="Q1196" t="s">
        <v>158</v>
      </c>
    </row>
    <row r="1197" spans="9:17" x14ac:dyDescent="0.45">
      <c r="I1197" t="s">
        <v>256</v>
      </c>
      <c r="J1197" t="s">
        <v>466</v>
      </c>
      <c r="K1197">
        <v>0</v>
      </c>
      <c r="L1197" t="s">
        <v>158</v>
      </c>
      <c r="N1197" t="s">
        <v>392</v>
      </c>
      <c r="O1197" t="s">
        <v>466</v>
      </c>
      <c r="P1197">
        <v>0.10948555883791876</v>
      </c>
      <c r="Q1197" t="s">
        <v>158</v>
      </c>
    </row>
    <row r="1198" spans="9:17" x14ac:dyDescent="0.45">
      <c r="I1198" t="s">
        <v>256</v>
      </c>
      <c r="J1198" t="s">
        <v>467</v>
      </c>
      <c r="K1198">
        <v>9.3705587207580793E-3</v>
      </c>
      <c r="L1198" t="s">
        <v>158</v>
      </c>
      <c r="N1198" t="s">
        <v>392</v>
      </c>
      <c r="O1198" t="s">
        <v>467</v>
      </c>
      <c r="P1198">
        <v>1.4508846606559597E-2</v>
      </c>
      <c r="Q1198" t="s">
        <v>158</v>
      </c>
    </row>
    <row r="1199" spans="9:17" x14ac:dyDescent="0.45">
      <c r="I1199" t="s">
        <v>257</v>
      </c>
      <c r="J1199" t="s">
        <v>456</v>
      </c>
      <c r="K1199">
        <v>0.21425278098216707</v>
      </c>
      <c r="L1199" t="s">
        <v>158</v>
      </c>
      <c r="N1199" t="s">
        <v>393</v>
      </c>
      <c r="O1199" t="s">
        <v>456</v>
      </c>
      <c r="P1199">
        <v>7.4098820134947133E-2</v>
      </c>
      <c r="Q1199" t="s">
        <v>158</v>
      </c>
    </row>
    <row r="1200" spans="9:17" x14ac:dyDescent="0.45">
      <c r="I1200" t="s">
        <v>257</v>
      </c>
      <c r="J1200" t="s">
        <v>457</v>
      </c>
      <c r="K1200">
        <v>9.478388117455508E-5</v>
      </c>
      <c r="L1200" t="s">
        <v>158</v>
      </c>
      <c r="N1200" t="s">
        <v>393</v>
      </c>
      <c r="O1200" t="s">
        <v>457</v>
      </c>
      <c r="P1200">
        <v>0.11844536700010463</v>
      </c>
      <c r="Q1200" t="s">
        <v>158</v>
      </c>
    </row>
    <row r="1201" spans="9:17" x14ac:dyDescent="0.45">
      <c r="I1201" t="s">
        <v>257</v>
      </c>
      <c r="J1201" t="s">
        <v>458</v>
      </c>
      <c r="K1201">
        <v>1.9052996489661259E-2</v>
      </c>
      <c r="L1201" t="s">
        <v>158</v>
      </c>
      <c r="N1201" t="s">
        <v>393</v>
      </c>
      <c r="O1201" t="s">
        <v>458</v>
      </c>
      <c r="P1201">
        <v>1.7021334926800396E-2</v>
      </c>
      <c r="Q1201" t="s">
        <v>158</v>
      </c>
    </row>
    <row r="1202" spans="9:17" x14ac:dyDescent="0.45">
      <c r="I1202" t="s">
        <v>257</v>
      </c>
      <c r="J1202" t="s">
        <v>459</v>
      </c>
      <c r="K1202">
        <v>0.25567045348358147</v>
      </c>
      <c r="L1202" t="s">
        <v>158</v>
      </c>
      <c r="N1202" t="s">
        <v>393</v>
      </c>
      <c r="O1202" t="s">
        <v>459</v>
      </c>
      <c r="P1202">
        <v>0.15035254430781847</v>
      </c>
      <c r="Q1202" t="s">
        <v>158</v>
      </c>
    </row>
    <row r="1203" spans="9:17" x14ac:dyDescent="0.45">
      <c r="I1203" t="s">
        <v>257</v>
      </c>
      <c r="J1203" t="s">
        <v>460</v>
      </c>
      <c r="K1203">
        <v>4.0323656120360655E-3</v>
      </c>
      <c r="L1203" t="s">
        <v>158</v>
      </c>
      <c r="N1203" t="s">
        <v>393</v>
      </c>
      <c r="O1203" t="s">
        <v>460</v>
      </c>
      <c r="P1203">
        <v>0.21151396587107224</v>
      </c>
      <c r="Q1203" t="s">
        <v>158</v>
      </c>
    </row>
    <row r="1204" spans="9:17" x14ac:dyDescent="0.45">
      <c r="I1204" t="s">
        <v>257</v>
      </c>
      <c r="J1204" t="s">
        <v>461</v>
      </c>
      <c r="K1204">
        <v>3.5978207059202127E-2</v>
      </c>
      <c r="L1204" t="s">
        <v>158</v>
      </c>
      <c r="N1204" t="s">
        <v>393</v>
      </c>
      <c r="O1204" t="s">
        <v>461</v>
      </c>
      <c r="P1204">
        <v>2.7269332265087723E-2</v>
      </c>
      <c r="Q1204" t="s">
        <v>158</v>
      </c>
    </row>
    <row r="1205" spans="9:17" x14ac:dyDescent="0.45">
      <c r="I1205" t="s">
        <v>257</v>
      </c>
      <c r="J1205" t="s">
        <v>462</v>
      </c>
      <c r="K1205">
        <v>0.23240316493033916</v>
      </c>
      <c r="L1205" t="s">
        <v>158</v>
      </c>
      <c r="N1205" t="s">
        <v>393</v>
      </c>
      <c r="O1205" t="s">
        <v>462</v>
      </c>
      <c r="P1205">
        <v>7.6017374718925126E-2</v>
      </c>
      <c r="Q1205" t="s">
        <v>158</v>
      </c>
    </row>
    <row r="1206" spans="9:17" x14ac:dyDescent="0.45">
      <c r="I1206" t="s">
        <v>257</v>
      </c>
      <c r="J1206" t="s">
        <v>463</v>
      </c>
      <c r="K1206">
        <v>8.4653825448782385E-3</v>
      </c>
      <c r="L1206" t="s">
        <v>158</v>
      </c>
      <c r="N1206" t="s">
        <v>393</v>
      </c>
      <c r="O1206" t="s">
        <v>463</v>
      </c>
      <c r="P1206">
        <v>0.12782466720948055</v>
      </c>
      <c r="Q1206" t="s">
        <v>158</v>
      </c>
    </row>
    <row r="1207" spans="9:17" x14ac:dyDescent="0.45">
      <c r="I1207" t="s">
        <v>257</v>
      </c>
      <c r="J1207" t="s">
        <v>464</v>
      </c>
      <c r="K1207">
        <v>3.3863424028740298E-2</v>
      </c>
      <c r="L1207" t="s">
        <v>158</v>
      </c>
      <c r="N1207" t="s">
        <v>393</v>
      </c>
      <c r="O1207" t="s">
        <v>464</v>
      </c>
      <c r="P1207">
        <v>1.465469589692643E-2</v>
      </c>
      <c r="Q1207" t="s">
        <v>158</v>
      </c>
    </row>
    <row r="1208" spans="9:17" x14ac:dyDescent="0.45">
      <c r="I1208" t="s">
        <v>257</v>
      </c>
      <c r="J1208" t="s">
        <v>465</v>
      </c>
      <c r="K1208">
        <v>0.18043493071082881</v>
      </c>
      <c r="L1208" t="s">
        <v>158</v>
      </c>
      <c r="N1208" t="s">
        <v>393</v>
      </c>
      <c r="O1208" t="s">
        <v>465</v>
      </c>
      <c r="P1208">
        <v>6.1978371819298446E-2</v>
      </c>
      <c r="Q1208" t="s">
        <v>158</v>
      </c>
    </row>
    <row r="1209" spans="9:17" x14ac:dyDescent="0.45">
      <c r="I1209" t="s">
        <v>257</v>
      </c>
      <c r="J1209" t="s">
        <v>466</v>
      </c>
      <c r="K1209">
        <v>0</v>
      </c>
      <c r="L1209" t="s">
        <v>158</v>
      </c>
      <c r="N1209" t="s">
        <v>393</v>
      </c>
      <c r="O1209" t="s">
        <v>466</v>
      </c>
      <c r="P1209">
        <v>0.10665977673983741</v>
      </c>
      <c r="Q1209" t="s">
        <v>158</v>
      </c>
    </row>
    <row r="1210" spans="9:17" x14ac:dyDescent="0.45">
      <c r="I1210" t="s">
        <v>257</v>
      </c>
      <c r="J1210" t="s">
        <v>467</v>
      </c>
      <c r="K1210">
        <v>1.575151027739391E-2</v>
      </c>
      <c r="L1210" t="s">
        <v>158</v>
      </c>
      <c r="N1210" t="s">
        <v>393</v>
      </c>
      <c r="O1210" t="s">
        <v>467</v>
      </c>
      <c r="P1210">
        <v>1.4163749109694746E-2</v>
      </c>
      <c r="Q1210" t="s">
        <v>158</v>
      </c>
    </row>
    <row r="1211" spans="9:17" x14ac:dyDescent="0.45">
      <c r="I1211" t="s">
        <v>258</v>
      </c>
      <c r="J1211" t="s">
        <v>456</v>
      </c>
      <c r="K1211">
        <v>0.20901783896755868</v>
      </c>
      <c r="L1211" t="s">
        <v>158</v>
      </c>
      <c r="N1211" t="s">
        <v>394</v>
      </c>
      <c r="O1211" t="s">
        <v>456</v>
      </c>
      <c r="P1211">
        <v>7.5530594611502383E-2</v>
      </c>
      <c r="Q1211" t="s">
        <v>158</v>
      </c>
    </row>
    <row r="1212" spans="9:17" x14ac:dyDescent="0.45">
      <c r="I1212" t="s">
        <v>258</v>
      </c>
      <c r="J1212" t="s">
        <v>457</v>
      </c>
      <c r="K1212">
        <v>0</v>
      </c>
      <c r="L1212" t="s">
        <v>158</v>
      </c>
      <c r="N1212" t="s">
        <v>394</v>
      </c>
      <c r="O1212" t="s">
        <v>457</v>
      </c>
      <c r="P1212">
        <v>0.10744553362566141</v>
      </c>
      <c r="Q1212" t="s">
        <v>158</v>
      </c>
    </row>
    <row r="1213" spans="9:17" x14ac:dyDescent="0.45">
      <c r="I1213" t="s">
        <v>258</v>
      </c>
      <c r="J1213" t="s">
        <v>458</v>
      </c>
      <c r="K1213">
        <v>1.2671259311154313E-2</v>
      </c>
      <c r="L1213" t="s">
        <v>158</v>
      </c>
      <c r="N1213" t="s">
        <v>394</v>
      </c>
      <c r="O1213" t="s">
        <v>458</v>
      </c>
      <c r="P1213">
        <v>1.63438510169268E-2</v>
      </c>
      <c r="Q1213" t="s">
        <v>158</v>
      </c>
    </row>
    <row r="1214" spans="9:17" x14ac:dyDescent="0.45">
      <c r="I1214" t="s">
        <v>258</v>
      </c>
      <c r="J1214" t="s">
        <v>459</v>
      </c>
      <c r="K1214">
        <v>0.26702133368416714</v>
      </c>
      <c r="L1214" t="s">
        <v>158</v>
      </c>
      <c r="N1214" t="s">
        <v>394</v>
      </c>
      <c r="O1214" t="s">
        <v>459</v>
      </c>
      <c r="P1214">
        <v>0.15374752657261975</v>
      </c>
      <c r="Q1214" t="s">
        <v>158</v>
      </c>
    </row>
    <row r="1215" spans="9:17" x14ac:dyDescent="0.45">
      <c r="I1215" t="s">
        <v>258</v>
      </c>
      <c r="J1215" t="s">
        <v>460</v>
      </c>
      <c r="K1215">
        <v>2.9815685444960203E-3</v>
      </c>
      <c r="L1215" t="s">
        <v>158</v>
      </c>
      <c r="N1215" t="s">
        <v>394</v>
      </c>
      <c r="O1215" t="s">
        <v>460</v>
      </c>
      <c r="P1215">
        <v>0.20083415077872985</v>
      </c>
      <c r="Q1215" t="s">
        <v>158</v>
      </c>
    </row>
    <row r="1216" spans="9:17" x14ac:dyDescent="0.45">
      <c r="I1216" t="s">
        <v>258</v>
      </c>
      <c r="J1216" t="s">
        <v>461</v>
      </c>
      <c r="K1216">
        <v>3.3890666915884222E-2</v>
      </c>
      <c r="L1216" t="s">
        <v>158</v>
      </c>
      <c r="N1216" t="s">
        <v>394</v>
      </c>
      <c r="O1216" t="s">
        <v>461</v>
      </c>
      <c r="P1216">
        <v>2.8956457865665072E-2</v>
      </c>
      <c r="Q1216" t="s">
        <v>158</v>
      </c>
    </row>
    <row r="1217" spans="9:17" x14ac:dyDescent="0.45">
      <c r="I1217" t="s">
        <v>258</v>
      </c>
      <c r="J1217" t="s">
        <v>462</v>
      </c>
      <c r="K1217">
        <v>0.24921635057198846</v>
      </c>
      <c r="L1217" t="s">
        <v>158</v>
      </c>
      <c r="N1217" t="s">
        <v>394</v>
      </c>
      <c r="O1217" t="s">
        <v>462</v>
      </c>
      <c r="P1217">
        <v>8.9533773728680363E-2</v>
      </c>
      <c r="Q1217" t="s">
        <v>158</v>
      </c>
    </row>
    <row r="1218" spans="9:17" x14ac:dyDescent="0.45">
      <c r="I1218" t="s">
        <v>258</v>
      </c>
      <c r="J1218" t="s">
        <v>463</v>
      </c>
      <c r="K1218">
        <v>6.9184676086389268E-3</v>
      </c>
      <c r="L1218" t="s">
        <v>158</v>
      </c>
      <c r="N1218" t="s">
        <v>394</v>
      </c>
      <c r="O1218" t="s">
        <v>463</v>
      </c>
      <c r="P1218">
        <v>0.12131284391107529</v>
      </c>
      <c r="Q1218" t="s">
        <v>158</v>
      </c>
    </row>
    <row r="1219" spans="9:17" x14ac:dyDescent="0.45">
      <c r="I1219" t="s">
        <v>258</v>
      </c>
      <c r="J1219" t="s">
        <v>464</v>
      </c>
      <c r="K1219">
        <v>3.0115077869781917E-2</v>
      </c>
      <c r="L1219" t="s">
        <v>158</v>
      </c>
      <c r="N1219" t="s">
        <v>394</v>
      </c>
      <c r="O1219" t="s">
        <v>464</v>
      </c>
      <c r="P1219">
        <v>1.7178547670398985E-2</v>
      </c>
      <c r="Q1219" t="s">
        <v>158</v>
      </c>
    </row>
    <row r="1220" spans="9:17" x14ac:dyDescent="0.45">
      <c r="I1220" t="s">
        <v>258</v>
      </c>
      <c r="J1220" t="s">
        <v>465</v>
      </c>
      <c r="K1220">
        <v>0.18096954589373451</v>
      </c>
      <c r="L1220" t="s">
        <v>158</v>
      </c>
      <c r="N1220" t="s">
        <v>394</v>
      </c>
      <c r="O1220" t="s">
        <v>465</v>
      </c>
      <c r="P1220">
        <v>7.4356834132802946E-2</v>
      </c>
      <c r="Q1220" t="s">
        <v>158</v>
      </c>
    </row>
    <row r="1221" spans="9:17" x14ac:dyDescent="0.45">
      <c r="I1221" t="s">
        <v>258</v>
      </c>
      <c r="J1221" t="s">
        <v>466</v>
      </c>
      <c r="K1221">
        <v>0</v>
      </c>
      <c r="L1221" t="s">
        <v>158</v>
      </c>
      <c r="N1221" t="s">
        <v>394</v>
      </c>
      <c r="O1221" t="s">
        <v>466</v>
      </c>
      <c r="P1221">
        <v>0.10221468655520417</v>
      </c>
      <c r="Q1221" t="s">
        <v>158</v>
      </c>
    </row>
    <row r="1222" spans="9:17" x14ac:dyDescent="0.45">
      <c r="I1222" t="s">
        <v>258</v>
      </c>
      <c r="J1222" t="s">
        <v>467</v>
      </c>
      <c r="K1222">
        <v>7.197890632595399E-3</v>
      </c>
      <c r="L1222" t="s">
        <v>158</v>
      </c>
      <c r="N1222" t="s">
        <v>394</v>
      </c>
      <c r="O1222" t="s">
        <v>467</v>
      </c>
      <c r="P1222">
        <v>1.254519953073505E-2</v>
      </c>
      <c r="Q1222" t="s">
        <v>158</v>
      </c>
    </row>
    <row r="1223" spans="9:17" x14ac:dyDescent="0.45">
      <c r="I1223" t="s">
        <v>259</v>
      </c>
      <c r="J1223" t="s">
        <v>456</v>
      </c>
      <c r="K1223">
        <v>0.20938203332064484</v>
      </c>
      <c r="L1223" t="s">
        <v>158</v>
      </c>
      <c r="N1223" t="s">
        <v>395</v>
      </c>
      <c r="O1223" t="s">
        <v>456</v>
      </c>
      <c r="P1223">
        <v>7.0087447034871048E-2</v>
      </c>
      <c r="Q1223" t="s">
        <v>158</v>
      </c>
    </row>
    <row r="1224" spans="9:17" x14ac:dyDescent="0.45">
      <c r="I1224" t="s">
        <v>259</v>
      </c>
      <c r="J1224" t="s">
        <v>457</v>
      </c>
      <c r="K1224">
        <v>1.9799593899107342E-4</v>
      </c>
      <c r="L1224" t="s">
        <v>158</v>
      </c>
      <c r="N1224" t="s">
        <v>395</v>
      </c>
      <c r="O1224" t="s">
        <v>457</v>
      </c>
      <c r="P1224">
        <v>0.11774899418554224</v>
      </c>
      <c r="Q1224" t="s">
        <v>158</v>
      </c>
    </row>
    <row r="1225" spans="9:17" x14ac:dyDescent="0.45">
      <c r="I1225" t="s">
        <v>259</v>
      </c>
      <c r="J1225" t="s">
        <v>458</v>
      </c>
      <c r="K1225">
        <v>1.6143607011978301E-2</v>
      </c>
      <c r="L1225" t="s">
        <v>158</v>
      </c>
      <c r="N1225" t="s">
        <v>395</v>
      </c>
      <c r="O1225" t="s">
        <v>458</v>
      </c>
      <c r="P1225">
        <v>1.7786565485310744E-2</v>
      </c>
      <c r="Q1225" t="s">
        <v>158</v>
      </c>
    </row>
    <row r="1226" spans="9:17" x14ac:dyDescent="0.45">
      <c r="I1226" t="s">
        <v>259</v>
      </c>
      <c r="J1226" t="s">
        <v>459</v>
      </c>
      <c r="K1226">
        <v>0.2616588827339465</v>
      </c>
      <c r="L1226" t="s">
        <v>158</v>
      </c>
      <c r="N1226" t="s">
        <v>395</v>
      </c>
      <c r="O1226" t="s">
        <v>459</v>
      </c>
      <c r="P1226">
        <v>0.13853791938082574</v>
      </c>
      <c r="Q1226" t="s">
        <v>158</v>
      </c>
    </row>
    <row r="1227" spans="9:17" x14ac:dyDescent="0.45">
      <c r="I1227" t="s">
        <v>259</v>
      </c>
      <c r="J1227" t="s">
        <v>460</v>
      </c>
      <c r="K1227">
        <v>4.5018961175423162E-3</v>
      </c>
      <c r="L1227" t="s">
        <v>158</v>
      </c>
      <c r="N1227" t="s">
        <v>395</v>
      </c>
      <c r="O1227" t="s">
        <v>460</v>
      </c>
      <c r="P1227">
        <v>0.21095357071104925</v>
      </c>
      <c r="Q1227" t="s">
        <v>158</v>
      </c>
    </row>
    <row r="1228" spans="9:17" x14ac:dyDescent="0.45">
      <c r="I1228" t="s">
        <v>259</v>
      </c>
      <c r="J1228" t="s">
        <v>461</v>
      </c>
      <c r="K1228">
        <v>3.5840781939952569E-2</v>
      </c>
      <c r="L1228" t="s">
        <v>158</v>
      </c>
      <c r="N1228" t="s">
        <v>395</v>
      </c>
      <c r="O1228" t="s">
        <v>461</v>
      </c>
      <c r="P1228">
        <v>2.6614392121640868E-2</v>
      </c>
      <c r="Q1228" t="s">
        <v>158</v>
      </c>
    </row>
    <row r="1229" spans="9:17" x14ac:dyDescent="0.45">
      <c r="I1229" t="s">
        <v>259</v>
      </c>
      <c r="J1229" t="s">
        <v>462</v>
      </c>
      <c r="K1229">
        <v>0.23614089110544423</v>
      </c>
      <c r="L1229" t="s">
        <v>158</v>
      </c>
      <c r="N1229" t="s">
        <v>395</v>
      </c>
      <c r="O1229" t="s">
        <v>462</v>
      </c>
      <c r="P1229">
        <v>8.7328743454644434E-2</v>
      </c>
      <c r="Q1229" t="s">
        <v>158</v>
      </c>
    </row>
    <row r="1230" spans="9:17" x14ac:dyDescent="0.45">
      <c r="I1230" t="s">
        <v>259</v>
      </c>
      <c r="J1230" t="s">
        <v>463</v>
      </c>
      <c r="K1230">
        <v>8.076856790991703E-3</v>
      </c>
      <c r="L1230" t="s">
        <v>158</v>
      </c>
      <c r="N1230" t="s">
        <v>395</v>
      </c>
      <c r="O1230" t="s">
        <v>463</v>
      </c>
      <c r="P1230">
        <v>0.12945414215212056</v>
      </c>
      <c r="Q1230" t="s">
        <v>158</v>
      </c>
    </row>
    <row r="1231" spans="9:17" x14ac:dyDescent="0.45">
      <c r="I1231" t="s">
        <v>259</v>
      </c>
      <c r="J1231" t="s">
        <v>464</v>
      </c>
      <c r="K1231">
        <v>3.0168530049505118E-2</v>
      </c>
      <c r="L1231" t="s">
        <v>158</v>
      </c>
      <c r="N1231" t="s">
        <v>395</v>
      </c>
      <c r="O1231" t="s">
        <v>464</v>
      </c>
      <c r="P1231">
        <v>1.7008506503131487E-2</v>
      </c>
      <c r="Q1231" t="s">
        <v>158</v>
      </c>
    </row>
    <row r="1232" spans="9:17" x14ac:dyDescent="0.45">
      <c r="I1232" t="s">
        <v>259</v>
      </c>
      <c r="J1232" t="s">
        <v>465</v>
      </c>
      <c r="K1232">
        <v>0.18467062109142707</v>
      </c>
      <c r="L1232" t="s">
        <v>158</v>
      </c>
      <c r="N1232" t="s">
        <v>395</v>
      </c>
      <c r="O1232" t="s">
        <v>465</v>
      </c>
      <c r="P1232">
        <v>6.0223118771119209E-2</v>
      </c>
      <c r="Q1232" t="s">
        <v>158</v>
      </c>
    </row>
    <row r="1233" spans="9:17" x14ac:dyDescent="0.45">
      <c r="I1233" t="s">
        <v>259</v>
      </c>
      <c r="J1233" t="s">
        <v>466</v>
      </c>
      <c r="K1233">
        <v>0</v>
      </c>
      <c r="L1233" t="s">
        <v>158</v>
      </c>
      <c r="N1233" t="s">
        <v>395</v>
      </c>
      <c r="O1233" t="s">
        <v>466</v>
      </c>
      <c r="P1233">
        <v>0.10931403990003234</v>
      </c>
      <c r="Q1233" t="s">
        <v>158</v>
      </c>
    </row>
    <row r="1234" spans="9:17" x14ac:dyDescent="0.45">
      <c r="I1234" t="s">
        <v>259</v>
      </c>
      <c r="J1234" t="s">
        <v>467</v>
      </c>
      <c r="K1234">
        <v>1.321790389957736E-2</v>
      </c>
      <c r="L1234" t="s">
        <v>158</v>
      </c>
      <c r="N1234" t="s">
        <v>395</v>
      </c>
      <c r="O1234" t="s">
        <v>467</v>
      </c>
      <c r="P1234">
        <v>1.494256029971254E-2</v>
      </c>
      <c r="Q1234" t="s">
        <v>158</v>
      </c>
    </row>
    <row r="1235" spans="9:17" x14ac:dyDescent="0.45">
      <c r="I1235" t="s">
        <v>260</v>
      </c>
      <c r="J1235" t="s">
        <v>456</v>
      </c>
      <c r="K1235">
        <v>0.21532309435987709</v>
      </c>
      <c r="L1235" t="s">
        <v>158</v>
      </c>
      <c r="N1235" t="s">
        <v>396</v>
      </c>
      <c r="O1235" t="s">
        <v>456</v>
      </c>
      <c r="P1235">
        <v>0.1166552891245236</v>
      </c>
      <c r="Q1235" t="s">
        <v>158</v>
      </c>
    </row>
    <row r="1236" spans="9:17" x14ac:dyDescent="0.45">
      <c r="I1236" t="s">
        <v>260</v>
      </c>
      <c r="J1236" t="s">
        <v>457</v>
      </c>
      <c r="K1236">
        <v>0</v>
      </c>
      <c r="L1236" t="s">
        <v>158</v>
      </c>
      <c r="N1236" t="s">
        <v>396</v>
      </c>
      <c r="O1236" t="s">
        <v>457</v>
      </c>
      <c r="P1236">
        <v>0.11779793445726479</v>
      </c>
      <c r="Q1236" t="s">
        <v>158</v>
      </c>
    </row>
    <row r="1237" spans="9:17" x14ac:dyDescent="0.45">
      <c r="I1237" t="s">
        <v>260</v>
      </c>
      <c r="J1237" t="s">
        <v>458</v>
      </c>
      <c r="K1237">
        <v>6.4733696992151741E-3</v>
      </c>
      <c r="L1237" t="s">
        <v>158</v>
      </c>
      <c r="N1237" t="s">
        <v>396</v>
      </c>
      <c r="O1237" t="s">
        <v>458</v>
      </c>
      <c r="P1237">
        <v>2.0149726938265996E-2</v>
      </c>
      <c r="Q1237" t="s">
        <v>158</v>
      </c>
    </row>
    <row r="1238" spans="9:17" x14ac:dyDescent="0.45">
      <c r="I1238" t="s">
        <v>260</v>
      </c>
      <c r="J1238" t="s">
        <v>459</v>
      </c>
      <c r="K1238">
        <v>0.27938331178521375</v>
      </c>
      <c r="L1238" t="s">
        <v>158</v>
      </c>
      <c r="N1238" t="s">
        <v>396</v>
      </c>
      <c r="O1238" t="s">
        <v>459</v>
      </c>
      <c r="P1238">
        <v>0.13459739898783477</v>
      </c>
      <c r="Q1238" t="s">
        <v>158</v>
      </c>
    </row>
    <row r="1239" spans="9:17" x14ac:dyDescent="0.45">
      <c r="I1239" t="s">
        <v>260</v>
      </c>
      <c r="J1239" t="s">
        <v>460</v>
      </c>
      <c r="K1239">
        <v>1.9497330258672874E-5</v>
      </c>
      <c r="L1239" t="s">
        <v>158</v>
      </c>
      <c r="N1239" t="s">
        <v>396</v>
      </c>
      <c r="O1239" t="s">
        <v>460</v>
      </c>
      <c r="P1239">
        <v>0.13372874255756273</v>
      </c>
      <c r="Q1239" t="s">
        <v>158</v>
      </c>
    </row>
    <row r="1240" spans="9:17" x14ac:dyDescent="0.45">
      <c r="I1240" t="s">
        <v>260</v>
      </c>
      <c r="J1240" t="s">
        <v>461</v>
      </c>
      <c r="K1240">
        <v>2.1086440179800981E-2</v>
      </c>
      <c r="L1240" t="s">
        <v>158</v>
      </c>
      <c r="N1240" t="s">
        <v>396</v>
      </c>
      <c r="O1240" t="s">
        <v>461</v>
      </c>
      <c r="P1240">
        <v>2.5100691028567972E-2</v>
      </c>
      <c r="Q1240" t="s">
        <v>158</v>
      </c>
    </row>
    <row r="1241" spans="9:17" x14ac:dyDescent="0.45">
      <c r="I1241" t="s">
        <v>260</v>
      </c>
      <c r="J1241" t="s">
        <v>462</v>
      </c>
      <c r="K1241">
        <v>0.18300990031264627</v>
      </c>
      <c r="L1241" t="s">
        <v>158</v>
      </c>
      <c r="N1241" t="s">
        <v>396</v>
      </c>
      <c r="O1241" t="s">
        <v>462</v>
      </c>
      <c r="P1241">
        <v>7.8990493312052101E-2</v>
      </c>
      <c r="Q1241" t="s">
        <v>158</v>
      </c>
    </row>
    <row r="1242" spans="9:17" x14ac:dyDescent="0.45">
      <c r="I1242" t="s">
        <v>260</v>
      </c>
      <c r="J1242" t="s">
        <v>463</v>
      </c>
      <c r="K1242">
        <v>1.22642372539457E-4</v>
      </c>
      <c r="L1242" t="s">
        <v>158</v>
      </c>
      <c r="N1242" t="s">
        <v>396</v>
      </c>
      <c r="O1242" t="s">
        <v>463</v>
      </c>
      <c r="P1242">
        <v>8.9042824540524049E-2</v>
      </c>
      <c r="Q1242" t="s">
        <v>158</v>
      </c>
    </row>
    <row r="1243" spans="9:17" x14ac:dyDescent="0.45">
      <c r="I1243" t="s">
        <v>260</v>
      </c>
      <c r="J1243" t="s">
        <v>464</v>
      </c>
      <c r="K1243">
        <v>1.3079382852766764E-2</v>
      </c>
      <c r="L1243" t="s">
        <v>158</v>
      </c>
      <c r="N1243" t="s">
        <v>396</v>
      </c>
      <c r="O1243" t="s">
        <v>464</v>
      </c>
      <c r="P1243">
        <v>1.4027976693821571E-2</v>
      </c>
      <c r="Q1243" t="s">
        <v>158</v>
      </c>
    </row>
    <row r="1244" spans="9:17" x14ac:dyDescent="0.45">
      <c r="I1244" t="s">
        <v>260</v>
      </c>
      <c r="J1244" t="s">
        <v>465</v>
      </c>
      <c r="K1244">
        <v>0.26918002191983326</v>
      </c>
      <c r="L1244" t="s">
        <v>158</v>
      </c>
      <c r="N1244" t="s">
        <v>396</v>
      </c>
      <c r="O1244" t="s">
        <v>465</v>
      </c>
      <c r="P1244">
        <v>0.11903045752656206</v>
      </c>
      <c r="Q1244" t="s">
        <v>158</v>
      </c>
    </row>
    <row r="1245" spans="9:17" x14ac:dyDescent="0.45">
      <c r="I1245" t="s">
        <v>260</v>
      </c>
      <c r="J1245" t="s">
        <v>466</v>
      </c>
      <c r="K1245">
        <v>0</v>
      </c>
      <c r="L1245" t="s">
        <v>158</v>
      </c>
      <c r="N1245" t="s">
        <v>396</v>
      </c>
      <c r="O1245" t="s">
        <v>466</v>
      </c>
      <c r="P1245">
        <v>0.12931912166131132</v>
      </c>
      <c r="Q1245" t="s">
        <v>158</v>
      </c>
    </row>
    <row r="1246" spans="9:17" x14ac:dyDescent="0.45">
      <c r="I1246" t="s">
        <v>260</v>
      </c>
      <c r="J1246" t="s">
        <v>467</v>
      </c>
      <c r="K1246">
        <v>1.2322339187850322E-2</v>
      </c>
      <c r="L1246" t="s">
        <v>158</v>
      </c>
      <c r="N1246" t="s">
        <v>396</v>
      </c>
      <c r="O1246" t="s">
        <v>467</v>
      </c>
      <c r="P1246">
        <v>2.1559343171712226E-2</v>
      </c>
      <c r="Q1246" t="s">
        <v>158</v>
      </c>
    </row>
    <row r="1247" spans="9:17" x14ac:dyDescent="0.45">
      <c r="I1247" t="s">
        <v>261</v>
      </c>
      <c r="J1247" t="s">
        <v>456</v>
      </c>
      <c r="K1247">
        <v>0.21017870771696212</v>
      </c>
      <c r="L1247" t="s">
        <v>158</v>
      </c>
      <c r="N1247" t="s">
        <v>397</v>
      </c>
      <c r="O1247" t="s">
        <v>456</v>
      </c>
      <c r="P1247">
        <v>0.11607618498719</v>
      </c>
      <c r="Q1247" t="s">
        <v>158</v>
      </c>
    </row>
    <row r="1248" spans="9:17" x14ac:dyDescent="0.45">
      <c r="I1248" t="s">
        <v>261</v>
      </c>
      <c r="J1248" t="s">
        <v>457</v>
      </c>
      <c r="K1248">
        <v>0</v>
      </c>
      <c r="L1248" t="s">
        <v>158</v>
      </c>
      <c r="N1248" t="s">
        <v>397</v>
      </c>
      <c r="O1248" t="s">
        <v>457</v>
      </c>
      <c r="P1248">
        <v>0.13401990619350088</v>
      </c>
      <c r="Q1248" t="s">
        <v>158</v>
      </c>
    </row>
    <row r="1249" spans="9:17" x14ac:dyDescent="0.45">
      <c r="I1249" t="s">
        <v>261</v>
      </c>
      <c r="J1249" t="s">
        <v>458</v>
      </c>
      <c r="K1249">
        <v>6.5574988843704208E-3</v>
      </c>
      <c r="L1249" t="s">
        <v>158</v>
      </c>
      <c r="N1249" t="s">
        <v>397</v>
      </c>
      <c r="O1249" t="s">
        <v>458</v>
      </c>
      <c r="P1249">
        <v>2.1934521296251574E-2</v>
      </c>
      <c r="Q1249" t="s">
        <v>158</v>
      </c>
    </row>
    <row r="1250" spans="9:17" x14ac:dyDescent="0.45">
      <c r="I1250" t="s">
        <v>261</v>
      </c>
      <c r="J1250" t="s">
        <v>459</v>
      </c>
      <c r="K1250">
        <v>0.30619310192546928</v>
      </c>
      <c r="L1250" t="s">
        <v>158</v>
      </c>
      <c r="N1250" t="s">
        <v>397</v>
      </c>
      <c r="O1250" t="s">
        <v>459</v>
      </c>
      <c r="P1250">
        <v>0.13491960731570149</v>
      </c>
      <c r="Q1250" t="s">
        <v>158</v>
      </c>
    </row>
    <row r="1251" spans="9:17" x14ac:dyDescent="0.45">
      <c r="I1251" t="s">
        <v>261</v>
      </c>
      <c r="J1251" t="s">
        <v>460</v>
      </c>
      <c r="K1251">
        <v>0</v>
      </c>
      <c r="L1251" t="s">
        <v>158</v>
      </c>
      <c r="N1251" t="s">
        <v>397</v>
      </c>
      <c r="O1251" t="s">
        <v>460</v>
      </c>
      <c r="P1251">
        <v>0.14357148616244891</v>
      </c>
      <c r="Q1251" t="s">
        <v>158</v>
      </c>
    </row>
    <row r="1252" spans="9:17" x14ac:dyDescent="0.45">
      <c r="I1252" t="s">
        <v>261</v>
      </c>
      <c r="J1252" t="s">
        <v>461</v>
      </c>
      <c r="K1252">
        <v>1.9810103515521989E-2</v>
      </c>
      <c r="L1252" t="s">
        <v>158</v>
      </c>
      <c r="N1252" t="s">
        <v>397</v>
      </c>
      <c r="O1252" t="s">
        <v>461</v>
      </c>
      <c r="P1252">
        <v>2.640460782235788E-2</v>
      </c>
      <c r="Q1252" t="s">
        <v>158</v>
      </c>
    </row>
    <row r="1253" spans="9:17" x14ac:dyDescent="0.45">
      <c r="I1253" t="s">
        <v>261</v>
      </c>
      <c r="J1253" t="s">
        <v>462</v>
      </c>
      <c r="K1253">
        <v>0.19746578749958099</v>
      </c>
      <c r="L1253" t="s">
        <v>158</v>
      </c>
      <c r="N1253" t="s">
        <v>397</v>
      </c>
      <c r="O1253" t="s">
        <v>462</v>
      </c>
      <c r="P1253">
        <v>7.9495970329135912E-2</v>
      </c>
      <c r="Q1253" t="s">
        <v>158</v>
      </c>
    </row>
    <row r="1254" spans="9:17" x14ac:dyDescent="0.45">
      <c r="I1254" t="s">
        <v>261</v>
      </c>
      <c r="J1254" t="s">
        <v>463</v>
      </c>
      <c r="K1254">
        <v>0</v>
      </c>
      <c r="L1254" t="s">
        <v>158</v>
      </c>
      <c r="N1254" t="s">
        <v>397</v>
      </c>
      <c r="O1254" t="s">
        <v>463</v>
      </c>
      <c r="P1254">
        <v>0.11011654670579644</v>
      </c>
      <c r="Q1254" t="s">
        <v>158</v>
      </c>
    </row>
    <row r="1255" spans="9:17" x14ac:dyDescent="0.45">
      <c r="I1255" t="s">
        <v>261</v>
      </c>
      <c r="J1255" t="s">
        <v>464</v>
      </c>
      <c r="K1255">
        <v>1.3852206183957537E-2</v>
      </c>
      <c r="L1255" t="s">
        <v>158</v>
      </c>
      <c r="N1255" t="s">
        <v>397</v>
      </c>
      <c r="O1255" t="s">
        <v>464</v>
      </c>
      <c r="P1255">
        <v>1.7085952473779729E-2</v>
      </c>
      <c r="Q1255" t="s">
        <v>158</v>
      </c>
    </row>
    <row r="1256" spans="9:17" x14ac:dyDescent="0.45">
      <c r="I1256" t="s">
        <v>261</v>
      </c>
      <c r="J1256" t="s">
        <v>465</v>
      </c>
      <c r="K1256">
        <v>0.23495106695933343</v>
      </c>
      <c r="L1256" t="s">
        <v>158</v>
      </c>
      <c r="N1256" t="s">
        <v>397</v>
      </c>
      <c r="O1256" t="s">
        <v>465</v>
      </c>
      <c r="P1256">
        <v>8.9275981178335864E-2</v>
      </c>
      <c r="Q1256" t="s">
        <v>158</v>
      </c>
    </row>
    <row r="1257" spans="9:17" x14ac:dyDescent="0.45">
      <c r="I1257" t="s">
        <v>261</v>
      </c>
      <c r="J1257" t="s">
        <v>466</v>
      </c>
      <c r="K1257">
        <v>0</v>
      </c>
      <c r="L1257" t="s">
        <v>158</v>
      </c>
      <c r="N1257" t="s">
        <v>397</v>
      </c>
      <c r="O1257" t="s">
        <v>466</v>
      </c>
      <c r="P1257">
        <v>0.1092614552368812</v>
      </c>
      <c r="Q1257" t="s">
        <v>158</v>
      </c>
    </row>
    <row r="1258" spans="9:17" x14ac:dyDescent="0.45">
      <c r="I1258" t="s">
        <v>261</v>
      </c>
      <c r="J1258" t="s">
        <v>467</v>
      </c>
      <c r="K1258">
        <v>1.0991527314804914E-2</v>
      </c>
      <c r="L1258" t="s">
        <v>158</v>
      </c>
      <c r="N1258" t="s">
        <v>397</v>
      </c>
      <c r="O1258" t="s">
        <v>467</v>
      </c>
      <c r="P1258">
        <v>1.7837780298618541E-2</v>
      </c>
      <c r="Q1258" t="s">
        <v>158</v>
      </c>
    </row>
    <row r="1259" spans="9:17" x14ac:dyDescent="0.45">
      <c r="I1259" t="s">
        <v>262</v>
      </c>
      <c r="J1259" t="s">
        <v>456</v>
      </c>
      <c r="K1259">
        <v>0.21145122253960277</v>
      </c>
      <c r="L1259" t="s">
        <v>158</v>
      </c>
      <c r="N1259" t="s">
        <v>398</v>
      </c>
      <c r="O1259" t="s">
        <v>456</v>
      </c>
      <c r="P1259">
        <v>0.11108417099487744</v>
      </c>
      <c r="Q1259" t="s">
        <v>158</v>
      </c>
    </row>
    <row r="1260" spans="9:17" x14ac:dyDescent="0.45">
      <c r="I1260" t="s">
        <v>262</v>
      </c>
      <c r="J1260" t="s">
        <v>457</v>
      </c>
      <c r="K1260">
        <v>0</v>
      </c>
      <c r="L1260" t="s">
        <v>158</v>
      </c>
      <c r="N1260" t="s">
        <v>398</v>
      </c>
      <c r="O1260" t="s">
        <v>457</v>
      </c>
      <c r="P1260">
        <v>0.12665579956206346</v>
      </c>
      <c r="Q1260" t="s">
        <v>158</v>
      </c>
    </row>
    <row r="1261" spans="9:17" x14ac:dyDescent="0.45">
      <c r="I1261" t="s">
        <v>262</v>
      </c>
      <c r="J1261" t="s">
        <v>458</v>
      </c>
      <c r="K1261">
        <v>6.467062134312581E-3</v>
      </c>
      <c r="L1261" t="s">
        <v>158</v>
      </c>
      <c r="N1261" t="s">
        <v>398</v>
      </c>
      <c r="O1261" t="s">
        <v>458</v>
      </c>
      <c r="P1261">
        <v>1.9709704411872492E-2</v>
      </c>
      <c r="Q1261" t="s">
        <v>158</v>
      </c>
    </row>
    <row r="1262" spans="9:17" x14ac:dyDescent="0.45">
      <c r="I1262" t="s">
        <v>262</v>
      </c>
      <c r="J1262" t="s">
        <v>459</v>
      </c>
      <c r="K1262">
        <v>0.2932796454324027</v>
      </c>
      <c r="L1262" t="s">
        <v>158</v>
      </c>
      <c r="N1262" t="s">
        <v>398</v>
      </c>
      <c r="O1262" t="s">
        <v>459</v>
      </c>
      <c r="P1262">
        <v>0.12598678011856573</v>
      </c>
      <c r="Q1262" t="s">
        <v>158</v>
      </c>
    </row>
    <row r="1263" spans="9:17" x14ac:dyDescent="0.45">
      <c r="I1263" t="s">
        <v>262</v>
      </c>
      <c r="J1263" t="s">
        <v>460</v>
      </c>
      <c r="K1263">
        <v>0</v>
      </c>
      <c r="L1263" t="s">
        <v>158</v>
      </c>
      <c r="N1263" t="s">
        <v>398</v>
      </c>
      <c r="O1263" t="s">
        <v>460</v>
      </c>
      <c r="P1263">
        <v>0.13203463421951836</v>
      </c>
      <c r="Q1263" t="s">
        <v>158</v>
      </c>
    </row>
    <row r="1264" spans="9:17" x14ac:dyDescent="0.45">
      <c r="I1264" t="s">
        <v>262</v>
      </c>
      <c r="J1264" t="s">
        <v>461</v>
      </c>
      <c r="K1264">
        <v>2.056141789207459E-2</v>
      </c>
      <c r="L1264" t="s">
        <v>158</v>
      </c>
      <c r="N1264" t="s">
        <v>398</v>
      </c>
      <c r="O1264" t="s">
        <v>461</v>
      </c>
      <c r="P1264">
        <v>2.4189469280551115E-2</v>
      </c>
      <c r="Q1264" t="s">
        <v>158</v>
      </c>
    </row>
    <row r="1265" spans="9:17" x14ac:dyDescent="0.45">
      <c r="I1265" t="s">
        <v>262</v>
      </c>
      <c r="J1265" t="s">
        <v>462</v>
      </c>
      <c r="K1265">
        <v>0.18117859815200008</v>
      </c>
      <c r="L1265" t="s">
        <v>158</v>
      </c>
      <c r="N1265" t="s">
        <v>398</v>
      </c>
      <c r="O1265" t="s">
        <v>462</v>
      </c>
      <c r="P1265">
        <v>8.2545748956440151E-2</v>
      </c>
      <c r="Q1265" t="s">
        <v>158</v>
      </c>
    </row>
    <row r="1266" spans="9:17" x14ac:dyDescent="0.45">
      <c r="I1266" t="s">
        <v>262</v>
      </c>
      <c r="J1266" t="s">
        <v>463</v>
      </c>
      <c r="K1266">
        <v>0</v>
      </c>
      <c r="L1266" t="s">
        <v>158</v>
      </c>
      <c r="N1266" t="s">
        <v>398</v>
      </c>
      <c r="O1266" t="s">
        <v>463</v>
      </c>
      <c r="P1266">
        <v>0.10880923275197454</v>
      </c>
      <c r="Q1266" t="s">
        <v>158</v>
      </c>
    </row>
    <row r="1267" spans="9:17" x14ac:dyDescent="0.45">
      <c r="I1267" t="s">
        <v>262</v>
      </c>
      <c r="J1267" t="s">
        <v>464</v>
      </c>
      <c r="K1267">
        <v>1.30783544320649E-2</v>
      </c>
      <c r="L1267" t="s">
        <v>158</v>
      </c>
      <c r="N1267" t="s">
        <v>398</v>
      </c>
      <c r="O1267" t="s">
        <v>464</v>
      </c>
      <c r="P1267">
        <v>1.4686779923563041E-2</v>
      </c>
      <c r="Q1267" t="s">
        <v>158</v>
      </c>
    </row>
    <row r="1268" spans="9:17" x14ac:dyDescent="0.45">
      <c r="I1268" t="s">
        <v>262</v>
      </c>
      <c r="J1268" t="s">
        <v>465</v>
      </c>
      <c r="K1268">
        <v>0.26168181357057752</v>
      </c>
      <c r="L1268" t="s">
        <v>158</v>
      </c>
      <c r="N1268" t="s">
        <v>398</v>
      </c>
      <c r="O1268" t="s">
        <v>465</v>
      </c>
      <c r="P1268">
        <v>0.10844074659567202</v>
      </c>
      <c r="Q1268" t="s">
        <v>158</v>
      </c>
    </row>
    <row r="1269" spans="9:17" x14ac:dyDescent="0.45">
      <c r="I1269" t="s">
        <v>262</v>
      </c>
      <c r="J1269" t="s">
        <v>466</v>
      </c>
      <c r="K1269">
        <v>0</v>
      </c>
      <c r="L1269" t="s">
        <v>158</v>
      </c>
      <c r="N1269" t="s">
        <v>398</v>
      </c>
      <c r="O1269" t="s">
        <v>466</v>
      </c>
      <c r="P1269">
        <v>0.12614402303778466</v>
      </c>
      <c r="Q1269" t="s">
        <v>158</v>
      </c>
    </row>
    <row r="1270" spans="9:17" x14ac:dyDescent="0.45">
      <c r="I1270" t="s">
        <v>262</v>
      </c>
      <c r="J1270" t="s">
        <v>467</v>
      </c>
      <c r="K1270">
        <v>1.2301885846961487E-2</v>
      </c>
      <c r="L1270" t="s">
        <v>158</v>
      </c>
      <c r="N1270" t="s">
        <v>398</v>
      </c>
      <c r="O1270" t="s">
        <v>467</v>
      </c>
      <c r="P1270">
        <v>1.9712910147119081E-2</v>
      </c>
      <c r="Q1270" t="s">
        <v>158</v>
      </c>
    </row>
    <row r="1271" spans="9:17" x14ac:dyDescent="0.45">
      <c r="I1271" t="s">
        <v>263</v>
      </c>
      <c r="J1271" t="s">
        <v>456</v>
      </c>
      <c r="K1271">
        <v>0.19038375040097019</v>
      </c>
      <c r="L1271" t="s">
        <v>158</v>
      </c>
      <c r="N1271" t="s">
        <v>399</v>
      </c>
      <c r="O1271" t="s">
        <v>456</v>
      </c>
      <c r="P1271">
        <v>0.11629689025345573</v>
      </c>
      <c r="Q1271" t="s">
        <v>158</v>
      </c>
    </row>
    <row r="1272" spans="9:17" x14ac:dyDescent="0.45">
      <c r="I1272" t="s">
        <v>263</v>
      </c>
      <c r="J1272" t="s">
        <v>457</v>
      </c>
      <c r="K1272">
        <v>0</v>
      </c>
      <c r="L1272" t="s">
        <v>158</v>
      </c>
      <c r="N1272" t="s">
        <v>399</v>
      </c>
      <c r="O1272" t="s">
        <v>457</v>
      </c>
      <c r="P1272">
        <v>0.12079469320084403</v>
      </c>
      <c r="Q1272" t="s">
        <v>158</v>
      </c>
    </row>
    <row r="1273" spans="9:17" x14ac:dyDescent="0.45">
      <c r="I1273" t="s">
        <v>263</v>
      </c>
      <c r="J1273" t="s">
        <v>458</v>
      </c>
      <c r="K1273">
        <v>1.7509828298213993E-2</v>
      </c>
      <c r="L1273" t="s">
        <v>158</v>
      </c>
      <c r="N1273" t="s">
        <v>399</v>
      </c>
      <c r="O1273" t="s">
        <v>458</v>
      </c>
      <c r="P1273">
        <v>2.0166528439688476E-2</v>
      </c>
      <c r="Q1273" t="s">
        <v>158</v>
      </c>
    </row>
    <row r="1274" spans="9:17" x14ac:dyDescent="0.45">
      <c r="I1274" t="s">
        <v>263</v>
      </c>
      <c r="J1274" t="s">
        <v>459</v>
      </c>
      <c r="K1274">
        <v>0.26975935477859297</v>
      </c>
      <c r="L1274" t="s">
        <v>158</v>
      </c>
      <c r="N1274" t="s">
        <v>399</v>
      </c>
      <c r="O1274" t="s">
        <v>459</v>
      </c>
      <c r="P1274">
        <v>0.14207132148307919</v>
      </c>
      <c r="Q1274" t="s">
        <v>158</v>
      </c>
    </row>
    <row r="1275" spans="9:17" x14ac:dyDescent="0.45">
      <c r="I1275" t="s">
        <v>263</v>
      </c>
      <c r="J1275" t="s">
        <v>460</v>
      </c>
      <c r="K1275">
        <v>2.6793871861999362E-3</v>
      </c>
      <c r="L1275" t="s">
        <v>158</v>
      </c>
      <c r="N1275" t="s">
        <v>399</v>
      </c>
      <c r="O1275" t="s">
        <v>460</v>
      </c>
      <c r="P1275">
        <v>0.13501823606895622</v>
      </c>
      <c r="Q1275" t="s">
        <v>158</v>
      </c>
    </row>
    <row r="1276" spans="9:17" x14ac:dyDescent="0.45">
      <c r="I1276" t="s">
        <v>263</v>
      </c>
      <c r="J1276" t="s">
        <v>461</v>
      </c>
      <c r="K1276">
        <v>3.3391391163573078E-2</v>
      </c>
      <c r="L1276" t="s">
        <v>158</v>
      </c>
      <c r="N1276" t="s">
        <v>399</v>
      </c>
      <c r="O1276" t="s">
        <v>461</v>
      </c>
      <c r="P1276">
        <v>2.469355568937338E-2</v>
      </c>
      <c r="Q1276" t="s">
        <v>158</v>
      </c>
    </row>
    <row r="1277" spans="9:17" x14ac:dyDescent="0.45">
      <c r="I1277" t="s">
        <v>263</v>
      </c>
      <c r="J1277" t="s">
        <v>462</v>
      </c>
      <c r="K1277">
        <v>0.20716571712942955</v>
      </c>
      <c r="L1277" t="s">
        <v>158</v>
      </c>
      <c r="N1277" t="s">
        <v>399</v>
      </c>
      <c r="O1277" t="s">
        <v>462</v>
      </c>
      <c r="P1277">
        <v>8.6099536052102604E-2</v>
      </c>
      <c r="Q1277" t="s">
        <v>158</v>
      </c>
    </row>
    <row r="1278" spans="9:17" x14ac:dyDescent="0.45">
      <c r="I1278" t="s">
        <v>263</v>
      </c>
      <c r="J1278" t="s">
        <v>463</v>
      </c>
      <c r="K1278">
        <v>4.301920628596319E-3</v>
      </c>
      <c r="L1278" t="s">
        <v>158</v>
      </c>
      <c r="N1278" t="s">
        <v>399</v>
      </c>
      <c r="O1278" t="s">
        <v>463</v>
      </c>
      <c r="P1278">
        <v>8.5203329123730784E-2</v>
      </c>
      <c r="Q1278" t="s">
        <v>158</v>
      </c>
    </row>
    <row r="1279" spans="9:17" x14ac:dyDescent="0.45">
      <c r="I1279" t="s">
        <v>263</v>
      </c>
      <c r="J1279" t="s">
        <v>464</v>
      </c>
      <c r="K1279">
        <v>2.5416087685115475E-2</v>
      </c>
      <c r="L1279" t="s">
        <v>158</v>
      </c>
      <c r="N1279" t="s">
        <v>399</v>
      </c>
      <c r="O1279" t="s">
        <v>464</v>
      </c>
      <c r="P1279">
        <v>1.5885728057665319E-2</v>
      </c>
      <c r="Q1279" t="s">
        <v>158</v>
      </c>
    </row>
    <row r="1280" spans="9:17" x14ac:dyDescent="0.45">
      <c r="I1280" t="s">
        <v>263</v>
      </c>
      <c r="J1280" t="s">
        <v>465</v>
      </c>
      <c r="K1280">
        <v>0.22220633831512226</v>
      </c>
      <c r="L1280" t="s">
        <v>158</v>
      </c>
      <c r="N1280" t="s">
        <v>399</v>
      </c>
      <c r="O1280" t="s">
        <v>465</v>
      </c>
      <c r="P1280">
        <v>0.11331477422807711</v>
      </c>
      <c r="Q1280" t="s">
        <v>158</v>
      </c>
    </row>
    <row r="1281" spans="9:17" x14ac:dyDescent="0.45">
      <c r="I1281" t="s">
        <v>263</v>
      </c>
      <c r="J1281" t="s">
        <v>466</v>
      </c>
      <c r="K1281">
        <v>0</v>
      </c>
      <c r="L1281" t="s">
        <v>158</v>
      </c>
      <c r="N1281" t="s">
        <v>399</v>
      </c>
      <c r="O1281" t="s">
        <v>466</v>
      </c>
      <c r="P1281">
        <v>0.11924825206492476</v>
      </c>
      <c r="Q1281" t="s">
        <v>158</v>
      </c>
    </row>
    <row r="1282" spans="9:17" x14ac:dyDescent="0.45">
      <c r="I1282" t="s">
        <v>263</v>
      </c>
      <c r="J1282" t="s">
        <v>467</v>
      </c>
      <c r="K1282">
        <v>2.7186224414184171E-2</v>
      </c>
      <c r="L1282" t="s">
        <v>158</v>
      </c>
      <c r="N1282" t="s">
        <v>399</v>
      </c>
      <c r="O1282" t="s">
        <v>467</v>
      </c>
      <c r="P1282">
        <v>2.1207155338099033E-2</v>
      </c>
      <c r="Q1282" t="s">
        <v>158</v>
      </c>
    </row>
    <row r="1283" spans="9:17" x14ac:dyDescent="0.45">
      <c r="I1283" t="s">
        <v>264</v>
      </c>
      <c r="J1283" t="s">
        <v>456</v>
      </c>
      <c r="K1283">
        <v>0.16934663080463022</v>
      </c>
      <c r="L1283" t="s">
        <v>158</v>
      </c>
      <c r="N1283" t="s">
        <v>400</v>
      </c>
      <c r="O1283" t="s">
        <v>456</v>
      </c>
      <c r="P1283">
        <v>0.11775389802493522</v>
      </c>
      <c r="Q1283" t="s">
        <v>158</v>
      </c>
    </row>
    <row r="1284" spans="9:17" x14ac:dyDescent="0.45">
      <c r="I1284" t="s">
        <v>264</v>
      </c>
      <c r="J1284" t="s">
        <v>457</v>
      </c>
      <c r="K1284">
        <v>0</v>
      </c>
      <c r="L1284" t="s">
        <v>158</v>
      </c>
      <c r="N1284" t="s">
        <v>400</v>
      </c>
      <c r="O1284" t="s">
        <v>457</v>
      </c>
      <c r="P1284">
        <v>0.12974537484298573</v>
      </c>
      <c r="Q1284" t="s">
        <v>158</v>
      </c>
    </row>
    <row r="1285" spans="9:17" x14ac:dyDescent="0.45">
      <c r="I1285" t="s">
        <v>264</v>
      </c>
      <c r="J1285" t="s">
        <v>458</v>
      </c>
      <c r="K1285">
        <v>1.4783314806401748E-2</v>
      </c>
      <c r="L1285" t="s">
        <v>158</v>
      </c>
      <c r="N1285" t="s">
        <v>400</v>
      </c>
      <c r="O1285" t="s">
        <v>458</v>
      </c>
      <c r="P1285">
        <v>2.1624285061702674E-2</v>
      </c>
      <c r="Q1285" t="s">
        <v>158</v>
      </c>
    </row>
    <row r="1286" spans="9:17" x14ac:dyDescent="0.45">
      <c r="I1286" t="s">
        <v>264</v>
      </c>
      <c r="J1286" t="s">
        <v>459</v>
      </c>
      <c r="K1286">
        <v>0.25330578686618116</v>
      </c>
      <c r="L1286" t="s">
        <v>158</v>
      </c>
      <c r="N1286" t="s">
        <v>400</v>
      </c>
      <c r="O1286" t="s">
        <v>459</v>
      </c>
      <c r="P1286">
        <v>0.15186318354324732</v>
      </c>
      <c r="Q1286" t="s">
        <v>158</v>
      </c>
    </row>
    <row r="1287" spans="9:17" x14ac:dyDescent="0.45">
      <c r="I1287" t="s">
        <v>264</v>
      </c>
      <c r="J1287" t="s">
        <v>460</v>
      </c>
      <c r="K1287">
        <v>1.9814398714448817E-3</v>
      </c>
      <c r="L1287" t="s">
        <v>158</v>
      </c>
      <c r="N1287" t="s">
        <v>400</v>
      </c>
      <c r="O1287" t="s">
        <v>460</v>
      </c>
      <c r="P1287">
        <v>0.16163801775944428</v>
      </c>
      <c r="Q1287" t="s">
        <v>158</v>
      </c>
    </row>
    <row r="1288" spans="9:17" x14ac:dyDescent="0.45">
      <c r="I1288" t="s">
        <v>264</v>
      </c>
      <c r="J1288" t="s">
        <v>461</v>
      </c>
      <c r="K1288">
        <v>2.7665241805654342E-2</v>
      </c>
      <c r="L1288" t="s">
        <v>158</v>
      </c>
      <c r="N1288" t="s">
        <v>400</v>
      </c>
      <c r="O1288" t="s">
        <v>461</v>
      </c>
      <c r="P1288">
        <v>2.6441614798509084E-2</v>
      </c>
      <c r="Q1288" t="s">
        <v>158</v>
      </c>
    </row>
    <row r="1289" spans="9:17" x14ac:dyDescent="0.45">
      <c r="I1289" t="s">
        <v>264</v>
      </c>
      <c r="J1289" t="s">
        <v>462</v>
      </c>
      <c r="K1289">
        <v>0.23497392764962999</v>
      </c>
      <c r="L1289" t="s">
        <v>158</v>
      </c>
      <c r="N1289" t="s">
        <v>400</v>
      </c>
      <c r="O1289" t="s">
        <v>462</v>
      </c>
      <c r="P1289">
        <v>7.8542054345679138E-2</v>
      </c>
      <c r="Q1289" t="s">
        <v>158</v>
      </c>
    </row>
    <row r="1290" spans="9:17" x14ac:dyDescent="0.45">
      <c r="I1290" t="s">
        <v>264</v>
      </c>
      <c r="J1290" t="s">
        <v>463</v>
      </c>
      <c r="K1290">
        <v>4.3478003869232536E-3</v>
      </c>
      <c r="L1290" t="s">
        <v>158</v>
      </c>
      <c r="N1290" t="s">
        <v>400</v>
      </c>
      <c r="O1290" t="s">
        <v>463</v>
      </c>
      <c r="P1290">
        <v>8.3421613801780009E-2</v>
      </c>
      <c r="Q1290" t="s">
        <v>158</v>
      </c>
    </row>
    <row r="1291" spans="9:17" x14ac:dyDescent="0.45">
      <c r="I1291" t="s">
        <v>264</v>
      </c>
      <c r="J1291" t="s">
        <v>464</v>
      </c>
      <c r="K1291">
        <v>2.5039993073714312E-2</v>
      </c>
      <c r="L1291" t="s">
        <v>158</v>
      </c>
      <c r="N1291" t="s">
        <v>400</v>
      </c>
      <c r="O1291" t="s">
        <v>464</v>
      </c>
      <c r="P1291">
        <v>1.3739607793494301E-2</v>
      </c>
      <c r="Q1291" t="s">
        <v>158</v>
      </c>
    </row>
    <row r="1292" spans="9:17" x14ac:dyDescent="0.45">
      <c r="I1292" t="s">
        <v>264</v>
      </c>
      <c r="J1292" t="s">
        <v>465</v>
      </c>
      <c r="K1292">
        <v>0.24173733328165445</v>
      </c>
      <c r="L1292" t="s">
        <v>158</v>
      </c>
      <c r="N1292" t="s">
        <v>400</v>
      </c>
      <c r="O1292" t="s">
        <v>465</v>
      </c>
      <c r="P1292">
        <v>9.1449439836988791E-2</v>
      </c>
      <c r="Q1292" t="s">
        <v>158</v>
      </c>
    </row>
    <row r="1293" spans="9:17" x14ac:dyDescent="0.45">
      <c r="I1293" t="s">
        <v>264</v>
      </c>
      <c r="J1293" t="s">
        <v>466</v>
      </c>
      <c r="K1293">
        <v>0</v>
      </c>
      <c r="L1293" t="s">
        <v>158</v>
      </c>
      <c r="N1293" t="s">
        <v>400</v>
      </c>
      <c r="O1293" t="s">
        <v>466</v>
      </c>
      <c r="P1293">
        <v>0.10538837413918094</v>
      </c>
      <c r="Q1293" t="s">
        <v>158</v>
      </c>
    </row>
    <row r="1294" spans="9:17" x14ac:dyDescent="0.45">
      <c r="I1294" t="s">
        <v>264</v>
      </c>
      <c r="J1294" t="s">
        <v>467</v>
      </c>
      <c r="K1294">
        <v>2.6818531453765657E-2</v>
      </c>
      <c r="L1294" t="s">
        <v>158</v>
      </c>
      <c r="N1294" t="s">
        <v>400</v>
      </c>
      <c r="O1294" t="s">
        <v>467</v>
      </c>
      <c r="P1294">
        <v>1.8392536052056555E-2</v>
      </c>
      <c r="Q1294" t="s">
        <v>158</v>
      </c>
    </row>
    <row r="1295" spans="9:17" x14ac:dyDescent="0.45">
      <c r="I1295" t="s">
        <v>265</v>
      </c>
      <c r="J1295" t="s">
        <v>456</v>
      </c>
      <c r="K1295">
        <v>0.19249629224338116</v>
      </c>
      <c r="L1295" t="s">
        <v>158</v>
      </c>
      <c r="N1295" t="s">
        <v>401</v>
      </c>
      <c r="O1295" t="s">
        <v>456</v>
      </c>
      <c r="P1295">
        <v>0.10498128645899077</v>
      </c>
      <c r="Q1295" t="s">
        <v>158</v>
      </c>
    </row>
    <row r="1296" spans="9:17" x14ac:dyDescent="0.45">
      <c r="I1296" t="s">
        <v>265</v>
      </c>
      <c r="J1296" t="s">
        <v>457</v>
      </c>
      <c r="K1296">
        <v>0</v>
      </c>
      <c r="L1296" t="s">
        <v>158</v>
      </c>
      <c r="N1296" t="s">
        <v>401</v>
      </c>
      <c r="O1296" t="s">
        <v>457</v>
      </c>
      <c r="P1296">
        <v>0.13042561092930274</v>
      </c>
      <c r="Q1296" t="s">
        <v>158</v>
      </c>
    </row>
    <row r="1297" spans="9:17" x14ac:dyDescent="0.45">
      <c r="I1297" t="s">
        <v>265</v>
      </c>
      <c r="J1297" t="s">
        <v>458</v>
      </c>
      <c r="K1297">
        <v>1.577766244080997E-2</v>
      </c>
      <c r="L1297" t="s">
        <v>158</v>
      </c>
      <c r="N1297" t="s">
        <v>401</v>
      </c>
      <c r="O1297" t="s">
        <v>458</v>
      </c>
      <c r="P1297">
        <v>1.9912108144162246E-2</v>
      </c>
      <c r="Q1297" t="s">
        <v>158</v>
      </c>
    </row>
    <row r="1298" spans="9:17" x14ac:dyDescent="0.45">
      <c r="I1298" t="s">
        <v>265</v>
      </c>
      <c r="J1298" t="s">
        <v>459</v>
      </c>
      <c r="K1298">
        <v>0.27024462809434002</v>
      </c>
      <c r="L1298" t="s">
        <v>158</v>
      </c>
      <c r="N1298" t="s">
        <v>401</v>
      </c>
      <c r="O1298" t="s">
        <v>459</v>
      </c>
      <c r="P1298">
        <v>0.13916359134172221</v>
      </c>
      <c r="Q1298" t="s">
        <v>158</v>
      </c>
    </row>
    <row r="1299" spans="9:17" x14ac:dyDescent="0.45">
      <c r="I1299" t="s">
        <v>265</v>
      </c>
      <c r="J1299" t="s">
        <v>460</v>
      </c>
      <c r="K1299">
        <v>9.3656141730918301E-4</v>
      </c>
      <c r="L1299" t="s">
        <v>158</v>
      </c>
      <c r="N1299" t="s">
        <v>401</v>
      </c>
      <c r="O1299" t="s">
        <v>460</v>
      </c>
      <c r="P1299">
        <v>0.16196814011187086</v>
      </c>
      <c r="Q1299" t="s">
        <v>158</v>
      </c>
    </row>
    <row r="1300" spans="9:17" x14ac:dyDescent="0.45">
      <c r="I1300" t="s">
        <v>265</v>
      </c>
      <c r="J1300" t="s">
        <v>461</v>
      </c>
      <c r="K1300">
        <v>3.122481590327502E-2</v>
      </c>
      <c r="L1300" t="s">
        <v>158</v>
      </c>
      <c r="N1300" t="s">
        <v>401</v>
      </c>
      <c r="O1300" t="s">
        <v>461</v>
      </c>
      <c r="P1300">
        <v>2.4435736029442146E-2</v>
      </c>
      <c r="Q1300" t="s">
        <v>158</v>
      </c>
    </row>
    <row r="1301" spans="9:17" x14ac:dyDescent="0.45">
      <c r="I1301" t="s">
        <v>265</v>
      </c>
      <c r="J1301" t="s">
        <v>462</v>
      </c>
      <c r="K1301">
        <v>0.25997060100852748</v>
      </c>
      <c r="L1301" t="s">
        <v>158</v>
      </c>
      <c r="N1301" t="s">
        <v>401</v>
      </c>
      <c r="O1301" t="s">
        <v>462</v>
      </c>
      <c r="P1301">
        <v>8.0607389444248681E-2</v>
      </c>
      <c r="Q1301" t="s">
        <v>158</v>
      </c>
    </row>
    <row r="1302" spans="9:17" x14ac:dyDescent="0.45">
      <c r="I1302" t="s">
        <v>265</v>
      </c>
      <c r="J1302" t="s">
        <v>463</v>
      </c>
      <c r="K1302">
        <v>4.35507506876743E-3</v>
      </c>
      <c r="L1302" t="s">
        <v>158</v>
      </c>
      <c r="N1302" t="s">
        <v>401</v>
      </c>
      <c r="O1302" t="s">
        <v>463</v>
      </c>
      <c r="P1302">
        <v>0.10889087987783783</v>
      </c>
      <c r="Q1302" t="s">
        <v>158</v>
      </c>
    </row>
    <row r="1303" spans="9:17" x14ac:dyDescent="0.45">
      <c r="I1303" t="s">
        <v>265</v>
      </c>
      <c r="J1303" t="s">
        <v>464</v>
      </c>
      <c r="K1303">
        <v>2.9387250202363307E-2</v>
      </c>
      <c r="L1303" t="s">
        <v>158</v>
      </c>
      <c r="N1303" t="s">
        <v>401</v>
      </c>
      <c r="O1303" t="s">
        <v>464</v>
      </c>
      <c r="P1303">
        <v>1.6300471856087358E-2</v>
      </c>
      <c r="Q1303" t="s">
        <v>158</v>
      </c>
    </row>
    <row r="1304" spans="9:17" x14ac:dyDescent="0.45">
      <c r="I1304" t="s">
        <v>265</v>
      </c>
      <c r="J1304" t="s">
        <v>465</v>
      </c>
      <c r="K1304">
        <v>0.17691783984395035</v>
      </c>
      <c r="L1304" t="s">
        <v>158</v>
      </c>
      <c r="N1304" t="s">
        <v>401</v>
      </c>
      <c r="O1304" t="s">
        <v>465</v>
      </c>
      <c r="P1304">
        <v>8.7668913334071244E-2</v>
      </c>
      <c r="Q1304" t="s">
        <v>158</v>
      </c>
    </row>
    <row r="1305" spans="9:17" x14ac:dyDescent="0.45">
      <c r="I1305" t="s">
        <v>265</v>
      </c>
      <c r="J1305" t="s">
        <v>466</v>
      </c>
      <c r="K1305">
        <v>0</v>
      </c>
      <c r="L1305" t="s">
        <v>158</v>
      </c>
      <c r="N1305" t="s">
        <v>401</v>
      </c>
      <c r="O1305" t="s">
        <v>466</v>
      </c>
      <c r="P1305">
        <v>0.10951516720327507</v>
      </c>
      <c r="Q1305" t="s">
        <v>158</v>
      </c>
    </row>
    <row r="1306" spans="9:17" x14ac:dyDescent="0.45">
      <c r="I1306" t="s">
        <v>265</v>
      </c>
      <c r="J1306" t="s">
        <v>467</v>
      </c>
      <c r="K1306">
        <v>1.8689273777274813E-2</v>
      </c>
      <c r="L1306" t="s">
        <v>158</v>
      </c>
      <c r="N1306" t="s">
        <v>401</v>
      </c>
      <c r="O1306" t="s">
        <v>467</v>
      </c>
      <c r="P1306">
        <v>1.6130705268987043E-2</v>
      </c>
      <c r="Q1306" t="s">
        <v>158</v>
      </c>
    </row>
    <row r="1307" spans="9:17" x14ac:dyDescent="0.45">
      <c r="I1307" t="s">
        <v>266</v>
      </c>
      <c r="J1307" t="s">
        <v>456</v>
      </c>
      <c r="K1307">
        <v>0.18160219327436206</v>
      </c>
      <c r="L1307" t="s">
        <v>158</v>
      </c>
      <c r="N1307" t="s">
        <v>402</v>
      </c>
      <c r="O1307" t="s">
        <v>456</v>
      </c>
      <c r="P1307">
        <v>0.11605959513885583</v>
      </c>
      <c r="Q1307" t="s">
        <v>158</v>
      </c>
    </row>
    <row r="1308" spans="9:17" x14ac:dyDescent="0.45">
      <c r="I1308" t="s">
        <v>266</v>
      </c>
      <c r="J1308" t="s">
        <v>457</v>
      </c>
      <c r="K1308">
        <v>0</v>
      </c>
      <c r="L1308" t="s">
        <v>158</v>
      </c>
      <c r="N1308" t="s">
        <v>402</v>
      </c>
      <c r="O1308" t="s">
        <v>457</v>
      </c>
      <c r="P1308">
        <v>0.11537166397276853</v>
      </c>
      <c r="Q1308" t="s">
        <v>158</v>
      </c>
    </row>
    <row r="1309" spans="9:17" x14ac:dyDescent="0.45">
      <c r="I1309" t="s">
        <v>266</v>
      </c>
      <c r="J1309" t="s">
        <v>458</v>
      </c>
      <c r="K1309">
        <v>1.530923907908819E-2</v>
      </c>
      <c r="L1309" t="s">
        <v>158</v>
      </c>
      <c r="N1309" t="s">
        <v>402</v>
      </c>
      <c r="O1309" t="s">
        <v>458</v>
      </c>
      <c r="P1309">
        <v>2.0925293755547292E-2</v>
      </c>
      <c r="Q1309" t="s">
        <v>158</v>
      </c>
    </row>
    <row r="1310" spans="9:17" x14ac:dyDescent="0.45">
      <c r="I1310" t="s">
        <v>266</v>
      </c>
      <c r="J1310" t="s">
        <v>459</v>
      </c>
      <c r="K1310">
        <v>0.2669881868769538</v>
      </c>
      <c r="L1310" t="s">
        <v>158</v>
      </c>
      <c r="N1310" t="s">
        <v>402</v>
      </c>
      <c r="O1310" t="s">
        <v>459</v>
      </c>
      <c r="P1310">
        <v>0.14991049701768913</v>
      </c>
      <c r="Q1310" t="s">
        <v>158</v>
      </c>
    </row>
    <row r="1311" spans="9:17" x14ac:dyDescent="0.45">
      <c r="I1311" t="s">
        <v>266</v>
      </c>
      <c r="J1311" t="s">
        <v>460</v>
      </c>
      <c r="K1311">
        <v>1.5027856816266078E-3</v>
      </c>
      <c r="L1311" t="s">
        <v>158</v>
      </c>
      <c r="N1311" t="s">
        <v>402</v>
      </c>
      <c r="O1311" t="s">
        <v>460</v>
      </c>
      <c r="P1311">
        <v>0.13913338658808297</v>
      </c>
      <c r="Q1311" t="s">
        <v>158</v>
      </c>
    </row>
    <row r="1312" spans="9:17" x14ac:dyDescent="0.45">
      <c r="I1312" t="s">
        <v>266</v>
      </c>
      <c r="J1312" t="s">
        <v>461</v>
      </c>
      <c r="K1312">
        <v>3.0777845001380564E-2</v>
      </c>
      <c r="L1312" t="s">
        <v>158</v>
      </c>
      <c r="N1312" t="s">
        <v>402</v>
      </c>
      <c r="O1312" t="s">
        <v>461</v>
      </c>
      <c r="P1312">
        <v>2.6651508513126473E-2</v>
      </c>
      <c r="Q1312" t="s">
        <v>158</v>
      </c>
    </row>
    <row r="1313" spans="9:17" x14ac:dyDescent="0.45">
      <c r="I1313" t="s">
        <v>266</v>
      </c>
      <c r="J1313" t="s">
        <v>462</v>
      </c>
      <c r="K1313">
        <v>0.24386170852479036</v>
      </c>
      <c r="L1313" t="s">
        <v>158</v>
      </c>
      <c r="N1313" t="s">
        <v>402</v>
      </c>
      <c r="O1313" t="s">
        <v>462</v>
      </c>
      <c r="P1313">
        <v>7.4746732103543503E-2</v>
      </c>
      <c r="Q1313" t="s">
        <v>158</v>
      </c>
    </row>
    <row r="1314" spans="9:17" x14ac:dyDescent="0.45">
      <c r="I1314" t="s">
        <v>266</v>
      </c>
      <c r="J1314" t="s">
        <v>463</v>
      </c>
      <c r="K1314">
        <v>4.1034691999358693E-3</v>
      </c>
      <c r="L1314" t="s">
        <v>158</v>
      </c>
      <c r="N1314" t="s">
        <v>402</v>
      </c>
      <c r="O1314" t="s">
        <v>463</v>
      </c>
      <c r="P1314">
        <v>6.3131232940641574E-2</v>
      </c>
      <c r="Q1314" t="s">
        <v>158</v>
      </c>
    </row>
    <row r="1315" spans="9:17" x14ac:dyDescent="0.45">
      <c r="I1315" t="s">
        <v>266</v>
      </c>
      <c r="J1315" t="s">
        <v>464</v>
      </c>
      <c r="K1315">
        <v>2.6419110181379123E-2</v>
      </c>
      <c r="L1315" t="s">
        <v>158</v>
      </c>
      <c r="N1315" t="s">
        <v>402</v>
      </c>
      <c r="O1315" t="s">
        <v>464</v>
      </c>
      <c r="P1315">
        <v>1.1971589742494541E-2</v>
      </c>
      <c r="Q1315" t="s">
        <v>158</v>
      </c>
    </row>
    <row r="1316" spans="9:17" x14ac:dyDescent="0.45">
      <c r="I1316" t="s">
        <v>266</v>
      </c>
      <c r="J1316" t="s">
        <v>465</v>
      </c>
      <c r="K1316">
        <v>0.20606937974523362</v>
      </c>
      <c r="L1316" t="s">
        <v>158</v>
      </c>
      <c r="N1316" t="s">
        <v>402</v>
      </c>
      <c r="O1316" t="s">
        <v>465</v>
      </c>
      <c r="P1316">
        <v>0.12225658710691401</v>
      </c>
      <c r="Q1316" t="s">
        <v>158</v>
      </c>
    </row>
    <row r="1317" spans="9:17" x14ac:dyDescent="0.45">
      <c r="I1317" t="s">
        <v>266</v>
      </c>
      <c r="J1317" t="s">
        <v>466</v>
      </c>
      <c r="K1317">
        <v>0</v>
      </c>
      <c r="L1317" t="s">
        <v>158</v>
      </c>
      <c r="N1317" t="s">
        <v>402</v>
      </c>
      <c r="O1317" t="s">
        <v>466</v>
      </c>
      <c r="P1317">
        <v>0.13577725661517981</v>
      </c>
      <c r="Q1317" t="s">
        <v>158</v>
      </c>
    </row>
    <row r="1318" spans="9:17" x14ac:dyDescent="0.45">
      <c r="I1318" t="s">
        <v>266</v>
      </c>
      <c r="J1318" t="s">
        <v>467</v>
      </c>
      <c r="K1318">
        <v>2.336608243524789E-2</v>
      </c>
      <c r="L1318" t="s">
        <v>158</v>
      </c>
      <c r="N1318" t="s">
        <v>402</v>
      </c>
      <c r="O1318" t="s">
        <v>467</v>
      </c>
      <c r="P1318">
        <v>2.4064656505155064E-2</v>
      </c>
      <c r="Q1318" t="s">
        <v>158</v>
      </c>
    </row>
    <row r="1319" spans="9:17" x14ac:dyDescent="0.45">
      <c r="I1319" t="s">
        <v>267</v>
      </c>
      <c r="J1319" t="s">
        <v>456</v>
      </c>
      <c r="K1319">
        <v>0.20251304822591487</v>
      </c>
      <c r="L1319" t="s">
        <v>158</v>
      </c>
      <c r="N1319" t="s">
        <v>403</v>
      </c>
      <c r="O1319" t="s">
        <v>456</v>
      </c>
      <c r="P1319">
        <v>0.11155586497130635</v>
      </c>
      <c r="Q1319" t="s">
        <v>158</v>
      </c>
    </row>
    <row r="1320" spans="9:17" x14ac:dyDescent="0.45">
      <c r="I1320" t="s">
        <v>267</v>
      </c>
      <c r="J1320" t="s">
        <v>457</v>
      </c>
      <c r="K1320">
        <v>0</v>
      </c>
      <c r="L1320" t="s">
        <v>158</v>
      </c>
      <c r="N1320" t="s">
        <v>403</v>
      </c>
      <c r="O1320" t="s">
        <v>457</v>
      </c>
      <c r="P1320">
        <v>0.12189633745995092</v>
      </c>
      <c r="Q1320" t="s">
        <v>158</v>
      </c>
    </row>
    <row r="1321" spans="9:17" x14ac:dyDescent="0.45">
      <c r="I1321" t="s">
        <v>267</v>
      </c>
      <c r="J1321" t="s">
        <v>458</v>
      </c>
      <c r="K1321">
        <v>2.0017582825096872E-2</v>
      </c>
      <c r="L1321" t="s">
        <v>158</v>
      </c>
      <c r="N1321" t="s">
        <v>403</v>
      </c>
      <c r="O1321" t="s">
        <v>458</v>
      </c>
      <c r="P1321">
        <v>2.0258948356557518E-2</v>
      </c>
      <c r="Q1321" t="s">
        <v>158</v>
      </c>
    </row>
    <row r="1322" spans="9:17" x14ac:dyDescent="0.45">
      <c r="I1322" t="s">
        <v>267</v>
      </c>
      <c r="J1322" t="s">
        <v>459</v>
      </c>
      <c r="K1322">
        <v>0.27771869807872429</v>
      </c>
      <c r="L1322" t="s">
        <v>158</v>
      </c>
      <c r="N1322" t="s">
        <v>403</v>
      </c>
      <c r="O1322" t="s">
        <v>459</v>
      </c>
      <c r="P1322">
        <v>0.1731216987282298</v>
      </c>
      <c r="Q1322" t="s">
        <v>158</v>
      </c>
    </row>
    <row r="1323" spans="9:17" x14ac:dyDescent="0.45">
      <c r="I1323" t="s">
        <v>267</v>
      </c>
      <c r="J1323" t="s">
        <v>460</v>
      </c>
      <c r="K1323">
        <v>2.9078720238892436E-3</v>
      </c>
      <c r="L1323" t="s">
        <v>158</v>
      </c>
      <c r="N1323" t="s">
        <v>403</v>
      </c>
      <c r="O1323" t="s">
        <v>460</v>
      </c>
      <c r="P1323">
        <v>0.15504973167403727</v>
      </c>
      <c r="Q1323" t="s">
        <v>158</v>
      </c>
    </row>
    <row r="1324" spans="9:17" x14ac:dyDescent="0.45">
      <c r="I1324" t="s">
        <v>267</v>
      </c>
      <c r="J1324" t="s">
        <v>461</v>
      </c>
      <c r="K1324">
        <v>3.6945079046208043E-2</v>
      </c>
      <c r="L1324" t="s">
        <v>158</v>
      </c>
      <c r="N1324" t="s">
        <v>403</v>
      </c>
      <c r="O1324" t="s">
        <v>461</v>
      </c>
      <c r="P1324">
        <v>2.8331809056494569E-2</v>
      </c>
      <c r="Q1324" t="s">
        <v>158</v>
      </c>
    </row>
    <row r="1325" spans="9:17" x14ac:dyDescent="0.45">
      <c r="I1325" t="s">
        <v>267</v>
      </c>
      <c r="J1325" t="s">
        <v>462</v>
      </c>
      <c r="K1325">
        <v>0.20239794555876678</v>
      </c>
      <c r="L1325" t="s">
        <v>158</v>
      </c>
      <c r="N1325" t="s">
        <v>403</v>
      </c>
      <c r="O1325" t="s">
        <v>462</v>
      </c>
      <c r="P1325">
        <v>8.989531738802492E-2</v>
      </c>
      <c r="Q1325" t="s">
        <v>158</v>
      </c>
    </row>
    <row r="1326" spans="9:17" x14ac:dyDescent="0.45">
      <c r="I1326" t="s">
        <v>267</v>
      </c>
      <c r="J1326" t="s">
        <v>463</v>
      </c>
      <c r="K1326">
        <v>4.4820644301611645E-3</v>
      </c>
      <c r="L1326" t="s">
        <v>158</v>
      </c>
      <c r="N1326" t="s">
        <v>403</v>
      </c>
      <c r="O1326" t="s">
        <v>463</v>
      </c>
      <c r="P1326">
        <v>8.9306094582956339E-2</v>
      </c>
      <c r="Q1326" t="s">
        <v>158</v>
      </c>
    </row>
    <row r="1327" spans="9:17" x14ac:dyDescent="0.45">
      <c r="I1327" t="s">
        <v>267</v>
      </c>
      <c r="J1327" t="s">
        <v>464</v>
      </c>
      <c r="K1327">
        <v>2.6452378286800641E-2</v>
      </c>
      <c r="L1327" t="s">
        <v>158</v>
      </c>
      <c r="N1327" t="s">
        <v>403</v>
      </c>
      <c r="O1327" t="s">
        <v>464</v>
      </c>
      <c r="P1327">
        <v>1.4439227618703475E-2</v>
      </c>
      <c r="Q1327" t="s">
        <v>158</v>
      </c>
    </row>
    <row r="1328" spans="9:17" x14ac:dyDescent="0.45">
      <c r="I1328" t="s">
        <v>267</v>
      </c>
      <c r="J1328" t="s">
        <v>465</v>
      </c>
      <c r="K1328">
        <v>0.20116581315549367</v>
      </c>
      <c r="L1328" t="s">
        <v>158</v>
      </c>
      <c r="N1328" t="s">
        <v>403</v>
      </c>
      <c r="O1328" t="s">
        <v>465</v>
      </c>
      <c r="P1328">
        <v>8.9278360845433904E-2</v>
      </c>
      <c r="Q1328" t="s">
        <v>158</v>
      </c>
    </row>
    <row r="1329" spans="9:17" x14ac:dyDescent="0.45">
      <c r="I1329" t="s">
        <v>267</v>
      </c>
      <c r="J1329" t="s">
        <v>466</v>
      </c>
      <c r="K1329">
        <v>0</v>
      </c>
      <c r="L1329" t="s">
        <v>158</v>
      </c>
      <c r="N1329" t="s">
        <v>403</v>
      </c>
      <c r="O1329" t="s">
        <v>466</v>
      </c>
      <c r="P1329">
        <v>8.942253769480972E-2</v>
      </c>
      <c r="Q1329" t="s">
        <v>158</v>
      </c>
    </row>
    <row r="1330" spans="9:17" x14ac:dyDescent="0.45">
      <c r="I1330" t="s">
        <v>267</v>
      </c>
      <c r="J1330" t="s">
        <v>467</v>
      </c>
      <c r="K1330">
        <v>2.5399518368942942E-2</v>
      </c>
      <c r="L1330" t="s">
        <v>158</v>
      </c>
      <c r="N1330" t="s">
        <v>403</v>
      </c>
      <c r="O1330" t="s">
        <v>467</v>
      </c>
      <c r="P1330">
        <v>1.7444071623490758E-2</v>
      </c>
      <c r="Q1330" t="s">
        <v>158</v>
      </c>
    </row>
    <row r="1331" spans="9:17" x14ac:dyDescent="0.45">
      <c r="I1331" t="s">
        <v>268</v>
      </c>
      <c r="J1331" t="s">
        <v>456</v>
      </c>
      <c r="K1331">
        <v>0.19876753241470305</v>
      </c>
      <c r="L1331" t="s">
        <v>158</v>
      </c>
      <c r="N1331" t="s">
        <v>404</v>
      </c>
      <c r="O1331" t="s">
        <v>456</v>
      </c>
      <c r="P1331">
        <v>0.122019531959079</v>
      </c>
      <c r="Q1331" t="s">
        <v>158</v>
      </c>
    </row>
    <row r="1332" spans="9:17" x14ac:dyDescent="0.45">
      <c r="I1332" t="s">
        <v>268</v>
      </c>
      <c r="J1332" t="s">
        <v>457</v>
      </c>
      <c r="K1332">
        <v>0</v>
      </c>
      <c r="L1332" t="s">
        <v>158</v>
      </c>
      <c r="N1332" t="s">
        <v>404</v>
      </c>
      <c r="O1332" t="s">
        <v>457</v>
      </c>
      <c r="P1332">
        <v>0.13398598599381464</v>
      </c>
      <c r="Q1332" t="s">
        <v>158</v>
      </c>
    </row>
    <row r="1333" spans="9:17" x14ac:dyDescent="0.45">
      <c r="I1333" t="s">
        <v>268</v>
      </c>
      <c r="J1333" t="s">
        <v>458</v>
      </c>
      <c r="K1333">
        <v>1.7942143166992369E-2</v>
      </c>
      <c r="L1333" t="s">
        <v>158</v>
      </c>
      <c r="N1333" t="s">
        <v>404</v>
      </c>
      <c r="O1333" t="s">
        <v>458</v>
      </c>
      <c r="P1333">
        <v>2.3480104583336592E-2</v>
      </c>
      <c r="Q1333" t="s">
        <v>158</v>
      </c>
    </row>
    <row r="1334" spans="9:17" x14ac:dyDescent="0.45">
      <c r="I1334" t="s">
        <v>268</v>
      </c>
      <c r="J1334" t="s">
        <v>459</v>
      </c>
      <c r="K1334">
        <v>0.27763365809997281</v>
      </c>
      <c r="L1334" t="s">
        <v>158</v>
      </c>
      <c r="N1334" t="s">
        <v>404</v>
      </c>
      <c r="O1334" t="s">
        <v>459</v>
      </c>
      <c r="P1334">
        <v>0.15147050919155094</v>
      </c>
      <c r="Q1334" t="s">
        <v>158</v>
      </c>
    </row>
    <row r="1335" spans="9:17" x14ac:dyDescent="0.45">
      <c r="I1335" t="s">
        <v>268</v>
      </c>
      <c r="J1335" t="s">
        <v>460</v>
      </c>
      <c r="K1335">
        <v>1.9094150703220113E-3</v>
      </c>
      <c r="L1335" t="s">
        <v>158</v>
      </c>
      <c r="N1335" t="s">
        <v>404</v>
      </c>
      <c r="O1335" t="s">
        <v>460</v>
      </c>
      <c r="P1335">
        <v>0.15929728499644022</v>
      </c>
      <c r="Q1335" t="s">
        <v>158</v>
      </c>
    </row>
    <row r="1336" spans="9:17" x14ac:dyDescent="0.45">
      <c r="I1336" t="s">
        <v>268</v>
      </c>
      <c r="J1336" t="s">
        <v>461</v>
      </c>
      <c r="K1336">
        <v>3.5915153354047158E-2</v>
      </c>
      <c r="L1336" t="s">
        <v>158</v>
      </c>
      <c r="N1336" t="s">
        <v>404</v>
      </c>
      <c r="O1336" t="s">
        <v>461</v>
      </c>
      <c r="P1336">
        <v>2.6395037411386567E-2</v>
      </c>
      <c r="Q1336" t="s">
        <v>158</v>
      </c>
    </row>
    <row r="1337" spans="9:17" x14ac:dyDescent="0.45">
      <c r="I1337" t="s">
        <v>268</v>
      </c>
      <c r="J1337" t="s">
        <v>462</v>
      </c>
      <c r="K1337">
        <v>0.2331781992104125</v>
      </c>
      <c r="L1337" t="s">
        <v>158</v>
      </c>
      <c r="N1337" t="s">
        <v>404</v>
      </c>
      <c r="O1337" t="s">
        <v>462</v>
      </c>
      <c r="P1337">
        <v>8.5028400170563151E-2</v>
      </c>
      <c r="Q1337" t="s">
        <v>158</v>
      </c>
    </row>
    <row r="1338" spans="9:17" x14ac:dyDescent="0.45">
      <c r="I1338" t="s">
        <v>268</v>
      </c>
      <c r="J1338" t="s">
        <v>463</v>
      </c>
      <c r="K1338">
        <v>4.378388685554434E-3</v>
      </c>
      <c r="L1338" t="s">
        <v>158</v>
      </c>
      <c r="N1338" t="s">
        <v>404</v>
      </c>
      <c r="O1338" t="s">
        <v>463</v>
      </c>
      <c r="P1338">
        <v>9.0776411320200617E-2</v>
      </c>
      <c r="Q1338" t="s">
        <v>158</v>
      </c>
    </row>
    <row r="1339" spans="9:17" x14ac:dyDescent="0.45">
      <c r="I1339" t="s">
        <v>268</v>
      </c>
      <c r="J1339" t="s">
        <v>464</v>
      </c>
      <c r="K1339">
        <v>2.6538624784226941E-2</v>
      </c>
      <c r="L1339" t="s">
        <v>158</v>
      </c>
      <c r="N1339" t="s">
        <v>404</v>
      </c>
      <c r="O1339" t="s">
        <v>464</v>
      </c>
      <c r="P1339">
        <v>1.2861700799592774E-2</v>
      </c>
      <c r="Q1339" t="s">
        <v>158</v>
      </c>
    </row>
    <row r="1340" spans="9:17" x14ac:dyDescent="0.45">
      <c r="I1340" t="s">
        <v>268</v>
      </c>
      <c r="J1340" t="s">
        <v>465</v>
      </c>
      <c r="K1340">
        <v>0.18226040233217619</v>
      </c>
      <c r="L1340" t="s">
        <v>158</v>
      </c>
      <c r="N1340" t="s">
        <v>404</v>
      </c>
      <c r="O1340" t="s">
        <v>465</v>
      </c>
      <c r="P1340">
        <v>7.7667075435770741E-2</v>
      </c>
      <c r="Q1340" t="s">
        <v>158</v>
      </c>
    </row>
    <row r="1341" spans="9:17" x14ac:dyDescent="0.45">
      <c r="I1341" t="s">
        <v>268</v>
      </c>
      <c r="J1341" t="s">
        <v>466</v>
      </c>
      <c r="K1341">
        <v>0</v>
      </c>
      <c r="L1341" t="s">
        <v>158</v>
      </c>
      <c r="N1341" t="s">
        <v>404</v>
      </c>
      <c r="O1341" t="s">
        <v>466</v>
      </c>
      <c r="P1341">
        <v>9.8675305350445511E-2</v>
      </c>
      <c r="Q1341" t="s">
        <v>158</v>
      </c>
    </row>
    <row r="1342" spans="9:17" x14ac:dyDescent="0.45">
      <c r="I1342" t="s">
        <v>268</v>
      </c>
      <c r="J1342" t="s">
        <v>467</v>
      </c>
      <c r="K1342">
        <v>2.1476482881594587E-2</v>
      </c>
      <c r="L1342" t="s">
        <v>158</v>
      </c>
      <c r="N1342" t="s">
        <v>404</v>
      </c>
      <c r="O1342" t="s">
        <v>467</v>
      </c>
      <c r="P1342">
        <v>1.834265278781546E-2</v>
      </c>
      <c r="Q1342" t="s">
        <v>158</v>
      </c>
    </row>
    <row r="1343" spans="9:17" x14ac:dyDescent="0.45">
      <c r="I1343" t="s">
        <v>269</v>
      </c>
      <c r="J1343" t="s">
        <v>456</v>
      </c>
      <c r="K1343">
        <v>0.21283681821856226</v>
      </c>
      <c r="L1343" t="s">
        <v>158</v>
      </c>
      <c r="N1343" t="s">
        <v>405</v>
      </c>
      <c r="O1343" t="s">
        <v>456</v>
      </c>
      <c r="P1343">
        <v>0.1095090296147808</v>
      </c>
      <c r="Q1343" t="s">
        <v>158</v>
      </c>
    </row>
    <row r="1344" spans="9:17" x14ac:dyDescent="0.45">
      <c r="I1344" t="s">
        <v>269</v>
      </c>
      <c r="J1344" t="s">
        <v>457</v>
      </c>
      <c r="K1344">
        <v>1.0432308146598628E-4</v>
      </c>
      <c r="L1344" t="s">
        <v>158</v>
      </c>
      <c r="N1344" t="s">
        <v>405</v>
      </c>
      <c r="O1344" t="s">
        <v>457</v>
      </c>
      <c r="P1344">
        <v>0.13316163260461739</v>
      </c>
      <c r="Q1344" t="s">
        <v>158</v>
      </c>
    </row>
    <row r="1345" spans="9:17" x14ac:dyDescent="0.45">
      <c r="I1345" t="s">
        <v>269</v>
      </c>
      <c r="J1345" t="s">
        <v>458</v>
      </c>
      <c r="K1345">
        <v>1.5754692865421589E-2</v>
      </c>
      <c r="L1345" t="s">
        <v>158</v>
      </c>
      <c r="N1345" t="s">
        <v>405</v>
      </c>
      <c r="O1345" t="s">
        <v>458</v>
      </c>
      <c r="P1345">
        <v>2.0438529287154259E-2</v>
      </c>
      <c r="Q1345" t="s">
        <v>158</v>
      </c>
    </row>
    <row r="1346" spans="9:17" x14ac:dyDescent="0.45">
      <c r="I1346" t="s">
        <v>269</v>
      </c>
      <c r="J1346" t="s">
        <v>459</v>
      </c>
      <c r="K1346">
        <v>0.26895629019534856</v>
      </c>
      <c r="L1346" t="s">
        <v>158</v>
      </c>
      <c r="N1346" t="s">
        <v>405</v>
      </c>
      <c r="O1346" t="s">
        <v>459</v>
      </c>
      <c r="P1346">
        <v>0.14231025338892334</v>
      </c>
      <c r="Q1346" t="s">
        <v>158</v>
      </c>
    </row>
    <row r="1347" spans="9:17" x14ac:dyDescent="0.45">
      <c r="I1347" t="s">
        <v>269</v>
      </c>
      <c r="J1347" t="s">
        <v>460</v>
      </c>
      <c r="K1347">
        <v>2.8999649752646166E-3</v>
      </c>
      <c r="L1347" t="s">
        <v>158</v>
      </c>
      <c r="N1347" t="s">
        <v>405</v>
      </c>
      <c r="O1347" t="s">
        <v>460</v>
      </c>
      <c r="P1347">
        <v>0.15760570274037303</v>
      </c>
      <c r="Q1347" t="s">
        <v>158</v>
      </c>
    </row>
    <row r="1348" spans="9:17" x14ac:dyDescent="0.45">
      <c r="I1348" t="s">
        <v>269</v>
      </c>
      <c r="J1348" t="s">
        <v>461</v>
      </c>
      <c r="K1348">
        <v>3.4006883521808938E-2</v>
      </c>
      <c r="L1348" t="s">
        <v>158</v>
      </c>
      <c r="N1348" t="s">
        <v>405</v>
      </c>
      <c r="O1348" t="s">
        <v>461</v>
      </c>
      <c r="P1348">
        <v>2.311911449711861E-2</v>
      </c>
      <c r="Q1348" t="s">
        <v>158</v>
      </c>
    </row>
    <row r="1349" spans="9:17" x14ac:dyDescent="0.45">
      <c r="I1349" t="s">
        <v>269</v>
      </c>
      <c r="J1349" t="s">
        <v>462</v>
      </c>
      <c r="K1349">
        <v>0.22010085195362819</v>
      </c>
      <c r="L1349" t="s">
        <v>158</v>
      </c>
      <c r="N1349" t="s">
        <v>405</v>
      </c>
      <c r="O1349" t="s">
        <v>462</v>
      </c>
      <c r="P1349">
        <v>9.0416040450978938E-2</v>
      </c>
      <c r="Q1349" t="s">
        <v>158</v>
      </c>
    </row>
    <row r="1350" spans="9:17" x14ac:dyDescent="0.45">
      <c r="I1350" t="s">
        <v>269</v>
      </c>
      <c r="J1350" t="s">
        <v>463</v>
      </c>
      <c r="K1350">
        <v>5.4262524786986618E-3</v>
      </c>
      <c r="L1350" t="s">
        <v>158</v>
      </c>
      <c r="N1350" t="s">
        <v>405</v>
      </c>
      <c r="O1350" t="s">
        <v>463</v>
      </c>
      <c r="P1350">
        <v>0.10844807323366326</v>
      </c>
      <c r="Q1350" t="s">
        <v>158</v>
      </c>
    </row>
    <row r="1351" spans="9:17" x14ac:dyDescent="0.45">
      <c r="I1351" t="s">
        <v>269</v>
      </c>
      <c r="J1351" t="s">
        <v>464</v>
      </c>
      <c r="K1351">
        <v>2.8668348821675783E-2</v>
      </c>
      <c r="L1351" t="s">
        <v>158</v>
      </c>
      <c r="N1351" t="s">
        <v>405</v>
      </c>
      <c r="O1351" t="s">
        <v>464</v>
      </c>
      <c r="P1351">
        <v>1.5680197179453282E-2</v>
      </c>
      <c r="Q1351" t="s">
        <v>158</v>
      </c>
    </row>
    <row r="1352" spans="9:17" x14ac:dyDescent="0.45">
      <c r="I1352" t="s">
        <v>269</v>
      </c>
      <c r="J1352" t="s">
        <v>465</v>
      </c>
      <c r="K1352">
        <v>0.19669781548439053</v>
      </c>
      <c r="L1352" t="s">
        <v>158</v>
      </c>
      <c r="N1352" t="s">
        <v>405</v>
      </c>
      <c r="O1352" t="s">
        <v>465</v>
      </c>
      <c r="P1352">
        <v>8.0531594549636723E-2</v>
      </c>
      <c r="Q1352" t="s">
        <v>158</v>
      </c>
    </row>
    <row r="1353" spans="9:17" x14ac:dyDescent="0.45">
      <c r="I1353" t="s">
        <v>269</v>
      </c>
      <c r="J1353" t="s">
        <v>466</v>
      </c>
      <c r="K1353">
        <v>0</v>
      </c>
      <c r="L1353" t="s">
        <v>158</v>
      </c>
      <c r="N1353" t="s">
        <v>405</v>
      </c>
      <c r="O1353" t="s">
        <v>466</v>
      </c>
      <c r="P1353">
        <v>0.10471977391137501</v>
      </c>
      <c r="Q1353" t="s">
        <v>158</v>
      </c>
    </row>
    <row r="1354" spans="9:17" x14ac:dyDescent="0.45">
      <c r="I1354" t="s">
        <v>269</v>
      </c>
      <c r="J1354" t="s">
        <v>467</v>
      </c>
      <c r="K1354">
        <v>1.4547758403737777E-2</v>
      </c>
      <c r="L1354" t="s">
        <v>158</v>
      </c>
      <c r="N1354" t="s">
        <v>405</v>
      </c>
      <c r="O1354" t="s">
        <v>467</v>
      </c>
      <c r="P1354">
        <v>1.4060058541921354E-2</v>
      </c>
      <c r="Q1354" t="s">
        <v>158</v>
      </c>
    </row>
    <row r="1355" spans="9:17" x14ac:dyDescent="0.45">
      <c r="I1355" t="s">
        <v>270</v>
      </c>
      <c r="J1355" t="s">
        <v>456</v>
      </c>
      <c r="K1355">
        <v>0.21497695649550716</v>
      </c>
      <c r="L1355" t="s">
        <v>158</v>
      </c>
      <c r="N1355" t="s">
        <v>406</v>
      </c>
      <c r="O1355" t="s">
        <v>456</v>
      </c>
      <c r="P1355">
        <v>0.10234431682042713</v>
      </c>
      <c r="Q1355" t="s">
        <v>158</v>
      </c>
    </row>
    <row r="1356" spans="9:17" x14ac:dyDescent="0.45">
      <c r="I1356" t="s">
        <v>270</v>
      </c>
      <c r="J1356" t="s">
        <v>457</v>
      </c>
      <c r="K1356">
        <v>2.883779750849302E-5</v>
      </c>
      <c r="L1356" t="s">
        <v>158</v>
      </c>
      <c r="N1356" t="s">
        <v>406</v>
      </c>
      <c r="O1356" t="s">
        <v>457</v>
      </c>
      <c r="P1356">
        <v>0.12701335843997225</v>
      </c>
      <c r="Q1356" t="s">
        <v>158</v>
      </c>
    </row>
    <row r="1357" spans="9:17" x14ac:dyDescent="0.45">
      <c r="I1357" t="s">
        <v>270</v>
      </c>
      <c r="J1357" t="s">
        <v>458</v>
      </c>
      <c r="K1357">
        <v>1.5647835988188176E-2</v>
      </c>
      <c r="L1357" t="s">
        <v>158</v>
      </c>
      <c r="N1357" t="s">
        <v>406</v>
      </c>
      <c r="O1357" t="s">
        <v>458</v>
      </c>
      <c r="P1357">
        <v>1.9529672973366091E-2</v>
      </c>
      <c r="Q1357" t="s">
        <v>158</v>
      </c>
    </row>
    <row r="1358" spans="9:17" x14ac:dyDescent="0.45">
      <c r="I1358" t="s">
        <v>270</v>
      </c>
      <c r="J1358" t="s">
        <v>459</v>
      </c>
      <c r="K1358">
        <v>0.26415964678552695</v>
      </c>
      <c r="L1358" t="s">
        <v>158</v>
      </c>
      <c r="N1358" t="s">
        <v>406</v>
      </c>
      <c r="O1358" t="s">
        <v>459</v>
      </c>
      <c r="P1358">
        <v>0.14732176209584205</v>
      </c>
      <c r="Q1358" t="s">
        <v>158</v>
      </c>
    </row>
    <row r="1359" spans="9:17" x14ac:dyDescent="0.45">
      <c r="I1359" t="s">
        <v>270</v>
      </c>
      <c r="J1359" t="s">
        <v>460</v>
      </c>
      <c r="K1359">
        <v>2.4319632099427898E-3</v>
      </c>
      <c r="L1359" t="s">
        <v>158</v>
      </c>
      <c r="N1359" t="s">
        <v>406</v>
      </c>
      <c r="O1359" t="s">
        <v>460</v>
      </c>
      <c r="P1359">
        <v>0.16127294536996201</v>
      </c>
      <c r="Q1359" t="s">
        <v>158</v>
      </c>
    </row>
    <row r="1360" spans="9:17" x14ac:dyDescent="0.45">
      <c r="I1360" t="s">
        <v>270</v>
      </c>
      <c r="J1360" t="s">
        <v>461</v>
      </c>
      <c r="K1360">
        <v>3.073830471982578E-2</v>
      </c>
      <c r="L1360" t="s">
        <v>158</v>
      </c>
      <c r="N1360" t="s">
        <v>406</v>
      </c>
      <c r="O1360" t="s">
        <v>461</v>
      </c>
      <c r="P1360">
        <v>2.5324196640873611E-2</v>
      </c>
      <c r="Q1360" t="s">
        <v>158</v>
      </c>
    </row>
    <row r="1361" spans="9:17" x14ac:dyDescent="0.45">
      <c r="I1361" t="s">
        <v>270</v>
      </c>
      <c r="J1361" t="s">
        <v>462</v>
      </c>
      <c r="K1361">
        <v>0.22516622868466402</v>
      </c>
      <c r="L1361" t="s">
        <v>158</v>
      </c>
      <c r="N1361" t="s">
        <v>406</v>
      </c>
      <c r="O1361" t="s">
        <v>462</v>
      </c>
      <c r="P1361">
        <v>9.7677094978528417E-2</v>
      </c>
      <c r="Q1361" t="s">
        <v>158</v>
      </c>
    </row>
    <row r="1362" spans="9:17" x14ac:dyDescent="0.45">
      <c r="I1362" t="s">
        <v>270</v>
      </c>
      <c r="J1362" t="s">
        <v>463</v>
      </c>
      <c r="K1362">
        <v>4.7904157520426089E-3</v>
      </c>
      <c r="L1362" t="s">
        <v>158</v>
      </c>
      <c r="N1362" t="s">
        <v>406</v>
      </c>
      <c r="O1362" t="s">
        <v>463</v>
      </c>
      <c r="P1362">
        <v>0.10984126625679537</v>
      </c>
      <c r="Q1362" t="s">
        <v>158</v>
      </c>
    </row>
    <row r="1363" spans="9:17" x14ac:dyDescent="0.45">
      <c r="I1363" t="s">
        <v>270</v>
      </c>
      <c r="J1363" t="s">
        <v>464</v>
      </c>
      <c r="K1363">
        <v>2.7981016371243266E-2</v>
      </c>
      <c r="L1363" t="s">
        <v>158</v>
      </c>
      <c r="N1363" t="s">
        <v>406</v>
      </c>
      <c r="O1363" t="s">
        <v>464</v>
      </c>
      <c r="P1363">
        <v>1.739056869917761E-2</v>
      </c>
      <c r="Q1363" t="s">
        <v>158</v>
      </c>
    </row>
    <row r="1364" spans="9:17" x14ac:dyDescent="0.45">
      <c r="I1364" t="s">
        <v>270</v>
      </c>
      <c r="J1364" t="s">
        <v>465</v>
      </c>
      <c r="K1364">
        <v>0.2009878529057984</v>
      </c>
      <c r="L1364" t="s">
        <v>158</v>
      </c>
      <c r="N1364" t="s">
        <v>406</v>
      </c>
      <c r="O1364" t="s">
        <v>465</v>
      </c>
      <c r="P1364">
        <v>8.3728168904569508E-2</v>
      </c>
      <c r="Q1364" t="s">
        <v>158</v>
      </c>
    </row>
    <row r="1365" spans="9:17" x14ac:dyDescent="0.45">
      <c r="I1365" t="s">
        <v>270</v>
      </c>
      <c r="J1365" t="s">
        <v>466</v>
      </c>
      <c r="K1365">
        <v>0</v>
      </c>
      <c r="L1365" t="s">
        <v>158</v>
      </c>
      <c r="N1365" t="s">
        <v>406</v>
      </c>
      <c r="O1365" t="s">
        <v>466</v>
      </c>
      <c r="P1365">
        <v>9.4173609707891251E-2</v>
      </c>
      <c r="Q1365" t="s">
        <v>158</v>
      </c>
    </row>
    <row r="1366" spans="9:17" x14ac:dyDescent="0.45">
      <c r="I1366" t="s">
        <v>270</v>
      </c>
      <c r="J1366" t="s">
        <v>467</v>
      </c>
      <c r="K1366">
        <v>1.3090941289752999E-2</v>
      </c>
      <c r="L1366" t="s">
        <v>158</v>
      </c>
      <c r="N1366" t="s">
        <v>406</v>
      </c>
      <c r="O1366" t="s">
        <v>467</v>
      </c>
      <c r="P1366">
        <v>1.4383039112597381E-2</v>
      </c>
      <c r="Q1366" t="s">
        <v>158</v>
      </c>
    </row>
    <row r="1367" spans="9:17" x14ac:dyDescent="0.45">
      <c r="I1367" t="s">
        <v>271</v>
      </c>
      <c r="J1367" t="s">
        <v>456</v>
      </c>
      <c r="K1367">
        <v>0.21685487181575414</v>
      </c>
      <c r="L1367" t="s">
        <v>158</v>
      </c>
      <c r="N1367" t="s">
        <v>407</v>
      </c>
      <c r="O1367" t="s">
        <v>456</v>
      </c>
      <c r="P1367">
        <v>0.11262837035278724</v>
      </c>
      <c r="Q1367" t="s">
        <v>158</v>
      </c>
    </row>
    <row r="1368" spans="9:17" x14ac:dyDescent="0.45">
      <c r="I1368" t="s">
        <v>271</v>
      </c>
      <c r="J1368" t="s">
        <v>457</v>
      </c>
      <c r="K1368">
        <v>2.0050852956718913E-5</v>
      </c>
      <c r="L1368" t="s">
        <v>158</v>
      </c>
      <c r="N1368" t="s">
        <v>407</v>
      </c>
      <c r="O1368" t="s">
        <v>457</v>
      </c>
      <c r="P1368">
        <v>0.11138277541371219</v>
      </c>
      <c r="Q1368" t="s">
        <v>158</v>
      </c>
    </row>
    <row r="1369" spans="9:17" x14ac:dyDescent="0.45">
      <c r="I1369" t="s">
        <v>271</v>
      </c>
      <c r="J1369" t="s">
        <v>458</v>
      </c>
      <c r="K1369">
        <v>1.5356500680207217E-2</v>
      </c>
      <c r="L1369" t="s">
        <v>158</v>
      </c>
      <c r="N1369" t="s">
        <v>407</v>
      </c>
      <c r="O1369" t="s">
        <v>458</v>
      </c>
      <c r="P1369">
        <v>2.2620627459018737E-2</v>
      </c>
      <c r="Q1369" t="s">
        <v>158</v>
      </c>
    </row>
    <row r="1370" spans="9:17" x14ac:dyDescent="0.45">
      <c r="I1370" t="s">
        <v>271</v>
      </c>
      <c r="J1370" t="s">
        <v>459</v>
      </c>
      <c r="K1370">
        <v>0.26528475338758878</v>
      </c>
      <c r="L1370" t="s">
        <v>158</v>
      </c>
      <c r="N1370" t="s">
        <v>407</v>
      </c>
      <c r="O1370" t="s">
        <v>459</v>
      </c>
      <c r="P1370">
        <v>0.16231421204546628</v>
      </c>
      <c r="Q1370" t="s">
        <v>158</v>
      </c>
    </row>
    <row r="1371" spans="9:17" x14ac:dyDescent="0.45">
      <c r="I1371" t="s">
        <v>271</v>
      </c>
      <c r="J1371" t="s">
        <v>460</v>
      </c>
      <c r="K1371">
        <v>2.6244182920750364E-3</v>
      </c>
      <c r="L1371" t="s">
        <v>158</v>
      </c>
      <c r="N1371" t="s">
        <v>407</v>
      </c>
      <c r="O1371" t="s">
        <v>460</v>
      </c>
      <c r="P1371">
        <v>0.15839750893509635</v>
      </c>
      <c r="Q1371" t="s">
        <v>158</v>
      </c>
    </row>
    <row r="1372" spans="9:17" x14ac:dyDescent="0.45">
      <c r="I1372" t="s">
        <v>271</v>
      </c>
      <c r="J1372" t="s">
        <v>461</v>
      </c>
      <c r="K1372">
        <v>3.1862152289122113E-2</v>
      </c>
      <c r="L1372" t="s">
        <v>158</v>
      </c>
      <c r="N1372" t="s">
        <v>407</v>
      </c>
      <c r="O1372" t="s">
        <v>461</v>
      </c>
      <c r="P1372">
        <v>2.9713632638248215E-2</v>
      </c>
      <c r="Q1372" t="s">
        <v>158</v>
      </c>
    </row>
    <row r="1373" spans="9:17" x14ac:dyDescent="0.45">
      <c r="I1373" t="s">
        <v>271</v>
      </c>
      <c r="J1373" t="s">
        <v>462</v>
      </c>
      <c r="K1373">
        <v>0.21708370403780108</v>
      </c>
      <c r="L1373" t="s">
        <v>158</v>
      </c>
      <c r="N1373" t="s">
        <v>407</v>
      </c>
      <c r="O1373" t="s">
        <v>462</v>
      </c>
      <c r="P1373">
        <v>8.6025242321419421E-2</v>
      </c>
      <c r="Q1373" t="s">
        <v>158</v>
      </c>
    </row>
    <row r="1374" spans="9:17" x14ac:dyDescent="0.45">
      <c r="I1374" t="s">
        <v>271</v>
      </c>
      <c r="J1374" t="s">
        <v>463</v>
      </c>
      <c r="K1374">
        <v>4.8036612759187825E-3</v>
      </c>
      <c r="L1374" t="s">
        <v>158</v>
      </c>
      <c r="N1374" t="s">
        <v>407</v>
      </c>
      <c r="O1374" t="s">
        <v>463</v>
      </c>
      <c r="P1374">
        <v>8.5990349504907054E-2</v>
      </c>
      <c r="Q1374" t="s">
        <v>158</v>
      </c>
    </row>
    <row r="1375" spans="9:17" x14ac:dyDescent="0.45">
      <c r="I1375" t="s">
        <v>271</v>
      </c>
      <c r="J1375" t="s">
        <v>464</v>
      </c>
      <c r="K1375">
        <v>2.743585306803191E-2</v>
      </c>
      <c r="L1375" t="s">
        <v>158</v>
      </c>
      <c r="N1375" t="s">
        <v>407</v>
      </c>
      <c r="O1375" t="s">
        <v>464</v>
      </c>
      <c r="P1375">
        <v>1.7219502109040496E-2</v>
      </c>
      <c r="Q1375" t="s">
        <v>158</v>
      </c>
    </row>
    <row r="1376" spans="9:17" x14ac:dyDescent="0.45">
      <c r="I1376" t="s">
        <v>271</v>
      </c>
      <c r="J1376" t="s">
        <v>465</v>
      </c>
      <c r="K1376">
        <v>0.20482601877466666</v>
      </c>
      <c r="L1376" t="s">
        <v>158</v>
      </c>
      <c r="N1376" t="s">
        <v>407</v>
      </c>
      <c r="O1376" t="s">
        <v>465</v>
      </c>
      <c r="P1376">
        <v>9.7144911875500214E-2</v>
      </c>
      <c r="Q1376" t="s">
        <v>158</v>
      </c>
    </row>
    <row r="1377" spans="9:17" x14ac:dyDescent="0.45">
      <c r="I1377" t="s">
        <v>271</v>
      </c>
      <c r="J1377" t="s">
        <v>466</v>
      </c>
      <c r="K1377">
        <v>0</v>
      </c>
      <c r="L1377" t="s">
        <v>158</v>
      </c>
      <c r="N1377" t="s">
        <v>407</v>
      </c>
      <c r="O1377" t="s">
        <v>466</v>
      </c>
      <c r="P1377">
        <v>9.9517517900943528E-2</v>
      </c>
      <c r="Q1377" t="s">
        <v>158</v>
      </c>
    </row>
    <row r="1378" spans="9:17" x14ac:dyDescent="0.45">
      <c r="I1378" t="s">
        <v>271</v>
      </c>
      <c r="J1378" t="s">
        <v>467</v>
      </c>
      <c r="K1378">
        <v>1.3848015525878532E-2</v>
      </c>
      <c r="L1378" t="s">
        <v>158</v>
      </c>
      <c r="N1378" t="s">
        <v>407</v>
      </c>
      <c r="O1378" t="s">
        <v>467</v>
      </c>
      <c r="P1378">
        <v>1.7045349443859388E-2</v>
      </c>
      <c r="Q1378" t="s">
        <v>158</v>
      </c>
    </row>
    <row r="1379" spans="9:17" x14ac:dyDescent="0.45">
      <c r="I1379" t="s">
        <v>272</v>
      </c>
      <c r="J1379" t="s">
        <v>456</v>
      </c>
      <c r="K1379">
        <v>0.21437045814938763</v>
      </c>
      <c r="L1379" t="s">
        <v>158</v>
      </c>
    </row>
    <row r="1380" spans="9:17" x14ac:dyDescent="0.45">
      <c r="I1380" t="s">
        <v>272</v>
      </c>
      <c r="J1380" t="s">
        <v>457</v>
      </c>
      <c r="K1380">
        <v>0</v>
      </c>
      <c r="L1380" t="s">
        <v>158</v>
      </c>
    </row>
    <row r="1381" spans="9:17" x14ac:dyDescent="0.45">
      <c r="I1381" t="s">
        <v>272</v>
      </c>
      <c r="J1381" t="s">
        <v>458</v>
      </c>
      <c r="K1381">
        <v>1.3301721985012577E-2</v>
      </c>
      <c r="L1381" t="s">
        <v>158</v>
      </c>
    </row>
    <row r="1382" spans="9:17" x14ac:dyDescent="0.45">
      <c r="I1382" t="s">
        <v>272</v>
      </c>
      <c r="J1382" t="s">
        <v>459</v>
      </c>
      <c r="K1382">
        <v>0.28147863487614488</v>
      </c>
      <c r="L1382" t="s">
        <v>158</v>
      </c>
    </row>
    <row r="1383" spans="9:17" x14ac:dyDescent="0.45">
      <c r="I1383" t="s">
        <v>272</v>
      </c>
      <c r="J1383" t="s">
        <v>460</v>
      </c>
      <c r="K1383">
        <v>1.6013672354329642E-3</v>
      </c>
      <c r="L1383" t="s">
        <v>158</v>
      </c>
    </row>
    <row r="1384" spans="9:17" x14ac:dyDescent="0.45">
      <c r="I1384" t="s">
        <v>272</v>
      </c>
      <c r="J1384" t="s">
        <v>461</v>
      </c>
      <c r="K1384">
        <v>3.2165872683787095E-2</v>
      </c>
      <c r="L1384" t="s">
        <v>158</v>
      </c>
    </row>
    <row r="1385" spans="9:17" x14ac:dyDescent="0.45">
      <c r="I1385" t="s">
        <v>272</v>
      </c>
      <c r="J1385" t="s">
        <v>462</v>
      </c>
      <c r="K1385">
        <v>0.22541588272180427</v>
      </c>
      <c r="L1385" t="s">
        <v>158</v>
      </c>
    </row>
    <row r="1386" spans="9:17" x14ac:dyDescent="0.45">
      <c r="I1386" t="s">
        <v>272</v>
      </c>
      <c r="J1386" t="s">
        <v>463</v>
      </c>
      <c r="K1386">
        <v>4.0172109951054401E-3</v>
      </c>
      <c r="L1386" t="s">
        <v>158</v>
      </c>
    </row>
    <row r="1387" spans="9:17" x14ac:dyDescent="0.45">
      <c r="I1387" t="s">
        <v>272</v>
      </c>
      <c r="J1387" t="s">
        <v>464</v>
      </c>
      <c r="K1387">
        <v>2.7731366004876332E-2</v>
      </c>
      <c r="L1387" t="s">
        <v>158</v>
      </c>
    </row>
    <row r="1388" spans="9:17" x14ac:dyDescent="0.45">
      <c r="I1388" t="s">
        <v>272</v>
      </c>
      <c r="J1388" t="s">
        <v>465</v>
      </c>
      <c r="K1388">
        <v>0.18964700674499532</v>
      </c>
      <c r="L1388" t="s">
        <v>158</v>
      </c>
    </row>
    <row r="1389" spans="9:17" x14ac:dyDescent="0.45">
      <c r="I1389" t="s">
        <v>272</v>
      </c>
      <c r="J1389" t="s">
        <v>466</v>
      </c>
      <c r="K1389">
        <v>0</v>
      </c>
      <c r="L1389" t="s">
        <v>158</v>
      </c>
    </row>
    <row r="1390" spans="9:17" x14ac:dyDescent="0.45">
      <c r="I1390" t="s">
        <v>272</v>
      </c>
      <c r="J1390" t="s">
        <v>467</v>
      </c>
      <c r="K1390">
        <v>1.0270478603456203E-2</v>
      </c>
      <c r="L1390" t="s">
        <v>158</v>
      </c>
    </row>
    <row r="1391" spans="9:17" x14ac:dyDescent="0.45">
      <c r="I1391" t="s">
        <v>273</v>
      </c>
      <c r="J1391" t="s">
        <v>456</v>
      </c>
      <c r="K1391">
        <v>0.21091457069983127</v>
      </c>
      <c r="L1391" t="s">
        <v>158</v>
      </c>
    </row>
    <row r="1392" spans="9:17" x14ac:dyDescent="0.45">
      <c r="I1392" t="s">
        <v>273</v>
      </c>
      <c r="J1392" t="s">
        <v>457</v>
      </c>
      <c r="K1392">
        <v>2.0080597031057583E-6</v>
      </c>
      <c r="L1392" t="s">
        <v>158</v>
      </c>
    </row>
    <row r="1393" spans="9:12" x14ac:dyDescent="0.45">
      <c r="I1393" t="s">
        <v>273</v>
      </c>
      <c r="J1393" t="s">
        <v>458</v>
      </c>
      <c r="K1393">
        <v>1.3079892296028064E-2</v>
      </c>
      <c r="L1393" t="s">
        <v>158</v>
      </c>
    </row>
    <row r="1394" spans="9:12" x14ac:dyDescent="0.45">
      <c r="I1394" t="s">
        <v>273</v>
      </c>
      <c r="J1394" t="s">
        <v>459</v>
      </c>
      <c r="K1394">
        <v>0.27084546786693148</v>
      </c>
      <c r="L1394" t="s">
        <v>158</v>
      </c>
    </row>
    <row r="1395" spans="9:12" x14ac:dyDescent="0.45">
      <c r="I1395" t="s">
        <v>273</v>
      </c>
      <c r="J1395" t="s">
        <v>460</v>
      </c>
      <c r="K1395">
        <v>1.9196917340197589E-3</v>
      </c>
      <c r="L1395" t="s">
        <v>158</v>
      </c>
    </row>
    <row r="1396" spans="9:12" x14ac:dyDescent="0.45">
      <c r="I1396" t="s">
        <v>273</v>
      </c>
      <c r="J1396" t="s">
        <v>461</v>
      </c>
      <c r="K1396">
        <v>3.0283990344502985E-2</v>
      </c>
      <c r="L1396" t="s">
        <v>158</v>
      </c>
    </row>
    <row r="1397" spans="9:12" x14ac:dyDescent="0.45">
      <c r="I1397" t="s">
        <v>273</v>
      </c>
      <c r="J1397" t="s">
        <v>462</v>
      </c>
      <c r="K1397">
        <v>0.22251695707000305</v>
      </c>
      <c r="L1397" t="s">
        <v>158</v>
      </c>
    </row>
    <row r="1398" spans="9:12" x14ac:dyDescent="0.45">
      <c r="I1398" t="s">
        <v>273</v>
      </c>
      <c r="J1398" t="s">
        <v>463</v>
      </c>
      <c r="K1398">
        <v>4.4587683215580112E-3</v>
      </c>
      <c r="L1398" t="s">
        <v>158</v>
      </c>
    </row>
    <row r="1399" spans="9:12" x14ac:dyDescent="0.45">
      <c r="I1399" t="s">
        <v>273</v>
      </c>
      <c r="J1399" t="s">
        <v>464</v>
      </c>
      <c r="K1399">
        <v>2.5453770797394259E-2</v>
      </c>
      <c r="L1399" t="s">
        <v>158</v>
      </c>
    </row>
    <row r="1400" spans="9:12" x14ac:dyDescent="0.45">
      <c r="I1400" t="s">
        <v>273</v>
      </c>
      <c r="J1400" t="s">
        <v>465</v>
      </c>
      <c r="K1400">
        <v>0.20971688077325512</v>
      </c>
      <c r="L1400" t="s">
        <v>158</v>
      </c>
    </row>
    <row r="1401" spans="9:12" x14ac:dyDescent="0.45">
      <c r="I1401" t="s">
        <v>273</v>
      </c>
      <c r="J1401" t="s">
        <v>466</v>
      </c>
      <c r="K1401">
        <v>0</v>
      </c>
      <c r="L1401" t="s">
        <v>158</v>
      </c>
    </row>
    <row r="1402" spans="9:12" x14ac:dyDescent="0.45">
      <c r="I1402" t="s">
        <v>273</v>
      </c>
      <c r="J1402" t="s">
        <v>467</v>
      </c>
      <c r="K1402">
        <v>1.0808002036774783E-2</v>
      </c>
      <c r="L1402" t="s">
        <v>158</v>
      </c>
    </row>
    <row r="1403" spans="9:12" x14ac:dyDescent="0.45">
      <c r="I1403" t="s">
        <v>274</v>
      </c>
      <c r="J1403" t="s">
        <v>456</v>
      </c>
      <c r="K1403">
        <v>0.21089441195098677</v>
      </c>
      <c r="L1403" t="s">
        <v>158</v>
      </c>
    </row>
    <row r="1404" spans="9:12" x14ac:dyDescent="0.45">
      <c r="I1404" t="s">
        <v>274</v>
      </c>
      <c r="J1404" t="s">
        <v>457</v>
      </c>
      <c r="K1404">
        <v>7.8730018523023149E-5</v>
      </c>
      <c r="L1404" t="s">
        <v>158</v>
      </c>
    </row>
    <row r="1405" spans="9:12" x14ac:dyDescent="0.45">
      <c r="I1405" t="s">
        <v>274</v>
      </c>
      <c r="J1405" t="s">
        <v>458</v>
      </c>
      <c r="K1405">
        <v>1.5719652406980384E-2</v>
      </c>
      <c r="L1405" t="s">
        <v>158</v>
      </c>
    </row>
    <row r="1406" spans="9:12" x14ac:dyDescent="0.45">
      <c r="I1406" t="s">
        <v>274</v>
      </c>
      <c r="J1406" t="s">
        <v>459</v>
      </c>
      <c r="K1406">
        <v>0.27208490243023009</v>
      </c>
      <c r="L1406" t="s">
        <v>158</v>
      </c>
    </row>
    <row r="1407" spans="9:12" x14ac:dyDescent="0.45">
      <c r="I1407" t="s">
        <v>274</v>
      </c>
      <c r="J1407" t="s">
        <v>460</v>
      </c>
      <c r="K1407">
        <v>2.6324369983155762E-3</v>
      </c>
      <c r="L1407" t="s">
        <v>158</v>
      </c>
    </row>
    <row r="1408" spans="9:12" x14ac:dyDescent="0.45">
      <c r="I1408" t="s">
        <v>274</v>
      </c>
      <c r="J1408" t="s">
        <v>461</v>
      </c>
      <c r="K1408">
        <v>3.3360347470881041E-2</v>
      </c>
      <c r="L1408" t="s">
        <v>158</v>
      </c>
    </row>
    <row r="1409" spans="9:12" x14ac:dyDescent="0.45">
      <c r="I1409" t="s">
        <v>274</v>
      </c>
      <c r="J1409" t="s">
        <v>462</v>
      </c>
      <c r="K1409">
        <v>0.21909336011886218</v>
      </c>
      <c r="L1409" t="s">
        <v>158</v>
      </c>
    </row>
    <row r="1410" spans="9:12" x14ac:dyDescent="0.45">
      <c r="I1410" t="s">
        <v>274</v>
      </c>
      <c r="J1410" t="s">
        <v>463</v>
      </c>
      <c r="K1410">
        <v>5.3690875935689568E-3</v>
      </c>
      <c r="L1410" t="s">
        <v>158</v>
      </c>
    </row>
    <row r="1411" spans="9:12" x14ac:dyDescent="0.45">
      <c r="I1411" t="s">
        <v>274</v>
      </c>
      <c r="J1411" t="s">
        <v>464</v>
      </c>
      <c r="K1411">
        <v>2.755296599830593E-2</v>
      </c>
      <c r="L1411" t="s">
        <v>158</v>
      </c>
    </row>
    <row r="1412" spans="9:12" x14ac:dyDescent="0.45">
      <c r="I1412" t="s">
        <v>274</v>
      </c>
      <c r="J1412" t="s">
        <v>465</v>
      </c>
      <c r="K1412">
        <v>0.19850025733811674</v>
      </c>
      <c r="L1412" t="s">
        <v>158</v>
      </c>
    </row>
    <row r="1413" spans="9:12" x14ac:dyDescent="0.45">
      <c r="I1413" t="s">
        <v>274</v>
      </c>
      <c r="J1413" t="s">
        <v>466</v>
      </c>
      <c r="K1413">
        <v>0</v>
      </c>
      <c r="L1413" t="s">
        <v>158</v>
      </c>
    </row>
    <row r="1414" spans="9:12" x14ac:dyDescent="0.45">
      <c r="I1414" t="s">
        <v>274</v>
      </c>
      <c r="J1414" t="s">
        <v>467</v>
      </c>
      <c r="K1414">
        <v>1.4713847675226165E-2</v>
      </c>
      <c r="L1414" t="s">
        <v>158</v>
      </c>
    </row>
    <row r="1415" spans="9:12" x14ac:dyDescent="0.45">
      <c r="I1415" t="s">
        <v>275</v>
      </c>
      <c r="J1415" t="s">
        <v>456</v>
      </c>
      <c r="K1415">
        <v>0.21028411887062318</v>
      </c>
      <c r="L1415" t="s">
        <v>158</v>
      </c>
    </row>
    <row r="1416" spans="9:12" x14ac:dyDescent="0.45">
      <c r="I1416" t="s">
        <v>275</v>
      </c>
      <c r="J1416" t="s">
        <v>457</v>
      </c>
      <c r="K1416">
        <v>2.5354172745761772E-4</v>
      </c>
      <c r="L1416" t="s">
        <v>158</v>
      </c>
    </row>
    <row r="1417" spans="9:12" x14ac:dyDescent="0.45">
      <c r="I1417" t="s">
        <v>275</v>
      </c>
      <c r="J1417" t="s">
        <v>458</v>
      </c>
      <c r="K1417">
        <v>1.7018928714794438E-2</v>
      </c>
      <c r="L1417" t="s">
        <v>158</v>
      </c>
    </row>
    <row r="1418" spans="9:12" x14ac:dyDescent="0.45">
      <c r="I1418" t="s">
        <v>275</v>
      </c>
      <c r="J1418" t="s">
        <v>459</v>
      </c>
      <c r="K1418">
        <v>0.26425886649255548</v>
      </c>
      <c r="L1418" t="s">
        <v>158</v>
      </c>
    </row>
    <row r="1419" spans="9:12" x14ac:dyDescent="0.45">
      <c r="I1419" t="s">
        <v>275</v>
      </c>
      <c r="J1419" t="s">
        <v>460</v>
      </c>
      <c r="K1419">
        <v>3.0109963478644934E-3</v>
      </c>
      <c r="L1419" t="s">
        <v>158</v>
      </c>
    </row>
    <row r="1420" spans="9:12" x14ac:dyDescent="0.45">
      <c r="I1420" t="s">
        <v>275</v>
      </c>
      <c r="J1420" t="s">
        <v>461</v>
      </c>
      <c r="K1420">
        <v>3.3871581294695551E-2</v>
      </c>
      <c r="L1420" t="s">
        <v>158</v>
      </c>
    </row>
    <row r="1421" spans="9:12" x14ac:dyDescent="0.45">
      <c r="I1421" t="s">
        <v>275</v>
      </c>
      <c r="J1421" t="s">
        <v>462</v>
      </c>
      <c r="K1421">
        <v>0.21303140950406235</v>
      </c>
      <c r="L1421" t="s">
        <v>158</v>
      </c>
    </row>
    <row r="1422" spans="9:12" x14ac:dyDescent="0.45">
      <c r="I1422" t="s">
        <v>275</v>
      </c>
      <c r="J1422" t="s">
        <v>463</v>
      </c>
      <c r="K1422">
        <v>5.8692786004602825E-3</v>
      </c>
      <c r="L1422" t="s">
        <v>158</v>
      </c>
    </row>
    <row r="1423" spans="9:12" x14ac:dyDescent="0.45">
      <c r="I1423" t="s">
        <v>275</v>
      </c>
      <c r="J1423" t="s">
        <v>464</v>
      </c>
      <c r="K1423">
        <v>2.5809136027363958E-2</v>
      </c>
      <c r="L1423" t="s">
        <v>158</v>
      </c>
    </row>
    <row r="1424" spans="9:12" x14ac:dyDescent="0.45">
      <c r="I1424" t="s">
        <v>275</v>
      </c>
      <c r="J1424" t="s">
        <v>465</v>
      </c>
      <c r="K1424">
        <v>0.21031634667774662</v>
      </c>
      <c r="L1424" t="s">
        <v>158</v>
      </c>
    </row>
    <row r="1425" spans="9:12" x14ac:dyDescent="0.45">
      <c r="I1425" t="s">
        <v>275</v>
      </c>
      <c r="J1425" t="s">
        <v>466</v>
      </c>
      <c r="K1425">
        <v>0</v>
      </c>
      <c r="L1425" t="s">
        <v>158</v>
      </c>
    </row>
    <row r="1426" spans="9:12" x14ac:dyDescent="0.45">
      <c r="I1426" t="s">
        <v>275</v>
      </c>
      <c r="J1426" t="s">
        <v>467</v>
      </c>
      <c r="K1426">
        <v>1.6275795742375303E-2</v>
      </c>
      <c r="L1426" t="s">
        <v>158</v>
      </c>
    </row>
    <row r="1427" spans="9:12" x14ac:dyDescent="0.45">
      <c r="I1427" t="s">
        <v>276</v>
      </c>
      <c r="J1427" t="s">
        <v>456</v>
      </c>
      <c r="K1427">
        <v>0.21046575118033242</v>
      </c>
      <c r="L1427" t="s">
        <v>158</v>
      </c>
    </row>
    <row r="1428" spans="9:12" x14ac:dyDescent="0.45">
      <c r="I1428" t="s">
        <v>276</v>
      </c>
      <c r="J1428" t="s">
        <v>457</v>
      </c>
      <c r="K1428">
        <v>1.2245647283624382E-5</v>
      </c>
      <c r="L1428" t="s">
        <v>158</v>
      </c>
    </row>
    <row r="1429" spans="9:12" x14ac:dyDescent="0.45">
      <c r="I1429" t="s">
        <v>276</v>
      </c>
      <c r="J1429" t="s">
        <v>458</v>
      </c>
      <c r="K1429">
        <v>1.2988956870828428E-2</v>
      </c>
      <c r="L1429" t="s">
        <v>158</v>
      </c>
    </row>
    <row r="1430" spans="9:12" x14ac:dyDescent="0.45">
      <c r="I1430" t="s">
        <v>276</v>
      </c>
      <c r="J1430" t="s">
        <v>459</v>
      </c>
      <c r="K1430">
        <v>0.27144605734126193</v>
      </c>
      <c r="L1430" t="s">
        <v>158</v>
      </c>
    </row>
    <row r="1431" spans="9:12" x14ac:dyDescent="0.45">
      <c r="I1431" t="s">
        <v>276</v>
      </c>
      <c r="J1431" t="s">
        <v>460</v>
      </c>
      <c r="K1431">
        <v>2.4894214210775057E-3</v>
      </c>
      <c r="L1431" t="s">
        <v>158</v>
      </c>
    </row>
    <row r="1432" spans="9:12" x14ac:dyDescent="0.45">
      <c r="I1432" t="s">
        <v>276</v>
      </c>
      <c r="J1432" t="s">
        <v>461</v>
      </c>
      <c r="K1432">
        <v>3.2015531557158791E-2</v>
      </c>
      <c r="L1432" t="s">
        <v>158</v>
      </c>
    </row>
    <row r="1433" spans="9:12" x14ac:dyDescent="0.45">
      <c r="I1433" t="s">
        <v>276</v>
      </c>
      <c r="J1433" t="s">
        <v>462</v>
      </c>
      <c r="K1433">
        <v>0.22688446055915354</v>
      </c>
      <c r="L1433" t="s">
        <v>158</v>
      </c>
    </row>
    <row r="1434" spans="9:12" x14ac:dyDescent="0.45">
      <c r="I1434" t="s">
        <v>276</v>
      </c>
      <c r="J1434" t="s">
        <v>463</v>
      </c>
      <c r="K1434">
        <v>5.6497151762713816E-3</v>
      </c>
      <c r="L1434" t="s">
        <v>158</v>
      </c>
    </row>
    <row r="1435" spans="9:12" x14ac:dyDescent="0.45">
      <c r="I1435" t="s">
        <v>276</v>
      </c>
      <c r="J1435" t="s">
        <v>464</v>
      </c>
      <c r="K1435">
        <v>2.6575526086330074E-2</v>
      </c>
      <c r="L1435" t="s">
        <v>158</v>
      </c>
    </row>
    <row r="1436" spans="9:12" x14ac:dyDescent="0.45">
      <c r="I1436" t="s">
        <v>276</v>
      </c>
      <c r="J1436" t="s">
        <v>465</v>
      </c>
      <c r="K1436">
        <v>0.20216551044146872</v>
      </c>
      <c r="L1436" t="s">
        <v>158</v>
      </c>
    </row>
    <row r="1437" spans="9:12" x14ac:dyDescent="0.45">
      <c r="I1437" t="s">
        <v>276</v>
      </c>
      <c r="J1437" t="s">
        <v>466</v>
      </c>
      <c r="K1437">
        <v>0</v>
      </c>
      <c r="L1437" t="s">
        <v>158</v>
      </c>
    </row>
    <row r="1438" spans="9:12" x14ac:dyDescent="0.45">
      <c r="I1438" t="s">
        <v>276</v>
      </c>
      <c r="J1438" t="s">
        <v>467</v>
      </c>
      <c r="K1438">
        <v>9.3068237188339616E-3</v>
      </c>
      <c r="L1438" t="s">
        <v>158</v>
      </c>
    </row>
    <row r="1439" spans="9:12" x14ac:dyDescent="0.45">
      <c r="I1439" t="s">
        <v>277</v>
      </c>
      <c r="J1439" t="s">
        <v>456</v>
      </c>
      <c r="K1439">
        <v>0.20232087308347629</v>
      </c>
      <c r="L1439" t="s">
        <v>158</v>
      </c>
    </row>
    <row r="1440" spans="9:12" x14ac:dyDescent="0.45">
      <c r="I1440" t="s">
        <v>277</v>
      </c>
      <c r="J1440" t="s">
        <v>457</v>
      </c>
      <c r="K1440">
        <v>2.9430031998376274E-4</v>
      </c>
      <c r="L1440" t="s">
        <v>158</v>
      </c>
    </row>
    <row r="1441" spans="9:12" x14ac:dyDescent="0.45">
      <c r="I1441" t="s">
        <v>277</v>
      </c>
      <c r="J1441" t="s">
        <v>458</v>
      </c>
      <c r="K1441">
        <v>1.4310931210721713E-2</v>
      </c>
      <c r="L1441" t="s">
        <v>158</v>
      </c>
    </row>
    <row r="1442" spans="9:12" x14ac:dyDescent="0.45">
      <c r="I1442" t="s">
        <v>277</v>
      </c>
      <c r="J1442" t="s">
        <v>459</v>
      </c>
      <c r="K1442">
        <v>0.28170865262968009</v>
      </c>
      <c r="L1442" t="s">
        <v>158</v>
      </c>
    </row>
    <row r="1443" spans="9:12" x14ac:dyDescent="0.45">
      <c r="I1443" t="s">
        <v>277</v>
      </c>
      <c r="J1443" t="s">
        <v>460</v>
      </c>
      <c r="K1443">
        <v>3.7707586807384078E-3</v>
      </c>
      <c r="L1443" t="s">
        <v>158</v>
      </c>
    </row>
    <row r="1444" spans="9:12" x14ac:dyDescent="0.45">
      <c r="I1444" t="s">
        <v>277</v>
      </c>
      <c r="J1444" t="s">
        <v>461</v>
      </c>
      <c r="K1444">
        <v>3.517521040252105E-2</v>
      </c>
      <c r="L1444" t="s">
        <v>158</v>
      </c>
    </row>
    <row r="1445" spans="9:12" x14ac:dyDescent="0.45">
      <c r="I1445" t="s">
        <v>277</v>
      </c>
      <c r="J1445" t="s">
        <v>462</v>
      </c>
      <c r="K1445">
        <v>0.22780380441803139</v>
      </c>
      <c r="L1445" t="s">
        <v>158</v>
      </c>
    </row>
    <row r="1446" spans="9:12" x14ac:dyDescent="0.45">
      <c r="I1446" t="s">
        <v>277</v>
      </c>
      <c r="J1446" t="s">
        <v>463</v>
      </c>
      <c r="K1446">
        <v>8.0337537825488081E-3</v>
      </c>
      <c r="L1446" t="s">
        <v>158</v>
      </c>
    </row>
    <row r="1447" spans="9:12" x14ac:dyDescent="0.45">
      <c r="I1447" t="s">
        <v>277</v>
      </c>
      <c r="J1447" t="s">
        <v>464</v>
      </c>
      <c r="K1447">
        <v>2.9131602060722506E-2</v>
      </c>
      <c r="L1447" t="s">
        <v>158</v>
      </c>
    </row>
    <row r="1448" spans="9:12" x14ac:dyDescent="0.45">
      <c r="I1448" t="s">
        <v>277</v>
      </c>
      <c r="J1448" t="s">
        <v>465</v>
      </c>
      <c r="K1448">
        <v>0.18751386274262413</v>
      </c>
      <c r="L1448" t="s">
        <v>158</v>
      </c>
    </row>
    <row r="1449" spans="9:12" x14ac:dyDescent="0.45">
      <c r="I1449" t="s">
        <v>277</v>
      </c>
      <c r="J1449" t="s">
        <v>466</v>
      </c>
      <c r="K1449">
        <v>0</v>
      </c>
      <c r="L1449" t="s">
        <v>158</v>
      </c>
    </row>
    <row r="1450" spans="9:12" x14ac:dyDescent="0.45">
      <c r="I1450" t="s">
        <v>277</v>
      </c>
      <c r="J1450" t="s">
        <v>467</v>
      </c>
      <c r="K1450">
        <v>9.9362506689505657E-3</v>
      </c>
      <c r="L1450" t="s">
        <v>158</v>
      </c>
    </row>
    <row r="1451" spans="9:12" x14ac:dyDescent="0.45">
      <c r="I1451" t="s">
        <v>278</v>
      </c>
      <c r="J1451" t="s">
        <v>456</v>
      </c>
      <c r="K1451">
        <v>0.20395123229678919</v>
      </c>
      <c r="L1451" t="s">
        <v>158</v>
      </c>
    </row>
    <row r="1452" spans="9:12" x14ac:dyDescent="0.45">
      <c r="I1452" t="s">
        <v>278</v>
      </c>
      <c r="J1452" t="s">
        <v>457</v>
      </c>
      <c r="K1452">
        <v>3.4911790954453872E-4</v>
      </c>
      <c r="L1452" t="s">
        <v>158</v>
      </c>
    </row>
    <row r="1453" spans="9:12" x14ac:dyDescent="0.45">
      <c r="I1453" t="s">
        <v>278</v>
      </c>
      <c r="J1453" t="s">
        <v>458</v>
      </c>
      <c r="K1453">
        <v>1.5263184980435359E-2</v>
      </c>
      <c r="L1453" t="s">
        <v>158</v>
      </c>
    </row>
    <row r="1454" spans="9:12" x14ac:dyDescent="0.45">
      <c r="I1454" t="s">
        <v>278</v>
      </c>
      <c r="J1454" t="s">
        <v>459</v>
      </c>
      <c r="K1454">
        <v>0.26703592199144183</v>
      </c>
      <c r="L1454" t="s">
        <v>158</v>
      </c>
    </row>
    <row r="1455" spans="9:12" x14ac:dyDescent="0.45">
      <c r="I1455" t="s">
        <v>278</v>
      </c>
      <c r="J1455" t="s">
        <v>460</v>
      </c>
      <c r="K1455">
        <v>3.5854969987339754E-3</v>
      </c>
      <c r="L1455" t="s">
        <v>158</v>
      </c>
    </row>
    <row r="1456" spans="9:12" x14ac:dyDescent="0.45">
      <c r="I1456" t="s">
        <v>278</v>
      </c>
      <c r="J1456" t="s">
        <v>461</v>
      </c>
      <c r="K1456">
        <v>3.5059452339896352E-2</v>
      </c>
      <c r="L1456" t="s">
        <v>158</v>
      </c>
    </row>
    <row r="1457" spans="9:12" x14ac:dyDescent="0.45">
      <c r="I1457" t="s">
        <v>278</v>
      </c>
      <c r="J1457" t="s">
        <v>462</v>
      </c>
      <c r="K1457">
        <v>0.22813963316590943</v>
      </c>
      <c r="L1457" t="s">
        <v>158</v>
      </c>
    </row>
    <row r="1458" spans="9:12" x14ac:dyDescent="0.45">
      <c r="I1458" t="s">
        <v>278</v>
      </c>
      <c r="J1458" t="s">
        <v>463</v>
      </c>
      <c r="K1458">
        <v>7.4234454755538288E-3</v>
      </c>
      <c r="L1458" t="s">
        <v>158</v>
      </c>
    </row>
    <row r="1459" spans="9:12" x14ac:dyDescent="0.45">
      <c r="I1459" t="s">
        <v>278</v>
      </c>
      <c r="J1459" t="s">
        <v>464</v>
      </c>
      <c r="K1459">
        <v>2.8494789841772748E-2</v>
      </c>
      <c r="L1459" t="s">
        <v>158</v>
      </c>
    </row>
    <row r="1460" spans="9:12" x14ac:dyDescent="0.45">
      <c r="I1460" t="s">
        <v>278</v>
      </c>
      <c r="J1460" t="s">
        <v>465</v>
      </c>
      <c r="K1460">
        <v>0.19791957099989096</v>
      </c>
      <c r="L1460" t="s">
        <v>158</v>
      </c>
    </row>
    <row r="1461" spans="9:12" x14ac:dyDescent="0.45">
      <c r="I1461" t="s">
        <v>278</v>
      </c>
      <c r="J1461" t="s">
        <v>466</v>
      </c>
      <c r="K1461">
        <v>0</v>
      </c>
      <c r="L1461" t="s">
        <v>158</v>
      </c>
    </row>
    <row r="1462" spans="9:12" x14ac:dyDescent="0.45">
      <c r="I1462" t="s">
        <v>278</v>
      </c>
      <c r="J1462" t="s">
        <v>467</v>
      </c>
      <c r="K1462">
        <v>1.277815400003194E-2</v>
      </c>
      <c r="L1462" t="s">
        <v>158</v>
      </c>
    </row>
    <row r="1463" spans="9:12" x14ac:dyDescent="0.45">
      <c r="I1463" t="s">
        <v>279</v>
      </c>
      <c r="J1463" t="s">
        <v>456</v>
      </c>
      <c r="K1463">
        <v>0.19968141531497546</v>
      </c>
      <c r="L1463" t="s">
        <v>158</v>
      </c>
    </row>
    <row r="1464" spans="9:12" x14ac:dyDescent="0.45">
      <c r="I1464" t="s">
        <v>279</v>
      </c>
      <c r="J1464" t="s">
        <v>457</v>
      </c>
      <c r="K1464">
        <v>8.2419417287030581E-6</v>
      </c>
      <c r="L1464" t="s">
        <v>158</v>
      </c>
    </row>
    <row r="1465" spans="9:12" x14ac:dyDescent="0.45">
      <c r="I1465" t="s">
        <v>279</v>
      </c>
      <c r="J1465" t="s">
        <v>458</v>
      </c>
      <c r="K1465">
        <v>1.4604606148277622E-2</v>
      </c>
      <c r="L1465" t="s">
        <v>158</v>
      </c>
    </row>
    <row r="1466" spans="9:12" x14ac:dyDescent="0.45">
      <c r="I1466" t="s">
        <v>279</v>
      </c>
      <c r="J1466" t="s">
        <v>459</v>
      </c>
      <c r="K1466">
        <v>0.26445578143940773</v>
      </c>
      <c r="L1466" t="s">
        <v>158</v>
      </c>
    </row>
    <row r="1467" spans="9:12" x14ac:dyDescent="0.45">
      <c r="I1467" t="s">
        <v>279</v>
      </c>
      <c r="J1467" t="s">
        <v>460</v>
      </c>
      <c r="K1467">
        <v>1.9139379169693758E-3</v>
      </c>
      <c r="L1467" t="s">
        <v>158</v>
      </c>
    </row>
    <row r="1468" spans="9:12" x14ac:dyDescent="0.45">
      <c r="I1468" t="s">
        <v>279</v>
      </c>
      <c r="J1468" t="s">
        <v>461</v>
      </c>
      <c r="K1468">
        <v>2.9988525029423844E-2</v>
      </c>
      <c r="L1468" t="s">
        <v>158</v>
      </c>
    </row>
    <row r="1469" spans="9:12" x14ac:dyDescent="0.45">
      <c r="I1469" t="s">
        <v>279</v>
      </c>
      <c r="J1469" t="s">
        <v>462</v>
      </c>
      <c r="K1469">
        <v>0.2185261860555909</v>
      </c>
      <c r="L1469" t="s">
        <v>158</v>
      </c>
    </row>
    <row r="1470" spans="9:12" x14ac:dyDescent="0.45">
      <c r="I1470" t="s">
        <v>279</v>
      </c>
      <c r="J1470" t="s">
        <v>463</v>
      </c>
      <c r="K1470">
        <v>5.4126275858917862E-3</v>
      </c>
      <c r="L1470" t="s">
        <v>158</v>
      </c>
    </row>
    <row r="1471" spans="9:12" x14ac:dyDescent="0.45">
      <c r="I1471" t="s">
        <v>279</v>
      </c>
      <c r="J1471" t="s">
        <v>464</v>
      </c>
      <c r="K1471">
        <v>2.5774181165605689E-2</v>
      </c>
      <c r="L1471" t="s">
        <v>158</v>
      </c>
    </row>
    <row r="1472" spans="9:12" x14ac:dyDescent="0.45">
      <c r="I1472" t="s">
        <v>279</v>
      </c>
      <c r="J1472" t="s">
        <v>465</v>
      </c>
      <c r="K1472">
        <v>0.22060512226577259</v>
      </c>
      <c r="L1472" t="s">
        <v>158</v>
      </c>
    </row>
    <row r="1473" spans="9:12" x14ac:dyDescent="0.45">
      <c r="I1473" t="s">
        <v>279</v>
      </c>
      <c r="J1473" t="s">
        <v>466</v>
      </c>
      <c r="K1473">
        <v>0</v>
      </c>
      <c r="L1473" t="s">
        <v>158</v>
      </c>
    </row>
    <row r="1474" spans="9:12" x14ac:dyDescent="0.45">
      <c r="I1474" t="s">
        <v>279</v>
      </c>
      <c r="J1474" t="s">
        <v>467</v>
      </c>
      <c r="K1474">
        <v>1.9029375136355029E-2</v>
      </c>
      <c r="L1474" t="s">
        <v>158</v>
      </c>
    </row>
    <row r="1475" spans="9:12" x14ac:dyDescent="0.45">
      <c r="I1475" t="s">
        <v>280</v>
      </c>
      <c r="J1475" t="s">
        <v>456</v>
      </c>
      <c r="K1475">
        <v>0.20747756936771669</v>
      </c>
      <c r="L1475" t="s">
        <v>158</v>
      </c>
    </row>
    <row r="1476" spans="9:12" x14ac:dyDescent="0.45">
      <c r="I1476" t="s">
        <v>280</v>
      </c>
      <c r="J1476" t="s">
        <v>457</v>
      </c>
      <c r="K1476">
        <v>3.6395348656863647E-5</v>
      </c>
      <c r="L1476" t="s">
        <v>158</v>
      </c>
    </row>
    <row r="1477" spans="9:12" x14ac:dyDescent="0.45">
      <c r="I1477" t="s">
        <v>280</v>
      </c>
      <c r="J1477" t="s">
        <v>458</v>
      </c>
      <c r="K1477">
        <v>1.5599821745010758E-2</v>
      </c>
      <c r="L1477" t="s">
        <v>158</v>
      </c>
    </row>
    <row r="1478" spans="9:12" x14ac:dyDescent="0.45">
      <c r="I1478" t="s">
        <v>280</v>
      </c>
      <c r="J1478" t="s">
        <v>459</v>
      </c>
      <c r="K1478">
        <v>0.26318709779260679</v>
      </c>
      <c r="L1478" t="s">
        <v>158</v>
      </c>
    </row>
    <row r="1479" spans="9:12" x14ac:dyDescent="0.45">
      <c r="I1479" t="s">
        <v>280</v>
      </c>
      <c r="J1479" t="s">
        <v>460</v>
      </c>
      <c r="K1479">
        <v>2.0404026795812513E-3</v>
      </c>
      <c r="L1479" t="s">
        <v>158</v>
      </c>
    </row>
    <row r="1480" spans="9:12" x14ac:dyDescent="0.45">
      <c r="I1480" t="s">
        <v>280</v>
      </c>
      <c r="J1480" t="s">
        <v>461</v>
      </c>
      <c r="K1480">
        <v>3.1740538238347923E-2</v>
      </c>
      <c r="L1480" t="s">
        <v>158</v>
      </c>
    </row>
    <row r="1481" spans="9:12" x14ac:dyDescent="0.45">
      <c r="I1481" t="s">
        <v>280</v>
      </c>
      <c r="J1481" t="s">
        <v>462</v>
      </c>
      <c r="K1481">
        <v>0.2212017190959073</v>
      </c>
      <c r="L1481" t="s">
        <v>158</v>
      </c>
    </row>
    <row r="1482" spans="9:12" x14ac:dyDescent="0.45">
      <c r="I1482" t="s">
        <v>280</v>
      </c>
      <c r="J1482" t="s">
        <v>463</v>
      </c>
      <c r="K1482">
        <v>5.8760689712353412E-3</v>
      </c>
      <c r="L1482" t="s">
        <v>158</v>
      </c>
    </row>
    <row r="1483" spans="9:12" x14ac:dyDescent="0.45">
      <c r="I1483" t="s">
        <v>280</v>
      </c>
      <c r="J1483" t="s">
        <v>464</v>
      </c>
      <c r="K1483">
        <v>2.7736117777717763E-2</v>
      </c>
      <c r="L1483" t="s">
        <v>158</v>
      </c>
    </row>
    <row r="1484" spans="9:12" x14ac:dyDescent="0.45">
      <c r="I1484" t="s">
        <v>280</v>
      </c>
      <c r="J1484" t="s">
        <v>465</v>
      </c>
      <c r="K1484">
        <v>0.2095035877029775</v>
      </c>
      <c r="L1484" t="s">
        <v>158</v>
      </c>
    </row>
    <row r="1485" spans="9:12" x14ac:dyDescent="0.45">
      <c r="I1485" t="s">
        <v>280</v>
      </c>
      <c r="J1485" t="s">
        <v>466</v>
      </c>
      <c r="K1485">
        <v>0</v>
      </c>
      <c r="L1485" t="s">
        <v>158</v>
      </c>
    </row>
    <row r="1486" spans="9:12" x14ac:dyDescent="0.45">
      <c r="I1486" t="s">
        <v>280</v>
      </c>
      <c r="J1486" t="s">
        <v>467</v>
      </c>
      <c r="K1486">
        <v>1.560068128024206E-2</v>
      </c>
      <c r="L1486" t="s">
        <v>158</v>
      </c>
    </row>
    <row r="1487" spans="9:12" x14ac:dyDescent="0.45">
      <c r="I1487" t="s">
        <v>281</v>
      </c>
      <c r="J1487" t="s">
        <v>456</v>
      </c>
      <c r="K1487">
        <v>0.2135542017569689</v>
      </c>
      <c r="L1487" t="s">
        <v>158</v>
      </c>
    </row>
    <row r="1488" spans="9:12" x14ac:dyDescent="0.45">
      <c r="I1488" t="s">
        <v>281</v>
      </c>
      <c r="J1488" t="s">
        <v>457</v>
      </c>
      <c r="K1488">
        <v>1.1059151344372043E-4</v>
      </c>
      <c r="L1488" t="s">
        <v>158</v>
      </c>
    </row>
    <row r="1489" spans="9:12" x14ac:dyDescent="0.45">
      <c r="I1489" t="s">
        <v>281</v>
      </c>
      <c r="J1489" t="s">
        <v>458</v>
      </c>
      <c r="K1489">
        <v>1.7291032346068921E-2</v>
      </c>
      <c r="L1489" t="s">
        <v>158</v>
      </c>
    </row>
    <row r="1490" spans="9:12" x14ac:dyDescent="0.45">
      <c r="I1490" t="s">
        <v>281</v>
      </c>
      <c r="J1490" t="s">
        <v>459</v>
      </c>
      <c r="K1490">
        <v>0.2576325919259207</v>
      </c>
      <c r="L1490" t="s">
        <v>158</v>
      </c>
    </row>
    <row r="1491" spans="9:12" x14ac:dyDescent="0.45">
      <c r="I1491" t="s">
        <v>281</v>
      </c>
      <c r="J1491" t="s">
        <v>460</v>
      </c>
      <c r="K1491">
        <v>2.4561529213950558E-3</v>
      </c>
      <c r="L1491" t="s">
        <v>158</v>
      </c>
    </row>
    <row r="1492" spans="9:12" x14ac:dyDescent="0.45">
      <c r="I1492" t="s">
        <v>281</v>
      </c>
      <c r="J1492" t="s">
        <v>461</v>
      </c>
      <c r="K1492">
        <v>3.2404411163853591E-2</v>
      </c>
      <c r="L1492" t="s">
        <v>158</v>
      </c>
    </row>
    <row r="1493" spans="9:12" x14ac:dyDescent="0.45">
      <c r="I1493" t="s">
        <v>281</v>
      </c>
      <c r="J1493" t="s">
        <v>462</v>
      </c>
      <c r="K1493">
        <v>0.22450074396650704</v>
      </c>
      <c r="L1493" t="s">
        <v>158</v>
      </c>
    </row>
    <row r="1494" spans="9:12" x14ac:dyDescent="0.45">
      <c r="I1494" t="s">
        <v>281</v>
      </c>
      <c r="J1494" t="s">
        <v>463</v>
      </c>
      <c r="K1494">
        <v>7.4932311784113876E-3</v>
      </c>
      <c r="L1494" t="s">
        <v>158</v>
      </c>
    </row>
    <row r="1495" spans="9:12" x14ac:dyDescent="0.45">
      <c r="I1495" t="s">
        <v>281</v>
      </c>
      <c r="J1495" t="s">
        <v>464</v>
      </c>
      <c r="K1495">
        <v>3.2049040376157009E-2</v>
      </c>
      <c r="L1495" t="s">
        <v>158</v>
      </c>
    </row>
    <row r="1496" spans="9:12" x14ac:dyDescent="0.45">
      <c r="I1496" t="s">
        <v>281</v>
      </c>
      <c r="J1496" t="s">
        <v>465</v>
      </c>
      <c r="K1496">
        <v>0.19854711465640654</v>
      </c>
      <c r="L1496" t="s">
        <v>158</v>
      </c>
    </row>
    <row r="1497" spans="9:12" x14ac:dyDescent="0.45">
      <c r="I1497" t="s">
        <v>281</v>
      </c>
      <c r="J1497" t="s">
        <v>466</v>
      </c>
      <c r="K1497">
        <v>0</v>
      </c>
      <c r="L1497" t="s">
        <v>158</v>
      </c>
    </row>
    <row r="1498" spans="9:12" x14ac:dyDescent="0.45">
      <c r="I1498" t="s">
        <v>281</v>
      </c>
      <c r="J1498" t="s">
        <v>467</v>
      </c>
      <c r="K1498">
        <v>1.3960888194863874E-2</v>
      </c>
      <c r="L1498" t="s">
        <v>158</v>
      </c>
    </row>
    <row r="1499" spans="9:12" x14ac:dyDescent="0.45">
      <c r="I1499" t="s">
        <v>282</v>
      </c>
      <c r="J1499" t="s">
        <v>456</v>
      </c>
      <c r="K1499">
        <v>0.2138849935048914</v>
      </c>
      <c r="L1499" t="s">
        <v>158</v>
      </c>
    </row>
    <row r="1500" spans="9:12" x14ac:dyDescent="0.45">
      <c r="I1500" t="s">
        <v>282</v>
      </c>
      <c r="J1500" t="s">
        <v>457</v>
      </c>
      <c r="K1500">
        <v>0</v>
      </c>
      <c r="L1500" t="s">
        <v>158</v>
      </c>
    </row>
    <row r="1501" spans="9:12" x14ac:dyDescent="0.45">
      <c r="I1501" t="s">
        <v>282</v>
      </c>
      <c r="J1501" t="s">
        <v>458</v>
      </c>
      <c r="K1501">
        <v>1.1767679119521764E-2</v>
      </c>
      <c r="L1501" t="s">
        <v>158</v>
      </c>
    </row>
    <row r="1502" spans="9:12" x14ac:dyDescent="0.45">
      <c r="I1502" t="s">
        <v>282</v>
      </c>
      <c r="J1502" t="s">
        <v>459</v>
      </c>
      <c r="K1502">
        <v>0.26740256472453022</v>
      </c>
      <c r="L1502" t="s">
        <v>158</v>
      </c>
    </row>
    <row r="1503" spans="9:12" x14ac:dyDescent="0.45">
      <c r="I1503" t="s">
        <v>282</v>
      </c>
      <c r="J1503" t="s">
        <v>460</v>
      </c>
      <c r="K1503">
        <v>1.1138698083739257E-3</v>
      </c>
      <c r="L1503" t="s">
        <v>158</v>
      </c>
    </row>
    <row r="1504" spans="9:12" x14ac:dyDescent="0.45">
      <c r="I1504" t="s">
        <v>282</v>
      </c>
      <c r="J1504" t="s">
        <v>461</v>
      </c>
      <c r="K1504">
        <v>2.7499541636455838E-2</v>
      </c>
      <c r="L1504" t="s">
        <v>158</v>
      </c>
    </row>
    <row r="1505" spans="9:12" x14ac:dyDescent="0.45">
      <c r="I1505" t="s">
        <v>282</v>
      </c>
      <c r="J1505" t="s">
        <v>462</v>
      </c>
      <c r="K1505">
        <v>0.22717644222594202</v>
      </c>
      <c r="L1505" t="s">
        <v>158</v>
      </c>
    </row>
    <row r="1506" spans="9:12" x14ac:dyDescent="0.45">
      <c r="I1506" t="s">
        <v>282</v>
      </c>
      <c r="J1506" t="s">
        <v>463</v>
      </c>
      <c r="K1506">
        <v>4.9660806652429175E-3</v>
      </c>
      <c r="L1506" t="s">
        <v>158</v>
      </c>
    </row>
    <row r="1507" spans="9:12" x14ac:dyDescent="0.45">
      <c r="I1507" t="s">
        <v>282</v>
      </c>
      <c r="J1507" t="s">
        <v>464</v>
      </c>
      <c r="K1507">
        <v>2.6748194655465036E-2</v>
      </c>
      <c r="L1507" t="s">
        <v>158</v>
      </c>
    </row>
    <row r="1508" spans="9:12" x14ac:dyDescent="0.45">
      <c r="I1508" t="s">
        <v>282</v>
      </c>
      <c r="J1508" t="s">
        <v>465</v>
      </c>
      <c r="K1508">
        <v>0.21022751190707425</v>
      </c>
      <c r="L1508" t="s">
        <v>158</v>
      </c>
    </row>
    <row r="1509" spans="9:12" x14ac:dyDescent="0.45">
      <c r="I1509" t="s">
        <v>282</v>
      </c>
      <c r="J1509" t="s">
        <v>466</v>
      </c>
      <c r="K1509">
        <v>0</v>
      </c>
      <c r="L1509" t="s">
        <v>158</v>
      </c>
    </row>
    <row r="1510" spans="9:12" x14ac:dyDescent="0.45">
      <c r="I1510" t="s">
        <v>282</v>
      </c>
      <c r="J1510" t="s">
        <v>467</v>
      </c>
      <c r="K1510">
        <v>9.2131217525024331E-3</v>
      </c>
      <c r="L1510" t="s">
        <v>158</v>
      </c>
    </row>
    <row r="1511" spans="9:12" x14ac:dyDescent="0.45">
      <c r="I1511" t="s">
        <v>283</v>
      </c>
      <c r="J1511" t="s">
        <v>456</v>
      </c>
      <c r="K1511">
        <v>0.21728934130484773</v>
      </c>
      <c r="L1511" t="s">
        <v>158</v>
      </c>
    </row>
    <row r="1512" spans="9:12" x14ac:dyDescent="0.45">
      <c r="I1512" t="s">
        <v>283</v>
      </c>
      <c r="J1512" t="s">
        <v>457</v>
      </c>
      <c r="K1512">
        <v>0</v>
      </c>
      <c r="L1512" t="s">
        <v>158</v>
      </c>
    </row>
    <row r="1513" spans="9:12" x14ac:dyDescent="0.45">
      <c r="I1513" t="s">
        <v>283</v>
      </c>
      <c r="J1513" t="s">
        <v>458</v>
      </c>
      <c r="K1513">
        <v>1.1115076234215685E-2</v>
      </c>
      <c r="L1513" t="s">
        <v>158</v>
      </c>
    </row>
    <row r="1514" spans="9:12" x14ac:dyDescent="0.45">
      <c r="I1514" t="s">
        <v>283</v>
      </c>
      <c r="J1514" t="s">
        <v>459</v>
      </c>
      <c r="K1514">
        <v>0.26538512816261306</v>
      </c>
      <c r="L1514" t="s">
        <v>158</v>
      </c>
    </row>
    <row r="1515" spans="9:12" x14ac:dyDescent="0.45">
      <c r="I1515" t="s">
        <v>283</v>
      </c>
      <c r="J1515" t="s">
        <v>460</v>
      </c>
      <c r="K1515">
        <v>1.1213746380190847E-3</v>
      </c>
      <c r="L1515" t="s">
        <v>158</v>
      </c>
    </row>
    <row r="1516" spans="9:12" x14ac:dyDescent="0.45">
      <c r="I1516" t="s">
        <v>283</v>
      </c>
      <c r="J1516" t="s">
        <v>461</v>
      </c>
      <c r="K1516">
        <v>2.5462103032727924E-2</v>
      </c>
      <c r="L1516" t="s">
        <v>158</v>
      </c>
    </row>
    <row r="1517" spans="9:12" x14ac:dyDescent="0.45">
      <c r="I1517" t="s">
        <v>283</v>
      </c>
      <c r="J1517" t="s">
        <v>462</v>
      </c>
      <c r="K1517">
        <v>0.23817610405569375</v>
      </c>
      <c r="L1517" t="s">
        <v>158</v>
      </c>
    </row>
    <row r="1518" spans="9:12" x14ac:dyDescent="0.45">
      <c r="I1518" t="s">
        <v>283</v>
      </c>
      <c r="J1518" t="s">
        <v>463</v>
      </c>
      <c r="K1518">
        <v>4.9493470642560655E-3</v>
      </c>
      <c r="L1518" t="s">
        <v>158</v>
      </c>
    </row>
    <row r="1519" spans="9:12" x14ac:dyDescent="0.45">
      <c r="I1519" t="s">
        <v>283</v>
      </c>
      <c r="J1519" t="s">
        <v>464</v>
      </c>
      <c r="K1519">
        <v>2.6413400286701277E-2</v>
      </c>
      <c r="L1519" t="s">
        <v>158</v>
      </c>
    </row>
    <row r="1520" spans="9:12" x14ac:dyDescent="0.45">
      <c r="I1520" t="s">
        <v>283</v>
      </c>
      <c r="J1520" t="s">
        <v>465</v>
      </c>
      <c r="K1520">
        <v>0.20312526340255951</v>
      </c>
      <c r="L1520" t="s">
        <v>158</v>
      </c>
    </row>
    <row r="1521" spans="9:12" x14ac:dyDescent="0.45">
      <c r="I1521" t="s">
        <v>283</v>
      </c>
      <c r="J1521" t="s">
        <v>466</v>
      </c>
      <c r="K1521">
        <v>0</v>
      </c>
      <c r="L1521" t="s">
        <v>158</v>
      </c>
    </row>
    <row r="1522" spans="9:12" x14ac:dyDescent="0.45">
      <c r="I1522" t="s">
        <v>283</v>
      </c>
      <c r="J1522" t="s">
        <v>467</v>
      </c>
      <c r="K1522">
        <v>6.9628618183677294E-3</v>
      </c>
      <c r="L1522" t="s">
        <v>158</v>
      </c>
    </row>
    <row r="1523" spans="9:12" x14ac:dyDescent="0.45">
      <c r="I1523" t="s">
        <v>284</v>
      </c>
      <c r="J1523" t="s">
        <v>456</v>
      </c>
      <c r="K1523">
        <v>0.22065689203582278</v>
      </c>
      <c r="L1523" t="s">
        <v>158</v>
      </c>
    </row>
    <row r="1524" spans="9:12" x14ac:dyDescent="0.45">
      <c r="I1524" t="s">
        <v>284</v>
      </c>
      <c r="J1524" t="s">
        <v>457</v>
      </c>
      <c r="K1524">
        <v>0</v>
      </c>
      <c r="L1524" t="s">
        <v>158</v>
      </c>
    </row>
    <row r="1525" spans="9:12" x14ac:dyDescent="0.45">
      <c r="I1525" t="s">
        <v>284</v>
      </c>
      <c r="J1525" t="s">
        <v>458</v>
      </c>
      <c r="K1525">
        <v>4.8177274064745961E-3</v>
      </c>
      <c r="L1525" t="s">
        <v>158</v>
      </c>
    </row>
    <row r="1526" spans="9:12" x14ac:dyDescent="0.45">
      <c r="I1526" t="s">
        <v>284</v>
      </c>
      <c r="J1526" t="s">
        <v>459</v>
      </c>
      <c r="K1526">
        <v>0.28721538068380681</v>
      </c>
      <c r="L1526" t="s">
        <v>158</v>
      </c>
    </row>
    <row r="1527" spans="9:12" x14ac:dyDescent="0.45">
      <c r="I1527" t="s">
        <v>284</v>
      </c>
      <c r="J1527" t="s">
        <v>460</v>
      </c>
      <c r="K1527">
        <v>7.8768492251256729E-4</v>
      </c>
      <c r="L1527" t="s">
        <v>158</v>
      </c>
    </row>
    <row r="1528" spans="9:12" x14ac:dyDescent="0.45">
      <c r="I1528" t="s">
        <v>284</v>
      </c>
      <c r="J1528" t="s">
        <v>461</v>
      </c>
      <c r="K1528">
        <v>1.9411294081102023E-2</v>
      </c>
      <c r="L1528" t="s">
        <v>158</v>
      </c>
    </row>
    <row r="1529" spans="9:12" x14ac:dyDescent="0.45">
      <c r="I1529" t="s">
        <v>284</v>
      </c>
      <c r="J1529" t="s">
        <v>462</v>
      </c>
      <c r="K1529">
        <v>0.22827409899902729</v>
      </c>
      <c r="L1529" t="s">
        <v>158</v>
      </c>
    </row>
    <row r="1530" spans="9:12" x14ac:dyDescent="0.45">
      <c r="I1530" t="s">
        <v>284</v>
      </c>
      <c r="J1530" t="s">
        <v>463</v>
      </c>
      <c r="K1530">
        <v>2.574236169456917E-3</v>
      </c>
      <c r="L1530" t="s">
        <v>158</v>
      </c>
    </row>
    <row r="1531" spans="9:12" x14ac:dyDescent="0.45">
      <c r="I1531" t="s">
        <v>284</v>
      </c>
      <c r="J1531" t="s">
        <v>464</v>
      </c>
      <c r="K1531">
        <v>1.806450084901625E-2</v>
      </c>
      <c r="L1531" t="s">
        <v>158</v>
      </c>
    </row>
    <row r="1532" spans="9:12" x14ac:dyDescent="0.45">
      <c r="I1532" t="s">
        <v>284</v>
      </c>
      <c r="J1532" t="s">
        <v>465</v>
      </c>
      <c r="K1532">
        <v>0.21459021176842957</v>
      </c>
      <c r="L1532" t="s">
        <v>158</v>
      </c>
    </row>
    <row r="1533" spans="9:12" x14ac:dyDescent="0.45">
      <c r="I1533" t="s">
        <v>284</v>
      </c>
      <c r="J1533" t="s">
        <v>466</v>
      </c>
      <c r="K1533">
        <v>0</v>
      </c>
      <c r="L1533" t="s">
        <v>158</v>
      </c>
    </row>
    <row r="1534" spans="9:12" x14ac:dyDescent="0.45">
      <c r="I1534" t="s">
        <v>284</v>
      </c>
      <c r="J1534" t="s">
        <v>467</v>
      </c>
      <c r="K1534">
        <v>3.6079730843512191E-3</v>
      </c>
      <c r="L1534" t="s">
        <v>158</v>
      </c>
    </row>
    <row r="1535" spans="9:12" x14ac:dyDescent="0.45">
      <c r="I1535" t="s">
        <v>285</v>
      </c>
      <c r="J1535" t="s">
        <v>456</v>
      </c>
      <c r="K1535">
        <v>0.22177026913065043</v>
      </c>
      <c r="L1535" t="s">
        <v>158</v>
      </c>
    </row>
    <row r="1536" spans="9:12" x14ac:dyDescent="0.45">
      <c r="I1536" t="s">
        <v>285</v>
      </c>
      <c r="J1536" t="s">
        <v>457</v>
      </c>
      <c r="K1536">
        <v>0</v>
      </c>
      <c r="L1536" t="s">
        <v>158</v>
      </c>
    </row>
    <row r="1537" spans="9:12" x14ac:dyDescent="0.45">
      <c r="I1537" t="s">
        <v>285</v>
      </c>
      <c r="J1537" t="s">
        <v>458</v>
      </c>
      <c r="K1537">
        <v>5.3661195039949594E-3</v>
      </c>
      <c r="L1537" t="s">
        <v>158</v>
      </c>
    </row>
    <row r="1538" spans="9:12" x14ac:dyDescent="0.45">
      <c r="I1538" t="s">
        <v>285</v>
      </c>
      <c r="J1538" t="s">
        <v>459</v>
      </c>
      <c r="K1538">
        <v>0.27490054418730736</v>
      </c>
      <c r="L1538" t="s">
        <v>158</v>
      </c>
    </row>
    <row r="1539" spans="9:12" x14ac:dyDescent="0.45">
      <c r="I1539" t="s">
        <v>285</v>
      </c>
      <c r="J1539" t="s">
        <v>460</v>
      </c>
      <c r="K1539">
        <v>4.8138624452494509E-4</v>
      </c>
      <c r="L1539" t="s">
        <v>158</v>
      </c>
    </row>
    <row r="1540" spans="9:12" x14ac:dyDescent="0.45">
      <c r="I1540" t="s">
        <v>285</v>
      </c>
      <c r="J1540" t="s">
        <v>461</v>
      </c>
      <c r="K1540">
        <v>1.9792154809978819E-2</v>
      </c>
      <c r="L1540" t="s">
        <v>158</v>
      </c>
    </row>
    <row r="1541" spans="9:12" x14ac:dyDescent="0.45">
      <c r="I1541" t="s">
        <v>285</v>
      </c>
      <c r="J1541" t="s">
        <v>462</v>
      </c>
      <c r="K1541">
        <v>0.23845862404068527</v>
      </c>
      <c r="L1541" t="s">
        <v>158</v>
      </c>
    </row>
    <row r="1542" spans="9:12" x14ac:dyDescent="0.45">
      <c r="I1542" t="s">
        <v>285</v>
      </c>
      <c r="J1542" t="s">
        <v>463</v>
      </c>
      <c r="K1542">
        <v>2.2527990361430952E-3</v>
      </c>
      <c r="L1542" t="s">
        <v>158</v>
      </c>
    </row>
    <row r="1543" spans="9:12" x14ac:dyDescent="0.45">
      <c r="I1543" t="s">
        <v>285</v>
      </c>
      <c r="J1543" t="s">
        <v>464</v>
      </c>
      <c r="K1543">
        <v>1.9401684759641834E-2</v>
      </c>
      <c r="L1543" t="s">
        <v>158</v>
      </c>
    </row>
    <row r="1544" spans="9:12" x14ac:dyDescent="0.45">
      <c r="I1544" t="s">
        <v>285</v>
      </c>
      <c r="J1544" t="s">
        <v>465</v>
      </c>
      <c r="K1544">
        <v>0.21350621459736799</v>
      </c>
      <c r="L1544" t="s">
        <v>158</v>
      </c>
    </row>
    <row r="1545" spans="9:12" x14ac:dyDescent="0.45">
      <c r="I1545" t="s">
        <v>285</v>
      </c>
      <c r="J1545" t="s">
        <v>466</v>
      </c>
      <c r="K1545">
        <v>0</v>
      </c>
      <c r="L1545" t="s">
        <v>158</v>
      </c>
    </row>
    <row r="1546" spans="9:12" x14ac:dyDescent="0.45">
      <c r="I1546" t="s">
        <v>285</v>
      </c>
      <c r="J1546" t="s">
        <v>467</v>
      </c>
      <c r="K1546">
        <v>4.0702036897034728E-3</v>
      </c>
      <c r="L1546" t="s">
        <v>158</v>
      </c>
    </row>
    <row r="1547" spans="9:12" x14ac:dyDescent="0.45">
      <c r="I1547" t="s">
        <v>286</v>
      </c>
      <c r="J1547" t="s">
        <v>456</v>
      </c>
      <c r="K1547">
        <v>0.22340263035200836</v>
      </c>
      <c r="L1547" t="s">
        <v>158</v>
      </c>
    </row>
    <row r="1548" spans="9:12" x14ac:dyDescent="0.45">
      <c r="I1548" t="s">
        <v>286</v>
      </c>
      <c r="J1548" t="s">
        <v>457</v>
      </c>
      <c r="K1548">
        <v>0</v>
      </c>
      <c r="L1548" t="s">
        <v>158</v>
      </c>
    </row>
    <row r="1549" spans="9:12" x14ac:dyDescent="0.45">
      <c r="I1549" t="s">
        <v>286</v>
      </c>
      <c r="J1549" t="s">
        <v>458</v>
      </c>
      <c r="K1549">
        <v>5.5261955416066721E-3</v>
      </c>
      <c r="L1549" t="s">
        <v>158</v>
      </c>
    </row>
    <row r="1550" spans="9:12" x14ac:dyDescent="0.45">
      <c r="I1550" t="s">
        <v>286</v>
      </c>
      <c r="J1550" t="s">
        <v>459</v>
      </c>
      <c r="K1550">
        <v>0.28084371611659115</v>
      </c>
      <c r="L1550" t="s">
        <v>158</v>
      </c>
    </row>
    <row r="1551" spans="9:12" x14ac:dyDescent="0.45">
      <c r="I1551" t="s">
        <v>286</v>
      </c>
      <c r="J1551" t="s">
        <v>460</v>
      </c>
      <c r="K1551">
        <v>8.9989641390719798E-4</v>
      </c>
      <c r="L1551" t="s">
        <v>158</v>
      </c>
    </row>
    <row r="1552" spans="9:12" x14ac:dyDescent="0.45">
      <c r="I1552" t="s">
        <v>286</v>
      </c>
      <c r="J1552" t="s">
        <v>461</v>
      </c>
      <c r="K1552">
        <v>1.8796612623260576E-2</v>
      </c>
      <c r="L1552" t="s">
        <v>158</v>
      </c>
    </row>
    <row r="1553" spans="9:12" x14ac:dyDescent="0.45">
      <c r="I1553" t="s">
        <v>286</v>
      </c>
      <c r="J1553" t="s">
        <v>462</v>
      </c>
      <c r="K1553">
        <v>0.22517294477037422</v>
      </c>
      <c r="L1553" t="s">
        <v>158</v>
      </c>
    </row>
    <row r="1554" spans="9:12" x14ac:dyDescent="0.45">
      <c r="I1554" t="s">
        <v>286</v>
      </c>
      <c r="J1554" t="s">
        <v>463</v>
      </c>
      <c r="K1554">
        <v>2.9768461453779684E-3</v>
      </c>
      <c r="L1554" t="s">
        <v>158</v>
      </c>
    </row>
    <row r="1555" spans="9:12" x14ac:dyDescent="0.45">
      <c r="I1555" t="s">
        <v>286</v>
      </c>
      <c r="J1555" t="s">
        <v>464</v>
      </c>
      <c r="K1555">
        <v>1.798912827615275E-2</v>
      </c>
      <c r="L1555" t="s">
        <v>158</v>
      </c>
    </row>
    <row r="1556" spans="9:12" x14ac:dyDescent="0.45">
      <c r="I1556" t="s">
        <v>286</v>
      </c>
      <c r="J1556" t="s">
        <v>465</v>
      </c>
      <c r="K1556">
        <v>0.22034196455964641</v>
      </c>
      <c r="L1556" t="s">
        <v>158</v>
      </c>
    </row>
    <row r="1557" spans="9:12" x14ac:dyDescent="0.45">
      <c r="I1557" t="s">
        <v>286</v>
      </c>
      <c r="J1557" t="s">
        <v>466</v>
      </c>
      <c r="K1557">
        <v>0</v>
      </c>
      <c r="L1557" t="s">
        <v>158</v>
      </c>
    </row>
    <row r="1558" spans="9:12" x14ac:dyDescent="0.45">
      <c r="I1558" t="s">
        <v>286</v>
      </c>
      <c r="J1558" t="s">
        <v>467</v>
      </c>
      <c r="K1558">
        <v>4.0500652010755254E-3</v>
      </c>
      <c r="L1558" t="s">
        <v>158</v>
      </c>
    </row>
    <row r="1559" spans="9:12" x14ac:dyDescent="0.45">
      <c r="I1559" t="s">
        <v>287</v>
      </c>
      <c r="J1559" t="s">
        <v>456</v>
      </c>
      <c r="K1559">
        <v>0.22038063065364022</v>
      </c>
      <c r="L1559" t="s">
        <v>158</v>
      </c>
    </row>
    <row r="1560" spans="9:12" x14ac:dyDescent="0.45">
      <c r="I1560" t="s">
        <v>287</v>
      </c>
      <c r="J1560" t="s">
        <v>457</v>
      </c>
      <c r="K1560">
        <v>0</v>
      </c>
      <c r="L1560" t="s">
        <v>158</v>
      </c>
    </row>
    <row r="1561" spans="9:12" x14ac:dyDescent="0.45">
      <c r="I1561" t="s">
        <v>287</v>
      </c>
      <c r="J1561" t="s">
        <v>458</v>
      </c>
      <c r="K1561">
        <v>7.6376719821407346E-3</v>
      </c>
      <c r="L1561" t="s">
        <v>158</v>
      </c>
    </row>
    <row r="1562" spans="9:12" x14ac:dyDescent="0.45">
      <c r="I1562" t="s">
        <v>287</v>
      </c>
      <c r="J1562" t="s">
        <v>459</v>
      </c>
      <c r="K1562">
        <v>0.2739171057291685</v>
      </c>
      <c r="L1562" t="s">
        <v>158</v>
      </c>
    </row>
    <row r="1563" spans="9:12" x14ac:dyDescent="0.45">
      <c r="I1563" t="s">
        <v>287</v>
      </c>
      <c r="J1563" t="s">
        <v>460</v>
      </c>
      <c r="K1563">
        <v>7.1092315610709581E-4</v>
      </c>
      <c r="L1563" t="s">
        <v>158</v>
      </c>
    </row>
    <row r="1564" spans="9:12" x14ac:dyDescent="0.45">
      <c r="I1564" t="s">
        <v>287</v>
      </c>
      <c r="J1564" t="s">
        <v>461</v>
      </c>
      <c r="K1564">
        <v>2.2377971205353755E-2</v>
      </c>
      <c r="L1564" t="s">
        <v>158</v>
      </c>
    </row>
    <row r="1565" spans="9:12" x14ac:dyDescent="0.45">
      <c r="I1565" t="s">
        <v>287</v>
      </c>
      <c r="J1565" t="s">
        <v>462</v>
      </c>
      <c r="K1565">
        <v>0.22928759917231462</v>
      </c>
      <c r="L1565" t="s">
        <v>158</v>
      </c>
    </row>
    <row r="1566" spans="9:12" x14ac:dyDescent="0.45">
      <c r="I1566" t="s">
        <v>287</v>
      </c>
      <c r="J1566" t="s">
        <v>463</v>
      </c>
      <c r="K1566">
        <v>3.6847417263588872E-3</v>
      </c>
      <c r="L1566" t="s">
        <v>158</v>
      </c>
    </row>
    <row r="1567" spans="9:12" x14ac:dyDescent="0.45">
      <c r="I1567" t="s">
        <v>287</v>
      </c>
      <c r="J1567" t="s">
        <v>464</v>
      </c>
      <c r="K1567">
        <v>2.1900471684982097E-2</v>
      </c>
      <c r="L1567" t="s">
        <v>158</v>
      </c>
    </row>
    <row r="1568" spans="9:12" x14ac:dyDescent="0.45">
      <c r="I1568" t="s">
        <v>287</v>
      </c>
      <c r="J1568" t="s">
        <v>465</v>
      </c>
      <c r="K1568">
        <v>0.21388534653137023</v>
      </c>
      <c r="L1568" t="s">
        <v>158</v>
      </c>
    </row>
    <row r="1569" spans="9:12" x14ac:dyDescent="0.45">
      <c r="I1569" t="s">
        <v>287</v>
      </c>
      <c r="J1569" t="s">
        <v>466</v>
      </c>
      <c r="K1569">
        <v>0</v>
      </c>
      <c r="L1569" t="s">
        <v>158</v>
      </c>
    </row>
    <row r="1570" spans="9:12" x14ac:dyDescent="0.45">
      <c r="I1570" t="s">
        <v>287</v>
      </c>
      <c r="J1570" t="s">
        <v>467</v>
      </c>
      <c r="K1570">
        <v>6.2175381585643291E-3</v>
      </c>
      <c r="L1570" t="s">
        <v>158</v>
      </c>
    </row>
    <row r="1571" spans="9:12" x14ac:dyDescent="0.45">
      <c r="I1571" t="s">
        <v>288</v>
      </c>
      <c r="J1571" t="s">
        <v>456</v>
      </c>
      <c r="K1571">
        <v>0.20433327873418544</v>
      </c>
      <c r="L1571" t="s">
        <v>158</v>
      </c>
    </row>
    <row r="1572" spans="9:12" x14ac:dyDescent="0.45">
      <c r="I1572" t="s">
        <v>288</v>
      </c>
      <c r="J1572" t="s">
        <v>457</v>
      </c>
      <c r="K1572">
        <v>0</v>
      </c>
      <c r="L1572" t="s">
        <v>158</v>
      </c>
    </row>
    <row r="1573" spans="9:12" x14ac:dyDescent="0.45">
      <c r="I1573" t="s">
        <v>288</v>
      </c>
      <c r="J1573" t="s">
        <v>458</v>
      </c>
      <c r="K1573">
        <v>9.8521143380536132E-3</v>
      </c>
      <c r="L1573" t="s">
        <v>158</v>
      </c>
    </row>
    <row r="1574" spans="9:12" x14ac:dyDescent="0.45">
      <c r="I1574" t="s">
        <v>288</v>
      </c>
      <c r="J1574" t="s">
        <v>459</v>
      </c>
      <c r="K1574">
        <v>0.26089386790902119</v>
      </c>
      <c r="L1574" t="s">
        <v>158</v>
      </c>
    </row>
    <row r="1575" spans="9:12" x14ac:dyDescent="0.45">
      <c r="I1575" t="s">
        <v>288</v>
      </c>
      <c r="J1575" t="s">
        <v>460</v>
      </c>
      <c r="K1575">
        <v>6.6800566144445698E-4</v>
      </c>
      <c r="L1575" t="s">
        <v>158</v>
      </c>
    </row>
    <row r="1576" spans="9:12" x14ac:dyDescent="0.45">
      <c r="I1576" t="s">
        <v>288</v>
      </c>
      <c r="J1576" t="s">
        <v>461</v>
      </c>
      <c r="K1576">
        <v>2.7027190087921919E-2</v>
      </c>
      <c r="L1576" t="s">
        <v>158</v>
      </c>
    </row>
    <row r="1577" spans="9:12" x14ac:dyDescent="0.45">
      <c r="I1577" t="s">
        <v>288</v>
      </c>
      <c r="J1577" t="s">
        <v>462</v>
      </c>
      <c r="K1577">
        <v>0.24643719005307485</v>
      </c>
      <c r="L1577" t="s">
        <v>158</v>
      </c>
    </row>
    <row r="1578" spans="9:12" x14ac:dyDescent="0.45">
      <c r="I1578" t="s">
        <v>288</v>
      </c>
      <c r="J1578" t="s">
        <v>463</v>
      </c>
      <c r="K1578">
        <v>3.8483579795040922E-3</v>
      </c>
      <c r="L1578" t="s">
        <v>158</v>
      </c>
    </row>
    <row r="1579" spans="9:12" x14ac:dyDescent="0.45">
      <c r="I1579" t="s">
        <v>288</v>
      </c>
      <c r="J1579" t="s">
        <v>464</v>
      </c>
      <c r="K1579">
        <v>2.6962874283312867E-2</v>
      </c>
      <c r="L1579" t="s">
        <v>158</v>
      </c>
    </row>
    <row r="1580" spans="9:12" x14ac:dyDescent="0.45">
      <c r="I1580" t="s">
        <v>288</v>
      </c>
      <c r="J1580" t="s">
        <v>465</v>
      </c>
      <c r="K1580">
        <v>0.21088902203255497</v>
      </c>
      <c r="L1580" t="s">
        <v>158</v>
      </c>
    </row>
    <row r="1581" spans="9:12" x14ac:dyDescent="0.45">
      <c r="I1581" t="s">
        <v>288</v>
      </c>
      <c r="J1581" t="s">
        <v>466</v>
      </c>
      <c r="K1581">
        <v>0</v>
      </c>
      <c r="L1581" t="s">
        <v>158</v>
      </c>
    </row>
    <row r="1582" spans="9:12" x14ac:dyDescent="0.45">
      <c r="I1582" t="s">
        <v>288</v>
      </c>
      <c r="J1582" t="s">
        <v>467</v>
      </c>
      <c r="K1582">
        <v>9.0880989209265253E-3</v>
      </c>
      <c r="L1582" t="s">
        <v>158</v>
      </c>
    </row>
    <row r="1583" spans="9:12" x14ac:dyDescent="0.45">
      <c r="I1583" t="s">
        <v>289</v>
      </c>
      <c r="J1583" t="s">
        <v>456</v>
      </c>
      <c r="K1583">
        <v>0.18785244239162988</v>
      </c>
      <c r="L1583" t="s">
        <v>158</v>
      </c>
    </row>
    <row r="1584" spans="9:12" x14ac:dyDescent="0.45">
      <c r="I1584" t="s">
        <v>289</v>
      </c>
      <c r="J1584" t="s">
        <v>457</v>
      </c>
      <c r="K1584">
        <v>0</v>
      </c>
      <c r="L1584" t="s">
        <v>158</v>
      </c>
    </row>
    <row r="1585" spans="9:12" x14ac:dyDescent="0.45">
      <c r="I1585" t="s">
        <v>289</v>
      </c>
      <c r="J1585" t="s">
        <v>458</v>
      </c>
      <c r="K1585">
        <v>1.1846476343559091E-2</v>
      </c>
      <c r="L1585" t="s">
        <v>158</v>
      </c>
    </row>
    <row r="1586" spans="9:12" x14ac:dyDescent="0.45">
      <c r="I1586" t="s">
        <v>289</v>
      </c>
      <c r="J1586" t="s">
        <v>459</v>
      </c>
      <c r="K1586">
        <v>0.27234345663579623</v>
      </c>
      <c r="L1586" t="s">
        <v>158</v>
      </c>
    </row>
    <row r="1587" spans="9:12" x14ac:dyDescent="0.45">
      <c r="I1587" t="s">
        <v>289</v>
      </c>
      <c r="J1587" t="s">
        <v>460</v>
      </c>
      <c r="K1587">
        <v>1.1450022778080038E-3</v>
      </c>
      <c r="L1587" t="s">
        <v>158</v>
      </c>
    </row>
    <row r="1588" spans="9:12" x14ac:dyDescent="0.45">
      <c r="I1588" t="s">
        <v>289</v>
      </c>
      <c r="J1588" t="s">
        <v>461</v>
      </c>
      <c r="K1588">
        <v>2.9214956156827655E-2</v>
      </c>
      <c r="L1588" t="s">
        <v>158</v>
      </c>
    </row>
    <row r="1589" spans="9:12" x14ac:dyDescent="0.45">
      <c r="I1589" t="s">
        <v>289</v>
      </c>
      <c r="J1589" t="s">
        <v>462</v>
      </c>
      <c r="K1589">
        <v>0.23017424010107426</v>
      </c>
      <c r="L1589" t="s">
        <v>158</v>
      </c>
    </row>
    <row r="1590" spans="9:12" x14ac:dyDescent="0.45">
      <c r="I1590" t="s">
        <v>289</v>
      </c>
      <c r="J1590" t="s">
        <v>463</v>
      </c>
      <c r="K1590">
        <v>5.0870586827438434E-3</v>
      </c>
      <c r="L1590" t="s">
        <v>158</v>
      </c>
    </row>
    <row r="1591" spans="9:12" x14ac:dyDescent="0.45">
      <c r="I1591" t="s">
        <v>289</v>
      </c>
      <c r="J1591" t="s">
        <v>464</v>
      </c>
      <c r="K1591">
        <v>2.9056802274387505E-2</v>
      </c>
      <c r="L1591" t="s">
        <v>158</v>
      </c>
    </row>
    <row r="1592" spans="9:12" x14ac:dyDescent="0.45">
      <c r="I1592" t="s">
        <v>289</v>
      </c>
      <c r="J1592" t="s">
        <v>465</v>
      </c>
      <c r="K1592">
        <v>0.21872704873570897</v>
      </c>
      <c r="L1592" t="s">
        <v>158</v>
      </c>
    </row>
    <row r="1593" spans="9:12" x14ac:dyDescent="0.45">
      <c r="I1593" t="s">
        <v>289</v>
      </c>
      <c r="J1593" t="s">
        <v>466</v>
      </c>
      <c r="K1593">
        <v>0</v>
      </c>
      <c r="L1593" t="s">
        <v>158</v>
      </c>
    </row>
    <row r="1594" spans="9:12" x14ac:dyDescent="0.45">
      <c r="I1594" t="s">
        <v>289</v>
      </c>
      <c r="J1594" t="s">
        <v>467</v>
      </c>
      <c r="K1594">
        <v>1.4552516400463612E-2</v>
      </c>
      <c r="L1594" t="s">
        <v>158</v>
      </c>
    </row>
    <row r="1595" spans="9:12" x14ac:dyDescent="0.45">
      <c r="I1595" t="s">
        <v>290</v>
      </c>
      <c r="J1595" t="s">
        <v>456</v>
      </c>
      <c r="K1595">
        <v>0.20087426512130152</v>
      </c>
      <c r="L1595" t="s">
        <v>158</v>
      </c>
    </row>
    <row r="1596" spans="9:12" x14ac:dyDescent="0.45">
      <c r="I1596" t="s">
        <v>290</v>
      </c>
      <c r="J1596" t="s">
        <v>457</v>
      </c>
      <c r="K1596">
        <v>0</v>
      </c>
      <c r="L1596" t="s">
        <v>158</v>
      </c>
    </row>
    <row r="1597" spans="9:12" x14ac:dyDescent="0.45">
      <c r="I1597" t="s">
        <v>290</v>
      </c>
      <c r="J1597" t="s">
        <v>458</v>
      </c>
      <c r="K1597">
        <v>9.8507550963595758E-3</v>
      </c>
      <c r="L1597" t="s">
        <v>158</v>
      </c>
    </row>
    <row r="1598" spans="9:12" x14ac:dyDescent="0.45">
      <c r="I1598" t="s">
        <v>290</v>
      </c>
      <c r="J1598" t="s">
        <v>459</v>
      </c>
      <c r="K1598">
        <v>0.26595206422212891</v>
      </c>
      <c r="L1598" t="s">
        <v>158</v>
      </c>
    </row>
    <row r="1599" spans="9:12" x14ac:dyDescent="0.45">
      <c r="I1599" t="s">
        <v>290</v>
      </c>
      <c r="J1599" t="s">
        <v>460</v>
      </c>
      <c r="K1599">
        <v>8.9183740756100624E-4</v>
      </c>
      <c r="L1599" t="s">
        <v>158</v>
      </c>
    </row>
    <row r="1600" spans="9:12" x14ac:dyDescent="0.45">
      <c r="I1600" t="s">
        <v>290</v>
      </c>
      <c r="J1600" t="s">
        <v>461</v>
      </c>
      <c r="K1600">
        <v>2.8830763224686862E-2</v>
      </c>
      <c r="L1600" t="s">
        <v>158</v>
      </c>
    </row>
    <row r="1601" spans="9:12" x14ac:dyDescent="0.45">
      <c r="I1601" t="s">
        <v>290</v>
      </c>
      <c r="J1601" t="s">
        <v>462</v>
      </c>
      <c r="K1601">
        <v>0.23455221868726489</v>
      </c>
      <c r="L1601" t="s">
        <v>158</v>
      </c>
    </row>
    <row r="1602" spans="9:12" x14ac:dyDescent="0.45">
      <c r="I1602" t="s">
        <v>290</v>
      </c>
      <c r="J1602" t="s">
        <v>463</v>
      </c>
      <c r="K1602">
        <v>4.0091743265016147E-3</v>
      </c>
      <c r="L1602" t="s">
        <v>158</v>
      </c>
    </row>
    <row r="1603" spans="9:12" x14ac:dyDescent="0.45">
      <c r="I1603" t="s">
        <v>290</v>
      </c>
      <c r="J1603" t="s">
        <v>464</v>
      </c>
      <c r="K1603">
        <v>2.5990217786892887E-2</v>
      </c>
      <c r="L1603" t="s">
        <v>158</v>
      </c>
    </row>
    <row r="1604" spans="9:12" x14ac:dyDescent="0.45">
      <c r="I1604" t="s">
        <v>290</v>
      </c>
      <c r="J1604" t="s">
        <v>465</v>
      </c>
      <c r="K1604">
        <v>0.2183508897563346</v>
      </c>
      <c r="L1604" t="s">
        <v>158</v>
      </c>
    </row>
    <row r="1605" spans="9:12" x14ac:dyDescent="0.45">
      <c r="I1605" t="s">
        <v>290</v>
      </c>
      <c r="J1605" t="s">
        <v>466</v>
      </c>
      <c r="K1605">
        <v>0</v>
      </c>
      <c r="L1605" t="s">
        <v>158</v>
      </c>
    </row>
    <row r="1606" spans="9:12" x14ac:dyDescent="0.45">
      <c r="I1606" t="s">
        <v>290</v>
      </c>
      <c r="J1606" t="s">
        <v>467</v>
      </c>
      <c r="K1606">
        <v>1.0697814370968185E-2</v>
      </c>
      <c r="L1606" t="s">
        <v>158</v>
      </c>
    </row>
    <row r="1607" spans="9:12" x14ac:dyDescent="0.45">
      <c r="I1607" t="s">
        <v>291</v>
      </c>
      <c r="J1607" t="s">
        <v>456</v>
      </c>
      <c r="K1607">
        <v>0.20947577589409597</v>
      </c>
      <c r="L1607" t="s">
        <v>158</v>
      </c>
    </row>
    <row r="1608" spans="9:12" x14ac:dyDescent="0.45">
      <c r="I1608" t="s">
        <v>291</v>
      </c>
      <c r="J1608" t="s">
        <v>457</v>
      </c>
      <c r="K1608">
        <v>0</v>
      </c>
      <c r="L1608" t="s">
        <v>158</v>
      </c>
    </row>
    <row r="1609" spans="9:12" x14ac:dyDescent="0.45">
      <c r="I1609" t="s">
        <v>291</v>
      </c>
      <c r="J1609" t="s">
        <v>458</v>
      </c>
      <c r="K1609">
        <v>9.7355059694235468E-3</v>
      </c>
      <c r="L1609" t="s">
        <v>158</v>
      </c>
    </row>
    <row r="1610" spans="9:12" x14ac:dyDescent="0.45">
      <c r="I1610" t="s">
        <v>291</v>
      </c>
      <c r="J1610" t="s">
        <v>459</v>
      </c>
      <c r="K1610">
        <v>0.26793707592293065</v>
      </c>
      <c r="L1610" t="s">
        <v>158</v>
      </c>
    </row>
    <row r="1611" spans="9:12" x14ac:dyDescent="0.45">
      <c r="I1611" t="s">
        <v>291</v>
      </c>
      <c r="J1611" t="s">
        <v>460</v>
      </c>
      <c r="K1611">
        <v>8.4112249934884605E-4</v>
      </c>
      <c r="L1611" t="s">
        <v>158</v>
      </c>
    </row>
    <row r="1612" spans="9:12" x14ac:dyDescent="0.45">
      <c r="I1612" t="s">
        <v>291</v>
      </c>
      <c r="J1612" t="s">
        <v>461</v>
      </c>
      <c r="K1612">
        <v>2.7101484085267937E-2</v>
      </c>
      <c r="L1612" t="s">
        <v>158</v>
      </c>
    </row>
    <row r="1613" spans="9:12" x14ac:dyDescent="0.45">
      <c r="I1613" t="s">
        <v>291</v>
      </c>
      <c r="J1613" t="s">
        <v>462</v>
      </c>
      <c r="K1613">
        <v>0.23144081239652309</v>
      </c>
      <c r="L1613" t="s">
        <v>158</v>
      </c>
    </row>
    <row r="1614" spans="9:12" x14ac:dyDescent="0.45">
      <c r="I1614" t="s">
        <v>291</v>
      </c>
      <c r="J1614" t="s">
        <v>463</v>
      </c>
      <c r="K1614">
        <v>4.1032631352957193E-3</v>
      </c>
      <c r="L1614" t="s">
        <v>158</v>
      </c>
    </row>
    <row r="1615" spans="9:12" x14ac:dyDescent="0.45">
      <c r="I1615" t="s">
        <v>291</v>
      </c>
      <c r="J1615" t="s">
        <v>464</v>
      </c>
      <c r="K1615">
        <v>2.5199084206657212E-2</v>
      </c>
      <c r="L1615" t="s">
        <v>158</v>
      </c>
    </row>
    <row r="1616" spans="9:12" x14ac:dyDescent="0.45">
      <c r="I1616" t="s">
        <v>291</v>
      </c>
      <c r="J1616" t="s">
        <v>465</v>
      </c>
      <c r="K1616">
        <v>0.21507294136888711</v>
      </c>
      <c r="L1616" t="s">
        <v>158</v>
      </c>
    </row>
    <row r="1617" spans="9:12" x14ac:dyDescent="0.45">
      <c r="I1617" t="s">
        <v>291</v>
      </c>
      <c r="J1617" t="s">
        <v>466</v>
      </c>
      <c r="K1617">
        <v>0</v>
      </c>
      <c r="L1617" t="s">
        <v>158</v>
      </c>
    </row>
    <row r="1618" spans="9:12" x14ac:dyDescent="0.45">
      <c r="I1618" t="s">
        <v>291</v>
      </c>
      <c r="J1618" t="s">
        <v>467</v>
      </c>
      <c r="K1618">
        <v>9.092934521568596E-3</v>
      </c>
      <c r="L1618" t="s">
        <v>158</v>
      </c>
    </row>
    <row r="1619" spans="9:12" x14ac:dyDescent="0.45">
      <c r="I1619" t="s">
        <v>292</v>
      </c>
      <c r="J1619" t="s">
        <v>456</v>
      </c>
      <c r="K1619">
        <v>0.21223005823325769</v>
      </c>
      <c r="L1619" t="s">
        <v>158</v>
      </c>
    </row>
    <row r="1620" spans="9:12" x14ac:dyDescent="0.45">
      <c r="I1620" t="s">
        <v>292</v>
      </c>
      <c r="J1620" t="s">
        <v>457</v>
      </c>
      <c r="K1620">
        <v>0</v>
      </c>
      <c r="L1620" t="s">
        <v>158</v>
      </c>
    </row>
    <row r="1621" spans="9:12" x14ac:dyDescent="0.45">
      <c r="I1621" t="s">
        <v>292</v>
      </c>
      <c r="J1621" t="s">
        <v>458</v>
      </c>
      <c r="K1621">
        <v>7.7752725370779756E-3</v>
      </c>
      <c r="L1621" t="s">
        <v>158</v>
      </c>
    </row>
    <row r="1622" spans="9:12" x14ac:dyDescent="0.45">
      <c r="I1622" t="s">
        <v>292</v>
      </c>
      <c r="J1622" t="s">
        <v>459</v>
      </c>
      <c r="K1622">
        <v>0.26648235736268283</v>
      </c>
      <c r="L1622" t="s">
        <v>158</v>
      </c>
    </row>
    <row r="1623" spans="9:12" x14ac:dyDescent="0.45">
      <c r="I1623" t="s">
        <v>292</v>
      </c>
      <c r="J1623" t="s">
        <v>460</v>
      </c>
      <c r="K1623">
        <v>3.6244200143572614E-4</v>
      </c>
      <c r="L1623" t="s">
        <v>158</v>
      </c>
    </row>
    <row r="1624" spans="9:12" x14ac:dyDescent="0.45">
      <c r="I1624" t="s">
        <v>292</v>
      </c>
      <c r="J1624" t="s">
        <v>461</v>
      </c>
      <c r="K1624">
        <v>2.3929438938197763E-2</v>
      </c>
      <c r="L1624" t="s">
        <v>158</v>
      </c>
    </row>
    <row r="1625" spans="9:12" x14ac:dyDescent="0.45">
      <c r="I1625" t="s">
        <v>292</v>
      </c>
      <c r="J1625" t="s">
        <v>462</v>
      </c>
      <c r="K1625">
        <v>0.24055667709020512</v>
      </c>
      <c r="L1625" t="s">
        <v>158</v>
      </c>
    </row>
    <row r="1626" spans="9:12" x14ac:dyDescent="0.45">
      <c r="I1626" t="s">
        <v>292</v>
      </c>
      <c r="J1626" t="s">
        <v>463</v>
      </c>
      <c r="K1626">
        <v>2.9377786749611805E-3</v>
      </c>
      <c r="L1626" t="s">
        <v>158</v>
      </c>
    </row>
    <row r="1627" spans="9:12" x14ac:dyDescent="0.45">
      <c r="I1627" t="s">
        <v>292</v>
      </c>
      <c r="J1627" t="s">
        <v>464</v>
      </c>
      <c r="K1627">
        <v>2.336185833875511E-2</v>
      </c>
      <c r="L1627" t="s">
        <v>158</v>
      </c>
    </row>
    <row r="1628" spans="9:12" x14ac:dyDescent="0.45">
      <c r="I1628" t="s">
        <v>292</v>
      </c>
      <c r="J1628" t="s">
        <v>465</v>
      </c>
      <c r="K1628">
        <v>0.21564713684559261</v>
      </c>
      <c r="L1628" t="s">
        <v>158</v>
      </c>
    </row>
    <row r="1629" spans="9:12" x14ac:dyDescent="0.45">
      <c r="I1629" t="s">
        <v>292</v>
      </c>
      <c r="J1629" t="s">
        <v>466</v>
      </c>
      <c r="K1629">
        <v>0</v>
      </c>
      <c r="L1629" t="s">
        <v>158</v>
      </c>
    </row>
    <row r="1630" spans="9:12" x14ac:dyDescent="0.45">
      <c r="I1630" t="s">
        <v>292</v>
      </c>
      <c r="J1630" t="s">
        <v>467</v>
      </c>
      <c r="K1630">
        <v>6.7169799778363602E-3</v>
      </c>
      <c r="L1630" t="s">
        <v>158</v>
      </c>
    </row>
    <row r="1631" spans="9:12" x14ac:dyDescent="0.45">
      <c r="I1631" t="s">
        <v>293</v>
      </c>
      <c r="J1631" t="s">
        <v>456</v>
      </c>
      <c r="K1631">
        <v>0.21615037277710927</v>
      </c>
      <c r="L1631" t="s">
        <v>158</v>
      </c>
    </row>
    <row r="1632" spans="9:12" x14ac:dyDescent="0.45">
      <c r="I1632" t="s">
        <v>293</v>
      </c>
      <c r="J1632" t="s">
        <v>457</v>
      </c>
      <c r="K1632">
        <v>0</v>
      </c>
      <c r="L1632" t="s">
        <v>158</v>
      </c>
    </row>
    <row r="1633" spans="9:12" x14ac:dyDescent="0.45">
      <c r="I1633" t="s">
        <v>293</v>
      </c>
      <c r="J1633" t="s">
        <v>458</v>
      </c>
      <c r="K1633">
        <v>7.2340956367438394E-3</v>
      </c>
      <c r="L1633" t="s">
        <v>158</v>
      </c>
    </row>
    <row r="1634" spans="9:12" x14ac:dyDescent="0.45">
      <c r="I1634" t="s">
        <v>293</v>
      </c>
      <c r="J1634" t="s">
        <v>459</v>
      </c>
      <c r="K1634">
        <v>0.27548904368078458</v>
      </c>
      <c r="L1634" t="s">
        <v>158</v>
      </c>
    </row>
    <row r="1635" spans="9:12" x14ac:dyDescent="0.45">
      <c r="I1635" t="s">
        <v>293</v>
      </c>
      <c r="J1635" t="s">
        <v>460</v>
      </c>
      <c r="K1635">
        <v>4.8823167795204709E-4</v>
      </c>
      <c r="L1635" t="s">
        <v>158</v>
      </c>
    </row>
    <row r="1636" spans="9:12" x14ac:dyDescent="0.45">
      <c r="I1636" t="s">
        <v>293</v>
      </c>
      <c r="J1636" t="s">
        <v>461</v>
      </c>
      <c r="K1636">
        <v>2.3090602372284448E-2</v>
      </c>
      <c r="L1636" t="s">
        <v>158</v>
      </c>
    </row>
    <row r="1637" spans="9:12" x14ac:dyDescent="0.45">
      <c r="I1637" t="s">
        <v>293</v>
      </c>
      <c r="J1637" t="s">
        <v>462</v>
      </c>
      <c r="K1637">
        <v>0.22782811019215821</v>
      </c>
      <c r="L1637" t="s">
        <v>158</v>
      </c>
    </row>
    <row r="1638" spans="9:12" x14ac:dyDescent="0.45">
      <c r="I1638" t="s">
        <v>293</v>
      </c>
      <c r="J1638" t="s">
        <v>463</v>
      </c>
      <c r="K1638">
        <v>3.2960061287960248E-3</v>
      </c>
      <c r="L1638" t="s">
        <v>158</v>
      </c>
    </row>
    <row r="1639" spans="9:12" x14ac:dyDescent="0.45">
      <c r="I1639" t="s">
        <v>293</v>
      </c>
      <c r="J1639" t="s">
        <v>464</v>
      </c>
      <c r="K1639">
        <v>2.232739287413802E-2</v>
      </c>
      <c r="L1639" t="s">
        <v>158</v>
      </c>
    </row>
    <row r="1640" spans="9:12" x14ac:dyDescent="0.45">
      <c r="I1640" t="s">
        <v>293</v>
      </c>
      <c r="J1640" t="s">
        <v>465</v>
      </c>
      <c r="K1640">
        <v>0.21790909023505955</v>
      </c>
      <c r="L1640" t="s">
        <v>158</v>
      </c>
    </row>
    <row r="1641" spans="9:12" x14ac:dyDescent="0.45">
      <c r="I1641" t="s">
        <v>293</v>
      </c>
      <c r="J1641" t="s">
        <v>466</v>
      </c>
      <c r="K1641">
        <v>0</v>
      </c>
      <c r="L1641" t="s">
        <v>158</v>
      </c>
    </row>
    <row r="1642" spans="9:12" x14ac:dyDescent="0.45">
      <c r="I1642" t="s">
        <v>293</v>
      </c>
      <c r="J1642" t="s">
        <v>467</v>
      </c>
      <c r="K1642">
        <v>6.1870544249723334E-3</v>
      </c>
      <c r="L1642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2025-10-31T09:12:54Z</dcterms:modified>
</cp:coreProperties>
</file>