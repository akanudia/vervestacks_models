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N\"/>
    </mc:Choice>
  </mc:AlternateContent>
  <xr:revisionPtr revIDLastSave="0" documentId="13_ncr:1_{1B1CD246-7655-411B-BBDE-9693BC849E28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ScenMap" sheetId="56" r:id="rId1"/>
    <sheet name="TS_Defs" sheetId="27" r:id="rId2"/>
    <sheet name="TS_ratios" sheetId="68" r:id="rId3"/>
    <sheet name="Sankey" sheetId="69" r:id="rId4"/>
    <sheet name="PSet_MAP" sheetId="57" r:id="rId5"/>
    <sheet name="CSET_MAP" sheetId="66" r:id="rId6"/>
    <sheet name="CName_MAP" sheetId="58" r:id="rId7"/>
    <sheet name="timeslice map" sheetId="64" r:id="rId8"/>
    <sheet name="process map" sheetId="65" r:id="rId9"/>
    <sheet name="commodity map" sheetId="67" r:id="rId10"/>
    <sheet name="ATS" sheetId="63" r:id="rId11"/>
    <sheet name="UnitConv" sheetId="59" r:id="rId12"/>
  </sheets>
  <definedNames>
    <definedName name="_xlnm._FilterDatabase" localSheetId="1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5" i="65" l="1"/>
  <c r="C74" i="65"/>
  <c r="C73" i="65"/>
  <c r="C72" i="65"/>
  <c r="C71" i="65"/>
  <c r="C70" i="65"/>
  <c r="C69" i="65"/>
  <c r="C68" i="65"/>
  <c r="C67" i="65"/>
  <c r="J65" i="56"/>
  <c r="H65" i="56" s="1"/>
  <c r="C65" i="56" s="1"/>
  <c r="I65" i="56"/>
  <c r="B65" i="56"/>
  <c r="J64" i="56"/>
  <c r="H64" i="56" s="1"/>
  <c r="C64" i="56" s="1"/>
  <c r="I64" i="56"/>
  <c r="B64" i="56"/>
  <c r="J63" i="56"/>
  <c r="H63" i="56" s="1"/>
  <c r="C63" i="56" s="1"/>
  <c r="I63" i="56"/>
  <c r="B63" i="56"/>
  <c r="J62" i="56"/>
  <c r="I62" i="56"/>
  <c r="B62" i="56"/>
  <c r="J61" i="56"/>
  <c r="H61" i="56" s="1"/>
  <c r="C61" i="56" s="1"/>
  <c r="I61" i="56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J8" i="56"/>
  <c r="I9" i="56"/>
  <c r="J9" i="56"/>
  <c r="I10" i="56"/>
  <c r="J10" i="56"/>
  <c r="I11" i="56"/>
  <c r="J11" i="56"/>
  <c r="I12" i="56"/>
  <c r="J12" i="56"/>
  <c r="I13" i="56"/>
  <c r="J13" i="56"/>
  <c r="I14" i="56"/>
  <c r="J14" i="56"/>
  <c r="H14" i="56" s="1"/>
  <c r="I15" i="56"/>
  <c r="J15" i="56"/>
  <c r="I16" i="56"/>
  <c r="J16" i="56"/>
  <c r="I17" i="56"/>
  <c r="J17" i="56"/>
  <c r="I18" i="56"/>
  <c r="J18" i="56"/>
  <c r="I19" i="56"/>
  <c r="J19" i="56"/>
  <c r="I20" i="56"/>
  <c r="J20" i="56"/>
  <c r="I21" i="56"/>
  <c r="J21" i="56"/>
  <c r="I22" i="56"/>
  <c r="J22" i="56"/>
  <c r="I23" i="56"/>
  <c r="J23" i="56"/>
  <c r="I24" i="56"/>
  <c r="J24" i="56"/>
  <c r="I25" i="56"/>
  <c r="J25" i="56"/>
  <c r="I26" i="56"/>
  <c r="J26" i="56"/>
  <c r="I27" i="56"/>
  <c r="J27" i="56"/>
  <c r="I28" i="56"/>
  <c r="J28" i="56"/>
  <c r="I29" i="56"/>
  <c r="J29" i="56"/>
  <c r="I30" i="56"/>
  <c r="J30" i="56"/>
  <c r="I31" i="56"/>
  <c r="J31" i="56"/>
  <c r="I32" i="56"/>
  <c r="J32" i="56"/>
  <c r="I33" i="56"/>
  <c r="J33" i="56"/>
  <c r="I34" i="56"/>
  <c r="J34" i="56"/>
  <c r="I35" i="56"/>
  <c r="J35" i="56"/>
  <c r="I36" i="56"/>
  <c r="J36" i="56"/>
  <c r="I37" i="56"/>
  <c r="J37" i="56"/>
  <c r="I38" i="56"/>
  <c r="J38" i="56"/>
  <c r="I39" i="56"/>
  <c r="J39" i="56"/>
  <c r="I40" i="56"/>
  <c r="J40" i="56"/>
  <c r="I41" i="56"/>
  <c r="J41" i="56"/>
  <c r="I42" i="56"/>
  <c r="J42" i="56"/>
  <c r="I43" i="56"/>
  <c r="J43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J59" i="56"/>
  <c r="I60" i="56"/>
  <c r="J60" i="56"/>
  <c r="J6" i="56"/>
  <c r="I6" i="56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13" i="56" l="1"/>
  <c r="H15" i="56"/>
  <c r="H22" i="56"/>
  <c r="H18" i="56"/>
  <c r="H17" i="56"/>
  <c r="H23" i="56"/>
  <c r="H34" i="56"/>
  <c r="H28" i="56"/>
  <c r="H44" i="56"/>
  <c r="H33" i="56"/>
  <c r="H12" i="56"/>
  <c r="H11" i="56"/>
  <c r="H42" i="56"/>
  <c r="H21" i="56"/>
  <c r="H10" i="56"/>
  <c r="H52" i="56"/>
  <c r="H19" i="56"/>
  <c r="H8" i="56"/>
  <c r="H59" i="56"/>
  <c r="H36" i="56"/>
  <c r="H24" i="56"/>
  <c r="H35" i="56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B4" i="58"/>
  <c r="B5" i="58"/>
  <c r="B6" i="58"/>
  <c r="B7" i="58"/>
  <c r="B8" i="58"/>
  <c r="B9" i="58"/>
  <c r="B10" i="58"/>
  <c r="B11" i="58"/>
  <c r="B3" i="58"/>
  <c r="C60" i="56" l="1"/>
  <c r="C58" i="56"/>
  <c r="C59" i="56" l="1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C9" i="56" l="1"/>
  <c r="C10" i="56"/>
  <c r="C11" i="56"/>
  <c r="C12" i="56"/>
  <c r="C7" i="56"/>
  <c r="C6" i="56"/>
  <c r="C8" i="56"/>
  <c r="C15" i="56"/>
  <c r="C19" i="56"/>
  <c r="C26" i="56"/>
  <c r="J5" i="56"/>
  <c r="D4" i="59"/>
  <c r="D3" i="59"/>
  <c r="C18" i="56" l="1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C38" i="56" l="1"/>
  <c r="C31" i="56"/>
  <c r="C34" i="56"/>
  <c r="C27" i="56"/>
  <c r="C30" i="56"/>
  <c r="C37" i="56"/>
  <c r="C40" i="56"/>
  <c r="C33" i="56"/>
  <c r="C35" i="56"/>
  <c r="C28" i="56"/>
  <c r="C39" i="56"/>
  <c r="C32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<sst xmlns="http://schemas.openxmlformats.org/spreadsheetml/2006/main" count="5621" uniqueCount="461">
  <si>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</si>
  <si>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</si>
  <si>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</si>
  <si>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</si>
  <si>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</si>
  <si>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</si>
  <si>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</si>
  <si>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</si>
  <si>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</si>
  <si>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</si>
  <si>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</si>
  <si>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</si>
  <si>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</si>
  <si>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</si>
  <si>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</si>
  <si>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</si>
  <si>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</si>
  <si>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</si>
  <si>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</si>
  <si>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</si>
  <si>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</si>
  <si>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</si>
  <si>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</si>
  <si>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</si>
  <si>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</si>
  <si>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</si>
  <si>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</si>
  <si>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</si>
  <si>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</si>
  <si>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</si>
  <si>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</si>
  <si>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</si>
  <si>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</si>
  <si>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</si>
  <si>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</si>
  <si>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</si>
  <si>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</si>
  <si>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</si>
  <si>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</si>
  <si>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</si>
  <si>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</si>
  <si>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</si>
  <si>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</si>
  <si>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</si>
  <si>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</si>
  <si>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</si>
  <si>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</si>
  <si>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</si>
  <si>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</si>
  <si>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</si>
  <si>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</si>
  <si>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</si>
  <si>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</si>
  <si>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</si>
  <si>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</si>
  <si>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</si>
  <si>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</si>
  <si>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</si>
  <si>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</si>
  <si>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</si>
  <si>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</si>
  <si>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</si>
  <si>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</si>
  <si>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</si>
  <si>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</si>
  <si>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</si>
  <si>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</si>
  <si>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</si>
  <si>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</si>
  <si>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</si>
  <si>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</si>
  <si>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</si>
  <si>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</si>
  <si>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</si>
  <si>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</si>
  <si>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</si>
  <si>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</si>
  <si>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</si>
  <si>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</si>
  <si>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</si>
  <si>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</si>
  <si>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</si>
  <si>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</si>
  <si>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</si>
  <si>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</si>
  <si>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</si>
  <si>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</si>
  <si>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</si>
  <si>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</si>
  <si>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</si>
  <si>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</si>
  <si>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</si>
  <si>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</si>
  <si>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</si>
  <si>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</si>
  <si>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</si>
  <si>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</si>
  <si>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</si>
  <si>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</si>
  <si>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</si>
  <si>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</si>
  <si>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</si>
  <si>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</si>
  <si>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</si>
  <si>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</si>
  <si>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</si>
  <si>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</si>
  <si>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</si>
  <si>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</si>
  <si>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</si>
  <si>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</si>
  <si>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</si>
  <si>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</si>
  <si>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</si>
  <si>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</si>
  <si>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</si>
  <si>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</si>
  <si>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</si>
  <si>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</si>
  <si>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</si>
  <si>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</si>
  <si>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</si>
  <si>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</si>
  <si>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</si>
  <si>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</si>
  <si>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</si>
  <si>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</si>
  <si>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</si>
  <si>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</si>
  <si>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</si>
  <si>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</si>
  <si>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</si>
  <si>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</si>
  <si>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</si>
  <si>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</si>
  <si>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</si>
  <si>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</si>
  <si>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</si>
  <si>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</si>
  <si>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</si>
  <si>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</si>
  <si>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</si>
  <si>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</si>
  <si>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</si>
  <si>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</si>
  <si>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</si>
  <si>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</si>
  <si>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</si>
  <si>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</si>
  <si>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</si>
  <si>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</si>
  <si>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</si>
  <si>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</si>
  <si>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</si>
  <si>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</si>
  <si>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</si>
  <si>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</si>
  <si>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</si>
  <si>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</si>
  <si>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</si>
  <si>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</si>
  <si>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</si>
  <si>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</si>
  <si>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</si>
  <si>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</si>
  <si>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</si>
  <si>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</si>
  <si>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</si>
  <si>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</si>
  <si>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</si>
  <si>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</si>
  <si>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</si>
  <si>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</si>
  <si>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</si>
  <si>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</si>
  <si>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</si>
  <si>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</si>
  <si>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</si>
  <si>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</si>
  <si>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</si>
  <si>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</si>
  <si>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</si>
  <si>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</si>
  <si>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</si>
  <si>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</si>
  <si>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</si>
  <si>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</si>
  <si>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</si>
  <si>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</si>
  <si>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</si>
  <si>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</si>
  <si>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</si>
  <si>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</si>
  <si>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</si>
  <si>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</si>
  <si>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</si>
  <si>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</si>
  <si>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</si>
  <si>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</si>
  <si>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</si>
  <si>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</si>
  <si>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</si>
  <si>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</si>
  <si>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</si>
  <si>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</si>
  <si>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</si>
  <si>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</si>
  <si>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</si>
  <si>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</si>
  <si>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</si>
  <si>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</si>
  <si>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</si>
  <si>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</si>
  <si>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</si>
  <si>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s5p5v5_d</t>
  </si>
  <si>
    <t>ts_annual</t>
  </si>
  <si>
    <t>d9d</t>
  </si>
  <si>
    <t>c15d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</si>
  <si>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</si>
  <si>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</si>
  <si>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</si>
  <si>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</si>
  <si>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</si>
  <si>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</si>
  <si>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</si>
  <si>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</si>
  <si>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</si>
  <si>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</si>
  <si>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</si>
  <si>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*ccs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</si>
  <si>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</si>
  <si>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</si>
  <si>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</si>
  <si>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</si>
  <si>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</si>
  <si>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</si>
  <si>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</si>
  <si>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</si>
  <si>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</si>
  <si>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</si>
  <si>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</si>
  <si>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</si>
  <si>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</si>
  <si>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</si>
  <si>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</si>
  <si>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</si>
  <si>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</si>
  <si>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</si>
  <si>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</si>
  <si>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</si>
  <si>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</si>
  <si>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</si>
  <si>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</si>
  <si>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</si>
  <si>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</si>
  <si>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</si>
  <si>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</si>
  <si>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</si>
  <si>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</si>
  <si>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</si>
  <si>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</si>
  <si>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</si>
  <si>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</si>
  <si>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</si>
  <si>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</si>
  <si>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</si>
  <si>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</si>
  <si>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</si>
  <si>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</si>
  <si>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</si>
  <si>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</si>
  <si>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</si>
  <si>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</si>
  <si>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</si>
  <si>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</si>
  <si>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</si>
  <si>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</si>
  <si>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</si>
  <si>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</si>
  <si>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</si>
  <si>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</si>
  <si>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</si>
  <si>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</si>
  <si>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</si>
  <si>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</si>
  <si>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</si>
  <si>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</si>
  <si>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</si>
  <si>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</si>
  <si>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</si>
  <si>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</si>
  <si>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</si>
  <si>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</si>
  <si>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</si>
  <si>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d 1.5 deg OS.g64</t>
  </si>
  <si>
    <t>c 2 deg (67%).g64</t>
  </si>
  <si>
    <t>b 2 deg (50%).g64</t>
  </si>
  <si>
    <t>a 3 deg.g64</t>
  </si>
  <si>
    <t>e 1.5 deg no OS.f96p10</t>
  </si>
  <si>
    <t>d 1.5 deg OS.f96p10</t>
  </si>
  <si>
    <t>c 2 deg (67%).f96p10</t>
  </si>
  <si>
    <t>b 2 deg (50%).f96p10</t>
  </si>
  <si>
    <t>a 3 deg.f96p10</t>
  </si>
  <si>
    <t>e 1.5 deg no OS.f96p90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</si>
  <si>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</si>
  <si>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</si>
  <si>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</si>
  <si>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</si>
  <si>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</si>
  <si>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</si>
  <si>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</si>
  <si>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</si>
  <si>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</si>
  <si>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</si>
  <si>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</si>
  <si>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</si>
  <si>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</si>
  <si>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</si>
  <si>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</si>
  <si>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</si>
  <si>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</si>
  <si>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</si>
  <si>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</si>
  <si>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kAnn</t>
  </si>
  <si>
    <t>k12</t>
  </si>
  <si>
    <t>j12</t>
  </si>
  <si>
    <t>h48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</si>
  <si>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</si>
  <si>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</si>
  <si>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</si>
  <si>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</si>
  <si>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</si>
  <si>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</si>
  <si>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</si>
  <si>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</si>
  <si>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</si>
  <si>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</si>
  <si>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</si>
  <si>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</si>
  <si>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</si>
  <si>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</si>
  <si>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</si>
  <si>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</si>
  <si>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</si>
  <si>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</si>
  <si>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</si>
  <si>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</si>
  <si>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</si>
  <si>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</si>
  <si>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</si>
  <si>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</si>
  <si>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</si>
  <si>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</si>
  <si>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</si>
  <si>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</si>
  <si>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</si>
  <si>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</si>
  <si>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</si>
  <si>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</si>
  <si>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</si>
  <si>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</si>
  <si>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</si>
  <si>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</si>
  <si>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</si>
  <si>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</si>
  <si>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</si>
  <si>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</si>
  <si>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</si>
  <si>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</si>
  <si>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</si>
  <si>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</si>
  <si>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</si>
  <si>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</si>
  <si>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</si>
  <si>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</si>
  <si>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</si>
  <si>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</si>
  <si>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</si>
  <si>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</si>
  <si>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</si>
  <si>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</si>
  <si>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</si>
  <si>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</si>
  <si>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</si>
  <si>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</si>
  <si>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</si>
  <si>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</si>
  <si>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</si>
  <si>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</si>
  <si>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</si>
  <si>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</si>
  <si>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</si>
  <si>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</si>
  <si>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</si>
  <si>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</si>
  <si>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</si>
  <si>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</si>
  <si>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</si>
  <si>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</si>
  <si>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</si>
  <si>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</si>
  <si>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</si>
  <si>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</si>
  <si>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</si>
  <si>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</si>
  <si>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</si>
  <si>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</si>
  <si>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</si>
  <si>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</si>
  <si>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</si>
  <si>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</si>
  <si>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</si>
  <si>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</si>
  <si>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</si>
  <si>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</si>
  <si>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</si>
  <si>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</si>
  <si>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</si>
  <si>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</si>
  <si>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</si>
  <si>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</si>
  <si>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</si>
  <si>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</si>
  <si>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</si>
  <si>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</si>
  <si>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</si>
  <si>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</si>
  <si>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</si>
  <si>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</si>
  <si>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</si>
  <si>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</si>
  <si>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</si>
  <si>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</si>
  <si>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</si>
  <si>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e 1.5 deg no OS.f96p50</t>
  </si>
  <si>
    <t>d 1.5 deg OS.f96p50</t>
  </si>
  <si>
    <t>c 2 deg (67%).f96p50</t>
  </si>
  <si>
    <t>b 2 deg (50%).f96p50</t>
  </si>
  <si>
    <t>a 3 deg.f96p50</t>
  </si>
  <si>
    <t>s1v1_d</t>
  </si>
  <si>
    <t>ts_030</t>
  </si>
  <si>
    <t>ts_048P10</t>
  </si>
  <si>
    <t>ts_048P90</t>
  </si>
  <si>
    <t>s1_d</t>
  </si>
  <si>
    <t>ts_096</t>
  </si>
  <si>
    <t>i30</t>
  </si>
  <si>
    <t>h48P10</t>
  </si>
  <si>
    <t>h48P90</t>
  </si>
  <si>
    <t>g1d72</t>
  </si>
  <si>
    <t>f2d96</t>
  </si>
  <si>
    <t>e96</t>
  </si>
  <si>
    <t>val</t>
  </si>
  <si>
    <t>varbl</t>
  </si>
  <si>
    <t>model</t>
  </si>
  <si>
    <t>region</t>
  </si>
  <si>
    <t>History</t>
  </si>
  <si>
    <t>EMBER</t>
  </si>
  <si>
    <t>CHN</t>
  </si>
  <si>
    <t>IRENA</t>
  </si>
  <si>
    <t>Export</t>
  </si>
  <si>
    <t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</si>
</sst>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65"/>
  <sheetViews>
    <sheetView tabSelected="1" zoomScaleNormal="100" workbookViewId="0">
      <selection activeCell="B1" sqref="B1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228</v>
      </c>
      <c r="J2" t="s">
        <v>117</v>
      </c>
    </row>
    <row r="4" spans="2:24">
      <c r="B4" t="s">
        <v>57</v>
      </c>
      <c r="H4" t="s">
        <v>58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261</v>
      </c>
      <c r="O5" t="s">
        <v>262</v>
      </c>
      <c r="P5" t="s">
        <v>263</v>
      </c>
      <c r="Q5" t="s">
        <v>117</v>
      </c>
      <c r="R5" t="s">
        <v>264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218</v>
      </c>
      <c r="N6">
        <v>5</v>
      </c>
      <c r="O6" t="s">
        <v>265</v>
      </c>
      <c r="P6">
        <v>1</v>
      </c>
      <c r="Q6" t="s">
        <v>215</v>
      </c>
      <c r="R6" t="s">
        <v>250</v>
      </c>
      <c r="T6" t="s">
        <v>215</v>
      </c>
      <c r="U6" t="s">
        <v>323</v>
      </c>
      <c r="W6" t="s">
        <v>250</v>
      </c>
      <c r="X6" t="s">
        <v>226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219</v>
      </c>
      <c r="N7">
        <v>5</v>
      </c>
      <c r="O7" t="s">
        <v>266</v>
      </c>
      <c r="P7">
        <v>2</v>
      </c>
      <c r="Q7" t="s">
        <v>215</v>
      </c>
      <c r="R7" t="s">
        <v>251</v>
      </c>
      <c r="T7" t="s">
        <v>271</v>
      </c>
      <c r="U7" t="s">
        <v>324</v>
      </c>
      <c r="W7" t="s">
        <v>251</v>
      </c>
      <c r="X7" t="s">
        <v>225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220</v>
      </c>
      <c r="N8">
        <v>5</v>
      </c>
      <c r="O8" t="s">
        <v>267</v>
      </c>
      <c r="P8">
        <v>3</v>
      </c>
      <c r="Q8" t="s">
        <v>215</v>
      </c>
      <c r="R8" t="s">
        <v>252</v>
      </c>
      <c r="T8" t="s">
        <v>277</v>
      </c>
      <c r="U8" t="s">
        <v>325</v>
      </c>
      <c r="W8" t="s">
        <v>252</v>
      </c>
      <c r="X8" t="s">
        <v>224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221</v>
      </c>
      <c r="N9">
        <v>5</v>
      </c>
      <c r="O9" t="s">
        <v>268</v>
      </c>
      <c r="P9">
        <v>4</v>
      </c>
      <c r="Q9" t="s">
        <v>215</v>
      </c>
      <c r="R9" t="s">
        <v>253</v>
      </c>
      <c r="T9" t="s">
        <v>440</v>
      </c>
      <c r="U9" t="s">
        <v>445</v>
      </c>
      <c r="W9" t="s">
        <v>253</v>
      </c>
      <c r="X9" t="s">
        <v>223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222</v>
      </c>
      <c r="N10">
        <v>5</v>
      </c>
      <c r="O10" t="s">
        <v>269</v>
      </c>
      <c r="P10">
        <v>5</v>
      </c>
      <c r="Q10" t="s">
        <v>215</v>
      </c>
      <c r="R10" t="s">
        <v>254</v>
      </c>
      <c r="T10" t="s">
        <v>288</v>
      </c>
      <c r="U10" t="s">
        <v>326</v>
      </c>
      <c r="W10" t="s">
        <v>254</v>
      </c>
      <c r="X10" t="s">
        <v>227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270</v>
      </c>
      <c r="P11">
        <v>6</v>
      </c>
      <c r="Q11" t="s">
        <v>271</v>
      </c>
      <c r="R11" t="s">
        <v>250</v>
      </c>
      <c r="T11" t="s">
        <v>441</v>
      </c>
      <c r="U11" t="s">
        <v>446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272</v>
      </c>
      <c r="P12">
        <v>7</v>
      </c>
      <c r="Q12" t="s">
        <v>271</v>
      </c>
      <c r="R12" t="s">
        <v>251</v>
      </c>
      <c r="T12" t="s">
        <v>442</v>
      </c>
      <c r="U12" t="s">
        <v>447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273</v>
      </c>
      <c r="P13">
        <v>8</v>
      </c>
      <c r="Q13" t="s">
        <v>271</v>
      </c>
      <c r="R13" t="s">
        <v>252</v>
      </c>
      <c r="T13" t="s">
        <v>443</v>
      </c>
      <c r="U13" t="s">
        <v>448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274</v>
      </c>
      <c r="P14">
        <v>9</v>
      </c>
      <c r="Q14" t="s">
        <v>271</v>
      </c>
      <c r="R14" t="s">
        <v>253</v>
      </c>
      <c r="T14" t="s">
        <v>439</v>
      </c>
      <c r="U14" t="s">
        <v>449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275</v>
      </c>
      <c r="P15">
        <v>10</v>
      </c>
      <c r="Q15" t="s">
        <v>271</v>
      </c>
      <c r="R15" t="s">
        <v>254</v>
      </c>
      <c r="T15" t="s">
        <v>444</v>
      </c>
      <c r="U15" t="s">
        <v>450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276</v>
      </c>
      <c r="P16">
        <v>11</v>
      </c>
      <c r="Q16" t="s">
        <v>277</v>
      </c>
      <c r="R16" t="s">
        <v>250</v>
      </c>
      <c r="T16" t="s">
        <v>213</v>
      </c>
      <c r="U16" t="s">
        <v>216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278</v>
      </c>
      <c r="P17">
        <v>12</v>
      </c>
      <c r="Q17" t="s">
        <v>277</v>
      </c>
      <c r="R17" t="s">
        <v>251</v>
      </c>
      <c r="T17" t="s">
        <v>214</v>
      </c>
      <c r="U17" t="s">
        <v>217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279</v>
      </c>
      <c r="P18">
        <v>13</v>
      </c>
      <c r="Q18" t="s">
        <v>277</v>
      </c>
      <c r="R18" t="s">
        <v>252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280</v>
      </c>
      <c r="P19">
        <v>14</v>
      </c>
      <c r="Q19" t="s">
        <v>277</v>
      </c>
      <c r="R19" t="s">
        <v>253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281</v>
      </c>
      <c r="P20">
        <v>15</v>
      </c>
      <c r="Q20" t="s">
        <v>277</v>
      </c>
      <c r="R20" t="s">
        <v>254</v>
      </c>
    </row>
    <row r="21" spans="2:21">
      <c r="B21" t="str">
        <f t="shared" si="0"/>
        <v>vs~0016</v>
      </c>
      <c r="C21" t="str">
        <f t="shared" si="1"/>
        <v>e 1.5 deg no OS.i30</v>
      </c>
      <c r="H21" t="str">
        <f t="shared" si="2"/>
        <v>e 1.5 deg no OS.i30</v>
      </c>
      <c r="I21" t="str">
        <f t="shared" si="3"/>
        <v>e 1.5 deg no OS</v>
      </c>
      <c r="J21" t="str">
        <f t="shared" si="4"/>
        <v>i30</v>
      </c>
      <c r="N21">
        <v>5</v>
      </c>
      <c r="O21" t="s">
        <v>282</v>
      </c>
      <c r="P21">
        <v>16</v>
      </c>
      <c r="Q21" t="s">
        <v>440</v>
      </c>
      <c r="R21" t="s">
        <v>250</v>
      </c>
    </row>
    <row r="22" spans="2:21">
      <c r="B22" t="str">
        <f t="shared" si="0"/>
        <v>vs~0017</v>
      </c>
      <c r="C22" t="str">
        <f t="shared" si="1"/>
        <v>d 1.5 deg OS.i30</v>
      </c>
      <c r="H22" t="str">
        <f t="shared" si="2"/>
        <v>d 1.5 deg OS.i30</v>
      </c>
      <c r="I22" t="str">
        <f t="shared" si="3"/>
        <v>d 1.5 deg OS</v>
      </c>
      <c r="J22" t="str">
        <f t="shared" si="4"/>
        <v>i30</v>
      </c>
      <c r="N22">
        <v>5</v>
      </c>
      <c r="O22" t="s">
        <v>283</v>
      </c>
      <c r="P22">
        <v>17</v>
      </c>
      <c r="Q22" t="s">
        <v>440</v>
      </c>
      <c r="R22" t="s">
        <v>251</v>
      </c>
    </row>
    <row r="23" spans="2:21">
      <c r="B23" t="str">
        <f t="shared" si="0"/>
        <v>vs~0018</v>
      </c>
      <c r="C23" t="str">
        <f t="shared" si="1"/>
        <v>c 2 deg (67%).i30</v>
      </c>
      <c r="H23" t="str">
        <f t="shared" si="2"/>
        <v>c 2 deg (67%).i30</v>
      </c>
      <c r="I23" t="str">
        <f t="shared" si="3"/>
        <v>c 2 deg (67%)</v>
      </c>
      <c r="J23" t="str">
        <f t="shared" si="4"/>
        <v>i30</v>
      </c>
      <c r="N23">
        <v>5</v>
      </c>
      <c r="O23" t="s">
        <v>284</v>
      </c>
      <c r="P23">
        <v>18</v>
      </c>
      <c r="Q23" t="s">
        <v>440</v>
      </c>
      <c r="R23" t="s">
        <v>252</v>
      </c>
    </row>
    <row r="24" spans="2:21">
      <c r="B24" t="str">
        <f t="shared" si="0"/>
        <v>vs~0019</v>
      </c>
      <c r="C24" t="str">
        <f t="shared" si="1"/>
        <v>b 2 deg (50%).i30</v>
      </c>
      <c r="H24" t="str">
        <f t="shared" si="2"/>
        <v>b 2 deg (50%).i30</v>
      </c>
      <c r="I24" t="str">
        <f t="shared" si="3"/>
        <v>b 2 deg (50%)</v>
      </c>
      <c r="J24" t="str">
        <f t="shared" si="4"/>
        <v>i30</v>
      </c>
      <c r="N24">
        <v>5</v>
      </c>
      <c r="O24" t="s">
        <v>285</v>
      </c>
      <c r="P24">
        <v>19</v>
      </c>
      <c r="Q24" t="s">
        <v>440</v>
      </c>
      <c r="R24" t="s">
        <v>253</v>
      </c>
    </row>
    <row r="25" spans="2:21">
      <c r="B25" t="str">
        <f t="shared" si="0"/>
        <v>vs~0020</v>
      </c>
      <c r="C25" t="str">
        <f t="shared" si="1"/>
        <v>a 3 deg.i30</v>
      </c>
      <c r="H25" t="str">
        <f t="shared" si="2"/>
        <v>a 3 deg.i30</v>
      </c>
      <c r="I25" t="str">
        <f t="shared" si="3"/>
        <v>a 3 deg</v>
      </c>
      <c r="J25" t="str">
        <f t="shared" si="4"/>
        <v>i30</v>
      </c>
      <c r="N25">
        <v>5</v>
      </c>
      <c r="O25" t="s">
        <v>286</v>
      </c>
      <c r="P25">
        <v>20</v>
      </c>
      <c r="Q25" t="s">
        <v>440</v>
      </c>
      <c r="R25" t="s">
        <v>254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287</v>
      </c>
      <c r="P26">
        <v>21</v>
      </c>
      <c r="Q26" t="s">
        <v>288</v>
      </c>
      <c r="R26" t="s">
        <v>250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289</v>
      </c>
      <c r="P27">
        <v>22</v>
      </c>
      <c r="Q27" t="s">
        <v>288</v>
      </c>
      <c r="R27" t="s">
        <v>251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290</v>
      </c>
      <c r="P28">
        <v>23</v>
      </c>
      <c r="Q28" t="s">
        <v>288</v>
      </c>
      <c r="R28" t="s">
        <v>252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291</v>
      </c>
      <c r="P29">
        <v>24</v>
      </c>
      <c r="Q29" t="s">
        <v>288</v>
      </c>
      <c r="R29" t="s">
        <v>253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292</v>
      </c>
      <c r="P30">
        <v>25</v>
      </c>
      <c r="Q30" t="s">
        <v>288</v>
      </c>
      <c r="R30" t="s">
        <v>254</v>
      </c>
    </row>
    <row r="31" spans="2:21">
      <c r="B31" t="str">
        <f t="shared" si="0"/>
        <v>vs~0026</v>
      </c>
      <c r="C31" t="str">
        <f t="shared" si="5"/>
        <v>e 1.5 deg no OS.h48P10</v>
      </c>
      <c r="H31" t="str">
        <f t="shared" si="2"/>
        <v>e 1.5 deg no OS.h48P10</v>
      </c>
      <c r="I31" t="str">
        <f t="shared" si="3"/>
        <v>e 1.5 deg no OS</v>
      </c>
      <c r="J31" t="str">
        <f t="shared" si="4"/>
        <v>h48P10</v>
      </c>
      <c r="N31">
        <v>5</v>
      </c>
      <c r="O31" t="s">
        <v>293</v>
      </c>
      <c r="P31">
        <v>26</v>
      </c>
      <c r="Q31" t="s">
        <v>441</v>
      </c>
      <c r="R31" t="s">
        <v>250</v>
      </c>
    </row>
    <row r="32" spans="2:21">
      <c r="B32" t="str">
        <f t="shared" si="0"/>
        <v>vs~0027</v>
      </c>
      <c r="C32" t="str">
        <f t="shared" si="5"/>
        <v>d 1.5 deg OS.h48P10</v>
      </c>
      <c r="H32" t="str">
        <f t="shared" si="2"/>
        <v>d 1.5 deg OS.h48P10</v>
      </c>
      <c r="I32" t="str">
        <f t="shared" si="3"/>
        <v>d 1.5 deg OS</v>
      </c>
      <c r="J32" t="str">
        <f t="shared" si="4"/>
        <v>h48P10</v>
      </c>
      <c r="N32">
        <v>5</v>
      </c>
      <c r="O32" t="s">
        <v>294</v>
      </c>
      <c r="P32">
        <v>27</v>
      </c>
      <c r="Q32" t="s">
        <v>441</v>
      </c>
      <c r="R32" t="s">
        <v>251</v>
      </c>
    </row>
    <row r="33" spans="2:18">
      <c r="B33" t="str">
        <f t="shared" si="0"/>
        <v>vs~0028</v>
      </c>
      <c r="C33" t="str">
        <f t="shared" si="5"/>
        <v>c 2 deg (67%).h48P10</v>
      </c>
      <c r="H33" t="str">
        <f t="shared" si="2"/>
        <v>c 2 deg (67%).h48P10</v>
      </c>
      <c r="I33" t="str">
        <f t="shared" si="3"/>
        <v>c 2 deg (67%)</v>
      </c>
      <c r="J33" t="str">
        <f t="shared" si="4"/>
        <v>h48P10</v>
      </c>
      <c r="N33">
        <v>5</v>
      </c>
      <c r="O33" t="s">
        <v>295</v>
      </c>
      <c r="P33">
        <v>28</v>
      </c>
      <c r="Q33" t="s">
        <v>441</v>
      </c>
      <c r="R33" t="s">
        <v>252</v>
      </c>
    </row>
    <row r="34" spans="2:18">
      <c r="B34" t="str">
        <f t="shared" si="0"/>
        <v>vs~0029</v>
      </c>
      <c r="C34" t="str">
        <f t="shared" si="5"/>
        <v>b 2 deg (50%).h48P10</v>
      </c>
      <c r="H34" t="str">
        <f t="shared" si="2"/>
        <v>b 2 deg (50%).h48P10</v>
      </c>
      <c r="I34" t="str">
        <f t="shared" si="3"/>
        <v>b 2 deg (50%)</v>
      </c>
      <c r="J34" t="str">
        <f t="shared" si="4"/>
        <v>h48P10</v>
      </c>
      <c r="N34">
        <v>5</v>
      </c>
      <c r="O34" t="s">
        <v>296</v>
      </c>
      <c r="P34">
        <v>29</v>
      </c>
      <c r="Q34" t="s">
        <v>441</v>
      </c>
      <c r="R34" t="s">
        <v>253</v>
      </c>
    </row>
    <row r="35" spans="2:18">
      <c r="B35" t="str">
        <f t="shared" si="0"/>
        <v>vs~0030</v>
      </c>
      <c r="C35" t="str">
        <f t="shared" si="5"/>
        <v>a 3 deg.h48P10</v>
      </c>
      <c r="H35" t="str">
        <f t="shared" si="2"/>
        <v>a 3 deg.h48P10</v>
      </c>
      <c r="I35" t="str">
        <f t="shared" si="3"/>
        <v>a 3 deg</v>
      </c>
      <c r="J35" t="str">
        <f t="shared" si="4"/>
        <v>h48P10</v>
      </c>
      <c r="N35">
        <v>5</v>
      </c>
      <c r="O35" t="s">
        <v>297</v>
      </c>
      <c r="P35">
        <v>30</v>
      </c>
      <c r="Q35" t="s">
        <v>441</v>
      </c>
      <c r="R35" t="s">
        <v>254</v>
      </c>
    </row>
    <row r="36" spans="2:18">
      <c r="B36" t="str">
        <f t="shared" si="0"/>
        <v>vs~0031</v>
      </c>
      <c r="C36" t="str">
        <f t="shared" si="5"/>
        <v>e 1.5 deg no OS.h48P90</v>
      </c>
      <c r="H36" t="str">
        <f t="shared" si="2"/>
        <v>e 1.5 deg no OS.h48P90</v>
      </c>
      <c r="I36" t="str">
        <f t="shared" si="3"/>
        <v>e 1.5 deg no OS</v>
      </c>
      <c r="J36" t="str">
        <f t="shared" si="4"/>
        <v>h48P90</v>
      </c>
      <c r="N36">
        <v>5</v>
      </c>
      <c r="O36" t="s">
        <v>434</v>
      </c>
      <c r="P36">
        <v>31</v>
      </c>
      <c r="Q36" t="s">
        <v>442</v>
      </c>
      <c r="R36" t="s">
        <v>250</v>
      </c>
    </row>
    <row r="37" spans="2:18">
      <c r="B37" t="str">
        <f t="shared" si="0"/>
        <v>vs~0032</v>
      </c>
      <c r="C37" t="str">
        <f t="shared" si="5"/>
        <v>d 1.5 deg OS.h48P90</v>
      </c>
      <c r="H37" t="str">
        <f t="shared" si="2"/>
        <v>d 1.5 deg OS.h48P90</v>
      </c>
      <c r="I37" t="str">
        <f t="shared" si="3"/>
        <v>d 1.5 deg OS</v>
      </c>
      <c r="J37" t="str">
        <f t="shared" si="4"/>
        <v>h48P90</v>
      </c>
      <c r="N37">
        <v>5</v>
      </c>
      <c r="O37" t="s">
        <v>435</v>
      </c>
      <c r="P37">
        <v>32</v>
      </c>
      <c r="Q37" t="s">
        <v>442</v>
      </c>
      <c r="R37" t="s">
        <v>251</v>
      </c>
    </row>
    <row r="38" spans="2:18">
      <c r="B38" t="str">
        <f t="shared" si="0"/>
        <v>vs~0033</v>
      </c>
      <c r="C38" t="str">
        <f t="shared" si="5"/>
        <v>c 2 deg (67%).h48P90</v>
      </c>
      <c r="H38" t="str">
        <f t="shared" si="2"/>
        <v>c 2 deg (67%).h48P90</v>
      </c>
      <c r="I38" t="str">
        <f t="shared" si="3"/>
        <v>c 2 deg (67%)</v>
      </c>
      <c r="J38" t="str">
        <f t="shared" si="4"/>
        <v>h48P90</v>
      </c>
      <c r="N38">
        <v>5</v>
      </c>
      <c r="O38" t="s">
        <v>436</v>
      </c>
      <c r="P38">
        <v>33</v>
      </c>
      <c r="Q38" t="s">
        <v>442</v>
      </c>
      <c r="R38" t="s">
        <v>252</v>
      </c>
    </row>
    <row r="39" spans="2:18">
      <c r="B39" t="str">
        <f t="shared" si="0"/>
        <v>vs~0034</v>
      </c>
      <c r="C39" t="str">
        <f t="shared" si="5"/>
        <v>b 2 deg (50%).h48P90</v>
      </c>
      <c r="H39" t="str">
        <f t="shared" si="2"/>
        <v>b 2 deg (50%).h48P90</v>
      </c>
      <c r="I39" t="str">
        <f t="shared" si="3"/>
        <v>b 2 deg (50%)</v>
      </c>
      <c r="J39" t="str">
        <f t="shared" si="4"/>
        <v>h48P90</v>
      </c>
      <c r="N39">
        <v>5</v>
      </c>
      <c r="O39" t="s">
        <v>437</v>
      </c>
      <c r="P39">
        <v>34</v>
      </c>
      <c r="Q39" t="s">
        <v>442</v>
      </c>
      <c r="R39" t="s">
        <v>253</v>
      </c>
    </row>
    <row r="40" spans="2:18">
      <c r="B40" t="str">
        <f t="shared" si="0"/>
        <v>vs~0035</v>
      </c>
      <c r="C40" t="str">
        <f t="shared" si="5"/>
        <v>a 3 deg.h48P90</v>
      </c>
      <c r="H40" t="str">
        <f t="shared" si="2"/>
        <v>a 3 deg.h48P90</v>
      </c>
      <c r="I40" t="str">
        <f t="shared" si="3"/>
        <v>a 3 deg</v>
      </c>
      <c r="J40" t="str">
        <f t="shared" si="4"/>
        <v>h48P90</v>
      </c>
      <c r="N40">
        <v>5</v>
      </c>
      <c r="O40" t="s">
        <v>438</v>
      </c>
      <c r="P40">
        <v>35</v>
      </c>
      <c r="Q40" t="s">
        <v>442</v>
      </c>
      <c r="R40" t="s">
        <v>254</v>
      </c>
    </row>
    <row r="41" spans="2:18">
      <c r="B41" t="str">
        <f t="shared" si="0"/>
        <v>vs~0036</v>
      </c>
      <c r="C41" t="str">
        <f t="shared" ref="C41:C55" si="6">H41</f>
        <v>e 1.5 deg no OS.g1d72</v>
      </c>
      <c r="H41" t="str">
        <f t="shared" si="2"/>
        <v>e 1.5 deg no OS.g1d72</v>
      </c>
      <c r="I41" t="str">
        <f t="shared" si="3"/>
        <v>e 1.5 deg no OS</v>
      </c>
      <c r="J41" t="str">
        <f t="shared" si="4"/>
        <v>g1d72</v>
      </c>
      <c r="N41">
        <v>5</v>
      </c>
      <c r="O41" t="s">
        <v>298</v>
      </c>
      <c r="P41">
        <v>36</v>
      </c>
      <c r="Q41" t="s">
        <v>443</v>
      </c>
      <c r="R41" t="s">
        <v>250</v>
      </c>
    </row>
    <row r="42" spans="2:18">
      <c r="B42" t="str">
        <f t="shared" si="0"/>
        <v>vs~0037</v>
      </c>
      <c r="C42" t="str">
        <f t="shared" si="6"/>
        <v>d 1.5 deg OS.g1d72</v>
      </c>
      <c r="H42" t="str">
        <f t="shared" si="2"/>
        <v>d 1.5 deg OS.g1d72</v>
      </c>
      <c r="I42" t="str">
        <f t="shared" si="3"/>
        <v>d 1.5 deg OS</v>
      </c>
      <c r="J42" t="str">
        <f t="shared" si="4"/>
        <v>g1d72</v>
      </c>
      <c r="N42">
        <v>5</v>
      </c>
      <c r="O42" t="s">
        <v>299</v>
      </c>
      <c r="P42">
        <v>37</v>
      </c>
      <c r="Q42" t="s">
        <v>443</v>
      </c>
      <c r="R42" t="s">
        <v>251</v>
      </c>
    </row>
    <row r="43" spans="2:18">
      <c r="B43" t="str">
        <f t="shared" si="0"/>
        <v>vs~0038</v>
      </c>
      <c r="C43" t="str">
        <f t="shared" si="6"/>
        <v>c 2 deg (67%).g1d72</v>
      </c>
      <c r="H43" t="str">
        <f t="shared" si="2"/>
        <v>c 2 deg (67%).g1d72</v>
      </c>
      <c r="I43" t="str">
        <f t="shared" si="3"/>
        <v>c 2 deg (67%)</v>
      </c>
      <c r="J43" t="str">
        <f t="shared" si="4"/>
        <v>g1d72</v>
      </c>
      <c r="N43">
        <v>5</v>
      </c>
      <c r="O43" t="s">
        <v>300</v>
      </c>
      <c r="P43">
        <v>38</v>
      </c>
      <c r="Q43" t="s">
        <v>443</v>
      </c>
      <c r="R43" t="s">
        <v>252</v>
      </c>
    </row>
    <row r="44" spans="2:18">
      <c r="B44" t="str">
        <f t="shared" si="0"/>
        <v>vs~0039</v>
      </c>
      <c r="C44" t="str">
        <f t="shared" si="6"/>
        <v>b 2 deg (50%).g1d72</v>
      </c>
      <c r="H44" t="str">
        <f t="shared" si="2"/>
        <v>b 2 deg (50%).g1d72</v>
      </c>
      <c r="I44" t="str">
        <f t="shared" si="3"/>
        <v>b 2 deg (50%)</v>
      </c>
      <c r="J44" t="str">
        <f t="shared" si="4"/>
        <v>g1d72</v>
      </c>
      <c r="N44">
        <v>5</v>
      </c>
      <c r="O44" t="s">
        <v>301</v>
      </c>
      <c r="P44">
        <v>39</v>
      </c>
      <c r="Q44" t="s">
        <v>443</v>
      </c>
      <c r="R44" t="s">
        <v>253</v>
      </c>
    </row>
    <row r="45" spans="2:18">
      <c r="B45" t="str">
        <f t="shared" si="0"/>
        <v>vs~0040</v>
      </c>
      <c r="C45" t="str">
        <f t="shared" si="6"/>
        <v>a 3 deg.g1d72</v>
      </c>
      <c r="H45" t="str">
        <f t="shared" si="2"/>
        <v>a 3 deg.g1d72</v>
      </c>
      <c r="I45" t="str">
        <f t="shared" si="3"/>
        <v>a 3 deg</v>
      </c>
      <c r="J45" t="str">
        <f t="shared" si="4"/>
        <v>g1d72</v>
      </c>
      <c r="N45">
        <v>5</v>
      </c>
      <c r="O45" t="s">
        <v>302</v>
      </c>
      <c r="P45">
        <v>40</v>
      </c>
      <c r="Q45" t="s">
        <v>443</v>
      </c>
      <c r="R45" t="s">
        <v>254</v>
      </c>
    </row>
    <row r="46" spans="2:18">
      <c r="B46" t="str">
        <f t="shared" si="0"/>
        <v>vs~0041</v>
      </c>
      <c r="C46" t="str">
        <f t="shared" si="6"/>
        <v>e 1.5 deg no OS.f2d96</v>
      </c>
      <c r="H46" t="str">
        <f t="shared" si="2"/>
        <v>e 1.5 deg no OS.f2d96</v>
      </c>
      <c r="I46" t="str">
        <f t="shared" si="3"/>
        <v>e 1.5 deg no OS</v>
      </c>
      <c r="J46" t="str">
        <f t="shared" si="4"/>
        <v>f2d96</v>
      </c>
      <c r="N46">
        <v>5</v>
      </c>
      <c r="O46" t="s">
        <v>303</v>
      </c>
      <c r="P46">
        <v>41</v>
      </c>
      <c r="Q46" t="s">
        <v>439</v>
      </c>
      <c r="R46" t="s">
        <v>250</v>
      </c>
    </row>
    <row r="47" spans="2:18">
      <c r="B47" t="str">
        <f t="shared" si="0"/>
        <v>vs~0042</v>
      </c>
      <c r="C47" t="str">
        <f t="shared" si="6"/>
        <v>d 1.5 deg OS.f2d96</v>
      </c>
      <c r="H47" t="str">
        <f t="shared" si="2"/>
        <v>d 1.5 deg OS.f2d96</v>
      </c>
      <c r="I47" t="str">
        <f t="shared" si="3"/>
        <v>d 1.5 deg OS</v>
      </c>
      <c r="J47" t="str">
        <f t="shared" si="4"/>
        <v>f2d96</v>
      </c>
      <c r="N47">
        <v>5</v>
      </c>
      <c r="O47" t="s">
        <v>304</v>
      </c>
      <c r="P47">
        <v>42</v>
      </c>
      <c r="Q47" t="s">
        <v>439</v>
      </c>
      <c r="R47" t="s">
        <v>251</v>
      </c>
    </row>
    <row r="48" spans="2:18">
      <c r="B48" t="str">
        <f t="shared" si="0"/>
        <v>vs~0043</v>
      </c>
      <c r="C48" t="str">
        <f t="shared" si="6"/>
        <v>c 2 deg (67%).f2d96</v>
      </c>
      <c r="H48" t="str">
        <f t="shared" si="2"/>
        <v>c 2 deg (67%).f2d96</v>
      </c>
      <c r="I48" t="str">
        <f t="shared" si="3"/>
        <v>c 2 deg (67%)</v>
      </c>
      <c r="J48" t="str">
        <f t="shared" si="4"/>
        <v>f2d96</v>
      </c>
      <c r="N48">
        <v>5</v>
      </c>
      <c r="O48" t="s">
        <v>305</v>
      </c>
      <c r="P48">
        <v>43</v>
      </c>
      <c r="Q48" t="s">
        <v>439</v>
      </c>
      <c r="R48" t="s">
        <v>252</v>
      </c>
    </row>
    <row r="49" spans="2:18">
      <c r="B49" t="str">
        <f t="shared" si="0"/>
        <v>vs~0044</v>
      </c>
      <c r="C49" t="str">
        <f t="shared" si="6"/>
        <v>b 2 deg (50%).f2d96</v>
      </c>
      <c r="H49" t="str">
        <f t="shared" si="2"/>
        <v>b 2 deg (50%).f2d96</v>
      </c>
      <c r="I49" t="str">
        <f t="shared" si="3"/>
        <v>b 2 deg (50%)</v>
      </c>
      <c r="J49" t="str">
        <f t="shared" si="4"/>
        <v>f2d96</v>
      </c>
      <c r="N49">
        <v>5</v>
      </c>
      <c r="O49" t="s">
        <v>306</v>
      </c>
      <c r="P49">
        <v>44</v>
      </c>
      <c r="Q49" t="s">
        <v>439</v>
      </c>
      <c r="R49" t="s">
        <v>253</v>
      </c>
    </row>
    <row r="50" spans="2:18">
      <c r="B50" t="str">
        <f t="shared" si="0"/>
        <v>vs~0045</v>
      </c>
      <c r="C50" t="str">
        <f t="shared" si="6"/>
        <v>a 3 deg.f2d96</v>
      </c>
      <c r="H50" t="str">
        <f t="shared" si="2"/>
        <v>a 3 deg.f2d96</v>
      </c>
      <c r="I50" t="str">
        <f t="shared" si="3"/>
        <v>a 3 deg</v>
      </c>
      <c r="J50" t="str">
        <f t="shared" si="4"/>
        <v>f2d96</v>
      </c>
      <c r="N50">
        <v>5</v>
      </c>
      <c r="O50" t="s">
        <v>307</v>
      </c>
      <c r="P50">
        <v>45</v>
      </c>
      <c r="Q50" t="s">
        <v>439</v>
      </c>
      <c r="R50" t="s">
        <v>254</v>
      </c>
    </row>
    <row r="51" spans="2:18">
      <c r="B51" t="str">
        <f t="shared" si="0"/>
        <v>vs~0046</v>
      </c>
      <c r="C51" t="str">
        <f t="shared" si="6"/>
        <v>e 1.5 deg no OS.e96</v>
      </c>
      <c r="H51" t="str">
        <f t="shared" si="2"/>
        <v>e 1.5 deg no OS.e96</v>
      </c>
      <c r="I51" t="str">
        <f t="shared" si="3"/>
        <v>e 1.5 deg no OS</v>
      </c>
      <c r="J51" t="str">
        <f t="shared" si="4"/>
        <v>e96</v>
      </c>
      <c r="N51">
        <v>5</v>
      </c>
      <c r="O51" t="s">
        <v>308</v>
      </c>
      <c r="P51">
        <v>46</v>
      </c>
      <c r="Q51" t="s">
        <v>444</v>
      </c>
      <c r="R51" t="s">
        <v>250</v>
      </c>
    </row>
    <row r="52" spans="2:18">
      <c r="B52" t="str">
        <f t="shared" si="0"/>
        <v>vs~0047</v>
      </c>
      <c r="C52" t="str">
        <f t="shared" si="6"/>
        <v>d 1.5 deg OS.e96</v>
      </c>
      <c r="H52" t="str">
        <f t="shared" si="2"/>
        <v>d 1.5 deg OS.e96</v>
      </c>
      <c r="I52" t="str">
        <f t="shared" si="3"/>
        <v>d 1.5 deg OS</v>
      </c>
      <c r="J52" t="str">
        <f t="shared" si="4"/>
        <v>e96</v>
      </c>
      <c r="N52">
        <v>5</v>
      </c>
      <c r="O52" t="s">
        <v>309</v>
      </c>
      <c r="P52">
        <v>47</v>
      </c>
      <c r="Q52" t="s">
        <v>444</v>
      </c>
      <c r="R52" t="s">
        <v>251</v>
      </c>
    </row>
    <row r="53" spans="2:18">
      <c r="B53" t="str">
        <f t="shared" si="0"/>
        <v>vs~0048</v>
      </c>
      <c r="C53" t="str">
        <f t="shared" si="6"/>
        <v>c 2 deg (67%).e96</v>
      </c>
      <c r="H53" t="str">
        <f t="shared" si="2"/>
        <v>c 2 deg (67%).e96</v>
      </c>
      <c r="I53" t="str">
        <f t="shared" si="3"/>
        <v>c 2 deg (67%)</v>
      </c>
      <c r="J53" t="str">
        <f t="shared" si="4"/>
        <v>e96</v>
      </c>
      <c r="N53">
        <v>5</v>
      </c>
      <c r="O53" t="s">
        <v>310</v>
      </c>
      <c r="P53">
        <v>48</v>
      </c>
      <c r="Q53" t="s">
        <v>444</v>
      </c>
      <c r="R53" t="s">
        <v>252</v>
      </c>
    </row>
    <row r="54" spans="2:18">
      <c r="B54" t="str">
        <f t="shared" si="0"/>
        <v>vs~0049</v>
      </c>
      <c r="C54" t="str">
        <f t="shared" si="6"/>
        <v>b 2 deg (50%).e96</v>
      </c>
      <c r="H54" t="str">
        <f t="shared" si="2"/>
        <v>b 2 deg (50%).e96</v>
      </c>
      <c r="I54" t="str">
        <f t="shared" si="3"/>
        <v>b 2 deg (50%)</v>
      </c>
      <c r="J54" t="str">
        <f t="shared" si="4"/>
        <v>e96</v>
      </c>
      <c r="N54">
        <v>5</v>
      </c>
      <c r="O54" t="s">
        <v>311</v>
      </c>
      <c r="P54">
        <v>49</v>
      </c>
      <c r="Q54" t="s">
        <v>444</v>
      </c>
      <c r="R54" t="s">
        <v>253</v>
      </c>
    </row>
    <row r="55" spans="2:18">
      <c r="B55" t="str">
        <f t="shared" si="0"/>
        <v>vs~0050</v>
      </c>
      <c r="C55" t="str">
        <f t="shared" si="6"/>
        <v>a 3 deg.e96</v>
      </c>
      <c r="H55" t="str">
        <f t="shared" si="2"/>
        <v>a 3 deg.e96</v>
      </c>
      <c r="I55" t="str">
        <f t="shared" si="3"/>
        <v>a 3 deg</v>
      </c>
      <c r="J55" t="str">
        <f t="shared" si="4"/>
        <v>e96</v>
      </c>
      <c r="N55">
        <v>5</v>
      </c>
      <c r="O55" t="s">
        <v>312</v>
      </c>
      <c r="P55">
        <v>50</v>
      </c>
      <c r="Q55" t="s">
        <v>444</v>
      </c>
      <c r="R55" t="s">
        <v>254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313</v>
      </c>
      <c r="P56">
        <v>51</v>
      </c>
      <c r="Q56" t="s">
        <v>213</v>
      </c>
      <c r="R56" t="s">
        <v>250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314</v>
      </c>
      <c r="P57">
        <v>52</v>
      </c>
      <c r="Q57" t="s">
        <v>213</v>
      </c>
      <c r="R57" t="s">
        <v>251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315</v>
      </c>
      <c r="P58">
        <v>53</v>
      </c>
      <c r="Q58" t="s">
        <v>213</v>
      </c>
      <c r="R58" t="s">
        <v>252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316</v>
      </c>
      <c r="P59">
        <v>54</v>
      </c>
      <c r="Q59" t="s">
        <v>213</v>
      </c>
      <c r="R59" t="s">
        <v>253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317</v>
      </c>
      <c r="P60">
        <v>55</v>
      </c>
      <c r="Q60" t="s">
        <v>213</v>
      </c>
      <c r="R60" t="s">
        <v>254</v>
      </c>
    </row>
    <row r="61" spans="2:18">
      <c r="B61" t="str">
        <f t="shared" ref="B61:B65" si="8">"vs~"&amp;TEXT(P61,"0000")</f>
        <v>vs~0056</v>
      </c>
      <c r="C61" t="str">
        <f t="shared" ref="C61:C65" si="9">H61</f>
        <v>e 1.5 deg no OS.c15d</v>
      </c>
      <c r="H61" t="str">
        <f t="shared" ref="H61:H65" si="10">_xlfn.TEXTJOIN(".",TRUE,I61:J61)</f>
        <v>e 1.5 deg no OS.c15d</v>
      </c>
      <c r="I61" t="str">
        <f t="shared" ref="I61:I65" si="11">VLOOKUP(R61,$W$6:$X$12,2,FALSE)</f>
        <v>e 1.5 deg no OS</v>
      </c>
      <c r="J61" t="str">
        <f t="shared" ref="J61:J65" si="12">VLOOKUP(Q61,$T$6:$U$20,2,FALSE)</f>
        <v>c15d</v>
      </c>
      <c r="N61">
        <v>5</v>
      </c>
      <c r="O61" t="s">
        <v>318</v>
      </c>
      <c r="P61">
        <v>56</v>
      </c>
      <c r="Q61" t="s">
        <v>214</v>
      </c>
      <c r="R61" t="s">
        <v>250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319</v>
      </c>
      <c r="P62">
        <v>57</v>
      </c>
      <c r="Q62" t="s">
        <v>214</v>
      </c>
      <c r="R62" t="s">
        <v>251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320</v>
      </c>
      <c r="P63">
        <v>58</v>
      </c>
      <c r="Q63" t="s">
        <v>214</v>
      </c>
      <c r="R63" t="s">
        <v>252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321</v>
      </c>
      <c r="P64">
        <v>59</v>
      </c>
      <c r="Q64" t="s">
        <v>214</v>
      </c>
      <c r="R64" t="s">
        <v>253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322</v>
      </c>
      <c r="P65">
        <v>60</v>
      </c>
      <c r="Q65" t="s">
        <v>214</v>
      </c>
      <c r="R65" t="s">
        <v>254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140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140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140</v>
      </c>
      <c r="I5" t="s">
        <v>327</v>
      </c>
      <c r="K5" t="s">
        <v>143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135</v>
      </c>
      <c r="D6" s="2"/>
      <c r="H6" t="s">
        <v>25</v>
      </c>
      <c r="I6" s="2" t="s">
        <v>92</v>
      </c>
      <c r="K6" t="s">
        <v>377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370</v>
      </c>
      <c r="C9" t="s">
        <v>108</v>
      </c>
      <c r="D9" s="2" t="s">
        <v>110</v>
      </c>
      <c r="K9" t="s">
        <v>257</v>
      </c>
      <c r="N9" t="s">
        <v>76</v>
      </c>
    </row>
    <row r="10" spans="1:21">
      <c r="A10" t="s">
        <v>373</v>
      </c>
      <c r="C10" t="s">
        <v>108</v>
      </c>
      <c r="D10" s="2" t="s">
        <v>110</v>
      </c>
      <c r="K10" t="s">
        <v>257</v>
      </c>
      <c r="N10" t="s">
        <v>76</v>
      </c>
    </row>
    <row r="11" spans="1:21">
      <c r="A11" t="s">
        <v>371</v>
      </c>
      <c r="C11" t="s">
        <v>108</v>
      </c>
      <c r="D11" s="2" t="s">
        <v>110</v>
      </c>
      <c r="K11" t="s">
        <v>257</v>
      </c>
      <c r="N11" t="s">
        <v>364</v>
      </c>
    </row>
    <row r="12" spans="1:21">
      <c r="A12" t="s">
        <v>374</v>
      </c>
      <c r="C12" t="s">
        <v>108</v>
      </c>
      <c r="D12" s="2" t="s">
        <v>110</v>
      </c>
      <c r="K12" t="s">
        <v>257</v>
      </c>
      <c r="N12" t="s">
        <v>364</v>
      </c>
    </row>
    <row r="13" spans="1:21">
      <c r="A13" t="s">
        <v>372</v>
      </c>
      <c r="C13" t="s">
        <v>108</v>
      </c>
      <c r="D13" s="2" t="s">
        <v>110</v>
      </c>
      <c r="K13" t="s">
        <v>257</v>
      </c>
      <c r="N13" t="s">
        <v>365</v>
      </c>
    </row>
    <row r="14" spans="1:21">
      <c r="A14" t="s">
        <v>369</v>
      </c>
      <c r="C14" t="s">
        <v>367</v>
      </c>
      <c r="D14" s="2"/>
      <c r="I14" t="s">
        <v>368</v>
      </c>
      <c r="K14" t="s">
        <v>257</v>
      </c>
      <c r="N14" t="s">
        <v>366</v>
      </c>
    </row>
    <row r="15" spans="1:21">
      <c r="A15" s="4" t="s">
        <v>28</v>
      </c>
      <c r="B15" s="4" t="s">
        <v>51</v>
      </c>
      <c r="H15" t="s">
        <v>25</v>
      </c>
      <c r="K15" t="s">
        <v>378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131</v>
      </c>
      <c r="K16" t="s">
        <v>132</v>
      </c>
      <c r="N16" t="s">
        <v>133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378</v>
      </c>
      <c r="N18" t="s">
        <v>56</v>
      </c>
      <c r="Q18" t="s">
        <v>39</v>
      </c>
    </row>
    <row r="19" spans="1:17">
      <c r="A19" s="4" t="s">
        <v>255</v>
      </c>
      <c r="K19" t="s">
        <v>257</v>
      </c>
      <c r="N19" t="s">
        <v>258</v>
      </c>
      <c r="Q19" t="s">
        <v>45</v>
      </c>
    </row>
    <row r="20" spans="1:17">
      <c r="A20" s="4" t="s">
        <v>256</v>
      </c>
      <c r="K20" t="s">
        <v>257</v>
      </c>
      <c r="N20" t="s">
        <v>259</v>
      </c>
      <c r="Q20" t="s">
        <v>45</v>
      </c>
    </row>
    <row r="21" spans="1:17">
      <c r="A21" t="s">
        <v>6</v>
      </c>
      <c r="C21" t="s">
        <v>328</v>
      </c>
      <c r="D21" t="s">
        <v>329</v>
      </c>
      <c r="K21" t="s">
        <v>7</v>
      </c>
      <c r="N21" t="s">
        <v>330</v>
      </c>
    </row>
    <row r="22" spans="1:17">
      <c r="A22" t="s">
        <v>34</v>
      </c>
      <c r="C22" t="s">
        <v>328</v>
      </c>
      <c r="D22" t="s">
        <v>329</v>
      </c>
      <c r="K22" t="s">
        <v>7</v>
      </c>
      <c r="N22" t="s">
        <v>331</v>
      </c>
    </row>
    <row r="23" spans="1:17">
      <c r="A23" s="4" t="s">
        <v>144</v>
      </c>
      <c r="D23" t="s">
        <v>337</v>
      </c>
      <c r="I23" t="s">
        <v>338</v>
      </c>
      <c r="K23" t="s">
        <v>143</v>
      </c>
      <c r="N23" t="s">
        <v>145</v>
      </c>
    </row>
    <row r="24" spans="1:17">
      <c r="A24" t="s">
        <v>144</v>
      </c>
      <c r="I24" t="s">
        <v>340</v>
      </c>
      <c r="K24" t="s">
        <v>143</v>
      </c>
      <c r="N24" t="s">
        <v>358</v>
      </c>
      <c r="P24" t="s">
        <v>355</v>
      </c>
      <c r="Q24" t="s">
        <v>339</v>
      </c>
    </row>
    <row r="25" spans="1:17">
      <c r="A25" t="s">
        <v>4</v>
      </c>
      <c r="I25" t="s">
        <v>340</v>
      </c>
      <c r="K25" t="s">
        <v>143</v>
      </c>
      <c r="N25" t="s">
        <v>359</v>
      </c>
      <c r="P25" t="s">
        <v>355</v>
      </c>
      <c r="Q25" t="s">
        <v>339</v>
      </c>
    </row>
    <row r="26" spans="1:17">
      <c r="A26" t="s">
        <v>6</v>
      </c>
      <c r="F26" t="s">
        <v>362</v>
      </c>
      <c r="G26" t="s">
        <v>362</v>
      </c>
      <c r="K26" t="s">
        <v>7</v>
      </c>
      <c r="N26" t="s">
        <v>360</v>
      </c>
      <c r="P26" t="s">
        <v>356</v>
      </c>
      <c r="Q26" t="s">
        <v>39</v>
      </c>
    </row>
    <row r="27" spans="1:17">
      <c r="A27" t="s">
        <v>34</v>
      </c>
      <c r="F27" t="s">
        <v>362</v>
      </c>
      <c r="G27" t="s">
        <v>362</v>
      </c>
      <c r="K27" t="s">
        <v>7</v>
      </c>
      <c r="N27" t="s">
        <v>361</v>
      </c>
      <c r="P27" t="s">
        <v>357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260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141</v>
      </c>
      <c r="S4" s="6" t="s">
        <v>142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143</v>
      </c>
      <c r="M5" t="s">
        <v>175</v>
      </c>
      <c r="S5">
        <v>-1</v>
      </c>
    </row>
    <row r="6" spans="1:19">
      <c r="A6" t="s">
        <v>144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143</v>
      </c>
      <c r="M6" t="s">
        <v>176</v>
      </c>
      <c r="S6">
        <v>-1</v>
      </c>
    </row>
    <row r="10" spans="1:19" ht="17.25" thickBot="1">
      <c r="A10" s="5" t="s">
        <v>230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141</v>
      </c>
      <c r="S11" s="6" t="s">
        <v>142</v>
      </c>
    </row>
    <row r="12" spans="1:19">
      <c r="A12" t="s">
        <v>113</v>
      </c>
      <c r="B12" s="4" t="s">
        <v>244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143</v>
      </c>
      <c r="M13" t="s">
        <v>239</v>
      </c>
      <c r="S13">
        <v>-1</v>
      </c>
    </row>
    <row r="14" spans="1:19">
      <c r="A14" t="s">
        <v>144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143</v>
      </c>
      <c r="M14" t="s">
        <v>240</v>
      </c>
      <c r="S14">
        <v>-1</v>
      </c>
    </row>
    <row r="15" spans="1:19">
      <c r="A15" t="s">
        <v>113</v>
      </c>
      <c r="B15" s="4" t="s">
        <v>241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143</v>
      </c>
      <c r="M16" t="s">
        <v>247</v>
      </c>
      <c r="S16">
        <v>-1</v>
      </c>
    </row>
    <row r="17" spans="1:19">
      <c r="A17" t="s">
        <v>144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143</v>
      </c>
      <c r="M17" t="s">
        <v>248</v>
      </c>
      <c r="S17">
        <v>-1</v>
      </c>
    </row>
    <row r="18" spans="1:19">
      <c r="A18" t="s">
        <v>113</v>
      </c>
      <c r="B18" s="4" t="s">
        <v>242</v>
      </c>
    </row>
    <row r="19" spans="1:19">
      <c r="A19" t="s">
        <v>4</v>
      </c>
      <c r="F19" t="str">
        <f>H19</f>
        <v>hydrogen</v>
      </c>
      <c r="H19" t="s">
        <v>168</v>
      </c>
      <c r="J19" t="s">
        <v>143</v>
      </c>
      <c r="M19" t="s">
        <v>239</v>
      </c>
      <c r="S19">
        <v>-1</v>
      </c>
    </row>
    <row r="20" spans="1:19">
      <c r="A20" t="s">
        <v>144</v>
      </c>
      <c r="F20" t="s">
        <v>168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143</v>
      </c>
      <c r="M20" t="s">
        <v>249</v>
      </c>
      <c r="S20">
        <v>-1</v>
      </c>
    </row>
    <row r="23" spans="1:19">
      <c r="A23" t="s">
        <v>144</v>
      </c>
      <c r="E23" t="s">
        <v>168</v>
      </c>
      <c r="H23" t="s">
        <v>168</v>
      </c>
      <c r="J23" t="s">
        <v>143</v>
      </c>
      <c r="M23" t="s">
        <v>243</v>
      </c>
      <c r="S2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178</v>
      </c>
      <c r="B10" t="str">
        <f t="shared" si="0"/>
        <v>Bio Power</v>
      </c>
    </row>
    <row r="11" spans="1:3">
      <c r="A11" t="s">
        <v>179</v>
      </c>
      <c r="B11" t="str">
        <f t="shared" si="0"/>
        <v>Solar Util</v>
      </c>
    </row>
    <row r="12" spans="1:3">
      <c r="A12" t="s">
        <v>87</v>
      </c>
      <c r="B12" t="s">
        <v>245</v>
      </c>
    </row>
    <row r="13" spans="1:3">
      <c r="A13" t="s">
        <v>88</v>
      </c>
      <c r="B13" t="s">
        <v>246</v>
      </c>
    </row>
    <row r="14" spans="1:3">
      <c r="A14" t="s">
        <v>180</v>
      </c>
      <c r="B14" t="str">
        <f t="shared" si="0"/>
        <v>Geothermal P</v>
      </c>
    </row>
    <row r="15" spans="1:3">
      <c r="A15" t="s">
        <v>184</v>
      </c>
      <c r="B15" t="str">
        <f t="shared" si="0"/>
        <v>Hydro Dam</v>
      </c>
    </row>
    <row r="16" spans="1:3">
      <c r="A16" t="s">
        <v>181</v>
      </c>
      <c r="B16" t="str">
        <f t="shared" si="0"/>
        <v>Hydro RoR</v>
      </c>
    </row>
    <row r="17" spans="1:2">
      <c r="A17" t="s">
        <v>182</v>
      </c>
      <c r="B17" t="str">
        <f t="shared" si="0"/>
        <v>Nuclear P</v>
      </c>
    </row>
    <row r="18" spans="1:2">
      <c r="A18" t="s">
        <v>183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145</v>
      </c>
      <c r="B22" t="str">
        <f t="shared" si="0"/>
        <v>Demand</v>
      </c>
    </row>
    <row r="23" spans="1:2">
      <c r="A23" t="s">
        <v>211</v>
      </c>
      <c r="B23" t="str">
        <f t="shared" si="0"/>
        <v>Transformers Dn</v>
      </c>
    </row>
    <row r="24" spans="1:2">
      <c r="A24" t="s">
        <v>212</v>
      </c>
      <c r="B24" t="str">
        <f t="shared" si="0"/>
        <v>Transformers Up</v>
      </c>
    </row>
    <row r="25" spans="1:2">
      <c r="A25" t="s">
        <v>188</v>
      </c>
      <c r="B25" t="str">
        <f t="shared" si="0"/>
        <v>Grid-220V</v>
      </c>
    </row>
    <row r="26" spans="1:2">
      <c r="A26" t="s">
        <v>189</v>
      </c>
      <c r="B26" t="str">
        <f t="shared" si="0"/>
        <v>Grid-400V</v>
      </c>
    </row>
    <row r="27" spans="1:2">
      <c r="A27" t="s">
        <v>190</v>
      </c>
      <c r="B27" t="str">
        <f t="shared" si="0"/>
        <v>Grid-380V</v>
      </c>
    </row>
    <row r="28" spans="1:2">
      <c r="A28" t="s">
        <v>191</v>
      </c>
      <c r="B28" t="str">
        <f t="shared" si="0"/>
        <v>Grid-225V</v>
      </c>
    </row>
    <row r="29" spans="1:2">
      <c r="A29" t="s">
        <v>192</v>
      </c>
      <c r="B29" t="str">
        <f t="shared" si="0"/>
        <v>Grid-330V</v>
      </c>
    </row>
    <row r="30" spans="1:2">
      <c r="A30" t="s">
        <v>193</v>
      </c>
      <c r="B30" t="str">
        <f t="shared" si="0"/>
        <v>Grid-275V</v>
      </c>
    </row>
    <row r="31" spans="1:2">
      <c r="A31" t="s">
        <v>194</v>
      </c>
      <c r="B31" t="str">
        <f t="shared" si="0"/>
        <v>Grid-420V</v>
      </c>
    </row>
    <row r="32" spans="1:2">
      <c r="A32" t="s">
        <v>195</v>
      </c>
      <c r="B32" t="str">
        <f t="shared" si="0"/>
        <v>Grid-300V</v>
      </c>
    </row>
    <row r="33" spans="1:2">
      <c r="A33" t="s">
        <v>196</v>
      </c>
      <c r="B33" t="str">
        <f t="shared" si="0"/>
        <v>Grid-500V</v>
      </c>
    </row>
    <row r="34" spans="1:2">
      <c r="A34" t="s">
        <v>197</v>
      </c>
      <c r="B34" t="str">
        <f t="shared" si="0"/>
        <v>Grid-750V</v>
      </c>
    </row>
    <row r="35" spans="1:2">
      <c r="A35" t="s">
        <v>198</v>
      </c>
      <c r="B35" t="str">
        <f t="shared" si="0"/>
        <v>Grid-450V</v>
      </c>
    </row>
    <row r="36" spans="1:2">
      <c r="A36" t="s">
        <v>199</v>
      </c>
      <c r="B36" t="str">
        <f t="shared" si="0"/>
        <v>Grid-515V</v>
      </c>
    </row>
    <row r="37" spans="1:2">
      <c r="A37" t="s">
        <v>200</v>
      </c>
      <c r="B37" t="str">
        <f t="shared" si="0"/>
        <v>Grid-525V</v>
      </c>
    </row>
    <row r="38" spans="1:2">
      <c r="A38" t="s">
        <v>201</v>
      </c>
      <c r="B38" t="str">
        <f t="shared" si="0"/>
        <v>Grid-320V</v>
      </c>
    </row>
    <row r="39" spans="1:2">
      <c r="A39" t="s">
        <v>202</v>
      </c>
      <c r="B39" t="str">
        <f t="shared" si="0"/>
        <v>Grid-150V</v>
      </c>
    </row>
    <row r="40" spans="1:2">
      <c r="A40" t="s">
        <v>203</v>
      </c>
      <c r="B40" t="str">
        <f t="shared" si="0"/>
        <v>Grid-270V</v>
      </c>
    </row>
    <row r="41" spans="1:2">
      <c r="A41" t="s">
        <v>204</v>
      </c>
      <c r="B41" t="str">
        <f t="shared" si="0"/>
        <v>Grid-350V</v>
      </c>
    </row>
    <row r="42" spans="1:2">
      <c r="A42" t="s">
        <v>205</v>
      </c>
      <c r="B42" t="str">
        <f t="shared" si="0"/>
        <v>Grid-250V</v>
      </c>
    </row>
    <row r="43" spans="1:2">
      <c r="A43" t="s">
        <v>206</v>
      </c>
      <c r="B43" t="str">
        <f t="shared" si="0"/>
        <v>Grid-200V</v>
      </c>
    </row>
    <row r="44" spans="1:2">
      <c r="A44" t="s">
        <v>207</v>
      </c>
      <c r="B44" t="str">
        <f t="shared" si="0"/>
        <v>Grid-236V</v>
      </c>
    </row>
    <row r="45" spans="1:2">
      <c r="A45" t="s">
        <v>208</v>
      </c>
      <c r="B45" t="str">
        <f t="shared" si="0"/>
        <v>Grid-600V</v>
      </c>
    </row>
    <row r="46" spans="1:2">
      <c r="A46" t="s">
        <v>209</v>
      </c>
      <c r="B46" t="str">
        <f t="shared" si="0"/>
        <v>Aggregators</v>
      </c>
    </row>
    <row r="47" spans="1:2">
      <c r="A47" t="s">
        <v>210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146</v>
      </c>
      <c r="B3" t="str">
        <f>A3</f>
        <v>Elec-220V</v>
      </c>
    </row>
    <row r="4" spans="1:3">
      <c r="A4" t="s">
        <v>147</v>
      </c>
      <c r="B4" t="str">
        <f t="shared" ref="B4:B23" si="0">A4</f>
        <v>Elec-400V</v>
      </c>
    </row>
    <row r="5" spans="1:3">
      <c r="A5" t="s">
        <v>148</v>
      </c>
      <c r="B5" t="str">
        <f t="shared" si="0"/>
        <v>Elec-380V</v>
      </c>
    </row>
    <row r="6" spans="1:3">
      <c r="A6" t="s">
        <v>149</v>
      </c>
      <c r="B6" t="str">
        <f t="shared" si="0"/>
        <v>Elec-225V</v>
      </c>
    </row>
    <row r="7" spans="1:3">
      <c r="A7" t="s">
        <v>150</v>
      </c>
      <c r="B7" t="str">
        <f t="shared" si="0"/>
        <v>Elec-330V</v>
      </c>
    </row>
    <row r="8" spans="1:3">
      <c r="A8" t="s">
        <v>151</v>
      </c>
      <c r="B8" t="str">
        <f t="shared" si="0"/>
        <v>Elec-275V</v>
      </c>
    </row>
    <row r="9" spans="1:3">
      <c r="A9" t="s">
        <v>152</v>
      </c>
      <c r="B9" t="str">
        <f t="shared" si="0"/>
        <v>Elec-420V</v>
      </c>
    </row>
    <row r="10" spans="1:3">
      <c r="A10" t="s">
        <v>153</v>
      </c>
      <c r="B10" t="str">
        <f t="shared" si="0"/>
        <v>Elec-300V</v>
      </c>
    </row>
    <row r="11" spans="1:3">
      <c r="A11" t="s">
        <v>154</v>
      </c>
      <c r="B11" t="str">
        <f t="shared" si="0"/>
        <v>Elec-500V</v>
      </c>
    </row>
    <row r="12" spans="1:3">
      <c r="A12" t="s">
        <v>155</v>
      </c>
      <c r="B12" t="str">
        <f t="shared" si="0"/>
        <v>Elec-750V</v>
      </c>
    </row>
    <row r="13" spans="1:3">
      <c r="A13" t="s">
        <v>156</v>
      </c>
      <c r="B13" t="str">
        <f t="shared" si="0"/>
        <v>Elec-450V</v>
      </c>
    </row>
    <row r="14" spans="1:3">
      <c r="A14" t="s">
        <v>157</v>
      </c>
      <c r="B14" t="str">
        <f t="shared" si="0"/>
        <v>Elec-515V</v>
      </c>
    </row>
    <row r="15" spans="1:3">
      <c r="A15" t="s">
        <v>158</v>
      </c>
      <c r="B15" t="str">
        <f t="shared" si="0"/>
        <v>Elec-525V</v>
      </c>
    </row>
    <row r="16" spans="1:3">
      <c r="A16" t="s">
        <v>159</v>
      </c>
      <c r="B16" t="str">
        <f t="shared" si="0"/>
        <v>Elec-320V</v>
      </c>
    </row>
    <row r="17" spans="1:2">
      <c r="A17" t="s">
        <v>160</v>
      </c>
      <c r="B17" t="str">
        <f t="shared" si="0"/>
        <v>Elec-150V</v>
      </c>
    </row>
    <row r="18" spans="1:2">
      <c r="A18" t="s">
        <v>161</v>
      </c>
      <c r="B18" t="str">
        <f t="shared" si="0"/>
        <v>Elec-270V</v>
      </c>
    </row>
    <row r="19" spans="1:2">
      <c r="A19" t="s">
        <v>162</v>
      </c>
      <c r="B19" t="str">
        <f t="shared" si="0"/>
        <v>Elec-350V</v>
      </c>
    </row>
    <row r="20" spans="1:2">
      <c r="A20" t="s">
        <v>163</v>
      </c>
      <c r="B20" t="str">
        <f t="shared" si="0"/>
        <v>Elec-250V</v>
      </c>
    </row>
    <row r="21" spans="1:2">
      <c r="A21" t="s">
        <v>164</v>
      </c>
      <c r="B21" t="str">
        <f t="shared" si="0"/>
        <v>Elec-200V</v>
      </c>
    </row>
    <row r="22" spans="1:2">
      <c r="A22" t="s">
        <v>165</v>
      </c>
      <c r="B22" t="str">
        <f t="shared" si="0"/>
        <v>Elec-236V</v>
      </c>
    </row>
    <row r="23" spans="1:2">
      <c r="A23" t="s">
        <v>166</v>
      </c>
      <c r="B23" t="str">
        <f t="shared" si="0"/>
        <v>Elec-600V</v>
      </c>
    </row>
    <row r="24" spans="1:2">
      <c r="A24" t="s">
        <v>185</v>
      </c>
      <c r="B24" t="s">
        <v>241</v>
      </c>
    </row>
    <row r="25" spans="1:2">
      <c r="A25" t="s">
        <v>186</v>
      </c>
      <c r="B25" t="s">
        <v>241</v>
      </c>
    </row>
    <row r="26" spans="1:2">
      <c r="A26" t="s">
        <v>168</v>
      </c>
      <c r="B26" t="str">
        <f t="shared" ref="B26" si="1">A26</f>
        <v>hydrogen</v>
      </c>
    </row>
    <row r="27" spans="1:2">
      <c r="A27" t="s">
        <v>170</v>
      </c>
      <c r="B27" t="s">
        <v>241</v>
      </c>
    </row>
    <row r="28" spans="1:2">
      <c r="A28" t="s">
        <v>171</v>
      </c>
      <c r="B28" t="str">
        <f t="shared" ref="B28:B35" si="2">A28</f>
        <v>buildings</v>
      </c>
    </row>
    <row r="29" spans="1:2">
      <c r="A29" t="s">
        <v>172</v>
      </c>
      <c r="B29" t="str">
        <f t="shared" si="2"/>
        <v>industry</v>
      </c>
    </row>
    <row r="30" spans="1:2">
      <c r="A30" t="s">
        <v>173</v>
      </c>
      <c r="B30" t="str">
        <f t="shared" si="2"/>
        <v>transport</v>
      </c>
    </row>
    <row r="31" spans="1:2">
      <c r="A31" t="s">
        <v>174</v>
      </c>
      <c r="B31" t="str">
        <f t="shared" si="2"/>
        <v>EVs</v>
      </c>
    </row>
    <row r="32" spans="1:2">
      <c r="A32" s="7" t="s">
        <v>177</v>
      </c>
      <c r="B32" s="7" t="str">
        <f t="shared" si="2"/>
        <v>fossil</v>
      </c>
    </row>
    <row r="33" spans="1:2">
      <c r="A33" s="7" t="s">
        <v>187</v>
      </c>
      <c r="B33" s="7" t="str">
        <f t="shared" si="2"/>
        <v>renewable</v>
      </c>
    </row>
    <row r="34" spans="1:2">
      <c r="A34" s="7" t="s">
        <v>167</v>
      </c>
      <c r="B34" s="7" t="str">
        <f t="shared" si="2"/>
        <v>bioenergy</v>
      </c>
    </row>
    <row r="35" spans="1:2">
      <c r="A35" s="7" t="s">
        <v>169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167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231</v>
      </c>
      <c r="B6" t="str">
        <f t="shared" si="0"/>
        <v>geothermal</v>
      </c>
    </row>
    <row r="7" spans="1:3">
      <c r="A7" t="s">
        <v>232</v>
      </c>
      <c r="B7" t="str">
        <f t="shared" si="0"/>
        <v>hydro</v>
      </c>
    </row>
    <row r="8" spans="1:3">
      <c r="A8" t="s">
        <v>168</v>
      </c>
      <c r="B8" t="str">
        <f t="shared" si="0"/>
        <v>hydrogen</v>
      </c>
    </row>
    <row r="9" spans="1:3">
      <c r="A9" t="s">
        <v>169</v>
      </c>
      <c r="B9" t="str">
        <f t="shared" si="0"/>
        <v>nuclear</v>
      </c>
    </row>
    <row r="10" spans="1:3">
      <c r="A10" t="s">
        <v>233</v>
      </c>
      <c r="B10" t="str">
        <f t="shared" si="0"/>
        <v>oil</v>
      </c>
    </row>
    <row r="11" spans="1:3">
      <c r="A11" t="s">
        <v>234</v>
      </c>
      <c r="B11" t="str">
        <f t="shared" si="0"/>
        <v>solar</v>
      </c>
    </row>
    <row r="12" spans="1:3">
      <c r="A12" t="s">
        <v>235</v>
      </c>
      <c r="B12" t="s">
        <v>237</v>
      </c>
    </row>
    <row r="13" spans="1:3">
      <c r="A13" t="s">
        <v>236</v>
      </c>
      <c r="B13" t="s">
        <v>238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139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138</v>
      </c>
      <c r="B3" t="s">
        <v>379</v>
      </c>
      <c r="C3" t="s">
        <v>380</v>
      </c>
    </row>
    <row r="4" spans="1:3">
      <c r="A4" t="s">
        <v>138</v>
      </c>
      <c r="B4" t="s">
        <v>381</v>
      </c>
      <c r="C4" t="s">
        <v>382</v>
      </c>
    </row>
    <row r="5" spans="1:3">
      <c r="A5" t="s">
        <v>138</v>
      </c>
      <c r="B5" t="s">
        <v>383</v>
      </c>
      <c r="C5" t="s">
        <v>384</v>
      </c>
    </row>
    <row r="6" spans="1:3">
      <c r="A6" t="s">
        <v>138</v>
      </c>
      <c r="B6" t="s">
        <v>385</v>
      </c>
      <c r="C6" t="s">
        <v>386</v>
      </c>
    </row>
    <row r="7" spans="1:3">
      <c r="A7" t="s">
        <v>138</v>
      </c>
      <c r="B7" t="s">
        <v>387</v>
      </c>
      <c r="C7" t="s">
        <v>388</v>
      </c>
    </row>
    <row r="8" spans="1:3">
      <c r="A8" t="s">
        <v>138</v>
      </c>
      <c r="B8" t="s">
        <v>389</v>
      </c>
      <c r="C8" t="s">
        <v>390</v>
      </c>
    </row>
    <row r="9" spans="1:3">
      <c r="A9" t="s">
        <v>138</v>
      </c>
      <c r="B9" t="s">
        <v>391</v>
      </c>
      <c r="C9" t="s">
        <v>392</v>
      </c>
    </row>
    <row r="10" spans="1:3">
      <c r="A10" t="s">
        <v>138</v>
      </c>
      <c r="B10" t="s">
        <v>393</v>
      </c>
      <c r="C10" t="s">
        <v>394</v>
      </c>
    </row>
    <row r="11" spans="1:3">
      <c r="A11" t="s">
        <v>138</v>
      </c>
      <c r="B11" t="s">
        <v>395</v>
      </c>
      <c r="C11" t="s">
        <v>396</v>
      </c>
    </row>
    <row r="12" spans="1:3">
      <c r="A12" t="s">
        <v>138</v>
      </c>
      <c r="B12" t="s">
        <v>397</v>
      </c>
      <c r="C12" t="s">
        <v>398</v>
      </c>
    </row>
    <row r="13" spans="1:3">
      <c r="A13" t="s">
        <v>138</v>
      </c>
      <c r="B13" t="s">
        <v>399</v>
      </c>
      <c r="C13" t="s">
        <v>400</v>
      </c>
    </row>
    <row r="14" spans="1:3">
      <c r="A14" t="s">
        <v>138</v>
      </c>
      <c r="B14" t="s">
        <v>401</v>
      </c>
      <c r="C14" t="s">
        <v>402</v>
      </c>
    </row>
    <row r="15" spans="1:3">
      <c r="A15" t="s">
        <v>137</v>
      </c>
      <c r="B15" t="s">
        <v>403</v>
      </c>
      <c r="C15" t="s">
        <v>136</v>
      </c>
    </row>
    <row r="16" spans="1:3">
      <c r="A16" t="s">
        <v>137</v>
      </c>
      <c r="B16" t="s">
        <v>404</v>
      </c>
      <c r="C16" t="s">
        <v>405</v>
      </c>
    </row>
    <row r="17" spans="1:3">
      <c r="A17" t="s">
        <v>137</v>
      </c>
      <c r="B17" t="s">
        <v>406</v>
      </c>
      <c r="C17" t="s">
        <v>407</v>
      </c>
    </row>
    <row r="18" spans="1:3">
      <c r="A18" t="s">
        <v>137</v>
      </c>
      <c r="B18" t="s">
        <v>408</v>
      </c>
      <c r="C18" t="s">
        <v>409</v>
      </c>
    </row>
    <row r="19" spans="1:3">
      <c r="A19" t="s">
        <v>137</v>
      </c>
      <c r="B19" t="s">
        <v>410</v>
      </c>
      <c r="C19" t="s">
        <v>411</v>
      </c>
    </row>
    <row r="20" spans="1:3">
      <c r="A20" t="s">
        <v>137</v>
      </c>
      <c r="B20" t="s">
        <v>412</v>
      </c>
      <c r="C20" t="s">
        <v>413</v>
      </c>
    </row>
    <row r="21" spans="1:3">
      <c r="A21" t="s">
        <v>137</v>
      </c>
      <c r="B21" t="s">
        <v>414</v>
      </c>
      <c r="C21" t="s">
        <v>415</v>
      </c>
    </row>
    <row r="22" spans="1:3">
      <c r="A22" t="s">
        <v>137</v>
      </c>
      <c r="B22" t="s">
        <v>416</v>
      </c>
      <c r="C22" t="s">
        <v>417</v>
      </c>
    </row>
    <row r="23" spans="1:3">
      <c r="A23" t="s">
        <v>137</v>
      </c>
      <c r="B23" t="s">
        <v>418</v>
      </c>
      <c r="C23" t="s">
        <v>419</v>
      </c>
    </row>
    <row r="24" spans="1:3">
      <c r="A24" t="s">
        <v>137</v>
      </c>
      <c r="B24" t="s">
        <v>420</v>
      </c>
      <c r="C24" t="s">
        <v>421</v>
      </c>
    </row>
    <row r="25" spans="1:3">
      <c r="A25" t="s">
        <v>137</v>
      </c>
      <c r="B25" t="s">
        <v>422</v>
      </c>
      <c r="C25" t="s">
        <v>423</v>
      </c>
    </row>
    <row r="26" spans="1:3">
      <c r="A26" t="s">
        <v>137</v>
      </c>
      <c r="B26" t="s">
        <v>424</v>
      </c>
      <c r="C26" t="s">
        <v>425</v>
      </c>
    </row>
    <row r="27" spans="1:3">
      <c r="A27" t="s">
        <v>137</v>
      </c>
      <c r="B27" t="s">
        <v>426</v>
      </c>
      <c r="C27" t="s">
        <v>427</v>
      </c>
    </row>
    <row r="28" spans="1:3">
      <c r="A28" t="s">
        <v>137</v>
      </c>
      <c r="B28" t="s">
        <v>428</v>
      </c>
      <c r="C28" t="s">
        <v>429</v>
      </c>
    </row>
    <row r="29" spans="1:3">
      <c r="A29" t="s">
        <v>137</v>
      </c>
      <c r="B29" t="s">
        <v>430</v>
      </c>
      <c r="C29" t="s">
        <v>431</v>
      </c>
    </row>
    <row r="30" spans="1:3">
      <c r="A30" t="s">
        <v>137</v>
      </c>
      <c r="B30" t="s">
        <v>432</v>
      </c>
      <c r="C30" t="s">
        <v>433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42" activePane="bottomLeft" state="frozen"/>
      <selection pane="bottomLeft" activeCell="C68" sqref="C68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178</v>
      </c>
    </row>
    <row r="13" spans="1:7">
      <c r="A13" t="s">
        <v>64</v>
      </c>
      <c r="C13" t="str">
        <f t="shared" si="0"/>
        <v>Solar Util</v>
      </c>
      <c r="D13" t="s">
        <v>179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180</v>
      </c>
    </row>
    <row r="17" spans="1:4">
      <c r="A17" t="s">
        <v>64</v>
      </c>
      <c r="C17" t="str">
        <f t="shared" si="0"/>
        <v>Hydro Dam</v>
      </c>
      <c r="D17" t="s">
        <v>184</v>
      </c>
    </row>
    <row r="18" spans="1:4">
      <c r="A18" t="s">
        <v>64</v>
      </c>
      <c r="C18" t="str">
        <f t="shared" si="0"/>
        <v>Hydro RoR</v>
      </c>
      <c r="D18" t="s">
        <v>181</v>
      </c>
    </row>
    <row r="19" spans="1:4">
      <c r="A19" t="s">
        <v>64</v>
      </c>
      <c r="C19" t="str">
        <f t="shared" si="0"/>
        <v>Nuclear P</v>
      </c>
      <c r="D19" t="s">
        <v>182</v>
      </c>
    </row>
    <row r="20" spans="1:4">
      <c r="A20" t="s">
        <v>64</v>
      </c>
      <c r="C20" t="str">
        <f t="shared" si="0"/>
        <v>Nuclear SMR</v>
      </c>
      <c r="D20" t="s">
        <v>183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145</v>
      </c>
    </row>
    <row r="25" spans="1:4">
      <c r="A25" t="s">
        <v>64</v>
      </c>
      <c r="C25" t="str">
        <f t="shared" si="0"/>
        <v>Transformers Dn</v>
      </c>
      <c r="D25" t="s">
        <v>211</v>
      </c>
    </row>
    <row r="26" spans="1:4">
      <c r="A26" t="s">
        <v>64</v>
      </c>
      <c r="C26" t="str">
        <f t="shared" si="0"/>
        <v>Transformers Up</v>
      </c>
      <c r="D26" t="s">
        <v>212</v>
      </c>
    </row>
    <row r="27" spans="1:4">
      <c r="A27" t="s">
        <v>64</v>
      </c>
      <c r="C27" t="str">
        <f t="shared" si="0"/>
        <v>Grid-220V</v>
      </c>
      <c r="D27" t="s">
        <v>188</v>
      </c>
    </row>
    <row r="28" spans="1:4">
      <c r="A28" t="s">
        <v>64</v>
      </c>
      <c r="C28" t="str">
        <f t="shared" si="0"/>
        <v>Grid-400V</v>
      </c>
      <c r="D28" t="s">
        <v>189</v>
      </c>
    </row>
    <row r="29" spans="1:4">
      <c r="A29" t="s">
        <v>64</v>
      </c>
      <c r="C29" t="str">
        <f t="shared" si="0"/>
        <v>Grid-380V</v>
      </c>
      <c r="D29" t="s">
        <v>190</v>
      </c>
    </row>
    <row r="30" spans="1:4">
      <c r="A30" t="s">
        <v>64</v>
      </c>
      <c r="C30" t="str">
        <f t="shared" si="0"/>
        <v>Grid-225V</v>
      </c>
      <c r="D30" t="s">
        <v>191</v>
      </c>
    </row>
    <row r="31" spans="1:4">
      <c r="A31" t="s">
        <v>64</v>
      </c>
      <c r="C31" t="str">
        <f t="shared" si="0"/>
        <v>Grid-330V</v>
      </c>
      <c r="D31" t="s">
        <v>192</v>
      </c>
    </row>
    <row r="32" spans="1:4">
      <c r="A32" t="s">
        <v>64</v>
      </c>
      <c r="C32" t="str">
        <f t="shared" si="0"/>
        <v>Grid-275V</v>
      </c>
      <c r="D32" t="s">
        <v>193</v>
      </c>
    </row>
    <row r="33" spans="1:4">
      <c r="A33" t="s">
        <v>64</v>
      </c>
      <c r="C33" t="str">
        <f t="shared" si="0"/>
        <v>Grid-420V</v>
      </c>
      <c r="D33" t="s">
        <v>194</v>
      </c>
    </row>
    <row r="34" spans="1:4">
      <c r="A34" t="s">
        <v>64</v>
      </c>
      <c r="C34" t="str">
        <f t="shared" si="0"/>
        <v>Grid-300V</v>
      </c>
      <c r="D34" t="s">
        <v>195</v>
      </c>
    </row>
    <row r="35" spans="1:4">
      <c r="A35" t="s">
        <v>64</v>
      </c>
      <c r="C35" t="str">
        <f t="shared" si="0"/>
        <v>Grid-500V</v>
      </c>
      <c r="D35" t="s">
        <v>196</v>
      </c>
    </row>
    <row r="36" spans="1:4">
      <c r="A36" t="s">
        <v>64</v>
      </c>
      <c r="C36" t="str">
        <f t="shared" si="0"/>
        <v>Grid-750V</v>
      </c>
      <c r="D36" t="s">
        <v>197</v>
      </c>
    </row>
    <row r="37" spans="1:4">
      <c r="A37" t="s">
        <v>64</v>
      </c>
      <c r="C37" t="str">
        <f t="shared" si="0"/>
        <v>Grid-450V</v>
      </c>
      <c r="D37" t="s">
        <v>198</v>
      </c>
    </row>
    <row r="38" spans="1:4">
      <c r="A38" t="s">
        <v>64</v>
      </c>
      <c r="C38" t="str">
        <f t="shared" si="0"/>
        <v>Grid-515V</v>
      </c>
      <c r="D38" t="s">
        <v>199</v>
      </c>
    </row>
    <row r="39" spans="1:4">
      <c r="A39" t="s">
        <v>64</v>
      </c>
      <c r="C39" t="str">
        <f t="shared" si="0"/>
        <v>Grid-525V</v>
      </c>
      <c r="D39" t="s">
        <v>200</v>
      </c>
    </row>
    <row r="40" spans="1:4">
      <c r="A40" t="s">
        <v>64</v>
      </c>
      <c r="C40" t="str">
        <f t="shared" si="0"/>
        <v>Grid-320V</v>
      </c>
      <c r="D40" t="s">
        <v>201</v>
      </c>
    </row>
    <row r="41" spans="1:4">
      <c r="A41" t="s">
        <v>64</v>
      </c>
      <c r="C41" t="str">
        <f t="shared" si="0"/>
        <v>Grid-150V</v>
      </c>
      <c r="D41" t="s">
        <v>202</v>
      </c>
    </row>
    <row r="42" spans="1:4">
      <c r="A42" t="s">
        <v>64</v>
      </c>
      <c r="C42" t="str">
        <f t="shared" si="0"/>
        <v>Grid-270V</v>
      </c>
      <c r="D42" t="s">
        <v>203</v>
      </c>
    </row>
    <row r="43" spans="1:4">
      <c r="A43" t="s">
        <v>64</v>
      </c>
      <c r="C43" t="str">
        <f t="shared" si="0"/>
        <v>Grid-350V</v>
      </c>
      <c r="D43" t="s">
        <v>204</v>
      </c>
    </row>
    <row r="44" spans="1:4">
      <c r="A44" t="s">
        <v>64</v>
      </c>
      <c r="C44" t="str">
        <f t="shared" si="0"/>
        <v>Grid-250V</v>
      </c>
      <c r="D44" t="s">
        <v>205</v>
      </c>
    </row>
    <row r="45" spans="1:4">
      <c r="A45" t="s">
        <v>64</v>
      </c>
      <c r="C45" t="str">
        <f t="shared" si="0"/>
        <v>Grid-200V</v>
      </c>
      <c r="D45" t="s">
        <v>206</v>
      </c>
    </row>
    <row r="46" spans="1:4">
      <c r="A46" t="s">
        <v>64</v>
      </c>
      <c r="C46" t="str">
        <f t="shared" si="0"/>
        <v>Grid-236V</v>
      </c>
      <c r="D46" t="s">
        <v>207</v>
      </c>
    </row>
    <row r="47" spans="1:4">
      <c r="A47" t="s">
        <v>64</v>
      </c>
      <c r="C47" t="str">
        <f t="shared" si="0"/>
        <v>Grid-600V</v>
      </c>
      <c r="D47" t="s">
        <v>208</v>
      </c>
    </row>
    <row r="48" spans="1:4">
      <c r="A48" t="s">
        <v>64</v>
      </c>
      <c r="C48" t="str">
        <f t="shared" si="0"/>
        <v>Aggregators</v>
      </c>
      <c r="D48" t="s">
        <v>209</v>
      </c>
    </row>
    <row r="49" spans="1:5">
      <c r="A49" t="s">
        <v>64</v>
      </c>
      <c r="C49" t="str">
        <f t="shared" si="0"/>
        <v>DUMMY_IMP</v>
      </c>
      <c r="D49" t="s">
        <v>210</v>
      </c>
    </row>
    <row r="50" spans="1:5">
      <c r="A50" t="s">
        <v>64</v>
      </c>
      <c r="B50" t="s">
        <v>229</v>
      </c>
      <c r="C50" t="s">
        <v>124</v>
      </c>
      <c r="E50" t="s">
        <v>128</v>
      </c>
    </row>
    <row r="51" spans="1:5">
      <c r="A51" t="s">
        <v>64</v>
      </c>
      <c r="B51" t="s">
        <v>229</v>
      </c>
      <c r="C51" t="s">
        <v>125</v>
      </c>
      <c r="E51" t="s">
        <v>129</v>
      </c>
    </row>
    <row r="52" spans="1:5">
      <c r="A52" t="s">
        <v>64</v>
      </c>
      <c r="B52" t="s">
        <v>130</v>
      </c>
      <c r="C52" t="s">
        <v>126</v>
      </c>
      <c r="E52" t="s">
        <v>128</v>
      </c>
    </row>
    <row r="53" spans="1:5">
      <c r="A53" t="s">
        <v>64</v>
      </c>
      <c r="B53" t="s">
        <v>130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332</v>
      </c>
      <c r="B57" t="s">
        <v>333</v>
      </c>
      <c r="C57" t="s">
        <v>334</v>
      </c>
    </row>
    <row r="58" spans="1:5">
      <c r="A58" t="s">
        <v>332</v>
      </c>
      <c r="B58" t="s">
        <v>335</v>
      </c>
      <c r="C58" t="s">
        <v>91</v>
      </c>
    </row>
    <row r="59" spans="1:5">
      <c r="A59" t="s">
        <v>332</v>
      </c>
      <c r="B59" t="s">
        <v>336</v>
      </c>
      <c r="C59" t="s">
        <v>242</v>
      </c>
    </row>
    <row r="60" spans="1:5">
      <c r="A60" t="s">
        <v>342</v>
      </c>
      <c r="B60" t="s">
        <v>113</v>
      </c>
      <c r="C60" t="s">
        <v>341</v>
      </c>
    </row>
    <row r="61" spans="1:5">
      <c r="A61" t="s">
        <v>342</v>
      </c>
      <c r="B61" t="s">
        <v>343</v>
      </c>
      <c r="C61" t="s">
        <v>344</v>
      </c>
    </row>
    <row r="62" spans="1:5">
      <c r="A62" t="s">
        <v>342</v>
      </c>
      <c r="B62" t="s">
        <v>345</v>
      </c>
      <c r="C62" t="s">
        <v>346</v>
      </c>
    </row>
    <row r="63" spans="1:5">
      <c r="A63" t="s">
        <v>342</v>
      </c>
      <c r="B63" t="s">
        <v>347</v>
      </c>
      <c r="C63" t="s">
        <v>348</v>
      </c>
    </row>
    <row r="64" spans="1:5">
      <c r="A64" t="s">
        <v>342</v>
      </c>
      <c r="B64" t="s">
        <v>349</v>
      </c>
      <c r="C64" t="s">
        <v>350</v>
      </c>
    </row>
    <row r="65" spans="1:5">
      <c r="A65" t="s">
        <v>342</v>
      </c>
      <c r="B65" t="s">
        <v>351</v>
      </c>
      <c r="C65" t="s">
        <v>352</v>
      </c>
    </row>
    <row r="66" spans="1:5">
      <c r="A66" t="s">
        <v>342</v>
      </c>
      <c r="B66" t="s">
        <v>353</v>
      </c>
      <c r="C66" t="s">
        <v>354</v>
      </c>
    </row>
    <row r="67" spans="1:5">
      <c r="A67" t="s">
        <v>363</v>
      </c>
      <c r="C67" t="str">
        <f>E67</f>
        <v>bioenergy</v>
      </c>
      <c r="E67" t="s">
        <v>167</v>
      </c>
    </row>
    <row r="68" spans="1:5">
      <c r="A68" t="s">
        <v>363</v>
      </c>
      <c r="C68" t="str">
        <f t="shared" ref="C68:C75" si="1">E68</f>
        <v>coal</v>
      </c>
      <c r="E68" t="s">
        <v>128</v>
      </c>
    </row>
    <row r="69" spans="1:5">
      <c r="A69" t="s">
        <v>363</v>
      </c>
      <c r="C69" t="str">
        <f t="shared" si="1"/>
        <v>gas</v>
      </c>
      <c r="E69" t="s">
        <v>129</v>
      </c>
    </row>
    <row r="70" spans="1:5">
      <c r="A70" t="s">
        <v>363</v>
      </c>
      <c r="C70" t="str">
        <f t="shared" si="1"/>
        <v>hydro</v>
      </c>
      <c r="E70" t="s">
        <v>232</v>
      </c>
    </row>
    <row r="71" spans="1:5">
      <c r="A71" t="s">
        <v>363</v>
      </c>
      <c r="C71" t="str">
        <f t="shared" si="1"/>
        <v>nuclear</v>
      </c>
      <c r="E71" t="s">
        <v>169</v>
      </c>
    </row>
    <row r="72" spans="1:5">
      <c r="A72" t="s">
        <v>363</v>
      </c>
      <c r="C72" t="str">
        <f t="shared" si="1"/>
        <v>oil</v>
      </c>
      <c r="E72" t="s">
        <v>233</v>
      </c>
    </row>
    <row r="73" spans="1:5">
      <c r="A73" t="s">
        <v>363</v>
      </c>
      <c r="C73" t="str">
        <f t="shared" si="1"/>
        <v>solar</v>
      </c>
      <c r="E73" t="s">
        <v>234</v>
      </c>
    </row>
    <row r="74" spans="1:5">
      <c r="A74" t="s">
        <v>363</v>
      </c>
      <c r="C74" t="str">
        <f t="shared" si="1"/>
        <v>windoff</v>
      </c>
      <c r="E74" t="s">
        <v>236</v>
      </c>
    </row>
    <row r="75" spans="1:5">
      <c r="A75" t="s">
        <v>363</v>
      </c>
      <c r="C75" t="str">
        <f t="shared" si="1"/>
        <v>windon</v>
      </c>
      <c r="E75" t="s">
        <v>235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790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375</v>
      </c>
    </row>
    <row r="2" spans="1:8">
      <c r="A2" t="s">
        <v>363</v>
      </c>
      <c r="B2" t="s">
        <v>36</v>
      </c>
      <c r="C2" t="s">
        <v>0</v>
      </c>
      <c r="D2" t="s">
        <v>451</v>
      </c>
      <c r="E2" t="s">
        <v>262</v>
      </c>
      <c r="F2" t="s">
        <v>452</v>
      </c>
      <c r="G2" t="s">
        <v>453</v>
      </c>
      <c r="H2" t="s">
        <v>454</v>
      </c>
    </row>
    <row r="3" spans="1:8">
      <c r="A3" t="s">
        <v>128</v>
      </c>
      <c r="B3">
        <v>2000</v>
      </c>
      <c r="C3" t="s">
        <v>143</v>
      </c>
      <c r="D3">
        <v>1060.26</v>
      </c>
      <c r="E3" t="s">
        <v>455</v>
      </c>
      <c r="F3" t="s">
        <v>75</v>
      </c>
      <c r="G3" t="s">
        <v>456</v>
      </c>
      <c r="H3" t="s">
        <v>457</v>
      </c>
    </row>
    <row r="4" spans="1:8">
      <c r="A4" t="s">
        <v>129</v>
      </c>
      <c r="B4">
        <v>2000</v>
      </c>
      <c r="C4" t="s">
        <v>143</v>
      </c>
      <c r="D4">
        <v>5.77</v>
      </c>
      <c r="E4" t="s">
        <v>455</v>
      </c>
      <c r="F4" t="s">
        <v>75</v>
      </c>
      <c r="G4" t="s">
        <v>456</v>
      </c>
      <c r="H4" t="s">
        <v>457</v>
      </c>
    </row>
    <row r="5" spans="1:8">
      <c r="A5" t="s">
        <v>232</v>
      </c>
      <c r="B5">
        <v>2000</v>
      </c>
      <c r="C5" t="s">
        <v>143</v>
      </c>
      <c r="D5">
        <v>222.41</v>
      </c>
      <c r="E5" t="s">
        <v>455</v>
      </c>
      <c r="F5" t="s">
        <v>75</v>
      </c>
      <c r="G5" t="s">
        <v>456</v>
      </c>
      <c r="H5" t="s">
        <v>457</v>
      </c>
    </row>
    <row r="6" spans="1:8">
      <c r="A6" t="s">
        <v>169</v>
      </c>
      <c r="B6">
        <v>2000</v>
      </c>
      <c r="C6" t="s">
        <v>143</v>
      </c>
      <c r="D6">
        <v>16.739999999999998</v>
      </c>
      <c r="E6" t="s">
        <v>455</v>
      </c>
      <c r="F6" t="s">
        <v>75</v>
      </c>
      <c r="G6" t="s">
        <v>456</v>
      </c>
      <c r="H6" t="s">
        <v>457</v>
      </c>
    </row>
    <row r="7" spans="1:8">
      <c r="A7" t="s">
        <v>233</v>
      </c>
      <c r="B7">
        <v>2000</v>
      </c>
      <c r="C7" t="s">
        <v>143</v>
      </c>
      <c r="D7">
        <v>47.27</v>
      </c>
      <c r="E7" t="s">
        <v>455</v>
      </c>
      <c r="F7" t="s">
        <v>75</v>
      </c>
      <c r="G7" t="s">
        <v>456</v>
      </c>
      <c r="H7" t="s">
        <v>457</v>
      </c>
    </row>
    <row r="8" spans="1:8">
      <c r="A8" t="s">
        <v>128</v>
      </c>
      <c r="B8">
        <v>2001</v>
      </c>
      <c r="C8" t="s">
        <v>143</v>
      </c>
      <c r="D8">
        <v>1129.1400000000001</v>
      </c>
      <c r="E8" t="s">
        <v>455</v>
      </c>
      <c r="F8" t="s">
        <v>75</v>
      </c>
      <c r="G8" t="s">
        <v>456</v>
      </c>
      <c r="H8" t="s">
        <v>457</v>
      </c>
    </row>
    <row r="9" spans="1:8">
      <c r="A9" t="s">
        <v>129</v>
      </c>
      <c r="B9">
        <v>2001</v>
      </c>
      <c r="C9" t="s">
        <v>143</v>
      </c>
      <c r="D9">
        <v>4.93</v>
      </c>
      <c r="E9" t="s">
        <v>455</v>
      </c>
      <c r="F9" t="s">
        <v>75</v>
      </c>
      <c r="G9" t="s">
        <v>456</v>
      </c>
      <c r="H9" t="s">
        <v>457</v>
      </c>
    </row>
    <row r="10" spans="1:8">
      <c r="A10" t="s">
        <v>232</v>
      </c>
      <c r="B10">
        <v>2001</v>
      </c>
      <c r="C10" t="s">
        <v>143</v>
      </c>
      <c r="D10">
        <v>277.43</v>
      </c>
      <c r="E10" t="s">
        <v>455</v>
      </c>
      <c r="F10" t="s">
        <v>75</v>
      </c>
      <c r="G10" t="s">
        <v>456</v>
      </c>
      <c r="H10" t="s">
        <v>457</v>
      </c>
    </row>
    <row r="11" spans="1:8">
      <c r="A11" t="s">
        <v>169</v>
      </c>
      <c r="B11">
        <v>2001</v>
      </c>
      <c r="C11" t="s">
        <v>143</v>
      </c>
      <c r="D11">
        <v>17.47</v>
      </c>
      <c r="E11" t="s">
        <v>455</v>
      </c>
      <c r="F11" t="s">
        <v>75</v>
      </c>
      <c r="G11" t="s">
        <v>456</v>
      </c>
      <c r="H11" t="s">
        <v>457</v>
      </c>
    </row>
    <row r="12" spans="1:8">
      <c r="A12" t="s">
        <v>233</v>
      </c>
      <c r="B12">
        <v>2001</v>
      </c>
      <c r="C12" t="s">
        <v>143</v>
      </c>
      <c r="D12">
        <v>48.52</v>
      </c>
      <c r="E12" t="s">
        <v>455</v>
      </c>
      <c r="F12" t="s">
        <v>75</v>
      </c>
      <c r="G12" t="s">
        <v>456</v>
      </c>
      <c r="H12" t="s">
        <v>457</v>
      </c>
    </row>
    <row r="13" spans="1:8">
      <c r="A13" t="s">
        <v>128</v>
      </c>
      <c r="B13">
        <v>2002</v>
      </c>
      <c r="C13" t="s">
        <v>143</v>
      </c>
      <c r="D13">
        <v>1282.57</v>
      </c>
      <c r="E13" t="s">
        <v>455</v>
      </c>
      <c r="F13" t="s">
        <v>75</v>
      </c>
      <c r="G13" t="s">
        <v>456</v>
      </c>
      <c r="H13" t="s">
        <v>457</v>
      </c>
    </row>
    <row r="14" spans="1:8">
      <c r="A14" t="s">
        <v>129</v>
      </c>
      <c r="B14">
        <v>2002</v>
      </c>
      <c r="C14" t="s">
        <v>143</v>
      </c>
      <c r="D14">
        <v>4.1900000000000004</v>
      </c>
      <c r="E14" t="s">
        <v>455</v>
      </c>
      <c r="F14" t="s">
        <v>75</v>
      </c>
      <c r="G14" t="s">
        <v>456</v>
      </c>
      <c r="H14" t="s">
        <v>457</v>
      </c>
    </row>
    <row r="15" spans="1:8">
      <c r="A15" t="s">
        <v>232</v>
      </c>
      <c r="B15">
        <v>2002</v>
      </c>
      <c r="C15" t="s">
        <v>143</v>
      </c>
      <c r="D15">
        <v>287.97000000000003</v>
      </c>
      <c r="E15" t="s">
        <v>455</v>
      </c>
      <c r="F15" t="s">
        <v>75</v>
      </c>
      <c r="G15" t="s">
        <v>456</v>
      </c>
      <c r="H15" t="s">
        <v>457</v>
      </c>
    </row>
    <row r="16" spans="1:8">
      <c r="A16" t="s">
        <v>169</v>
      </c>
      <c r="B16">
        <v>2002</v>
      </c>
      <c r="C16" t="s">
        <v>143</v>
      </c>
      <c r="D16">
        <v>25.13</v>
      </c>
      <c r="E16" t="s">
        <v>455</v>
      </c>
      <c r="F16" t="s">
        <v>75</v>
      </c>
      <c r="G16" t="s">
        <v>456</v>
      </c>
      <c r="H16" t="s">
        <v>457</v>
      </c>
    </row>
    <row r="17" spans="1:8">
      <c r="A17" t="s">
        <v>233</v>
      </c>
      <c r="B17">
        <v>2002</v>
      </c>
      <c r="C17" t="s">
        <v>143</v>
      </c>
      <c r="D17">
        <v>50.71</v>
      </c>
      <c r="E17" t="s">
        <v>455</v>
      </c>
      <c r="F17" t="s">
        <v>75</v>
      </c>
      <c r="G17" t="s">
        <v>456</v>
      </c>
      <c r="H17" t="s">
        <v>457</v>
      </c>
    </row>
    <row r="18" spans="1:8">
      <c r="A18" t="s">
        <v>128</v>
      </c>
      <c r="B18">
        <v>2003</v>
      </c>
      <c r="C18" t="s">
        <v>143</v>
      </c>
      <c r="D18">
        <v>1519.97</v>
      </c>
      <c r="E18" t="s">
        <v>455</v>
      </c>
      <c r="F18" t="s">
        <v>75</v>
      </c>
      <c r="G18" t="s">
        <v>456</v>
      </c>
      <c r="H18" t="s">
        <v>457</v>
      </c>
    </row>
    <row r="19" spans="1:8">
      <c r="A19" t="s">
        <v>129</v>
      </c>
      <c r="B19">
        <v>2003</v>
      </c>
      <c r="C19" t="s">
        <v>143</v>
      </c>
      <c r="D19">
        <v>5.16</v>
      </c>
      <c r="E19" t="s">
        <v>455</v>
      </c>
      <c r="F19" t="s">
        <v>75</v>
      </c>
      <c r="G19" t="s">
        <v>456</v>
      </c>
      <c r="H19" t="s">
        <v>457</v>
      </c>
    </row>
    <row r="20" spans="1:8">
      <c r="A20" t="s">
        <v>232</v>
      </c>
      <c r="B20">
        <v>2003</v>
      </c>
      <c r="C20" t="s">
        <v>143</v>
      </c>
      <c r="D20">
        <v>283.68</v>
      </c>
      <c r="E20" t="s">
        <v>455</v>
      </c>
      <c r="F20" t="s">
        <v>75</v>
      </c>
      <c r="G20" t="s">
        <v>456</v>
      </c>
      <c r="H20" t="s">
        <v>457</v>
      </c>
    </row>
    <row r="21" spans="1:8">
      <c r="A21" t="s">
        <v>169</v>
      </c>
      <c r="B21">
        <v>2003</v>
      </c>
      <c r="C21" t="s">
        <v>143</v>
      </c>
      <c r="D21">
        <v>43.34</v>
      </c>
      <c r="E21" t="s">
        <v>455</v>
      </c>
      <c r="F21" t="s">
        <v>75</v>
      </c>
      <c r="G21" t="s">
        <v>456</v>
      </c>
      <c r="H21" t="s">
        <v>457</v>
      </c>
    </row>
    <row r="22" spans="1:8">
      <c r="A22" t="s">
        <v>233</v>
      </c>
      <c r="B22">
        <v>2003</v>
      </c>
      <c r="C22" t="s">
        <v>143</v>
      </c>
      <c r="D22">
        <v>54.83</v>
      </c>
      <c r="E22" t="s">
        <v>455</v>
      </c>
      <c r="F22" t="s">
        <v>75</v>
      </c>
      <c r="G22" t="s">
        <v>456</v>
      </c>
      <c r="H22" t="s">
        <v>457</v>
      </c>
    </row>
    <row r="23" spans="1:8">
      <c r="A23" t="s">
        <v>128</v>
      </c>
      <c r="B23">
        <v>2004</v>
      </c>
      <c r="C23" t="s">
        <v>143</v>
      </c>
      <c r="D23">
        <v>1722.42</v>
      </c>
      <c r="E23" t="s">
        <v>455</v>
      </c>
      <c r="F23" t="s">
        <v>75</v>
      </c>
      <c r="G23" t="s">
        <v>456</v>
      </c>
      <c r="H23" t="s">
        <v>457</v>
      </c>
    </row>
    <row r="24" spans="1:8">
      <c r="A24" t="s">
        <v>129</v>
      </c>
      <c r="B24">
        <v>2004</v>
      </c>
      <c r="C24" t="s">
        <v>143</v>
      </c>
      <c r="D24">
        <v>7.46</v>
      </c>
      <c r="E24" t="s">
        <v>455</v>
      </c>
      <c r="F24" t="s">
        <v>75</v>
      </c>
      <c r="G24" t="s">
        <v>456</v>
      </c>
      <c r="H24" t="s">
        <v>457</v>
      </c>
    </row>
    <row r="25" spans="1:8">
      <c r="A25" t="s">
        <v>232</v>
      </c>
      <c r="B25">
        <v>2004</v>
      </c>
      <c r="C25" t="s">
        <v>143</v>
      </c>
      <c r="D25">
        <v>353.54</v>
      </c>
      <c r="E25" t="s">
        <v>455</v>
      </c>
      <c r="F25" t="s">
        <v>75</v>
      </c>
      <c r="G25" t="s">
        <v>456</v>
      </c>
      <c r="H25" t="s">
        <v>457</v>
      </c>
    </row>
    <row r="26" spans="1:8">
      <c r="A26" t="s">
        <v>169</v>
      </c>
      <c r="B26">
        <v>2004</v>
      </c>
      <c r="C26" t="s">
        <v>143</v>
      </c>
      <c r="D26">
        <v>50.47</v>
      </c>
      <c r="E26" t="s">
        <v>455</v>
      </c>
      <c r="F26" t="s">
        <v>75</v>
      </c>
      <c r="G26" t="s">
        <v>456</v>
      </c>
      <c r="H26" t="s">
        <v>457</v>
      </c>
    </row>
    <row r="27" spans="1:8">
      <c r="A27" t="s">
        <v>233</v>
      </c>
      <c r="B27">
        <v>2004</v>
      </c>
      <c r="C27" t="s">
        <v>143</v>
      </c>
      <c r="D27">
        <v>65.53</v>
      </c>
      <c r="E27" t="s">
        <v>455</v>
      </c>
      <c r="F27" t="s">
        <v>75</v>
      </c>
      <c r="G27" t="s">
        <v>456</v>
      </c>
      <c r="H27" t="s">
        <v>457</v>
      </c>
    </row>
    <row r="28" spans="1:8">
      <c r="A28" t="s">
        <v>128</v>
      </c>
      <c r="B28">
        <v>2005</v>
      </c>
      <c r="C28" t="s">
        <v>143</v>
      </c>
      <c r="D28">
        <v>1980.15</v>
      </c>
      <c r="E28" t="s">
        <v>455</v>
      </c>
      <c r="F28" t="s">
        <v>75</v>
      </c>
      <c r="G28" t="s">
        <v>456</v>
      </c>
      <c r="H28" t="s">
        <v>457</v>
      </c>
    </row>
    <row r="29" spans="1:8">
      <c r="A29" t="s">
        <v>129</v>
      </c>
      <c r="B29">
        <v>2005</v>
      </c>
      <c r="C29" t="s">
        <v>143</v>
      </c>
      <c r="D29">
        <v>12.14</v>
      </c>
      <c r="E29" t="s">
        <v>455</v>
      </c>
      <c r="F29" t="s">
        <v>75</v>
      </c>
      <c r="G29" t="s">
        <v>456</v>
      </c>
      <c r="H29" t="s">
        <v>457</v>
      </c>
    </row>
    <row r="30" spans="1:8">
      <c r="A30" t="s">
        <v>232</v>
      </c>
      <c r="B30">
        <v>2005</v>
      </c>
      <c r="C30" t="s">
        <v>143</v>
      </c>
      <c r="D30">
        <v>397.02</v>
      </c>
      <c r="E30" t="s">
        <v>455</v>
      </c>
      <c r="F30" t="s">
        <v>75</v>
      </c>
      <c r="G30" t="s">
        <v>456</v>
      </c>
      <c r="H30" t="s">
        <v>457</v>
      </c>
    </row>
    <row r="31" spans="1:8">
      <c r="A31" t="s">
        <v>169</v>
      </c>
      <c r="B31">
        <v>2005</v>
      </c>
      <c r="C31" t="s">
        <v>143</v>
      </c>
      <c r="D31">
        <v>53.09</v>
      </c>
      <c r="E31" t="s">
        <v>455</v>
      </c>
      <c r="F31" t="s">
        <v>75</v>
      </c>
      <c r="G31" t="s">
        <v>456</v>
      </c>
      <c r="H31" t="s">
        <v>457</v>
      </c>
    </row>
    <row r="32" spans="1:8">
      <c r="A32" t="s">
        <v>233</v>
      </c>
      <c r="B32">
        <v>2005</v>
      </c>
      <c r="C32" t="s">
        <v>143</v>
      </c>
      <c r="D32">
        <v>50.51</v>
      </c>
      <c r="E32" t="s">
        <v>455</v>
      </c>
      <c r="F32" t="s">
        <v>75</v>
      </c>
      <c r="G32" t="s">
        <v>456</v>
      </c>
      <c r="H32" t="s">
        <v>457</v>
      </c>
    </row>
    <row r="33" spans="1:8">
      <c r="A33" t="s">
        <v>128</v>
      </c>
      <c r="B33">
        <v>2006</v>
      </c>
      <c r="C33" t="s">
        <v>143</v>
      </c>
      <c r="D33">
        <v>2302.42</v>
      </c>
      <c r="E33" t="s">
        <v>455</v>
      </c>
      <c r="F33" t="s">
        <v>75</v>
      </c>
      <c r="G33" t="s">
        <v>456</v>
      </c>
      <c r="H33" t="s">
        <v>457</v>
      </c>
    </row>
    <row r="34" spans="1:8">
      <c r="A34" t="s">
        <v>129</v>
      </c>
      <c r="B34">
        <v>2006</v>
      </c>
      <c r="C34" t="s">
        <v>143</v>
      </c>
      <c r="D34">
        <v>23.82</v>
      </c>
      <c r="E34" t="s">
        <v>455</v>
      </c>
      <c r="F34" t="s">
        <v>75</v>
      </c>
      <c r="G34" t="s">
        <v>456</v>
      </c>
      <c r="H34" t="s">
        <v>457</v>
      </c>
    </row>
    <row r="35" spans="1:8">
      <c r="A35" t="s">
        <v>232</v>
      </c>
      <c r="B35">
        <v>2006</v>
      </c>
      <c r="C35" t="s">
        <v>143</v>
      </c>
      <c r="D35">
        <v>435.79</v>
      </c>
      <c r="E35" t="s">
        <v>455</v>
      </c>
      <c r="F35" t="s">
        <v>75</v>
      </c>
      <c r="G35" t="s">
        <v>456</v>
      </c>
      <c r="H35" t="s">
        <v>457</v>
      </c>
    </row>
    <row r="36" spans="1:8">
      <c r="A36" t="s">
        <v>169</v>
      </c>
      <c r="B36">
        <v>2006</v>
      </c>
      <c r="C36" t="s">
        <v>143</v>
      </c>
      <c r="D36">
        <v>54.84</v>
      </c>
      <c r="E36" t="s">
        <v>455</v>
      </c>
      <c r="F36" t="s">
        <v>75</v>
      </c>
      <c r="G36" t="s">
        <v>456</v>
      </c>
      <c r="H36" t="s">
        <v>457</v>
      </c>
    </row>
    <row r="37" spans="1:8">
      <c r="A37" t="s">
        <v>233</v>
      </c>
      <c r="B37">
        <v>2006</v>
      </c>
      <c r="C37" t="s">
        <v>143</v>
      </c>
      <c r="D37">
        <v>37.92</v>
      </c>
      <c r="E37" t="s">
        <v>455</v>
      </c>
      <c r="F37" t="s">
        <v>75</v>
      </c>
      <c r="G37" t="s">
        <v>456</v>
      </c>
      <c r="H37" t="s">
        <v>457</v>
      </c>
    </row>
    <row r="38" spans="1:8">
      <c r="A38" t="s">
        <v>128</v>
      </c>
      <c r="B38">
        <v>2007</v>
      </c>
      <c r="C38" t="s">
        <v>143</v>
      </c>
      <c r="D38">
        <v>2656.7</v>
      </c>
      <c r="E38" t="s">
        <v>455</v>
      </c>
      <c r="F38" t="s">
        <v>75</v>
      </c>
      <c r="G38" t="s">
        <v>456</v>
      </c>
      <c r="H38" t="s">
        <v>457</v>
      </c>
    </row>
    <row r="39" spans="1:8">
      <c r="A39" t="s">
        <v>129</v>
      </c>
      <c r="B39">
        <v>2007</v>
      </c>
      <c r="C39" t="s">
        <v>143</v>
      </c>
      <c r="D39">
        <v>33.909999999999997</v>
      </c>
      <c r="E39" t="s">
        <v>455</v>
      </c>
      <c r="F39" t="s">
        <v>75</v>
      </c>
      <c r="G39" t="s">
        <v>456</v>
      </c>
      <c r="H39" t="s">
        <v>457</v>
      </c>
    </row>
    <row r="40" spans="1:8">
      <c r="A40" t="s">
        <v>232</v>
      </c>
      <c r="B40">
        <v>2007</v>
      </c>
      <c r="C40" t="s">
        <v>143</v>
      </c>
      <c r="D40">
        <v>485.26</v>
      </c>
      <c r="E40" t="s">
        <v>455</v>
      </c>
      <c r="F40" t="s">
        <v>75</v>
      </c>
      <c r="G40" t="s">
        <v>456</v>
      </c>
      <c r="H40" t="s">
        <v>457</v>
      </c>
    </row>
    <row r="41" spans="1:8">
      <c r="A41" t="s">
        <v>169</v>
      </c>
      <c r="B41">
        <v>2007</v>
      </c>
      <c r="C41" t="s">
        <v>143</v>
      </c>
      <c r="D41">
        <v>62.13</v>
      </c>
      <c r="E41" t="s">
        <v>455</v>
      </c>
      <c r="F41" t="s">
        <v>75</v>
      </c>
      <c r="G41" t="s">
        <v>456</v>
      </c>
      <c r="H41" t="s">
        <v>457</v>
      </c>
    </row>
    <row r="42" spans="1:8">
      <c r="A42" t="s">
        <v>233</v>
      </c>
      <c r="B42">
        <v>2007</v>
      </c>
      <c r="C42" t="s">
        <v>143</v>
      </c>
      <c r="D42">
        <v>28.09</v>
      </c>
      <c r="E42" t="s">
        <v>455</v>
      </c>
      <c r="F42" t="s">
        <v>75</v>
      </c>
      <c r="G42" t="s">
        <v>456</v>
      </c>
      <c r="H42" t="s">
        <v>457</v>
      </c>
    </row>
    <row r="43" spans="1:8">
      <c r="A43" t="s">
        <v>128</v>
      </c>
      <c r="B43">
        <v>2008</v>
      </c>
      <c r="C43" t="s">
        <v>143</v>
      </c>
      <c r="D43">
        <v>2708.91</v>
      </c>
      <c r="E43" t="s">
        <v>455</v>
      </c>
      <c r="F43" t="s">
        <v>75</v>
      </c>
      <c r="G43" t="s">
        <v>456</v>
      </c>
      <c r="H43" t="s">
        <v>457</v>
      </c>
    </row>
    <row r="44" spans="1:8">
      <c r="A44" t="s">
        <v>129</v>
      </c>
      <c r="B44">
        <v>2008</v>
      </c>
      <c r="C44" t="s">
        <v>143</v>
      </c>
      <c r="D44">
        <v>34.57</v>
      </c>
      <c r="E44" t="s">
        <v>455</v>
      </c>
      <c r="F44" t="s">
        <v>75</v>
      </c>
      <c r="G44" t="s">
        <v>456</v>
      </c>
      <c r="H44" t="s">
        <v>457</v>
      </c>
    </row>
    <row r="45" spans="1:8">
      <c r="A45" t="s">
        <v>232</v>
      </c>
      <c r="B45">
        <v>2008</v>
      </c>
      <c r="C45" t="s">
        <v>143</v>
      </c>
      <c r="D45">
        <v>636.96</v>
      </c>
      <c r="E45" t="s">
        <v>455</v>
      </c>
      <c r="F45" t="s">
        <v>75</v>
      </c>
      <c r="G45" t="s">
        <v>456</v>
      </c>
      <c r="H45" t="s">
        <v>457</v>
      </c>
    </row>
    <row r="46" spans="1:8">
      <c r="A46" t="s">
        <v>169</v>
      </c>
      <c r="B46">
        <v>2008</v>
      </c>
      <c r="C46" t="s">
        <v>143</v>
      </c>
      <c r="D46">
        <v>68.39</v>
      </c>
      <c r="E46" t="s">
        <v>455</v>
      </c>
      <c r="F46" t="s">
        <v>75</v>
      </c>
      <c r="G46" t="s">
        <v>456</v>
      </c>
      <c r="H46" t="s">
        <v>457</v>
      </c>
    </row>
    <row r="47" spans="1:8">
      <c r="A47" t="s">
        <v>233</v>
      </c>
      <c r="B47">
        <v>2008</v>
      </c>
      <c r="C47" t="s">
        <v>143</v>
      </c>
      <c r="D47">
        <v>18.809999999999999</v>
      </c>
      <c r="E47" t="s">
        <v>455</v>
      </c>
      <c r="F47" t="s">
        <v>75</v>
      </c>
      <c r="G47" t="s">
        <v>456</v>
      </c>
      <c r="H47" t="s">
        <v>457</v>
      </c>
    </row>
    <row r="48" spans="1:8">
      <c r="A48" t="s">
        <v>128</v>
      </c>
      <c r="B48">
        <v>2009</v>
      </c>
      <c r="C48" t="s">
        <v>143</v>
      </c>
      <c r="D48">
        <v>2911.52</v>
      </c>
      <c r="E48" t="s">
        <v>455</v>
      </c>
      <c r="F48" t="s">
        <v>75</v>
      </c>
      <c r="G48" t="s">
        <v>456</v>
      </c>
      <c r="H48" t="s">
        <v>457</v>
      </c>
    </row>
    <row r="49" spans="1:8">
      <c r="A49" t="s">
        <v>129</v>
      </c>
      <c r="B49">
        <v>2009</v>
      </c>
      <c r="C49" t="s">
        <v>143</v>
      </c>
      <c r="D49">
        <v>56.56</v>
      </c>
      <c r="E49" t="s">
        <v>455</v>
      </c>
      <c r="F49" t="s">
        <v>75</v>
      </c>
      <c r="G49" t="s">
        <v>456</v>
      </c>
      <c r="H49" t="s">
        <v>457</v>
      </c>
    </row>
    <row r="50" spans="1:8">
      <c r="A50" t="s">
        <v>232</v>
      </c>
      <c r="B50">
        <v>2009</v>
      </c>
      <c r="C50" t="s">
        <v>143</v>
      </c>
      <c r="D50">
        <v>615.64</v>
      </c>
      <c r="E50" t="s">
        <v>455</v>
      </c>
      <c r="F50" t="s">
        <v>75</v>
      </c>
      <c r="G50" t="s">
        <v>456</v>
      </c>
      <c r="H50" t="s">
        <v>457</v>
      </c>
    </row>
    <row r="51" spans="1:8">
      <c r="A51" t="s">
        <v>169</v>
      </c>
      <c r="B51">
        <v>2009</v>
      </c>
      <c r="C51" t="s">
        <v>143</v>
      </c>
      <c r="D51">
        <v>70.05</v>
      </c>
      <c r="E51" t="s">
        <v>455</v>
      </c>
      <c r="F51" t="s">
        <v>75</v>
      </c>
      <c r="G51" t="s">
        <v>456</v>
      </c>
      <c r="H51" t="s">
        <v>457</v>
      </c>
    </row>
    <row r="52" spans="1:8">
      <c r="A52" t="s">
        <v>233</v>
      </c>
      <c r="B52">
        <v>2009</v>
      </c>
      <c r="C52" t="s">
        <v>143</v>
      </c>
      <c r="D52">
        <v>12.12</v>
      </c>
      <c r="E52" t="s">
        <v>455</v>
      </c>
      <c r="F52" t="s">
        <v>75</v>
      </c>
      <c r="G52" t="s">
        <v>456</v>
      </c>
      <c r="H52" t="s">
        <v>457</v>
      </c>
    </row>
    <row r="53" spans="1:8">
      <c r="A53" t="s">
        <v>128</v>
      </c>
      <c r="B53">
        <v>2010</v>
      </c>
      <c r="C53" t="s">
        <v>143</v>
      </c>
      <c r="D53">
        <v>3233.6</v>
      </c>
      <c r="E53" t="s">
        <v>455</v>
      </c>
      <c r="F53" t="s">
        <v>75</v>
      </c>
      <c r="G53" t="s">
        <v>456</v>
      </c>
      <c r="H53" t="s">
        <v>457</v>
      </c>
    </row>
    <row r="54" spans="1:8">
      <c r="A54" t="s">
        <v>129</v>
      </c>
      <c r="B54">
        <v>2010</v>
      </c>
      <c r="C54" t="s">
        <v>143</v>
      </c>
      <c r="D54">
        <v>77.73</v>
      </c>
      <c r="E54" t="s">
        <v>455</v>
      </c>
      <c r="F54" t="s">
        <v>75</v>
      </c>
      <c r="G54" t="s">
        <v>456</v>
      </c>
      <c r="H54" t="s">
        <v>457</v>
      </c>
    </row>
    <row r="55" spans="1:8">
      <c r="A55" t="s">
        <v>232</v>
      </c>
      <c r="B55">
        <v>2010</v>
      </c>
      <c r="C55" t="s">
        <v>143</v>
      </c>
      <c r="D55">
        <v>711.38</v>
      </c>
      <c r="E55" t="s">
        <v>455</v>
      </c>
      <c r="F55" t="s">
        <v>75</v>
      </c>
      <c r="G55" t="s">
        <v>456</v>
      </c>
      <c r="H55" t="s">
        <v>457</v>
      </c>
    </row>
    <row r="56" spans="1:8">
      <c r="A56" t="s">
        <v>169</v>
      </c>
      <c r="B56">
        <v>2010</v>
      </c>
      <c r="C56" t="s">
        <v>143</v>
      </c>
      <c r="D56">
        <v>74.739999999999995</v>
      </c>
      <c r="E56" t="s">
        <v>455</v>
      </c>
      <c r="F56" t="s">
        <v>75</v>
      </c>
      <c r="G56" t="s">
        <v>456</v>
      </c>
      <c r="H56" t="s">
        <v>457</v>
      </c>
    </row>
    <row r="57" spans="1:8">
      <c r="A57" t="s">
        <v>233</v>
      </c>
      <c r="B57">
        <v>2010</v>
      </c>
      <c r="C57" t="s">
        <v>143</v>
      </c>
      <c r="D57">
        <v>34.71</v>
      </c>
      <c r="E57" t="s">
        <v>455</v>
      </c>
      <c r="F57" t="s">
        <v>75</v>
      </c>
      <c r="G57" t="s">
        <v>456</v>
      </c>
      <c r="H57" t="s">
        <v>457</v>
      </c>
    </row>
    <row r="58" spans="1:8">
      <c r="A58" t="s">
        <v>128</v>
      </c>
      <c r="B58">
        <v>2011</v>
      </c>
      <c r="C58" t="s">
        <v>143</v>
      </c>
      <c r="D58">
        <v>3690.87</v>
      </c>
      <c r="E58" t="s">
        <v>455</v>
      </c>
      <c r="F58" t="s">
        <v>75</v>
      </c>
      <c r="G58" t="s">
        <v>456</v>
      </c>
      <c r="H58" t="s">
        <v>457</v>
      </c>
    </row>
    <row r="59" spans="1:8">
      <c r="A59" t="s">
        <v>129</v>
      </c>
      <c r="B59">
        <v>2011</v>
      </c>
      <c r="C59" t="s">
        <v>143</v>
      </c>
      <c r="D59">
        <v>108.77</v>
      </c>
      <c r="E59" t="s">
        <v>455</v>
      </c>
      <c r="F59" t="s">
        <v>75</v>
      </c>
      <c r="G59" t="s">
        <v>456</v>
      </c>
      <c r="H59" t="s">
        <v>457</v>
      </c>
    </row>
    <row r="60" spans="1:8">
      <c r="A60" t="s">
        <v>232</v>
      </c>
      <c r="B60">
        <v>2011</v>
      </c>
      <c r="C60" t="s">
        <v>143</v>
      </c>
      <c r="D60">
        <v>688.04</v>
      </c>
      <c r="E60" t="s">
        <v>455</v>
      </c>
      <c r="F60" t="s">
        <v>75</v>
      </c>
      <c r="G60" t="s">
        <v>456</v>
      </c>
      <c r="H60" t="s">
        <v>457</v>
      </c>
    </row>
    <row r="61" spans="1:8">
      <c r="A61" t="s">
        <v>169</v>
      </c>
      <c r="B61">
        <v>2011</v>
      </c>
      <c r="C61" t="s">
        <v>143</v>
      </c>
      <c r="D61">
        <v>87.2</v>
      </c>
      <c r="E61" t="s">
        <v>455</v>
      </c>
      <c r="F61" t="s">
        <v>75</v>
      </c>
      <c r="G61" t="s">
        <v>456</v>
      </c>
      <c r="H61" t="s">
        <v>457</v>
      </c>
    </row>
    <row r="62" spans="1:8">
      <c r="A62" t="s">
        <v>233</v>
      </c>
      <c r="B62">
        <v>2011</v>
      </c>
      <c r="C62" t="s">
        <v>143</v>
      </c>
      <c r="D62">
        <v>33.799999999999997</v>
      </c>
      <c r="E62" t="s">
        <v>455</v>
      </c>
      <c r="F62" t="s">
        <v>75</v>
      </c>
      <c r="G62" t="s">
        <v>456</v>
      </c>
      <c r="H62" t="s">
        <v>457</v>
      </c>
    </row>
    <row r="63" spans="1:8">
      <c r="A63" t="s">
        <v>128</v>
      </c>
      <c r="B63">
        <v>2012</v>
      </c>
      <c r="C63" t="s">
        <v>143</v>
      </c>
      <c r="D63">
        <v>3748.19</v>
      </c>
      <c r="E63" t="s">
        <v>455</v>
      </c>
      <c r="F63" t="s">
        <v>75</v>
      </c>
      <c r="G63" t="s">
        <v>456</v>
      </c>
      <c r="H63" t="s">
        <v>457</v>
      </c>
    </row>
    <row r="64" spans="1:8">
      <c r="A64" t="s">
        <v>129</v>
      </c>
      <c r="B64">
        <v>2012</v>
      </c>
      <c r="C64" t="s">
        <v>143</v>
      </c>
      <c r="D64">
        <v>110.25</v>
      </c>
      <c r="E64" t="s">
        <v>455</v>
      </c>
      <c r="F64" t="s">
        <v>75</v>
      </c>
      <c r="G64" t="s">
        <v>456</v>
      </c>
      <c r="H64" t="s">
        <v>457</v>
      </c>
    </row>
    <row r="65" spans="1:8">
      <c r="A65" t="s">
        <v>232</v>
      </c>
      <c r="B65">
        <v>2012</v>
      </c>
      <c r="C65" t="s">
        <v>143</v>
      </c>
      <c r="D65">
        <v>862.79</v>
      </c>
      <c r="E65" t="s">
        <v>455</v>
      </c>
      <c r="F65" t="s">
        <v>75</v>
      </c>
      <c r="G65" t="s">
        <v>456</v>
      </c>
      <c r="H65" t="s">
        <v>457</v>
      </c>
    </row>
    <row r="66" spans="1:8">
      <c r="A66" t="s">
        <v>169</v>
      </c>
      <c r="B66">
        <v>2012</v>
      </c>
      <c r="C66" t="s">
        <v>143</v>
      </c>
      <c r="D66">
        <v>98.32</v>
      </c>
      <c r="E66" t="s">
        <v>455</v>
      </c>
      <c r="F66" t="s">
        <v>75</v>
      </c>
      <c r="G66" t="s">
        <v>456</v>
      </c>
      <c r="H66" t="s">
        <v>457</v>
      </c>
    </row>
    <row r="67" spans="1:8">
      <c r="A67" t="s">
        <v>233</v>
      </c>
      <c r="B67">
        <v>2012</v>
      </c>
      <c r="C67" t="s">
        <v>143</v>
      </c>
      <c r="D67">
        <v>31.22</v>
      </c>
      <c r="E67" t="s">
        <v>455</v>
      </c>
      <c r="F67" t="s">
        <v>75</v>
      </c>
      <c r="G67" t="s">
        <v>456</v>
      </c>
      <c r="H67" t="s">
        <v>457</v>
      </c>
    </row>
    <row r="68" spans="1:8">
      <c r="A68" t="s">
        <v>128</v>
      </c>
      <c r="B68">
        <v>2013</v>
      </c>
      <c r="C68" t="s">
        <v>143</v>
      </c>
      <c r="D68">
        <v>4077.37</v>
      </c>
      <c r="E68" t="s">
        <v>455</v>
      </c>
      <c r="F68" t="s">
        <v>75</v>
      </c>
      <c r="G68" t="s">
        <v>456</v>
      </c>
      <c r="H68" t="s">
        <v>457</v>
      </c>
    </row>
    <row r="69" spans="1:8">
      <c r="A69" t="s">
        <v>129</v>
      </c>
      <c r="B69">
        <v>2013</v>
      </c>
      <c r="C69" t="s">
        <v>143</v>
      </c>
      <c r="D69">
        <v>116.39</v>
      </c>
      <c r="E69" t="s">
        <v>455</v>
      </c>
      <c r="F69" t="s">
        <v>75</v>
      </c>
      <c r="G69" t="s">
        <v>456</v>
      </c>
      <c r="H69" t="s">
        <v>457</v>
      </c>
    </row>
    <row r="70" spans="1:8">
      <c r="A70" t="s">
        <v>232</v>
      </c>
      <c r="B70">
        <v>2013</v>
      </c>
      <c r="C70" t="s">
        <v>143</v>
      </c>
      <c r="D70">
        <v>909.61</v>
      </c>
      <c r="E70" t="s">
        <v>455</v>
      </c>
      <c r="F70" t="s">
        <v>75</v>
      </c>
      <c r="G70" t="s">
        <v>456</v>
      </c>
      <c r="H70" t="s">
        <v>457</v>
      </c>
    </row>
    <row r="71" spans="1:8">
      <c r="A71" t="s">
        <v>169</v>
      </c>
      <c r="B71">
        <v>2013</v>
      </c>
      <c r="C71" t="s">
        <v>143</v>
      </c>
      <c r="D71">
        <v>111.5</v>
      </c>
      <c r="E71" t="s">
        <v>455</v>
      </c>
      <c r="F71" t="s">
        <v>75</v>
      </c>
      <c r="G71" t="s">
        <v>456</v>
      </c>
      <c r="H71" t="s">
        <v>457</v>
      </c>
    </row>
    <row r="72" spans="1:8">
      <c r="A72" t="s">
        <v>233</v>
      </c>
      <c r="B72">
        <v>2013</v>
      </c>
      <c r="C72" t="s">
        <v>143</v>
      </c>
      <c r="D72">
        <v>33</v>
      </c>
      <c r="E72" t="s">
        <v>455</v>
      </c>
      <c r="F72" t="s">
        <v>75</v>
      </c>
      <c r="G72" t="s">
        <v>456</v>
      </c>
      <c r="H72" t="s">
        <v>457</v>
      </c>
    </row>
    <row r="73" spans="1:8">
      <c r="A73" t="s">
        <v>128</v>
      </c>
      <c r="B73">
        <v>2014</v>
      </c>
      <c r="C73" t="s">
        <v>143</v>
      </c>
      <c r="D73">
        <v>4203.0600000000004</v>
      </c>
      <c r="E73" t="s">
        <v>455</v>
      </c>
      <c r="F73" t="s">
        <v>75</v>
      </c>
      <c r="G73" t="s">
        <v>456</v>
      </c>
      <c r="H73" t="s">
        <v>457</v>
      </c>
    </row>
    <row r="74" spans="1:8">
      <c r="A74" t="s">
        <v>129</v>
      </c>
      <c r="B74">
        <v>2014</v>
      </c>
      <c r="C74" t="s">
        <v>143</v>
      </c>
      <c r="D74">
        <v>133.28</v>
      </c>
      <c r="E74" t="s">
        <v>455</v>
      </c>
      <c r="F74" t="s">
        <v>75</v>
      </c>
      <c r="G74" t="s">
        <v>456</v>
      </c>
      <c r="H74" t="s">
        <v>457</v>
      </c>
    </row>
    <row r="75" spans="1:8">
      <c r="A75" t="s">
        <v>232</v>
      </c>
      <c r="B75">
        <v>2014</v>
      </c>
      <c r="C75" t="s">
        <v>143</v>
      </c>
      <c r="D75">
        <v>1059.69</v>
      </c>
      <c r="E75" t="s">
        <v>455</v>
      </c>
      <c r="F75" t="s">
        <v>75</v>
      </c>
      <c r="G75" t="s">
        <v>456</v>
      </c>
      <c r="H75" t="s">
        <v>457</v>
      </c>
    </row>
    <row r="76" spans="1:8">
      <c r="A76" t="s">
        <v>169</v>
      </c>
      <c r="B76">
        <v>2014</v>
      </c>
      <c r="C76" t="s">
        <v>143</v>
      </c>
      <c r="D76">
        <v>133.22</v>
      </c>
      <c r="E76" t="s">
        <v>455</v>
      </c>
      <c r="F76" t="s">
        <v>75</v>
      </c>
      <c r="G76" t="s">
        <v>456</v>
      </c>
      <c r="H76" t="s">
        <v>457</v>
      </c>
    </row>
    <row r="77" spans="1:8">
      <c r="A77" t="s">
        <v>233</v>
      </c>
      <c r="B77">
        <v>2014</v>
      </c>
      <c r="C77" t="s">
        <v>143</v>
      </c>
      <c r="D77">
        <v>35.659999999999997</v>
      </c>
      <c r="E77" t="s">
        <v>455</v>
      </c>
      <c r="F77" t="s">
        <v>75</v>
      </c>
      <c r="G77" t="s">
        <v>456</v>
      </c>
      <c r="H77" t="s">
        <v>457</v>
      </c>
    </row>
    <row r="78" spans="1:8">
      <c r="A78" t="s">
        <v>128</v>
      </c>
      <c r="B78">
        <v>2015</v>
      </c>
      <c r="C78" t="s">
        <v>143</v>
      </c>
      <c r="D78">
        <v>4046.17</v>
      </c>
      <c r="E78" t="s">
        <v>455</v>
      </c>
      <c r="F78" t="s">
        <v>75</v>
      </c>
      <c r="G78" t="s">
        <v>456</v>
      </c>
      <c r="H78" t="s">
        <v>457</v>
      </c>
    </row>
    <row r="79" spans="1:8">
      <c r="A79" t="s">
        <v>129</v>
      </c>
      <c r="B79">
        <v>2015</v>
      </c>
      <c r="C79" t="s">
        <v>143</v>
      </c>
      <c r="D79">
        <v>166.91</v>
      </c>
      <c r="E79" t="s">
        <v>455</v>
      </c>
      <c r="F79" t="s">
        <v>75</v>
      </c>
      <c r="G79" t="s">
        <v>456</v>
      </c>
      <c r="H79" t="s">
        <v>457</v>
      </c>
    </row>
    <row r="80" spans="1:8">
      <c r="A80" t="s">
        <v>232</v>
      </c>
      <c r="B80">
        <v>2015</v>
      </c>
      <c r="C80" t="s">
        <v>143</v>
      </c>
      <c r="D80">
        <v>1114.52</v>
      </c>
      <c r="E80" t="s">
        <v>455</v>
      </c>
      <c r="F80" t="s">
        <v>75</v>
      </c>
      <c r="G80" t="s">
        <v>456</v>
      </c>
      <c r="H80" t="s">
        <v>457</v>
      </c>
    </row>
    <row r="81" spans="1:8">
      <c r="A81" t="s">
        <v>169</v>
      </c>
      <c r="B81">
        <v>2015</v>
      </c>
      <c r="C81" t="s">
        <v>143</v>
      </c>
      <c r="D81">
        <v>171.38</v>
      </c>
      <c r="E81" t="s">
        <v>455</v>
      </c>
      <c r="F81" t="s">
        <v>75</v>
      </c>
      <c r="G81" t="s">
        <v>456</v>
      </c>
      <c r="H81" t="s">
        <v>457</v>
      </c>
    </row>
    <row r="82" spans="1:8">
      <c r="A82" t="s">
        <v>233</v>
      </c>
      <c r="B82">
        <v>2015</v>
      </c>
      <c r="C82" t="s">
        <v>143</v>
      </c>
      <c r="D82">
        <v>36.46</v>
      </c>
      <c r="E82" t="s">
        <v>455</v>
      </c>
      <c r="F82" t="s">
        <v>75</v>
      </c>
      <c r="G82" t="s">
        <v>456</v>
      </c>
      <c r="H82" t="s">
        <v>457</v>
      </c>
    </row>
    <row r="83" spans="1:8">
      <c r="A83" t="s">
        <v>128</v>
      </c>
      <c r="B83">
        <v>2016</v>
      </c>
      <c r="C83" t="s">
        <v>143</v>
      </c>
      <c r="D83">
        <v>4156.3500000000004</v>
      </c>
      <c r="E83" t="s">
        <v>455</v>
      </c>
      <c r="F83" t="s">
        <v>75</v>
      </c>
      <c r="G83" t="s">
        <v>456</v>
      </c>
      <c r="H83" t="s">
        <v>457</v>
      </c>
    </row>
    <row r="84" spans="1:8">
      <c r="A84" t="s">
        <v>129</v>
      </c>
      <c r="B84">
        <v>2016</v>
      </c>
      <c r="C84" t="s">
        <v>143</v>
      </c>
      <c r="D84">
        <v>188.28</v>
      </c>
      <c r="E84" t="s">
        <v>455</v>
      </c>
      <c r="F84" t="s">
        <v>75</v>
      </c>
      <c r="G84" t="s">
        <v>456</v>
      </c>
      <c r="H84" t="s">
        <v>457</v>
      </c>
    </row>
    <row r="85" spans="1:8">
      <c r="A85" t="s">
        <v>232</v>
      </c>
      <c r="B85">
        <v>2016</v>
      </c>
      <c r="C85" t="s">
        <v>143</v>
      </c>
      <c r="D85">
        <v>1153.27</v>
      </c>
      <c r="E85" t="s">
        <v>455</v>
      </c>
      <c r="F85" t="s">
        <v>75</v>
      </c>
      <c r="G85" t="s">
        <v>456</v>
      </c>
      <c r="H85" t="s">
        <v>457</v>
      </c>
    </row>
    <row r="86" spans="1:8">
      <c r="A86" t="s">
        <v>169</v>
      </c>
      <c r="B86">
        <v>2016</v>
      </c>
      <c r="C86" t="s">
        <v>143</v>
      </c>
      <c r="D86">
        <v>213.18</v>
      </c>
      <c r="E86" t="s">
        <v>455</v>
      </c>
      <c r="F86" t="s">
        <v>75</v>
      </c>
      <c r="G86" t="s">
        <v>456</v>
      </c>
      <c r="H86" t="s">
        <v>457</v>
      </c>
    </row>
    <row r="87" spans="1:8">
      <c r="A87" t="s">
        <v>233</v>
      </c>
      <c r="B87">
        <v>2016</v>
      </c>
      <c r="C87" t="s">
        <v>143</v>
      </c>
      <c r="D87">
        <v>52.56</v>
      </c>
      <c r="E87" t="s">
        <v>455</v>
      </c>
      <c r="F87" t="s">
        <v>75</v>
      </c>
      <c r="G87" t="s">
        <v>456</v>
      </c>
      <c r="H87" t="s">
        <v>457</v>
      </c>
    </row>
    <row r="88" spans="1:8">
      <c r="A88" t="s">
        <v>128</v>
      </c>
      <c r="B88">
        <v>2017</v>
      </c>
      <c r="C88" t="s">
        <v>143</v>
      </c>
      <c r="D88">
        <v>4430.03</v>
      </c>
      <c r="E88" t="s">
        <v>455</v>
      </c>
      <c r="F88" t="s">
        <v>75</v>
      </c>
      <c r="G88" t="s">
        <v>456</v>
      </c>
      <c r="H88" t="s">
        <v>457</v>
      </c>
    </row>
    <row r="89" spans="1:8">
      <c r="A89" t="s">
        <v>129</v>
      </c>
      <c r="B89">
        <v>2017</v>
      </c>
      <c r="C89" t="s">
        <v>143</v>
      </c>
      <c r="D89">
        <v>203.2</v>
      </c>
      <c r="E89" t="s">
        <v>455</v>
      </c>
      <c r="F89" t="s">
        <v>75</v>
      </c>
      <c r="G89" t="s">
        <v>456</v>
      </c>
      <c r="H89" t="s">
        <v>457</v>
      </c>
    </row>
    <row r="90" spans="1:8">
      <c r="A90" t="s">
        <v>232</v>
      </c>
      <c r="B90">
        <v>2017</v>
      </c>
      <c r="C90" t="s">
        <v>143</v>
      </c>
      <c r="D90">
        <v>1165.06</v>
      </c>
      <c r="E90" t="s">
        <v>455</v>
      </c>
      <c r="F90" t="s">
        <v>75</v>
      </c>
      <c r="G90" t="s">
        <v>456</v>
      </c>
      <c r="H90" t="s">
        <v>457</v>
      </c>
    </row>
    <row r="91" spans="1:8">
      <c r="A91" t="s">
        <v>169</v>
      </c>
      <c r="B91">
        <v>2017</v>
      </c>
      <c r="C91" t="s">
        <v>143</v>
      </c>
      <c r="D91">
        <v>248.1</v>
      </c>
      <c r="E91" t="s">
        <v>455</v>
      </c>
      <c r="F91" t="s">
        <v>75</v>
      </c>
      <c r="G91" t="s">
        <v>456</v>
      </c>
      <c r="H91" t="s">
        <v>457</v>
      </c>
    </row>
    <row r="92" spans="1:8">
      <c r="A92" t="s">
        <v>233</v>
      </c>
      <c r="B92">
        <v>2017</v>
      </c>
      <c r="C92" t="s">
        <v>143</v>
      </c>
      <c r="D92">
        <v>56.05</v>
      </c>
      <c r="E92" t="s">
        <v>455</v>
      </c>
      <c r="F92" t="s">
        <v>75</v>
      </c>
      <c r="G92" t="s">
        <v>456</v>
      </c>
      <c r="H92" t="s">
        <v>457</v>
      </c>
    </row>
    <row r="93" spans="1:8">
      <c r="A93" t="s">
        <v>128</v>
      </c>
      <c r="B93">
        <v>2018</v>
      </c>
      <c r="C93" t="s">
        <v>143</v>
      </c>
      <c r="D93">
        <v>4763.92</v>
      </c>
      <c r="E93" t="s">
        <v>455</v>
      </c>
      <c r="F93" t="s">
        <v>75</v>
      </c>
      <c r="G93" t="s">
        <v>456</v>
      </c>
      <c r="H93" t="s">
        <v>457</v>
      </c>
    </row>
    <row r="94" spans="1:8">
      <c r="A94" t="s">
        <v>129</v>
      </c>
      <c r="B94">
        <v>2018</v>
      </c>
      <c r="C94" t="s">
        <v>143</v>
      </c>
      <c r="D94">
        <v>215.5</v>
      </c>
      <c r="E94" t="s">
        <v>455</v>
      </c>
      <c r="F94" t="s">
        <v>75</v>
      </c>
      <c r="G94" t="s">
        <v>456</v>
      </c>
      <c r="H94" t="s">
        <v>457</v>
      </c>
    </row>
    <row r="95" spans="1:8">
      <c r="A95" t="s">
        <v>232</v>
      </c>
      <c r="B95">
        <v>2018</v>
      </c>
      <c r="C95" t="s">
        <v>143</v>
      </c>
      <c r="D95">
        <v>1198.8900000000001</v>
      </c>
      <c r="E95" t="s">
        <v>455</v>
      </c>
      <c r="F95" t="s">
        <v>75</v>
      </c>
      <c r="G95" t="s">
        <v>456</v>
      </c>
      <c r="H95" t="s">
        <v>457</v>
      </c>
    </row>
    <row r="96" spans="1:8">
      <c r="A96" t="s">
        <v>169</v>
      </c>
      <c r="B96">
        <v>2018</v>
      </c>
      <c r="C96" t="s">
        <v>143</v>
      </c>
      <c r="D96">
        <v>295</v>
      </c>
      <c r="E96" t="s">
        <v>455</v>
      </c>
      <c r="F96" t="s">
        <v>75</v>
      </c>
      <c r="G96" t="s">
        <v>456</v>
      </c>
      <c r="H96" t="s">
        <v>457</v>
      </c>
    </row>
    <row r="97" spans="1:8">
      <c r="A97" t="s">
        <v>233</v>
      </c>
      <c r="B97">
        <v>2018</v>
      </c>
      <c r="C97" t="s">
        <v>143</v>
      </c>
      <c r="D97">
        <v>56.4</v>
      </c>
      <c r="E97" t="s">
        <v>455</v>
      </c>
      <c r="F97" t="s">
        <v>75</v>
      </c>
      <c r="G97" t="s">
        <v>456</v>
      </c>
      <c r="H97" t="s">
        <v>457</v>
      </c>
    </row>
    <row r="98" spans="1:8">
      <c r="A98" t="s">
        <v>128</v>
      </c>
      <c r="B98">
        <v>2019</v>
      </c>
      <c r="C98" t="s">
        <v>143</v>
      </c>
      <c r="D98">
        <v>4855.1899999999996</v>
      </c>
      <c r="E98" t="s">
        <v>455</v>
      </c>
      <c r="F98" t="s">
        <v>75</v>
      </c>
      <c r="G98" t="s">
        <v>456</v>
      </c>
      <c r="H98" t="s">
        <v>457</v>
      </c>
    </row>
    <row r="99" spans="1:8">
      <c r="A99" t="s">
        <v>129</v>
      </c>
      <c r="B99">
        <v>2019</v>
      </c>
      <c r="C99" t="s">
        <v>143</v>
      </c>
      <c r="D99">
        <v>232.5</v>
      </c>
      <c r="E99" t="s">
        <v>455</v>
      </c>
      <c r="F99" t="s">
        <v>75</v>
      </c>
      <c r="G99" t="s">
        <v>456</v>
      </c>
      <c r="H99" t="s">
        <v>457</v>
      </c>
    </row>
    <row r="100" spans="1:8">
      <c r="A100" t="s">
        <v>232</v>
      </c>
      <c r="B100">
        <v>2019</v>
      </c>
      <c r="C100" t="s">
        <v>143</v>
      </c>
      <c r="D100">
        <v>1272.54</v>
      </c>
      <c r="E100" t="s">
        <v>455</v>
      </c>
      <c r="F100" t="s">
        <v>75</v>
      </c>
      <c r="G100" t="s">
        <v>456</v>
      </c>
      <c r="H100" t="s">
        <v>457</v>
      </c>
    </row>
    <row r="101" spans="1:8">
      <c r="A101" t="s">
        <v>169</v>
      </c>
      <c r="B101">
        <v>2019</v>
      </c>
      <c r="C101" t="s">
        <v>143</v>
      </c>
      <c r="D101">
        <v>348.7</v>
      </c>
      <c r="E101" t="s">
        <v>455</v>
      </c>
      <c r="F101" t="s">
        <v>75</v>
      </c>
      <c r="G101" t="s">
        <v>456</v>
      </c>
      <c r="H101" t="s">
        <v>457</v>
      </c>
    </row>
    <row r="102" spans="1:8">
      <c r="A102" t="s">
        <v>233</v>
      </c>
      <c r="B102">
        <v>2019</v>
      </c>
      <c r="C102" t="s">
        <v>143</v>
      </c>
      <c r="D102">
        <v>52.47</v>
      </c>
      <c r="E102" t="s">
        <v>455</v>
      </c>
      <c r="F102" t="s">
        <v>75</v>
      </c>
      <c r="G102" t="s">
        <v>456</v>
      </c>
      <c r="H102" t="s">
        <v>457</v>
      </c>
    </row>
    <row r="103" spans="1:8">
      <c r="A103" t="s">
        <v>128</v>
      </c>
      <c r="B103">
        <v>2020</v>
      </c>
      <c r="C103" t="s">
        <v>143</v>
      </c>
      <c r="D103">
        <v>4921.96</v>
      </c>
      <c r="E103" t="s">
        <v>455</v>
      </c>
      <c r="F103" t="s">
        <v>75</v>
      </c>
      <c r="G103" t="s">
        <v>456</v>
      </c>
      <c r="H103" t="s">
        <v>457</v>
      </c>
    </row>
    <row r="104" spans="1:8">
      <c r="A104" t="s">
        <v>129</v>
      </c>
      <c r="B104">
        <v>2020</v>
      </c>
      <c r="C104" t="s">
        <v>143</v>
      </c>
      <c r="D104">
        <v>252.5</v>
      </c>
      <c r="E104" t="s">
        <v>455</v>
      </c>
      <c r="F104" t="s">
        <v>75</v>
      </c>
      <c r="G104" t="s">
        <v>456</v>
      </c>
      <c r="H104" t="s">
        <v>457</v>
      </c>
    </row>
    <row r="105" spans="1:8">
      <c r="A105" t="s">
        <v>232</v>
      </c>
      <c r="B105">
        <v>2020</v>
      </c>
      <c r="C105" t="s">
        <v>143</v>
      </c>
      <c r="D105">
        <v>1321.71</v>
      </c>
      <c r="E105" t="s">
        <v>455</v>
      </c>
      <c r="F105" t="s">
        <v>75</v>
      </c>
      <c r="G105" t="s">
        <v>456</v>
      </c>
      <c r="H105" t="s">
        <v>457</v>
      </c>
    </row>
    <row r="106" spans="1:8">
      <c r="A106" t="s">
        <v>169</v>
      </c>
      <c r="B106">
        <v>2020</v>
      </c>
      <c r="C106" t="s">
        <v>143</v>
      </c>
      <c r="D106">
        <v>366.2</v>
      </c>
      <c r="E106" t="s">
        <v>455</v>
      </c>
      <c r="F106" t="s">
        <v>75</v>
      </c>
      <c r="G106" t="s">
        <v>456</v>
      </c>
      <c r="H106" t="s">
        <v>457</v>
      </c>
    </row>
    <row r="107" spans="1:8">
      <c r="A107" t="s">
        <v>233</v>
      </c>
      <c r="B107">
        <v>2020</v>
      </c>
      <c r="C107" t="s">
        <v>143</v>
      </c>
      <c r="D107">
        <v>53.47</v>
      </c>
      <c r="E107" t="s">
        <v>455</v>
      </c>
      <c r="F107" t="s">
        <v>75</v>
      </c>
      <c r="G107" t="s">
        <v>456</v>
      </c>
      <c r="H107" t="s">
        <v>457</v>
      </c>
    </row>
    <row r="108" spans="1:8">
      <c r="A108" t="s">
        <v>128</v>
      </c>
      <c r="B108">
        <v>2021</v>
      </c>
      <c r="C108" t="s">
        <v>143</v>
      </c>
      <c r="D108">
        <v>5333.87</v>
      </c>
      <c r="E108" t="s">
        <v>455</v>
      </c>
      <c r="F108" t="s">
        <v>75</v>
      </c>
      <c r="G108" t="s">
        <v>456</v>
      </c>
      <c r="H108" t="s">
        <v>457</v>
      </c>
    </row>
    <row r="109" spans="1:8">
      <c r="A109" t="s">
        <v>129</v>
      </c>
      <c r="B109">
        <v>2021</v>
      </c>
      <c r="C109" t="s">
        <v>143</v>
      </c>
      <c r="D109">
        <v>287.10000000000002</v>
      </c>
      <c r="E109" t="s">
        <v>455</v>
      </c>
      <c r="F109" t="s">
        <v>75</v>
      </c>
      <c r="G109" t="s">
        <v>456</v>
      </c>
      <c r="H109" t="s">
        <v>457</v>
      </c>
    </row>
    <row r="110" spans="1:8">
      <c r="A110" t="s">
        <v>232</v>
      </c>
      <c r="B110">
        <v>2021</v>
      </c>
      <c r="C110" t="s">
        <v>143</v>
      </c>
      <c r="D110">
        <v>1300</v>
      </c>
      <c r="E110" t="s">
        <v>455</v>
      </c>
      <c r="F110" t="s">
        <v>75</v>
      </c>
      <c r="G110" t="s">
        <v>456</v>
      </c>
      <c r="H110" t="s">
        <v>457</v>
      </c>
    </row>
    <row r="111" spans="1:8">
      <c r="A111" t="s">
        <v>169</v>
      </c>
      <c r="B111">
        <v>2021</v>
      </c>
      <c r="C111" t="s">
        <v>143</v>
      </c>
      <c r="D111">
        <v>407.5</v>
      </c>
      <c r="E111" t="s">
        <v>455</v>
      </c>
      <c r="F111" t="s">
        <v>75</v>
      </c>
      <c r="G111" t="s">
        <v>456</v>
      </c>
      <c r="H111" t="s">
        <v>457</v>
      </c>
    </row>
    <row r="112" spans="1:8">
      <c r="A112" t="s">
        <v>233</v>
      </c>
      <c r="B112">
        <v>2021</v>
      </c>
      <c r="C112" t="s">
        <v>143</v>
      </c>
      <c r="D112">
        <v>57.06</v>
      </c>
      <c r="E112" t="s">
        <v>455</v>
      </c>
      <c r="F112" t="s">
        <v>75</v>
      </c>
      <c r="G112" t="s">
        <v>456</v>
      </c>
      <c r="H112" t="s">
        <v>457</v>
      </c>
    </row>
    <row r="113" spans="1:8">
      <c r="A113" t="s">
        <v>128</v>
      </c>
      <c r="B113">
        <v>2022</v>
      </c>
      <c r="C113" t="s">
        <v>143</v>
      </c>
      <c r="D113">
        <v>5412.68</v>
      </c>
      <c r="E113" t="s">
        <v>455</v>
      </c>
      <c r="F113" t="s">
        <v>75</v>
      </c>
      <c r="G113" t="s">
        <v>456</v>
      </c>
      <c r="H113" t="s">
        <v>457</v>
      </c>
    </row>
    <row r="114" spans="1:8">
      <c r="A114" t="s">
        <v>129</v>
      </c>
      <c r="B114">
        <v>2022</v>
      </c>
      <c r="C114" t="s">
        <v>143</v>
      </c>
      <c r="D114">
        <v>275.62</v>
      </c>
      <c r="E114" t="s">
        <v>455</v>
      </c>
      <c r="F114" t="s">
        <v>75</v>
      </c>
      <c r="G114" t="s">
        <v>456</v>
      </c>
      <c r="H114" t="s">
        <v>457</v>
      </c>
    </row>
    <row r="115" spans="1:8">
      <c r="A115" t="s">
        <v>232</v>
      </c>
      <c r="B115">
        <v>2022</v>
      </c>
      <c r="C115" t="s">
        <v>143</v>
      </c>
      <c r="D115">
        <v>1298.1199999999999</v>
      </c>
      <c r="E115" t="s">
        <v>455</v>
      </c>
      <c r="F115" t="s">
        <v>75</v>
      </c>
      <c r="G115" t="s">
        <v>456</v>
      </c>
      <c r="H115" t="s">
        <v>457</v>
      </c>
    </row>
    <row r="116" spans="1:8">
      <c r="A116" t="s">
        <v>169</v>
      </c>
      <c r="B116">
        <v>2022</v>
      </c>
      <c r="C116" t="s">
        <v>143</v>
      </c>
      <c r="D116">
        <v>417.78</v>
      </c>
      <c r="E116" t="s">
        <v>455</v>
      </c>
      <c r="F116" t="s">
        <v>75</v>
      </c>
      <c r="G116" t="s">
        <v>456</v>
      </c>
      <c r="H116" t="s">
        <v>457</v>
      </c>
    </row>
    <row r="117" spans="1:8">
      <c r="A117" t="s">
        <v>233</v>
      </c>
      <c r="B117">
        <v>2022</v>
      </c>
      <c r="C117" t="s">
        <v>143</v>
      </c>
      <c r="D117">
        <v>72.040000000000006</v>
      </c>
      <c r="E117" t="s">
        <v>455</v>
      </c>
      <c r="F117" t="s">
        <v>75</v>
      </c>
      <c r="G117" t="s">
        <v>456</v>
      </c>
      <c r="H117" t="s">
        <v>457</v>
      </c>
    </row>
    <row r="118" spans="1:8">
      <c r="A118" t="s">
        <v>128</v>
      </c>
      <c r="B118">
        <v>2023</v>
      </c>
      <c r="C118" t="s">
        <v>143</v>
      </c>
      <c r="D118">
        <v>5753.88</v>
      </c>
      <c r="E118" t="s">
        <v>455</v>
      </c>
      <c r="F118" t="s">
        <v>75</v>
      </c>
      <c r="G118" t="s">
        <v>456</v>
      </c>
      <c r="H118" t="s">
        <v>457</v>
      </c>
    </row>
    <row r="119" spans="1:8">
      <c r="A119" t="s">
        <v>129</v>
      </c>
      <c r="B119">
        <v>2023</v>
      </c>
      <c r="C119" t="s">
        <v>143</v>
      </c>
      <c r="D119">
        <v>297.8</v>
      </c>
      <c r="E119" t="s">
        <v>455</v>
      </c>
      <c r="F119" t="s">
        <v>75</v>
      </c>
      <c r="G119" t="s">
        <v>456</v>
      </c>
      <c r="H119" t="s">
        <v>457</v>
      </c>
    </row>
    <row r="120" spans="1:8">
      <c r="A120" t="s">
        <v>232</v>
      </c>
      <c r="B120">
        <v>2023</v>
      </c>
      <c r="C120" t="s">
        <v>143</v>
      </c>
      <c r="D120">
        <v>1226</v>
      </c>
      <c r="E120" t="s">
        <v>455</v>
      </c>
      <c r="F120" t="s">
        <v>75</v>
      </c>
      <c r="G120" t="s">
        <v>456</v>
      </c>
      <c r="H120" t="s">
        <v>457</v>
      </c>
    </row>
    <row r="121" spans="1:8">
      <c r="A121" t="s">
        <v>169</v>
      </c>
      <c r="B121">
        <v>2023</v>
      </c>
      <c r="C121" t="s">
        <v>143</v>
      </c>
      <c r="D121">
        <v>434.72</v>
      </c>
      <c r="E121" t="s">
        <v>455</v>
      </c>
      <c r="F121" t="s">
        <v>75</v>
      </c>
      <c r="G121" t="s">
        <v>456</v>
      </c>
      <c r="H121" t="s">
        <v>457</v>
      </c>
    </row>
    <row r="122" spans="1:8">
      <c r="A122" t="s">
        <v>233</v>
      </c>
      <c r="B122">
        <v>2023</v>
      </c>
      <c r="C122" t="s">
        <v>143</v>
      </c>
      <c r="D122">
        <v>75.900000000000006</v>
      </c>
      <c r="E122" t="s">
        <v>455</v>
      </c>
      <c r="F122" t="s">
        <v>75</v>
      </c>
      <c r="G122" t="s">
        <v>456</v>
      </c>
      <c r="H122" t="s">
        <v>457</v>
      </c>
    </row>
    <row r="123" spans="1:8">
      <c r="A123" t="s">
        <v>128</v>
      </c>
      <c r="B123">
        <v>2000</v>
      </c>
      <c r="C123" t="s">
        <v>7</v>
      </c>
      <c r="D123">
        <v>198.77</v>
      </c>
      <c r="E123" t="s">
        <v>455</v>
      </c>
      <c r="F123" t="s">
        <v>65</v>
      </c>
      <c r="G123" t="s">
        <v>456</v>
      </c>
      <c r="H123" t="s">
        <v>457</v>
      </c>
    </row>
    <row r="124" spans="1:8">
      <c r="A124" t="s">
        <v>129</v>
      </c>
      <c r="B124">
        <v>2000</v>
      </c>
      <c r="C124" t="s">
        <v>7</v>
      </c>
      <c r="D124">
        <v>1.71</v>
      </c>
      <c r="E124" t="s">
        <v>455</v>
      </c>
      <c r="F124" t="s">
        <v>65</v>
      </c>
      <c r="G124" t="s">
        <v>456</v>
      </c>
      <c r="H124" t="s">
        <v>457</v>
      </c>
    </row>
    <row r="125" spans="1:8">
      <c r="A125" t="s">
        <v>232</v>
      </c>
      <c r="B125">
        <v>2000</v>
      </c>
      <c r="C125" t="s">
        <v>7</v>
      </c>
      <c r="D125">
        <v>74.349999999999994</v>
      </c>
      <c r="E125" t="s">
        <v>455</v>
      </c>
      <c r="F125" t="s">
        <v>65</v>
      </c>
      <c r="G125" t="s">
        <v>456</v>
      </c>
      <c r="H125" t="s">
        <v>457</v>
      </c>
    </row>
    <row r="126" spans="1:8">
      <c r="A126" t="s">
        <v>169</v>
      </c>
      <c r="B126">
        <v>2000</v>
      </c>
      <c r="C126" t="s">
        <v>7</v>
      </c>
      <c r="D126">
        <v>2.2799999999999998</v>
      </c>
      <c r="E126" t="s">
        <v>455</v>
      </c>
      <c r="F126" t="s">
        <v>65</v>
      </c>
      <c r="G126" t="s">
        <v>456</v>
      </c>
      <c r="H126" t="s">
        <v>457</v>
      </c>
    </row>
    <row r="127" spans="1:8">
      <c r="A127" t="s">
        <v>233</v>
      </c>
      <c r="B127">
        <v>2000</v>
      </c>
      <c r="C127" t="s">
        <v>7</v>
      </c>
      <c r="D127">
        <v>3</v>
      </c>
      <c r="E127" t="s">
        <v>455</v>
      </c>
      <c r="F127" t="s">
        <v>65</v>
      </c>
      <c r="G127" t="s">
        <v>456</v>
      </c>
      <c r="H127" t="s">
        <v>457</v>
      </c>
    </row>
    <row r="128" spans="1:8">
      <c r="A128" t="s">
        <v>128</v>
      </c>
      <c r="B128">
        <v>2001</v>
      </c>
      <c r="C128" t="s">
        <v>7</v>
      </c>
      <c r="D128">
        <v>212.04</v>
      </c>
      <c r="E128" t="s">
        <v>455</v>
      </c>
      <c r="F128" t="s">
        <v>65</v>
      </c>
      <c r="G128" t="s">
        <v>456</v>
      </c>
      <c r="H128" t="s">
        <v>457</v>
      </c>
    </row>
    <row r="129" spans="1:8">
      <c r="A129" t="s">
        <v>129</v>
      </c>
      <c r="B129">
        <v>2001</v>
      </c>
      <c r="C129" t="s">
        <v>7</v>
      </c>
      <c r="D129">
        <v>1.71</v>
      </c>
      <c r="E129" t="s">
        <v>455</v>
      </c>
      <c r="F129" t="s">
        <v>65</v>
      </c>
      <c r="G129" t="s">
        <v>456</v>
      </c>
      <c r="H129" t="s">
        <v>457</v>
      </c>
    </row>
    <row r="130" spans="1:8">
      <c r="A130" t="s">
        <v>232</v>
      </c>
      <c r="B130">
        <v>2001</v>
      </c>
      <c r="C130" t="s">
        <v>7</v>
      </c>
      <c r="D130">
        <v>77.7</v>
      </c>
      <c r="E130" t="s">
        <v>455</v>
      </c>
      <c r="F130" t="s">
        <v>65</v>
      </c>
      <c r="G130" t="s">
        <v>456</v>
      </c>
      <c r="H130" t="s">
        <v>457</v>
      </c>
    </row>
    <row r="131" spans="1:8">
      <c r="A131" t="s">
        <v>169</v>
      </c>
      <c r="B131">
        <v>2001</v>
      </c>
      <c r="C131" t="s">
        <v>7</v>
      </c>
      <c r="D131">
        <v>2.2799999999999998</v>
      </c>
      <c r="E131" t="s">
        <v>455</v>
      </c>
      <c r="F131" t="s">
        <v>65</v>
      </c>
      <c r="G131" t="s">
        <v>456</v>
      </c>
      <c r="H131" t="s">
        <v>457</v>
      </c>
    </row>
    <row r="132" spans="1:8">
      <c r="A132" t="s">
        <v>233</v>
      </c>
      <c r="B132">
        <v>2001</v>
      </c>
      <c r="C132" t="s">
        <v>7</v>
      </c>
      <c r="D132">
        <v>3.19</v>
      </c>
      <c r="E132" t="s">
        <v>455</v>
      </c>
      <c r="F132" t="s">
        <v>65</v>
      </c>
      <c r="G132" t="s">
        <v>456</v>
      </c>
      <c r="H132" t="s">
        <v>457</v>
      </c>
    </row>
    <row r="133" spans="1:8">
      <c r="A133" t="s">
        <v>128</v>
      </c>
      <c r="B133">
        <v>2002</v>
      </c>
      <c r="C133" t="s">
        <v>7</v>
      </c>
      <c r="D133">
        <v>222.57</v>
      </c>
      <c r="E133" t="s">
        <v>455</v>
      </c>
      <c r="F133" t="s">
        <v>65</v>
      </c>
      <c r="G133" t="s">
        <v>456</v>
      </c>
      <c r="H133" t="s">
        <v>457</v>
      </c>
    </row>
    <row r="134" spans="1:8">
      <c r="A134" t="s">
        <v>129</v>
      </c>
      <c r="B134">
        <v>2002</v>
      </c>
      <c r="C134" t="s">
        <v>7</v>
      </c>
      <c r="D134">
        <v>1.71</v>
      </c>
      <c r="E134" t="s">
        <v>455</v>
      </c>
      <c r="F134" t="s">
        <v>65</v>
      </c>
      <c r="G134" t="s">
        <v>456</v>
      </c>
      <c r="H134" t="s">
        <v>457</v>
      </c>
    </row>
    <row r="135" spans="1:8">
      <c r="A135" t="s">
        <v>232</v>
      </c>
      <c r="B135">
        <v>2002</v>
      </c>
      <c r="C135" t="s">
        <v>7</v>
      </c>
      <c r="D135">
        <v>81.069999999999993</v>
      </c>
      <c r="E135" t="s">
        <v>455</v>
      </c>
      <c r="F135" t="s">
        <v>65</v>
      </c>
      <c r="G135" t="s">
        <v>456</v>
      </c>
      <c r="H135" t="s">
        <v>457</v>
      </c>
    </row>
    <row r="136" spans="1:8">
      <c r="A136" t="s">
        <v>169</v>
      </c>
      <c r="B136">
        <v>2002</v>
      </c>
      <c r="C136" t="s">
        <v>7</v>
      </c>
      <c r="D136">
        <v>4.91</v>
      </c>
      <c r="E136" t="s">
        <v>455</v>
      </c>
      <c r="F136" t="s">
        <v>65</v>
      </c>
      <c r="G136" t="s">
        <v>456</v>
      </c>
      <c r="H136" t="s">
        <v>457</v>
      </c>
    </row>
    <row r="137" spans="1:8">
      <c r="A137" t="s">
        <v>233</v>
      </c>
      <c r="B137">
        <v>2002</v>
      </c>
      <c r="C137" t="s">
        <v>7</v>
      </c>
      <c r="D137">
        <v>3.36</v>
      </c>
      <c r="E137" t="s">
        <v>455</v>
      </c>
      <c r="F137" t="s">
        <v>65</v>
      </c>
      <c r="G137" t="s">
        <v>456</v>
      </c>
      <c r="H137" t="s">
        <v>457</v>
      </c>
    </row>
    <row r="138" spans="1:8">
      <c r="A138" t="s">
        <v>128</v>
      </c>
      <c r="B138">
        <v>2003</v>
      </c>
      <c r="C138" t="s">
        <v>7</v>
      </c>
      <c r="D138">
        <v>245.29</v>
      </c>
      <c r="E138" t="s">
        <v>455</v>
      </c>
      <c r="F138" t="s">
        <v>65</v>
      </c>
      <c r="G138" t="s">
        <v>456</v>
      </c>
      <c r="H138" t="s">
        <v>457</v>
      </c>
    </row>
    <row r="139" spans="1:8">
      <c r="A139" t="s">
        <v>129</v>
      </c>
      <c r="B139">
        <v>2003</v>
      </c>
      <c r="C139" t="s">
        <v>7</v>
      </c>
      <c r="D139">
        <v>3.03</v>
      </c>
      <c r="E139" t="s">
        <v>455</v>
      </c>
      <c r="F139" t="s">
        <v>65</v>
      </c>
      <c r="G139" t="s">
        <v>456</v>
      </c>
      <c r="H139" t="s">
        <v>457</v>
      </c>
    </row>
    <row r="140" spans="1:8">
      <c r="A140" t="s">
        <v>232</v>
      </c>
      <c r="B140">
        <v>2003</v>
      </c>
      <c r="C140" t="s">
        <v>7</v>
      </c>
      <c r="D140">
        <v>89.9</v>
      </c>
      <c r="E140" t="s">
        <v>455</v>
      </c>
      <c r="F140" t="s">
        <v>65</v>
      </c>
      <c r="G140" t="s">
        <v>456</v>
      </c>
      <c r="H140" t="s">
        <v>457</v>
      </c>
    </row>
    <row r="141" spans="1:8">
      <c r="A141" t="s">
        <v>169</v>
      </c>
      <c r="B141">
        <v>2003</v>
      </c>
      <c r="C141" t="s">
        <v>7</v>
      </c>
      <c r="D141">
        <v>5.64</v>
      </c>
      <c r="E141" t="s">
        <v>455</v>
      </c>
      <c r="F141" t="s">
        <v>65</v>
      </c>
      <c r="G141" t="s">
        <v>456</v>
      </c>
      <c r="H141" t="s">
        <v>457</v>
      </c>
    </row>
    <row r="142" spans="1:8">
      <c r="A142" t="s">
        <v>233</v>
      </c>
      <c r="B142">
        <v>2003</v>
      </c>
      <c r="C142" t="s">
        <v>7</v>
      </c>
      <c r="D142">
        <v>3.66</v>
      </c>
      <c r="E142" t="s">
        <v>455</v>
      </c>
      <c r="F142" t="s">
        <v>65</v>
      </c>
      <c r="G142" t="s">
        <v>456</v>
      </c>
      <c r="H142" t="s">
        <v>457</v>
      </c>
    </row>
    <row r="143" spans="1:8">
      <c r="A143" t="s">
        <v>128</v>
      </c>
      <c r="B143">
        <v>2004</v>
      </c>
      <c r="C143" t="s">
        <v>7</v>
      </c>
      <c r="D143">
        <v>275.32</v>
      </c>
      <c r="E143" t="s">
        <v>455</v>
      </c>
      <c r="F143" t="s">
        <v>65</v>
      </c>
      <c r="G143" t="s">
        <v>456</v>
      </c>
      <c r="H143" t="s">
        <v>457</v>
      </c>
    </row>
    <row r="144" spans="1:8">
      <c r="A144" t="s">
        <v>129</v>
      </c>
      <c r="B144">
        <v>2004</v>
      </c>
      <c r="C144" t="s">
        <v>7</v>
      </c>
      <c r="D144">
        <v>5.2</v>
      </c>
      <c r="E144" t="s">
        <v>455</v>
      </c>
      <c r="F144" t="s">
        <v>65</v>
      </c>
      <c r="G144" t="s">
        <v>456</v>
      </c>
      <c r="H144" t="s">
        <v>457</v>
      </c>
    </row>
    <row r="145" spans="1:8">
      <c r="A145" t="s">
        <v>232</v>
      </c>
      <c r="B145">
        <v>2004</v>
      </c>
      <c r="C145" t="s">
        <v>7</v>
      </c>
      <c r="D145">
        <v>100.24</v>
      </c>
      <c r="E145" t="s">
        <v>455</v>
      </c>
      <c r="F145" t="s">
        <v>65</v>
      </c>
      <c r="G145" t="s">
        <v>456</v>
      </c>
      <c r="H145" t="s">
        <v>457</v>
      </c>
    </row>
    <row r="146" spans="1:8">
      <c r="A146" t="s">
        <v>169</v>
      </c>
      <c r="B146">
        <v>2004</v>
      </c>
      <c r="C146" t="s">
        <v>7</v>
      </c>
      <c r="D146">
        <v>6.29</v>
      </c>
      <c r="E146" t="s">
        <v>455</v>
      </c>
      <c r="F146" t="s">
        <v>65</v>
      </c>
      <c r="G146" t="s">
        <v>456</v>
      </c>
      <c r="H146" t="s">
        <v>457</v>
      </c>
    </row>
    <row r="147" spans="1:8">
      <c r="A147" t="s">
        <v>233</v>
      </c>
      <c r="B147">
        <v>2004</v>
      </c>
      <c r="C147" t="s">
        <v>7</v>
      </c>
      <c r="D147">
        <v>4.1500000000000004</v>
      </c>
      <c r="E147" t="s">
        <v>455</v>
      </c>
      <c r="F147" t="s">
        <v>65</v>
      </c>
      <c r="G147" t="s">
        <v>456</v>
      </c>
      <c r="H147" t="s">
        <v>457</v>
      </c>
    </row>
    <row r="148" spans="1:8">
      <c r="A148" t="s">
        <v>128</v>
      </c>
      <c r="B148">
        <v>2005</v>
      </c>
      <c r="C148" t="s">
        <v>7</v>
      </c>
      <c r="D148">
        <v>322.16000000000003</v>
      </c>
      <c r="E148" t="s">
        <v>455</v>
      </c>
      <c r="F148" t="s">
        <v>65</v>
      </c>
      <c r="G148" t="s">
        <v>456</v>
      </c>
      <c r="H148" t="s">
        <v>457</v>
      </c>
    </row>
    <row r="149" spans="1:8">
      <c r="A149" t="s">
        <v>129</v>
      </c>
      <c r="B149">
        <v>2005</v>
      </c>
      <c r="C149" t="s">
        <v>7</v>
      </c>
      <c r="D149">
        <v>12.04</v>
      </c>
      <c r="E149" t="s">
        <v>455</v>
      </c>
      <c r="F149" t="s">
        <v>65</v>
      </c>
      <c r="G149" t="s">
        <v>456</v>
      </c>
      <c r="H149" t="s">
        <v>457</v>
      </c>
    </row>
    <row r="150" spans="1:8">
      <c r="A150" t="s">
        <v>232</v>
      </c>
      <c r="B150">
        <v>2005</v>
      </c>
      <c r="C150" t="s">
        <v>7</v>
      </c>
      <c r="D150">
        <v>111.79</v>
      </c>
      <c r="E150" t="s">
        <v>455</v>
      </c>
      <c r="F150" t="s">
        <v>65</v>
      </c>
      <c r="G150" t="s">
        <v>456</v>
      </c>
      <c r="H150" t="s">
        <v>457</v>
      </c>
    </row>
    <row r="151" spans="1:8">
      <c r="A151" t="s">
        <v>169</v>
      </c>
      <c r="B151">
        <v>2005</v>
      </c>
      <c r="C151" t="s">
        <v>7</v>
      </c>
      <c r="D151">
        <v>6.96</v>
      </c>
      <c r="E151" t="s">
        <v>455</v>
      </c>
      <c r="F151" t="s">
        <v>65</v>
      </c>
      <c r="G151" t="s">
        <v>456</v>
      </c>
      <c r="H151" t="s">
        <v>457</v>
      </c>
    </row>
    <row r="152" spans="1:8">
      <c r="A152" t="s">
        <v>233</v>
      </c>
      <c r="B152">
        <v>2005</v>
      </c>
      <c r="C152" t="s">
        <v>7</v>
      </c>
      <c r="D152">
        <v>4.93</v>
      </c>
      <c r="E152" t="s">
        <v>455</v>
      </c>
      <c r="F152" t="s">
        <v>65</v>
      </c>
      <c r="G152" t="s">
        <v>456</v>
      </c>
      <c r="H152" t="s">
        <v>457</v>
      </c>
    </row>
    <row r="153" spans="1:8">
      <c r="A153" t="s">
        <v>128</v>
      </c>
      <c r="B153">
        <v>2006</v>
      </c>
      <c r="C153" t="s">
        <v>7</v>
      </c>
      <c r="D153">
        <v>403.62</v>
      </c>
      <c r="E153" t="s">
        <v>455</v>
      </c>
      <c r="F153" t="s">
        <v>65</v>
      </c>
      <c r="G153" t="s">
        <v>456</v>
      </c>
      <c r="H153" t="s">
        <v>457</v>
      </c>
    </row>
    <row r="154" spans="1:8">
      <c r="A154" t="s">
        <v>129</v>
      </c>
      <c r="B154">
        <v>2006</v>
      </c>
      <c r="C154" t="s">
        <v>7</v>
      </c>
      <c r="D154">
        <v>16.59</v>
      </c>
      <c r="E154" t="s">
        <v>455</v>
      </c>
      <c r="F154" t="s">
        <v>65</v>
      </c>
      <c r="G154" t="s">
        <v>456</v>
      </c>
      <c r="H154" t="s">
        <v>457</v>
      </c>
    </row>
    <row r="155" spans="1:8">
      <c r="A155" t="s">
        <v>232</v>
      </c>
      <c r="B155">
        <v>2006</v>
      </c>
      <c r="C155" t="s">
        <v>7</v>
      </c>
      <c r="D155">
        <v>124.09</v>
      </c>
      <c r="E155" t="s">
        <v>455</v>
      </c>
      <c r="F155" t="s">
        <v>65</v>
      </c>
      <c r="G155" t="s">
        <v>456</v>
      </c>
      <c r="H155" t="s">
        <v>457</v>
      </c>
    </row>
    <row r="156" spans="1:8">
      <c r="A156" t="s">
        <v>169</v>
      </c>
      <c r="B156">
        <v>2006</v>
      </c>
      <c r="C156" t="s">
        <v>7</v>
      </c>
      <c r="D156">
        <v>6.96</v>
      </c>
      <c r="E156" t="s">
        <v>455</v>
      </c>
      <c r="F156" t="s">
        <v>65</v>
      </c>
      <c r="G156" t="s">
        <v>456</v>
      </c>
      <c r="H156" t="s">
        <v>457</v>
      </c>
    </row>
    <row r="157" spans="1:8">
      <c r="A157" t="s">
        <v>233</v>
      </c>
      <c r="B157">
        <v>2006</v>
      </c>
      <c r="C157" t="s">
        <v>7</v>
      </c>
      <c r="D157">
        <v>6.11</v>
      </c>
      <c r="E157" t="s">
        <v>455</v>
      </c>
      <c r="F157" t="s">
        <v>65</v>
      </c>
      <c r="G157" t="s">
        <v>456</v>
      </c>
      <c r="H157" t="s">
        <v>457</v>
      </c>
    </row>
    <row r="158" spans="1:8">
      <c r="A158" t="s">
        <v>128</v>
      </c>
      <c r="B158">
        <v>2007</v>
      </c>
      <c r="C158" t="s">
        <v>7</v>
      </c>
      <c r="D158">
        <v>476.01</v>
      </c>
      <c r="E158" t="s">
        <v>455</v>
      </c>
      <c r="F158" t="s">
        <v>65</v>
      </c>
      <c r="G158" t="s">
        <v>456</v>
      </c>
      <c r="H158" t="s">
        <v>457</v>
      </c>
    </row>
    <row r="159" spans="1:8">
      <c r="A159" t="s">
        <v>129</v>
      </c>
      <c r="B159">
        <v>2007</v>
      </c>
      <c r="C159" t="s">
        <v>7</v>
      </c>
      <c r="D159">
        <v>23.68</v>
      </c>
      <c r="E159" t="s">
        <v>455</v>
      </c>
      <c r="F159" t="s">
        <v>65</v>
      </c>
      <c r="G159" t="s">
        <v>456</v>
      </c>
      <c r="H159" t="s">
        <v>457</v>
      </c>
    </row>
    <row r="160" spans="1:8">
      <c r="A160" t="s">
        <v>232</v>
      </c>
      <c r="B160">
        <v>2007</v>
      </c>
      <c r="C160" t="s">
        <v>7</v>
      </c>
      <c r="D160">
        <v>139.29</v>
      </c>
      <c r="E160" t="s">
        <v>455</v>
      </c>
      <c r="F160" t="s">
        <v>65</v>
      </c>
      <c r="G160" t="s">
        <v>456</v>
      </c>
      <c r="H160" t="s">
        <v>457</v>
      </c>
    </row>
    <row r="161" spans="1:8">
      <c r="A161" t="s">
        <v>169</v>
      </c>
      <c r="B161">
        <v>2007</v>
      </c>
      <c r="C161" t="s">
        <v>7</v>
      </c>
      <c r="D161">
        <v>9.08</v>
      </c>
      <c r="E161" t="s">
        <v>455</v>
      </c>
      <c r="F161" t="s">
        <v>65</v>
      </c>
      <c r="G161" t="s">
        <v>456</v>
      </c>
      <c r="H161" t="s">
        <v>457</v>
      </c>
    </row>
    <row r="162" spans="1:8">
      <c r="A162" t="s">
        <v>233</v>
      </c>
      <c r="B162">
        <v>2007</v>
      </c>
      <c r="C162" t="s">
        <v>7</v>
      </c>
      <c r="D162">
        <v>7.01</v>
      </c>
      <c r="E162" t="s">
        <v>455</v>
      </c>
      <c r="F162" t="s">
        <v>65</v>
      </c>
      <c r="G162" t="s">
        <v>456</v>
      </c>
      <c r="H162" t="s">
        <v>457</v>
      </c>
    </row>
    <row r="163" spans="1:8">
      <c r="A163" t="s">
        <v>128</v>
      </c>
      <c r="B163">
        <v>2008</v>
      </c>
      <c r="C163" t="s">
        <v>7</v>
      </c>
      <c r="D163">
        <v>529.54999999999995</v>
      </c>
      <c r="E163" t="s">
        <v>455</v>
      </c>
      <c r="F163" t="s">
        <v>65</v>
      </c>
      <c r="G163" t="s">
        <v>456</v>
      </c>
      <c r="H163" t="s">
        <v>457</v>
      </c>
    </row>
    <row r="164" spans="1:8">
      <c r="A164" t="s">
        <v>129</v>
      </c>
      <c r="B164">
        <v>2008</v>
      </c>
      <c r="C164" t="s">
        <v>7</v>
      </c>
      <c r="D164">
        <v>26.26</v>
      </c>
      <c r="E164" t="s">
        <v>455</v>
      </c>
      <c r="F164" t="s">
        <v>65</v>
      </c>
      <c r="G164" t="s">
        <v>456</v>
      </c>
      <c r="H164" t="s">
        <v>457</v>
      </c>
    </row>
    <row r="165" spans="1:8">
      <c r="A165" t="s">
        <v>232</v>
      </c>
      <c r="B165">
        <v>2008</v>
      </c>
      <c r="C165" t="s">
        <v>7</v>
      </c>
      <c r="D165">
        <v>162.4</v>
      </c>
      <c r="E165" t="s">
        <v>455</v>
      </c>
      <c r="F165" t="s">
        <v>65</v>
      </c>
      <c r="G165" t="s">
        <v>456</v>
      </c>
      <c r="H165" t="s">
        <v>457</v>
      </c>
    </row>
    <row r="166" spans="1:8">
      <c r="A166" t="s">
        <v>169</v>
      </c>
      <c r="B166">
        <v>2008</v>
      </c>
      <c r="C166" t="s">
        <v>7</v>
      </c>
      <c r="D166">
        <v>9.08</v>
      </c>
      <c r="E166" t="s">
        <v>455</v>
      </c>
      <c r="F166" t="s">
        <v>65</v>
      </c>
      <c r="G166" t="s">
        <v>456</v>
      </c>
      <c r="H166" t="s">
        <v>457</v>
      </c>
    </row>
    <row r="167" spans="1:8">
      <c r="A167" t="s">
        <v>233</v>
      </c>
      <c r="B167">
        <v>2008</v>
      </c>
      <c r="C167" t="s">
        <v>7</v>
      </c>
      <c r="D167">
        <v>7.59</v>
      </c>
      <c r="E167" t="s">
        <v>455</v>
      </c>
      <c r="F167" t="s">
        <v>65</v>
      </c>
      <c r="G167" t="s">
        <v>456</v>
      </c>
      <c r="H167" t="s">
        <v>457</v>
      </c>
    </row>
    <row r="168" spans="1:8">
      <c r="A168" t="s">
        <v>128</v>
      </c>
      <c r="B168">
        <v>2009</v>
      </c>
      <c r="C168" t="s">
        <v>7</v>
      </c>
      <c r="D168">
        <v>580.33000000000004</v>
      </c>
      <c r="E168" t="s">
        <v>455</v>
      </c>
      <c r="F168" t="s">
        <v>65</v>
      </c>
      <c r="G168" t="s">
        <v>456</v>
      </c>
      <c r="H168" t="s">
        <v>457</v>
      </c>
    </row>
    <row r="169" spans="1:8">
      <c r="A169" t="s">
        <v>129</v>
      </c>
      <c r="B169">
        <v>2009</v>
      </c>
      <c r="C169" t="s">
        <v>7</v>
      </c>
      <c r="D169">
        <v>28.76</v>
      </c>
      <c r="E169" t="s">
        <v>455</v>
      </c>
      <c r="F169" t="s">
        <v>65</v>
      </c>
      <c r="G169" t="s">
        <v>456</v>
      </c>
      <c r="H169" t="s">
        <v>457</v>
      </c>
    </row>
    <row r="170" spans="1:8">
      <c r="A170" t="s">
        <v>232</v>
      </c>
      <c r="B170">
        <v>2009</v>
      </c>
      <c r="C170" t="s">
        <v>7</v>
      </c>
      <c r="D170">
        <v>182.59</v>
      </c>
      <c r="E170" t="s">
        <v>455</v>
      </c>
      <c r="F170" t="s">
        <v>65</v>
      </c>
      <c r="G170" t="s">
        <v>456</v>
      </c>
      <c r="H170" t="s">
        <v>457</v>
      </c>
    </row>
    <row r="171" spans="1:8">
      <c r="A171" t="s">
        <v>169</v>
      </c>
      <c r="B171">
        <v>2009</v>
      </c>
      <c r="C171" t="s">
        <v>7</v>
      </c>
      <c r="D171">
        <v>9.08</v>
      </c>
      <c r="E171" t="s">
        <v>455</v>
      </c>
      <c r="F171" t="s">
        <v>65</v>
      </c>
      <c r="G171" t="s">
        <v>456</v>
      </c>
      <c r="H171" t="s">
        <v>457</v>
      </c>
    </row>
    <row r="172" spans="1:8">
      <c r="A172" t="s">
        <v>233</v>
      </c>
      <c r="B172">
        <v>2009</v>
      </c>
      <c r="C172" t="s">
        <v>7</v>
      </c>
      <c r="D172">
        <v>8.23</v>
      </c>
      <c r="E172" t="s">
        <v>455</v>
      </c>
      <c r="F172" t="s">
        <v>65</v>
      </c>
      <c r="G172" t="s">
        <v>456</v>
      </c>
      <c r="H172" t="s">
        <v>457</v>
      </c>
    </row>
    <row r="173" spans="1:8">
      <c r="A173" t="s">
        <v>128</v>
      </c>
      <c r="B173">
        <v>2010</v>
      </c>
      <c r="C173" t="s">
        <v>7</v>
      </c>
      <c r="D173">
        <v>634.11</v>
      </c>
      <c r="E173" t="s">
        <v>455</v>
      </c>
      <c r="F173" t="s">
        <v>65</v>
      </c>
      <c r="G173" t="s">
        <v>456</v>
      </c>
      <c r="H173" t="s">
        <v>457</v>
      </c>
    </row>
    <row r="174" spans="1:8">
      <c r="A174" t="s">
        <v>129</v>
      </c>
      <c r="B174">
        <v>2010</v>
      </c>
      <c r="C174" t="s">
        <v>7</v>
      </c>
      <c r="D174">
        <v>31.73</v>
      </c>
      <c r="E174" t="s">
        <v>455</v>
      </c>
      <c r="F174" t="s">
        <v>65</v>
      </c>
      <c r="G174" t="s">
        <v>456</v>
      </c>
      <c r="H174" t="s">
        <v>457</v>
      </c>
    </row>
    <row r="175" spans="1:8">
      <c r="A175" t="s">
        <v>232</v>
      </c>
      <c r="B175">
        <v>2010</v>
      </c>
      <c r="C175" t="s">
        <v>7</v>
      </c>
      <c r="D175">
        <v>199.13</v>
      </c>
      <c r="E175" t="s">
        <v>455</v>
      </c>
      <c r="F175" t="s">
        <v>65</v>
      </c>
      <c r="G175" t="s">
        <v>456</v>
      </c>
      <c r="H175" t="s">
        <v>457</v>
      </c>
    </row>
    <row r="176" spans="1:8">
      <c r="A176" t="s">
        <v>169</v>
      </c>
      <c r="B176">
        <v>2010</v>
      </c>
      <c r="C176" t="s">
        <v>7</v>
      </c>
      <c r="D176">
        <v>10.82</v>
      </c>
      <c r="E176" t="s">
        <v>455</v>
      </c>
      <c r="F176" t="s">
        <v>65</v>
      </c>
      <c r="G176" t="s">
        <v>456</v>
      </c>
      <c r="H176" t="s">
        <v>457</v>
      </c>
    </row>
    <row r="177" spans="1:8">
      <c r="A177" t="s">
        <v>233</v>
      </c>
      <c r="B177">
        <v>2010</v>
      </c>
      <c r="C177" t="s">
        <v>7</v>
      </c>
      <c r="D177">
        <v>9.9</v>
      </c>
      <c r="E177" t="s">
        <v>455</v>
      </c>
      <c r="F177" t="s">
        <v>65</v>
      </c>
      <c r="G177" t="s">
        <v>456</v>
      </c>
      <c r="H177" t="s">
        <v>457</v>
      </c>
    </row>
    <row r="178" spans="1:8">
      <c r="A178" t="s">
        <v>128</v>
      </c>
      <c r="B178">
        <v>2011</v>
      </c>
      <c r="C178" t="s">
        <v>7</v>
      </c>
      <c r="D178">
        <v>691.86</v>
      </c>
      <c r="E178" t="s">
        <v>455</v>
      </c>
      <c r="F178" t="s">
        <v>65</v>
      </c>
      <c r="G178" t="s">
        <v>456</v>
      </c>
      <c r="H178" t="s">
        <v>457</v>
      </c>
    </row>
    <row r="179" spans="1:8">
      <c r="A179" t="s">
        <v>129</v>
      </c>
      <c r="B179">
        <v>2011</v>
      </c>
      <c r="C179" t="s">
        <v>7</v>
      </c>
      <c r="D179">
        <v>34.47</v>
      </c>
      <c r="E179" t="s">
        <v>455</v>
      </c>
      <c r="F179" t="s">
        <v>65</v>
      </c>
      <c r="G179" t="s">
        <v>456</v>
      </c>
      <c r="H179" t="s">
        <v>457</v>
      </c>
    </row>
    <row r="180" spans="1:8">
      <c r="A180" t="s">
        <v>232</v>
      </c>
      <c r="B180">
        <v>2011</v>
      </c>
      <c r="C180" t="s">
        <v>7</v>
      </c>
      <c r="D180">
        <v>214.6</v>
      </c>
      <c r="E180" t="s">
        <v>455</v>
      </c>
      <c r="F180" t="s">
        <v>65</v>
      </c>
      <c r="G180" t="s">
        <v>456</v>
      </c>
      <c r="H180" t="s">
        <v>457</v>
      </c>
    </row>
    <row r="181" spans="1:8">
      <c r="A181" t="s">
        <v>169</v>
      </c>
      <c r="B181">
        <v>2011</v>
      </c>
      <c r="C181" t="s">
        <v>7</v>
      </c>
      <c r="D181">
        <v>12.57</v>
      </c>
      <c r="E181" t="s">
        <v>455</v>
      </c>
      <c r="F181" t="s">
        <v>65</v>
      </c>
      <c r="G181" t="s">
        <v>456</v>
      </c>
      <c r="H181" t="s">
        <v>457</v>
      </c>
    </row>
    <row r="182" spans="1:8">
      <c r="A182" t="s">
        <v>233</v>
      </c>
      <c r="B182">
        <v>2011</v>
      </c>
      <c r="C182" t="s">
        <v>7</v>
      </c>
      <c r="D182">
        <v>4.41</v>
      </c>
      <c r="E182" t="s">
        <v>455</v>
      </c>
      <c r="F182" t="s">
        <v>65</v>
      </c>
      <c r="G182" t="s">
        <v>456</v>
      </c>
      <c r="H182" t="s">
        <v>457</v>
      </c>
    </row>
    <row r="183" spans="1:8">
      <c r="A183" t="s">
        <v>128</v>
      </c>
      <c r="B183">
        <v>2012</v>
      </c>
      <c r="C183" t="s">
        <v>7</v>
      </c>
      <c r="D183">
        <v>739.92</v>
      </c>
      <c r="E183" t="s">
        <v>455</v>
      </c>
      <c r="F183" t="s">
        <v>65</v>
      </c>
      <c r="G183" t="s">
        <v>456</v>
      </c>
      <c r="H183" t="s">
        <v>457</v>
      </c>
    </row>
    <row r="184" spans="1:8">
      <c r="A184" t="s">
        <v>129</v>
      </c>
      <c r="B184">
        <v>2012</v>
      </c>
      <c r="C184" t="s">
        <v>7</v>
      </c>
      <c r="D184">
        <v>36.090000000000003</v>
      </c>
      <c r="E184" t="s">
        <v>455</v>
      </c>
      <c r="F184" t="s">
        <v>65</v>
      </c>
      <c r="G184" t="s">
        <v>456</v>
      </c>
      <c r="H184" t="s">
        <v>457</v>
      </c>
    </row>
    <row r="185" spans="1:8">
      <c r="A185" t="s">
        <v>232</v>
      </c>
      <c r="B185">
        <v>2012</v>
      </c>
      <c r="C185" t="s">
        <v>7</v>
      </c>
      <c r="D185">
        <v>229.14</v>
      </c>
      <c r="E185" t="s">
        <v>455</v>
      </c>
      <c r="F185" t="s">
        <v>65</v>
      </c>
      <c r="G185" t="s">
        <v>456</v>
      </c>
      <c r="H185" t="s">
        <v>457</v>
      </c>
    </row>
    <row r="186" spans="1:8">
      <c r="A186" t="s">
        <v>169</v>
      </c>
      <c r="B186">
        <v>2012</v>
      </c>
      <c r="C186" t="s">
        <v>7</v>
      </c>
      <c r="D186">
        <v>12.57</v>
      </c>
      <c r="E186" t="s">
        <v>455</v>
      </c>
      <c r="F186" t="s">
        <v>65</v>
      </c>
      <c r="G186" t="s">
        <v>456</v>
      </c>
      <c r="H186" t="s">
        <v>457</v>
      </c>
    </row>
    <row r="187" spans="1:8">
      <c r="A187" t="s">
        <v>233</v>
      </c>
      <c r="B187">
        <v>2012</v>
      </c>
      <c r="C187" t="s">
        <v>7</v>
      </c>
      <c r="D187">
        <v>7.25</v>
      </c>
      <c r="E187" t="s">
        <v>455</v>
      </c>
      <c r="F187" t="s">
        <v>65</v>
      </c>
      <c r="G187" t="s">
        <v>456</v>
      </c>
      <c r="H187" t="s">
        <v>457</v>
      </c>
    </row>
    <row r="188" spans="1:8">
      <c r="A188" t="s">
        <v>128</v>
      </c>
      <c r="B188">
        <v>2013</v>
      </c>
      <c r="C188" t="s">
        <v>7</v>
      </c>
      <c r="D188">
        <v>786.82</v>
      </c>
      <c r="E188" t="s">
        <v>455</v>
      </c>
      <c r="F188" t="s">
        <v>65</v>
      </c>
      <c r="G188" t="s">
        <v>456</v>
      </c>
      <c r="H188" t="s">
        <v>457</v>
      </c>
    </row>
    <row r="189" spans="1:8">
      <c r="A189" t="s">
        <v>129</v>
      </c>
      <c r="B189">
        <v>2013</v>
      </c>
      <c r="C189" t="s">
        <v>7</v>
      </c>
      <c r="D189">
        <v>41.88</v>
      </c>
      <c r="E189" t="s">
        <v>455</v>
      </c>
      <c r="F189" t="s">
        <v>65</v>
      </c>
      <c r="G189" t="s">
        <v>456</v>
      </c>
      <c r="H189" t="s">
        <v>457</v>
      </c>
    </row>
    <row r="190" spans="1:8">
      <c r="A190" t="s">
        <v>232</v>
      </c>
      <c r="B190">
        <v>2013</v>
      </c>
      <c r="C190" t="s">
        <v>7</v>
      </c>
      <c r="D190">
        <v>258.91000000000003</v>
      </c>
      <c r="E190" t="s">
        <v>455</v>
      </c>
      <c r="F190" t="s">
        <v>65</v>
      </c>
      <c r="G190" t="s">
        <v>456</v>
      </c>
      <c r="H190" t="s">
        <v>457</v>
      </c>
    </row>
    <row r="191" spans="1:8">
      <c r="A191" t="s">
        <v>169</v>
      </c>
      <c r="B191">
        <v>2013</v>
      </c>
      <c r="C191" t="s">
        <v>7</v>
      </c>
      <c r="D191">
        <v>14.66</v>
      </c>
      <c r="E191" t="s">
        <v>455</v>
      </c>
      <c r="F191" t="s">
        <v>65</v>
      </c>
      <c r="G191" t="s">
        <v>456</v>
      </c>
      <c r="H191" t="s">
        <v>457</v>
      </c>
    </row>
    <row r="192" spans="1:8">
      <c r="A192" t="s">
        <v>233</v>
      </c>
      <c r="B192">
        <v>2013</v>
      </c>
      <c r="C192" t="s">
        <v>7</v>
      </c>
      <c r="D192">
        <v>7.6</v>
      </c>
      <c r="E192" t="s">
        <v>455</v>
      </c>
      <c r="F192" t="s">
        <v>65</v>
      </c>
      <c r="G192" t="s">
        <v>456</v>
      </c>
      <c r="H192" t="s">
        <v>457</v>
      </c>
    </row>
    <row r="193" spans="1:8">
      <c r="A193" t="s">
        <v>128</v>
      </c>
      <c r="B193">
        <v>2014</v>
      </c>
      <c r="C193" t="s">
        <v>7</v>
      </c>
      <c r="D193">
        <v>818</v>
      </c>
      <c r="E193" t="s">
        <v>455</v>
      </c>
      <c r="F193" t="s">
        <v>65</v>
      </c>
      <c r="G193" t="s">
        <v>456</v>
      </c>
      <c r="H193" t="s">
        <v>457</v>
      </c>
    </row>
    <row r="194" spans="1:8">
      <c r="A194" t="s">
        <v>129</v>
      </c>
      <c r="B194">
        <v>2014</v>
      </c>
      <c r="C194" t="s">
        <v>7</v>
      </c>
      <c r="D194">
        <v>55.04</v>
      </c>
      <c r="E194" t="s">
        <v>455</v>
      </c>
      <c r="F194" t="s">
        <v>65</v>
      </c>
      <c r="G194" t="s">
        <v>456</v>
      </c>
      <c r="H194" t="s">
        <v>457</v>
      </c>
    </row>
    <row r="195" spans="1:8">
      <c r="A195" t="s">
        <v>232</v>
      </c>
      <c r="B195">
        <v>2014</v>
      </c>
      <c r="C195" t="s">
        <v>7</v>
      </c>
      <c r="D195">
        <v>282.75</v>
      </c>
      <c r="E195" t="s">
        <v>455</v>
      </c>
      <c r="F195" t="s">
        <v>65</v>
      </c>
      <c r="G195" t="s">
        <v>456</v>
      </c>
      <c r="H195" t="s">
        <v>457</v>
      </c>
    </row>
    <row r="196" spans="1:8">
      <c r="A196" t="s">
        <v>169</v>
      </c>
      <c r="B196">
        <v>2014</v>
      </c>
      <c r="C196" t="s">
        <v>7</v>
      </c>
      <c r="D196">
        <v>20.079999999999998</v>
      </c>
      <c r="E196" t="s">
        <v>455</v>
      </c>
      <c r="F196" t="s">
        <v>65</v>
      </c>
      <c r="G196" t="s">
        <v>456</v>
      </c>
      <c r="H196" t="s">
        <v>457</v>
      </c>
    </row>
    <row r="197" spans="1:8">
      <c r="A197" t="s">
        <v>233</v>
      </c>
      <c r="B197">
        <v>2014</v>
      </c>
      <c r="C197" t="s">
        <v>7</v>
      </c>
      <c r="D197">
        <v>7.01</v>
      </c>
      <c r="E197" t="s">
        <v>455</v>
      </c>
      <c r="F197" t="s">
        <v>65</v>
      </c>
      <c r="G197" t="s">
        <v>456</v>
      </c>
      <c r="H197" t="s">
        <v>457</v>
      </c>
    </row>
    <row r="198" spans="1:8">
      <c r="A198" t="s">
        <v>128</v>
      </c>
      <c r="B198">
        <v>2015</v>
      </c>
      <c r="C198" t="s">
        <v>7</v>
      </c>
      <c r="D198">
        <v>877.58</v>
      </c>
      <c r="E198" t="s">
        <v>455</v>
      </c>
      <c r="F198" t="s">
        <v>65</v>
      </c>
      <c r="G198" t="s">
        <v>456</v>
      </c>
      <c r="H198" t="s">
        <v>457</v>
      </c>
    </row>
    <row r="199" spans="1:8">
      <c r="A199" t="s">
        <v>129</v>
      </c>
      <c r="B199">
        <v>2015</v>
      </c>
      <c r="C199" t="s">
        <v>7</v>
      </c>
      <c r="D199">
        <v>63.62</v>
      </c>
      <c r="E199" t="s">
        <v>455</v>
      </c>
      <c r="F199" t="s">
        <v>65</v>
      </c>
      <c r="G199" t="s">
        <v>456</v>
      </c>
      <c r="H199" t="s">
        <v>457</v>
      </c>
    </row>
    <row r="200" spans="1:8">
      <c r="A200" t="s">
        <v>232</v>
      </c>
      <c r="B200">
        <v>2015</v>
      </c>
      <c r="C200" t="s">
        <v>7</v>
      </c>
      <c r="D200">
        <v>296.5</v>
      </c>
      <c r="E200" t="s">
        <v>455</v>
      </c>
      <c r="F200" t="s">
        <v>65</v>
      </c>
      <c r="G200" t="s">
        <v>456</v>
      </c>
      <c r="H200" t="s">
        <v>457</v>
      </c>
    </row>
    <row r="201" spans="1:8">
      <c r="A201" t="s">
        <v>169</v>
      </c>
      <c r="B201">
        <v>2015</v>
      </c>
      <c r="C201" t="s">
        <v>7</v>
      </c>
      <c r="D201">
        <v>27.17</v>
      </c>
      <c r="E201" t="s">
        <v>455</v>
      </c>
      <c r="F201" t="s">
        <v>65</v>
      </c>
      <c r="G201" t="s">
        <v>456</v>
      </c>
      <c r="H201" t="s">
        <v>457</v>
      </c>
    </row>
    <row r="202" spans="1:8">
      <c r="A202" t="s">
        <v>233</v>
      </c>
      <c r="B202">
        <v>2015</v>
      </c>
      <c r="C202" t="s">
        <v>7</v>
      </c>
      <c r="D202">
        <v>6.68</v>
      </c>
      <c r="E202" t="s">
        <v>455</v>
      </c>
      <c r="F202" t="s">
        <v>65</v>
      </c>
      <c r="G202" t="s">
        <v>456</v>
      </c>
      <c r="H202" t="s">
        <v>457</v>
      </c>
    </row>
    <row r="203" spans="1:8">
      <c r="A203" t="s">
        <v>128</v>
      </c>
      <c r="B203">
        <v>2016</v>
      </c>
      <c r="C203" t="s">
        <v>7</v>
      </c>
      <c r="D203">
        <v>921.25</v>
      </c>
      <c r="E203" t="s">
        <v>455</v>
      </c>
      <c r="F203" t="s">
        <v>65</v>
      </c>
      <c r="G203" t="s">
        <v>456</v>
      </c>
      <c r="H203" t="s">
        <v>457</v>
      </c>
    </row>
    <row r="204" spans="1:8">
      <c r="A204" t="s">
        <v>129</v>
      </c>
      <c r="B204">
        <v>2016</v>
      </c>
      <c r="C204" t="s">
        <v>7</v>
      </c>
      <c r="D204">
        <v>66.31</v>
      </c>
      <c r="E204" t="s">
        <v>455</v>
      </c>
      <c r="F204" t="s">
        <v>65</v>
      </c>
      <c r="G204" t="s">
        <v>456</v>
      </c>
      <c r="H204" t="s">
        <v>457</v>
      </c>
    </row>
    <row r="205" spans="1:8">
      <c r="A205" t="s">
        <v>232</v>
      </c>
      <c r="B205">
        <v>2016</v>
      </c>
      <c r="C205" t="s">
        <v>7</v>
      </c>
      <c r="D205">
        <v>305.38</v>
      </c>
      <c r="E205" t="s">
        <v>455</v>
      </c>
      <c r="F205" t="s">
        <v>65</v>
      </c>
      <c r="G205" t="s">
        <v>456</v>
      </c>
      <c r="H205" t="s">
        <v>457</v>
      </c>
    </row>
    <row r="206" spans="1:8">
      <c r="A206" t="s">
        <v>169</v>
      </c>
      <c r="B206">
        <v>2016</v>
      </c>
      <c r="C206" t="s">
        <v>7</v>
      </c>
      <c r="D206">
        <v>33.64</v>
      </c>
      <c r="E206" t="s">
        <v>455</v>
      </c>
      <c r="F206" t="s">
        <v>65</v>
      </c>
      <c r="G206" t="s">
        <v>456</v>
      </c>
      <c r="H206" t="s">
        <v>457</v>
      </c>
    </row>
    <row r="207" spans="1:8">
      <c r="A207" t="s">
        <v>233</v>
      </c>
      <c r="B207">
        <v>2016</v>
      </c>
      <c r="C207" t="s">
        <v>7</v>
      </c>
      <c r="D207">
        <v>4.96</v>
      </c>
      <c r="E207" t="s">
        <v>455</v>
      </c>
      <c r="F207" t="s">
        <v>65</v>
      </c>
      <c r="G207" t="s">
        <v>456</v>
      </c>
      <c r="H207" t="s">
        <v>457</v>
      </c>
    </row>
    <row r="208" spans="1:8">
      <c r="A208" t="s">
        <v>128</v>
      </c>
      <c r="B208">
        <v>2017</v>
      </c>
      <c r="C208" t="s">
        <v>7</v>
      </c>
      <c r="D208">
        <v>954.25</v>
      </c>
      <c r="E208" t="s">
        <v>455</v>
      </c>
      <c r="F208" t="s">
        <v>65</v>
      </c>
      <c r="G208" t="s">
        <v>456</v>
      </c>
      <c r="H208" t="s">
        <v>457</v>
      </c>
    </row>
    <row r="209" spans="1:8">
      <c r="A209" t="s">
        <v>129</v>
      </c>
      <c r="B209">
        <v>2017</v>
      </c>
      <c r="C209" t="s">
        <v>7</v>
      </c>
      <c r="D209">
        <v>72.36</v>
      </c>
      <c r="E209" t="s">
        <v>455</v>
      </c>
      <c r="F209" t="s">
        <v>65</v>
      </c>
      <c r="G209" t="s">
        <v>456</v>
      </c>
      <c r="H209" t="s">
        <v>457</v>
      </c>
    </row>
    <row r="210" spans="1:8">
      <c r="A210" t="s">
        <v>232</v>
      </c>
      <c r="B210">
        <v>2017</v>
      </c>
      <c r="C210" t="s">
        <v>7</v>
      </c>
      <c r="D210">
        <v>314.38</v>
      </c>
      <c r="E210" t="s">
        <v>455</v>
      </c>
      <c r="F210" t="s">
        <v>65</v>
      </c>
      <c r="G210" t="s">
        <v>456</v>
      </c>
      <c r="H210" t="s">
        <v>457</v>
      </c>
    </row>
    <row r="211" spans="1:8">
      <c r="A211" t="s">
        <v>169</v>
      </c>
      <c r="B211">
        <v>2017</v>
      </c>
      <c r="C211" t="s">
        <v>7</v>
      </c>
      <c r="D211">
        <v>35.82</v>
      </c>
      <c r="E211" t="s">
        <v>455</v>
      </c>
      <c r="F211" t="s">
        <v>65</v>
      </c>
      <c r="G211" t="s">
        <v>456</v>
      </c>
      <c r="H211" t="s">
        <v>457</v>
      </c>
    </row>
    <row r="212" spans="1:8">
      <c r="A212" t="s">
        <v>233</v>
      </c>
      <c r="B212">
        <v>2017</v>
      </c>
      <c r="C212" t="s">
        <v>7</v>
      </c>
      <c r="D212">
        <v>5.61</v>
      </c>
      <c r="E212" t="s">
        <v>455</v>
      </c>
      <c r="F212" t="s">
        <v>65</v>
      </c>
      <c r="G212" t="s">
        <v>456</v>
      </c>
      <c r="H212" t="s">
        <v>457</v>
      </c>
    </row>
    <row r="213" spans="1:8">
      <c r="A213" t="s">
        <v>128</v>
      </c>
      <c r="B213">
        <v>2018</v>
      </c>
      <c r="C213" t="s">
        <v>7</v>
      </c>
      <c r="D213">
        <v>977.08</v>
      </c>
      <c r="E213" t="s">
        <v>455</v>
      </c>
      <c r="F213" t="s">
        <v>65</v>
      </c>
      <c r="G213" t="s">
        <v>456</v>
      </c>
      <c r="H213" t="s">
        <v>457</v>
      </c>
    </row>
    <row r="214" spans="1:8">
      <c r="A214" t="s">
        <v>129</v>
      </c>
      <c r="B214">
        <v>2018</v>
      </c>
      <c r="C214" t="s">
        <v>7</v>
      </c>
      <c r="D214">
        <v>80.72</v>
      </c>
      <c r="E214" t="s">
        <v>455</v>
      </c>
      <c r="F214" t="s">
        <v>65</v>
      </c>
      <c r="G214" t="s">
        <v>456</v>
      </c>
      <c r="H214" t="s">
        <v>457</v>
      </c>
    </row>
    <row r="215" spans="1:8">
      <c r="A215" t="s">
        <v>232</v>
      </c>
      <c r="B215">
        <v>2018</v>
      </c>
      <c r="C215" t="s">
        <v>7</v>
      </c>
      <c r="D215">
        <v>322.27</v>
      </c>
      <c r="E215" t="s">
        <v>455</v>
      </c>
      <c r="F215" t="s">
        <v>65</v>
      </c>
      <c r="G215" t="s">
        <v>456</v>
      </c>
      <c r="H215" t="s">
        <v>457</v>
      </c>
    </row>
    <row r="216" spans="1:8">
      <c r="A216" t="s">
        <v>169</v>
      </c>
      <c r="B216">
        <v>2018</v>
      </c>
      <c r="C216" t="s">
        <v>7</v>
      </c>
      <c r="D216">
        <v>44.66</v>
      </c>
      <c r="E216" t="s">
        <v>455</v>
      </c>
      <c r="F216" t="s">
        <v>65</v>
      </c>
      <c r="G216" t="s">
        <v>456</v>
      </c>
      <c r="H216" t="s">
        <v>457</v>
      </c>
    </row>
    <row r="217" spans="1:8">
      <c r="A217" t="s">
        <v>233</v>
      </c>
      <c r="B217">
        <v>2018</v>
      </c>
      <c r="C217" t="s">
        <v>7</v>
      </c>
      <c r="D217">
        <v>6.3</v>
      </c>
      <c r="E217" t="s">
        <v>455</v>
      </c>
      <c r="F217" t="s">
        <v>65</v>
      </c>
      <c r="G217" t="s">
        <v>456</v>
      </c>
      <c r="H217" t="s">
        <v>457</v>
      </c>
    </row>
    <row r="218" spans="1:8">
      <c r="A218" t="s">
        <v>128</v>
      </c>
      <c r="B218">
        <v>2019</v>
      </c>
      <c r="C218" t="s">
        <v>7</v>
      </c>
      <c r="D218">
        <v>1018.39</v>
      </c>
      <c r="E218" t="s">
        <v>455</v>
      </c>
      <c r="F218" t="s">
        <v>65</v>
      </c>
      <c r="G218" t="s">
        <v>456</v>
      </c>
      <c r="H218" t="s">
        <v>457</v>
      </c>
    </row>
    <row r="219" spans="1:8">
      <c r="A219" t="s">
        <v>129</v>
      </c>
      <c r="B219">
        <v>2019</v>
      </c>
      <c r="C219" t="s">
        <v>7</v>
      </c>
      <c r="D219">
        <v>90.2</v>
      </c>
      <c r="E219" t="s">
        <v>455</v>
      </c>
      <c r="F219" t="s">
        <v>65</v>
      </c>
      <c r="G219" t="s">
        <v>456</v>
      </c>
      <c r="H219" t="s">
        <v>457</v>
      </c>
    </row>
    <row r="220" spans="1:8">
      <c r="A220" t="s">
        <v>232</v>
      </c>
      <c r="B220">
        <v>2019</v>
      </c>
      <c r="C220" t="s">
        <v>7</v>
      </c>
      <c r="D220">
        <v>327.75</v>
      </c>
      <c r="E220" t="s">
        <v>455</v>
      </c>
      <c r="F220" t="s">
        <v>65</v>
      </c>
      <c r="G220" t="s">
        <v>456</v>
      </c>
      <c r="H220" t="s">
        <v>457</v>
      </c>
    </row>
    <row r="221" spans="1:8">
      <c r="A221" t="s">
        <v>169</v>
      </c>
      <c r="B221">
        <v>2019</v>
      </c>
      <c r="C221" t="s">
        <v>7</v>
      </c>
      <c r="D221">
        <v>48.74</v>
      </c>
      <c r="E221" t="s">
        <v>455</v>
      </c>
      <c r="F221" t="s">
        <v>65</v>
      </c>
      <c r="G221" t="s">
        <v>456</v>
      </c>
      <c r="H221" t="s">
        <v>457</v>
      </c>
    </row>
    <row r="222" spans="1:8">
      <c r="A222" t="s">
        <v>233</v>
      </c>
      <c r="B222">
        <v>2019</v>
      </c>
      <c r="C222" t="s">
        <v>7</v>
      </c>
      <c r="D222">
        <v>7.76</v>
      </c>
      <c r="E222" t="s">
        <v>455</v>
      </c>
      <c r="F222" t="s">
        <v>65</v>
      </c>
      <c r="G222" t="s">
        <v>456</v>
      </c>
      <c r="H222" t="s">
        <v>457</v>
      </c>
    </row>
    <row r="223" spans="1:8">
      <c r="A223" t="s">
        <v>128</v>
      </c>
      <c r="B223">
        <v>2020</v>
      </c>
      <c r="C223" t="s">
        <v>7</v>
      </c>
      <c r="D223">
        <v>1046.92</v>
      </c>
      <c r="E223" t="s">
        <v>455</v>
      </c>
      <c r="F223" t="s">
        <v>65</v>
      </c>
      <c r="G223" t="s">
        <v>456</v>
      </c>
      <c r="H223" t="s">
        <v>457</v>
      </c>
    </row>
    <row r="224" spans="1:8">
      <c r="A224" t="s">
        <v>129</v>
      </c>
      <c r="B224">
        <v>2020</v>
      </c>
      <c r="C224" t="s">
        <v>7</v>
      </c>
      <c r="D224">
        <v>98.53</v>
      </c>
      <c r="E224" t="s">
        <v>455</v>
      </c>
      <c r="F224" t="s">
        <v>65</v>
      </c>
      <c r="G224" t="s">
        <v>456</v>
      </c>
      <c r="H224" t="s">
        <v>457</v>
      </c>
    </row>
    <row r="225" spans="1:8">
      <c r="A225" t="s">
        <v>232</v>
      </c>
      <c r="B225">
        <v>2020</v>
      </c>
      <c r="C225" t="s">
        <v>7</v>
      </c>
      <c r="D225">
        <v>338.67</v>
      </c>
      <c r="E225" t="s">
        <v>455</v>
      </c>
      <c r="F225" t="s">
        <v>65</v>
      </c>
      <c r="G225" t="s">
        <v>456</v>
      </c>
      <c r="H225" t="s">
        <v>457</v>
      </c>
    </row>
    <row r="226" spans="1:8">
      <c r="A226" t="s">
        <v>169</v>
      </c>
      <c r="B226">
        <v>2020</v>
      </c>
      <c r="C226" t="s">
        <v>7</v>
      </c>
      <c r="D226">
        <v>49.89</v>
      </c>
      <c r="E226" t="s">
        <v>455</v>
      </c>
      <c r="F226" t="s">
        <v>65</v>
      </c>
      <c r="G226" t="s">
        <v>456</v>
      </c>
      <c r="H226" t="s">
        <v>457</v>
      </c>
    </row>
    <row r="227" spans="1:8">
      <c r="A227" t="s">
        <v>233</v>
      </c>
      <c r="B227">
        <v>2020</v>
      </c>
      <c r="C227" t="s">
        <v>7</v>
      </c>
      <c r="D227">
        <v>9.49</v>
      </c>
      <c r="E227" t="s">
        <v>455</v>
      </c>
      <c r="F227" t="s">
        <v>65</v>
      </c>
      <c r="G227" t="s">
        <v>456</v>
      </c>
      <c r="H227" t="s">
        <v>457</v>
      </c>
    </row>
    <row r="228" spans="1:8">
      <c r="A228" t="s">
        <v>128</v>
      </c>
      <c r="B228">
        <v>2021</v>
      </c>
      <c r="C228" t="s">
        <v>7</v>
      </c>
      <c r="D228">
        <v>1071.8399999999999</v>
      </c>
      <c r="E228" t="s">
        <v>455</v>
      </c>
      <c r="F228" t="s">
        <v>65</v>
      </c>
      <c r="G228" t="s">
        <v>456</v>
      </c>
      <c r="H228" t="s">
        <v>457</v>
      </c>
    </row>
    <row r="229" spans="1:8">
      <c r="A229" t="s">
        <v>129</v>
      </c>
      <c r="B229">
        <v>2021</v>
      </c>
      <c r="C229" t="s">
        <v>7</v>
      </c>
      <c r="D229">
        <v>108.44</v>
      </c>
      <c r="E229" t="s">
        <v>455</v>
      </c>
      <c r="F229" t="s">
        <v>65</v>
      </c>
      <c r="G229" t="s">
        <v>456</v>
      </c>
      <c r="H229" t="s">
        <v>457</v>
      </c>
    </row>
    <row r="230" spans="1:8">
      <c r="A230" t="s">
        <v>232</v>
      </c>
      <c r="B230">
        <v>2021</v>
      </c>
      <c r="C230" t="s">
        <v>7</v>
      </c>
      <c r="D230">
        <v>354.53</v>
      </c>
      <c r="E230" t="s">
        <v>455</v>
      </c>
      <c r="F230" t="s">
        <v>65</v>
      </c>
      <c r="G230" t="s">
        <v>456</v>
      </c>
      <c r="H230" t="s">
        <v>457</v>
      </c>
    </row>
    <row r="231" spans="1:8">
      <c r="A231" t="s">
        <v>169</v>
      </c>
      <c r="B231">
        <v>2021</v>
      </c>
      <c r="C231" t="s">
        <v>7</v>
      </c>
      <c r="D231">
        <v>53.26</v>
      </c>
      <c r="E231" t="s">
        <v>455</v>
      </c>
      <c r="F231" t="s">
        <v>65</v>
      </c>
      <c r="G231" t="s">
        <v>456</v>
      </c>
      <c r="H231" t="s">
        <v>457</v>
      </c>
    </row>
    <row r="232" spans="1:8">
      <c r="A232" t="s">
        <v>233</v>
      </c>
      <c r="B232">
        <v>2021</v>
      </c>
      <c r="C232" t="s">
        <v>7</v>
      </c>
      <c r="D232">
        <v>12.53</v>
      </c>
      <c r="E232" t="s">
        <v>455</v>
      </c>
      <c r="F232" t="s">
        <v>65</v>
      </c>
      <c r="G232" t="s">
        <v>456</v>
      </c>
      <c r="H232" t="s">
        <v>457</v>
      </c>
    </row>
    <row r="233" spans="1:8">
      <c r="A233" t="s">
        <v>128</v>
      </c>
      <c r="B233">
        <v>2022</v>
      </c>
      <c r="C233" t="s">
        <v>7</v>
      </c>
      <c r="D233">
        <v>1096.47</v>
      </c>
      <c r="E233" t="s">
        <v>455</v>
      </c>
      <c r="F233" t="s">
        <v>65</v>
      </c>
      <c r="G233" t="s">
        <v>456</v>
      </c>
      <c r="H233" t="s">
        <v>457</v>
      </c>
    </row>
    <row r="234" spans="1:8">
      <c r="A234" t="s">
        <v>129</v>
      </c>
      <c r="B234">
        <v>2022</v>
      </c>
      <c r="C234" t="s">
        <v>7</v>
      </c>
      <c r="D234">
        <v>119.11</v>
      </c>
      <c r="E234" t="s">
        <v>455</v>
      </c>
      <c r="F234" t="s">
        <v>65</v>
      </c>
      <c r="G234" t="s">
        <v>456</v>
      </c>
      <c r="H234" t="s">
        <v>457</v>
      </c>
    </row>
    <row r="235" spans="1:8">
      <c r="A235" t="s">
        <v>232</v>
      </c>
      <c r="B235">
        <v>2022</v>
      </c>
      <c r="C235" t="s">
        <v>7</v>
      </c>
      <c r="D235">
        <v>367.71</v>
      </c>
      <c r="E235" t="s">
        <v>455</v>
      </c>
      <c r="F235" t="s">
        <v>65</v>
      </c>
      <c r="G235" t="s">
        <v>456</v>
      </c>
      <c r="H235" t="s">
        <v>457</v>
      </c>
    </row>
    <row r="236" spans="1:8">
      <c r="A236" t="s">
        <v>169</v>
      </c>
      <c r="B236">
        <v>2022</v>
      </c>
      <c r="C236" t="s">
        <v>7</v>
      </c>
      <c r="D236">
        <v>55.53</v>
      </c>
      <c r="E236" t="s">
        <v>455</v>
      </c>
      <c r="F236" t="s">
        <v>65</v>
      </c>
      <c r="G236" t="s">
        <v>456</v>
      </c>
      <c r="H236" t="s">
        <v>457</v>
      </c>
    </row>
    <row r="237" spans="1:8">
      <c r="A237" t="s">
        <v>233</v>
      </c>
      <c r="B237">
        <v>2022</v>
      </c>
      <c r="C237" t="s">
        <v>7</v>
      </c>
      <c r="D237">
        <v>13.87</v>
      </c>
      <c r="E237" t="s">
        <v>455</v>
      </c>
      <c r="F237" t="s">
        <v>65</v>
      </c>
      <c r="G237" t="s">
        <v>456</v>
      </c>
      <c r="H237" t="s">
        <v>457</v>
      </c>
    </row>
    <row r="238" spans="1:8">
      <c r="A238" t="s">
        <v>128</v>
      </c>
      <c r="B238">
        <v>2023</v>
      </c>
      <c r="C238" t="s">
        <v>7</v>
      </c>
      <c r="D238">
        <v>1140.18</v>
      </c>
      <c r="E238" t="s">
        <v>455</v>
      </c>
      <c r="F238" t="s">
        <v>65</v>
      </c>
      <c r="G238" t="s">
        <v>456</v>
      </c>
      <c r="H238" t="s">
        <v>457</v>
      </c>
    </row>
    <row r="239" spans="1:8">
      <c r="A239" t="s">
        <v>129</v>
      </c>
      <c r="B239">
        <v>2023</v>
      </c>
      <c r="C239" t="s">
        <v>7</v>
      </c>
      <c r="D239">
        <v>131.15</v>
      </c>
      <c r="E239" t="s">
        <v>455</v>
      </c>
      <c r="F239" t="s">
        <v>65</v>
      </c>
      <c r="G239" t="s">
        <v>456</v>
      </c>
      <c r="H239" t="s">
        <v>457</v>
      </c>
    </row>
    <row r="240" spans="1:8">
      <c r="A240" t="s">
        <v>232</v>
      </c>
      <c r="B240">
        <v>2023</v>
      </c>
      <c r="C240" t="s">
        <v>7</v>
      </c>
      <c r="D240">
        <v>370.6</v>
      </c>
      <c r="E240" t="s">
        <v>455</v>
      </c>
      <c r="F240" t="s">
        <v>65</v>
      </c>
      <c r="G240" t="s">
        <v>456</v>
      </c>
      <c r="H240" t="s">
        <v>457</v>
      </c>
    </row>
    <row r="241" spans="1:8">
      <c r="A241" t="s">
        <v>169</v>
      </c>
      <c r="B241">
        <v>2023</v>
      </c>
      <c r="C241" t="s">
        <v>7</v>
      </c>
      <c r="D241">
        <v>56.91</v>
      </c>
      <c r="E241" t="s">
        <v>455</v>
      </c>
      <c r="F241" t="s">
        <v>65</v>
      </c>
      <c r="G241" t="s">
        <v>456</v>
      </c>
      <c r="H241" t="s">
        <v>457</v>
      </c>
    </row>
    <row r="242" spans="1:8">
      <c r="A242" t="s">
        <v>233</v>
      </c>
      <c r="B242">
        <v>2023</v>
      </c>
      <c r="C242" t="s">
        <v>7</v>
      </c>
      <c r="D242">
        <v>14.9</v>
      </c>
      <c r="E242" t="s">
        <v>455</v>
      </c>
      <c r="F242" t="s">
        <v>65</v>
      </c>
      <c r="G242" t="s">
        <v>456</v>
      </c>
      <c r="H242" t="s">
        <v>457</v>
      </c>
    </row>
    <row r="243" spans="1:8">
      <c r="A243" t="s">
        <v>167</v>
      </c>
      <c r="B243">
        <v>2000</v>
      </c>
      <c r="C243" t="s">
        <v>376</v>
      </c>
      <c r="D243">
        <v>0.55000000000000004</v>
      </c>
      <c r="E243" t="s">
        <v>455</v>
      </c>
      <c r="F243" t="s">
        <v>122</v>
      </c>
      <c r="G243" t="s">
        <v>456</v>
      </c>
      <c r="H243" t="s">
        <v>457</v>
      </c>
    </row>
    <row r="244" spans="1:8">
      <c r="A244" t="s">
        <v>128</v>
      </c>
      <c r="B244">
        <v>2000</v>
      </c>
      <c r="C244" t="s">
        <v>376</v>
      </c>
      <c r="D244">
        <v>1022.27</v>
      </c>
      <c r="E244" t="s">
        <v>455</v>
      </c>
      <c r="F244" t="s">
        <v>122</v>
      </c>
      <c r="G244" t="s">
        <v>456</v>
      </c>
      <c r="H244" t="s">
        <v>457</v>
      </c>
    </row>
    <row r="245" spans="1:8">
      <c r="A245" t="s">
        <v>129</v>
      </c>
      <c r="B245">
        <v>2000</v>
      </c>
      <c r="C245" t="s">
        <v>376</v>
      </c>
      <c r="D245">
        <v>2.56</v>
      </c>
      <c r="E245" t="s">
        <v>455</v>
      </c>
      <c r="F245" t="s">
        <v>122</v>
      </c>
      <c r="G245" t="s">
        <v>456</v>
      </c>
      <c r="H245" t="s">
        <v>457</v>
      </c>
    </row>
    <row r="246" spans="1:8">
      <c r="A246" t="s">
        <v>232</v>
      </c>
      <c r="B246">
        <v>2000</v>
      </c>
      <c r="C246" t="s">
        <v>376</v>
      </c>
      <c r="D246">
        <v>5.28</v>
      </c>
      <c r="E246" t="s">
        <v>455</v>
      </c>
      <c r="F246" t="s">
        <v>122</v>
      </c>
      <c r="G246" t="s">
        <v>456</v>
      </c>
      <c r="H246" t="s">
        <v>457</v>
      </c>
    </row>
    <row r="247" spans="1:8">
      <c r="A247" t="s">
        <v>169</v>
      </c>
      <c r="B247">
        <v>2000</v>
      </c>
      <c r="C247" t="s">
        <v>376</v>
      </c>
      <c r="D247">
        <v>0.09</v>
      </c>
      <c r="E247" t="s">
        <v>455</v>
      </c>
      <c r="F247" t="s">
        <v>122</v>
      </c>
      <c r="G247" t="s">
        <v>456</v>
      </c>
      <c r="H247" t="s">
        <v>457</v>
      </c>
    </row>
    <row r="248" spans="1:8">
      <c r="A248" t="s">
        <v>233</v>
      </c>
      <c r="B248">
        <v>2000</v>
      </c>
      <c r="C248" t="s">
        <v>376</v>
      </c>
      <c r="D248">
        <v>31.1</v>
      </c>
      <c r="E248" t="s">
        <v>455</v>
      </c>
      <c r="F248" t="s">
        <v>122</v>
      </c>
      <c r="G248" t="s">
        <v>456</v>
      </c>
      <c r="H248" t="s">
        <v>457</v>
      </c>
    </row>
    <row r="249" spans="1:8">
      <c r="A249" t="s">
        <v>234</v>
      </c>
      <c r="B249">
        <v>2000</v>
      </c>
      <c r="C249" t="s">
        <v>376</v>
      </c>
      <c r="D249">
        <v>0</v>
      </c>
      <c r="E249" t="s">
        <v>455</v>
      </c>
      <c r="F249" t="s">
        <v>122</v>
      </c>
      <c r="G249" t="s">
        <v>458</v>
      </c>
      <c r="H249" t="s">
        <v>457</v>
      </c>
    </row>
    <row r="250" spans="1:8">
      <c r="A250" t="s">
        <v>235</v>
      </c>
      <c r="B250">
        <v>2000</v>
      </c>
      <c r="C250" t="s">
        <v>376</v>
      </c>
      <c r="D250">
        <v>0.01</v>
      </c>
      <c r="E250" t="s">
        <v>455</v>
      </c>
      <c r="F250" t="s">
        <v>122</v>
      </c>
      <c r="G250" t="s">
        <v>458</v>
      </c>
      <c r="H250" t="s">
        <v>457</v>
      </c>
    </row>
    <row r="251" spans="1:8">
      <c r="A251" t="s">
        <v>167</v>
      </c>
      <c r="B251">
        <v>2001</v>
      </c>
      <c r="C251" t="s">
        <v>376</v>
      </c>
      <c r="D251">
        <v>0.55000000000000004</v>
      </c>
      <c r="E251" t="s">
        <v>455</v>
      </c>
      <c r="F251" t="s">
        <v>122</v>
      </c>
      <c r="G251" t="s">
        <v>456</v>
      </c>
      <c r="H251" t="s">
        <v>457</v>
      </c>
    </row>
    <row r="252" spans="1:8">
      <c r="A252" t="s">
        <v>128</v>
      </c>
      <c r="B252">
        <v>2001</v>
      </c>
      <c r="C252" t="s">
        <v>376</v>
      </c>
      <c r="D252">
        <v>1088.08</v>
      </c>
      <c r="E252" t="s">
        <v>455</v>
      </c>
      <c r="F252" t="s">
        <v>122</v>
      </c>
      <c r="G252" t="s">
        <v>456</v>
      </c>
      <c r="H252" t="s">
        <v>457</v>
      </c>
    </row>
    <row r="253" spans="1:8">
      <c r="A253" t="s">
        <v>129</v>
      </c>
      <c r="B253">
        <v>2001</v>
      </c>
      <c r="C253" t="s">
        <v>376</v>
      </c>
      <c r="D253">
        <v>2.19</v>
      </c>
      <c r="E253" t="s">
        <v>455</v>
      </c>
      <c r="F253" t="s">
        <v>122</v>
      </c>
      <c r="G253" t="s">
        <v>456</v>
      </c>
      <c r="H253" t="s">
        <v>457</v>
      </c>
    </row>
    <row r="254" spans="1:8">
      <c r="A254" t="s">
        <v>232</v>
      </c>
      <c r="B254">
        <v>2001</v>
      </c>
      <c r="C254" t="s">
        <v>376</v>
      </c>
      <c r="D254">
        <v>6.59</v>
      </c>
      <c r="E254" t="s">
        <v>455</v>
      </c>
      <c r="F254" t="s">
        <v>122</v>
      </c>
      <c r="G254" t="s">
        <v>456</v>
      </c>
      <c r="H254" t="s">
        <v>457</v>
      </c>
    </row>
    <row r="255" spans="1:8">
      <c r="A255" t="s">
        <v>169</v>
      </c>
      <c r="B255">
        <v>2001</v>
      </c>
      <c r="C255" t="s">
        <v>376</v>
      </c>
      <c r="D255">
        <v>0.1</v>
      </c>
      <c r="E255" t="s">
        <v>455</v>
      </c>
      <c r="F255" t="s">
        <v>122</v>
      </c>
      <c r="G255" t="s">
        <v>456</v>
      </c>
      <c r="H255" t="s">
        <v>457</v>
      </c>
    </row>
    <row r="256" spans="1:8">
      <c r="A256" t="s">
        <v>233</v>
      </c>
      <c r="B256">
        <v>2001</v>
      </c>
      <c r="C256" t="s">
        <v>376</v>
      </c>
      <c r="D256">
        <v>31.93</v>
      </c>
      <c r="E256" t="s">
        <v>455</v>
      </c>
      <c r="F256" t="s">
        <v>122</v>
      </c>
      <c r="G256" t="s">
        <v>456</v>
      </c>
      <c r="H256" t="s">
        <v>457</v>
      </c>
    </row>
    <row r="257" spans="1:8">
      <c r="A257" t="s">
        <v>234</v>
      </c>
      <c r="B257">
        <v>2001</v>
      </c>
      <c r="C257" t="s">
        <v>376</v>
      </c>
      <c r="D257">
        <v>0</v>
      </c>
      <c r="E257" t="s">
        <v>455</v>
      </c>
      <c r="F257" t="s">
        <v>122</v>
      </c>
      <c r="G257" t="s">
        <v>458</v>
      </c>
      <c r="H257" t="s">
        <v>457</v>
      </c>
    </row>
    <row r="258" spans="1:8">
      <c r="A258" t="s">
        <v>235</v>
      </c>
      <c r="B258">
        <v>2001</v>
      </c>
      <c r="C258" t="s">
        <v>376</v>
      </c>
      <c r="D258">
        <v>0.01</v>
      </c>
      <c r="E258" t="s">
        <v>455</v>
      </c>
      <c r="F258" t="s">
        <v>122</v>
      </c>
      <c r="G258" t="s">
        <v>458</v>
      </c>
      <c r="H258" t="s">
        <v>457</v>
      </c>
    </row>
    <row r="259" spans="1:8">
      <c r="A259" t="s">
        <v>167</v>
      </c>
      <c r="B259">
        <v>2002</v>
      </c>
      <c r="C259" t="s">
        <v>376</v>
      </c>
      <c r="D259">
        <v>0.55000000000000004</v>
      </c>
      <c r="E259" t="s">
        <v>455</v>
      </c>
      <c r="F259" t="s">
        <v>122</v>
      </c>
      <c r="G259" t="s">
        <v>456</v>
      </c>
      <c r="H259" t="s">
        <v>457</v>
      </c>
    </row>
    <row r="260" spans="1:8">
      <c r="A260" t="s">
        <v>128</v>
      </c>
      <c r="B260">
        <v>2002</v>
      </c>
      <c r="C260" t="s">
        <v>376</v>
      </c>
      <c r="D260">
        <v>1236.05</v>
      </c>
      <c r="E260" t="s">
        <v>455</v>
      </c>
      <c r="F260" t="s">
        <v>122</v>
      </c>
      <c r="G260" t="s">
        <v>456</v>
      </c>
      <c r="H260" t="s">
        <v>457</v>
      </c>
    </row>
    <row r="261" spans="1:8">
      <c r="A261" t="s">
        <v>129</v>
      </c>
      <c r="B261">
        <v>2002</v>
      </c>
      <c r="C261" t="s">
        <v>376</v>
      </c>
      <c r="D261">
        <v>1.86</v>
      </c>
      <c r="E261" t="s">
        <v>455</v>
      </c>
      <c r="F261" t="s">
        <v>122</v>
      </c>
      <c r="G261" t="s">
        <v>456</v>
      </c>
      <c r="H261" t="s">
        <v>457</v>
      </c>
    </row>
    <row r="262" spans="1:8">
      <c r="A262" t="s">
        <v>232</v>
      </c>
      <c r="B262">
        <v>2002</v>
      </c>
      <c r="C262" t="s">
        <v>376</v>
      </c>
      <c r="D262">
        <v>6.84</v>
      </c>
      <c r="E262" t="s">
        <v>455</v>
      </c>
      <c r="F262" t="s">
        <v>122</v>
      </c>
      <c r="G262" t="s">
        <v>456</v>
      </c>
      <c r="H262" t="s">
        <v>457</v>
      </c>
    </row>
    <row r="263" spans="1:8">
      <c r="A263" t="s">
        <v>169</v>
      </c>
      <c r="B263">
        <v>2002</v>
      </c>
      <c r="C263" t="s">
        <v>376</v>
      </c>
      <c r="D263">
        <v>0.14000000000000001</v>
      </c>
      <c r="E263" t="s">
        <v>455</v>
      </c>
      <c r="F263" t="s">
        <v>122</v>
      </c>
      <c r="G263" t="s">
        <v>456</v>
      </c>
      <c r="H263" t="s">
        <v>457</v>
      </c>
    </row>
    <row r="264" spans="1:8">
      <c r="A264" t="s">
        <v>233</v>
      </c>
      <c r="B264">
        <v>2002</v>
      </c>
      <c r="C264" t="s">
        <v>376</v>
      </c>
      <c r="D264">
        <v>33.369999999999997</v>
      </c>
      <c r="E264" t="s">
        <v>455</v>
      </c>
      <c r="F264" t="s">
        <v>122</v>
      </c>
      <c r="G264" t="s">
        <v>456</v>
      </c>
      <c r="H264" t="s">
        <v>457</v>
      </c>
    </row>
    <row r="265" spans="1:8">
      <c r="A265" t="s">
        <v>234</v>
      </c>
      <c r="B265">
        <v>2002</v>
      </c>
      <c r="C265" t="s">
        <v>376</v>
      </c>
      <c r="D265">
        <v>0</v>
      </c>
      <c r="E265" t="s">
        <v>455</v>
      </c>
      <c r="F265" t="s">
        <v>122</v>
      </c>
      <c r="G265" t="s">
        <v>458</v>
      </c>
      <c r="H265" t="s">
        <v>457</v>
      </c>
    </row>
    <row r="266" spans="1:8">
      <c r="A266" t="s">
        <v>235</v>
      </c>
      <c r="B266">
        <v>2002</v>
      </c>
      <c r="C266" t="s">
        <v>376</v>
      </c>
      <c r="D266">
        <v>0.01</v>
      </c>
      <c r="E266" t="s">
        <v>455</v>
      </c>
      <c r="F266" t="s">
        <v>122</v>
      </c>
      <c r="G266" t="s">
        <v>458</v>
      </c>
      <c r="H266" t="s">
        <v>457</v>
      </c>
    </row>
    <row r="267" spans="1:8">
      <c r="A267" t="s">
        <v>167</v>
      </c>
      <c r="B267">
        <v>2003</v>
      </c>
      <c r="C267" t="s">
        <v>376</v>
      </c>
      <c r="D267">
        <v>0.55000000000000004</v>
      </c>
      <c r="E267" t="s">
        <v>455</v>
      </c>
      <c r="F267" t="s">
        <v>122</v>
      </c>
      <c r="G267" t="s">
        <v>456</v>
      </c>
      <c r="H267" t="s">
        <v>457</v>
      </c>
    </row>
    <row r="268" spans="1:8">
      <c r="A268" t="s">
        <v>128</v>
      </c>
      <c r="B268">
        <v>2003</v>
      </c>
      <c r="C268" t="s">
        <v>376</v>
      </c>
      <c r="D268">
        <v>1464.95</v>
      </c>
      <c r="E268" t="s">
        <v>455</v>
      </c>
      <c r="F268" t="s">
        <v>122</v>
      </c>
      <c r="G268" t="s">
        <v>456</v>
      </c>
      <c r="H268" t="s">
        <v>457</v>
      </c>
    </row>
    <row r="269" spans="1:8">
      <c r="A269" t="s">
        <v>129</v>
      </c>
      <c r="B269">
        <v>2003</v>
      </c>
      <c r="C269" t="s">
        <v>376</v>
      </c>
      <c r="D269">
        <v>2.29</v>
      </c>
      <c r="E269" t="s">
        <v>455</v>
      </c>
      <c r="F269" t="s">
        <v>122</v>
      </c>
      <c r="G269" t="s">
        <v>456</v>
      </c>
      <c r="H269" t="s">
        <v>457</v>
      </c>
    </row>
    <row r="270" spans="1:8">
      <c r="A270" t="s">
        <v>232</v>
      </c>
      <c r="B270">
        <v>2003</v>
      </c>
      <c r="C270" t="s">
        <v>376</v>
      </c>
      <c r="D270">
        <v>6.74</v>
      </c>
      <c r="E270" t="s">
        <v>455</v>
      </c>
      <c r="F270" t="s">
        <v>122</v>
      </c>
      <c r="G270" t="s">
        <v>456</v>
      </c>
      <c r="H270" t="s">
        <v>457</v>
      </c>
    </row>
    <row r="271" spans="1:8">
      <c r="A271" t="s">
        <v>169</v>
      </c>
      <c r="B271">
        <v>2003</v>
      </c>
      <c r="C271" t="s">
        <v>376</v>
      </c>
      <c r="D271">
        <v>0.24</v>
      </c>
      <c r="E271" t="s">
        <v>455</v>
      </c>
      <c r="F271" t="s">
        <v>122</v>
      </c>
      <c r="G271" t="s">
        <v>456</v>
      </c>
      <c r="H271" t="s">
        <v>457</v>
      </c>
    </row>
    <row r="272" spans="1:8">
      <c r="A272" t="s">
        <v>233</v>
      </c>
      <c r="B272">
        <v>2003</v>
      </c>
      <c r="C272" t="s">
        <v>376</v>
      </c>
      <c r="D272">
        <v>36.08</v>
      </c>
      <c r="E272" t="s">
        <v>455</v>
      </c>
      <c r="F272" t="s">
        <v>122</v>
      </c>
      <c r="G272" t="s">
        <v>456</v>
      </c>
      <c r="H272" t="s">
        <v>457</v>
      </c>
    </row>
    <row r="273" spans="1:8">
      <c r="A273" t="s">
        <v>234</v>
      </c>
      <c r="B273">
        <v>2003</v>
      </c>
      <c r="C273" t="s">
        <v>376</v>
      </c>
      <c r="D273">
        <v>0</v>
      </c>
      <c r="E273" t="s">
        <v>455</v>
      </c>
      <c r="F273" t="s">
        <v>122</v>
      </c>
      <c r="G273" t="s">
        <v>458</v>
      </c>
      <c r="H273" t="s">
        <v>457</v>
      </c>
    </row>
    <row r="274" spans="1:8">
      <c r="A274" t="s">
        <v>235</v>
      </c>
      <c r="B274">
        <v>2003</v>
      </c>
      <c r="C274" t="s">
        <v>376</v>
      </c>
      <c r="D274">
        <v>0.01</v>
      </c>
      <c r="E274" t="s">
        <v>455</v>
      </c>
      <c r="F274" t="s">
        <v>122</v>
      </c>
      <c r="G274" t="s">
        <v>458</v>
      </c>
      <c r="H274" t="s">
        <v>457</v>
      </c>
    </row>
    <row r="275" spans="1:8">
      <c r="A275" t="s">
        <v>167</v>
      </c>
      <c r="B275">
        <v>2004</v>
      </c>
      <c r="C275" t="s">
        <v>376</v>
      </c>
      <c r="D275">
        <v>0.55000000000000004</v>
      </c>
      <c r="E275" t="s">
        <v>455</v>
      </c>
      <c r="F275" t="s">
        <v>122</v>
      </c>
      <c r="G275" t="s">
        <v>456</v>
      </c>
      <c r="H275" t="s">
        <v>457</v>
      </c>
    </row>
    <row r="276" spans="1:8">
      <c r="A276" t="s">
        <v>128</v>
      </c>
      <c r="B276">
        <v>2004</v>
      </c>
      <c r="C276" t="s">
        <v>376</v>
      </c>
      <c r="D276">
        <v>1659.28</v>
      </c>
      <c r="E276" t="s">
        <v>455</v>
      </c>
      <c r="F276" t="s">
        <v>122</v>
      </c>
      <c r="G276" t="s">
        <v>456</v>
      </c>
      <c r="H276" t="s">
        <v>457</v>
      </c>
    </row>
    <row r="277" spans="1:8">
      <c r="A277" t="s">
        <v>129</v>
      </c>
      <c r="B277">
        <v>2004</v>
      </c>
      <c r="C277" t="s">
        <v>376</v>
      </c>
      <c r="D277">
        <v>3.31</v>
      </c>
      <c r="E277" t="s">
        <v>455</v>
      </c>
      <c r="F277" t="s">
        <v>122</v>
      </c>
      <c r="G277" t="s">
        <v>456</v>
      </c>
      <c r="H277" t="s">
        <v>457</v>
      </c>
    </row>
    <row r="278" spans="1:8">
      <c r="A278" t="s">
        <v>232</v>
      </c>
      <c r="B278">
        <v>2004</v>
      </c>
      <c r="C278" t="s">
        <v>376</v>
      </c>
      <c r="D278">
        <v>8.4</v>
      </c>
      <c r="E278" t="s">
        <v>455</v>
      </c>
      <c r="F278" t="s">
        <v>122</v>
      </c>
      <c r="G278" t="s">
        <v>456</v>
      </c>
      <c r="H278" t="s">
        <v>457</v>
      </c>
    </row>
    <row r="279" spans="1:8">
      <c r="A279" t="s">
        <v>169</v>
      </c>
      <c r="B279">
        <v>2004</v>
      </c>
      <c r="C279" t="s">
        <v>376</v>
      </c>
      <c r="D279">
        <v>0.28000000000000003</v>
      </c>
      <c r="E279" t="s">
        <v>455</v>
      </c>
      <c r="F279" t="s">
        <v>122</v>
      </c>
      <c r="G279" t="s">
        <v>456</v>
      </c>
      <c r="H279" t="s">
        <v>457</v>
      </c>
    </row>
    <row r="280" spans="1:8">
      <c r="A280" t="s">
        <v>233</v>
      </c>
      <c r="B280">
        <v>2004</v>
      </c>
      <c r="C280" t="s">
        <v>376</v>
      </c>
      <c r="D280">
        <v>43.12</v>
      </c>
      <c r="E280" t="s">
        <v>455</v>
      </c>
      <c r="F280" t="s">
        <v>122</v>
      </c>
      <c r="G280" t="s">
        <v>456</v>
      </c>
      <c r="H280" t="s">
        <v>457</v>
      </c>
    </row>
    <row r="281" spans="1:8">
      <c r="A281" t="s">
        <v>234</v>
      </c>
      <c r="B281">
        <v>2004</v>
      </c>
      <c r="C281" t="s">
        <v>376</v>
      </c>
      <c r="D281">
        <v>0</v>
      </c>
      <c r="E281" t="s">
        <v>455</v>
      </c>
      <c r="F281" t="s">
        <v>122</v>
      </c>
      <c r="G281" t="s">
        <v>458</v>
      </c>
      <c r="H281" t="s">
        <v>457</v>
      </c>
    </row>
    <row r="282" spans="1:8">
      <c r="A282" t="s">
        <v>235</v>
      </c>
      <c r="B282">
        <v>2004</v>
      </c>
      <c r="C282" t="s">
        <v>376</v>
      </c>
      <c r="D282">
        <v>0.02</v>
      </c>
      <c r="E282" t="s">
        <v>455</v>
      </c>
      <c r="F282" t="s">
        <v>122</v>
      </c>
      <c r="G282" t="s">
        <v>458</v>
      </c>
      <c r="H282" t="s">
        <v>457</v>
      </c>
    </row>
    <row r="283" spans="1:8">
      <c r="A283" t="s">
        <v>167</v>
      </c>
      <c r="B283">
        <v>2005</v>
      </c>
      <c r="C283" t="s">
        <v>376</v>
      </c>
      <c r="D283">
        <v>1.1499999999999999</v>
      </c>
      <c r="E283" t="s">
        <v>455</v>
      </c>
      <c r="F283" t="s">
        <v>122</v>
      </c>
      <c r="G283" t="s">
        <v>456</v>
      </c>
      <c r="H283" t="s">
        <v>457</v>
      </c>
    </row>
    <row r="284" spans="1:8">
      <c r="A284" t="s">
        <v>128</v>
      </c>
      <c r="B284">
        <v>2005</v>
      </c>
      <c r="C284" t="s">
        <v>376</v>
      </c>
      <c r="D284">
        <v>1905.51</v>
      </c>
      <c r="E284" t="s">
        <v>455</v>
      </c>
      <c r="F284" t="s">
        <v>122</v>
      </c>
      <c r="G284" t="s">
        <v>456</v>
      </c>
      <c r="H284" t="s">
        <v>457</v>
      </c>
    </row>
    <row r="285" spans="1:8">
      <c r="A285" t="s">
        <v>129</v>
      </c>
      <c r="B285">
        <v>2005</v>
      </c>
      <c r="C285" t="s">
        <v>376</v>
      </c>
      <c r="D285">
        <v>5.39</v>
      </c>
      <c r="E285" t="s">
        <v>455</v>
      </c>
      <c r="F285" t="s">
        <v>122</v>
      </c>
      <c r="G285" t="s">
        <v>456</v>
      </c>
      <c r="H285" t="s">
        <v>457</v>
      </c>
    </row>
    <row r="286" spans="1:8">
      <c r="A286" t="s">
        <v>232</v>
      </c>
      <c r="B286">
        <v>2005</v>
      </c>
      <c r="C286" t="s">
        <v>376</v>
      </c>
      <c r="D286">
        <v>9.43</v>
      </c>
      <c r="E286" t="s">
        <v>455</v>
      </c>
      <c r="F286" t="s">
        <v>122</v>
      </c>
      <c r="G286" t="s">
        <v>456</v>
      </c>
      <c r="H286" t="s">
        <v>457</v>
      </c>
    </row>
    <row r="287" spans="1:8">
      <c r="A287" t="s">
        <v>169</v>
      </c>
      <c r="B287">
        <v>2005</v>
      </c>
      <c r="C287" t="s">
        <v>376</v>
      </c>
      <c r="D287">
        <v>0.28999999999999998</v>
      </c>
      <c r="E287" t="s">
        <v>455</v>
      </c>
      <c r="F287" t="s">
        <v>122</v>
      </c>
      <c r="G287" t="s">
        <v>456</v>
      </c>
      <c r="H287" t="s">
        <v>457</v>
      </c>
    </row>
    <row r="288" spans="1:8">
      <c r="A288" t="s">
        <v>233</v>
      </c>
      <c r="B288">
        <v>2005</v>
      </c>
      <c r="C288" t="s">
        <v>376</v>
      </c>
      <c r="D288">
        <v>33.24</v>
      </c>
      <c r="E288" t="s">
        <v>455</v>
      </c>
      <c r="F288" t="s">
        <v>122</v>
      </c>
      <c r="G288" t="s">
        <v>456</v>
      </c>
      <c r="H288" t="s">
        <v>457</v>
      </c>
    </row>
    <row r="289" spans="1:8">
      <c r="A289" t="s">
        <v>234</v>
      </c>
      <c r="B289">
        <v>2005</v>
      </c>
      <c r="C289" t="s">
        <v>376</v>
      </c>
      <c r="D289">
        <v>0</v>
      </c>
      <c r="E289" t="s">
        <v>455</v>
      </c>
      <c r="F289" t="s">
        <v>122</v>
      </c>
      <c r="G289" t="s">
        <v>458</v>
      </c>
      <c r="H289" t="s">
        <v>457</v>
      </c>
    </row>
    <row r="290" spans="1:8">
      <c r="A290" t="s">
        <v>235</v>
      </c>
      <c r="B290">
        <v>2005</v>
      </c>
      <c r="C290" t="s">
        <v>376</v>
      </c>
      <c r="D290">
        <v>0.02</v>
      </c>
      <c r="E290" t="s">
        <v>455</v>
      </c>
      <c r="F290" t="s">
        <v>122</v>
      </c>
      <c r="G290" t="s">
        <v>458</v>
      </c>
      <c r="H290" t="s">
        <v>457</v>
      </c>
    </row>
    <row r="291" spans="1:8">
      <c r="A291" t="s">
        <v>167</v>
      </c>
      <c r="B291">
        <v>2006</v>
      </c>
      <c r="C291" t="s">
        <v>376</v>
      </c>
      <c r="D291">
        <v>1.54</v>
      </c>
      <c r="E291" t="s">
        <v>455</v>
      </c>
      <c r="F291" t="s">
        <v>122</v>
      </c>
      <c r="G291" t="s">
        <v>456</v>
      </c>
      <c r="H291" t="s">
        <v>457</v>
      </c>
    </row>
    <row r="292" spans="1:8">
      <c r="A292" t="s">
        <v>128</v>
      </c>
      <c r="B292">
        <v>2006</v>
      </c>
      <c r="C292" t="s">
        <v>376</v>
      </c>
      <c r="D292">
        <v>2206.15</v>
      </c>
      <c r="E292" t="s">
        <v>455</v>
      </c>
      <c r="F292" t="s">
        <v>122</v>
      </c>
      <c r="G292" t="s">
        <v>456</v>
      </c>
      <c r="H292" t="s">
        <v>457</v>
      </c>
    </row>
    <row r="293" spans="1:8">
      <c r="A293" t="s">
        <v>129</v>
      </c>
      <c r="B293">
        <v>2006</v>
      </c>
      <c r="C293" t="s">
        <v>376</v>
      </c>
      <c r="D293">
        <v>10.58</v>
      </c>
      <c r="E293" t="s">
        <v>455</v>
      </c>
      <c r="F293" t="s">
        <v>122</v>
      </c>
      <c r="G293" t="s">
        <v>456</v>
      </c>
      <c r="H293" t="s">
        <v>457</v>
      </c>
    </row>
    <row r="294" spans="1:8">
      <c r="A294" t="s">
        <v>232</v>
      </c>
      <c r="B294">
        <v>2006</v>
      </c>
      <c r="C294" t="s">
        <v>376</v>
      </c>
      <c r="D294">
        <v>10.35</v>
      </c>
      <c r="E294" t="s">
        <v>455</v>
      </c>
      <c r="F294" t="s">
        <v>122</v>
      </c>
      <c r="G294" t="s">
        <v>456</v>
      </c>
      <c r="H294" t="s">
        <v>457</v>
      </c>
    </row>
    <row r="295" spans="1:8">
      <c r="A295" t="s">
        <v>169</v>
      </c>
      <c r="B295">
        <v>2006</v>
      </c>
      <c r="C295" t="s">
        <v>376</v>
      </c>
      <c r="D295">
        <v>0.3</v>
      </c>
      <c r="E295" t="s">
        <v>455</v>
      </c>
      <c r="F295" t="s">
        <v>122</v>
      </c>
      <c r="G295" t="s">
        <v>456</v>
      </c>
      <c r="H295" t="s">
        <v>457</v>
      </c>
    </row>
    <row r="296" spans="1:8">
      <c r="A296" t="s">
        <v>233</v>
      </c>
      <c r="B296">
        <v>2006</v>
      </c>
      <c r="C296" t="s">
        <v>376</v>
      </c>
      <c r="D296">
        <v>24.95</v>
      </c>
      <c r="E296" t="s">
        <v>455</v>
      </c>
      <c r="F296" t="s">
        <v>122</v>
      </c>
      <c r="G296" t="s">
        <v>456</v>
      </c>
      <c r="H296" t="s">
        <v>457</v>
      </c>
    </row>
    <row r="297" spans="1:8">
      <c r="A297" t="s">
        <v>234</v>
      </c>
      <c r="B297">
        <v>2006</v>
      </c>
      <c r="C297" t="s">
        <v>376</v>
      </c>
      <c r="D297">
        <v>0</v>
      </c>
      <c r="E297" t="s">
        <v>455</v>
      </c>
      <c r="F297" t="s">
        <v>122</v>
      </c>
      <c r="G297" t="s">
        <v>458</v>
      </c>
      <c r="H297" t="s">
        <v>457</v>
      </c>
    </row>
    <row r="298" spans="1:8">
      <c r="A298" t="s">
        <v>235</v>
      </c>
      <c r="B298">
        <v>2006</v>
      </c>
      <c r="C298" t="s">
        <v>376</v>
      </c>
      <c r="D298">
        <v>0.05</v>
      </c>
      <c r="E298" t="s">
        <v>455</v>
      </c>
      <c r="F298" t="s">
        <v>122</v>
      </c>
      <c r="G298" t="s">
        <v>458</v>
      </c>
      <c r="H298" t="s">
        <v>457</v>
      </c>
    </row>
    <row r="299" spans="1:8">
      <c r="A299" t="s">
        <v>167</v>
      </c>
      <c r="B299">
        <v>2007</v>
      </c>
      <c r="C299" t="s">
        <v>376</v>
      </c>
      <c r="D299">
        <v>2.13</v>
      </c>
      <c r="E299" t="s">
        <v>455</v>
      </c>
      <c r="F299" t="s">
        <v>122</v>
      </c>
      <c r="G299" t="s">
        <v>456</v>
      </c>
      <c r="H299" t="s">
        <v>457</v>
      </c>
    </row>
    <row r="300" spans="1:8">
      <c r="A300" t="s">
        <v>128</v>
      </c>
      <c r="B300">
        <v>2007</v>
      </c>
      <c r="C300" t="s">
        <v>376</v>
      </c>
      <c r="D300">
        <v>2528.79</v>
      </c>
      <c r="E300" t="s">
        <v>455</v>
      </c>
      <c r="F300" t="s">
        <v>122</v>
      </c>
      <c r="G300" t="s">
        <v>456</v>
      </c>
      <c r="H300" t="s">
        <v>457</v>
      </c>
    </row>
    <row r="301" spans="1:8">
      <c r="A301" t="s">
        <v>129</v>
      </c>
      <c r="B301">
        <v>2007</v>
      </c>
      <c r="C301" t="s">
        <v>376</v>
      </c>
      <c r="D301">
        <v>15.07</v>
      </c>
      <c r="E301" t="s">
        <v>455</v>
      </c>
      <c r="F301" t="s">
        <v>122</v>
      </c>
      <c r="G301" t="s">
        <v>456</v>
      </c>
      <c r="H301" t="s">
        <v>457</v>
      </c>
    </row>
    <row r="302" spans="1:8">
      <c r="A302" t="s">
        <v>232</v>
      </c>
      <c r="B302">
        <v>2007</v>
      </c>
      <c r="C302" t="s">
        <v>376</v>
      </c>
      <c r="D302">
        <v>11.53</v>
      </c>
      <c r="E302" t="s">
        <v>455</v>
      </c>
      <c r="F302" t="s">
        <v>122</v>
      </c>
      <c r="G302" t="s">
        <v>456</v>
      </c>
      <c r="H302" t="s">
        <v>457</v>
      </c>
    </row>
    <row r="303" spans="1:8">
      <c r="A303" t="s">
        <v>169</v>
      </c>
      <c r="B303">
        <v>2007</v>
      </c>
      <c r="C303" t="s">
        <v>376</v>
      </c>
      <c r="D303">
        <v>0.34</v>
      </c>
      <c r="E303" t="s">
        <v>455</v>
      </c>
      <c r="F303" t="s">
        <v>122</v>
      </c>
      <c r="G303" t="s">
        <v>456</v>
      </c>
      <c r="H303" t="s">
        <v>457</v>
      </c>
    </row>
    <row r="304" spans="1:8">
      <c r="A304" t="s">
        <v>233</v>
      </c>
      <c r="B304">
        <v>2007</v>
      </c>
      <c r="C304" t="s">
        <v>376</v>
      </c>
      <c r="D304">
        <v>18.48</v>
      </c>
      <c r="E304" t="s">
        <v>455</v>
      </c>
      <c r="F304" t="s">
        <v>122</v>
      </c>
      <c r="G304" t="s">
        <v>456</v>
      </c>
      <c r="H304" t="s">
        <v>457</v>
      </c>
    </row>
    <row r="305" spans="1:8">
      <c r="A305" t="s">
        <v>234</v>
      </c>
      <c r="B305">
        <v>2007</v>
      </c>
      <c r="C305" t="s">
        <v>376</v>
      </c>
      <c r="D305">
        <v>0.01</v>
      </c>
      <c r="E305" t="s">
        <v>455</v>
      </c>
      <c r="F305" t="s">
        <v>122</v>
      </c>
      <c r="G305" t="s">
        <v>458</v>
      </c>
      <c r="H305" t="s">
        <v>457</v>
      </c>
    </row>
    <row r="306" spans="1:8">
      <c r="A306" t="s">
        <v>235</v>
      </c>
      <c r="B306">
        <v>2007</v>
      </c>
      <c r="C306" t="s">
        <v>376</v>
      </c>
      <c r="D306">
        <v>7.0000000000000007E-2</v>
      </c>
      <c r="E306" t="s">
        <v>455</v>
      </c>
      <c r="F306" t="s">
        <v>122</v>
      </c>
      <c r="G306" t="s">
        <v>458</v>
      </c>
      <c r="H306" t="s">
        <v>457</v>
      </c>
    </row>
    <row r="307" spans="1:8">
      <c r="A307" t="s">
        <v>167</v>
      </c>
      <c r="B307">
        <v>2008</v>
      </c>
      <c r="C307" t="s">
        <v>376</v>
      </c>
      <c r="D307">
        <v>3.21</v>
      </c>
      <c r="E307" t="s">
        <v>455</v>
      </c>
      <c r="F307" t="s">
        <v>122</v>
      </c>
      <c r="G307" t="s">
        <v>456</v>
      </c>
      <c r="H307" t="s">
        <v>457</v>
      </c>
    </row>
    <row r="308" spans="1:8">
      <c r="A308" t="s">
        <v>128</v>
      </c>
      <c r="B308">
        <v>2008</v>
      </c>
      <c r="C308" t="s">
        <v>376</v>
      </c>
      <c r="D308">
        <v>2564.52</v>
      </c>
      <c r="E308" t="s">
        <v>455</v>
      </c>
      <c r="F308" t="s">
        <v>122</v>
      </c>
      <c r="G308" t="s">
        <v>456</v>
      </c>
      <c r="H308" t="s">
        <v>457</v>
      </c>
    </row>
    <row r="309" spans="1:8">
      <c r="A309" t="s">
        <v>129</v>
      </c>
      <c r="B309">
        <v>2008</v>
      </c>
      <c r="C309" t="s">
        <v>376</v>
      </c>
      <c r="D309">
        <v>15.36</v>
      </c>
      <c r="E309" t="s">
        <v>455</v>
      </c>
      <c r="F309" t="s">
        <v>122</v>
      </c>
      <c r="G309" t="s">
        <v>456</v>
      </c>
      <c r="H309" t="s">
        <v>457</v>
      </c>
    </row>
    <row r="310" spans="1:8">
      <c r="A310" t="s">
        <v>232</v>
      </c>
      <c r="B310">
        <v>2008</v>
      </c>
      <c r="C310" t="s">
        <v>376</v>
      </c>
      <c r="D310">
        <v>15.13</v>
      </c>
      <c r="E310" t="s">
        <v>455</v>
      </c>
      <c r="F310" t="s">
        <v>122</v>
      </c>
      <c r="G310" t="s">
        <v>456</v>
      </c>
      <c r="H310" t="s">
        <v>457</v>
      </c>
    </row>
    <row r="311" spans="1:8">
      <c r="A311" t="s">
        <v>169</v>
      </c>
      <c r="B311">
        <v>2008</v>
      </c>
      <c r="C311" t="s">
        <v>376</v>
      </c>
      <c r="D311">
        <v>0.38</v>
      </c>
      <c r="E311" t="s">
        <v>455</v>
      </c>
      <c r="F311" t="s">
        <v>122</v>
      </c>
      <c r="G311" t="s">
        <v>456</v>
      </c>
      <c r="H311" t="s">
        <v>457</v>
      </c>
    </row>
    <row r="312" spans="1:8">
      <c r="A312" t="s">
        <v>233</v>
      </c>
      <c r="B312">
        <v>2008</v>
      </c>
      <c r="C312" t="s">
        <v>376</v>
      </c>
      <c r="D312">
        <v>12.38</v>
      </c>
      <c r="E312" t="s">
        <v>455</v>
      </c>
      <c r="F312" t="s">
        <v>122</v>
      </c>
      <c r="G312" t="s">
        <v>456</v>
      </c>
      <c r="H312" t="s">
        <v>457</v>
      </c>
    </row>
    <row r="313" spans="1:8">
      <c r="A313" t="s">
        <v>234</v>
      </c>
      <c r="B313">
        <v>2008</v>
      </c>
      <c r="C313" t="s">
        <v>376</v>
      </c>
      <c r="D313">
        <v>0.01</v>
      </c>
      <c r="E313" t="s">
        <v>455</v>
      </c>
      <c r="F313" t="s">
        <v>122</v>
      </c>
      <c r="G313" t="s">
        <v>458</v>
      </c>
      <c r="H313" t="s">
        <v>457</v>
      </c>
    </row>
    <row r="314" spans="1:8">
      <c r="A314" t="s">
        <v>235</v>
      </c>
      <c r="B314">
        <v>2008</v>
      </c>
      <c r="C314" t="s">
        <v>376</v>
      </c>
      <c r="D314">
        <v>0.16</v>
      </c>
      <c r="E314" t="s">
        <v>455</v>
      </c>
      <c r="F314" t="s">
        <v>122</v>
      </c>
      <c r="G314" t="s">
        <v>458</v>
      </c>
      <c r="H314" t="s">
        <v>457</v>
      </c>
    </row>
    <row r="315" spans="1:8">
      <c r="A315" t="s">
        <v>167</v>
      </c>
      <c r="B315">
        <v>2009</v>
      </c>
      <c r="C315" t="s">
        <v>376</v>
      </c>
      <c r="D315">
        <v>4.51</v>
      </c>
      <c r="E315" t="s">
        <v>455</v>
      </c>
      <c r="F315" t="s">
        <v>122</v>
      </c>
      <c r="G315" t="s">
        <v>456</v>
      </c>
      <c r="H315" t="s">
        <v>457</v>
      </c>
    </row>
    <row r="316" spans="1:8">
      <c r="A316" t="s">
        <v>128</v>
      </c>
      <c r="B316">
        <v>2009</v>
      </c>
      <c r="C316" t="s">
        <v>376</v>
      </c>
      <c r="D316">
        <v>2744.24</v>
      </c>
      <c r="E316" t="s">
        <v>455</v>
      </c>
      <c r="F316" t="s">
        <v>122</v>
      </c>
      <c r="G316" t="s">
        <v>456</v>
      </c>
      <c r="H316" t="s">
        <v>457</v>
      </c>
    </row>
    <row r="317" spans="1:8">
      <c r="A317" t="s">
        <v>129</v>
      </c>
      <c r="B317">
        <v>2009</v>
      </c>
      <c r="C317" t="s">
        <v>376</v>
      </c>
      <c r="D317">
        <v>25.13</v>
      </c>
      <c r="E317" t="s">
        <v>455</v>
      </c>
      <c r="F317" t="s">
        <v>122</v>
      </c>
      <c r="G317" t="s">
        <v>456</v>
      </c>
      <c r="H317" t="s">
        <v>457</v>
      </c>
    </row>
    <row r="318" spans="1:8">
      <c r="A318" t="s">
        <v>232</v>
      </c>
      <c r="B318">
        <v>2009</v>
      </c>
      <c r="C318" t="s">
        <v>376</v>
      </c>
      <c r="D318">
        <v>14.63</v>
      </c>
      <c r="E318" t="s">
        <v>455</v>
      </c>
      <c r="F318" t="s">
        <v>122</v>
      </c>
      <c r="G318" t="s">
        <v>456</v>
      </c>
      <c r="H318" t="s">
        <v>457</v>
      </c>
    </row>
    <row r="319" spans="1:8">
      <c r="A319" t="s">
        <v>169</v>
      </c>
      <c r="B319">
        <v>2009</v>
      </c>
      <c r="C319" t="s">
        <v>376</v>
      </c>
      <c r="D319">
        <v>0.39</v>
      </c>
      <c r="E319" t="s">
        <v>455</v>
      </c>
      <c r="F319" t="s">
        <v>122</v>
      </c>
      <c r="G319" t="s">
        <v>456</v>
      </c>
      <c r="H319" t="s">
        <v>457</v>
      </c>
    </row>
    <row r="320" spans="1:8">
      <c r="A320" t="s">
        <v>233</v>
      </c>
      <c r="B320">
        <v>2009</v>
      </c>
      <c r="C320" t="s">
        <v>376</v>
      </c>
      <c r="D320">
        <v>7.97</v>
      </c>
      <c r="E320" t="s">
        <v>455</v>
      </c>
      <c r="F320" t="s">
        <v>122</v>
      </c>
      <c r="G320" t="s">
        <v>456</v>
      </c>
      <c r="H320" t="s">
        <v>457</v>
      </c>
    </row>
    <row r="321" spans="1:8">
      <c r="A321" t="s">
        <v>234</v>
      </c>
      <c r="B321">
        <v>2009</v>
      </c>
      <c r="C321" t="s">
        <v>376</v>
      </c>
      <c r="D321">
        <v>0.01</v>
      </c>
      <c r="E321" t="s">
        <v>455</v>
      </c>
      <c r="F321" t="s">
        <v>122</v>
      </c>
      <c r="G321" t="s">
        <v>458</v>
      </c>
      <c r="H321" t="s">
        <v>457</v>
      </c>
    </row>
    <row r="322" spans="1:8">
      <c r="A322" t="s">
        <v>235</v>
      </c>
      <c r="B322">
        <v>2009</v>
      </c>
      <c r="C322" t="s">
        <v>376</v>
      </c>
      <c r="D322">
        <v>0.35</v>
      </c>
      <c r="E322" t="s">
        <v>455</v>
      </c>
      <c r="F322" t="s">
        <v>122</v>
      </c>
      <c r="G322" t="s">
        <v>458</v>
      </c>
      <c r="H322" t="s">
        <v>457</v>
      </c>
    </row>
    <row r="323" spans="1:8">
      <c r="A323" t="s">
        <v>167</v>
      </c>
      <c r="B323">
        <v>2010</v>
      </c>
      <c r="C323" t="s">
        <v>376</v>
      </c>
      <c r="D323">
        <v>5.38</v>
      </c>
      <c r="E323" t="s">
        <v>455</v>
      </c>
      <c r="F323" t="s">
        <v>122</v>
      </c>
      <c r="G323" t="s">
        <v>456</v>
      </c>
      <c r="H323" t="s">
        <v>457</v>
      </c>
    </row>
    <row r="324" spans="1:8">
      <c r="A324" t="s">
        <v>128</v>
      </c>
      <c r="B324">
        <v>2010</v>
      </c>
      <c r="C324" t="s">
        <v>376</v>
      </c>
      <c r="D324">
        <v>3035.28</v>
      </c>
      <c r="E324" t="s">
        <v>455</v>
      </c>
      <c r="F324" t="s">
        <v>122</v>
      </c>
      <c r="G324" t="s">
        <v>456</v>
      </c>
      <c r="H324" t="s">
        <v>457</v>
      </c>
    </row>
    <row r="325" spans="1:8">
      <c r="A325" t="s">
        <v>129</v>
      </c>
      <c r="B325">
        <v>2010</v>
      </c>
      <c r="C325" t="s">
        <v>376</v>
      </c>
      <c r="D325">
        <v>34.53</v>
      </c>
      <c r="E325" t="s">
        <v>455</v>
      </c>
      <c r="F325" t="s">
        <v>122</v>
      </c>
      <c r="G325" t="s">
        <v>456</v>
      </c>
      <c r="H325" t="s">
        <v>457</v>
      </c>
    </row>
    <row r="326" spans="1:8">
      <c r="A326" t="s">
        <v>232</v>
      </c>
      <c r="B326">
        <v>2010</v>
      </c>
      <c r="C326" t="s">
        <v>376</v>
      </c>
      <c r="D326">
        <v>16.899999999999999</v>
      </c>
      <c r="E326" t="s">
        <v>455</v>
      </c>
      <c r="F326" t="s">
        <v>122</v>
      </c>
      <c r="G326" t="s">
        <v>456</v>
      </c>
      <c r="H326" t="s">
        <v>457</v>
      </c>
    </row>
    <row r="327" spans="1:8">
      <c r="A327" t="s">
        <v>169</v>
      </c>
      <c r="B327">
        <v>2010</v>
      </c>
      <c r="C327" t="s">
        <v>376</v>
      </c>
      <c r="D327">
        <v>0.41</v>
      </c>
      <c r="E327" t="s">
        <v>455</v>
      </c>
      <c r="F327" t="s">
        <v>122</v>
      </c>
      <c r="G327" t="s">
        <v>456</v>
      </c>
      <c r="H327" t="s">
        <v>457</v>
      </c>
    </row>
    <row r="328" spans="1:8">
      <c r="A328" t="s">
        <v>233</v>
      </c>
      <c r="B328">
        <v>2010</v>
      </c>
      <c r="C328" t="s">
        <v>376</v>
      </c>
      <c r="D328">
        <v>22.84</v>
      </c>
      <c r="E328" t="s">
        <v>455</v>
      </c>
      <c r="F328" t="s">
        <v>122</v>
      </c>
      <c r="G328" t="s">
        <v>456</v>
      </c>
      <c r="H328" t="s">
        <v>457</v>
      </c>
    </row>
    <row r="329" spans="1:8">
      <c r="A329" t="s">
        <v>234</v>
      </c>
      <c r="B329">
        <v>2010</v>
      </c>
      <c r="C329" t="s">
        <v>376</v>
      </c>
      <c r="D329">
        <v>0.03</v>
      </c>
      <c r="E329" t="s">
        <v>455</v>
      </c>
      <c r="F329" t="s">
        <v>122</v>
      </c>
      <c r="G329" t="s">
        <v>458</v>
      </c>
      <c r="H329" t="s">
        <v>457</v>
      </c>
    </row>
    <row r="330" spans="1:8">
      <c r="A330" t="s">
        <v>235</v>
      </c>
      <c r="B330">
        <v>2010</v>
      </c>
      <c r="C330" t="s">
        <v>376</v>
      </c>
      <c r="D330">
        <v>0.62</v>
      </c>
      <c r="E330" t="s">
        <v>455</v>
      </c>
      <c r="F330" t="s">
        <v>122</v>
      </c>
      <c r="G330" t="s">
        <v>458</v>
      </c>
      <c r="H330" t="s">
        <v>457</v>
      </c>
    </row>
    <row r="331" spans="1:8">
      <c r="A331" t="s">
        <v>167</v>
      </c>
      <c r="B331">
        <v>2011</v>
      </c>
      <c r="C331" t="s">
        <v>376</v>
      </c>
      <c r="D331">
        <v>5.97</v>
      </c>
      <c r="E331" t="s">
        <v>455</v>
      </c>
      <c r="F331" t="s">
        <v>122</v>
      </c>
      <c r="G331" t="s">
        <v>456</v>
      </c>
      <c r="H331" t="s">
        <v>457</v>
      </c>
    </row>
    <row r="332" spans="1:8">
      <c r="A332" t="s">
        <v>128</v>
      </c>
      <c r="B332">
        <v>2011</v>
      </c>
      <c r="C332" t="s">
        <v>376</v>
      </c>
      <c r="D332">
        <v>3450.87</v>
      </c>
      <c r="E332" t="s">
        <v>455</v>
      </c>
      <c r="F332" t="s">
        <v>122</v>
      </c>
      <c r="G332" t="s">
        <v>456</v>
      </c>
      <c r="H332" t="s">
        <v>457</v>
      </c>
    </row>
    <row r="333" spans="1:8">
      <c r="A333" t="s">
        <v>129</v>
      </c>
      <c r="B333">
        <v>2011</v>
      </c>
      <c r="C333" t="s">
        <v>376</v>
      </c>
      <c r="D333">
        <v>48.32</v>
      </c>
      <c r="E333" t="s">
        <v>455</v>
      </c>
      <c r="F333" t="s">
        <v>122</v>
      </c>
      <c r="G333" t="s">
        <v>456</v>
      </c>
      <c r="H333" t="s">
        <v>457</v>
      </c>
    </row>
    <row r="334" spans="1:8">
      <c r="A334" t="s">
        <v>232</v>
      </c>
      <c r="B334">
        <v>2011</v>
      </c>
      <c r="C334" t="s">
        <v>376</v>
      </c>
      <c r="D334">
        <v>16.350000000000001</v>
      </c>
      <c r="E334" t="s">
        <v>455</v>
      </c>
      <c r="F334" t="s">
        <v>122</v>
      </c>
      <c r="G334" t="s">
        <v>456</v>
      </c>
      <c r="H334" t="s">
        <v>457</v>
      </c>
    </row>
    <row r="335" spans="1:8">
      <c r="A335" t="s">
        <v>169</v>
      </c>
      <c r="B335">
        <v>2011</v>
      </c>
      <c r="C335" t="s">
        <v>376</v>
      </c>
      <c r="D335">
        <v>0.48</v>
      </c>
      <c r="E335" t="s">
        <v>455</v>
      </c>
      <c r="F335" t="s">
        <v>122</v>
      </c>
      <c r="G335" t="s">
        <v>456</v>
      </c>
      <c r="H335" t="s">
        <v>457</v>
      </c>
    </row>
    <row r="336" spans="1:8">
      <c r="A336" t="s">
        <v>233</v>
      </c>
      <c r="B336">
        <v>2011</v>
      </c>
      <c r="C336" t="s">
        <v>376</v>
      </c>
      <c r="D336">
        <v>22.24</v>
      </c>
      <c r="E336" t="s">
        <v>455</v>
      </c>
      <c r="F336" t="s">
        <v>122</v>
      </c>
      <c r="G336" t="s">
        <v>456</v>
      </c>
      <c r="H336" t="s">
        <v>457</v>
      </c>
    </row>
    <row r="337" spans="1:8">
      <c r="A337" t="s">
        <v>234</v>
      </c>
      <c r="B337">
        <v>2011</v>
      </c>
      <c r="C337" t="s">
        <v>376</v>
      </c>
      <c r="D337">
        <v>0.12</v>
      </c>
      <c r="E337" t="s">
        <v>455</v>
      </c>
      <c r="F337" t="s">
        <v>122</v>
      </c>
      <c r="G337" t="s">
        <v>458</v>
      </c>
      <c r="H337" t="s">
        <v>457</v>
      </c>
    </row>
    <row r="338" spans="1:8">
      <c r="A338" t="s">
        <v>235</v>
      </c>
      <c r="B338">
        <v>2011</v>
      </c>
      <c r="C338" t="s">
        <v>376</v>
      </c>
      <c r="D338">
        <v>0.93</v>
      </c>
      <c r="E338" t="s">
        <v>455</v>
      </c>
      <c r="F338" t="s">
        <v>122</v>
      </c>
      <c r="G338" t="s">
        <v>458</v>
      </c>
      <c r="H338" t="s">
        <v>457</v>
      </c>
    </row>
    <row r="339" spans="1:8">
      <c r="A339" t="s">
        <v>167</v>
      </c>
      <c r="B339">
        <v>2012</v>
      </c>
      <c r="C339" t="s">
        <v>376</v>
      </c>
      <c r="D339">
        <v>6.51</v>
      </c>
      <c r="E339" t="s">
        <v>455</v>
      </c>
      <c r="F339" t="s">
        <v>122</v>
      </c>
      <c r="G339" t="s">
        <v>456</v>
      </c>
      <c r="H339" t="s">
        <v>457</v>
      </c>
    </row>
    <row r="340" spans="1:8">
      <c r="A340" t="s">
        <v>128</v>
      </c>
      <c r="B340">
        <v>2012</v>
      </c>
      <c r="C340" t="s">
        <v>376</v>
      </c>
      <c r="D340">
        <v>3493.24</v>
      </c>
      <c r="E340" t="s">
        <v>455</v>
      </c>
      <c r="F340" t="s">
        <v>122</v>
      </c>
      <c r="G340" t="s">
        <v>456</v>
      </c>
      <c r="H340" t="s">
        <v>457</v>
      </c>
    </row>
    <row r="341" spans="1:8">
      <c r="A341" t="s">
        <v>129</v>
      </c>
      <c r="B341">
        <v>2012</v>
      </c>
      <c r="C341" t="s">
        <v>376</v>
      </c>
      <c r="D341">
        <v>48.98</v>
      </c>
      <c r="E341" t="s">
        <v>455</v>
      </c>
      <c r="F341" t="s">
        <v>122</v>
      </c>
      <c r="G341" t="s">
        <v>456</v>
      </c>
      <c r="H341" t="s">
        <v>457</v>
      </c>
    </row>
    <row r="342" spans="1:8">
      <c r="A342" t="s">
        <v>232</v>
      </c>
      <c r="B342">
        <v>2012</v>
      </c>
      <c r="C342" t="s">
        <v>376</v>
      </c>
      <c r="D342">
        <v>20.5</v>
      </c>
      <c r="E342" t="s">
        <v>455</v>
      </c>
      <c r="F342" t="s">
        <v>122</v>
      </c>
      <c r="G342" t="s">
        <v>456</v>
      </c>
      <c r="H342" t="s">
        <v>457</v>
      </c>
    </row>
    <row r="343" spans="1:8">
      <c r="A343" t="s">
        <v>169</v>
      </c>
      <c r="B343">
        <v>2012</v>
      </c>
      <c r="C343" t="s">
        <v>376</v>
      </c>
      <c r="D343">
        <v>0.54</v>
      </c>
      <c r="E343" t="s">
        <v>455</v>
      </c>
      <c r="F343" t="s">
        <v>122</v>
      </c>
      <c r="G343" t="s">
        <v>456</v>
      </c>
      <c r="H343" t="s">
        <v>457</v>
      </c>
    </row>
    <row r="344" spans="1:8">
      <c r="A344" t="s">
        <v>233</v>
      </c>
      <c r="B344">
        <v>2012</v>
      </c>
      <c r="C344" t="s">
        <v>376</v>
      </c>
      <c r="D344">
        <v>20.54</v>
      </c>
      <c r="E344" t="s">
        <v>455</v>
      </c>
      <c r="F344" t="s">
        <v>122</v>
      </c>
      <c r="G344" t="s">
        <v>456</v>
      </c>
      <c r="H344" t="s">
        <v>457</v>
      </c>
    </row>
    <row r="345" spans="1:8">
      <c r="A345" t="s">
        <v>234</v>
      </c>
      <c r="B345">
        <v>2012</v>
      </c>
      <c r="C345" t="s">
        <v>376</v>
      </c>
      <c r="D345">
        <v>0.17</v>
      </c>
      <c r="E345" t="s">
        <v>455</v>
      </c>
      <c r="F345" t="s">
        <v>122</v>
      </c>
      <c r="G345" t="s">
        <v>458</v>
      </c>
      <c r="H345" t="s">
        <v>457</v>
      </c>
    </row>
    <row r="346" spans="1:8">
      <c r="A346" t="s">
        <v>235</v>
      </c>
      <c r="B346">
        <v>2012</v>
      </c>
      <c r="C346" t="s">
        <v>376</v>
      </c>
      <c r="D346">
        <v>1.3</v>
      </c>
      <c r="E346" t="s">
        <v>455</v>
      </c>
      <c r="F346" t="s">
        <v>122</v>
      </c>
      <c r="G346" t="s">
        <v>458</v>
      </c>
      <c r="H346" t="s">
        <v>457</v>
      </c>
    </row>
    <row r="347" spans="1:8">
      <c r="A347" t="s">
        <v>167</v>
      </c>
      <c r="B347">
        <v>2013</v>
      </c>
      <c r="C347" t="s">
        <v>376</v>
      </c>
      <c r="D347">
        <v>8.0299999999999994</v>
      </c>
      <c r="E347" t="s">
        <v>455</v>
      </c>
      <c r="F347" t="s">
        <v>122</v>
      </c>
      <c r="G347" t="s">
        <v>456</v>
      </c>
      <c r="H347" t="s">
        <v>457</v>
      </c>
    </row>
    <row r="348" spans="1:8">
      <c r="A348" t="s">
        <v>128</v>
      </c>
      <c r="B348">
        <v>2013</v>
      </c>
      <c r="C348" t="s">
        <v>376</v>
      </c>
      <c r="D348">
        <v>3790.77</v>
      </c>
      <c r="E348" t="s">
        <v>455</v>
      </c>
      <c r="F348" t="s">
        <v>122</v>
      </c>
      <c r="G348" t="s">
        <v>456</v>
      </c>
      <c r="H348" t="s">
        <v>457</v>
      </c>
    </row>
    <row r="349" spans="1:8">
      <c r="A349" t="s">
        <v>129</v>
      </c>
      <c r="B349">
        <v>2013</v>
      </c>
      <c r="C349" t="s">
        <v>376</v>
      </c>
      <c r="D349">
        <v>51.71</v>
      </c>
      <c r="E349" t="s">
        <v>455</v>
      </c>
      <c r="F349" t="s">
        <v>122</v>
      </c>
      <c r="G349" t="s">
        <v>456</v>
      </c>
      <c r="H349" t="s">
        <v>457</v>
      </c>
    </row>
    <row r="350" spans="1:8">
      <c r="A350" t="s">
        <v>232</v>
      </c>
      <c r="B350">
        <v>2013</v>
      </c>
      <c r="C350" t="s">
        <v>376</v>
      </c>
      <c r="D350">
        <v>21.61</v>
      </c>
      <c r="E350" t="s">
        <v>455</v>
      </c>
      <c r="F350" t="s">
        <v>122</v>
      </c>
      <c r="G350" t="s">
        <v>456</v>
      </c>
      <c r="H350" t="s">
        <v>457</v>
      </c>
    </row>
    <row r="351" spans="1:8">
      <c r="A351" t="s">
        <v>169</v>
      </c>
      <c r="B351">
        <v>2013</v>
      </c>
      <c r="C351" t="s">
        <v>376</v>
      </c>
      <c r="D351">
        <v>0.62</v>
      </c>
      <c r="E351" t="s">
        <v>455</v>
      </c>
      <c r="F351" t="s">
        <v>122</v>
      </c>
      <c r="G351" t="s">
        <v>456</v>
      </c>
      <c r="H351" t="s">
        <v>457</v>
      </c>
    </row>
    <row r="352" spans="1:8">
      <c r="A352" t="s">
        <v>233</v>
      </c>
      <c r="B352">
        <v>2013</v>
      </c>
      <c r="C352" t="s">
        <v>376</v>
      </c>
      <c r="D352">
        <v>21.71</v>
      </c>
      <c r="E352" t="s">
        <v>455</v>
      </c>
      <c r="F352" t="s">
        <v>122</v>
      </c>
      <c r="G352" t="s">
        <v>456</v>
      </c>
      <c r="H352" t="s">
        <v>457</v>
      </c>
    </row>
    <row r="353" spans="1:8">
      <c r="A353" t="s">
        <v>234</v>
      </c>
      <c r="B353">
        <v>2013</v>
      </c>
      <c r="C353" t="s">
        <v>376</v>
      </c>
      <c r="D353">
        <v>0.4</v>
      </c>
      <c r="E353" t="s">
        <v>455</v>
      </c>
      <c r="F353" t="s">
        <v>122</v>
      </c>
      <c r="G353" t="s">
        <v>458</v>
      </c>
      <c r="H353" t="s">
        <v>457</v>
      </c>
    </row>
    <row r="354" spans="1:8">
      <c r="A354" t="s">
        <v>235</v>
      </c>
      <c r="B354">
        <v>2013</v>
      </c>
      <c r="C354" t="s">
        <v>376</v>
      </c>
      <c r="D354">
        <v>1.74</v>
      </c>
      <c r="E354" t="s">
        <v>455</v>
      </c>
      <c r="F354" t="s">
        <v>122</v>
      </c>
      <c r="G354" t="s">
        <v>458</v>
      </c>
      <c r="H354" t="s">
        <v>457</v>
      </c>
    </row>
    <row r="355" spans="1:8">
      <c r="A355" t="s">
        <v>167</v>
      </c>
      <c r="B355">
        <v>2014</v>
      </c>
      <c r="C355" t="s">
        <v>376</v>
      </c>
      <c r="D355">
        <v>10</v>
      </c>
      <c r="E355" t="s">
        <v>455</v>
      </c>
      <c r="F355" t="s">
        <v>122</v>
      </c>
      <c r="G355" t="s">
        <v>456</v>
      </c>
      <c r="H355" t="s">
        <v>457</v>
      </c>
    </row>
    <row r="356" spans="1:8">
      <c r="A356" t="s">
        <v>128</v>
      </c>
      <c r="B356">
        <v>2014</v>
      </c>
      <c r="C356" t="s">
        <v>376</v>
      </c>
      <c r="D356">
        <v>3898.05</v>
      </c>
      <c r="E356" t="s">
        <v>455</v>
      </c>
      <c r="F356" t="s">
        <v>122</v>
      </c>
      <c r="G356" t="s">
        <v>456</v>
      </c>
      <c r="H356" t="s">
        <v>457</v>
      </c>
    </row>
    <row r="357" spans="1:8">
      <c r="A357" t="s">
        <v>129</v>
      </c>
      <c r="B357">
        <v>2014</v>
      </c>
      <c r="C357" t="s">
        <v>376</v>
      </c>
      <c r="D357">
        <v>59.21</v>
      </c>
      <c r="E357" t="s">
        <v>455</v>
      </c>
      <c r="F357" t="s">
        <v>122</v>
      </c>
      <c r="G357" t="s">
        <v>456</v>
      </c>
      <c r="H357" t="s">
        <v>457</v>
      </c>
    </row>
    <row r="358" spans="1:8">
      <c r="A358" t="s">
        <v>232</v>
      </c>
      <c r="B358">
        <v>2014</v>
      </c>
      <c r="C358" t="s">
        <v>376</v>
      </c>
      <c r="D358">
        <v>25.18</v>
      </c>
      <c r="E358" t="s">
        <v>455</v>
      </c>
      <c r="F358" t="s">
        <v>122</v>
      </c>
      <c r="G358" t="s">
        <v>456</v>
      </c>
      <c r="H358" t="s">
        <v>457</v>
      </c>
    </row>
    <row r="359" spans="1:8">
      <c r="A359" t="s">
        <v>169</v>
      </c>
      <c r="B359">
        <v>2014</v>
      </c>
      <c r="C359" t="s">
        <v>376</v>
      </c>
      <c r="D359">
        <v>0.74</v>
      </c>
      <c r="E359" t="s">
        <v>455</v>
      </c>
      <c r="F359" t="s">
        <v>122</v>
      </c>
      <c r="G359" t="s">
        <v>456</v>
      </c>
      <c r="H359" t="s">
        <v>457</v>
      </c>
    </row>
    <row r="360" spans="1:8">
      <c r="A360" t="s">
        <v>233</v>
      </c>
      <c r="B360">
        <v>2014</v>
      </c>
      <c r="C360" t="s">
        <v>376</v>
      </c>
      <c r="D360">
        <v>23.46</v>
      </c>
      <c r="E360" t="s">
        <v>455</v>
      </c>
      <c r="F360" t="s">
        <v>122</v>
      </c>
      <c r="G360" t="s">
        <v>456</v>
      </c>
      <c r="H360" t="s">
        <v>457</v>
      </c>
    </row>
    <row r="361" spans="1:8">
      <c r="A361" t="s">
        <v>234</v>
      </c>
      <c r="B361">
        <v>2014</v>
      </c>
      <c r="C361" t="s">
        <v>376</v>
      </c>
      <c r="D361">
        <v>1.1200000000000001</v>
      </c>
      <c r="E361" t="s">
        <v>455</v>
      </c>
      <c r="F361" t="s">
        <v>122</v>
      </c>
      <c r="G361" t="s">
        <v>458</v>
      </c>
      <c r="H361" t="s">
        <v>457</v>
      </c>
    </row>
    <row r="362" spans="1:8">
      <c r="A362" t="s">
        <v>235</v>
      </c>
      <c r="B362">
        <v>2014</v>
      </c>
      <c r="C362" t="s">
        <v>376</v>
      </c>
      <c r="D362">
        <v>2.0099999999999998</v>
      </c>
      <c r="E362" t="s">
        <v>455</v>
      </c>
      <c r="F362" t="s">
        <v>122</v>
      </c>
      <c r="G362" t="s">
        <v>458</v>
      </c>
      <c r="H362" t="s">
        <v>457</v>
      </c>
    </row>
    <row r="363" spans="1:8">
      <c r="A363" t="s">
        <v>167</v>
      </c>
      <c r="B363">
        <v>2015</v>
      </c>
      <c r="C363" t="s">
        <v>376</v>
      </c>
      <c r="D363">
        <v>11.69</v>
      </c>
      <c r="E363" t="s">
        <v>455</v>
      </c>
      <c r="F363" t="s">
        <v>122</v>
      </c>
      <c r="G363" t="s">
        <v>456</v>
      </c>
      <c r="H363" t="s">
        <v>457</v>
      </c>
    </row>
    <row r="364" spans="1:8">
      <c r="A364" t="s">
        <v>128</v>
      </c>
      <c r="B364">
        <v>2015</v>
      </c>
      <c r="C364" t="s">
        <v>376</v>
      </c>
      <c r="D364">
        <v>3740.99</v>
      </c>
      <c r="E364" t="s">
        <v>455</v>
      </c>
      <c r="F364" t="s">
        <v>122</v>
      </c>
      <c r="G364" t="s">
        <v>456</v>
      </c>
      <c r="H364" t="s">
        <v>457</v>
      </c>
    </row>
    <row r="365" spans="1:8">
      <c r="A365" t="s">
        <v>129</v>
      </c>
      <c r="B365">
        <v>2015</v>
      </c>
      <c r="C365" t="s">
        <v>376</v>
      </c>
      <c r="D365">
        <v>74.16</v>
      </c>
      <c r="E365" t="s">
        <v>455</v>
      </c>
      <c r="F365" t="s">
        <v>122</v>
      </c>
      <c r="G365" t="s">
        <v>456</v>
      </c>
      <c r="H365" t="s">
        <v>457</v>
      </c>
    </row>
    <row r="366" spans="1:8">
      <c r="A366" t="s">
        <v>232</v>
      </c>
      <c r="B366">
        <v>2015</v>
      </c>
      <c r="C366" t="s">
        <v>376</v>
      </c>
      <c r="D366">
        <v>26.48</v>
      </c>
      <c r="E366" t="s">
        <v>455</v>
      </c>
      <c r="F366" t="s">
        <v>122</v>
      </c>
      <c r="G366" t="s">
        <v>456</v>
      </c>
      <c r="H366" t="s">
        <v>457</v>
      </c>
    </row>
    <row r="367" spans="1:8">
      <c r="A367" t="s">
        <v>169</v>
      </c>
      <c r="B367">
        <v>2015</v>
      </c>
      <c r="C367" t="s">
        <v>376</v>
      </c>
      <c r="D367">
        <v>0.95</v>
      </c>
      <c r="E367" t="s">
        <v>455</v>
      </c>
      <c r="F367" t="s">
        <v>122</v>
      </c>
      <c r="G367" t="s">
        <v>456</v>
      </c>
      <c r="H367" t="s">
        <v>457</v>
      </c>
    </row>
    <row r="368" spans="1:8">
      <c r="A368" t="s">
        <v>233</v>
      </c>
      <c r="B368">
        <v>2015</v>
      </c>
      <c r="C368" t="s">
        <v>376</v>
      </c>
      <c r="D368">
        <v>23.99</v>
      </c>
      <c r="E368" t="s">
        <v>455</v>
      </c>
      <c r="F368" t="s">
        <v>122</v>
      </c>
      <c r="G368" t="s">
        <v>456</v>
      </c>
      <c r="H368" t="s">
        <v>457</v>
      </c>
    </row>
    <row r="369" spans="1:8">
      <c r="A369" t="s">
        <v>234</v>
      </c>
      <c r="B369">
        <v>2015</v>
      </c>
      <c r="C369" t="s">
        <v>376</v>
      </c>
      <c r="D369">
        <v>1.88</v>
      </c>
      <c r="E369" t="s">
        <v>455</v>
      </c>
      <c r="F369" t="s">
        <v>122</v>
      </c>
      <c r="G369" t="s">
        <v>458</v>
      </c>
      <c r="H369" t="s">
        <v>457</v>
      </c>
    </row>
    <row r="370" spans="1:8">
      <c r="A370" t="s">
        <v>235</v>
      </c>
      <c r="B370">
        <v>2015</v>
      </c>
      <c r="C370" t="s">
        <v>376</v>
      </c>
      <c r="D370">
        <v>2.34</v>
      </c>
      <c r="E370" t="s">
        <v>455</v>
      </c>
      <c r="F370" t="s">
        <v>122</v>
      </c>
      <c r="G370" t="s">
        <v>458</v>
      </c>
      <c r="H370" t="s">
        <v>457</v>
      </c>
    </row>
    <row r="371" spans="1:8">
      <c r="A371" t="s">
        <v>167</v>
      </c>
      <c r="B371">
        <v>2016</v>
      </c>
      <c r="C371" t="s">
        <v>376</v>
      </c>
      <c r="D371">
        <v>13.43</v>
      </c>
      <c r="E371" t="s">
        <v>455</v>
      </c>
      <c r="F371" t="s">
        <v>122</v>
      </c>
      <c r="G371" t="s">
        <v>456</v>
      </c>
      <c r="H371" t="s">
        <v>457</v>
      </c>
    </row>
    <row r="372" spans="1:8">
      <c r="A372" t="s">
        <v>128</v>
      </c>
      <c r="B372">
        <v>2016</v>
      </c>
      <c r="C372" t="s">
        <v>376</v>
      </c>
      <c r="D372">
        <v>3830.32</v>
      </c>
      <c r="E372" t="s">
        <v>455</v>
      </c>
      <c r="F372" t="s">
        <v>122</v>
      </c>
      <c r="G372" t="s">
        <v>456</v>
      </c>
      <c r="H372" t="s">
        <v>457</v>
      </c>
    </row>
    <row r="373" spans="1:8">
      <c r="A373" t="s">
        <v>129</v>
      </c>
      <c r="B373">
        <v>2016</v>
      </c>
      <c r="C373" t="s">
        <v>376</v>
      </c>
      <c r="D373">
        <v>83.65</v>
      </c>
      <c r="E373" t="s">
        <v>455</v>
      </c>
      <c r="F373" t="s">
        <v>122</v>
      </c>
      <c r="G373" t="s">
        <v>456</v>
      </c>
      <c r="H373" t="s">
        <v>457</v>
      </c>
    </row>
    <row r="374" spans="1:8">
      <c r="A374" t="s">
        <v>232</v>
      </c>
      <c r="B374">
        <v>2016</v>
      </c>
      <c r="C374" t="s">
        <v>376</v>
      </c>
      <c r="D374">
        <v>27.4</v>
      </c>
      <c r="E374" t="s">
        <v>455</v>
      </c>
      <c r="F374" t="s">
        <v>122</v>
      </c>
      <c r="G374" t="s">
        <v>456</v>
      </c>
      <c r="H374" t="s">
        <v>457</v>
      </c>
    </row>
    <row r="375" spans="1:8">
      <c r="A375" t="s">
        <v>169</v>
      </c>
      <c r="B375">
        <v>2016</v>
      </c>
      <c r="C375" t="s">
        <v>376</v>
      </c>
      <c r="D375">
        <v>1.18</v>
      </c>
      <c r="E375" t="s">
        <v>455</v>
      </c>
      <c r="F375" t="s">
        <v>122</v>
      </c>
      <c r="G375" t="s">
        <v>456</v>
      </c>
      <c r="H375" t="s">
        <v>457</v>
      </c>
    </row>
    <row r="376" spans="1:8">
      <c r="A376" t="s">
        <v>233</v>
      </c>
      <c r="B376">
        <v>2016</v>
      </c>
      <c r="C376" t="s">
        <v>376</v>
      </c>
      <c r="D376">
        <v>34.58</v>
      </c>
      <c r="E376" t="s">
        <v>455</v>
      </c>
      <c r="F376" t="s">
        <v>122</v>
      </c>
      <c r="G376" t="s">
        <v>456</v>
      </c>
      <c r="H376" t="s">
        <v>457</v>
      </c>
    </row>
    <row r="377" spans="1:8">
      <c r="A377" t="s">
        <v>234</v>
      </c>
      <c r="B377">
        <v>2016</v>
      </c>
      <c r="C377" t="s">
        <v>376</v>
      </c>
      <c r="D377">
        <v>3.16</v>
      </c>
      <c r="E377" t="s">
        <v>455</v>
      </c>
      <c r="F377" t="s">
        <v>122</v>
      </c>
      <c r="G377" t="s">
        <v>458</v>
      </c>
      <c r="H377" t="s">
        <v>457</v>
      </c>
    </row>
    <row r="378" spans="1:8">
      <c r="A378" t="s">
        <v>235</v>
      </c>
      <c r="B378">
        <v>2016</v>
      </c>
      <c r="C378" t="s">
        <v>376</v>
      </c>
      <c r="D378">
        <v>3.05</v>
      </c>
      <c r="E378" t="s">
        <v>455</v>
      </c>
      <c r="F378" t="s">
        <v>122</v>
      </c>
      <c r="G378" t="s">
        <v>458</v>
      </c>
      <c r="H378" t="s">
        <v>457</v>
      </c>
    </row>
    <row r="379" spans="1:8">
      <c r="A379" t="s">
        <v>167</v>
      </c>
      <c r="B379">
        <v>2017</v>
      </c>
      <c r="C379" t="s">
        <v>376</v>
      </c>
      <c r="D379">
        <v>17.21</v>
      </c>
      <c r="E379" t="s">
        <v>455</v>
      </c>
      <c r="F379" t="s">
        <v>122</v>
      </c>
      <c r="G379" t="s">
        <v>456</v>
      </c>
      <c r="H379" t="s">
        <v>457</v>
      </c>
    </row>
    <row r="380" spans="1:8">
      <c r="A380" t="s">
        <v>128</v>
      </c>
      <c r="B380">
        <v>2017</v>
      </c>
      <c r="C380" t="s">
        <v>376</v>
      </c>
      <c r="D380">
        <v>4071.47</v>
      </c>
      <c r="E380" t="s">
        <v>455</v>
      </c>
      <c r="F380" t="s">
        <v>122</v>
      </c>
      <c r="G380" t="s">
        <v>456</v>
      </c>
      <c r="H380" t="s">
        <v>457</v>
      </c>
    </row>
    <row r="381" spans="1:8">
      <c r="A381" t="s">
        <v>129</v>
      </c>
      <c r="B381">
        <v>2017</v>
      </c>
      <c r="C381" t="s">
        <v>376</v>
      </c>
      <c r="D381">
        <v>90.28</v>
      </c>
      <c r="E381" t="s">
        <v>455</v>
      </c>
      <c r="F381" t="s">
        <v>122</v>
      </c>
      <c r="G381" t="s">
        <v>456</v>
      </c>
      <c r="H381" t="s">
        <v>457</v>
      </c>
    </row>
    <row r="382" spans="1:8">
      <c r="A382" t="s">
        <v>232</v>
      </c>
      <c r="B382">
        <v>2017</v>
      </c>
      <c r="C382" t="s">
        <v>376</v>
      </c>
      <c r="D382">
        <v>27.68</v>
      </c>
      <c r="E382" t="s">
        <v>455</v>
      </c>
      <c r="F382" t="s">
        <v>122</v>
      </c>
      <c r="G382" t="s">
        <v>456</v>
      </c>
      <c r="H382" t="s">
        <v>457</v>
      </c>
    </row>
    <row r="383" spans="1:8">
      <c r="A383" t="s">
        <v>169</v>
      </c>
      <c r="B383">
        <v>2017</v>
      </c>
      <c r="C383" t="s">
        <v>376</v>
      </c>
      <c r="D383">
        <v>1.37</v>
      </c>
      <c r="E383" t="s">
        <v>455</v>
      </c>
      <c r="F383" t="s">
        <v>122</v>
      </c>
      <c r="G383" t="s">
        <v>456</v>
      </c>
      <c r="H383" t="s">
        <v>457</v>
      </c>
    </row>
    <row r="384" spans="1:8">
      <c r="A384" t="s">
        <v>233</v>
      </c>
      <c r="B384">
        <v>2017</v>
      </c>
      <c r="C384" t="s">
        <v>376</v>
      </c>
      <c r="D384">
        <v>36.880000000000003</v>
      </c>
      <c r="E384" t="s">
        <v>455</v>
      </c>
      <c r="F384" t="s">
        <v>122</v>
      </c>
      <c r="G384" t="s">
        <v>456</v>
      </c>
      <c r="H384" t="s">
        <v>457</v>
      </c>
    </row>
    <row r="385" spans="1:8">
      <c r="A385" t="s">
        <v>234</v>
      </c>
      <c r="B385">
        <v>2017</v>
      </c>
      <c r="C385" t="s">
        <v>376</v>
      </c>
      <c r="D385">
        <v>5.6</v>
      </c>
      <c r="E385" t="s">
        <v>455</v>
      </c>
      <c r="F385" t="s">
        <v>122</v>
      </c>
      <c r="G385" t="s">
        <v>458</v>
      </c>
      <c r="H385" t="s">
        <v>457</v>
      </c>
    </row>
    <row r="386" spans="1:8">
      <c r="A386" t="s">
        <v>235</v>
      </c>
      <c r="B386">
        <v>2017</v>
      </c>
      <c r="C386" t="s">
        <v>376</v>
      </c>
      <c r="D386">
        <v>3.87</v>
      </c>
      <c r="E386" t="s">
        <v>455</v>
      </c>
      <c r="F386" t="s">
        <v>122</v>
      </c>
      <c r="G386" t="s">
        <v>458</v>
      </c>
      <c r="H386" t="s">
        <v>457</v>
      </c>
    </row>
    <row r="387" spans="1:8">
      <c r="A387" t="s">
        <v>167</v>
      </c>
      <c r="B387">
        <v>2018</v>
      </c>
      <c r="C387" t="s">
        <v>376</v>
      </c>
      <c r="D387">
        <v>20.260000000000002</v>
      </c>
      <c r="E387" t="s">
        <v>455</v>
      </c>
      <c r="F387" t="s">
        <v>122</v>
      </c>
      <c r="G387" t="s">
        <v>456</v>
      </c>
      <c r="H387" t="s">
        <v>457</v>
      </c>
    </row>
    <row r="388" spans="1:8">
      <c r="A388" t="s">
        <v>128</v>
      </c>
      <c r="B388">
        <v>2018</v>
      </c>
      <c r="C388" t="s">
        <v>376</v>
      </c>
      <c r="D388">
        <v>4367.63</v>
      </c>
      <c r="E388" t="s">
        <v>455</v>
      </c>
      <c r="F388" t="s">
        <v>122</v>
      </c>
      <c r="G388" t="s">
        <v>456</v>
      </c>
      <c r="H388" t="s">
        <v>457</v>
      </c>
    </row>
    <row r="389" spans="1:8">
      <c r="A389" t="s">
        <v>129</v>
      </c>
      <c r="B389">
        <v>2018</v>
      </c>
      <c r="C389" t="s">
        <v>376</v>
      </c>
      <c r="D389">
        <v>95.74</v>
      </c>
      <c r="E389" t="s">
        <v>455</v>
      </c>
      <c r="F389" t="s">
        <v>122</v>
      </c>
      <c r="G389" t="s">
        <v>456</v>
      </c>
      <c r="H389" t="s">
        <v>457</v>
      </c>
    </row>
    <row r="390" spans="1:8">
      <c r="A390" t="s">
        <v>232</v>
      </c>
      <c r="B390">
        <v>2018</v>
      </c>
      <c r="C390" t="s">
        <v>376</v>
      </c>
      <c r="D390">
        <v>28.49</v>
      </c>
      <c r="E390" t="s">
        <v>455</v>
      </c>
      <c r="F390" t="s">
        <v>122</v>
      </c>
      <c r="G390" t="s">
        <v>456</v>
      </c>
      <c r="H390" t="s">
        <v>457</v>
      </c>
    </row>
    <row r="391" spans="1:8">
      <c r="A391" t="s">
        <v>169</v>
      </c>
      <c r="B391">
        <v>2018</v>
      </c>
      <c r="C391" t="s">
        <v>376</v>
      </c>
      <c r="D391">
        <v>1.63</v>
      </c>
      <c r="E391" t="s">
        <v>455</v>
      </c>
      <c r="F391" t="s">
        <v>122</v>
      </c>
      <c r="G391" t="s">
        <v>456</v>
      </c>
      <c r="H391" t="s">
        <v>457</v>
      </c>
    </row>
    <row r="392" spans="1:8">
      <c r="A392" t="s">
        <v>233</v>
      </c>
      <c r="B392">
        <v>2018</v>
      </c>
      <c r="C392" t="s">
        <v>376</v>
      </c>
      <c r="D392">
        <v>37.11</v>
      </c>
      <c r="E392" t="s">
        <v>455</v>
      </c>
      <c r="F392" t="s">
        <v>122</v>
      </c>
      <c r="G392" t="s">
        <v>456</v>
      </c>
      <c r="H392" t="s">
        <v>457</v>
      </c>
    </row>
    <row r="393" spans="1:8">
      <c r="A393" t="s">
        <v>234</v>
      </c>
      <c r="B393">
        <v>2018</v>
      </c>
      <c r="C393" t="s">
        <v>376</v>
      </c>
      <c r="D393">
        <v>8.41</v>
      </c>
      <c r="E393" t="s">
        <v>455</v>
      </c>
      <c r="F393" t="s">
        <v>122</v>
      </c>
      <c r="G393" t="s">
        <v>458</v>
      </c>
      <c r="H393" t="s">
        <v>457</v>
      </c>
    </row>
    <row r="394" spans="1:8">
      <c r="A394" t="s">
        <v>235</v>
      </c>
      <c r="B394">
        <v>2018</v>
      </c>
      <c r="C394" t="s">
        <v>376</v>
      </c>
      <c r="D394">
        <v>4.67</v>
      </c>
      <c r="E394" t="s">
        <v>455</v>
      </c>
      <c r="F394" t="s">
        <v>122</v>
      </c>
      <c r="G394" t="s">
        <v>458</v>
      </c>
      <c r="H394" t="s">
        <v>457</v>
      </c>
    </row>
    <row r="395" spans="1:8">
      <c r="A395" t="s">
        <v>167</v>
      </c>
      <c r="B395">
        <v>2019</v>
      </c>
      <c r="C395" t="s">
        <v>376</v>
      </c>
      <c r="D395">
        <v>24.37</v>
      </c>
      <c r="E395" t="s">
        <v>455</v>
      </c>
      <c r="F395" t="s">
        <v>122</v>
      </c>
      <c r="G395" t="s">
        <v>456</v>
      </c>
      <c r="H395" t="s">
        <v>457</v>
      </c>
    </row>
    <row r="396" spans="1:8">
      <c r="A396" t="s">
        <v>128</v>
      </c>
      <c r="B396">
        <v>2019</v>
      </c>
      <c r="C396" t="s">
        <v>376</v>
      </c>
      <c r="D396">
        <v>4439.05</v>
      </c>
      <c r="E396" t="s">
        <v>455</v>
      </c>
      <c r="F396" t="s">
        <v>122</v>
      </c>
      <c r="G396" t="s">
        <v>456</v>
      </c>
      <c r="H396" t="s">
        <v>457</v>
      </c>
    </row>
    <row r="397" spans="1:8">
      <c r="A397" t="s">
        <v>129</v>
      </c>
      <c r="B397">
        <v>2019</v>
      </c>
      <c r="C397" t="s">
        <v>376</v>
      </c>
      <c r="D397">
        <v>103.3</v>
      </c>
      <c r="E397" t="s">
        <v>455</v>
      </c>
      <c r="F397" t="s">
        <v>122</v>
      </c>
      <c r="G397" t="s">
        <v>456</v>
      </c>
      <c r="H397" t="s">
        <v>457</v>
      </c>
    </row>
    <row r="398" spans="1:8">
      <c r="A398" t="s">
        <v>232</v>
      </c>
      <c r="B398">
        <v>2019</v>
      </c>
      <c r="C398" t="s">
        <v>376</v>
      </c>
      <c r="D398">
        <v>30.24</v>
      </c>
      <c r="E398" t="s">
        <v>455</v>
      </c>
      <c r="F398" t="s">
        <v>122</v>
      </c>
      <c r="G398" t="s">
        <v>456</v>
      </c>
      <c r="H398" t="s">
        <v>457</v>
      </c>
    </row>
    <row r="399" spans="1:8">
      <c r="A399" t="s">
        <v>169</v>
      </c>
      <c r="B399">
        <v>2019</v>
      </c>
      <c r="C399" t="s">
        <v>376</v>
      </c>
      <c r="D399">
        <v>1.93</v>
      </c>
      <c r="E399" t="s">
        <v>455</v>
      </c>
      <c r="F399" t="s">
        <v>122</v>
      </c>
      <c r="G399" t="s">
        <v>456</v>
      </c>
      <c r="H399" t="s">
        <v>457</v>
      </c>
    </row>
    <row r="400" spans="1:8">
      <c r="A400" t="s">
        <v>233</v>
      </c>
      <c r="B400">
        <v>2019</v>
      </c>
      <c r="C400" t="s">
        <v>376</v>
      </c>
      <c r="D400">
        <v>34.53</v>
      </c>
      <c r="E400" t="s">
        <v>455</v>
      </c>
      <c r="F400" t="s">
        <v>122</v>
      </c>
      <c r="G400" t="s">
        <v>456</v>
      </c>
      <c r="H400" t="s">
        <v>457</v>
      </c>
    </row>
    <row r="401" spans="1:8">
      <c r="A401" t="s">
        <v>234</v>
      </c>
      <c r="B401">
        <v>2019</v>
      </c>
      <c r="C401" t="s">
        <v>376</v>
      </c>
      <c r="D401">
        <v>10.64</v>
      </c>
      <c r="E401" t="s">
        <v>455</v>
      </c>
      <c r="F401" t="s">
        <v>122</v>
      </c>
      <c r="G401" t="s">
        <v>458</v>
      </c>
      <c r="H401" t="s">
        <v>457</v>
      </c>
    </row>
    <row r="402" spans="1:8">
      <c r="A402" t="s">
        <v>235</v>
      </c>
      <c r="B402">
        <v>2019</v>
      </c>
      <c r="C402" t="s">
        <v>376</v>
      </c>
      <c r="D402">
        <v>5.19</v>
      </c>
      <c r="E402" t="s">
        <v>455</v>
      </c>
      <c r="F402" t="s">
        <v>122</v>
      </c>
      <c r="G402" t="s">
        <v>458</v>
      </c>
      <c r="H402" t="s">
        <v>457</v>
      </c>
    </row>
    <row r="403" spans="1:8">
      <c r="A403" t="s">
        <v>167</v>
      </c>
      <c r="B403">
        <v>2020</v>
      </c>
      <c r="C403" t="s">
        <v>376</v>
      </c>
      <c r="D403">
        <v>29.32</v>
      </c>
      <c r="E403" t="s">
        <v>455</v>
      </c>
      <c r="F403" t="s">
        <v>122</v>
      </c>
      <c r="G403" t="s">
        <v>456</v>
      </c>
      <c r="H403" t="s">
        <v>457</v>
      </c>
    </row>
    <row r="404" spans="1:8">
      <c r="A404" t="s">
        <v>128</v>
      </c>
      <c r="B404">
        <v>2020</v>
      </c>
      <c r="C404" t="s">
        <v>376</v>
      </c>
      <c r="D404">
        <v>4487.6099999999997</v>
      </c>
      <c r="E404" t="s">
        <v>455</v>
      </c>
      <c r="F404" t="s">
        <v>122</v>
      </c>
      <c r="G404" t="s">
        <v>456</v>
      </c>
      <c r="H404" t="s">
        <v>457</v>
      </c>
    </row>
    <row r="405" spans="1:8">
      <c r="A405" t="s">
        <v>129</v>
      </c>
      <c r="B405">
        <v>2020</v>
      </c>
      <c r="C405" t="s">
        <v>376</v>
      </c>
      <c r="D405">
        <v>112.18</v>
      </c>
      <c r="E405" t="s">
        <v>455</v>
      </c>
      <c r="F405" t="s">
        <v>122</v>
      </c>
      <c r="G405" t="s">
        <v>456</v>
      </c>
      <c r="H405" t="s">
        <v>457</v>
      </c>
    </row>
    <row r="406" spans="1:8">
      <c r="A406" t="s">
        <v>232</v>
      </c>
      <c r="B406">
        <v>2020</v>
      </c>
      <c r="C406" t="s">
        <v>376</v>
      </c>
      <c r="D406">
        <v>31.4</v>
      </c>
      <c r="E406" t="s">
        <v>455</v>
      </c>
      <c r="F406" t="s">
        <v>122</v>
      </c>
      <c r="G406" t="s">
        <v>456</v>
      </c>
      <c r="H406" t="s">
        <v>457</v>
      </c>
    </row>
    <row r="407" spans="1:8">
      <c r="A407" t="s">
        <v>169</v>
      </c>
      <c r="B407">
        <v>2020</v>
      </c>
      <c r="C407" t="s">
        <v>376</v>
      </c>
      <c r="D407">
        <v>2.0299999999999998</v>
      </c>
      <c r="E407" t="s">
        <v>455</v>
      </c>
      <c r="F407" t="s">
        <v>122</v>
      </c>
      <c r="G407" t="s">
        <v>456</v>
      </c>
      <c r="H407" t="s">
        <v>457</v>
      </c>
    </row>
    <row r="408" spans="1:8">
      <c r="A408" t="s">
        <v>233</v>
      </c>
      <c r="B408">
        <v>2020</v>
      </c>
      <c r="C408" t="s">
        <v>376</v>
      </c>
      <c r="D408">
        <v>35.18</v>
      </c>
      <c r="E408" t="s">
        <v>455</v>
      </c>
      <c r="F408" t="s">
        <v>122</v>
      </c>
      <c r="G408" t="s">
        <v>456</v>
      </c>
      <c r="H408" t="s">
        <v>457</v>
      </c>
    </row>
    <row r="409" spans="1:8">
      <c r="A409" t="s">
        <v>234</v>
      </c>
      <c r="B409">
        <v>2020</v>
      </c>
      <c r="C409" t="s">
        <v>376</v>
      </c>
      <c r="D409">
        <v>12.41</v>
      </c>
      <c r="E409" t="s">
        <v>455</v>
      </c>
      <c r="F409" t="s">
        <v>122</v>
      </c>
      <c r="G409" t="s">
        <v>458</v>
      </c>
      <c r="H409" t="s">
        <v>457</v>
      </c>
    </row>
    <row r="410" spans="1:8">
      <c r="A410" t="s">
        <v>235</v>
      </c>
      <c r="B410">
        <v>2020</v>
      </c>
      <c r="C410" t="s">
        <v>376</v>
      </c>
      <c r="D410">
        <v>5.99</v>
      </c>
      <c r="E410" t="s">
        <v>455</v>
      </c>
      <c r="F410" t="s">
        <v>122</v>
      </c>
      <c r="G410" t="s">
        <v>458</v>
      </c>
      <c r="H410" t="s">
        <v>457</v>
      </c>
    </row>
    <row r="411" spans="1:8">
      <c r="A411" t="s">
        <v>167</v>
      </c>
      <c r="B411">
        <v>2021</v>
      </c>
      <c r="C411" t="s">
        <v>376</v>
      </c>
      <c r="D411">
        <v>35.869999999999997</v>
      </c>
      <c r="E411" t="s">
        <v>455</v>
      </c>
      <c r="F411" t="s">
        <v>122</v>
      </c>
      <c r="G411" t="s">
        <v>456</v>
      </c>
      <c r="H411" t="s">
        <v>457</v>
      </c>
    </row>
    <row r="412" spans="1:8">
      <c r="A412" t="s">
        <v>128</v>
      </c>
      <c r="B412">
        <v>2021</v>
      </c>
      <c r="C412" t="s">
        <v>376</v>
      </c>
      <c r="D412">
        <v>4853.72</v>
      </c>
      <c r="E412" t="s">
        <v>455</v>
      </c>
      <c r="F412" t="s">
        <v>122</v>
      </c>
      <c r="G412" t="s">
        <v>456</v>
      </c>
      <c r="H412" t="s">
        <v>457</v>
      </c>
    </row>
    <row r="413" spans="1:8">
      <c r="A413" t="s">
        <v>129</v>
      </c>
      <c r="B413">
        <v>2021</v>
      </c>
      <c r="C413" t="s">
        <v>376</v>
      </c>
      <c r="D413">
        <v>127.55</v>
      </c>
      <c r="E413" t="s">
        <v>455</v>
      </c>
      <c r="F413" t="s">
        <v>122</v>
      </c>
      <c r="G413" t="s">
        <v>456</v>
      </c>
      <c r="H413" t="s">
        <v>457</v>
      </c>
    </row>
    <row r="414" spans="1:8">
      <c r="A414" t="s">
        <v>232</v>
      </c>
      <c r="B414">
        <v>2021</v>
      </c>
      <c r="C414" t="s">
        <v>376</v>
      </c>
      <c r="D414">
        <v>30.89</v>
      </c>
      <c r="E414" t="s">
        <v>455</v>
      </c>
      <c r="F414" t="s">
        <v>122</v>
      </c>
      <c r="G414" t="s">
        <v>456</v>
      </c>
      <c r="H414" t="s">
        <v>457</v>
      </c>
    </row>
    <row r="415" spans="1:8">
      <c r="A415" t="s">
        <v>169</v>
      </c>
      <c r="B415">
        <v>2021</v>
      </c>
      <c r="C415" t="s">
        <v>376</v>
      </c>
      <c r="D415">
        <v>2.2599999999999998</v>
      </c>
      <c r="E415" t="s">
        <v>455</v>
      </c>
      <c r="F415" t="s">
        <v>122</v>
      </c>
      <c r="G415" t="s">
        <v>456</v>
      </c>
      <c r="H415" t="s">
        <v>457</v>
      </c>
    </row>
    <row r="416" spans="1:8">
      <c r="A416" t="s">
        <v>233</v>
      </c>
      <c r="B416">
        <v>2021</v>
      </c>
      <c r="C416" t="s">
        <v>376</v>
      </c>
      <c r="D416">
        <v>37.549999999999997</v>
      </c>
      <c r="E416" t="s">
        <v>455</v>
      </c>
      <c r="F416" t="s">
        <v>122</v>
      </c>
      <c r="G416" t="s">
        <v>456</v>
      </c>
      <c r="H416" t="s">
        <v>457</v>
      </c>
    </row>
    <row r="417" spans="1:8">
      <c r="A417" t="s">
        <v>234</v>
      </c>
      <c r="B417">
        <v>2021</v>
      </c>
      <c r="C417" t="s">
        <v>376</v>
      </c>
      <c r="D417">
        <v>15.54</v>
      </c>
      <c r="E417" t="s">
        <v>455</v>
      </c>
      <c r="F417" t="s">
        <v>122</v>
      </c>
      <c r="G417" t="s">
        <v>458</v>
      </c>
      <c r="H417" t="s">
        <v>457</v>
      </c>
    </row>
    <row r="418" spans="1:8">
      <c r="A418" t="s">
        <v>235</v>
      </c>
      <c r="B418">
        <v>2021</v>
      </c>
      <c r="C418" t="s">
        <v>376</v>
      </c>
      <c r="D418">
        <v>8.68</v>
      </c>
      <c r="E418" t="s">
        <v>455</v>
      </c>
      <c r="F418" t="s">
        <v>122</v>
      </c>
      <c r="G418" t="s">
        <v>458</v>
      </c>
      <c r="H418" t="s">
        <v>457</v>
      </c>
    </row>
    <row r="419" spans="1:8">
      <c r="A419" t="s">
        <v>167</v>
      </c>
      <c r="B419">
        <v>2022</v>
      </c>
      <c r="C419" t="s">
        <v>376</v>
      </c>
      <c r="D419">
        <v>39.46</v>
      </c>
      <c r="E419" t="s">
        <v>455</v>
      </c>
      <c r="F419" t="s">
        <v>122</v>
      </c>
      <c r="G419" t="s">
        <v>456</v>
      </c>
      <c r="H419" t="s">
        <v>457</v>
      </c>
    </row>
    <row r="420" spans="1:8">
      <c r="A420" t="s">
        <v>128</v>
      </c>
      <c r="B420">
        <v>2022</v>
      </c>
      <c r="C420" t="s">
        <v>376</v>
      </c>
      <c r="D420">
        <v>4918.66</v>
      </c>
      <c r="E420" t="s">
        <v>455</v>
      </c>
      <c r="F420" t="s">
        <v>122</v>
      </c>
      <c r="G420" t="s">
        <v>456</v>
      </c>
      <c r="H420" t="s">
        <v>457</v>
      </c>
    </row>
    <row r="421" spans="1:8">
      <c r="A421" t="s">
        <v>129</v>
      </c>
      <c r="B421">
        <v>2022</v>
      </c>
      <c r="C421" t="s">
        <v>376</v>
      </c>
      <c r="D421">
        <v>122.45</v>
      </c>
      <c r="E421" t="s">
        <v>455</v>
      </c>
      <c r="F421" t="s">
        <v>122</v>
      </c>
      <c r="G421" t="s">
        <v>456</v>
      </c>
      <c r="H421" t="s">
        <v>457</v>
      </c>
    </row>
    <row r="422" spans="1:8">
      <c r="A422" t="s">
        <v>232</v>
      </c>
      <c r="B422">
        <v>2022</v>
      </c>
      <c r="C422" t="s">
        <v>376</v>
      </c>
      <c r="D422">
        <v>30.84</v>
      </c>
      <c r="E422" t="s">
        <v>455</v>
      </c>
      <c r="F422" t="s">
        <v>122</v>
      </c>
      <c r="G422" t="s">
        <v>456</v>
      </c>
      <c r="H422" t="s">
        <v>457</v>
      </c>
    </row>
    <row r="423" spans="1:8">
      <c r="A423" t="s">
        <v>169</v>
      </c>
      <c r="B423">
        <v>2022</v>
      </c>
      <c r="C423" t="s">
        <v>376</v>
      </c>
      <c r="D423">
        <v>2.31</v>
      </c>
      <c r="E423" t="s">
        <v>455</v>
      </c>
      <c r="F423" t="s">
        <v>122</v>
      </c>
      <c r="G423" t="s">
        <v>456</v>
      </c>
      <c r="H423" t="s">
        <v>457</v>
      </c>
    </row>
    <row r="424" spans="1:8">
      <c r="A424" t="s">
        <v>233</v>
      </c>
      <c r="B424">
        <v>2022</v>
      </c>
      <c r="C424" t="s">
        <v>376</v>
      </c>
      <c r="D424">
        <v>47.4</v>
      </c>
      <c r="E424" t="s">
        <v>455</v>
      </c>
      <c r="F424" t="s">
        <v>122</v>
      </c>
      <c r="G424" t="s">
        <v>456</v>
      </c>
      <c r="H424" t="s">
        <v>457</v>
      </c>
    </row>
    <row r="425" spans="1:8">
      <c r="A425" t="s">
        <v>234</v>
      </c>
      <c r="B425">
        <v>2022</v>
      </c>
      <c r="C425" t="s">
        <v>376</v>
      </c>
      <c r="D425">
        <v>20.3</v>
      </c>
      <c r="E425" t="s">
        <v>455</v>
      </c>
      <c r="F425" t="s">
        <v>122</v>
      </c>
      <c r="G425" t="s">
        <v>458</v>
      </c>
      <c r="H425" t="s">
        <v>457</v>
      </c>
    </row>
    <row r="426" spans="1:8">
      <c r="A426" t="s">
        <v>235</v>
      </c>
      <c r="B426">
        <v>2022</v>
      </c>
      <c r="C426" t="s">
        <v>376</v>
      </c>
      <c r="D426">
        <v>10.119999999999999</v>
      </c>
      <c r="E426" t="s">
        <v>455</v>
      </c>
      <c r="F426" t="s">
        <v>122</v>
      </c>
      <c r="G426" t="s">
        <v>458</v>
      </c>
      <c r="H426" t="s">
        <v>457</v>
      </c>
    </row>
    <row r="427" spans="1:8">
      <c r="A427" t="s">
        <v>167</v>
      </c>
      <c r="B427">
        <v>2023</v>
      </c>
      <c r="C427" t="s">
        <v>376</v>
      </c>
      <c r="D427">
        <v>42.84</v>
      </c>
      <c r="E427" t="s">
        <v>455</v>
      </c>
      <c r="F427" t="s">
        <v>122</v>
      </c>
      <c r="G427" t="s">
        <v>456</v>
      </c>
      <c r="H427" t="s">
        <v>457</v>
      </c>
    </row>
    <row r="428" spans="1:8">
      <c r="A428" t="s">
        <v>128</v>
      </c>
      <c r="B428">
        <v>2023</v>
      </c>
      <c r="C428" t="s">
        <v>376</v>
      </c>
      <c r="D428">
        <v>5222.71</v>
      </c>
      <c r="E428" t="s">
        <v>455</v>
      </c>
      <c r="F428" t="s">
        <v>122</v>
      </c>
      <c r="G428" t="s">
        <v>456</v>
      </c>
      <c r="H428" t="s">
        <v>457</v>
      </c>
    </row>
    <row r="429" spans="1:8">
      <c r="A429" t="s">
        <v>129</v>
      </c>
      <c r="B429">
        <v>2023</v>
      </c>
      <c r="C429" t="s">
        <v>376</v>
      </c>
      <c r="D429">
        <v>132.31</v>
      </c>
      <c r="E429" t="s">
        <v>455</v>
      </c>
      <c r="F429" t="s">
        <v>122</v>
      </c>
      <c r="G429" t="s">
        <v>456</v>
      </c>
      <c r="H429" t="s">
        <v>457</v>
      </c>
    </row>
    <row r="430" spans="1:8">
      <c r="A430" t="s">
        <v>232</v>
      </c>
      <c r="B430">
        <v>2023</v>
      </c>
      <c r="C430" t="s">
        <v>376</v>
      </c>
      <c r="D430">
        <v>29.13</v>
      </c>
      <c r="E430" t="s">
        <v>455</v>
      </c>
      <c r="F430" t="s">
        <v>122</v>
      </c>
      <c r="G430" t="s">
        <v>456</v>
      </c>
      <c r="H430" t="s">
        <v>457</v>
      </c>
    </row>
    <row r="431" spans="1:8">
      <c r="A431" t="s">
        <v>169</v>
      </c>
      <c r="B431">
        <v>2023</v>
      </c>
      <c r="C431" t="s">
        <v>376</v>
      </c>
      <c r="D431">
        <v>2.41</v>
      </c>
      <c r="E431" t="s">
        <v>455</v>
      </c>
      <c r="F431" t="s">
        <v>122</v>
      </c>
      <c r="G431" t="s">
        <v>456</v>
      </c>
      <c r="H431" t="s">
        <v>457</v>
      </c>
    </row>
    <row r="432" spans="1:8">
      <c r="A432" t="s">
        <v>233</v>
      </c>
      <c r="B432">
        <v>2023</v>
      </c>
      <c r="C432" t="s">
        <v>376</v>
      </c>
      <c r="D432">
        <v>49.94</v>
      </c>
      <c r="E432" t="s">
        <v>455</v>
      </c>
      <c r="F432" t="s">
        <v>122</v>
      </c>
      <c r="G432" t="s">
        <v>456</v>
      </c>
      <c r="H432" t="s">
        <v>457</v>
      </c>
    </row>
    <row r="433" spans="1:8">
      <c r="A433" t="s">
        <v>234</v>
      </c>
      <c r="B433">
        <v>2023</v>
      </c>
      <c r="C433" t="s">
        <v>376</v>
      </c>
      <c r="D433">
        <v>27.76</v>
      </c>
      <c r="E433" t="s">
        <v>455</v>
      </c>
      <c r="F433" t="s">
        <v>122</v>
      </c>
      <c r="G433" t="s">
        <v>458</v>
      </c>
      <c r="H433" t="s">
        <v>457</v>
      </c>
    </row>
    <row r="434" spans="1:8">
      <c r="A434" t="s">
        <v>235</v>
      </c>
      <c r="B434">
        <v>2023</v>
      </c>
      <c r="C434" t="s">
        <v>376</v>
      </c>
      <c r="D434">
        <v>11.75</v>
      </c>
      <c r="E434" t="s">
        <v>455</v>
      </c>
      <c r="F434" t="s">
        <v>122</v>
      </c>
      <c r="G434" t="s">
        <v>458</v>
      </c>
      <c r="H434" t="s">
        <v>457</v>
      </c>
    </row>
    <row r="435" spans="1:8">
      <c r="A435" t="s">
        <v>234</v>
      </c>
      <c r="B435">
        <v>2018</v>
      </c>
      <c r="C435" t="s">
        <v>7</v>
      </c>
      <c r="D435">
        <v>175.01586399999999</v>
      </c>
      <c r="E435" t="s">
        <v>455</v>
      </c>
      <c r="F435" t="s">
        <v>65</v>
      </c>
      <c r="G435" t="s">
        <v>458</v>
      </c>
      <c r="H435" t="s">
        <v>457</v>
      </c>
    </row>
    <row r="436" spans="1:8">
      <c r="A436" t="s">
        <v>234</v>
      </c>
      <c r="B436">
        <v>2019</v>
      </c>
      <c r="C436" t="s">
        <v>7</v>
      </c>
      <c r="D436">
        <v>204.57479999999998</v>
      </c>
      <c r="E436" t="s">
        <v>455</v>
      </c>
      <c r="F436" t="s">
        <v>65</v>
      </c>
      <c r="G436" t="s">
        <v>458</v>
      </c>
      <c r="H436" t="s">
        <v>457</v>
      </c>
    </row>
    <row r="437" spans="1:8">
      <c r="A437" t="s">
        <v>234</v>
      </c>
      <c r="B437">
        <v>2020</v>
      </c>
      <c r="C437" t="s">
        <v>7</v>
      </c>
      <c r="D437">
        <v>253.41379999999998</v>
      </c>
      <c r="E437" t="s">
        <v>455</v>
      </c>
      <c r="F437" t="s">
        <v>65</v>
      </c>
      <c r="G437" t="s">
        <v>458</v>
      </c>
      <c r="H437" t="s">
        <v>457</v>
      </c>
    </row>
    <row r="438" spans="1:8">
      <c r="A438" t="s">
        <v>234</v>
      </c>
      <c r="B438">
        <v>2021</v>
      </c>
      <c r="C438" t="s">
        <v>7</v>
      </c>
      <c r="D438">
        <v>306.40280000000001</v>
      </c>
      <c r="E438" t="s">
        <v>455</v>
      </c>
      <c r="F438" t="s">
        <v>65</v>
      </c>
      <c r="G438" t="s">
        <v>458</v>
      </c>
      <c r="H438" t="s">
        <v>457</v>
      </c>
    </row>
    <row r="439" spans="1:8">
      <c r="A439" t="s">
        <v>234</v>
      </c>
      <c r="B439">
        <v>2022</v>
      </c>
      <c r="C439" t="s">
        <v>7</v>
      </c>
      <c r="D439">
        <v>392.46179999999998</v>
      </c>
      <c r="E439" t="s">
        <v>455</v>
      </c>
      <c r="F439" t="s">
        <v>65</v>
      </c>
      <c r="G439" t="s">
        <v>458</v>
      </c>
      <c r="H439" t="s">
        <v>457</v>
      </c>
    </row>
    <row r="440" spans="1:8">
      <c r="A440" t="s">
        <v>234</v>
      </c>
      <c r="B440">
        <v>2023</v>
      </c>
      <c r="C440" t="s">
        <v>7</v>
      </c>
      <c r="D440">
        <v>609.35080000000005</v>
      </c>
      <c r="E440" t="s">
        <v>455</v>
      </c>
      <c r="F440" t="s">
        <v>65</v>
      </c>
      <c r="G440" t="s">
        <v>458</v>
      </c>
      <c r="H440" t="s">
        <v>457</v>
      </c>
    </row>
    <row r="441" spans="1:8">
      <c r="A441" t="s">
        <v>234</v>
      </c>
      <c r="B441">
        <v>2024</v>
      </c>
      <c r="C441" t="s">
        <v>7</v>
      </c>
      <c r="D441">
        <v>887.35980000000006</v>
      </c>
      <c r="E441" t="s">
        <v>455</v>
      </c>
      <c r="F441" t="s">
        <v>65</v>
      </c>
      <c r="G441" t="s">
        <v>458</v>
      </c>
      <c r="H441" t="s">
        <v>457</v>
      </c>
    </row>
    <row r="442" spans="1:8">
      <c r="A442" t="s">
        <v>234</v>
      </c>
      <c r="B442">
        <v>2018</v>
      </c>
      <c r="C442" t="s">
        <v>7</v>
      </c>
      <c r="D442">
        <v>0.246</v>
      </c>
      <c r="E442" t="s">
        <v>455</v>
      </c>
      <c r="F442" t="s">
        <v>65</v>
      </c>
      <c r="G442" t="s">
        <v>458</v>
      </c>
      <c r="H442" t="s">
        <v>457</v>
      </c>
    </row>
    <row r="443" spans="1:8">
      <c r="A443" t="s">
        <v>234</v>
      </c>
      <c r="B443">
        <v>2019</v>
      </c>
      <c r="C443" t="s">
        <v>7</v>
      </c>
      <c r="D443">
        <v>0.39600000000000002</v>
      </c>
      <c r="E443" t="s">
        <v>455</v>
      </c>
      <c r="F443" t="s">
        <v>65</v>
      </c>
      <c r="G443" t="s">
        <v>458</v>
      </c>
      <c r="H443" t="s">
        <v>457</v>
      </c>
    </row>
    <row r="444" spans="1:8">
      <c r="A444" t="s">
        <v>234</v>
      </c>
      <c r="B444">
        <v>2020</v>
      </c>
      <c r="C444" t="s">
        <v>7</v>
      </c>
      <c r="D444">
        <v>0.45</v>
      </c>
      <c r="E444" t="s">
        <v>455</v>
      </c>
      <c r="F444" t="s">
        <v>65</v>
      </c>
      <c r="G444" t="s">
        <v>458</v>
      </c>
      <c r="H444" t="s">
        <v>457</v>
      </c>
    </row>
    <row r="445" spans="1:8">
      <c r="A445" t="s">
        <v>234</v>
      </c>
      <c r="B445">
        <v>2021</v>
      </c>
      <c r="C445" t="s">
        <v>7</v>
      </c>
      <c r="D445">
        <v>0.56999999999999995</v>
      </c>
      <c r="E445" t="s">
        <v>455</v>
      </c>
      <c r="F445" t="s">
        <v>65</v>
      </c>
      <c r="G445" t="s">
        <v>458</v>
      </c>
      <c r="H445" t="s">
        <v>457</v>
      </c>
    </row>
    <row r="446" spans="1:8">
      <c r="A446" t="s">
        <v>234</v>
      </c>
      <c r="B446">
        <v>2022</v>
      </c>
      <c r="C446" t="s">
        <v>7</v>
      </c>
      <c r="D446">
        <v>0.56999999999999995</v>
      </c>
      <c r="E446" t="s">
        <v>455</v>
      </c>
      <c r="F446" t="s">
        <v>65</v>
      </c>
      <c r="G446" t="s">
        <v>458</v>
      </c>
      <c r="H446" t="s">
        <v>457</v>
      </c>
    </row>
    <row r="447" spans="1:8">
      <c r="A447" t="s">
        <v>234</v>
      </c>
      <c r="B447">
        <v>2023</v>
      </c>
      <c r="C447" t="s">
        <v>7</v>
      </c>
      <c r="D447">
        <v>0.56999999999999995</v>
      </c>
      <c r="E447" t="s">
        <v>455</v>
      </c>
      <c r="F447" t="s">
        <v>65</v>
      </c>
      <c r="G447" t="s">
        <v>458</v>
      </c>
      <c r="H447" t="s">
        <v>457</v>
      </c>
    </row>
    <row r="448" spans="1:8">
      <c r="A448" t="s">
        <v>234</v>
      </c>
      <c r="B448">
        <v>2024</v>
      </c>
      <c r="C448" t="s">
        <v>7</v>
      </c>
      <c r="D448">
        <v>0.56999999999999995</v>
      </c>
      <c r="E448" t="s">
        <v>455</v>
      </c>
      <c r="F448" t="s">
        <v>65</v>
      </c>
      <c r="G448" t="s">
        <v>458</v>
      </c>
      <c r="H448" t="s">
        <v>457</v>
      </c>
    </row>
    <row r="449" spans="1:8">
      <c r="A449" t="s">
        <v>234</v>
      </c>
      <c r="B449">
        <v>2011</v>
      </c>
      <c r="C449" t="s">
        <v>7</v>
      </c>
      <c r="D449">
        <v>3.1078000000000001</v>
      </c>
      <c r="E449" t="s">
        <v>455</v>
      </c>
      <c r="F449" t="s">
        <v>65</v>
      </c>
      <c r="G449" t="s">
        <v>458</v>
      </c>
      <c r="H449" t="s">
        <v>457</v>
      </c>
    </row>
    <row r="450" spans="1:8">
      <c r="A450" t="s">
        <v>234</v>
      </c>
      <c r="B450">
        <v>2012</v>
      </c>
      <c r="C450" t="s">
        <v>7</v>
      </c>
      <c r="D450">
        <v>6.7178000000000004</v>
      </c>
      <c r="E450" t="s">
        <v>455</v>
      </c>
      <c r="F450" t="s">
        <v>65</v>
      </c>
      <c r="G450" t="s">
        <v>458</v>
      </c>
      <c r="H450" t="s">
        <v>457</v>
      </c>
    </row>
    <row r="451" spans="1:8">
      <c r="A451" t="s">
        <v>234</v>
      </c>
      <c r="B451">
        <v>2013</v>
      </c>
      <c r="C451" t="s">
        <v>7</v>
      </c>
      <c r="D451">
        <v>17.747799999999998</v>
      </c>
      <c r="E451" t="s">
        <v>455</v>
      </c>
      <c r="F451" t="s">
        <v>65</v>
      </c>
      <c r="G451" t="s">
        <v>458</v>
      </c>
      <c r="H451" t="s">
        <v>457</v>
      </c>
    </row>
    <row r="452" spans="1:8">
      <c r="A452" t="s">
        <v>234</v>
      </c>
      <c r="B452">
        <v>2014</v>
      </c>
      <c r="C452" t="s">
        <v>7</v>
      </c>
      <c r="D452">
        <v>28.387799999999999</v>
      </c>
      <c r="E452" t="s">
        <v>455</v>
      </c>
      <c r="F452" t="s">
        <v>65</v>
      </c>
      <c r="G452" t="s">
        <v>458</v>
      </c>
      <c r="H452" t="s">
        <v>457</v>
      </c>
    </row>
    <row r="453" spans="1:8">
      <c r="A453" t="s">
        <v>234</v>
      </c>
      <c r="B453">
        <v>2015</v>
      </c>
      <c r="C453" t="s">
        <v>7</v>
      </c>
      <c r="D453">
        <v>43.537800000000004</v>
      </c>
      <c r="E453" t="s">
        <v>455</v>
      </c>
      <c r="F453" t="s">
        <v>65</v>
      </c>
      <c r="G453" t="s">
        <v>458</v>
      </c>
      <c r="H453" t="s">
        <v>457</v>
      </c>
    </row>
    <row r="454" spans="1:8">
      <c r="A454" t="s">
        <v>234</v>
      </c>
      <c r="B454">
        <v>2016</v>
      </c>
      <c r="C454" t="s">
        <v>7</v>
      </c>
      <c r="D454">
        <v>77.787800000000004</v>
      </c>
      <c r="E454" t="s">
        <v>455</v>
      </c>
      <c r="F454" t="s">
        <v>65</v>
      </c>
      <c r="G454" t="s">
        <v>458</v>
      </c>
      <c r="H454" t="s">
        <v>457</v>
      </c>
    </row>
    <row r="455" spans="1:8">
      <c r="A455" t="s">
        <v>234</v>
      </c>
      <c r="B455">
        <v>2017</v>
      </c>
      <c r="C455" t="s">
        <v>7</v>
      </c>
      <c r="D455">
        <v>130.80128999999999</v>
      </c>
      <c r="E455" t="s">
        <v>455</v>
      </c>
      <c r="F455" t="s">
        <v>65</v>
      </c>
      <c r="G455" t="s">
        <v>458</v>
      </c>
      <c r="H455" t="s">
        <v>457</v>
      </c>
    </row>
    <row r="456" spans="1:8">
      <c r="A456" t="s">
        <v>234</v>
      </c>
      <c r="B456">
        <v>2012</v>
      </c>
      <c r="C456" t="s">
        <v>7</v>
      </c>
      <c r="D456">
        <v>1E-3</v>
      </c>
      <c r="E456" t="s">
        <v>455</v>
      </c>
      <c r="F456" t="s">
        <v>65</v>
      </c>
      <c r="G456" t="s">
        <v>458</v>
      </c>
      <c r="H456" t="s">
        <v>457</v>
      </c>
    </row>
    <row r="457" spans="1:8">
      <c r="A457" t="s">
        <v>234</v>
      </c>
      <c r="B457">
        <v>2013</v>
      </c>
      <c r="C457" t="s">
        <v>7</v>
      </c>
      <c r="D457">
        <v>1.0999999999999999E-2</v>
      </c>
      <c r="E457" t="s">
        <v>455</v>
      </c>
      <c r="F457" t="s">
        <v>65</v>
      </c>
      <c r="G457" t="s">
        <v>458</v>
      </c>
      <c r="H457" t="s">
        <v>457</v>
      </c>
    </row>
    <row r="458" spans="1:8">
      <c r="A458" t="s">
        <v>234</v>
      </c>
      <c r="B458">
        <v>2014</v>
      </c>
      <c r="C458" t="s">
        <v>7</v>
      </c>
      <c r="D458">
        <v>1.0999999999999999E-2</v>
      </c>
      <c r="E458" t="s">
        <v>455</v>
      </c>
      <c r="F458" t="s">
        <v>65</v>
      </c>
      <c r="G458" t="s">
        <v>458</v>
      </c>
      <c r="H458" t="s">
        <v>457</v>
      </c>
    </row>
    <row r="459" spans="1:8">
      <c r="A459" t="s">
        <v>234</v>
      </c>
      <c r="B459">
        <v>2015</v>
      </c>
      <c r="C459" t="s">
        <v>7</v>
      </c>
      <c r="D459">
        <v>1.0999999999999999E-2</v>
      </c>
      <c r="E459" t="s">
        <v>455</v>
      </c>
      <c r="F459" t="s">
        <v>65</v>
      </c>
      <c r="G459" t="s">
        <v>458</v>
      </c>
      <c r="H459" t="s">
        <v>457</v>
      </c>
    </row>
    <row r="460" spans="1:8">
      <c r="A460" t="s">
        <v>234</v>
      </c>
      <c r="B460">
        <v>2016</v>
      </c>
      <c r="C460" t="s">
        <v>7</v>
      </c>
      <c r="D460">
        <v>3.1E-2</v>
      </c>
      <c r="E460" t="s">
        <v>455</v>
      </c>
      <c r="F460" t="s">
        <v>65</v>
      </c>
      <c r="G460" t="s">
        <v>458</v>
      </c>
      <c r="H460" t="s">
        <v>457</v>
      </c>
    </row>
    <row r="461" spans="1:8">
      <c r="A461" t="s">
        <v>234</v>
      </c>
      <c r="B461">
        <v>2017</v>
      </c>
      <c r="C461" t="s">
        <v>7</v>
      </c>
      <c r="D461">
        <v>3.1E-2</v>
      </c>
      <c r="E461" t="s">
        <v>455</v>
      </c>
      <c r="F461" t="s">
        <v>65</v>
      </c>
      <c r="G461" t="s">
        <v>458</v>
      </c>
      <c r="H461" t="s">
        <v>457</v>
      </c>
    </row>
    <row r="462" spans="1:8">
      <c r="A462" t="s">
        <v>234</v>
      </c>
      <c r="B462">
        <v>2004</v>
      </c>
      <c r="C462" t="s">
        <v>7</v>
      </c>
      <c r="D462">
        <v>7.6599999999999988E-2</v>
      </c>
      <c r="E462" t="s">
        <v>455</v>
      </c>
      <c r="F462" t="s">
        <v>65</v>
      </c>
      <c r="G462" t="s">
        <v>458</v>
      </c>
      <c r="H462" t="s">
        <v>457</v>
      </c>
    </row>
    <row r="463" spans="1:8">
      <c r="A463" t="s">
        <v>234</v>
      </c>
      <c r="B463">
        <v>2005</v>
      </c>
      <c r="C463" t="s">
        <v>7</v>
      </c>
      <c r="D463">
        <v>0.14119999999999999</v>
      </c>
      <c r="E463" t="s">
        <v>455</v>
      </c>
      <c r="F463" t="s">
        <v>65</v>
      </c>
      <c r="G463" t="s">
        <v>458</v>
      </c>
      <c r="H463" t="s">
        <v>457</v>
      </c>
    </row>
    <row r="464" spans="1:8">
      <c r="A464" t="s">
        <v>234</v>
      </c>
      <c r="B464">
        <v>2006</v>
      </c>
      <c r="C464" t="s">
        <v>7</v>
      </c>
      <c r="D464">
        <v>0.16019999999999998</v>
      </c>
      <c r="E464" t="s">
        <v>455</v>
      </c>
      <c r="F464" t="s">
        <v>65</v>
      </c>
      <c r="G464" t="s">
        <v>458</v>
      </c>
      <c r="H464" t="s">
        <v>457</v>
      </c>
    </row>
    <row r="465" spans="1:8">
      <c r="A465" t="s">
        <v>234</v>
      </c>
      <c r="B465">
        <v>2007</v>
      </c>
      <c r="C465" t="s">
        <v>7</v>
      </c>
      <c r="D465">
        <v>0.19900000000000001</v>
      </c>
      <c r="E465" t="s">
        <v>455</v>
      </c>
      <c r="F465" t="s">
        <v>65</v>
      </c>
      <c r="G465" t="s">
        <v>458</v>
      </c>
      <c r="H465" t="s">
        <v>457</v>
      </c>
    </row>
    <row r="466" spans="1:8">
      <c r="A466" t="s">
        <v>234</v>
      </c>
      <c r="B466">
        <v>2008</v>
      </c>
      <c r="C466" t="s">
        <v>7</v>
      </c>
      <c r="D466">
        <v>0.253</v>
      </c>
      <c r="E466" t="s">
        <v>455</v>
      </c>
      <c r="F466" t="s">
        <v>65</v>
      </c>
      <c r="G466" t="s">
        <v>458</v>
      </c>
      <c r="H466" t="s">
        <v>457</v>
      </c>
    </row>
    <row r="467" spans="1:8">
      <c r="A467" t="s">
        <v>234</v>
      </c>
      <c r="B467">
        <v>2009</v>
      </c>
      <c r="C467" t="s">
        <v>7</v>
      </c>
      <c r="D467">
        <v>0.4148</v>
      </c>
      <c r="E467" t="s">
        <v>455</v>
      </c>
      <c r="F467" t="s">
        <v>65</v>
      </c>
      <c r="G467" t="s">
        <v>458</v>
      </c>
      <c r="H467" t="s">
        <v>457</v>
      </c>
    </row>
    <row r="468" spans="1:8">
      <c r="A468" t="s">
        <v>234</v>
      </c>
      <c r="B468">
        <v>2010</v>
      </c>
      <c r="C468" t="s">
        <v>7</v>
      </c>
      <c r="D468">
        <v>1.0218</v>
      </c>
      <c r="E468" t="s">
        <v>455</v>
      </c>
      <c r="F468" t="s">
        <v>65</v>
      </c>
      <c r="G468" t="s">
        <v>458</v>
      </c>
      <c r="H468" t="s">
        <v>457</v>
      </c>
    </row>
    <row r="469" spans="1:8">
      <c r="A469" t="s">
        <v>234</v>
      </c>
      <c r="B469">
        <v>2000</v>
      </c>
      <c r="C469" t="s">
        <v>7</v>
      </c>
      <c r="D469">
        <v>3.3515000000000003E-2</v>
      </c>
      <c r="E469" t="s">
        <v>455</v>
      </c>
      <c r="F469" t="s">
        <v>65</v>
      </c>
      <c r="G469" t="s">
        <v>458</v>
      </c>
      <c r="H469" t="s">
        <v>457</v>
      </c>
    </row>
    <row r="470" spans="1:8">
      <c r="A470" t="s">
        <v>234</v>
      </c>
      <c r="B470">
        <v>2001</v>
      </c>
      <c r="C470" t="s">
        <v>7</v>
      </c>
      <c r="D470">
        <v>3.8020000000000005E-2</v>
      </c>
      <c r="E470" t="s">
        <v>455</v>
      </c>
      <c r="F470" t="s">
        <v>65</v>
      </c>
      <c r="G470" t="s">
        <v>458</v>
      </c>
      <c r="H470" t="s">
        <v>457</v>
      </c>
    </row>
    <row r="471" spans="1:8">
      <c r="A471" t="s">
        <v>234</v>
      </c>
      <c r="B471">
        <v>2002</v>
      </c>
      <c r="C471" t="s">
        <v>7</v>
      </c>
      <c r="D471">
        <v>5.6530000000000004E-2</v>
      </c>
      <c r="E471" t="s">
        <v>455</v>
      </c>
      <c r="F471" t="s">
        <v>65</v>
      </c>
      <c r="G471" t="s">
        <v>458</v>
      </c>
      <c r="H471" t="s">
        <v>457</v>
      </c>
    </row>
    <row r="472" spans="1:8">
      <c r="A472" t="s">
        <v>234</v>
      </c>
      <c r="B472">
        <v>2003</v>
      </c>
      <c r="C472" t="s">
        <v>7</v>
      </c>
      <c r="D472">
        <v>6.6599999999999993E-2</v>
      </c>
      <c r="E472" t="s">
        <v>455</v>
      </c>
      <c r="F472" t="s">
        <v>65</v>
      </c>
      <c r="G472" t="s">
        <v>458</v>
      </c>
      <c r="H472" t="s">
        <v>457</v>
      </c>
    </row>
    <row r="473" spans="1:8">
      <c r="A473" t="s">
        <v>234</v>
      </c>
      <c r="B473">
        <v>2002</v>
      </c>
      <c r="C473" t="s">
        <v>143</v>
      </c>
      <c r="D473">
        <v>6.7810000000000009E-2</v>
      </c>
      <c r="E473" t="s">
        <v>455</v>
      </c>
      <c r="F473" t="s">
        <v>75</v>
      </c>
      <c r="G473" t="s">
        <v>458</v>
      </c>
      <c r="H473" t="s">
        <v>457</v>
      </c>
    </row>
    <row r="474" spans="1:8">
      <c r="A474" t="s">
        <v>234</v>
      </c>
      <c r="B474">
        <v>2003</v>
      </c>
      <c r="C474" t="s">
        <v>143</v>
      </c>
      <c r="D474">
        <v>8.1159999999999996E-2</v>
      </c>
      <c r="E474" t="s">
        <v>455</v>
      </c>
      <c r="F474" t="s">
        <v>75</v>
      </c>
      <c r="G474" t="s">
        <v>458</v>
      </c>
      <c r="H474" t="s">
        <v>457</v>
      </c>
    </row>
    <row r="475" spans="1:8">
      <c r="A475" t="s">
        <v>234</v>
      </c>
      <c r="B475">
        <v>2004</v>
      </c>
      <c r="C475" t="s">
        <v>143</v>
      </c>
      <c r="D475">
        <v>9.3608000000000011E-2</v>
      </c>
      <c r="E475" t="s">
        <v>455</v>
      </c>
      <c r="F475" t="s">
        <v>75</v>
      </c>
      <c r="G475" t="s">
        <v>458</v>
      </c>
      <c r="H475" t="s">
        <v>457</v>
      </c>
    </row>
    <row r="476" spans="1:8">
      <c r="A476" t="s">
        <v>234</v>
      </c>
      <c r="B476">
        <v>2005</v>
      </c>
      <c r="C476" t="s">
        <v>143</v>
      </c>
      <c r="D476">
        <v>0.13705199999999998</v>
      </c>
      <c r="E476" t="s">
        <v>455</v>
      </c>
      <c r="F476" t="s">
        <v>75</v>
      </c>
      <c r="G476" t="s">
        <v>458</v>
      </c>
      <c r="H476" t="s">
        <v>457</v>
      </c>
    </row>
    <row r="477" spans="1:8">
      <c r="A477" t="s">
        <v>234</v>
      </c>
      <c r="B477">
        <v>2006</v>
      </c>
      <c r="C477" t="s">
        <v>143</v>
      </c>
      <c r="D477">
        <v>0.15506700000000001</v>
      </c>
      <c r="E477" t="s">
        <v>455</v>
      </c>
      <c r="F477" t="s">
        <v>75</v>
      </c>
      <c r="G477" t="s">
        <v>458</v>
      </c>
      <c r="H477" t="s">
        <v>457</v>
      </c>
    </row>
    <row r="478" spans="1:8">
      <c r="A478" t="s">
        <v>234</v>
      </c>
      <c r="B478">
        <v>2007</v>
      </c>
      <c r="C478" t="s">
        <v>143</v>
      </c>
      <c r="D478">
        <v>0.19143000000000002</v>
      </c>
      <c r="E478" t="s">
        <v>455</v>
      </c>
      <c r="F478" t="s">
        <v>75</v>
      </c>
      <c r="G478" t="s">
        <v>458</v>
      </c>
      <c r="H478" t="s">
        <v>457</v>
      </c>
    </row>
    <row r="479" spans="1:8">
      <c r="A479" t="s">
        <v>234</v>
      </c>
      <c r="B479">
        <v>2008</v>
      </c>
      <c r="C479" t="s">
        <v>143</v>
      </c>
      <c r="D479">
        <v>0.23485499999999998</v>
      </c>
      <c r="E479" t="s">
        <v>455</v>
      </c>
      <c r="F479" t="s">
        <v>75</v>
      </c>
      <c r="G479" t="s">
        <v>458</v>
      </c>
      <c r="H479" t="s">
        <v>457</v>
      </c>
    </row>
    <row r="480" spans="1:8">
      <c r="A480" t="s">
        <v>234</v>
      </c>
      <c r="B480">
        <v>2009</v>
      </c>
      <c r="C480" t="s">
        <v>143</v>
      </c>
      <c r="D480">
        <v>0.34501799999999999</v>
      </c>
      <c r="E480" t="s">
        <v>455</v>
      </c>
      <c r="F480" t="s">
        <v>75</v>
      </c>
      <c r="G480" t="s">
        <v>458</v>
      </c>
      <c r="H480" t="s">
        <v>457</v>
      </c>
    </row>
    <row r="481" spans="1:8">
      <c r="A481" t="s">
        <v>234</v>
      </c>
      <c r="B481">
        <v>2010</v>
      </c>
      <c r="C481" t="s">
        <v>143</v>
      </c>
      <c r="D481">
        <v>0.72906300000000002</v>
      </c>
      <c r="E481" t="s">
        <v>455</v>
      </c>
      <c r="F481" t="s">
        <v>75</v>
      </c>
      <c r="G481" t="s">
        <v>458</v>
      </c>
      <c r="H481" t="s">
        <v>457</v>
      </c>
    </row>
    <row r="482" spans="1:8">
      <c r="A482" t="s">
        <v>234</v>
      </c>
      <c r="B482">
        <v>2011</v>
      </c>
      <c r="C482" t="s">
        <v>143</v>
      </c>
      <c r="D482">
        <v>1.997763</v>
      </c>
      <c r="E482" t="s">
        <v>455</v>
      </c>
      <c r="F482" t="s">
        <v>75</v>
      </c>
      <c r="G482" t="s">
        <v>458</v>
      </c>
      <c r="H482" t="s">
        <v>457</v>
      </c>
    </row>
    <row r="483" spans="1:8">
      <c r="A483" t="s">
        <v>234</v>
      </c>
      <c r="B483">
        <v>2012</v>
      </c>
      <c r="C483" t="s">
        <v>143</v>
      </c>
      <c r="D483">
        <v>4.3907629999999997</v>
      </c>
      <c r="E483" t="s">
        <v>455</v>
      </c>
      <c r="F483" t="s">
        <v>75</v>
      </c>
      <c r="G483" t="s">
        <v>458</v>
      </c>
      <c r="H483" t="s">
        <v>457</v>
      </c>
    </row>
    <row r="484" spans="1:8">
      <c r="A484" t="s">
        <v>234</v>
      </c>
      <c r="B484">
        <v>2013</v>
      </c>
      <c r="C484" t="s">
        <v>143</v>
      </c>
      <c r="D484">
        <v>8.7975630000000002</v>
      </c>
      <c r="E484" t="s">
        <v>455</v>
      </c>
      <c r="F484" t="s">
        <v>75</v>
      </c>
      <c r="G484" t="s">
        <v>458</v>
      </c>
      <c r="H484" t="s">
        <v>457</v>
      </c>
    </row>
    <row r="485" spans="1:8">
      <c r="A485" t="s">
        <v>234</v>
      </c>
      <c r="B485">
        <v>2014</v>
      </c>
      <c r="C485" t="s">
        <v>143</v>
      </c>
      <c r="D485">
        <v>23.750962999999999</v>
      </c>
      <c r="E485" t="s">
        <v>455</v>
      </c>
      <c r="F485" t="s">
        <v>75</v>
      </c>
      <c r="G485" t="s">
        <v>458</v>
      </c>
      <c r="H485" t="s">
        <v>457</v>
      </c>
    </row>
    <row r="486" spans="1:8">
      <c r="A486" t="s">
        <v>234</v>
      </c>
      <c r="B486">
        <v>2015</v>
      </c>
      <c r="C486" t="s">
        <v>143</v>
      </c>
      <c r="D486">
        <v>39.977663</v>
      </c>
      <c r="E486" t="s">
        <v>455</v>
      </c>
      <c r="F486" t="s">
        <v>75</v>
      </c>
      <c r="G486" t="s">
        <v>458</v>
      </c>
      <c r="H486" t="s">
        <v>457</v>
      </c>
    </row>
    <row r="487" spans="1:8">
      <c r="A487" t="s">
        <v>234</v>
      </c>
      <c r="B487">
        <v>2016</v>
      </c>
      <c r="C487" t="s">
        <v>143</v>
      </c>
      <c r="D487">
        <v>67.865157999999994</v>
      </c>
      <c r="E487" t="s">
        <v>455</v>
      </c>
      <c r="F487" t="s">
        <v>75</v>
      </c>
      <c r="G487" t="s">
        <v>458</v>
      </c>
      <c r="H487" t="s">
        <v>457</v>
      </c>
    </row>
    <row r="488" spans="1:8">
      <c r="A488" t="s">
        <v>234</v>
      </c>
      <c r="B488">
        <v>2017</v>
      </c>
      <c r="C488" t="s">
        <v>143</v>
      </c>
      <c r="D488">
        <v>118.25761800000001</v>
      </c>
      <c r="E488" t="s">
        <v>455</v>
      </c>
      <c r="F488" t="s">
        <v>75</v>
      </c>
      <c r="G488" t="s">
        <v>458</v>
      </c>
      <c r="H488" t="s">
        <v>457</v>
      </c>
    </row>
    <row r="489" spans="1:8">
      <c r="A489" t="s">
        <v>234</v>
      </c>
      <c r="B489">
        <v>2018</v>
      </c>
      <c r="C489" t="s">
        <v>143</v>
      </c>
      <c r="D489">
        <v>178.06177100000002</v>
      </c>
      <c r="E489" t="s">
        <v>455</v>
      </c>
      <c r="F489" t="s">
        <v>75</v>
      </c>
      <c r="G489" t="s">
        <v>458</v>
      </c>
      <c r="H489" t="s">
        <v>457</v>
      </c>
    </row>
    <row r="490" spans="1:8">
      <c r="A490" t="s">
        <v>234</v>
      </c>
      <c r="B490">
        <v>2019</v>
      </c>
      <c r="C490" t="s">
        <v>143</v>
      </c>
      <c r="D490">
        <v>224.52705799999998</v>
      </c>
      <c r="E490" t="s">
        <v>455</v>
      </c>
      <c r="F490" t="s">
        <v>75</v>
      </c>
      <c r="G490" t="s">
        <v>458</v>
      </c>
      <c r="H490" t="s">
        <v>457</v>
      </c>
    </row>
    <row r="491" spans="1:8">
      <c r="A491" t="s">
        <v>234</v>
      </c>
      <c r="B491">
        <v>2020</v>
      </c>
      <c r="C491" t="s">
        <v>143</v>
      </c>
      <c r="D491">
        <v>261.62264099999999</v>
      </c>
      <c r="E491" t="s">
        <v>455</v>
      </c>
      <c r="F491" t="s">
        <v>75</v>
      </c>
      <c r="G491" t="s">
        <v>458</v>
      </c>
      <c r="H491" t="s">
        <v>457</v>
      </c>
    </row>
    <row r="492" spans="1:8">
      <c r="A492" t="s">
        <v>234</v>
      </c>
      <c r="B492">
        <v>2021</v>
      </c>
      <c r="C492" t="s">
        <v>143</v>
      </c>
      <c r="D492">
        <v>327.53027399999996</v>
      </c>
      <c r="E492" t="s">
        <v>455</v>
      </c>
      <c r="F492" t="s">
        <v>75</v>
      </c>
      <c r="G492" t="s">
        <v>458</v>
      </c>
      <c r="H492" t="s">
        <v>457</v>
      </c>
    </row>
    <row r="493" spans="1:8">
      <c r="A493" t="s">
        <v>234</v>
      </c>
      <c r="B493">
        <v>2022</v>
      </c>
      <c r="C493" t="s">
        <v>143</v>
      </c>
      <c r="D493">
        <v>428.14228900000001</v>
      </c>
      <c r="E493" t="s">
        <v>455</v>
      </c>
      <c r="F493" t="s">
        <v>75</v>
      </c>
      <c r="G493" t="s">
        <v>458</v>
      </c>
      <c r="H493" t="s">
        <v>457</v>
      </c>
    </row>
    <row r="494" spans="1:8">
      <c r="A494" t="s">
        <v>234</v>
      </c>
      <c r="B494">
        <v>2010</v>
      </c>
      <c r="C494" t="s">
        <v>143</v>
      </c>
      <c r="D494">
        <v>5.0000000000000001E-4</v>
      </c>
      <c r="E494" t="s">
        <v>455</v>
      </c>
      <c r="F494" t="s">
        <v>75</v>
      </c>
      <c r="G494" t="s">
        <v>458</v>
      </c>
      <c r="H494" t="s">
        <v>457</v>
      </c>
    </row>
    <row r="495" spans="1:8">
      <c r="A495" t="s">
        <v>234</v>
      </c>
      <c r="B495">
        <v>2011</v>
      </c>
      <c r="C495" t="s">
        <v>143</v>
      </c>
      <c r="D495">
        <v>1E-3</v>
      </c>
      <c r="E495" t="s">
        <v>455</v>
      </c>
      <c r="F495" t="s">
        <v>75</v>
      </c>
      <c r="G495" t="s">
        <v>458</v>
      </c>
      <c r="H495" t="s">
        <v>457</v>
      </c>
    </row>
    <row r="496" spans="1:8">
      <c r="A496" t="s">
        <v>234</v>
      </c>
      <c r="B496">
        <v>2012</v>
      </c>
      <c r="C496" t="s">
        <v>143</v>
      </c>
      <c r="D496">
        <v>1E-3</v>
      </c>
      <c r="E496" t="s">
        <v>455</v>
      </c>
      <c r="F496" t="s">
        <v>75</v>
      </c>
      <c r="G496" t="s">
        <v>458</v>
      </c>
      <c r="H496" t="s">
        <v>457</v>
      </c>
    </row>
    <row r="497" spans="1:8">
      <c r="A497" t="s">
        <v>234</v>
      </c>
      <c r="B497">
        <v>2013</v>
      </c>
      <c r="C497" t="s">
        <v>143</v>
      </c>
      <c r="D497">
        <v>1E-3</v>
      </c>
      <c r="E497" t="s">
        <v>455</v>
      </c>
      <c r="F497" t="s">
        <v>75</v>
      </c>
      <c r="G497" t="s">
        <v>458</v>
      </c>
      <c r="H497" t="s">
        <v>457</v>
      </c>
    </row>
    <row r="498" spans="1:8">
      <c r="A498" t="s">
        <v>234</v>
      </c>
      <c r="B498">
        <v>2014</v>
      </c>
      <c r="C498" t="s">
        <v>143</v>
      </c>
      <c r="D498">
        <v>7.3689999999999997E-3</v>
      </c>
      <c r="E498" t="s">
        <v>455</v>
      </c>
      <c r="F498" t="s">
        <v>75</v>
      </c>
      <c r="G498" t="s">
        <v>458</v>
      </c>
      <c r="H498" t="s">
        <v>457</v>
      </c>
    </row>
    <row r="499" spans="1:8">
      <c r="A499" t="s">
        <v>234</v>
      </c>
      <c r="B499">
        <v>2015</v>
      </c>
      <c r="C499" t="s">
        <v>143</v>
      </c>
      <c r="D499">
        <v>8.9830000000000014E-3</v>
      </c>
      <c r="E499" t="s">
        <v>455</v>
      </c>
      <c r="F499" t="s">
        <v>75</v>
      </c>
      <c r="G499" t="s">
        <v>458</v>
      </c>
      <c r="H499" t="s">
        <v>457</v>
      </c>
    </row>
    <row r="500" spans="1:8">
      <c r="A500" t="s">
        <v>234</v>
      </c>
      <c r="B500">
        <v>2016</v>
      </c>
      <c r="C500" t="s">
        <v>143</v>
      </c>
      <c r="D500">
        <v>8.9830000000000014E-3</v>
      </c>
      <c r="E500" t="s">
        <v>455</v>
      </c>
      <c r="F500" t="s">
        <v>75</v>
      </c>
      <c r="G500" t="s">
        <v>458</v>
      </c>
      <c r="H500" t="s">
        <v>457</v>
      </c>
    </row>
    <row r="501" spans="1:8">
      <c r="A501" t="s">
        <v>234</v>
      </c>
      <c r="B501">
        <v>2017</v>
      </c>
      <c r="C501" t="s">
        <v>143</v>
      </c>
      <c r="D501">
        <v>8.9830000000000014E-3</v>
      </c>
      <c r="E501" t="s">
        <v>455</v>
      </c>
      <c r="F501" t="s">
        <v>75</v>
      </c>
      <c r="G501" t="s">
        <v>458</v>
      </c>
      <c r="H501" t="s">
        <v>457</v>
      </c>
    </row>
    <row r="502" spans="1:8">
      <c r="A502" t="s">
        <v>234</v>
      </c>
      <c r="B502">
        <v>2018</v>
      </c>
      <c r="C502" t="s">
        <v>143</v>
      </c>
      <c r="D502">
        <v>8.9830000000000014E-3</v>
      </c>
      <c r="E502" t="s">
        <v>455</v>
      </c>
      <c r="F502" t="s">
        <v>75</v>
      </c>
      <c r="G502" t="s">
        <v>458</v>
      </c>
      <c r="H502" t="s">
        <v>457</v>
      </c>
    </row>
    <row r="503" spans="1:8">
      <c r="A503" t="s">
        <v>234</v>
      </c>
      <c r="B503">
        <v>2019</v>
      </c>
      <c r="C503" t="s">
        <v>143</v>
      </c>
      <c r="D503">
        <v>1.4460000000000001E-2</v>
      </c>
      <c r="E503" t="s">
        <v>455</v>
      </c>
      <c r="F503" t="s">
        <v>75</v>
      </c>
      <c r="G503" t="s">
        <v>458</v>
      </c>
      <c r="H503" t="s">
        <v>457</v>
      </c>
    </row>
    <row r="504" spans="1:8">
      <c r="A504" t="s">
        <v>234</v>
      </c>
      <c r="B504">
        <v>2020</v>
      </c>
      <c r="C504" t="s">
        <v>143</v>
      </c>
      <c r="D504">
        <v>1.6431999999999999E-2</v>
      </c>
      <c r="E504" t="s">
        <v>455</v>
      </c>
      <c r="F504" t="s">
        <v>75</v>
      </c>
      <c r="G504" t="s">
        <v>458</v>
      </c>
      <c r="H504" t="s">
        <v>457</v>
      </c>
    </row>
    <row r="505" spans="1:8">
      <c r="A505" t="s">
        <v>234</v>
      </c>
      <c r="B505">
        <v>2021</v>
      </c>
      <c r="C505" t="s">
        <v>143</v>
      </c>
      <c r="D505">
        <v>2.0813999999999999E-2</v>
      </c>
      <c r="E505" t="s">
        <v>455</v>
      </c>
      <c r="F505" t="s">
        <v>75</v>
      </c>
      <c r="G505" t="s">
        <v>458</v>
      </c>
      <c r="H505" t="s">
        <v>457</v>
      </c>
    </row>
    <row r="506" spans="1:8">
      <c r="A506" t="s">
        <v>234</v>
      </c>
      <c r="B506">
        <v>2022</v>
      </c>
      <c r="C506" t="s">
        <v>143</v>
      </c>
      <c r="D506">
        <v>2.0813999999999999E-2</v>
      </c>
      <c r="E506" t="s">
        <v>455</v>
      </c>
      <c r="F506" t="s">
        <v>75</v>
      </c>
      <c r="G506" t="s">
        <v>458</v>
      </c>
      <c r="H506" t="s">
        <v>457</v>
      </c>
    </row>
    <row r="507" spans="1:8">
      <c r="A507" t="s">
        <v>234</v>
      </c>
      <c r="B507">
        <v>2000</v>
      </c>
      <c r="C507" t="s">
        <v>143</v>
      </c>
      <c r="D507">
        <v>3.7104999999999999E-2</v>
      </c>
      <c r="E507" t="s">
        <v>455</v>
      </c>
      <c r="F507" t="s">
        <v>75</v>
      </c>
      <c r="G507" t="s">
        <v>458</v>
      </c>
      <c r="H507" t="s">
        <v>457</v>
      </c>
    </row>
    <row r="508" spans="1:8">
      <c r="A508" t="s">
        <v>234</v>
      </c>
      <c r="B508">
        <v>2001</v>
      </c>
      <c r="C508" t="s">
        <v>143</v>
      </c>
      <c r="D508">
        <v>4.3112000000000004E-2</v>
      </c>
      <c r="E508" t="s">
        <v>455</v>
      </c>
      <c r="F508" t="s">
        <v>75</v>
      </c>
      <c r="G508" t="s">
        <v>458</v>
      </c>
      <c r="H508" t="s">
        <v>457</v>
      </c>
    </row>
    <row r="509" spans="1:8">
      <c r="A509" t="s">
        <v>235</v>
      </c>
      <c r="B509">
        <v>2018</v>
      </c>
      <c r="C509" t="s">
        <v>7</v>
      </c>
      <c r="D509">
        <v>180.076877</v>
      </c>
      <c r="E509" t="s">
        <v>455</v>
      </c>
      <c r="F509" t="s">
        <v>65</v>
      </c>
      <c r="G509" t="s">
        <v>458</v>
      </c>
      <c r="H509" t="s">
        <v>457</v>
      </c>
    </row>
    <row r="510" spans="1:8">
      <c r="A510" t="s">
        <v>235</v>
      </c>
      <c r="B510">
        <v>2019</v>
      </c>
      <c r="C510" t="s">
        <v>7</v>
      </c>
      <c r="D510">
        <v>203.65191000000002</v>
      </c>
      <c r="E510" t="s">
        <v>455</v>
      </c>
      <c r="F510" t="s">
        <v>65</v>
      </c>
      <c r="G510" t="s">
        <v>458</v>
      </c>
      <c r="H510" t="s">
        <v>457</v>
      </c>
    </row>
    <row r="511" spans="1:8">
      <c r="A511" t="s">
        <v>235</v>
      </c>
      <c r="B511">
        <v>2020</v>
      </c>
      <c r="C511" t="s">
        <v>7</v>
      </c>
      <c r="D511">
        <v>273.00266999999997</v>
      </c>
      <c r="E511" t="s">
        <v>455</v>
      </c>
      <c r="F511" t="s">
        <v>65</v>
      </c>
      <c r="G511" t="s">
        <v>458</v>
      </c>
      <c r="H511" t="s">
        <v>457</v>
      </c>
    </row>
    <row r="512" spans="1:8">
      <c r="A512" t="s">
        <v>235</v>
      </c>
      <c r="B512">
        <v>2021</v>
      </c>
      <c r="C512" t="s">
        <v>7</v>
      </c>
      <c r="D512">
        <v>302.58343000000002</v>
      </c>
      <c r="E512" t="s">
        <v>455</v>
      </c>
      <c r="F512" t="s">
        <v>65</v>
      </c>
      <c r="G512" t="s">
        <v>458</v>
      </c>
      <c r="H512" t="s">
        <v>457</v>
      </c>
    </row>
    <row r="513" spans="1:8">
      <c r="A513" t="s">
        <v>235</v>
      </c>
      <c r="B513">
        <v>2022</v>
      </c>
      <c r="C513" t="s">
        <v>7</v>
      </c>
      <c r="D513">
        <v>335.50418999999999</v>
      </c>
      <c r="E513" t="s">
        <v>455</v>
      </c>
      <c r="F513" t="s">
        <v>65</v>
      </c>
      <c r="G513" t="s">
        <v>458</v>
      </c>
      <c r="H513" t="s">
        <v>457</v>
      </c>
    </row>
    <row r="514" spans="1:8">
      <c r="A514" t="s">
        <v>235</v>
      </c>
      <c r="B514">
        <v>2023</v>
      </c>
      <c r="C514" t="s">
        <v>7</v>
      </c>
      <c r="D514">
        <v>404.60495000000003</v>
      </c>
      <c r="E514" t="s">
        <v>455</v>
      </c>
      <c r="F514" t="s">
        <v>65</v>
      </c>
      <c r="G514" t="s">
        <v>458</v>
      </c>
      <c r="H514" t="s">
        <v>457</v>
      </c>
    </row>
    <row r="515" spans="1:8">
      <c r="A515" t="s">
        <v>235</v>
      </c>
      <c r="B515">
        <v>2024</v>
      </c>
      <c r="C515" t="s">
        <v>7</v>
      </c>
      <c r="D515">
        <v>482.64571000000001</v>
      </c>
      <c r="E515" t="s">
        <v>455</v>
      </c>
      <c r="F515" t="s">
        <v>65</v>
      </c>
      <c r="G515" t="s">
        <v>458</v>
      </c>
      <c r="H515" t="s">
        <v>457</v>
      </c>
    </row>
    <row r="516" spans="1:8">
      <c r="A516" t="s">
        <v>235</v>
      </c>
      <c r="B516">
        <v>2011</v>
      </c>
      <c r="C516" t="s">
        <v>7</v>
      </c>
      <c r="D516">
        <v>46.144599999999997</v>
      </c>
      <c r="E516" t="s">
        <v>455</v>
      </c>
      <c r="F516" t="s">
        <v>65</v>
      </c>
      <c r="G516" t="s">
        <v>458</v>
      </c>
      <c r="H516" t="s">
        <v>457</v>
      </c>
    </row>
    <row r="517" spans="1:8">
      <c r="A517" t="s">
        <v>235</v>
      </c>
      <c r="B517">
        <v>2012</v>
      </c>
      <c r="C517" t="s">
        <v>7</v>
      </c>
      <c r="D517">
        <v>61.305872999999998</v>
      </c>
      <c r="E517" t="s">
        <v>455</v>
      </c>
      <c r="F517" t="s">
        <v>65</v>
      </c>
      <c r="G517" t="s">
        <v>458</v>
      </c>
      <c r="H517" t="s">
        <v>457</v>
      </c>
    </row>
    <row r="518" spans="1:8">
      <c r="A518" t="s">
        <v>235</v>
      </c>
      <c r="B518">
        <v>2013</v>
      </c>
      <c r="C518" t="s">
        <v>7</v>
      </c>
      <c r="D518">
        <v>76.31353</v>
      </c>
      <c r="E518" t="s">
        <v>455</v>
      </c>
      <c r="F518" t="s">
        <v>65</v>
      </c>
      <c r="G518" t="s">
        <v>458</v>
      </c>
      <c r="H518" t="s">
        <v>457</v>
      </c>
    </row>
    <row r="519" spans="1:8">
      <c r="A519" t="s">
        <v>235</v>
      </c>
      <c r="B519">
        <v>2014</v>
      </c>
      <c r="C519" t="s">
        <v>7</v>
      </c>
      <c r="D519">
        <v>96.379130000000004</v>
      </c>
      <c r="E519" t="s">
        <v>455</v>
      </c>
      <c r="F519" t="s">
        <v>65</v>
      </c>
      <c r="G519" t="s">
        <v>458</v>
      </c>
      <c r="H519" t="s">
        <v>457</v>
      </c>
    </row>
    <row r="520" spans="1:8">
      <c r="A520" t="s">
        <v>235</v>
      </c>
      <c r="B520">
        <v>2015</v>
      </c>
      <c r="C520" t="s">
        <v>7</v>
      </c>
      <c r="D520">
        <v>130.48873</v>
      </c>
      <c r="E520" t="s">
        <v>455</v>
      </c>
      <c r="F520" t="s">
        <v>65</v>
      </c>
      <c r="G520" t="s">
        <v>458</v>
      </c>
      <c r="H520" t="s">
        <v>457</v>
      </c>
    </row>
    <row r="521" spans="1:8">
      <c r="A521" t="s">
        <v>235</v>
      </c>
      <c r="B521">
        <v>2016</v>
      </c>
      <c r="C521" t="s">
        <v>7</v>
      </c>
      <c r="D521">
        <v>147.03689000000003</v>
      </c>
      <c r="E521" t="s">
        <v>455</v>
      </c>
      <c r="F521" t="s">
        <v>65</v>
      </c>
      <c r="G521" t="s">
        <v>458</v>
      </c>
      <c r="H521" t="s">
        <v>457</v>
      </c>
    </row>
    <row r="522" spans="1:8">
      <c r="A522" t="s">
        <v>235</v>
      </c>
      <c r="B522">
        <v>2017</v>
      </c>
      <c r="C522" t="s">
        <v>7</v>
      </c>
      <c r="D522">
        <v>161.586477</v>
      </c>
      <c r="E522" t="s">
        <v>455</v>
      </c>
      <c r="F522" t="s">
        <v>65</v>
      </c>
      <c r="G522" t="s">
        <v>458</v>
      </c>
      <c r="H522" t="s">
        <v>457</v>
      </c>
    </row>
    <row r="523" spans="1:8">
      <c r="A523" t="s">
        <v>235</v>
      </c>
      <c r="B523">
        <v>2004</v>
      </c>
      <c r="C523" t="s">
        <v>7</v>
      </c>
      <c r="D523">
        <v>0.76300000000000001</v>
      </c>
      <c r="E523" t="s">
        <v>455</v>
      </c>
      <c r="F523" t="s">
        <v>65</v>
      </c>
      <c r="G523" t="s">
        <v>458</v>
      </c>
      <c r="H523" t="s">
        <v>457</v>
      </c>
    </row>
    <row r="524" spans="1:8">
      <c r="A524" t="s">
        <v>235</v>
      </c>
      <c r="B524">
        <v>2005</v>
      </c>
      <c r="C524" t="s">
        <v>7</v>
      </c>
      <c r="D524">
        <v>1.06</v>
      </c>
      <c r="E524" t="s">
        <v>455</v>
      </c>
      <c r="F524" t="s">
        <v>65</v>
      </c>
      <c r="G524" t="s">
        <v>458</v>
      </c>
      <c r="H524" t="s">
        <v>457</v>
      </c>
    </row>
    <row r="525" spans="1:8">
      <c r="A525" t="s">
        <v>235</v>
      </c>
      <c r="B525">
        <v>2006</v>
      </c>
      <c r="C525" t="s">
        <v>7</v>
      </c>
      <c r="D525">
        <v>2.0699999999999998</v>
      </c>
      <c r="E525" t="s">
        <v>455</v>
      </c>
      <c r="F525" t="s">
        <v>65</v>
      </c>
      <c r="G525" t="s">
        <v>458</v>
      </c>
      <c r="H525" t="s">
        <v>457</v>
      </c>
    </row>
    <row r="526" spans="1:8">
      <c r="A526" t="s">
        <v>235</v>
      </c>
      <c r="B526">
        <v>2007</v>
      </c>
      <c r="C526" t="s">
        <v>7</v>
      </c>
      <c r="D526">
        <v>4.1985000000000001</v>
      </c>
      <c r="E526" t="s">
        <v>455</v>
      </c>
      <c r="F526" t="s">
        <v>65</v>
      </c>
      <c r="G526" t="s">
        <v>458</v>
      </c>
      <c r="H526" t="s">
        <v>457</v>
      </c>
    </row>
    <row r="527" spans="1:8">
      <c r="A527" t="s">
        <v>235</v>
      </c>
      <c r="B527">
        <v>2008</v>
      </c>
      <c r="C527" t="s">
        <v>7</v>
      </c>
      <c r="D527">
        <v>8.3862279999999991</v>
      </c>
      <c r="E527" t="s">
        <v>455</v>
      </c>
      <c r="F527" t="s">
        <v>65</v>
      </c>
      <c r="G527" t="s">
        <v>458</v>
      </c>
      <c r="H527" t="s">
        <v>457</v>
      </c>
    </row>
    <row r="528" spans="1:8">
      <c r="A528" t="s">
        <v>235</v>
      </c>
      <c r="B528">
        <v>2009</v>
      </c>
      <c r="C528" t="s">
        <v>7</v>
      </c>
      <c r="D528">
        <v>17.597908</v>
      </c>
      <c r="E528" t="s">
        <v>455</v>
      </c>
      <c r="F528" t="s">
        <v>65</v>
      </c>
      <c r="G528" t="s">
        <v>458</v>
      </c>
      <c r="H528" t="s">
        <v>457</v>
      </c>
    </row>
    <row r="529" spans="1:8">
      <c r="A529" t="s">
        <v>235</v>
      </c>
      <c r="B529">
        <v>2010</v>
      </c>
      <c r="C529" t="s">
        <v>7</v>
      </c>
      <c r="D529">
        <v>29.533477999999999</v>
      </c>
      <c r="E529" t="s">
        <v>455</v>
      </c>
      <c r="F529" t="s">
        <v>65</v>
      </c>
      <c r="G529" t="s">
        <v>458</v>
      </c>
      <c r="H529" t="s">
        <v>457</v>
      </c>
    </row>
    <row r="530" spans="1:8">
      <c r="A530" t="s">
        <v>235</v>
      </c>
      <c r="B530">
        <v>2000</v>
      </c>
      <c r="C530" t="s">
        <v>7</v>
      </c>
      <c r="D530">
        <v>0.34100000000000003</v>
      </c>
      <c r="E530" t="s">
        <v>455</v>
      </c>
      <c r="F530" t="s">
        <v>65</v>
      </c>
      <c r="G530" t="s">
        <v>458</v>
      </c>
      <c r="H530" t="s">
        <v>457</v>
      </c>
    </row>
    <row r="531" spans="1:8">
      <c r="A531" t="s">
        <v>235</v>
      </c>
      <c r="B531">
        <v>2001</v>
      </c>
      <c r="C531" t="s">
        <v>7</v>
      </c>
      <c r="D531">
        <v>0.38300000000000001</v>
      </c>
      <c r="E531" t="s">
        <v>455</v>
      </c>
      <c r="F531" t="s">
        <v>65</v>
      </c>
      <c r="G531" t="s">
        <v>458</v>
      </c>
      <c r="H531" t="s">
        <v>457</v>
      </c>
    </row>
    <row r="532" spans="1:8">
      <c r="A532" t="s">
        <v>235</v>
      </c>
      <c r="B532">
        <v>2002</v>
      </c>
      <c r="C532" t="s">
        <v>7</v>
      </c>
      <c r="D532">
        <v>0.44900000000000001</v>
      </c>
      <c r="E532" t="s">
        <v>455</v>
      </c>
      <c r="F532" t="s">
        <v>65</v>
      </c>
      <c r="G532" t="s">
        <v>458</v>
      </c>
      <c r="H532" t="s">
        <v>457</v>
      </c>
    </row>
    <row r="533" spans="1:8">
      <c r="A533" t="s">
        <v>235</v>
      </c>
      <c r="B533">
        <v>2003</v>
      </c>
      <c r="C533" t="s">
        <v>7</v>
      </c>
      <c r="D533">
        <v>0.54700000000000004</v>
      </c>
      <c r="E533" t="s">
        <v>455</v>
      </c>
      <c r="F533" t="s">
        <v>65</v>
      </c>
      <c r="G533" t="s">
        <v>458</v>
      </c>
      <c r="H533" t="s">
        <v>457</v>
      </c>
    </row>
    <row r="534" spans="1:8">
      <c r="A534" t="s">
        <v>235</v>
      </c>
      <c r="B534">
        <v>2002</v>
      </c>
      <c r="C534" t="s">
        <v>143</v>
      </c>
      <c r="D534">
        <v>0.873</v>
      </c>
      <c r="E534" t="s">
        <v>455</v>
      </c>
      <c r="F534" t="s">
        <v>75</v>
      </c>
      <c r="G534" t="s">
        <v>458</v>
      </c>
      <c r="H534" t="s">
        <v>457</v>
      </c>
    </row>
    <row r="535" spans="1:8">
      <c r="A535" t="s">
        <v>235</v>
      </c>
      <c r="B535">
        <v>2003</v>
      </c>
      <c r="C535" t="s">
        <v>143</v>
      </c>
      <c r="D535">
        <v>1.0389999999999999</v>
      </c>
      <c r="E535" t="s">
        <v>455</v>
      </c>
      <c r="F535" t="s">
        <v>75</v>
      </c>
      <c r="G535" t="s">
        <v>458</v>
      </c>
      <c r="H535" t="s">
        <v>457</v>
      </c>
    </row>
    <row r="536" spans="1:8">
      <c r="A536" t="s">
        <v>235</v>
      </c>
      <c r="B536">
        <v>2004</v>
      </c>
      <c r="C536" t="s">
        <v>143</v>
      </c>
      <c r="D536">
        <v>1.3320000000000001</v>
      </c>
      <c r="E536" t="s">
        <v>455</v>
      </c>
      <c r="F536" t="s">
        <v>75</v>
      </c>
      <c r="G536" t="s">
        <v>458</v>
      </c>
      <c r="H536" t="s">
        <v>457</v>
      </c>
    </row>
    <row r="537" spans="1:8">
      <c r="A537" t="s">
        <v>235</v>
      </c>
      <c r="B537">
        <v>2005</v>
      </c>
      <c r="C537" t="s">
        <v>143</v>
      </c>
      <c r="D537">
        <v>1.6</v>
      </c>
      <c r="E537" t="s">
        <v>455</v>
      </c>
      <c r="F537" t="s">
        <v>75</v>
      </c>
      <c r="G537" t="s">
        <v>458</v>
      </c>
      <c r="H537" t="s">
        <v>457</v>
      </c>
    </row>
    <row r="538" spans="1:8">
      <c r="A538" t="s">
        <v>235</v>
      </c>
      <c r="B538">
        <v>2006</v>
      </c>
      <c r="C538" t="s">
        <v>143</v>
      </c>
      <c r="D538">
        <v>2.8</v>
      </c>
      <c r="E538" t="s">
        <v>455</v>
      </c>
      <c r="F538" t="s">
        <v>75</v>
      </c>
      <c r="G538" t="s">
        <v>458</v>
      </c>
      <c r="H538" t="s">
        <v>457</v>
      </c>
    </row>
    <row r="539" spans="1:8">
      <c r="A539" t="s">
        <v>235</v>
      </c>
      <c r="B539">
        <v>2007</v>
      </c>
      <c r="C539" t="s">
        <v>143</v>
      </c>
      <c r="D539">
        <v>5.6979639999999998</v>
      </c>
      <c r="E539" t="s">
        <v>455</v>
      </c>
      <c r="F539" t="s">
        <v>75</v>
      </c>
      <c r="G539" t="s">
        <v>458</v>
      </c>
      <c r="H539" t="s">
        <v>457</v>
      </c>
    </row>
    <row r="540" spans="1:8">
      <c r="A540" t="s">
        <v>235</v>
      </c>
      <c r="B540">
        <v>2008</v>
      </c>
      <c r="C540" t="s">
        <v>143</v>
      </c>
      <c r="D540">
        <v>11.397960999999999</v>
      </c>
      <c r="E540" t="s">
        <v>455</v>
      </c>
      <c r="F540" t="s">
        <v>75</v>
      </c>
      <c r="G540" t="s">
        <v>458</v>
      </c>
      <c r="H540" t="s">
        <v>457</v>
      </c>
    </row>
    <row r="541" spans="1:8">
      <c r="A541" t="s">
        <v>235</v>
      </c>
      <c r="B541">
        <v>2009</v>
      </c>
      <c r="C541" t="s">
        <v>143</v>
      </c>
      <c r="D541">
        <v>24.897878000000002</v>
      </c>
      <c r="E541" t="s">
        <v>455</v>
      </c>
      <c r="F541" t="s">
        <v>75</v>
      </c>
      <c r="G541" t="s">
        <v>458</v>
      </c>
      <c r="H541" t="s">
        <v>457</v>
      </c>
    </row>
    <row r="542" spans="1:8">
      <c r="A542" t="s">
        <v>235</v>
      </c>
      <c r="B542">
        <v>2010</v>
      </c>
      <c r="C542" t="s">
        <v>143</v>
      </c>
      <c r="D542">
        <v>48.905453000000001</v>
      </c>
      <c r="E542" t="s">
        <v>455</v>
      </c>
      <c r="F542" t="s">
        <v>75</v>
      </c>
      <c r="G542" t="s">
        <v>458</v>
      </c>
      <c r="H542" t="s">
        <v>457</v>
      </c>
    </row>
    <row r="543" spans="1:8">
      <c r="A543" t="s">
        <v>235</v>
      </c>
      <c r="B543">
        <v>2011</v>
      </c>
      <c r="C543" t="s">
        <v>143</v>
      </c>
      <c r="D543">
        <v>71.328020000000009</v>
      </c>
      <c r="E543" t="s">
        <v>455</v>
      </c>
      <c r="F543" t="s">
        <v>75</v>
      </c>
      <c r="G543" t="s">
        <v>458</v>
      </c>
      <c r="H543" t="s">
        <v>457</v>
      </c>
    </row>
    <row r="544" spans="1:8">
      <c r="A544" t="s">
        <v>235</v>
      </c>
      <c r="B544">
        <v>2012</v>
      </c>
      <c r="C544" t="s">
        <v>143</v>
      </c>
      <c r="D544">
        <v>102.52579</v>
      </c>
      <c r="E544" t="s">
        <v>455</v>
      </c>
      <c r="F544" t="s">
        <v>75</v>
      </c>
      <c r="G544" t="s">
        <v>458</v>
      </c>
      <c r="H544" t="s">
        <v>457</v>
      </c>
    </row>
    <row r="545" spans="1:8">
      <c r="A545" t="s">
        <v>235</v>
      </c>
      <c r="B545">
        <v>2013</v>
      </c>
      <c r="C545" t="s">
        <v>143</v>
      </c>
      <c r="D545">
        <v>137.80452</v>
      </c>
      <c r="E545" t="s">
        <v>455</v>
      </c>
      <c r="F545" t="s">
        <v>75</v>
      </c>
      <c r="G545" t="s">
        <v>458</v>
      </c>
      <c r="H545" t="s">
        <v>457</v>
      </c>
    </row>
    <row r="546" spans="1:8">
      <c r="A546" t="s">
        <v>235</v>
      </c>
      <c r="B546">
        <v>2014</v>
      </c>
      <c r="C546" t="s">
        <v>143</v>
      </c>
      <c r="D546">
        <v>159.47698399999999</v>
      </c>
      <c r="E546" t="s">
        <v>455</v>
      </c>
      <c r="F546" t="s">
        <v>75</v>
      </c>
      <c r="G546" t="s">
        <v>458</v>
      </c>
      <c r="H546" t="s">
        <v>457</v>
      </c>
    </row>
    <row r="547" spans="1:8">
      <c r="A547" t="s">
        <v>235</v>
      </c>
      <c r="B547">
        <v>2015</v>
      </c>
      <c r="C547" t="s">
        <v>143</v>
      </c>
      <c r="D547">
        <v>185.17163399999998</v>
      </c>
      <c r="E547" t="s">
        <v>455</v>
      </c>
      <c r="F547" t="s">
        <v>75</v>
      </c>
      <c r="G547" t="s">
        <v>458</v>
      </c>
      <c r="H547" t="s">
        <v>457</v>
      </c>
    </row>
    <row r="548" spans="1:8">
      <c r="A548" t="s">
        <v>235</v>
      </c>
      <c r="B548">
        <v>2016</v>
      </c>
      <c r="C548" t="s">
        <v>143</v>
      </c>
      <c r="D548">
        <v>239.97086899999999</v>
      </c>
      <c r="E548" t="s">
        <v>455</v>
      </c>
      <c r="F548" t="s">
        <v>75</v>
      </c>
      <c r="G548" t="s">
        <v>458</v>
      </c>
      <c r="H548" t="s">
        <v>457</v>
      </c>
    </row>
    <row r="549" spans="1:8">
      <c r="A549" t="s">
        <v>235</v>
      </c>
      <c r="B549">
        <v>2017</v>
      </c>
      <c r="C549" t="s">
        <v>143</v>
      </c>
      <c r="D549">
        <v>299.83806400000003</v>
      </c>
      <c r="E549" t="s">
        <v>455</v>
      </c>
      <c r="F549" t="s">
        <v>75</v>
      </c>
      <c r="G549" t="s">
        <v>458</v>
      </c>
      <c r="H549" t="s">
        <v>457</v>
      </c>
    </row>
    <row r="550" spans="1:8">
      <c r="A550" t="s">
        <v>235</v>
      </c>
      <c r="B550">
        <v>2018</v>
      </c>
      <c r="C550" t="s">
        <v>143</v>
      </c>
      <c r="D550">
        <v>357.340125</v>
      </c>
      <c r="E550" t="s">
        <v>455</v>
      </c>
      <c r="F550" t="s">
        <v>75</v>
      </c>
      <c r="G550" t="s">
        <v>458</v>
      </c>
      <c r="H550" t="s">
        <v>457</v>
      </c>
    </row>
    <row r="551" spans="1:8">
      <c r="A551" t="s">
        <v>235</v>
      </c>
      <c r="B551">
        <v>2019</v>
      </c>
      <c r="C551" t="s">
        <v>143</v>
      </c>
      <c r="D551">
        <v>395.04758399999997</v>
      </c>
      <c r="E551" t="s">
        <v>455</v>
      </c>
      <c r="F551" t="s">
        <v>75</v>
      </c>
      <c r="G551" t="s">
        <v>458</v>
      </c>
      <c r="H551" t="s">
        <v>457</v>
      </c>
    </row>
    <row r="552" spans="1:8">
      <c r="A552" t="s">
        <v>235</v>
      </c>
      <c r="B552">
        <v>2020</v>
      </c>
      <c r="C552" t="s">
        <v>143</v>
      </c>
      <c r="D552">
        <v>452.14179300000001</v>
      </c>
      <c r="E552" t="s">
        <v>455</v>
      </c>
      <c r="F552" t="s">
        <v>75</v>
      </c>
      <c r="G552" t="s">
        <v>458</v>
      </c>
      <c r="H552" t="s">
        <v>457</v>
      </c>
    </row>
    <row r="553" spans="1:8">
      <c r="A553" t="s">
        <v>235</v>
      </c>
      <c r="B553">
        <v>2021</v>
      </c>
      <c r="C553" t="s">
        <v>143</v>
      </c>
      <c r="D553">
        <v>603.994235</v>
      </c>
      <c r="E553" t="s">
        <v>455</v>
      </c>
      <c r="F553" t="s">
        <v>75</v>
      </c>
      <c r="G553" t="s">
        <v>458</v>
      </c>
      <c r="H553" t="s">
        <v>457</v>
      </c>
    </row>
    <row r="554" spans="1:8">
      <c r="A554" t="s">
        <v>235</v>
      </c>
      <c r="B554">
        <v>2022</v>
      </c>
      <c r="C554" t="s">
        <v>143</v>
      </c>
      <c r="D554">
        <v>699.77062000000001</v>
      </c>
      <c r="E554" t="s">
        <v>455</v>
      </c>
      <c r="F554" t="s">
        <v>75</v>
      </c>
      <c r="G554" t="s">
        <v>458</v>
      </c>
      <c r="H554" t="s">
        <v>457</v>
      </c>
    </row>
    <row r="555" spans="1:8">
      <c r="A555" t="s">
        <v>235</v>
      </c>
      <c r="B555">
        <v>2000</v>
      </c>
      <c r="C555" t="s">
        <v>143</v>
      </c>
      <c r="D555">
        <v>0.61499999999999999</v>
      </c>
      <c r="E555" t="s">
        <v>455</v>
      </c>
      <c r="F555" t="s">
        <v>75</v>
      </c>
      <c r="G555" t="s">
        <v>458</v>
      </c>
      <c r="H555" t="s">
        <v>457</v>
      </c>
    </row>
    <row r="556" spans="1:8">
      <c r="A556" t="s">
        <v>235</v>
      </c>
      <c r="B556">
        <v>2001</v>
      </c>
      <c r="C556" t="s">
        <v>143</v>
      </c>
      <c r="D556">
        <v>0.749</v>
      </c>
      <c r="E556" t="s">
        <v>455</v>
      </c>
      <c r="F556" t="s">
        <v>75</v>
      </c>
      <c r="G556" t="s">
        <v>458</v>
      </c>
      <c r="H556" t="s">
        <v>457</v>
      </c>
    </row>
    <row r="557" spans="1:8">
      <c r="A557" t="s">
        <v>236</v>
      </c>
      <c r="B557">
        <v>2018</v>
      </c>
      <c r="C557" t="s">
        <v>7</v>
      </c>
      <c r="D557">
        <v>4.5880000000000001</v>
      </c>
      <c r="E557" t="s">
        <v>455</v>
      </c>
      <c r="F557" t="s">
        <v>65</v>
      </c>
      <c r="G557" t="s">
        <v>458</v>
      </c>
      <c r="H557" t="s">
        <v>457</v>
      </c>
    </row>
    <row r="558" spans="1:8">
      <c r="A558" t="s">
        <v>236</v>
      </c>
      <c r="B558">
        <v>2019</v>
      </c>
      <c r="C558" t="s">
        <v>7</v>
      </c>
      <c r="D558">
        <v>5.93</v>
      </c>
      <c r="E558" t="s">
        <v>455</v>
      </c>
      <c r="F558" t="s">
        <v>65</v>
      </c>
      <c r="G558" t="s">
        <v>458</v>
      </c>
      <c r="H558" t="s">
        <v>457</v>
      </c>
    </row>
    <row r="559" spans="1:8">
      <c r="A559" t="s">
        <v>236</v>
      </c>
      <c r="B559">
        <v>2020</v>
      </c>
      <c r="C559" t="s">
        <v>7</v>
      </c>
      <c r="D559">
        <v>8.99</v>
      </c>
      <c r="E559" t="s">
        <v>455</v>
      </c>
      <c r="F559" t="s">
        <v>65</v>
      </c>
      <c r="G559" t="s">
        <v>458</v>
      </c>
      <c r="H559" t="s">
        <v>457</v>
      </c>
    </row>
    <row r="560" spans="1:8">
      <c r="A560" t="s">
        <v>236</v>
      </c>
      <c r="B560">
        <v>2021</v>
      </c>
      <c r="C560" t="s">
        <v>7</v>
      </c>
      <c r="D560">
        <v>26.39</v>
      </c>
      <c r="E560" t="s">
        <v>455</v>
      </c>
      <c r="F560" t="s">
        <v>65</v>
      </c>
      <c r="G560" t="s">
        <v>458</v>
      </c>
      <c r="H560" t="s">
        <v>457</v>
      </c>
    </row>
    <row r="561" spans="1:8">
      <c r="A561" t="s">
        <v>236</v>
      </c>
      <c r="B561">
        <v>2022</v>
      </c>
      <c r="C561" t="s">
        <v>7</v>
      </c>
      <c r="D561">
        <v>30.46</v>
      </c>
      <c r="E561" t="s">
        <v>455</v>
      </c>
      <c r="F561" t="s">
        <v>65</v>
      </c>
      <c r="G561" t="s">
        <v>458</v>
      </c>
      <c r="H561" t="s">
        <v>457</v>
      </c>
    </row>
    <row r="562" spans="1:8">
      <c r="A562" t="s">
        <v>236</v>
      </c>
      <c r="B562">
        <v>2023</v>
      </c>
      <c r="C562" t="s">
        <v>7</v>
      </c>
      <c r="D562">
        <v>37.29</v>
      </c>
      <c r="E562" t="s">
        <v>455</v>
      </c>
      <c r="F562" t="s">
        <v>65</v>
      </c>
      <c r="G562" t="s">
        <v>458</v>
      </c>
      <c r="H562" t="s">
        <v>457</v>
      </c>
    </row>
    <row r="563" spans="1:8">
      <c r="A563" t="s">
        <v>236</v>
      </c>
      <c r="B563">
        <v>2024</v>
      </c>
      <c r="C563" t="s">
        <v>7</v>
      </c>
      <c r="D563">
        <v>39.1</v>
      </c>
      <c r="E563" t="s">
        <v>455</v>
      </c>
      <c r="F563" t="s">
        <v>65</v>
      </c>
      <c r="G563" t="s">
        <v>458</v>
      </c>
      <c r="H563" t="s">
        <v>457</v>
      </c>
    </row>
    <row r="564" spans="1:8">
      <c r="A564" t="s">
        <v>236</v>
      </c>
      <c r="B564">
        <v>2011</v>
      </c>
      <c r="C564" t="s">
        <v>7</v>
      </c>
      <c r="D564">
        <v>0.21</v>
      </c>
      <c r="E564" t="s">
        <v>455</v>
      </c>
      <c r="F564" t="s">
        <v>65</v>
      </c>
      <c r="G564" t="s">
        <v>458</v>
      </c>
      <c r="H564" t="s">
        <v>457</v>
      </c>
    </row>
    <row r="565" spans="1:8">
      <c r="A565" t="s">
        <v>236</v>
      </c>
      <c r="B565">
        <v>2012</v>
      </c>
      <c r="C565" t="s">
        <v>7</v>
      </c>
      <c r="D565">
        <v>0.29099999999999998</v>
      </c>
      <c r="E565" t="s">
        <v>455</v>
      </c>
      <c r="F565" t="s">
        <v>65</v>
      </c>
      <c r="G565" t="s">
        <v>458</v>
      </c>
      <c r="H565" t="s">
        <v>457</v>
      </c>
    </row>
    <row r="566" spans="1:8">
      <c r="A566" t="s">
        <v>236</v>
      </c>
      <c r="B566">
        <v>2013</v>
      </c>
      <c r="C566" t="s">
        <v>7</v>
      </c>
      <c r="D566">
        <v>0.41699999999999998</v>
      </c>
      <c r="E566" t="s">
        <v>455</v>
      </c>
      <c r="F566" t="s">
        <v>65</v>
      </c>
      <c r="G566" t="s">
        <v>458</v>
      </c>
      <c r="H566" t="s">
        <v>457</v>
      </c>
    </row>
    <row r="567" spans="1:8">
      <c r="A567" t="s">
        <v>236</v>
      </c>
      <c r="B567">
        <v>2014</v>
      </c>
      <c r="C567" t="s">
        <v>7</v>
      </c>
      <c r="D567">
        <v>0.44</v>
      </c>
      <c r="E567" t="s">
        <v>455</v>
      </c>
      <c r="F567" t="s">
        <v>65</v>
      </c>
      <c r="G567" t="s">
        <v>458</v>
      </c>
      <c r="H567" t="s">
        <v>457</v>
      </c>
    </row>
    <row r="568" spans="1:8">
      <c r="A568" t="s">
        <v>236</v>
      </c>
      <c r="B568">
        <v>2015</v>
      </c>
      <c r="C568" t="s">
        <v>7</v>
      </c>
      <c r="D568">
        <v>0.55900000000000005</v>
      </c>
      <c r="E568" t="s">
        <v>455</v>
      </c>
      <c r="F568" t="s">
        <v>65</v>
      </c>
      <c r="G568" t="s">
        <v>458</v>
      </c>
      <c r="H568" t="s">
        <v>457</v>
      </c>
    </row>
    <row r="569" spans="1:8">
      <c r="A569" t="s">
        <v>236</v>
      </c>
      <c r="B569">
        <v>2016</v>
      </c>
      <c r="C569" t="s">
        <v>7</v>
      </c>
      <c r="D569">
        <v>1.48</v>
      </c>
      <c r="E569" t="s">
        <v>455</v>
      </c>
      <c r="F569" t="s">
        <v>65</v>
      </c>
      <c r="G569" t="s">
        <v>458</v>
      </c>
      <c r="H569" t="s">
        <v>457</v>
      </c>
    </row>
    <row r="570" spans="1:8">
      <c r="A570" t="s">
        <v>236</v>
      </c>
      <c r="B570">
        <v>2017</v>
      </c>
      <c r="C570" t="s">
        <v>7</v>
      </c>
      <c r="D570">
        <v>2.7879999999999998</v>
      </c>
      <c r="E570" t="s">
        <v>455</v>
      </c>
      <c r="F570" t="s">
        <v>65</v>
      </c>
      <c r="G570" t="s">
        <v>458</v>
      </c>
      <c r="H570" t="s">
        <v>457</v>
      </c>
    </row>
    <row r="571" spans="1:8">
      <c r="A571" t="s">
        <v>236</v>
      </c>
      <c r="B571">
        <v>2007</v>
      </c>
      <c r="C571" t="s">
        <v>7</v>
      </c>
      <c r="D571">
        <v>1.5E-3</v>
      </c>
      <c r="E571" t="s">
        <v>455</v>
      </c>
      <c r="F571" t="s">
        <v>65</v>
      </c>
      <c r="G571" t="s">
        <v>458</v>
      </c>
      <c r="H571" t="s">
        <v>457</v>
      </c>
    </row>
    <row r="572" spans="1:8">
      <c r="A572" t="s">
        <v>236</v>
      </c>
      <c r="B572">
        <v>2008</v>
      </c>
      <c r="C572" t="s">
        <v>7</v>
      </c>
      <c r="D572">
        <v>1.5E-3</v>
      </c>
      <c r="E572" t="s">
        <v>455</v>
      </c>
      <c r="F572" t="s">
        <v>65</v>
      </c>
      <c r="G572" t="s">
        <v>458</v>
      </c>
      <c r="H572" t="s">
        <v>457</v>
      </c>
    </row>
    <row r="573" spans="1:8">
      <c r="A573" t="s">
        <v>236</v>
      </c>
      <c r="B573">
        <v>2009</v>
      </c>
      <c r="C573" t="s">
        <v>7</v>
      </c>
      <c r="D573">
        <v>1.5E-3</v>
      </c>
      <c r="E573" t="s">
        <v>455</v>
      </c>
      <c r="F573" t="s">
        <v>65</v>
      </c>
      <c r="G573" t="s">
        <v>458</v>
      </c>
      <c r="H573" t="s">
        <v>457</v>
      </c>
    </row>
    <row r="574" spans="1:8">
      <c r="A574" t="s">
        <v>236</v>
      </c>
      <c r="B574">
        <v>2010</v>
      </c>
      <c r="C574" t="s">
        <v>7</v>
      </c>
      <c r="D574">
        <v>0.1</v>
      </c>
      <c r="E574" t="s">
        <v>455</v>
      </c>
      <c r="F574" t="s">
        <v>65</v>
      </c>
      <c r="G574" t="s">
        <v>458</v>
      </c>
      <c r="H574" t="s">
        <v>457</v>
      </c>
    </row>
    <row r="575" spans="1:8">
      <c r="A575" t="s">
        <v>236</v>
      </c>
      <c r="B575">
        <v>2007</v>
      </c>
      <c r="C575" t="s">
        <v>143</v>
      </c>
      <c r="D575">
        <v>2.036E-3</v>
      </c>
      <c r="E575" t="s">
        <v>455</v>
      </c>
      <c r="F575" t="s">
        <v>75</v>
      </c>
      <c r="G575" t="s">
        <v>458</v>
      </c>
      <c r="H575" t="s">
        <v>457</v>
      </c>
    </row>
    <row r="576" spans="1:8">
      <c r="A576" t="s">
        <v>236</v>
      </c>
      <c r="B576">
        <v>2008</v>
      </c>
      <c r="C576" t="s">
        <v>143</v>
      </c>
      <c r="D576">
        <v>2.039E-3</v>
      </c>
      <c r="E576" t="s">
        <v>455</v>
      </c>
      <c r="F576" t="s">
        <v>75</v>
      </c>
      <c r="G576" t="s">
        <v>458</v>
      </c>
      <c r="H576" t="s">
        <v>457</v>
      </c>
    </row>
    <row r="577" spans="1:8">
      <c r="A577" t="s">
        <v>236</v>
      </c>
      <c r="B577">
        <v>2009</v>
      </c>
      <c r="C577" t="s">
        <v>143</v>
      </c>
      <c r="D577">
        <v>2.1219999999999998E-3</v>
      </c>
      <c r="E577" t="s">
        <v>455</v>
      </c>
      <c r="F577" t="s">
        <v>75</v>
      </c>
      <c r="G577" t="s">
        <v>458</v>
      </c>
      <c r="H577" t="s">
        <v>457</v>
      </c>
    </row>
    <row r="578" spans="1:8">
      <c r="A578" t="s">
        <v>236</v>
      </c>
      <c r="B578">
        <v>2010</v>
      </c>
      <c r="C578" t="s">
        <v>143</v>
      </c>
      <c r="D578">
        <v>0.16567799999999999</v>
      </c>
      <c r="E578" t="s">
        <v>455</v>
      </c>
      <c r="F578" t="s">
        <v>75</v>
      </c>
      <c r="G578" t="s">
        <v>458</v>
      </c>
      <c r="H578" t="s">
        <v>457</v>
      </c>
    </row>
    <row r="579" spans="1:8">
      <c r="A579" t="s">
        <v>236</v>
      </c>
      <c r="B579">
        <v>2011</v>
      </c>
      <c r="C579" t="s">
        <v>143</v>
      </c>
      <c r="D579">
        <v>0.32478899999999999</v>
      </c>
      <c r="E579" t="s">
        <v>455</v>
      </c>
      <c r="F579" t="s">
        <v>75</v>
      </c>
      <c r="G579" t="s">
        <v>458</v>
      </c>
      <c r="H579" t="s">
        <v>457</v>
      </c>
    </row>
    <row r="580" spans="1:8">
      <c r="A580" t="s">
        <v>236</v>
      </c>
      <c r="B580">
        <v>2012</v>
      </c>
      <c r="C580" t="s">
        <v>143</v>
      </c>
      <c r="D580">
        <v>0.48702699999999999</v>
      </c>
      <c r="E580" t="s">
        <v>455</v>
      </c>
      <c r="F580" t="s">
        <v>75</v>
      </c>
      <c r="G580" t="s">
        <v>458</v>
      </c>
      <c r="H580" t="s">
        <v>457</v>
      </c>
    </row>
    <row r="581" spans="1:8">
      <c r="A581" t="s">
        <v>236</v>
      </c>
      <c r="B581">
        <v>2013</v>
      </c>
      <c r="C581" t="s">
        <v>143</v>
      </c>
      <c r="D581">
        <v>0.75367399999999996</v>
      </c>
      <c r="E581" t="s">
        <v>455</v>
      </c>
      <c r="F581" t="s">
        <v>75</v>
      </c>
      <c r="G581" t="s">
        <v>458</v>
      </c>
      <c r="H581" t="s">
        <v>457</v>
      </c>
    </row>
    <row r="582" spans="1:8">
      <c r="A582" t="s">
        <v>236</v>
      </c>
      <c r="B582">
        <v>2014</v>
      </c>
      <c r="C582" t="s">
        <v>143</v>
      </c>
      <c r="D582">
        <v>0.728549</v>
      </c>
      <c r="E582" t="s">
        <v>455</v>
      </c>
      <c r="F582" t="s">
        <v>75</v>
      </c>
      <c r="G582" t="s">
        <v>458</v>
      </c>
      <c r="H582" t="s">
        <v>457</v>
      </c>
    </row>
    <row r="583" spans="1:8">
      <c r="A583" t="s">
        <v>236</v>
      </c>
      <c r="B583">
        <v>2015</v>
      </c>
      <c r="C583" t="s">
        <v>143</v>
      </c>
      <c r="D583">
        <v>0.79350199999999993</v>
      </c>
      <c r="E583" t="s">
        <v>455</v>
      </c>
      <c r="F583" t="s">
        <v>75</v>
      </c>
      <c r="G583" t="s">
        <v>458</v>
      </c>
      <c r="H583" t="s">
        <v>457</v>
      </c>
    </row>
    <row r="584" spans="1:8">
      <c r="A584" t="s">
        <v>236</v>
      </c>
      <c r="B584">
        <v>2016</v>
      </c>
      <c r="C584" t="s">
        <v>143</v>
      </c>
      <c r="D584">
        <v>2.41683</v>
      </c>
      <c r="E584" t="s">
        <v>455</v>
      </c>
      <c r="F584" t="s">
        <v>75</v>
      </c>
      <c r="G584" t="s">
        <v>458</v>
      </c>
      <c r="H584" t="s">
        <v>457</v>
      </c>
    </row>
    <row r="585" spans="1:8">
      <c r="A585" t="s">
        <v>236</v>
      </c>
      <c r="B585">
        <v>2017</v>
      </c>
      <c r="C585" t="s">
        <v>143</v>
      </c>
      <c r="D585">
        <v>5.1774120000000003</v>
      </c>
      <c r="E585" t="s">
        <v>455</v>
      </c>
      <c r="F585" t="s">
        <v>75</v>
      </c>
      <c r="G585" t="s">
        <v>458</v>
      </c>
      <c r="H585" t="s">
        <v>457</v>
      </c>
    </row>
    <row r="586" spans="1:8">
      <c r="A586" t="s">
        <v>236</v>
      </c>
      <c r="B586">
        <v>2018</v>
      </c>
      <c r="C586" t="s">
        <v>143</v>
      </c>
      <c r="D586">
        <v>9.1120789999999996</v>
      </c>
      <c r="E586" t="s">
        <v>455</v>
      </c>
      <c r="F586" t="s">
        <v>75</v>
      </c>
      <c r="G586" t="s">
        <v>458</v>
      </c>
      <c r="H586" t="s">
        <v>457</v>
      </c>
    </row>
    <row r="587" spans="1:8">
      <c r="A587" t="s">
        <v>236</v>
      </c>
      <c r="B587">
        <v>2019</v>
      </c>
      <c r="C587" t="s">
        <v>143</v>
      </c>
      <c r="D587">
        <v>11.51211</v>
      </c>
      <c r="E587" t="s">
        <v>455</v>
      </c>
      <c r="F587" t="s">
        <v>75</v>
      </c>
      <c r="G587" t="s">
        <v>458</v>
      </c>
      <c r="H587" t="s">
        <v>457</v>
      </c>
    </row>
    <row r="588" spans="1:8">
      <c r="A588" t="s">
        <v>236</v>
      </c>
      <c r="B588">
        <v>2020</v>
      </c>
      <c r="C588" t="s">
        <v>143</v>
      </c>
      <c r="D588">
        <v>14.895625000000001</v>
      </c>
      <c r="E588" t="s">
        <v>455</v>
      </c>
      <c r="F588" t="s">
        <v>75</v>
      </c>
      <c r="G588" t="s">
        <v>458</v>
      </c>
      <c r="H588" t="s">
        <v>457</v>
      </c>
    </row>
    <row r="589" spans="1:8">
      <c r="A589" t="s">
        <v>236</v>
      </c>
      <c r="B589">
        <v>2021</v>
      </c>
      <c r="C589" t="s">
        <v>143</v>
      </c>
      <c r="D589">
        <v>52.710908000000003</v>
      </c>
      <c r="E589" t="s">
        <v>455</v>
      </c>
      <c r="F589" t="s">
        <v>75</v>
      </c>
      <c r="G589" t="s">
        <v>458</v>
      </c>
      <c r="H589" t="s">
        <v>457</v>
      </c>
    </row>
    <row r="590" spans="1:8">
      <c r="A590" t="s">
        <v>236</v>
      </c>
      <c r="B590">
        <v>2022</v>
      </c>
      <c r="C590" t="s">
        <v>143</v>
      </c>
      <c r="D590">
        <v>63.572247000000004</v>
      </c>
      <c r="E590" t="s">
        <v>455</v>
      </c>
      <c r="F590" t="s">
        <v>75</v>
      </c>
      <c r="G590" t="s">
        <v>458</v>
      </c>
      <c r="H590" t="s">
        <v>457</v>
      </c>
    </row>
    <row r="591" spans="1:8">
      <c r="A591" t="s">
        <v>167</v>
      </c>
      <c r="B591">
        <v>2018</v>
      </c>
      <c r="C591" t="s">
        <v>7</v>
      </c>
      <c r="D591">
        <v>8.0299999999999994</v>
      </c>
      <c r="E591" t="s">
        <v>455</v>
      </c>
      <c r="F591" t="s">
        <v>65</v>
      </c>
      <c r="G591" t="s">
        <v>456</v>
      </c>
      <c r="H591" t="s">
        <v>457</v>
      </c>
    </row>
    <row r="592" spans="1:8">
      <c r="A592" t="s">
        <v>167</v>
      </c>
      <c r="B592">
        <v>2019</v>
      </c>
      <c r="C592" t="s">
        <v>7</v>
      </c>
      <c r="D592">
        <v>9.7288999999999994</v>
      </c>
      <c r="E592" t="s">
        <v>455</v>
      </c>
      <c r="F592" t="s">
        <v>65</v>
      </c>
      <c r="G592" t="s">
        <v>456</v>
      </c>
      <c r="H592" t="s">
        <v>457</v>
      </c>
    </row>
    <row r="593" spans="1:8">
      <c r="A593" t="s">
        <v>167</v>
      </c>
      <c r="B593">
        <v>2020</v>
      </c>
      <c r="C593" t="s">
        <v>7</v>
      </c>
      <c r="D593">
        <v>13.3</v>
      </c>
      <c r="E593" t="s">
        <v>455</v>
      </c>
      <c r="F593" t="s">
        <v>65</v>
      </c>
      <c r="G593" t="s">
        <v>456</v>
      </c>
      <c r="H593" t="s">
        <v>457</v>
      </c>
    </row>
    <row r="594" spans="1:8">
      <c r="A594" t="s">
        <v>167</v>
      </c>
      <c r="B594">
        <v>2021</v>
      </c>
      <c r="C594" t="s">
        <v>7</v>
      </c>
      <c r="D594">
        <v>15.59</v>
      </c>
      <c r="E594" t="s">
        <v>455</v>
      </c>
      <c r="F594" t="s">
        <v>65</v>
      </c>
      <c r="G594" t="s">
        <v>456</v>
      </c>
      <c r="H594" t="s">
        <v>457</v>
      </c>
    </row>
    <row r="595" spans="1:8">
      <c r="A595" t="s">
        <v>167</v>
      </c>
      <c r="B595">
        <v>2022</v>
      </c>
      <c r="C595" t="s">
        <v>7</v>
      </c>
      <c r="D595">
        <v>16.23</v>
      </c>
      <c r="E595" t="s">
        <v>455</v>
      </c>
      <c r="F595" t="s">
        <v>65</v>
      </c>
      <c r="G595" t="s">
        <v>456</v>
      </c>
      <c r="H595" t="s">
        <v>457</v>
      </c>
    </row>
    <row r="596" spans="1:8">
      <c r="A596" t="s">
        <v>167</v>
      </c>
      <c r="B596">
        <v>2023</v>
      </c>
      <c r="C596" t="s">
        <v>7</v>
      </c>
      <c r="D596">
        <v>16.88</v>
      </c>
      <c r="E596" t="s">
        <v>455</v>
      </c>
      <c r="F596" t="s">
        <v>65</v>
      </c>
      <c r="G596" t="s">
        <v>456</v>
      </c>
      <c r="H596" t="s">
        <v>457</v>
      </c>
    </row>
    <row r="597" spans="1:8">
      <c r="A597" t="s">
        <v>167</v>
      </c>
      <c r="B597">
        <v>2024</v>
      </c>
      <c r="C597" t="s">
        <v>7</v>
      </c>
      <c r="D597">
        <v>17.587</v>
      </c>
      <c r="E597" t="s">
        <v>455</v>
      </c>
      <c r="F597" t="s">
        <v>65</v>
      </c>
      <c r="G597" t="s">
        <v>456</v>
      </c>
      <c r="H597" t="s">
        <v>457</v>
      </c>
    </row>
    <row r="598" spans="1:8">
      <c r="A598" t="s">
        <v>167</v>
      </c>
      <c r="B598">
        <v>2018</v>
      </c>
      <c r="C598" t="s">
        <v>7</v>
      </c>
      <c r="D598">
        <v>4.5750000000000002</v>
      </c>
      <c r="E598" t="s">
        <v>455</v>
      </c>
      <c r="F598" t="s">
        <v>65</v>
      </c>
      <c r="G598" t="s">
        <v>456</v>
      </c>
      <c r="H598" t="s">
        <v>457</v>
      </c>
    </row>
    <row r="599" spans="1:8">
      <c r="A599" t="s">
        <v>167</v>
      </c>
      <c r="B599">
        <v>2019</v>
      </c>
      <c r="C599" t="s">
        <v>7</v>
      </c>
      <c r="D599">
        <v>6.0087809999999999</v>
      </c>
      <c r="E599" t="s">
        <v>455</v>
      </c>
      <c r="F599" t="s">
        <v>65</v>
      </c>
      <c r="G599" t="s">
        <v>456</v>
      </c>
      <c r="H599" t="s">
        <v>457</v>
      </c>
    </row>
    <row r="600" spans="1:8">
      <c r="A600" t="s">
        <v>167</v>
      </c>
      <c r="B600">
        <v>2020</v>
      </c>
      <c r="C600" t="s">
        <v>7</v>
      </c>
      <c r="D600">
        <v>7.665</v>
      </c>
      <c r="E600" t="s">
        <v>455</v>
      </c>
      <c r="F600" t="s">
        <v>65</v>
      </c>
      <c r="G600" t="s">
        <v>456</v>
      </c>
      <c r="H600" t="s">
        <v>457</v>
      </c>
    </row>
    <row r="601" spans="1:8">
      <c r="A601" t="s">
        <v>167</v>
      </c>
      <c r="B601">
        <v>2021</v>
      </c>
      <c r="C601" t="s">
        <v>7</v>
      </c>
      <c r="D601">
        <v>10.645</v>
      </c>
      <c r="E601" t="s">
        <v>455</v>
      </c>
      <c r="F601" t="s">
        <v>65</v>
      </c>
      <c r="G601" t="s">
        <v>456</v>
      </c>
      <c r="H601" t="s">
        <v>457</v>
      </c>
    </row>
    <row r="602" spans="1:8">
      <c r="A602" t="s">
        <v>167</v>
      </c>
      <c r="B602">
        <v>2022</v>
      </c>
      <c r="C602" t="s">
        <v>7</v>
      </c>
      <c r="D602">
        <v>11.93</v>
      </c>
      <c r="E602" t="s">
        <v>455</v>
      </c>
      <c r="F602" t="s">
        <v>65</v>
      </c>
      <c r="G602" t="s">
        <v>456</v>
      </c>
      <c r="H602" t="s">
        <v>457</v>
      </c>
    </row>
    <row r="603" spans="1:8">
      <c r="A603" t="s">
        <v>167</v>
      </c>
      <c r="B603">
        <v>2023</v>
      </c>
      <c r="C603" t="s">
        <v>7</v>
      </c>
      <c r="D603">
        <v>12.885</v>
      </c>
      <c r="E603" t="s">
        <v>455</v>
      </c>
      <c r="F603" t="s">
        <v>65</v>
      </c>
      <c r="G603" t="s">
        <v>456</v>
      </c>
      <c r="H603" t="s">
        <v>457</v>
      </c>
    </row>
    <row r="604" spans="1:8">
      <c r="A604" t="s">
        <v>167</v>
      </c>
      <c r="B604">
        <v>2024</v>
      </c>
      <c r="C604" t="s">
        <v>7</v>
      </c>
      <c r="D604">
        <v>13.425000000000001</v>
      </c>
      <c r="E604" t="s">
        <v>455</v>
      </c>
      <c r="F604" t="s">
        <v>65</v>
      </c>
      <c r="G604" t="s">
        <v>456</v>
      </c>
      <c r="H604" t="s">
        <v>457</v>
      </c>
    </row>
    <row r="605" spans="1:8">
      <c r="A605" t="s">
        <v>167</v>
      </c>
      <c r="B605">
        <v>2018</v>
      </c>
      <c r="C605" t="s">
        <v>7</v>
      </c>
      <c r="D605">
        <v>0.63</v>
      </c>
      <c r="E605" t="s">
        <v>455</v>
      </c>
      <c r="F605" t="s">
        <v>65</v>
      </c>
      <c r="G605" t="s">
        <v>456</v>
      </c>
      <c r="H605" t="s">
        <v>457</v>
      </c>
    </row>
    <row r="606" spans="1:8">
      <c r="A606" t="s">
        <v>167</v>
      </c>
      <c r="B606">
        <v>2019</v>
      </c>
      <c r="C606" t="s">
        <v>7</v>
      </c>
      <c r="D606">
        <v>0.79939099999999996</v>
      </c>
      <c r="E606" t="s">
        <v>455</v>
      </c>
      <c r="F606" t="s">
        <v>65</v>
      </c>
      <c r="G606" t="s">
        <v>456</v>
      </c>
      <c r="H606" t="s">
        <v>457</v>
      </c>
    </row>
    <row r="607" spans="1:8">
      <c r="A607" t="s">
        <v>167</v>
      </c>
      <c r="B607">
        <v>2020</v>
      </c>
      <c r="C607" t="s">
        <v>7</v>
      </c>
      <c r="D607">
        <v>0.89</v>
      </c>
      <c r="E607" t="s">
        <v>455</v>
      </c>
      <c r="F607" t="s">
        <v>65</v>
      </c>
      <c r="G607" t="s">
        <v>456</v>
      </c>
      <c r="H607" t="s">
        <v>457</v>
      </c>
    </row>
    <row r="608" spans="1:8">
      <c r="A608" t="s">
        <v>167</v>
      </c>
      <c r="B608">
        <v>2021</v>
      </c>
      <c r="C608" t="s">
        <v>7</v>
      </c>
      <c r="D608">
        <v>1.1100000000000001</v>
      </c>
      <c r="E608" t="s">
        <v>455</v>
      </c>
      <c r="F608" t="s">
        <v>65</v>
      </c>
      <c r="G608" t="s">
        <v>456</v>
      </c>
      <c r="H608" t="s">
        <v>457</v>
      </c>
    </row>
    <row r="609" spans="1:8">
      <c r="A609" t="s">
        <v>167</v>
      </c>
      <c r="B609">
        <v>2022</v>
      </c>
      <c r="C609" t="s">
        <v>7</v>
      </c>
      <c r="D609">
        <v>1.23</v>
      </c>
      <c r="E609" t="s">
        <v>455</v>
      </c>
      <c r="F609" t="s">
        <v>65</v>
      </c>
      <c r="G609" t="s">
        <v>456</v>
      </c>
      <c r="H609" t="s">
        <v>457</v>
      </c>
    </row>
    <row r="610" spans="1:8">
      <c r="A610" t="s">
        <v>167</v>
      </c>
      <c r="B610">
        <v>2023</v>
      </c>
      <c r="C610" t="s">
        <v>7</v>
      </c>
      <c r="D610">
        <v>1.49</v>
      </c>
      <c r="E610" t="s">
        <v>455</v>
      </c>
      <c r="F610" t="s">
        <v>65</v>
      </c>
      <c r="G610" t="s">
        <v>456</v>
      </c>
      <c r="H610" t="s">
        <v>457</v>
      </c>
    </row>
    <row r="611" spans="1:8">
      <c r="A611" t="s">
        <v>167</v>
      </c>
      <c r="B611">
        <v>2024</v>
      </c>
      <c r="C611" t="s">
        <v>7</v>
      </c>
      <c r="D611">
        <v>1.552</v>
      </c>
      <c r="E611" t="s">
        <v>455</v>
      </c>
      <c r="F611" t="s">
        <v>65</v>
      </c>
      <c r="G611" t="s">
        <v>456</v>
      </c>
      <c r="H611" t="s">
        <v>457</v>
      </c>
    </row>
    <row r="612" spans="1:8">
      <c r="A612" t="s">
        <v>167</v>
      </c>
      <c r="B612">
        <v>2011</v>
      </c>
      <c r="C612" t="s">
        <v>7</v>
      </c>
      <c r="D612">
        <v>2.5954999999999999</v>
      </c>
      <c r="E612" t="s">
        <v>455</v>
      </c>
      <c r="F612" t="s">
        <v>65</v>
      </c>
      <c r="G612" t="s">
        <v>456</v>
      </c>
      <c r="H612" t="s">
        <v>457</v>
      </c>
    </row>
    <row r="613" spans="1:8">
      <c r="A613" t="s">
        <v>167</v>
      </c>
      <c r="B613">
        <v>2012</v>
      </c>
      <c r="C613" t="s">
        <v>7</v>
      </c>
      <c r="D613">
        <v>3.3355000000000001</v>
      </c>
      <c r="E613" t="s">
        <v>455</v>
      </c>
      <c r="F613" t="s">
        <v>65</v>
      </c>
      <c r="G613" t="s">
        <v>456</v>
      </c>
      <c r="H613" t="s">
        <v>457</v>
      </c>
    </row>
    <row r="614" spans="1:8">
      <c r="A614" t="s">
        <v>167</v>
      </c>
      <c r="B614">
        <v>2013</v>
      </c>
      <c r="C614" t="s">
        <v>7</v>
      </c>
      <c r="D614">
        <v>4.1962999999999999</v>
      </c>
      <c r="E614" t="s">
        <v>455</v>
      </c>
      <c r="F614" t="s">
        <v>65</v>
      </c>
      <c r="G614" t="s">
        <v>456</v>
      </c>
      <c r="H614" t="s">
        <v>457</v>
      </c>
    </row>
    <row r="615" spans="1:8">
      <c r="A615" t="s">
        <v>167</v>
      </c>
      <c r="B615">
        <v>2014</v>
      </c>
      <c r="C615" t="s">
        <v>7</v>
      </c>
      <c r="D615">
        <v>4.4495640000000005</v>
      </c>
      <c r="E615" t="s">
        <v>455</v>
      </c>
      <c r="F615" t="s">
        <v>65</v>
      </c>
      <c r="G615" t="s">
        <v>456</v>
      </c>
      <c r="H615" t="s">
        <v>457</v>
      </c>
    </row>
    <row r="616" spans="1:8">
      <c r="A616" t="s">
        <v>167</v>
      </c>
      <c r="B616">
        <v>2015</v>
      </c>
      <c r="C616" t="s">
        <v>7</v>
      </c>
      <c r="D616">
        <v>5.3043519999999997</v>
      </c>
      <c r="E616" t="s">
        <v>455</v>
      </c>
      <c r="F616" t="s">
        <v>65</v>
      </c>
      <c r="G616" t="s">
        <v>456</v>
      </c>
      <c r="H616" t="s">
        <v>457</v>
      </c>
    </row>
    <row r="617" spans="1:8">
      <c r="A617" t="s">
        <v>167</v>
      </c>
      <c r="B617">
        <v>2016</v>
      </c>
      <c r="C617" t="s">
        <v>7</v>
      </c>
      <c r="D617">
        <v>6.049938</v>
      </c>
      <c r="E617" t="s">
        <v>455</v>
      </c>
      <c r="F617" t="s">
        <v>65</v>
      </c>
      <c r="G617" t="s">
        <v>456</v>
      </c>
      <c r="H617" t="s">
        <v>457</v>
      </c>
    </row>
    <row r="618" spans="1:8">
      <c r="A618" t="s">
        <v>167</v>
      </c>
      <c r="B618">
        <v>2017</v>
      </c>
      <c r="C618" t="s">
        <v>7</v>
      </c>
      <c r="D618">
        <v>7.14</v>
      </c>
      <c r="E618" t="s">
        <v>455</v>
      </c>
      <c r="F618" t="s">
        <v>65</v>
      </c>
      <c r="G618" t="s">
        <v>456</v>
      </c>
      <c r="H618" t="s">
        <v>457</v>
      </c>
    </row>
    <row r="619" spans="1:8">
      <c r="A619" t="s">
        <v>167</v>
      </c>
      <c r="B619">
        <v>2011</v>
      </c>
      <c r="C619" t="s">
        <v>7</v>
      </c>
      <c r="D619">
        <v>1.1312090000000001</v>
      </c>
      <c r="E619" t="s">
        <v>455</v>
      </c>
      <c r="F619" t="s">
        <v>65</v>
      </c>
      <c r="G619" t="s">
        <v>456</v>
      </c>
      <c r="H619" t="s">
        <v>457</v>
      </c>
    </row>
    <row r="620" spans="1:8">
      <c r="A620" t="s">
        <v>167</v>
      </c>
      <c r="B620">
        <v>2012</v>
      </c>
      <c r="C620" t="s">
        <v>7</v>
      </c>
      <c r="D620">
        <v>1.1436249999999999</v>
      </c>
      <c r="E620" t="s">
        <v>455</v>
      </c>
      <c r="F620" t="s">
        <v>65</v>
      </c>
      <c r="G620" t="s">
        <v>456</v>
      </c>
      <c r="H620" t="s">
        <v>457</v>
      </c>
    </row>
    <row r="621" spans="1:8">
      <c r="A621" t="s">
        <v>167</v>
      </c>
      <c r="B621">
        <v>2013</v>
      </c>
      <c r="C621" t="s">
        <v>7</v>
      </c>
      <c r="D621">
        <v>1.7000950000000001</v>
      </c>
      <c r="E621" t="s">
        <v>455</v>
      </c>
      <c r="F621" t="s">
        <v>65</v>
      </c>
      <c r="G621" t="s">
        <v>456</v>
      </c>
      <c r="H621" t="s">
        <v>457</v>
      </c>
    </row>
    <row r="622" spans="1:8">
      <c r="A622" t="s">
        <v>167</v>
      </c>
      <c r="B622">
        <v>2014</v>
      </c>
      <c r="C622" t="s">
        <v>7</v>
      </c>
      <c r="D622">
        <v>1.8934200000000001</v>
      </c>
      <c r="E622" t="s">
        <v>455</v>
      </c>
      <c r="F622" t="s">
        <v>65</v>
      </c>
      <c r="G622" t="s">
        <v>456</v>
      </c>
      <c r="H622" t="s">
        <v>457</v>
      </c>
    </row>
    <row r="623" spans="1:8">
      <c r="A623" t="s">
        <v>167</v>
      </c>
      <c r="B623">
        <v>2015</v>
      </c>
      <c r="C623" t="s">
        <v>7</v>
      </c>
      <c r="D623">
        <v>2.3415100000000004</v>
      </c>
      <c r="E623" t="s">
        <v>455</v>
      </c>
      <c r="F623" t="s">
        <v>65</v>
      </c>
      <c r="G623" t="s">
        <v>456</v>
      </c>
      <c r="H623" t="s">
        <v>457</v>
      </c>
    </row>
    <row r="624" spans="1:8">
      <c r="A624" t="s">
        <v>167</v>
      </c>
      <c r="B624">
        <v>2016</v>
      </c>
      <c r="C624" t="s">
        <v>7</v>
      </c>
      <c r="D624">
        <v>2.8699870000000001</v>
      </c>
      <c r="E624" t="s">
        <v>455</v>
      </c>
      <c r="F624" t="s">
        <v>65</v>
      </c>
      <c r="G624" t="s">
        <v>456</v>
      </c>
      <c r="H624" t="s">
        <v>457</v>
      </c>
    </row>
    <row r="625" spans="1:8">
      <c r="A625" t="s">
        <v>167</v>
      </c>
      <c r="B625">
        <v>2017</v>
      </c>
      <c r="C625" t="s">
        <v>7</v>
      </c>
      <c r="D625">
        <v>3.64</v>
      </c>
      <c r="E625" t="s">
        <v>455</v>
      </c>
      <c r="F625" t="s">
        <v>65</v>
      </c>
      <c r="G625" t="s">
        <v>456</v>
      </c>
      <c r="H625" t="s">
        <v>457</v>
      </c>
    </row>
    <row r="626" spans="1:8">
      <c r="A626" t="s">
        <v>167</v>
      </c>
      <c r="B626">
        <v>2011</v>
      </c>
      <c r="C626" t="s">
        <v>7</v>
      </c>
      <c r="D626">
        <v>8.1000000000000003E-2</v>
      </c>
      <c r="E626" t="s">
        <v>455</v>
      </c>
      <c r="F626" t="s">
        <v>65</v>
      </c>
      <c r="G626" t="s">
        <v>456</v>
      </c>
      <c r="H626" t="s">
        <v>457</v>
      </c>
    </row>
    <row r="627" spans="1:8">
      <c r="A627" t="s">
        <v>167</v>
      </c>
      <c r="B627">
        <v>2012</v>
      </c>
      <c r="C627" t="s">
        <v>7</v>
      </c>
      <c r="D627">
        <v>0.13806000000000002</v>
      </c>
      <c r="E627" t="s">
        <v>455</v>
      </c>
      <c r="F627" t="s">
        <v>65</v>
      </c>
      <c r="G627" t="s">
        <v>456</v>
      </c>
      <c r="H627" t="s">
        <v>457</v>
      </c>
    </row>
    <row r="628" spans="1:8">
      <c r="A628" t="s">
        <v>167</v>
      </c>
      <c r="B628">
        <v>2013</v>
      </c>
      <c r="C628" t="s">
        <v>7</v>
      </c>
      <c r="D628">
        <v>0.19259000000000001</v>
      </c>
      <c r="E628" t="s">
        <v>455</v>
      </c>
      <c r="F628" t="s">
        <v>65</v>
      </c>
      <c r="G628" t="s">
        <v>456</v>
      </c>
      <c r="H628" t="s">
        <v>457</v>
      </c>
    </row>
    <row r="629" spans="1:8">
      <c r="A629" t="s">
        <v>167</v>
      </c>
      <c r="B629">
        <v>2014</v>
      </c>
      <c r="C629" t="s">
        <v>7</v>
      </c>
      <c r="D629">
        <v>0.309589</v>
      </c>
      <c r="E629" t="s">
        <v>455</v>
      </c>
      <c r="F629" t="s">
        <v>65</v>
      </c>
      <c r="G629" t="s">
        <v>456</v>
      </c>
      <c r="H629" t="s">
        <v>457</v>
      </c>
    </row>
    <row r="630" spans="1:8">
      <c r="A630" t="s">
        <v>167</v>
      </c>
      <c r="B630">
        <v>2015</v>
      </c>
      <c r="C630" t="s">
        <v>7</v>
      </c>
      <c r="D630">
        <v>0.331015</v>
      </c>
      <c r="E630" t="s">
        <v>455</v>
      </c>
      <c r="F630" t="s">
        <v>65</v>
      </c>
      <c r="G630" t="s">
        <v>456</v>
      </c>
      <c r="H630" t="s">
        <v>457</v>
      </c>
    </row>
    <row r="631" spans="1:8">
      <c r="A631" t="s">
        <v>167</v>
      </c>
      <c r="B631">
        <v>2016</v>
      </c>
      <c r="C631" t="s">
        <v>7</v>
      </c>
      <c r="D631">
        <v>0.349574</v>
      </c>
      <c r="E631" t="s">
        <v>455</v>
      </c>
      <c r="F631" t="s">
        <v>65</v>
      </c>
      <c r="G631" t="s">
        <v>456</v>
      </c>
      <c r="H631" t="s">
        <v>457</v>
      </c>
    </row>
    <row r="632" spans="1:8">
      <c r="A632" t="s">
        <v>167</v>
      </c>
      <c r="B632">
        <v>2017</v>
      </c>
      <c r="C632" t="s">
        <v>7</v>
      </c>
      <c r="D632">
        <v>0.45400000000000001</v>
      </c>
      <c r="E632" t="s">
        <v>455</v>
      </c>
      <c r="F632" t="s">
        <v>65</v>
      </c>
      <c r="G632" t="s">
        <v>456</v>
      </c>
      <c r="H632" t="s">
        <v>457</v>
      </c>
    </row>
    <row r="633" spans="1:8">
      <c r="A633" t="s">
        <v>167</v>
      </c>
      <c r="B633">
        <v>2004</v>
      </c>
      <c r="C633" t="s">
        <v>7</v>
      </c>
      <c r="D633">
        <v>1.9</v>
      </c>
      <c r="E633" t="s">
        <v>455</v>
      </c>
      <c r="F633" t="s">
        <v>65</v>
      </c>
      <c r="G633" t="s">
        <v>456</v>
      </c>
      <c r="H633" t="s">
        <v>457</v>
      </c>
    </row>
    <row r="634" spans="1:8">
      <c r="A634" t="s">
        <v>167</v>
      </c>
      <c r="B634">
        <v>2005</v>
      </c>
      <c r="C634" t="s">
        <v>7</v>
      </c>
      <c r="D634">
        <v>2</v>
      </c>
      <c r="E634" t="s">
        <v>455</v>
      </c>
      <c r="F634" t="s">
        <v>65</v>
      </c>
      <c r="G634" t="s">
        <v>456</v>
      </c>
      <c r="H634" t="s">
        <v>457</v>
      </c>
    </row>
    <row r="635" spans="1:8">
      <c r="A635" t="s">
        <v>167</v>
      </c>
      <c r="B635">
        <v>2006</v>
      </c>
      <c r="C635" t="s">
        <v>7</v>
      </c>
      <c r="D635">
        <v>2.5</v>
      </c>
      <c r="E635" t="s">
        <v>455</v>
      </c>
      <c r="F635" t="s">
        <v>65</v>
      </c>
      <c r="G635" t="s">
        <v>456</v>
      </c>
      <c r="H635" t="s">
        <v>457</v>
      </c>
    </row>
    <row r="636" spans="1:8">
      <c r="A636" t="s">
        <v>167</v>
      </c>
      <c r="B636">
        <v>2007</v>
      </c>
      <c r="C636" t="s">
        <v>7</v>
      </c>
      <c r="D636">
        <v>3</v>
      </c>
      <c r="E636" t="s">
        <v>455</v>
      </c>
      <c r="F636" t="s">
        <v>65</v>
      </c>
      <c r="G636" t="s">
        <v>456</v>
      </c>
      <c r="H636" t="s">
        <v>457</v>
      </c>
    </row>
    <row r="637" spans="1:8">
      <c r="A637" t="s">
        <v>167</v>
      </c>
      <c r="B637">
        <v>2008</v>
      </c>
      <c r="C637" t="s">
        <v>7</v>
      </c>
      <c r="D637">
        <v>3.27</v>
      </c>
      <c r="E637" t="s">
        <v>455</v>
      </c>
      <c r="F637" t="s">
        <v>65</v>
      </c>
      <c r="G637" t="s">
        <v>456</v>
      </c>
      <c r="H637" t="s">
        <v>457</v>
      </c>
    </row>
    <row r="638" spans="1:8">
      <c r="A638" t="s">
        <v>167</v>
      </c>
      <c r="B638">
        <v>2009</v>
      </c>
      <c r="C638" t="s">
        <v>7</v>
      </c>
      <c r="D638">
        <v>4.5999999999999996</v>
      </c>
      <c r="E638" t="s">
        <v>455</v>
      </c>
      <c r="F638" t="s">
        <v>65</v>
      </c>
      <c r="G638" t="s">
        <v>456</v>
      </c>
      <c r="H638" t="s">
        <v>457</v>
      </c>
    </row>
    <row r="639" spans="1:8">
      <c r="A639" t="s">
        <v>167</v>
      </c>
      <c r="B639">
        <v>2010</v>
      </c>
      <c r="C639" t="s">
        <v>7</v>
      </c>
      <c r="D639">
        <v>2.258</v>
      </c>
      <c r="E639" t="s">
        <v>455</v>
      </c>
      <c r="F639" t="s">
        <v>65</v>
      </c>
      <c r="G639" t="s">
        <v>456</v>
      </c>
      <c r="H639" t="s">
        <v>457</v>
      </c>
    </row>
    <row r="640" spans="1:8">
      <c r="A640" t="s">
        <v>167</v>
      </c>
      <c r="B640">
        <v>2010</v>
      </c>
      <c r="C640" t="s">
        <v>7</v>
      </c>
      <c r="D640">
        <v>1.1172390000000001</v>
      </c>
      <c r="E640" t="s">
        <v>455</v>
      </c>
      <c r="F640" t="s">
        <v>65</v>
      </c>
      <c r="G640" t="s">
        <v>456</v>
      </c>
      <c r="H640" t="s">
        <v>457</v>
      </c>
    </row>
    <row r="641" spans="1:8">
      <c r="A641" t="s">
        <v>167</v>
      </c>
      <c r="B641">
        <v>2010</v>
      </c>
      <c r="C641" t="s">
        <v>7</v>
      </c>
      <c r="D641">
        <v>7.1162000000000003E-2</v>
      </c>
      <c r="E641" t="s">
        <v>455</v>
      </c>
      <c r="F641" t="s">
        <v>65</v>
      </c>
      <c r="G641" t="s">
        <v>456</v>
      </c>
      <c r="H641" t="s">
        <v>457</v>
      </c>
    </row>
    <row r="642" spans="1:8">
      <c r="A642" t="s">
        <v>167</v>
      </c>
      <c r="B642">
        <v>2000</v>
      </c>
      <c r="C642" t="s">
        <v>7</v>
      </c>
      <c r="D642">
        <v>1.1000000000000001</v>
      </c>
      <c r="E642" t="s">
        <v>455</v>
      </c>
      <c r="F642" t="s">
        <v>65</v>
      </c>
      <c r="G642" t="s">
        <v>456</v>
      </c>
      <c r="H642" t="s">
        <v>457</v>
      </c>
    </row>
    <row r="643" spans="1:8">
      <c r="A643" t="s">
        <v>167</v>
      </c>
      <c r="B643">
        <v>2001</v>
      </c>
      <c r="C643" t="s">
        <v>7</v>
      </c>
      <c r="D643">
        <v>1.1200000000000001</v>
      </c>
      <c r="E643" t="s">
        <v>455</v>
      </c>
      <c r="F643" t="s">
        <v>65</v>
      </c>
      <c r="G643" t="s">
        <v>456</v>
      </c>
      <c r="H643" t="s">
        <v>457</v>
      </c>
    </row>
    <row r="644" spans="1:8">
      <c r="A644" t="s">
        <v>167</v>
      </c>
      <c r="B644">
        <v>2002</v>
      </c>
      <c r="C644" t="s">
        <v>7</v>
      </c>
      <c r="D644">
        <v>1.6519999999999999</v>
      </c>
      <c r="E644" t="s">
        <v>455</v>
      </c>
      <c r="F644" t="s">
        <v>65</v>
      </c>
      <c r="G644" t="s">
        <v>456</v>
      </c>
      <c r="H644" t="s">
        <v>457</v>
      </c>
    </row>
    <row r="645" spans="1:8">
      <c r="A645" t="s">
        <v>167</v>
      </c>
      <c r="B645">
        <v>2003</v>
      </c>
      <c r="C645" t="s">
        <v>7</v>
      </c>
      <c r="D645">
        <v>1.85</v>
      </c>
      <c r="E645" t="s">
        <v>455</v>
      </c>
      <c r="F645" t="s">
        <v>65</v>
      </c>
      <c r="G645" t="s">
        <v>456</v>
      </c>
      <c r="H645" t="s">
        <v>457</v>
      </c>
    </row>
    <row r="646" spans="1:8">
      <c r="A646" t="s">
        <v>167</v>
      </c>
      <c r="B646">
        <v>2002</v>
      </c>
      <c r="C646" t="s">
        <v>143</v>
      </c>
      <c r="D646">
        <v>2.4300000000000002</v>
      </c>
      <c r="E646" t="s">
        <v>455</v>
      </c>
      <c r="F646" t="s">
        <v>75</v>
      </c>
      <c r="G646" t="s">
        <v>456</v>
      </c>
      <c r="H646" t="s">
        <v>457</v>
      </c>
    </row>
    <row r="647" spans="1:8">
      <c r="A647" t="s">
        <v>167</v>
      </c>
      <c r="B647">
        <v>2003</v>
      </c>
      <c r="C647" t="s">
        <v>143</v>
      </c>
      <c r="D647">
        <v>2.4220000000000002</v>
      </c>
      <c r="E647" t="s">
        <v>455</v>
      </c>
      <c r="F647" t="s">
        <v>75</v>
      </c>
      <c r="G647" t="s">
        <v>456</v>
      </c>
      <c r="H647" t="s">
        <v>457</v>
      </c>
    </row>
    <row r="648" spans="1:8">
      <c r="A648" t="s">
        <v>167</v>
      </c>
      <c r="B648">
        <v>2004</v>
      </c>
      <c r="C648" t="s">
        <v>143</v>
      </c>
      <c r="D648">
        <v>2.4140000000000001</v>
      </c>
      <c r="E648" t="s">
        <v>455</v>
      </c>
      <c r="F648" t="s">
        <v>75</v>
      </c>
      <c r="G648" t="s">
        <v>456</v>
      </c>
      <c r="H648" t="s">
        <v>457</v>
      </c>
    </row>
    <row r="649" spans="1:8">
      <c r="A649" t="s">
        <v>167</v>
      </c>
      <c r="B649">
        <v>2005</v>
      </c>
      <c r="C649" t="s">
        <v>143</v>
      </c>
      <c r="D649">
        <v>5.2</v>
      </c>
      <c r="E649" t="s">
        <v>455</v>
      </c>
      <c r="F649" t="s">
        <v>75</v>
      </c>
      <c r="G649" t="s">
        <v>456</v>
      </c>
      <c r="H649" t="s">
        <v>457</v>
      </c>
    </row>
    <row r="650" spans="1:8">
      <c r="A650" t="s">
        <v>167</v>
      </c>
      <c r="B650">
        <v>2006</v>
      </c>
      <c r="C650" t="s">
        <v>143</v>
      </c>
      <c r="D650">
        <v>7</v>
      </c>
      <c r="E650" t="s">
        <v>455</v>
      </c>
      <c r="F650" t="s">
        <v>75</v>
      </c>
      <c r="G650" t="s">
        <v>456</v>
      </c>
      <c r="H650" t="s">
        <v>457</v>
      </c>
    </row>
    <row r="651" spans="1:8">
      <c r="A651" t="s">
        <v>167</v>
      </c>
      <c r="B651">
        <v>2007</v>
      </c>
      <c r="C651" t="s">
        <v>143</v>
      </c>
      <c r="D651">
        <v>9.74</v>
      </c>
      <c r="E651" t="s">
        <v>455</v>
      </c>
      <c r="F651" t="s">
        <v>75</v>
      </c>
      <c r="G651" t="s">
        <v>456</v>
      </c>
      <c r="H651" t="s">
        <v>457</v>
      </c>
    </row>
    <row r="652" spans="1:8">
      <c r="A652" t="s">
        <v>167</v>
      </c>
      <c r="B652">
        <v>2008</v>
      </c>
      <c r="C652" t="s">
        <v>143</v>
      </c>
      <c r="D652">
        <v>14.715</v>
      </c>
      <c r="E652" t="s">
        <v>455</v>
      </c>
      <c r="F652" t="s">
        <v>75</v>
      </c>
      <c r="G652" t="s">
        <v>456</v>
      </c>
      <c r="H652" t="s">
        <v>457</v>
      </c>
    </row>
    <row r="653" spans="1:8">
      <c r="A653" t="s">
        <v>167</v>
      </c>
      <c r="B653">
        <v>2009</v>
      </c>
      <c r="C653" t="s">
        <v>143</v>
      </c>
      <c r="D653">
        <v>20.7</v>
      </c>
      <c r="E653" t="s">
        <v>455</v>
      </c>
      <c r="F653" t="s">
        <v>75</v>
      </c>
      <c r="G653" t="s">
        <v>456</v>
      </c>
      <c r="H653" t="s">
        <v>457</v>
      </c>
    </row>
    <row r="654" spans="1:8">
      <c r="A654" t="s">
        <v>167</v>
      </c>
      <c r="B654">
        <v>2010</v>
      </c>
      <c r="C654" t="s">
        <v>143</v>
      </c>
      <c r="D654">
        <v>12.245816999999999</v>
      </c>
      <c r="E654" t="s">
        <v>455</v>
      </c>
      <c r="F654" t="s">
        <v>75</v>
      </c>
      <c r="G654" t="s">
        <v>456</v>
      </c>
      <c r="H654" t="s">
        <v>457</v>
      </c>
    </row>
    <row r="655" spans="1:8">
      <c r="A655" t="s">
        <v>167</v>
      </c>
      <c r="B655">
        <v>2011</v>
      </c>
      <c r="C655" t="s">
        <v>143</v>
      </c>
      <c r="D655">
        <v>14.451799000000001</v>
      </c>
      <c r="E655" t="s">
        <v>455</v>
      </c>
      <c r="F655" t="s">
        <v>75</v>
      </c>
      <c r="G655" t="s">
        <v>456</v>
      </c>
      <c r="H655" t="s">
        <v>457</v>
      </c>
    </row>
    <row r="656" spans="1:8">
      <c r="A656" t="s">
        <v>167</v>
      </c>
      <c r="B656">
        <v>2012</v>
      </c>
      <c r="C656" t="s">
        <v>143</v>
      </c>
      <c r="D656">
        <v>17.369953000000002</v>
      </c>
      <c r="E656" t="s">
        <v>455</v>
      </c>
      <c r="F656" t="s">
        <v>75</v>
      </c>
      <c r="G656" t="s">
        <v>456</v>
      </c>
      <c r="H656" t="s">
        <v>457</v>
      </c>
    </row>
    <row r="657" spans="1:8">
      <c r="A657" t="s">
        <v>167</v>
      </c>
      <c r="B657">
        <v>2013</v>
      </c>
      <c r="C657" t="s">
        <v>143</v>
      </c>
      <c r="D657">
        <v>19.933432</v>
      </c>
      <c r="E657" t="s">
        <v>455</v>
      </c>
      <c r="F657" t="s">
        <v>75</v>
      </c>
      <c r="G657" t="s">
        <v>456</v>
      </c>
      <c r="H657" t="s">
        <v>457</v>
      </c>
    </row>
    <row r="658" spans="1:8">
      <c r="A658" t="s">
        <v>167</v>
      </c>
      <c r="B658">
        <v>2014</v>
      </c>
      <c r="C658" t="s">
        <v>143</v>
      </c>
      <c r="D658">
        <v>23.136806</v>
      </c>
      <c r="E658" t="s">
        <v>455</v>
      </c>
      <c r="F658" t="s">
        <v>75</v>
      </c>
      <c r="G658" t="s">
        <v>456</v>
      </c>
      <c r="H658" t="s">
        <v>457</v>
      </c>
    </row>
    <row r="659" spans="1:8">
      <c r="A659" t="s">
        <v>167</v>
      </c>
      <c r="B659">
        <v>2015</v>
      </c>
      <c r="C659" t="s">
        <v>143</v>
      </c>
      <c r="D659">
        <v>27.089655999999998</v>
      </c>
      <c r="E659" t="s">
        <v>455</v>
      </c>
      <c r="F659" t="s">
        <v>75</v>
      </c>
      <c r="G659" t="s">
        <v>456</v>
      </c>
      <c r="H659" t="s">
        <v>457</v>
      </c>
    </row>
    <row r="660" spans="1:8">
      <c r="A660" t="s">
        <v>167</v>
      </c>
      <c r="B660">
        <v>2016</v>
      </c>
      <c r="C660" t="s">
        <v>143</v>
      </c>
      <c r="D660">
        <v>32.244444999999999</v>
      </c>
      <c r="E660" t="s">
        <v>455</v>
      </c>
      <c r="F660" t="s">
        <v>75</v>
      </c>
      <c r="G660" t="s">
        <v>456</v>
      </c>
      <c r="H660" t="s">
        <v>457</v>
      </c>
    </row>
    <row r="661" spans="1:8">
      <c r="A661" t="s">
        <v>167</v>
      </c>
      <c r="B661">
        <v>2017</v>
      </c>
      <c r="C661" t="s">
        <v>143</v>
      </c>
      <c r="D661">
        <v>38.128963000000006</v>
      </c>
      <c r="E661" t="s">
        <v>455</v>
      </c>
      <c r="F661" t="s">
        <v>75</v>
      </c>
      <c r="G661" t="s">
        <v>456</v>
      </c>
      <c r="H661" t="s">
        <v>457</v>
      </c>
    </row>
    <row r="662" spans="1:8">
      <c r="A662" t="s">
        <v>167</v>
      </c>
      <c r="B662">
        <v>2018</v>
      </c>
      <c r="C662" t="s">
        <v>143</v>
      </c>
      <c r="D662">
        <v>40.832930999999995</v>
      </c>
      <c r="E662" t="s">
        <v>455</v>
      </c>
      <c r="F662" t="s">
        <v>75</v>
      </c>
      <c r="G662" t="s">
        <v>456</v>
      </c>
      <c r="H662" t="s">
        <v>457</v>
      </c>
    </row>
    <row r="663" spans="1:8">
      <c r="A663" t="s">
        <v>167</v>
      </c>
      <c r="B663">
        <v>2019</v>
      </c>
      <c r="C663" t="s">
        <v>143</v>
      </c>
      <c r="D663">
        <v>48.1</v>
      </c>
      <c r="E663" t="s">
        <v>455</v>
      </c>
      <c r="F663" t="s">
        <v>75</v>
      </c>
      <c r="G663" t="s">
        <v>456</v>
      </c>
      <c r="H663" t="s">
        <v>457</v>
      </c>
    </row>
    <row r="664" spans="1:8">
      <c r="A664" t="s">
        <v>167</v>
      </c>
      <c r="B664">
        <v>2020</v>
      </c>
      <c r="C664" t="s">
        <v>143</v>
      </c>
      <c r="D664">
        <v>59.7</v>
      </c>
      <c r="E664" t="s">
        <v>455</v>
      </c>
      <c r="F664" t="s">
        <v>75</v>
      </c>
      <c r="G664" t="s">
        <v>456</v>
      </c>
      <c r="H664" t="s">
        <v>457</v>
      </c>
    </row>
    <row r="665" spans="1:8">
      <c r="A665" t="s">
        <v>167</v>
      </c>
      <c r="B665">
        <v>2021</v>
      </c>
      <c r="C665" t="s">
        <v>143</v>
      </c>
      <c r="D665">
        <v>67.2</v>
      </c>
      <c r="E665" t="s">
        <v>455</v>
      </c>
      <c r="F665" t="s">
        <v>75</v>
      </c>
      <c r="G665" t="s">
        <v>456</v>
      </c>
      <c r="H665" t="s">
        <v>457</v>
      </c>
    </row>
    <row r="666" spans="1:8">
      <c r="A666" t="s">
        <v>167</v>
      </c>
      <c r="B666">
        <v>2022</v>
      </c>
      <c r="C666" t="s">
        <v>143</v>
      </c>
      <c r="D666">
        <v>71.599999999999994</v>
      </c>
      <c r="E666" t="s">
        <v>455</v>
      </c>
      <c r="F666" t="s">
        <v>75</v>
      </c>
      <c r="G666" t="s">
        <v>456</v>
      </c>
      <c r="H666" t="s">
        <v>457</v>
      </c>
    </row>
    <row r="667" spans="1:8">
      <c r="A667" t="s">
        <v>167</v>
      </c>
      <c r="B667">
        <v>2010</v>
      </c>
      <c r="C667" t="s">
        <v>143</v>
      </c>
      <c r="D667">
        <v>6.0591249999999999</v>
      </c>
      <c r="E667" t="s">
        <v>455</v>
      </c>
      <c r="F667" t="s">
        <v>75</v>
      </c>
      <c r="G667" t="s">
        <v>456</v>
      </c>
      <c r="H667" t="s">
        <v>457</v>
      </c>
    </row>
    <row r="668" spans="1:8">
      <c r="A668" t="s">
        <v>167</v>
      </c>
      <c r="B668">
        <v>2011</v>
      </c>
      <c r="C668" t="s">
        <v>143</v>
      </c>
      <c r="D668">
        <v>6.2985959999999999</v>
      </c>
      <c r="E668" t="s">
        <v>455</v>
      </c>
      <c r="F668" t="s">
        <v>75</v>
      </c>
      <c r="G668" t="s">
        <v>456</v>
      </c>
      <c r="H668" t="s">
        <v>457</v>
      </c>
    </row>
    <row r="669" spans="1:8">
      <c r="A669" t="s">
        <v>167</v>
      </c>
      <c r="B669">
        <v>2012</v>
      </c>
      <c r="C669" t="s">
        <v>143</v>
      </c>
      <c r="D669">
        <v>5.9555429999999996</v>
      </c>
      <c r="E669" t="s">
        <v>455</v>
      </c>
      <c r="F669" t="s">
        <v>75</v>
      </c>
      <c r="G669" t="s">
        <v>456</v>
      </c>
      <c r="H669" t="s">
        <v>457</v>
      </c>
    </row>
    <row r="670" spans="1:8">
      <c r="A670" t="s">
        <v>167</v>
      </c>
      <c r="B670">
        <v>2013</v>
      </c>
      <c r="C670" t="s">
        <v>143</v>
      </c>
      <c r="D670">
        <v>8.0758590000000012</v>
      </c>
      <c r="E670" t="s">
        <v>455</v>
      </c>
      <c r="F670" t="s">
        <v>75</v>
      </c>
      <c r="G670" t="s">
        <v>456</v>
      </c>
      <c r="H670" t="s">
        <v>457</v>
      </c>
    </row>
    <row r="671" spans="1:8">
      <c r="A671" t="s">
        <v>167</v>
      </c>
      <c r="B671">
        <v>2014</v>
      </c>
      <c r="C671" t="s">
        <v>143</v>
      </c>
      <c r="D671">
        <v>9.8453889999999991</v>
      </c>
      <c r="E671" t="s">
        <v>455</v>
      </c>
      <c r="F671" t="s">
        <v>75</v>
      </c>
      <c r="G671" t="s">
        <v>456</v>
      </c>
      <c r="H671" t="s">
        <v>457</v>
      </c>
    </row>
    <row r="672" spans="1:8">
      <c r="A672" t="s">
        <v>167</v>
      </c>
      <c r="B672">
        <v>2015</v>
      </c>
      <c r="C672" t="s">
        <v>143</v>
      </c>
      <c r="D672">
        <v>11.958238</v>
      </c>
      <c r="E672" t="s">
        <v>455</v>
      </c>
      <c r="F672" t="s">
        <v>75</v>
      </c>
      <c r="G672" t="s">
        <v>456</v>
      </c>
      <c r="H672" t="s">
        <v>457</v>
      </c>
    </row>
    <row r="673" spans="1:8">
      <c r="A673" t="s">
        <v>167</v>
      </c>
      <c r="B673">
        <v>2016</v>
      </c>
      <c r="C673" t="s">
        <v>143</v>
      </c>
      <c r="D673">
        <v>15.296213</v>
      </c>
      <c r="E673" t="s">
        <v>455</v>
      </c>
      <c r="F673" t="s">
        <v>75</v>
      </c>
      <c r="G673" t="s">
        <v>456</v>
      </c>
      <c r="H673" t="s">
        <v>457</v>
      </c>
    </row>
    <row r="674" spans="1:8">
      <c r="A674" t="s">
        <v>167</v>
      </c>
      <c r="B674">
        <v>2017</v>
      </c>
      <c r="C674" t="s">
        <v>143</v>
      </c>
      <c r="D674">
        <v>19.438294999999997</v>
      </c>
      <c r="E674" t="s">
        <v>455</v>
      </c>
      <c r="F674" t="s">
        <v>75</v>
      </c>
      <c r="G674" t="s">
        <v>456</v>
      </c>
      <c r="H674" t="s">
        <v>457</v>
      </c>
    </row>
    <row r="675" spans="1:8">
      <c r="A675" t="s">
        <v>167</v>
      </c>
      <c r="B675">
        <v>2018</v>
      </c>
      <c r="C675" t="s">
        <v>143</v>
      </c>
      <c r="D675">
        <v>23.264092000000002</v>
      </c>
      <c r="E675" t="s">
        <v>455</v>
      </c>
      <c r="F675" t="s">
        <v>75</v>
      </c>
      <c r="G675" t="s">
        <v>456</v>
      </c>
      <c r="H675" t="s">
        <v>457</v>
      </c>
    </row>
    <row r="676" spans="1:8">
      <c r="A676" t="s">
        <v>167</v>
      </c>
      <c r="B676">
        <v>2019</v>
      </c>
      <c r="C676" t="s">
        <v>143</v>
      </c>
      <c r="D676">
        <v>30.35</v>
      </c>
      <c r="E676" t="s">
        <v>455</v>
      </c>
      <c r="F676" t="s">
        <v>75</v>
      </c>
      <c r="G676" t="s">
        <v>456</v>
      </c>
      <c r="H676" t="s">
        <v>457</v>
      </c>
    </row>
    <row r="677" spans="1:8">
      <c r="A677" t="s">
        <v>167</v>
      </c>
      <c r="B677">
        <v>2020</v>
      </c>
      <c r="C677" t="s">
        <v>143</v>
      </c>
      <c r="D677">
        <v>34.4</v>
      </c>
      <c r="E677" t="s">
        <v>455</v>
      </c>
      <c r="F677" t="s">
        <v>75</v>
      </c>
      <c r="G677" t="s">
        <v>456</v>
      </c>
      <c r="H677" t="s">
        <v>457</v>
      </c>
    </row>
    <row r="678" spans="1:8">
      <c r="A678" t="s">
        <v>167</v>
      </c>
      <c r="B678">
        <v>2021</v>
      </c>
      <c r="C678" t="s">
        <v>143</v>
      </c>
      <c r="D678">
        <v>45.9</v>
      </c>
      <c r="E678" t="s">
        <v>455</v>
      </c>
      <c r="F678" t="s">
        <v>75</v>
      </c>
      <c r="G678" t="s">
        <v>456</v>
      </c>
      <c r="H678" t="s">
        <v>457</v>
      </c>
    </row>
    <row r="679" spans="1:8">
      <c r="A679" t="s">
        <v>167</v>
      </c>
      <c r="B679">
        <v>2022</v>
      </c>
      <c r="C679" t="s">
        <v>143</v>
      </c>
      <c r="D679">
        <v>52.7</v>
      </c>
      <c r="E679" t="s">
        <v>455</v>
      </c>
      <c r="F679" t="s">
        <v>75</v>
      </c>
      <c r="G679" t="s">
        <v>456</v>
      </c>
      <c r="H679" t="s">
        <v>457</v>
      </c>
    </row>
    <row r="680" spans="1:8">
      <c r="A680" t="s">
        <v>167</v>
      </c>
      <c r="B680">
        <v>2010</v>
      </c>
      <c r="C680" t="s">
        <v>143</v>
      </c>
      <c r="D680">
        <v>0.38593299999999997</v>
      </c>
      <c r="E680" t="s">
        <v>455</v>
      </c>
      <c r="F680" t="s">
        <v>75</v>
      </c>
      <c r="G680" t="s">
        <v>456</v>
      </c>
      <c r="H680" t="s">
        <v>457</v>
      </c>
    </row>
    <row r="681" spans="1:8">
      <c r="A681" t="s">
        <v>167</v>
      </c>
      <c r="B681">
        <v>2011</v>
      </c>
      <c r="C681" t="s">
        <v>143</v>
      </c>
      <c r="D681">
        <v>0.45100999999999997</v>
      </c>
      <c r="E681" t="s">
        <v>455</v>
      </c>
      <c r="F681" t="s">
        <v>75</v>
      </c>
      <c r="G681" t="s">
        <v>456</v>
      </c>
      <c r="H681" t="s">
        <v>457</v>
      </c>
    </row>
    <row r="682" spans="1:8">
      <c r="A682" t="s">
        <v>167</v>
      </c>
      <c r="B682">
        <v>2012</v>
      </c>
      <c r="C682" t="s">
        <v>143</v>
      </c>
      <c r="D682">
        <v>0.71896099999999996</v>
      </c>
      <c r="E682" t="s">
        <v>455</v>
      </c>
      <c r="F682" t="s">
        <v>75</v>
      </c>
      <c r="G682" t="s">
        <v>456</v>
      </c>
      <c r="H682" t="s">
        <v>457</v>
      </c>
    </row>
    <row r="683" spans="1:8">
      <c r="A683" t="s">
        <v>167</v>
      </c>
      <c r="B683">
        <v>2013</v>
      </c>
      <c r="C683" t="s">
        <v>143</v>
      </c>
      <c r="D683">
        <v>0.91484900000000002</v>
      </c>
      <c r="E683" t="s">
        <v>455</v>
      </c>
      <c r="F683" t="s">
        <v>75</v>
      </c>
      <c r="G683" t="s">
        <v>456</v>
      </c>
      <c r="H683" t="s">
        <v>457</v>
      </c>
    </row>
    <row r="684" spans="1:8">
      <c r="A684" t="s">
        <v>167</v>
      </c>
      <c r="B684">
        <v>2014</v>
      </c>
      <c r="C684" t="s">
        <v>143</v>
      </c>
      <c r="D684">
        <v>1.6097980000000001</v>
      </c>
      <c r="E684" t="s">
        <v>455</v>
      </c>
      <c r="F684" t="s">
        <v>75</v>
      </c>
      <c r="G684" t="s">
        <v>456</v>
      </c>
      <c r="H684" t="s">
        <v>457</v>
      </c>
    </row>
    <row r="685" spans="1:8">
      <c r="A685" t="s">
        <v>167</v>
      </c>
      <c r="B685">
        <v>2015</v>
      </c>
      <c r="C685" t="s">
        <v>143</v>
      </c>
      <c r="D685">
        <v>1.6905139999999999</v>
      </c>
      <c r="E685" t="s">
        <v>455</v>
      </c>
      <c r="F685" t="s">
        <v>75</v>
      </c>
      <c r="G685" t="s">
        <v>456</v>
      </c>
      <c r="H685" t="s">
        <v>457</v>
      </c>
    </row>
    <row r="686" spans="1:8">
      <c r="A686" t="s">
        <v>167</v>
      </c>
      <c r="B686">
        <v>2016</v>
      </c>
      <c r="C686" t="s">
        <v>143</v>
      </c>
      <c r="D686">
        <v>1.8631300000000002</v>
      </c>
      <c r="E686" t="s">
        <v>455</v>
      </c>
      <c r="F686" t="s">
        <v>75</v>
      </c>
      <c r="G686" t="s">
        <v>456</v>
      </c>
      <c r="H686" t="s">
        <v>457</v>
      </c>
    </row>
    <row r="687" spans="1:8">
      <c r="A687" t="s">
        <v>167</v>
      </c>
      <c r="B687">
        <v>2017</v>
      </c>
      <c r="C687" t="s">
        <v>143</v>
      </c>
      <c r="D687">
        <v>2.4244470000000002</v>
      </c>
      <c r="E687" t="s">
        <v>455</v>
      </c>
      <c r="F687" t="s">
        <v>75</v>
      </c>
      <c r="G687" t="s">
        <v>456</v>
      </c>
      <c r="H687" t="s">
        <v>457</v>
      </c>
    </row>
    <row r="688" spans="1:8">
      <c r="A688" t="s">
        <v>167</v>
      </c>
      <c r="B688">
        <v>2018</v>
      </c>
      <c r="C688" t="s">
        <v>143</v>
      </c>
      <c r="D688">
        <v>3.2035800000000001</v>
      </c>
      <c r="E688" t="s">
        <v>455</v>
      </c>
      <c r="F688" t="s">
        <v>75</v>
      </c>
      <c r="G688" t="s">
        <v>456</v>
      </c>
      <c r="H688" t="s">
        <v>457</v>
      </c>
    </row>
    <row r="689" spans="1:8">
      <c r="A689" t="s">
        <v>167</v>
      </c>
      <c r="B689">
        <v>2019</v>
      </c>
      <c r="C689" t="s">
        <v>143</v>
      </c>
      <c r="D689">
        <v>3.8</v>
      </c>
      <c r="E689" t="s">
        <v>455</v>
      </c>
      <c r="F689" t="s">
        <v>75</v>
      </c>
      <c r="G689" t="s">
        <v>456</v>
      </c>
      <c r="H689" t="s">
        <v>457</v>
      </c>
    </row>
    <row r="690" spans="1:8">
      <c r="A690" t="s">
        <v>167</v>
      </c>
      <c r="B690">
        <v>2020</v>
      </c>
      <c r="C690" t="s">
        <v>143</v>
      </c>
      <c r="D690">
        <v>4.0999999999999996</v>
      </c>
      <c r="E690" t="s">
        <v>455</v>
      </c>
      <c r="F690" t="s">
        <v>75</v>
      </c>
      <c r="G690" t="s">
        <v>456</v>
      </c>
      <c r="H690" t="s">
        <v>457</v>
      </c>
    </row>
    <row r="691" spans="1:8">
      <c r="A691" t="s">
        <v>167</v>
      </c>
      <c r="B691">
        <v>2021</v>
      </c>
      <c r="C691" t="s">
        <v>143</v>
      </c>
      <c r="D691">
        <v>4.7</v>
      </c>
      <c r="E691" t="s">
        <v>455</v>
      </c>
      <c r="F691" t="s">
        <v>75</v>
      </c>
      <c r="G691" t="s">
        <v>456</v>
      </c>
      <c r="H691" t="s">
        <v>457</v>
      </c>
    </row>
    <row r="692" spans="1:8">
      <c r="A692" t="s">
        <v>167</v>
      </c>
      <c r="B692">
        <v>2022</v>
      </c>
      <c r="C692" t="s">
        <v>143</v>
      </c>
      <c r="D692">
        <v>5.4</v>
      </c>
      <c r="E692" t="s">
        <v>455</v>
      </c>
      <c r="F692" t="s">
        <v>75</v>
      </c>
      <c r="G692" t="s">
        <v>456</v>
      </c>
      <c r="H692" t="s">
        <v>457</v>
      </c>
    </row>
    <row r="693" spans="1:8">
      <c r="A693" t="s">
        <v>167</v>
      </c>
      <c r="B693">
        <v>2000</v>
      </c>
      <c r="C693" t="s">
        <v>143</v>
      </c>
      <c r="D693">
        <v>2.4209999999999998</v>
      </c>
      <c r="E693" t="s">
        <v>455</v>
      </c>
      <c r="F693" t="s">
        <v>75</v>
      </c>
      <c r="G693" t="s">
        <v>456</v>
      </c>
      <c r="H693" t="s">
        <v>457</v>
      </c>
    </row>
    <row r="694" spans="1:8">
      <c r="A694" t="s">
        <v>167</v>
      </c>
      <c r="B694">
        <v>2001</v>
      </c>
      <c r="C694" t="s">
        <v>143</v>
      </c>
      <c r="D694">
        <v>2.4380000000000002</v>
      </c>
      <c r="E694" t="s">
        <v>455</v>
      </c>
      <c r="F694" t="s">
        <v>75</v>
      </c>
      <c r="G694" t="s">
        <v>456</v>
      </c>
      <c r="H694" t="s">
        <v>457</v>
      </c>
    </row>
    <row r="695" spans="1:8">
      <c r="A695" t="s">
        <v>231</v>
      </c>
      <c r="B695">
        <v>2018</v>
      </c>
      <c r="C695" t="s">
        <v>7</v>
      </c>
      <c r="D695">
        <v>2.5749999999999999E-2</v>
      </c>
      <c r="E695" t="s">
        <v>455</v>
      </c>
      <c r="F695" t="s">
        <v>65</v>
      </c>
      <c r="G695" t="s">
        <v>456</v>
      </c>
      <c r="H695" t="s">
        <v>457</v>
      </c>
    </row>
    <row r="696" spans="1:8">
      <c r="A696" t="s">
        <v>231</v>
      </c>
      <c r="B696">
        <v>2019</v>
      </c>
      <c r="C696" t="s">
        <v>7</v>
      </c>
      <c r="D696">
        <v>2.5749999999999999E-2</v>
      </c>
      <c r="E696" t="s">
        <v>455</v>
      </c>
      <c r="F696" t="s">
        <v>65</v>
      </c>
      <c r="G696" t="s">
        <v>456</v>
      </c>
      <c r="H696" t="s">
        <v>457</v>
      </c>
    </row>
    <row r="697" spans="1:8">
      <c r="A697" t="s">
        <v>231</v>
      </c>
      <c r="B697">
        <v>2020</v>
      </c>
      <c r="C697" t="s">
        <v>7</v>
      </c>
      <c r="D697">
        <v>2.5749999999999999E-2</v>
      </c>
      <c r="E697" t="s">
        <v>455</v>
      </c>
      <c r="F697" t="s">
        <v>65</v>
      </c>
      <c r="G697" t="s">
        <v>456</v>
      </c>
      <c r="H697" t="s">
        <v>457</v>
      </c>
    </row>
    <row r="698" spans="1:8">
      <c r="A698" t="s">
        <v>231</v>
      </c>
      <c r="B698">
        <v>2021</v>
      </c>
      <c r="C698" t="s">
        <v>7</v>
      </c>
      <c r="D698">
        <v>2.5749999999999999E-2</v>
      </c>
      <c r="E698" t="s">
        <v>455</v>
      </c>
      <c r="F698" t="s">
        <v>65</v>
      </c>
      <c r="G698" t="s">
        <v>456</v>
      </c>
      <c r="H698" t="s">
        <v>457</v>
      </c>
    </row>
    <row r="699" spans="1:8">
      <c r="A699" t="s">
        <v>231</v>
      </c>
      <c r="B699">
        <v>2022</v>
      </c>
      <c r="C699" t="s">
        <v>7</v>
      </c>
      <c r="D699">
        <v>2.5749999999999999E-2</v>
      </c>
      <c r="E699" t="s">
        <v>455</v>
      </c>
      <c r="F699" t="s">
        <v>65</v>
      </c>
      <c r="G699" t="s">
        <v>456</v>
      </c>
      <c r="H699" t="s">
        <v>457</v>
      </c>
    </row>
    <row r="700" spans="1:8">
      <c r="A700" t="s">
        <v>231</v>
      </c>
      <c r="B700">
        <v>2023</v>
      </c>
      <c r="C700" t="s">
        <v>7</v>
      </c>
      <c r="D700">
        <v>2.5749999999999999E-2</v>
      </c>
      <c r="E700" t="s">
        <v>455</v>
      </c>
      <c r="F700" t="s">
        <v>65</v>
      </c>
      <c r="G700" t="s">
        <v>456</v>
      </c>
      <c r="H700" t="s">
        <v>457</v>
      </c>
    </row>
    <row r="701" spans="1:8">
      <c r="A701" t="s">
        <v>231</v>
      </c>
      <c r="B701">
        <v>2024</v>
      </c>
      <c r="C701" t="s">
        <v>7</v>
      </c>
      <c r="D701">
        <v>2.5749999999999999E-2</v>
      </c>
      <c r="E701" t="s">
        <v>455</v>
      </c>
      <c r="F701" t="s">
        <v>65</v>
      </c>
      <c r="G701" t="s">
        <v>456</v>
      </c>
      <c r="H701" t="s">
        <v>457</v>
      </c>
    </row>
    <row r="702" spans="1:8">
      <c r="A702" t="s">
        <v>231</v>
      </c>
      <c r="B702">
        <v>2011</v>
      </c>
      <c r="C702" t="s">
        <v>7</v>
      </c>
      <c r="D702">
        <v>2.615E-2</v>
      </c>
      <c r="E702" t="s">
        <v>455</v>
      </c>
      <c r="F702" t="s">
        <v>65</v>
      </c>
      <c r="G702" t="s">
        <v>456</v>
      </c>
      <c r="H702" t="s">
        <v>457</v>
      </c>
    </row>
    <row r="703" spans="1:8">
      <c r="A703" t="s">
        <v>231</v>
      </c>
      <c r="B703">
        <v>2012</v>
      </c>
      <c r="C703" t="s">
        <v>7</v>
      </c>
      <c r="D703">
        <v>2.615E-2</v>
      </c>
      <c r="E703" t="s">
        <v>455</v>
      </c>
      <c r="F703" t="s">
        <v>65</v>
      </c>
      <c r="G703" t="s">
        <v>456</v>
      </c>
      <c r="H703" t="s">
        <v>457</v>
      </c>
    </row>
    <row r="704" spans="1:8">
      <c r="A704" t="s">
        <v>231</v>
      </c>
      <c r="B704">
        <v>2013</v>
      </c>
      <c r="C704" t="s">
        <v>7</v>
      </c>
      <c r="D704">
        <v>2.5950000000000001E-2</v>
      </c>
      <c r="E704" t="s">
        <v>455</v>
      </c>
      <c r="F704" t="s">
        <v>65</v>
      </c>
      <c r="G704" t="s">
        <v>456</v>
      </c>
      <c r="H704" t="s">
        <v>457</v>
      </c>
    </row>
    <row r="705" spans="1:8">
      <c r="A705" t="s">
        <v>231</v>
      </c>
      <c r="B705">
        <v>2014</v>
      </c>
      <c r="C705" t="s">
        <v>7</v>
      </c>
      <c r="D705">
        <v>2.5950000000000001E-2</v>
      </c>
      <c r="E705" t="s">
        <v>455</v>
      </c>
      <c r="F705" t="s">
        <v>65</v>
      </c>
      <c r="G705" t="s">
        <v>456</v>
      </c>
      <c r="H705" t="s">
        <v>457</v>
      </c>
    </row>
    <row r="706" spans="1:8">
      <c r="A706" t="s">
        <v>231</v>
      </c>
      <c r="B706">
        <v>2015</v>
      </c>
      <c r="C706" t="s">
        <v>7</v>
      </c>
      <c r="D706">
        <v>2.5749999999999999E-2</v>
      </c>
      <c r="E706" t="s">
        <v>455</v>
      </c>
      <c r="F706" t="s">
        <v>65</v>
      </c>
      <c r="G706" t="s">
        <v>456</v>
      </c>
      <c r="H706" t="s">
        <v>457</v>
      </c>
    </row>
    <row r="707" spans="1:8">
      <c r="A707" t="s">
        <v>231</v>
      </c>
      <c r="B707">
        <v>2016</v>
      </c>
      <c r="C707" t="s">
        <v>7</v>
      </c>
      <c r="D707">
        <v>2.5749999999999999E-2</v>
      </c>
      <c r="E707" t="s">
        <v>455</v>
      </c>
      <c r="F707" t="s">
        <v>65</v>
      </c>
      <c r="G707" t="s">
        <v>456</v>
      </c>
      <c r="H707" t="s">
        <v>457</v>
      </c>
    </row>
    <row r="708" spans="1:8">
      <c r="A708" t="s">
        <v>231</v>
      </c>
      <c r="B708">
        <v>2017</v>
      </c>
      <c r="C708" t="s">
        <v>7</v>
      </c>
      <c r="D708">
        <v>2.5749999999999999E-2</v>
      </c>
      <c r="E708" t="s">
        <v>455</v>
      </c>
      <c r="F708" t="s">
        <v>65</v>
      </c>
      <c r="G708" t="s">
        <v>456</v>
      </c>
      <c r="H708" t="s">
        <v>457</v>
      </c>
    </row>
    <row r="709" spans="1:8">
      <c r="A709" t="s">
        <v>231</v>
      </c>
      <c r="B709">
        <v>2004</v>
      </c>
      <c r="C709" t="s">
        <v>7</v>
      </c>
      <c r="D709">
        <v>2.1649999999999999E-2</v>
      </c>
      <c r="E709" t="s">
        <v>455</v>
      </c>
      <c r="F709" t="s">
        <v>65</v>
      </c>
      <c r="G709" t="s">
        <v>456</v>
      </c>
      <c r="H709" t="s">
        <v>457</v>
      </c>
    </row>
    <row r="710" spans="1:8">
      <c r="A710" t="s">
        <v>231</v>
      </c>
      <c r="B710">
        <v>2005</v>
      </c>
      <c r="C710" t="s">
        <v>7</v>
      </c>
      <c r="D710">
        <v>2.1649999999999999E-2</v>
      </c>
      <c r="E710" t="s">
        <v>455</v>
      </c>
      <c r="F710" t="s">
        <v>65</v>
      </c>
      <c r="G710" t="s">
        <v>456</v>
      </c>
      <c r="H710" t="s">
        <v>457</v>
      </c>
    </row>
    <row r="711" spans="1:8">
      <c r="A711" t="s">
        <v>231</v>
      </c>
      <c r="B711">
        <v>2006</v>
      </c>
      <c r="C711" t="s">
        <v>7</v>
      </c>
      <c r="D711">
        <v>2.1649999999999999E-2</v>
      </c>
      <c r="E711" t="s">
        <v>455</v>
      </c>
      <c r="F711" t="s">
        <v>65</v>
      </c>
      <c r="G711" t="s">
        <v>456</v>
      </c>
      <c r="H711" t="s">
        <v>457</v>
      </c>
    </row>
    <row r="712" spans="1:8">
      <c r="A712" t="s">
        <v>231</v>
      </c>
      <c r="B712">
        <v>2007</v>
      </c>
      <c r="C712" t="s">
        <v>7</v>
      </c>
      <c r="D712">
        <v>2.1649999999999999E-2</v>
      </c>
      <c r="E712" t="s">
        <v>455</v>
      </c>
      <c r="F712" t="s">
        <v>65</v>
      </c>
      <c r="G712" t="s">
        <v>456</v>
      </c>
      <c r="H712" t="s">
        <v>457</v>
      </c>
    </row>
    <row r="713" spans="1:8">
      <c r="A713" t="s">
        <v>231</v>
      </c>
      <c r="B713">
        <v>2008</v>
      </c>
      <c r="C713" t="s">
        <v>7</v>
      </c>
      <c r="D713">
        <v>2.4750000000000001E-2</v>
      </c>
      <c r="E713" t="s">
        <v>455</v>
      </c>
      <c r="F713" t="s">
        <v>65</v>
      </c>
      <c r="G713" t="s">
        <v>456</v>
      </c>
      <c r="H713" t="s">
        <v>457</v>
      </c>
    </row>
    <row r="714" spans="1:8">
      <c r="A714" t="s">
        <v>231</v>
      </c>
      <c r="B714">
        <v>2009</v>
      </c>
      <c r="C714" t="s">
        <v>7</v>
      </c>
      <c r="D714">
        <v>2.4750000000000001E-2</v>
      </c>
      <c r="E714" t="s">
        <v>455</v>
      </c>
      <c r="F714" t="s">
        <v>65</v>
      </c>
      <c r="G714" t="s">
        <v>456</v>
      </c>
      <c r="H714" t="s">
        <v>457</v>
      </c>
    </row>
    <row r="715" spans="1:8">
      <c r="A715" t="s">
        <v>231</v>
      </c>
      <c r="B715">
        <v>2010</v>
      </c>
      <c r="C715" t="s">
        <v>7</v>
      </c>
      <c r="D715">
        <v>2.4050000000000002E-2</v>
      </c>
      <c r="E715" t="s">
        <v>455</v>
      </c>
      <c r="F715" t="s">
        <v>65</v>
      </c>
      <c r="G715" t="s">
        <v>456</v>
      </c>
      <c r="H715" t="s">
        <v>457</v>
      </c>
    </row>
    <row r="716" spans="1:8">
      <c r="A716" t="s">
        <v>231</v>
      </c>
      <c r="B716">
        <v>2000</v>
      </c>
      <c r="C716" t="s">
        <v>7</v>
      </c>
      <c r="D716">
        <v>2.1649999999999999E-2</v>
      </c>
      <c r="E716" t="s">
        <v>455</v>
      </c>
      <c r="F716" t="s">
        <v>65</v>
      </c>
      <c r="G716" t="s">
        <v>456</v>
      </c>
      <c r="H716" t="s">
        <v>457</v>
      </c>
    </row>
    <row r="717" spans="1:8">
      <c r="A717" t="s">
        <v>231</v>
      </c>
      <c r="B717">
        <v>2001</v>
      </c>
      <c r="C717" t="s">
        <v>7</v>
      </c>
      <c r="D717">
        <v>2.1649999999999999E-2</v>
      </c>
      <c r="E717" t="s">
        <v>455</v>
      </c>
      <c r="F717" t="s">
        <v>65</v>
      </c>
      <c r="G717" t="s">
        <v>456</v>
      </c>
      <c r="H717" t="s">
        <v>457</v>
      </c>
    </row>
    <row r="718" spans="1:8">
      <c r="A718" t="s">
        <v>231</v>
      </c>
      <c r="B718">
        <v>2002</v>
      </c>
      <c r="C718" t="s">
        <v>7</v>
      </c>
      <c r="D718">
        <v>2.1649999999999999E-2</v>
      </c>
      <c r="E718" t="s">
        <v>455</v>
      </c>
      <c r="F718" t="s">
        <v>65</v>
      </c>
      <c r="G718" t="s">
        <v>456</v>
      </c>
      <c r="H718" t="s">
        <v>457</v>
      </c>
    </row>
    <row r="719" spans="1:8">
      <c r="A719" t="s">
        <v>231</v>
      </c>
      <c r="B719">
        <v>2003</v>
      </c>
      <c r="C719" t="s">
        <v>7</v>
      </c>
      <c r="D719">
        <v>2.1649999999999999E-2</v>
      </c>
      <c r="E719" t="s">
        <v>455</v>
      </c>
      <c r="F719" t="s">
        <v>65</v>
      </c>
      <c r="G719" t="s">
        <v>456</v>
      </c>
      <c r="H719" t="s">
        <v>457</v>
      </c>
    </row>
    <row r="720" spans="1:8">
      <c r="A720" t="s">
        <v>231</v>
      </c>
      <c r="B720">
        <v>2002</v>
      </c>
      <c r="C720" t="s">
        <v>143</v>
      </c>
      <c r="D720">
        <v>9.35E-2</v>
      </c>
      <c r="E720" t="s">
        <v>455</v>
      </c>
      <c r="F720" t="s">
        <v>75</v>
      </c>
      <c r="G720" t="s">
        <v>456</v>
      </c>
      <c r="H720" t="s">
        <v>457</v>
      </c>
    </row>
    <row r="721" spans="1:8">
      <c r="A721" t="s">
        <v>231</v>
      </c>
      <c r="B721">
        <v>2003</v>
      </c>
      <c r="C721" t="s">
        <v>143</v>
      </c>
      <c r="D721">
        <v>9.35E-2</v>
      </c>
      <c r="E721" t="s">
        <v>455</v>
      </c>
      <c r="F721" t="s">
        <v>75</v>
      </c>
      <c r="G721" t="s">
        <v>456</v>
      </c>
      <c r="H721" t="s">
        <v>457</v>
      </c>
    </row>
    <row r="722" spans="1:8">
      <c r="A722" t="s">
        <v>231</v>
      </c>
      <c r="B722">
        <v>2004</v>
      </c>
      <c r="C722" t="s">
        <v>143</v>
      </c>
      <c r="D722">
        <v>9.35E-2</v>
      </c>
      <c r="E722" t="s">
        <v>455</v>
      </c>
      <c r="F722" t="s">
        <v>75</v>
      </c>
      <c r="G722" t="s">
        <v>456</v>
      </c>
      <c r="H722" t="s">
        <v>457</v>
      </c>
    </row>
    <row r="723" spans="1:8">
      <c r="A723" t="s">
        <v>231</v>
      </c>
      <c r="B723">
        <v>2005</v>
      </c>
      <c r="C723" t="s">
        <v>143</v>
      </c>
      <c r="D723">
        <v>9.35E-2</v>
      </c>
      <c r="E723" t="s">
        <v>455</v>
      </c>
      <c r="F723" t="s">
        <v>75</v>
      </c>
      <c r="G723" t="s">
        <v>456</v>
      </c>
      <c r="H723" t="s">
        <v>457</v>
      </c>
    </row>
    <row r="724" spans="1:8">
      <c r="A724" t="s">
        <v>231</v>
      </c>
      <c r="B724">
        <v>2006</v>
      </c>
      <c r="C724" t="s">
        <v>143</v>
      </c>
      <c r="D724">
        <v>9.35E-2</v>
      </c>
      <c r="E724" t="s">
        <v>455</v>
      </c>
      <c r="F724" t="s">
        <v>75</v>
      </c>
      <c r="G724" t="s">
        <v>456</v>
      </c>
      <c r="H724" t="s">
        <v>457</v>
      </c>
    </row>
    <row r="725" spans="1:8">
      <c r="A725" t="s">
        <v>231</v>
      </c>
      <c r="B725">
        <v>2007</v>
      </c>
      <c r="C725" t="s">
        <v>143</v>
      </c>
      <c r="D725">
        <v>9.35E-2</v>
      </c>
      <c r="E725" t="s">
        <v>455</v>
      </c>
      <c r="F725" t="s">
        <v>75</v>
      </c>
      <c r="G725" t="s">
        <v>456</v>
      </c>
      <c r="H725" t="s">
        <v>457</v>
      </c>
    </row>
    <row r="726" spans="1:8">
      <c r="A726" t="s">
        <v>231</v>
      </c>
      <c r="B726">
        <v>2008</v>
      </c>
      <c r="C726" t="s">
        <v>143</v>
      </c>
      <c r="D726">
        <v>9.35E-2</v>
      </c>
      <c r="E726" t="s">
        <v>455</v>
      </c>
      <c r="F726" t="s">
        <v>75</v>
      </c>
      <c r="G726" t="s">
        <v>456</v>
      </c>
      <c r="H726" t="s">
        <v>457</v>
      </c>
    </row>
    <row r="727" spans="1:8">
      <c r="A727" t="s">
        <v>231</v>
      </c>
      <c r="B727">
        <v>2009</v>
      </c>
      <c r="C727" t="s">
        <v>143</v>
      </c>
      <c r="D727">
        <v>9.35E-2</v>
      </c>
      <c r="E727" t="s">
        <v>455</v>
      </c>
      <c r="F727" t="s">
        <v>75</v>
      </c>
      <c r="G727" t="s">
        <v>456</v>
      </c>
      <c r="H727" t="s">
        <v>457</v>
      </c>
    </row>
    <row r="728" spans="1:8">
      <c r="A728" t="s">
        <v>231</v>
      </c>
      <c r="B728">
        <v>2010</v>
      </c>
      <c r="C728" t="s">
        <v>143</v>
      </c>
      <c r="D728">
        <v>0.13950000000000001</v>
      </c>
      <c r="E728" t="s">
        <v>455</v>
      </c>
      <c r="F728" t="s">
        <v>75</v>
      </c>
      <c r="G728" t="s">
        <v>456</v>
      </c>
      <c r="H728" t="s">
        <v>457</v>
      </c>
    </row>
    <row r="729" spans="1:8">
      <c r="A729" t="s">
        <v>231</v>
      </c>
      <c r="B729">
        <v>2011</v>
      </c>
      <c r="C729" t="s">
        <v>143</v>
      </c>
      <c r="D729">
        <v>0.13950000000000001</v>
      </c>
      <c r="E729" t="s">
        <v>455</v>
      </c>
      <c r="F729" t="s">
        <v>75</v>
      </c>
      <c r="G729" t="s">
        <v>456</v>
      </c>
      <c r="H729" t="s">
        <v>457</v>
      </c>
    </row>
    <row r="730" spans="1:8">
      <c r="A730" t="s">
        <v>231</v>
      </c>
      <c r="B730">
        <v>2012</v>
      </c>
      <c r="C730" t="s">
        <v>143</v>
      </c>
      <c r="D730">
        <v>0.13950000000000001</v>
      </c>
      <c r="E730" t="s">
        <v>455</v>
      </c>
      <c r="F730" t="s">
        <v>75</v>
      </c>
      <c r="G730" t="s">
        <v>456</v>
      </c>
      <c r="H730" t="s">
        <v>457</v>
      </c>
    </row>
    <row r="731" spans="1:8">
      <c r="A731" t="s">
        <v>231</v>
      </c>
      <c r="B731">
        <v>2013</v>
      </c>
      <c r="C731" t="s">
        <v>143</v>
      </c>
      <c r="D731">
        <v>0.14349999999999999</v>
      </c>
      <c r="E731" t="s">
        <v>455</v>
      </c>
      <c r="F731" t="s">
        <v>75</v>
      </c>
      <c r="G731" t="s">
        <v>456</v>
      </c>
      <c r="H731" t="s">
        <v>457</v>
      </c>
    </row>
    <row r="732" spans="1:8">
      <c r="A732" t="s">
        <v>231</v>
      </c>
      <c r="B732">
        <v>2014</v>
      </c>
      <c r="C732" t="s">
        <v>143</v>
      </c>
      <c r="D732">
        <v>0.14349999999999999</v>
      </c>
      <c r="E732" t="s">
        <v>455</v>
      </c>
      <c r="F732" t="s">
        <v>75</v>
      </c>
      <c r="G732" t="s">
        <v>456</v>
      </c>
      <c r="H732" t="s">
        <v>457</v>
      </c>
    </row>
    <row r="733" spans="1:8">
      <c r="A733" t="s">
        <v>231</v>
      </c>
      <c r="B733">
        <v>2015</v>
      </c>
      <c r="C733" t="s">
        <v>143</v>
      </c>
      <c r="D733">
        <v>0.14349999999999999</v>
      </c>
      <c r="E733" t="s">
        <v>455</v>
      </c>
      <c r="F733" t="s">
        <v>75</v>
      </c>
      <c r="G733" t="s">
        <v>456</v>
      </c>
      <c r="H733" t="s">
        <v>457</v>
      </c>
    </row>
    <row r="734" spans="1:8">
      <c r="A734" t="s">
        <v>231</v>
      </c>
      <c r="B734">
        <v>2016</v>
      </c>
      <c r="C734" t="s">
        <v>143</v>
      </c>
      <c r="D734">
        <v>0.14349999999999999</v>
      </c>
      <c r="E734" t="s">
        <v>455</v>
      </c>
      <c r="F734" t="s">
        <v>75</v>
      </c>
      <c r="G734" t="s">
        <v>456</v>
      </c>
      <c r="H734" t="s">
        <v>457</v>
      </c>
    </row>
    <row r="735" spans="1:8">
      <c r="A735" t="s">
        <v>231</v>
      </c>
      <c r="B735">
        <v>2017</v>
      </c>
      <c r="C735" t="s">
        <v>143</v>
      </c>
      <c r="D735">
        <v>0.14349999999999999</v>
      </c>
      <c r="E735" t="s">
        <v>455</v>
      </c>
      <c r="F735" t="s">
        <v>75</v>
      </c>
      <c r="G735" t="s">
        <v>456</v>
      </c>
      <c r="H735" t="s">
        <v>457</v>
      </c>
    </row>
    <row r="736" spans="1:8">
      <c r="A736" t="s">
        <v>231</v>
      </c>
      <c r="B736">
        <v>2018</v>
      </c>
      <c r="C736" t="s">
        <v>143</v>
      </c>
      <c r="D736">
        <v>0.14349999999999999</v>
      </c>
      <c r="E736" t="s">
        <v>455</v>
      </c>
      <c r="F736" t="s">
        <v>75</v>
      </c>
      <c r="G736" t="s">
        <v>456</v>
      </c>
      <c r="H736" t="s">
        <v>457</v>
      </c>
    </row>
    <row r="737" spans="1:8">
      <c r="A737" t="s">
        <v>231</v>
      </c>
      <c r="B737">
        <v>2019</v>
      </c>
      <c r="C737" t="s">
        <v>143</v>
      </c>
      <c r="D737">
        <v>0.14349999999999999</v>
      </c>
      <c r="E737" t="s">
        <v>455</v>
      </c>
      <c r="F737" t="s">
        <v>75</v>
      </c>
      <c r="G737" t="s">
        <v>456</v>
      </c>
      <c r="H737" t="s">
        <v>457</v>
      </c>
    </row>
    <row r="738" spans="1:8">
      <c r="A738" t="s">
        <v>231</v>
      </c>
      <c r="B738">
        <v>2020</v>
      </c>
      <c r="C738" t="s">
        <v>143</v>
      </c>
      <c r="D738">
        <v>0.14349999999999999</v>
      </c>
      <c r="E738" t="s">
        <v>455</v>
      </c>
      <c r="F738" t="s">
        <v>75</v>
      </c>
      <c r="G738" t="s">
        <v>456</v>
      </c>
      <c r="H738" t="s">
        <v>457</v>
      </c>
    </row>
    <row r="739" spans="1:8">
      <c r="A739" t="s">
        <v>231</v>
      </c>
      <c r="B739">
        <v>2021</v>
      </c>
      <c r="C739" t="s">
        <v>143</v>
      </c>
      <c r="D739">
        <v>0.14349999999999999</v>
      </c>
      <c r="E739" t="s">
        <v>455</v>
      </c>
      <c r="F739" t="s">
        <v>75</v>
      </c>
      <c r="G739" t="s">
        <v>456</v>
      </c>
      <c r="H739" t="s">
        <v>457</v>
      </c>
    </row>
    <row r="740" spans="1:8">
      <c r="A740" t="s">
        <v>231</v>
      </c>
      <c r="B740">
        <v>2022</v>
      </c>
      <c r="C740" t="s">
        <v>143</v>
      </c>
      <c r="D740">
        <v>0.14349999999999999</v>
      </c>
      <c r="E740" t="s">
        <v>455</v>
      </c>
      <c r="F740" t="s">
        <v>75</v>
      </c>
      <c r="G740" t="s">
        <v>456</v>
      </c>
      <c r="H740" t="s">
        <v>457</v>
      </c>
    </row>
    <row r="741" spans="1:8">
      <c r="A741" t="s">
        <v>231</v>
      </c>
      <c r="B741">
        <v>2000</v>
      </c>
      <c r="C741" t="s">
        <v>143</v>
      </c>
      <c r="D741">
        <v>9.35E-2</v>
      </c>
      <c r="E741" t="s">
        <v>455</v>
      </c>
      <c r="F741" t="s">
        <v>75</v>
      </c>
      <c r="G741" t="s">
        <v>456</v>
      </c>
      <c r="H741" t="s">
        <v>457</v>
      </c>
    </row>
    <row r="742" spans="1:8">
      <c r="A742" t="s">
        <v>231</v>
      </c>
      <c r="B742">
        <v>2001</v>
      </c>
      <c r="C742" t="s">
        <v>143</v>
      </c>
      <c r="D742">
        <v>9.35E-2</v>
      </c>
      <c r="E742" t="s">
        <v>455</v>
      </c>
      <c r="F742" t="s">
        <v>75</v>
      </c>
      <c r="G742" t="s">
        <v>456</v>
      </c>
      <c r="H742" t="s">
        <v>457</v>
      </c>
    </row>
    <row r="743" spans="1:8">
      <c r="A743" t="s">
        <v>459</v>
      </c>
      <c r="B743">
        <v>2000</v>
      </c>
      <c r="C743" t="s">
        <v>143</v>
      </c>
      <c r="D743">
        <v>9.9</v>
      </c>
      <c r="E743" t="s">
        <v>455</v>
      </c>
      <c r="F743" t="s">
        <v>75</v>
      </c>
      <c r="G743" t="s">
        <v>456</v>
      </c>
      <c r="H743" t="s">
        <v>457</v>
      </c>
    </row>
    <row r="744" spans="1:8">
      <c r="A744" t="s">
        <v>460</v>
      </c>
      <c r="B744">
        <v>2000</v>
      </c>
      <c r="C744" t="s">
        <v>143</v>
      </c>
      <c r="D744">
        <v>1.5</v>
      </c>
      <c r="E744" t="s">
        <v>455</v>
      </c>
      <c r="F744" t="s">
        <v>75</v>
      </c>
      <c r="G744" t="s">
        <v>456</v>
      </c>
      <c r="H744" t="s">
        <v>457</v>
      </c>
    </row>
    <row r="745" spans="1:8">
      <c r="A745" t="s">
        <v>459</v>
      </c>
      <c r="B745">
        <v>2001</v>
      </c>
      <c r="C745" t="s">
        <v>143</v>
      </c>
      <c r="D745">
        <v>10.199999999999999</v>
      </c>
      <c r="E745" t="s">
        <v>455</v>
      </c>
      <c r="F745" t="s">
        <v>75</v>
      </c>
      <c r="G745" t="s">
        <v>456</v>
      </c>
      <c r="H745" t="s">
        <v>457</v>
      </c>
    </row>
    <row r="746" spans="1:8">
      <c r="A746" t="s">
        <v>460</v>
      </c>
      <c r="B746">
        <v>2001</v>
      </c>
      <c r="C746" t="s">
        <v>143</v>
      </c>
      <c r="D746">
        <v>1.8</v>
      </c>
      <c r="E746" t="s">
        <v>455</v>
      </c>
      <c r="F746" t="s">
        <v>75</v>
      </c>
      <c r="G746" t="s">
        <v>456</v>
      </c>
      <c r="H746" t="s">
        <v>457</v>
      </c>
    </row>
    <row r="747" spans="1:8">
      <c r="A747" t="s">
        <v>459</v>
      </c>
      <c r="B747">
        <v>2002</v>
      </c>
      <c r="C747" t="s">
        <v>143</v>
      </c>
      <c r="D747">
        <v>9.6999999999999993</v>
      </c>
      <c r="E747" t="s">
        <v>455</v>
      </c>
      <c r="F747" t="s">
        <v>75</v>
      </c>
      <c r="G747" t="s">
        <v>456</v>
      </c>
      <c r="H747" t="s">
        <v>457</v>
      </c>
    </row>
    <row r="748" spans="1:8">
      <c r="A748" t="s">
        <v>460</v>
      </c>
      <c r="B748">
        <v>2002</v>
      </c>
      <c r="C748" t="s">
        <v>143</v>
      </c>
      <c r="D748">
        <v>2.2999999999999998</v>
      </c>
      <c r="E748" t="s">
        <v>455</v>
      </c>
      <c r="F748" t="s">
        <v>75</v>
      </c>
      <c r="G748" t="s">
        <v>456</v>
      </c>
      <c r="H748" t="s">
        <v>457</v>
      </c>
    </row>
    <row r="749" spans="1:8">
      <c r="A749" t="s">
        <v>459</v>
      </c>
      <c r="B749">
        <v>2003</v>
      </c>
      <c r="C749" t="s">
        <v>143</v>
      </c>
      <c r="D749">
        <v>10.3</v>
      </c>
      <c r="E749" t="s">
        <v>455</v>
      </c>
      <c r="F749" t="s">
        <v>75</v>
      </c>
      <c r="G749" t="s">
        <v>456</v>
      </c>
      <c r="H749" t="s">
        <v>457</v>
      </c>
    </row>
    <row r="750" spans="1:8">
      <c r="A750" t="s">
        <v>460</v>
      </c>
      <c r="B750">
        <v>2003</v>
      </c>
      <c r="C750" t="s">
        <v>143</v>
      </c>
      <c r="D750">
        <v>3</v>
      </c>
      <c r="E750" t="s">
        <v>455</v>
      </c>
      <c r="F750" t="s">
        <v>75</v>
      </c>
      <c r="G750" t="s">
        <v>456</v>
      </c>
      <c r="H750" t="s">
        <v>457</v>
      </c>
    </row>
    <row r="751" spans="1:8">
      <c r="A751" t="s">
        <v>459</v>
      </c>
      <c r="B751">
        <v>2004</v>
      </c>
      <c r="C751" t="s">
        <v>143</v>
      </c>
      <c r="D751">
        <v>9.5</v>
      </c>
      <c r="E751" t="s">
        <v>455</v>
      </c>
      <c r="F751" t="s">
        <v>75</v>
      </c>
      <c r="G751" t="s">
        <v>456</v>
      </c>
      <c r="H751" t="s">
        <v>457</v>
      </c>
    </row>
    <row r="752" spans="1:8">
      <c r="A752" t="s">
        <v>460</v>
      </c>
      <c r="B752">
        <v>2004</v>
      </c>
      <c r="C752" t="s">
        <v>143</v>
      </c>
      <c r="D752">
        <v>3.4</v>
      </c>
      <c r="E752" t="s">
        <v>455</v>
      </c>
      <c r="F752" t="s">
        <v>75</v>
      </c>
      <c r="G752" t="s">
        <v>456</v>
      </c>
      <c r="H752" t="s">
        <v>457</v>
      </c>
    </row>
    <row r="753" spans="1:8">
      <c r="A753" t="s">
        <v>459</v>
      </c>
      <c r="B753">
        <v>2005</v>
      </c>
      <c r="C753" t="s">
        <v>143</v>
      </c>
      <c r="D753">
        <v>11.2</v>
      </c>
      <c r="E753" t="s">
        <v>455</v>
      </c>
      <c r="F753" t="s">
        <v>75</v>
      </c>
      <c r="G753" t="s">
        <v>456</v>
      </c>
      <c r="H753" t="s">
        <v>457</v>
      </c>
    </row>
    <row r="754" spans="1:8">
      <c r="A754" t="s">
        <v>460</v>
      </c>
      <c r="B754">
        <v>2005</v>
      </c>
      <c r="C754" t="s">
        <v>143</v>
      </c>
      <c r="D754">
        <v>5</v>
      </c>
      <c r="E754" t="s">
        <v>455</v>
      </c>
      <c r="F754" t="s">
        <v>75</v>
      </c>
      <c r="G754" t="s">
        <v>456</v>
      </c>
      <c r="H754" t="s">
        <v>457</v>
      </c>
    </row>
    <row r="755" spans="1:8">
      <c r="A755" t="s">
        <v>459</v>
      </c>
      <c r="B755">
        <v>2006</v>
      </c>
      <c r="C755" t="s">
        <v>143</v>
      </c>
      <c r="D755">
        <v>12.3</v>
      </c>
      <c r="E755" t="s">
        <v>455</v>
      </c>
      <c r="F755" t="s">
        <v>75</v>
      </c>
      <c r="G755" t="s">
        <v>456</v>
      </c>
      <c r="H755" t="s">
        <v>457</v>
      </c>
    </row>
    <row r="756" spans="1:8">
      <c r="A756" t="s">
        <v>460</v>
      </c>
      <c r="B756">
        <v>2006</v>
      </c>
      <c r="C756" t="s">
        <v>143</v>
      </c>
      <c r="D756">
        <v>5.4</v>
      </c>
      <c r="E756" t="s">
        <v>455</v>
      </c>
      <c r="F756" t="s">
        <v>75</v>
      </c>
      <c r="G756" t="s">
        <v>456</v>
      </c>
      <c r="H756" t="s">
        <v>457</v>
      </c>
    </row>
    <row r="757" spans="1:8">
      <c r="A757" t="s">
        <v>459</v>
      </c>
      <c r="B757">
        <v>2007</v>
      </c>
      <c r="C757" t="s">
        <v>143</v>
      </c>
      <c r="D757">
        <v>14.6</v>
      </c>
      <c r="E757" t="s">
        <v>455</v>
      </c>
      <c r="F757" t="s">
        <v>75</v>
      </c>
      <c r="G757" t="s">
        <v>456</v>
      </c>
      <c r="H757" t="s">
        <v>457</v>
      </c>
    </row>
    <row r="758" spans="1:8">
      <c r="A758" t="s">
        <v>460</v>
      </c>
      <c r="B758">
        <v>2007</v>
      </c>
      <c r="C758" t="s">
        <v>143</v>
      </c>
      <c r="D758">
        <v>4.3</v>
      </c>
      <c r="E758" t="s">
        <v>455</v>
      </c>
      <c r="F758" t="s">
        <v>75</v>
      </c>
      <c r="G758" t="s">
        <v>456</v>
      </c>
      <c r="H758" t="s">
        <v>457</v>
      </c>
    </row>
    <row r="759" spans="1:8">
      <c r="A759" t="s">
        <v>459</v>
      </c>
      <c r="B759">
        <v>2008</v>
      </c>
      <c r="C759" t="s">
        <v>143</v>
      </c>
      <c r="D759">
        <v>16.600000000000001</v>
      </c>
      <c r="E759" t="s">
        <v>455</v>
      </c>
      <c r="F759" t="s">
        <v>75</v>
      </c>
      <c r="G759" t="s">
        <v>456</v>
      </c>
      <c r="H759" t="s">
        <v>457</v>
      </c>
    </row>
    <row r="760" spans="1:8">
      <c r="A760" t="s">
        <v>460</v>
      </c>
      <c r="B760">
        <v>2008</v>
      </c>
      <c r="C760" t="s">
        <v>143</v>
      </c>
      <c r="D760">
        <v>3.8</v>
      </c>
      <c r="E760" t="s">
        <v>455</v>
      </c>
      <c r="F760" t="s">
        <v>75</v>
      </c>
      <c r="G760" t="s">
        <v>456</v>
      </c>
      <c r="H760" t="s">
        <v>457</v>
      </c>
    </row>
    <row r="761" spans="1:8">
      <c r="A761" t="s">
        <v>459</v>
      </c>
      <c r="B761">
        <v>2009</v>
      </c>
      <c r="C761" t="s">
        <v>143</v>
      </c>
      <c r="D761">
        <v>17.399999999999999</v>
      </c>
      <c r="E761" t="s">
        <v>455</v>
      </c>
      <c r="F761" t="s">
        <v>75</v>
      </c>
      <c r="G761" t="s">
        <v>456</v>
      </c>
      <c r="H761" t="s">
        <v>457</v>
      </c>
    </row>
    <row r="762" spans="1:8">
      <c r="A762" t="s">
        <v>460</v>
      </c>
      <c r="B762">
        <v>2009</v>
      </c>
      <c r="C762" t="s">
        <v>143</v>
      </c>
      <c r="D762">
        <v>6</v>
      </c>
      <c r="E762" t="s">
        <v>455</v>
      </c>
      <c r="F762" t="s">
        <v>75</v>
      </c>
      <c r="G762" t="s">
        <v>456</v>
      </c>
      <c r="H762" t="s">
        <v>457</v>
      </c>
    </row>
    <row r="763" spans="1:8">
      <c r="A763" t="s">
        <v>459</v>
      </c>
      <c r="B763">
        <v>2010</v>
      </c>
      <c r="C763" t="s">
        <v>143</v>
      </c>
      <c r="D763">
        <v>19.100000000000001</v>
      </c>
      <c r="E763" t="s">
        <v>455</v>
      </c>
      <c r="F763" t="s">
        <v>75</v>
      </c>
      <c r="G763" t="s">
        <v>456</v>
      </c>
      <c r="H763" t="s">
        <v>457</v>
      </c>
    </row>
    <row r="764" spans="1:8">
      <c r="A764" t="s">
        <v>460</v>
      </c>
      <c r="B764">
        <v>2010</v>
      </c>
      <c r="C764" t="s">
        <v>143</v>
      </c>
      <c r="D764">
        <v>5.5</v>
      </c>
      <c r="E764" t="s">
        <v>455</v>
      </c>
      <c r="F764" t="s">
        <v>75</v>
      </c>
      <c r="G764" t="s">
        <v>456</v>
      </c>
      <c r="H764" t="s">
        <v>457</v>
      </c>
    </row>
    <row r="765" spans="1:8">
      <c r="A765" t="s">
        <v>459</v>
      </c>
      <c r="B765">
        <v>2011</v>
      </c>
      <c r="C765" t="s">
        <v>143</v>
      </c>
      <c r="D765">
        <v>19.3</v>
      </c>
      <c r="E765" t="s">
        <v>455</v>
      </c>
      <c r="F765" t="s">
        <v>75</v>
      </c>
      <c r="G765" t="s">
        <v>456</v>
      </c>
      <c r="H765" t="s">
        <v>457</v>
      </c>
    </row>
    <row r="766" spans="1:8">
      <c r="A766" t="s">
        <v>460</v>
      </c>
      <c r="B766">
        <v>2011</v>
      </c>
      <c r="C766" t="s">
        <v>143</v>
      </c>
      <c r="D766">
        <v>6.6</v>
      </c>
      <c r="E766" t="s">
        <v>455</v>
      </c>
      <c r="F766" t="s">
        <v>75</v>
      </c>
      <c r="G766" t="s">
        <v>456</v>
      </c>
      <c r="H766" t="s">
        <v>457</v>
      </c>
    </row>
    <row r="767" spans="1:8">
      <c r="A767" t="s">
        <v>459</v>
      </c>
      <c r="B767">
        <v>2012</v>
      </c>
      <c r="C767" t="s">
        <v>143</v>
      </c>
      <c r="D767">
        <v>17.7</v>
      </c>
      <c r="E767" t="s">
        <v>455</v>
      </c>
      <c r="F767" t="s">
        <v>75</v>
      </c>
      <c r="G767" t="s">
        <v>456</v>
      </c>
      <c r="H767" t="s">
        <v>457</v>
      </c>
    </row>
    <row r="768" spans="1:8">
      <c r="A768" t="s">
        <v>460</v>
      </c>
      <c r="B768">
        <v>2012</v>
      </c>
      <c r="C768" t="s">
        <v>143</v>
      </c>
      <c r="D768">
        <v>6.9</v>
      </c>
      <c r="E768" t="s">
        <v>455</v>
      </c>
      <c r="F768" t="s">
        <v>75</v>
      </c>
      <c r="G768" t="s">
        <v>456</v>
      </c>
      <c r="H768" t="s">
        <v>457</v>
      </c>
    </row>
    <row r="769" spans="1:8">
      <c r="A769" t="s">
        <v>459</v>
      </c>
      <c r="B769">
        <v>2013</v>
      </c>
      <c r="C769" t="s">
        <v>143</v>
      </c>
      <c r="D769">
        <v>18.7</v>
      </c>
      <c r="E769" t="s">
        <v>455</v>
      </c>
      <c r="F769" t="s">
        <v>75</v>
      </c>
      <c r="G769" t="s">
        <v>456</v>
      </c>
      <c r="H769" t="s">
        <v>457</v>
      </c>
    </row>
    <row r="770" spans="1:8">
      <c r="A770" t="s">
        <v>460</v>
      </c>
      <c r="B770">
        <v>2013</v>
      </c>
      <c r="C770" t="s">
        <v>143</v>
      </c>
      <c r="D770">
        <v>7.4</v>
      </c>
      <c r="E770" t="s">
        <v>455</v>
      </c>
      <c r="F770" t="s">
        <v>75</v>
      </c>
      <c r="G770" t="s">
        <v>456</v>
      </c>
      <c r="H770" t="s">
        <v>457</v>
      </c>
    </row>
    <row r="771" spans="1:8">
      <c r="A771" t="s">
        <v>459</v>
      </c>
      <c r="B771">
        <v>2014</v>
      </c>
      <c r="C771" t="s">
        <v>143</v>
      </c>
      <c r="D771">
        <v>18.2</v>
      </c>
      <c r="E771" t="s">
        <v>455</v>
      </c>
      <c r="F771" t="s">
        <v>75</v>
      </c>
      <c r="G771" t="s">
        <v>456</v>
      </c>
      <c r="H771" t="s">
        <v>457</v>
      </c>
    </row>
    <row r="772" spans="1:8">
      <c r="A772" t="s">
        <v>460</v>
      </c>
      <c r="B772">
        <v>2014</v>
      </c>
      <c r="C772" t="s">
        <v>143</v>
      </c>
      <c r="D772">
        <v>6.8</v>
      </c>
      <c r="E772" t="s">
        <v>455</v>
      </c>
      <c r="F772" t="s">
        <v>75</v>
      </c>
      <c r="G772" t="s">
        <v>456</v>
      </c>
      <c r="H772" t="s">
        <v>457</v>
      </c>
    </row>
    <row r="773" spans="1:8">
      <c r="A773" t="s">
        <v>459</v>
      </c>
      <c r="B773">
        <v>2015</v>
      </c>
      <c r="C773" t="s">
        <v>143</v>
      </c>
      <c r="D773">
        <v>18.7</v>
      </c>
      <c r="E773" t="s">
        <v>455</v>
      </c>
      <c r="F773" t="s">
        <v>75</v>
      </c>
      <c r="G773" t="s">
        <v>456</v>
      </c>
      <c r="H773" t="s">
        <v>457</v>
      </c>
    </row>
    <row r="774" spans="1:8">
      <c r="A774" t="s">
        <v>460</v>
      </c>
      <c r="B774">
        <v>2015</v>
      </c>
      <c r="C774" t="s">
        <v>143</v>
      </c>
      <c r="D774">
        <v>6.2</v>
      </c>
      <c r="E774" t="s">
        <v>455</v>
      </c>
      <c r="F774" t="s">
        <v>75</v>
      </c>
      <c r="G774" t="s">
        <v>456</v>
      </c>
      <c r="H774" t="s">
        <v>457</v>
      </c>
    </row>
    <row r="775" spans="1:8">
      <c r="A775" t="s">
        <v>459</v>
      </c>
      <c r="B775">
        <v>2016</v>
      </c>
      <c r="C775" t="s">
        <v>143</v>
      </c>
      <c r="D775">
        <v>18.899999999999999</v>
      </c>
      <c r="E775" t="s">
        <v>455</v>
      </c>
      <c r="F775" t="s">
        <v>75</v>
      </c>
      <c r="G775" t="s">
        <v>456</v>
      </c>
      <c r="H775" t="s">
        <v>457</v>
      </c>
    </row>
    <row r="776" spans="1:8">
      <c r="A776" t="s">
        <v>460</v>
      </c>
      <c r="B776">
        <v>2016</v>
      </c>
      <c r="C776" t="s">
        <v>143</v>
      </c>
      <c r="D776">
        <v>6.2</v>
      </c>
      <c r="E776" t="s">
        <v>455</v>
      </c>
      <c r="F776" t="s">
        <v>75</v>
      </c>
      <c r="G776" t="s">
        <v>456</v>
      </c>
      <c r="H776" t="s">
        <v>457</v>
      </c>
    </row>
    <row r="777" spans="1:8">
      <c r="A777" t="s">
        <v>459</v>
      </c>
      <c r="B777">
        <v>2017</v>
      </c>
      <c r="C777" t="s">
        <v>143</v>
      </c>
      <c r="D777">
        <v>19.5</v>
      </c>
      <c r="E777" t="s">
        <v>455</v>
      </c>
      <c r="F777" t="s">
        <v>75</v>
      </c>
      <c r="G777" t="s">
        <v>456</v>
      </c>
      <c r="H777" t="s">
        <v>457</v>
      </c>
    </row>
    <row r="778" spans="1:8">
      <c r="A778" t="s">
        <v>460</v>
      </c>
      <c r="B778">
        <v>2017</v>
      </c>
      <c r="C778" t="s">
        <v>143</v>
      </c>
      <c r="D778">
        <v>6.4</v>
      </c>
      <c r="E778" t="s">
        <v>455</v>
      </c>
      <c r="F778" t="s">
        <v>75</v>
      </c>
      <c r="G778" t="s">
        <v>456</v>
      </c>
      <c r="H778" t="s">
        <v>457</v>
      </c>
    </row>
    <row r="779" spans="1:8">
      <c r="A779" t="s">
        <v>459</v>
      </c>
      <c r="B779">
        <v>2018</v>
      </c>
      <c r="C779" t="s">
        <v>143</v>
      </c>
      <c r="D779">
        <v>20.9</v>
      </c>
      <c r="E779" t="s">
        <v>455</v>
      </c>
      <c r="F779" t="s">
        <v>75</v>
      </c>
      <c r="G779" t="s">
        <v>456</v>
      </c>
      <c r="H779" t="s">
        <v>457</v>
      </c>
    </row>
    <row r="780" spans="1:8">
      <c r="A780" t="s">
        <v>460</v>
      </c>
      <c r="B780">
        <v>2018</v>
      </c>
      <c r="C780" t="s">
        <v>143</v>
      </c>
      <c r="D780">
        <v>5.7</v>
      </c>
      <c r="E780" t="s">
        <v>455</v>
      </c>
      <c r="F780" t="s">
        <v>75</v>
      </c>
      <c r="G780" t="s">
        <v>456</v>
      </c>
      <c r="H780" t="s">
        <v>457</v>
      </c>
    </row>
    <row r="781" spans="1:8">
      <c r="A781" t="s">
        <v>459</v>
      </c>
      <c r="B781">
        <v>2019</v>
      </c>
      <c r="C781" t="s">
        <v>143</v>
      </c>
      <c r="D781">
        <v>21.7</v>
      </c>
      <c r="E781" t="s">
        <v>455</v>
      </c>
      <c r="F781" t="s">
        <v>75</v>
      </c>
      <c r="G781" t="s">
        <v>456</v>
      </c>
      <c r="H781" t="s">
        <v>457</v>
      </c>
    </row>
    <row r="782" spans="1:8">
      <c r="A782" t="s">
        <v>460</v>
      </c>
      <c r="B782">
        <v>2019</v>
      </c>
      <c r="C782" t="s">
        <v>143</v>
      </c>
      <c r="D782">
        <v>4.9000000000000004</v>
      </c>
      <c r="E782" t="s">
        <v>455</v>
      </c>
      <c r="F782" t="s">
        <v>75</v>
      </c>
      <c r="G782" t="s">
        <v>456</v>
      </c>
      <c r="H782" t="s">
        <v>457</v>
      </c>
    </row>
    <row r="783" spans="1:8">
      <c r="A783" t="s">
        <v>459</v>
      </c>
      <c r="B783">
        <v>2020</v>
      </c>
      <c r="C783" t="s">
        <v>143</v>
      </c>
      <c r="D783">
        <v>21.8</v>
      </c>
      <c r="E783" t="s">
        <v>455</v>
      </c>
      <c r="F783" t="s">
        <v>75</v>
      </c>
      <c r="G783" t="s">
        <v>456</v>
      </c>
      <c r="H783" t="s">
        <v>457</v>
      </c>
    </row>
    <row r="784" spans="1:8">
      <c r="A784" t="s">
        <v>460</v>
      </c>
      <c r="B784">
        <v>2020</v>
      </c>
      <c r="C784" t="s">
        <v>143</v>
      </c>
      <c r="D784">
        <v>4.8</v>
      </c>
      <c r="E784" t="s">
        <v>455</v>
      </c>
      <c r="F784" t="s">
        <v>75</v>
      </c>
      <c r="G784" t="s">
        <v>456</v>
      </c>
      <c r="H784" t="s">
        <v>457</v>
      </c>
    </row>
    <row r="785" spans="1:8">
      <c r="A785" t="s">
        <v>459</v>
      </c>
      <c r="B785">
        <v>2021</v>
      </c>
      <c r="C785" t="s">
        <v>143</v>
      </c>
      <c r="D785">
        <v>20.2</v>
      </c>
      <c r="E785" t="s">
        <v>455</v>
      </c>
      <c r="F785" t="s">
        <v>75</v>
      </c>
      <c r="G785" t="s">
        <v>456</v>
      </c>
      <c r="H785" t="s">
        <v>457</v>
      </c>
    </row>
    <row r="786" spans="1:8">
      <c r="A786" t="s">
        <v>460</v>
      </c>
      <c r="B786">
        <v>2021</v>
      </c>
      <c r="C786" t="s">
        <v>143</v>
      </c>
      <c r="D786">
        <v>5.9</v>
      </c>
      <c r="E786" t="s">
        <v>455</v>
      </c>
      <c r="F786" t="s">
        <v>75</v>
      </c>
      <c r="G786" t="s">
        <v>456</v>
      </c>
      <c r="H786" t="s">
        <v>457</v>
      </c>
    </row>
    <row r="787" spans="1:8">
      <c r="A787" t="s">
        <v>459</v>
      </c>
      <c r="B787">
        <v>2022</v>
      </c>
      <c r="C787" t="s">
        <v>143</v>
      </c>
      <c r="D787">
        <v>20.100000000000001</v>
      </c>
      <c r="E787" t="s">
        <v>455</v>
      </c>
      <c r="F787" t="s">
        <v>75</v>
      </c>
      <c r="G787" t="s">
        <v>456</v>
      </c>
      <c r="H787" t="s">
        <v>457</v>
      </c>
    </row>
    <row r="788" spans="1:8">
      <c r="A788" t="s">
        <v>460</v>
      </c>
      <c r="B788">
        <v>2022</v>
      </c>
      <c r="C788" t="s">
        <v>143</v>
      </c>
      <c r="D788">
        <v>7.1</v>
      </c>
      <c r="E788" t="s">
        <v>455</v>
      </c>
      <c r="F788" t="s">
        <v>75</v>
      </c>
      <c r="G788" t="s">
        <v>456</v>
      </c>
      <c r="H788" t="s">
        <v>457</v>
      </c>
    </row>
    <row r="789" spans="1:8">
      <c r="A789" t="s">
        <v>459</v>
      </c>
      <c r="B789">
        <v>2023</v>
      </c>
      <c r="C789" t="s">
        <v>143</v>
      </c>
      <c r="E789" t="s">
        <v>455</v>
      </c>
      <c r="F789" t="s">
        <v>75</v>
      </c>
      <c r="G789" t="s">
        <v>456</v>
      </c>
      <c r="H789" t="s">
        <v>457</v>
      </c>
    </row>
    <row r="790" spans="1:8">
      <c r="A790" t="s">
        <v>460</v>
      </c>
      <c r="B790">
        <v>2023</v>
      </c>
      <c r="C790" t="s">
        <v>143</v>
      </c>
      <c r="E790" t="s">
        <v>455</v>
      </c>
      <c r="F790" t="s">
        <v>75</v>
      </c>
      <c r="G790" t="s">
        <v>456</v>
      </c>
      <c r="H790" t="s">
        <v>457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376</v>
      </c>
      <c r="D5">
        <v>1E-3</v>
      </c>
    </row>
    <row r="6" spans="1:4">
      <c r="A6" t="s">
        <v>78</v>
      </c>
      <c r="B6" t="s">
        <v>121</v>
      </c>
      <c r="C6" t="s">
        <v>376</v>
      </c>
      <c r="D6">
        <v>-1E-3</v>
      </c>
    </row>
    <row r="7" spans="1:4">
      <c r="A7" t="s">
        <v>78</v>
      </c>
      <c r="B7" t="s">
        <v>132</v>
      </c>
      <c r="C7" t="s">
        <v>134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2025-12-12T03:12:28Z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