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syn_5\SuppXLS\"/>
    </mc:Choice>
  </mc:AlternateContent>
  <xr:revisionPtr revIDLastSave="0" documentId="8_{846F1CCC-94F7-4D51-92CD-B0528E83EB9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<sst xmlns="http://schemas.openxmlformats.org/spreadsheetml/2006/main" count="58781" uniqueCount="95">
  <si>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</si>
  <si>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</si>
  <si>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</si>
  <si>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</si>
  <si>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</si>
  <si>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</si>
  <si>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</si>
  <si>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</si>
  <si>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</si>
  <si>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</si>
  <si>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</si>
  <si>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</si>
  <si>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</si>
  <si>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</si>
  <si>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</si>
  <si>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</si>
  <si>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</si>
  <si>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</si>
  <si>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</si>
  <si>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</si>
  <si>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</si>
  <si>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</si>
  <si>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</si>
  <si>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</si>
  <si>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</si>
  <si>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</si>
  <si>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</si>
  <si>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</si>
  <si>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</si>
  <si>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</si>
  <si>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</si>
  <si>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</si>
  <si>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</si>
  <si>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</si>
  <si>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</si>
  <si>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</si>
  <si>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</si>
  <si>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</si>
  <si>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</si>
  <si>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</si>
  <si>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</si>
  <si>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</si>
  <si>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</si>
  <si>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</si>
  <si>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</si>
  <si>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</si>
  <si>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</si>
  <si>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</si>
  <si>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</si>
  <si>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</si>
  <si>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</si>
  <si>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</si>
  <si>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</si>
  <si>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</si>
  <si>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</si>
  <si>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</si>
  <si>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</si>
  <si>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</si>
  <si>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</si>
  <si>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</si>
  <si>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</si>
  <si>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</si>
  <si>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</si>
  <si>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</si>
  <si>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</si>
  <si>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</si>
  <si>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</si>
  <si>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</si>
  <si>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</si>
  <si>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</si>
  <si>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</si>
  <si>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</si>
  <si>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</si>
  <si>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</si>
  <si>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</si>
  <si>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</si>
  <si>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</si>
  <si>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</si>
  <si>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</si>
  <si>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</si>
  <si>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</si>
  <si>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</si>
  <si>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</si>
  <si>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</si>
  <si>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FRA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</si>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</sst>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469.34000000000003</c:v>
                </c:pt>
                <c:pt idx="1">
                  <c:v>543.0094109559077</c:v>
                </c:pt>
                <c:pt idx="2">
                  <c:v>599.06445548576608</c:v>
                </c:pt>
                <c:pt idx="3">
                  <c:v>630.89057966938537</c:v>
                </c:pt>
                <c:pt idx="4">
                  <c:v>645.39566576044501</c:v>
                </c:pt>
                <c:pt idx="5">
                  <c:v>650.32358176307002</c:v>
                </c:pt>
                <c:pt idx="6">
                  <c:v>668.89126527296025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31.149999999999995</c:v>
                </c:pt>
                <c:pt idx="1">
                  <c:v>31.300751235881819</c:v>
                </c:pt>
                <c:pt idx="2">
                  <c:v>22.054819419118203</c:v>
                </c:pt>
                <c:pt idx="3">
                  <c:v>24.772445208661221</c:v>
                </c:pt>
                <c:pt idx="4">
                  <c:v>33.78965845981044</c:v>
                </c:pt>
                <c:pt idx="5">
                  <c:v>69.890475909837818</c:v>
                </c:pt>
                <c:pt idx="6">
                  <c:v>92.618060514875651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469.34000000000003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469.34000000000003</v>
      </c>
      <c r="S12" s="8">
        <f t="shared" ref="S12:X12" si="0">SUM(S17:S20)</f>
        <v>543.0094109559077</v>
      </c>
      <c r="T12" s="8">
        <f t="shared" si="0"/>
        <v>599.06445548576608</v>
      </c>
      <c r="U12" s="8">
        <f t="shared" si="0"/>
        <v>630.89057966938537</v>
      </c>
      <c r="V12" s="8">
        <f t="shared" si="0"/>
        <v>645.39566576044501</v>
      </c>
      <c r="W12" s="8">
        <f t="shared" si="0"/>
        <v>650.32358176307002</v>
      </c>
      <c r="X12" s="8">
        <f t="shared" si="0"/>
        <v>668.89126527296025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8.4499999999999992E-3</v>
      </c>
      <c r="H16" s="10">
        <f>SUMIFS(ngfs_median!$J$2:$J$17119,ngfs_median!$B$2:$B$17119,Veda!$C$5,ngfs_median!$H$2:$H$17119,Veda!$Q16,ngfs_median!$I$2:$I$17119,Veda!H$15)</f>
        <v>3.875E-2</v>
      </c>
      <c r="I16" s="10">
        <f>SUMIFS(ngfs_median!$J$2:$J$17119,ngfs_median!$B$2:$B$17119,Veda!$C$5,ngfs_median!$H$2:$H$17119,Veda!$Q16,ngfs_median!$I$2:$I$17119,Veda!I$15)</f>
        <v>7.1599999999999997E-2</v>
      </c>
      <c r="J16" s="10">
        <f>SUMIFS(ngfs_median!$J$2:$J$17119,ngfs_median!$B$2:$B$17119,Veda!$C$5,ngfs_median!$H$2:$H$17119,Veda!$Q16,ngfs_median!$I$2:$I$17119,Veda!J$15)</f>
        <v>8.7550000000000003E-2</v>
      </c>
      <c r="K16" s="10">
        <f>SUMIFS(ngfs_median!$J$2:$J$17119,ngfs_median!$B$2:$B$17119,Veda!$C$5,ngfs_median!$H$2:$H$17119,Veda!$Q16,ngfs_median!$I$2:$I$17119,Veda!K$15)</f>
        <v>9.0400000000000008E-2</v>
      </c>
      <c r="L16" s="10">
        <f>SUMIFS(ngfs_median!$J$2:$J$17119,ngfs_median!$B$2:$B$17119,Veda!$C$5,ngfs_median!$H$2:$H$17119,Veda!$Q16,ngfs_median!$I$2:$I$17119,Veda!L$15)</f>
        <v>9.6700000000000008E-2</v>
      </c>
      <c r="M16" s="10">
        <f>SUMIFS(ngfs_median!$J$2:$J$17119,ngfs_median!$B$2:$B$17119,Veda!$C$5,ngfs_median!$H$2:$H$17119,Veda!$Q16,ngfs_median!$I$2:$I$17119,Veda!M$15)</f>
        <v>0.1211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9.1249999999999982</v>
      </c>
      <c r="U16" s="6">
        <f t="shared" si="2"/>
        <v>13.555555555555555</v>
      </c>
      <c r="V16" s="6">
        <f t="shared" si="2"/>
        <v>14.347222222222225</v>
      </c>
      <c r="W16" s="6">
        <f t="shared" si="2"/>
        <v>16.097222222222225</v>
      </c>
      <c r="X16" s="6">
        <f t="shared" si="2"/>
        <v>22.875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5.3650000000000003E-2</v>
      </c>
      <c r="H17" s="10">
        <f>SUMIFS(ngfs_median!$J$2:$J$17119,ngfs_median!$B$2:$B$17119,Veda!$C$5,ngfs_median!$H$2:$H$17119,Veda!$Q17,ngfs_median!$I$2:$I$17119,Veda!H$15)</f>
        <v>0.11945</v>
      </c>
      <c r="I17" s="10">
        <f>SUMIFS(ngfs_median!$J$2:$J$17119,ngfs_median!$B$2:$B$17119,Veda!$C$5,ngfs_median!$H$2:$H$17119,Veda!$Q17,ngfs_median!$I$2:$I$17119,Veda!I$15)</f>
        <v>0.2092</v>
      </c>
      <c r="J17" s="10">
        <f>SUMIFS(ngfs_median!$J$2:$J$17119,ngfs_median!$B$2:$B$17119,Veda!$C$5,ngfs_median!$H$2:$H$17119,Veda!$Q17,ngfs_median!$I$2:$I$17119,Veda!J$15)</f>
        <v>0.29120000000000001</v>
      </c>
      <c r="K17" s="10">
        <f>SUMIFS(ngfs_median!$J$2:$J$17119,ngfs_median!$B$2:$B$17119,Veda!$C$5,ngfs_median!$H$2:$H$17119,Veda!$Q17,ngfs_median!$I$2:$I$17119,Veda!K$15)</f>
        <v>0.33230000000000004</v>
      </c>
      <c r="L17" s="10">
        <f>SUMIFS(ngfs_median!$J$2:$J$17119,ngfs_median!$B$2:$B$17119,Veda!$C$5,ngfs_median!$H$2:$H$17119,Veda!$Q17,ngfs_median!$I$2:$I$17119,Veda!L$15)</f>
        <v>0.3508</v>
      </c>
      <c r="M17" s="10">
        <f>SUMIFS(ngfs_median!$J$2:$J$17119,ngfs_median!$B$2:$B$17119,Veda!$C$5,ngfs_median!$H$2:$H$17119,Veda!$Q17,ngfs_median!$I$2:$I$17119,Veda!M$15)</f>
        <v>0.36614999999999998</v>
      </c>
      <c r="Q17" s="12" t="s">
        <v>10</v>
      </c>
      <c r="R17" s="6">
        <f>$Q$10*G17/SUM($G$17:$G$19)</f>
        <v>15.737065091715888</v>
      </c>
      <c r="S17" s="6">
        <f>R17</f>
        <v>15.737065091715888</v>
      </c>
      <c r="T17" s="6">
        <f t="shared" ref="T17:X17" si="3">S17</f>
        <v>15.737065091715888</v>
      </c>
      <c r="U17" s="6">
        <f t="shared" si="3"/>
        <v>15.737065091715888</v>
      </c>
      <c r="V17" s="6">
        <f t="shared" si="3"/>
        <v>15.737065091715888</v>
      </c>
      <c r="W17" s="6">
        <f t="shared" si="3"/>
        <v>15.737065091715888</v>
      </c>
      <c r="X17" s="6">
        <f t="shared" si="3"/>
        <v>15.737065091715888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1.09135</v>
      </c>
      <c r="H18" s="10">
        <f>SUMIFS(ngfs_median!$J$2:$J$17119,ngfs_median!$B$2:$B$17119,Veda!$C$5,ngfs_median!$H$2:$H$17119,Veda!$Q18,ngfs_median!$I$2:$I$17119,Veda!H$15)</f>
        <v>1.2016499999999999</v>
      </c>
      <c r="I18" s="10">
        <f>SUMIFS(ngfs_median!$J$2:$J$17119,ngfs_median!$B$2:$B$17119,Veda!$C$5,ngfs_median!$H$2:$H$17119,Veda!$Q18,ngfs_median!$I$2:$I$17119,Veda!I$15)</f>
        <v>1.2723</v>
      </c>
      <c r="J18" s="10">
        <f>SUMIFS(ngfs_median!$J$2:$J$17119,ngfs_median!$B$2:$B$17119,Veda!$C$5,ngfs_median!$H$2:$H$17119,Veda!$Q18,ngfs_median!$I$2:$I$17119,Veda!J$15)</f>
        <v>1.28955</v>
      </c>
      <c r="K18" s="10">
        <f>SUMIFS(ngfs_median!$J$2:$J$17119,ngfs_median!$B$2:$B$17119,Veda!$C$5,ngfs_median!$H$2:$H$17119,Veda!$Q18,ngfs_median!$I$2:$I$17119,Veda!K$15)</f>
        <v>1.29165</v>
      </c>
      <c r="L18" s="10">
        <f>SUMIFS(ngfs_median!$J$2:$J$17119,ngfs_median!$B$2:$B$17119,Veda!$C$5,ngfs_median!$H$2:$H$17119,Veda!$Q18,ngfs_median!$I$2:$I$17119,Veda!L$15)</f>
        <v>1.2862</v>
      </c>
      <c r="M18" s="10">
        <f>SUMIFS(ngfs_median!$J$2:$J$17119,ngfs_median!$B$2:$B$17119,Veda!$C$5,ngfs_median!$H$2:$H$17119,Veda!$Q18,ngfs_median!$I$2:$I$17119,Veda!M$15)</f>
        <v>1.3176000000000001</v>
      </c>
      <c r="Q18" s="12" t="s">
        <v>12</v>
      </c>
      <c r="R18" s="6">
        <f>$Q$10*G18/SUM($G$17:$G$19)</f>
        <v>320.1238767538515</v>
      </c>
      <c r="S18" s="6">
        <f t="shared" ref="S18:X19" si="4">R18*H18/G18</f>
        <v>352.47799193775194</v>
      </c>
      <c r="T18" s="6">
        <f t="shared" si="4"/>
        <v>373.2016386987907</v>
      </c>
      <c r="U18" s="6">
        <f t="shared" si="4"/>
        <v>378.2615524514859</v>
      </c>
      <c r="V18" s="6">
        <f t="shared" si="4"/>
        <v>378.87754195181401</v>
      </c>
      <c r="W18" s="6">
        <f t="shared" si="4"/>
        <v>377.27890253429581</v>
      </c>
      <c r="X18" s="6">
        <f t="shared" si="4"/>
        <v>386.48941220586863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0.45504999999999995</v>
      </c>
      <c r="H19" s="10">
        <f>SUMIFS(ngfs_median!$J$2:$J$17119,ngfs_median!$B$2:$B$17119,Veda!$C$5,ngfs_median!$H$2:$H$17119,Veda!$Q19,ngfs_median!$I$2:$I$17119,Veda!H$15)</f>
        <v>0.53010000000000002</v>
      </c>
      <c r="I19" s="10">
        <f>SUMIFS(ngfs_median!$J$2:$J$17119,ngfs_median!$B$2:$B$17119,Veda!$C$5,ngfs_median!$H$2:$H$17119,Veda!$Q19,ngfs_median!$I$2:$I$17119,Veda!I$15)</f>
        <v>0.56079999999999997</v>
      </c>
      <c r="J19" s="10">
        <f>SUMIFS(ngfs_median!$J$2:$J$17119,ngfs_median!$B$2:$B$17119,Veda!$C$5,ngfs_median!$H$2:$H$17119,Veda!$Q19,ngfs_median!$I$2:$I$17119,Veda!J$15)</f>
        <v>0.57004999999999995</v>
      </c>
      <c r="K19" s="10">
        <f>SUMIFS(ngfs_median!$J$2:$J$17119,ngfs_median!$B$2:$B$17119,Veda!$C$5,ngfs_median!$H$2:$H$17119,Veda!$Q19,ngfs_median!$I$2:$I$17119,Veda!K$15)</f>
        <v>0.57630000000000003</v>
      </c>
      <c r="L19" s="10">
        <f>SUMIFS(ngfs_median!$J$2:$J$17119,ngfs_median!$B$2:$B$17119,Veda!$C$5,ngfs_median!$H$2:$H$17119,Veda!$Q19,ngfs_median!$I$2:$I$17119,Veda!L$15)</f>
        <v>0.58004999999999995</v>
      </c>
      <c r="M19" s="10">
        <f>SUMIFS(ngfs_median!$J$2:$J$17119,ngfs_median!$B$2:$B$17119,Veda!$C$5,ngfs_median!$H$2:$H$17119,Veda!$Q19,ngfs_median!$I$2:$I$17119,Veda!M$15)</f>
        <v>0.59660000000000002</v>
      </c>
      <c r="Q19" s="12" t="s">
        <v>13</v>
      </c>
      <c r="R19" s="6">
        <f>$Q$10*G19/SUM($G$17:$G$19)</f>
        <v>133.47905815443266</v>
      </c>
      <c r="S19" s="6">
        <f t="shared" si="4"/>
        <v>155.49334958282554</v>
      </c>
      <c r="T19" s="6">
        <f t="shared" si="4"/>
        <v>164.49852942095561</v>
      </c>
      <c r="U19" s="6">
        <f t="shared" si="4"/>
        <v>167.21181650573422</v>
      </c>
      <c r="V19" s="6">
        <f t="shared" si="4"/>
        <v>169.0451185900441</v>
      </c>
      <c r="W19" s="6">
        <f t="shared" si="4"/>
        <v>170.14509984063</v>
      </c>
      <c r="X19" s="6">
        <f t="shared" si="4"/>
        <v>174.99968375988254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19.301004343614256</v>
      </c>
      <c r="T20" s="6">
        <f t="shared" si="5"/>
        <v>45.627222274303932</v>
      </c>
      <c r="U20" s="6">
        <f t="shared" si="5"/>
        <v>69.680145620449366</v>
      </c>
      <c r="V20" s="6">
        <f t="shared" si="5"/>
        <v>81.735940126871043</v>
      </c>
      <c r="W20" s="6">
        <f t="shared" si="5"/>
        <v>87.162514296428242</v>
      </c>
      <c r="X20" s="6">
        <f t="shared" si="5"/>
        <v>91.665104215493258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31.149999999999995</v>
      </c>
      <c r="D22" s="12" t="s">
        <v>79</v>
      </c>
      <c r="G22" s="8">
        <f>G35/$G$35*$B22</f>
        <v>31.149999999999995</v>
      </c>
      <c r="H22" s="8">
        <f t="shared" ref="H22:M22" si="6">H35/$G$35*$B22</f>
        <v>31.300751235881819</v>
      </c>
      <c r="I22" s="8">
        <f t="shared" si="6"/>
        <v>22.054819419118203</v>
      </c>
      <c r="J22" s="8">
        <f t="shared" si="6"/>
        <v>24.772445208661221</v>
      </c>
      <c r="K22" s="8">
        <f t="shared" si="6"/>
        <v>33.78965845981044</v>
      </c>
      <c r="L22" s="8">
        <f t="shared" si="6"/>
        <v>69.890475909837818</v>
      </c>
      <c r="M22" s="8">
        <f t="shared" si="6"/>
        <v>92.618060514875651</v>
      </c>
      <c r="Q22" t="s">
        <v>64</v>
      </c>
      <c r="T22" s="8">
        <f>I35*1000</f>
        <v>10211.700000000001</v>
      </c>
      <c r="U22" s="8">
        <f>J35*1000</f>
        <v>11469.999999999998</v>
      </c>
      <c r="V22" s="8">
        <f>K35*1000</f>
        <v>15645.100000000002</v>
      </c>
      <c r="W22" s="8">
        <f>L35*1000</f>
        <v>32360.300000000003</v>
      </c>
      <c r="X22" s="8">
        <f>M35*1000</f>
        <v>42883.500000000007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14.94</v>
      </c>
      <c r="S26" s="3">
        <f>AVERAGEIFS(historical_data_long!$D$3:$D$9999,historical_data_long!$B$3:$B$9999,"&gt;2017",historical_data_long!$A$3:$A$9999,$O26)</f>
        <v>2.4899999999999998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43.484999999999992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14.4229</v>
      </c>
      <c r="H35" s="11">
        <f>SUMIFS(ngfs_median!$J$2:$J$17119,ngfs_median!$B$2:$B$17119,Veda!$C$5,ngfs_median!$D$2:$D$17119,Veda!$D22,ngfs_median!$I$2:$I$17119,Veda!H$15)</f>
        <v>14.492700000000001</v>
      </c>
      <c r="I35" s="11">
        <f>SUMIFS(ngfs_median!$J$2:$J$17119,ngfs_median!$B$2:$B$17119,Veda!$C$5,ngfs_median!$D$2:$D$17119,Veda!$D22,ngfs_median!$I$2:$I$17119,Veda!I$15)</f>
        <v>10.2117</v>
      </c>
      <c r="J35" s="11">
        <f>SUMIFS(ngfs_median!$J$2:$J$17119,ngfs_median!$B$2:$B$17119,Veda!$C$5,ngfs_median!$D$2:$D$17119,Veda!$D22,ngfs_median!$I$2:$I$17119,Veda!J$15)</f>
        <v>11.469999999999999</v>
      </c>
      <c r="K35" s="11">
        <f>SUMIFS(ngfs_median!$J$2:$J$17119,ngfs_median!$B$2:$B$17119,Veda!$C$5,ngfs_median!$D$2:$D$17119,Veda!$D22,ngfs_median!$I$2:$I$17119,Veda!K$15)</f>
        <v>15.645100000000003</v>
      </c>
      <c r="L35" s="11">
        <f>SUMIFS(ngfs_median!$J$2:$J$17119,ngfs_median!$B$2:$B$17119,Veda!$C$5,ngfs_median!$D$2:$D$17119,Veda!$D22,ngfs_median!$I$2:$I$17119,Veda!L$15)</f>
        <v>32.360300000000002</v>
      </c>
      <c r="M35" s="11">
        <f>SUMIFS(ngfs_median!$J$2:$J$17119,ngfs_median!$B$2:$B$17119,Veda!$C$5,ngfs_median!$D$2:$D$17119,Veda!$D22,ngfs_median!$I$2:$I$17119,Veda!M$15)</f>
        <v>42.883500000000005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9.1</v>
      </c>
      <c r="T41">
        <v>11.285</v>
      </c>
      <c r="U41">
        <v>14.41</v>
      </c>
      <c r="V41" t="s">
        <v>94</v>
      </c>
    </row>
    <row r="42" spans="7:22" x14ac:dyDescent="0.45">
      <c r="Q42" t="s">
        <v>39</v>
      </c>
      <c r="R42" t="s">
        <v>93</v>
      </c>
      <c r="S42">
        <v>7.25</v>
      </c>
      <c r="T42">
        <v>14.8</v>
      </c>
      <c r="U42">
        <v>17.3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2.48</v>
      </c>
    </row>
    <row r="3" spans="1:4" x14ac:dyDescent="0.45">
      <c r="A3" t="s">
        <v>34</v>
      </c>
      <c r="B3">
        <v>2000</v>
      </c>
      <c r="C3" t="s">
        <v>74</v>
      </c>
      <c r="D3">
        <v>27</v>
      </c>
    </row>
    <row r="4" spans="1:4" x14ac:dyDescent="0.45">
      <c r="A4" t="s">
        <v>36</v>
      </c>
      <c r="B4">
        <v>2000</v>
      </c>
      <c r="C4" t="s">
        <v>74</v>
      </c>
      <c r="D4">
        <v>11.51</v>
      </c>
    </row>
    <row r="5" spans="1:4" x14ac:dyDescent="0.45">
      <c r="A5" t="s">
        <v>56</v>
      </c>
      <c r="B5">
        <v>2000</v>
      </c>
      <c r="C5" t="s">
        <v>74</v>
      </c>
      <c r="D5">
        <v>64.78</v>
      </c>
    </row>
    <row r="6" spans="1:4" x14ac:dyDescent="0.45">
      <c r="A6" t="s">
        <v>57</v>
      </c>
      <c r="B6">
        <v>2000</v>
      </c>
      <c r="C6" t="s">
        <v>74</v>
      </c>
      <c r="D6">
        <v>415.16</v>
      </c>
    </row>
    <row r="7" spans="1:4" x14ac:dyDescent="0.45">
      <c r="A7" t="s">
        <v>38</v>
      </c>
      <c r="B7">
        <v>2000</v>
      </c>
      <c r="C7" t="s">
        <v>74</v>
      </c>
      <c r="D7">
        <v>11.06</v>
      </c>
    </row>
    <row r="8" spans="1:4" x14ac:dyDescent="0.45">
      <c r="A8" t="s">
        <v>32</v>
      </c>
      <c r="B8">
        <v>2000</v>
      </c>
      <c r="C8" t="s">
        <v>74</v>
      </c>
      <c r="D8">
        <v>0.51</v>
      </c>
    </row>
    <row r="9" spans="1:4" x14ac:dyDescent="0.45">
      <c r="A9" t="s">
        <v>58</v>
      </c>
      <c r="B9">
        <v>2000</v>
      </c>
      <c r="C9" t="s">
        <v>74</v>
      </c>
      <c r="D9">
        <v>0.01</v>
      </c>
    </row>
    <row r="10" spans="1:4" x14ac:dyDescent="0.45">
      <c r="A10" t="s">
        <v>91</v>
      </c>
      <c r="B10">
        <v>2000</v>
      </c>
      <c r="C10" t="s">
        <v>74</v>
      </c>
      <c r="D10">
        <v>0.05</v>
      </c>
    </row>
    <row r="11" spans="1:4" x14ac:dyDescent="0.45">
      <c r="A11" t="s">
        <v>32</v>
      </c>
      <c r="B11">
        <v>2001</v>
      </c>
      <c r="C11" t="s">
        <v>74</v>
      </c>
      <c r="D11">
        <v>2.85</v>
      </c>
    </row>
    <row r="12" spans="1:4" x14ac:dyDescent="0.45">
      <c r="A12" t="s">
        <v>34</v>
      </c>
      <c r="B12">
        <v>2001</v>
      </c>
      <c r="C12" t="s">
        <v>74</v>
      </c>
      <c r="D12">
        <v>20.48</v>
      </c>
    </row>
    <row r="13" spans="1:4" x14ac:dyDescent="0.45">
      <c r="A13" t="s">
        <v>36</v>
      </c>
      <c r="B13">
        <v>2001</v>
      </c>
      <c r="C13" t="s">
        <v>74</v>
      </c>
      <c r="D13">
        <v>15.15</v>
      </c>
    </row>
    <row r="14" spans="1:4" x14ac:dyDescent="0.45">
      <c r="A14" t="s">
        <v>56</v>
      </c>
      <c r="B14">
        <v>2001</v>
      </c>
      <c r="C14" t="s">
        <v>74</v>
      </c>
      <c r="D14">
        <v>72.62</v>
      </c>
    </row>
    <row r="15" spans="1:4" x14ac:dyDescent="0.45">
      <c r="A15" t="s">
        <v>57</v>
      </c>
      <c r="B15">
        <v>2001</v>
      </c>
      <c r="C15" t="s">
        <v>74</v>
      </c>
      <c r="D15">
        <v>421.08</v>
      </c>
    </row>
    <row r="16" spans="1:4" x14ac:dyDescent="0.45">
      <c r="A16" t="s">
        <v>38</v>
      </c>
      <c r="B16">
        <v>2001</v>
      </c>
      <c r="C16" t="s">
        <v>74</v>
      </c>
      <c r="D16">
        <v>9.8000000000000007</v>
      </c>
    </row>
    <row r="17" spans="1:4" x14ac:dyDescent="0.45">
      <c r="A17" t="s">
        <v>32</v>
      </c>
      <c r="B17">
        <v>2001</v>
      </c>
      <c r="C17" t="s">
        <v>74</v>
      </c>
      <c r="D17">
        <v>0.48</v>
      </c>
    </row>
    <row r="18" spans="1:4" x14ac:dyDescent="0.45">
      <c r="A18" t="s">
        <v>58</v>
      </c>
      <c r="B18">
        <v>2001</v>
      </c>
      <c r="C18" t="s">
        <v>74</v>
      </c>
      <c r="D18">
        <v>0.01</v>
      </c>
    </row>
    <row r="19" spans="1:4" x14ac:dyDescent="0.45">
      <c r="A19" t="s">
        <v>91</v>
      </c>
      <c r="B19">
        <v>2001</v>
      </c>
      <c r="C19" t="s">
        <v>74</v>
      </c>
      <c r="D19">
        <v>0.13</v>
      </c>
    </row>
    <row r="20" spans="1:4" x14ac:dyDescent="0.45">
      <c r="A20" t="s">
        <v>32</v>
      </c>
      <c r="B20">
        <v>2002</v>
      </c>
      <c r="C20" t="s">
        <v>74</v>
      </c>
      <c r="D20">
        <v>3.04</v>
      </c>
    </row>
    <row r="21" spans="1:4" x14ac:dyDescent="0.45">
      <c r="A21" t="s">
        <v>34</v>
      </c>
      <c r="B21">
        <v>2002</v>
      </c>
      <c r="C21" t="s">
        <v>74</v>
      </c>
      <c r="D21">
        <v>23.66</v>
      </c>
    </row>
    <row r="22" spans="1:4" x14ac:dyDescent="0.45">
      <c r="A22" t="s">
        <v>36</v>
      </c>
      <c r="B22">
        <v>2002</v>
      </c>
      <c r="C22" t="s">
        <v>74</v>
      </c>
      <c r="D22">
        <v>18.37</v>
      </c>
    </row>
    <row r="23" spans="1:4" x14ac:dyDescent="0.45">
      <c r="A23" t="s">
        <v>56</v>
      </c>
      <c r="B23">
        <v>2002</v>
      </c>
      <c r="C23" t="s">
        <v>74</v>
      </c>
      <c r="D23">
        <v>58.88</v>
      </c>
    </row>
    <row r="24" spans="1:4" x14ac:dyDescent="0.45">
      <c r="A24" t="s">
        <v>57</v>
      </c>
      <c r="B24">
        <v>2002</v>
      </c>
      <c r="C24" t="s">
        <v>74</v>
      </c>
      <c r="D24">
        <v>436.76</v>
      </c>
    </row>
    <row r="25" spans="1:4" x14ac:dyDescent="0.45">
      <c r="A25" t="s">
        <v>38</v>
      </c>
      <c r="B25">
        <v>2002</v>
      </c>
      <c r="C25" t="s">
        <v>74</v>
      </c>
      <c r="D25">
        <v>9.76</v>
      </c>
    </row>
    <row r="26" spans="1:4" x14ac:dyDescent="0.45">
      <c r="A26" t="s">
        <v>32</v>
      </c>
      <c r="B26">
        <v>2002</v>
      </c>
      <c r="C26" t="s">
        <v>74</v>
      </c>
      <c r="D26">
        <v>0.49</v>
      </c>
    </row>
    <row r="27" spans="1:4" x14ac:dyDescent="0.45">
      <c r="A27" t="s">
        <v>58</v>
      </c>
      <c r="B27">
        <v>2002</v>
      </c>
      <c r="C27" t="s">
        <v>74</v>
      </c>
      <c r="D27">
        <v>0.01</v>
      </c>
    </row>
    <row r="28" spans="1:4" x14ac:dyDescent="0.45">
      <c r="A28" t="s">
        <v>91</v>
      </c>
      <c r="B28">
        <v>2002</v>
      </c>
      <c r="C28" t="s">
        <v>74</v>
      </c>
      <c r="D28">
        <v>0.27</v>
      </c>
    </row>
    <row r="29" spans="1:4" x14ac:dyDescent="0.45">
      <c r="A29" t="s">
        <v>32</v>
      </c>
      <c r="B29">
        <v>2003</v>
      </c>
      <c r="C29" t="s">
        <v>74</v>
      </c>
      <c r="D29">
        <v>3.23</v>
      </c>
    </row>
    <row r="30" spans="1:4" x14ac:dyDescent="0.45">
      <c r="A30" t="s">
        <v>34</v>
      </c>
      <c r="B30">
        <v>2003</v>
      </c>
      <c r="C30" t="s">
        <v>74</v>
      </c>
      <c r="D30">
        <v>26.26</v>
      </c>
    </row>
    <row r="31" spans="1:4" x14ac:dyDescent="0.45">
      <c r="A31" t="s">
        <v>36</v>
      </c>
      <c r="B31">
        <v>2003</v>
      </c>
      <c r="C31" t="s">
        <v>74</v>
      </c>
      <c r="D31">
        <v>19.37</v>
      </c>
    </row>
    <row r="32" spans="1:4" x14ac:dyDescent="0.45">
      <c r="A32" t="s">
        <v>56</v>
      </c>
      <c r="B32">
        <v>2003</v>
      </c>
      <c r="C32" t="s">
        <v>74</v>
      </c>
      <c r="D32">
        <v>57.35</v>
      </c>
    </row>
    <row r="33" spans="1:4" x14ac:dyDescent="0.45">
      <c r="A33" t="s">
        <v>57</v>
      </c>
      <c r="B33">
        <v>2003</v>
      </c>
      <c r="C33" t="s">
        <v>74</v>
      </c>
      <c r="D33">
        <v>441.07</v>
      </c>
    </row>
    <row r="34" spans="1:4" x14ac:dyDescent="0.45">
      <c r="A34" t="s">
        <v>38</v>
      </c>
      <c r="B34">
        <v>2003</v>
      </c>
      <c r="C34" t="s">
        <v>74</v>
      </c>
      <c r="D34">
        <v>10.96</v>
      </c>
    </row>
    <row r="35" spans="1:4" x14ac:dyDescent="0.45">
      <c r="A35" t="s">
        <v>32</v>
      </c>
      <c r="B35">
        <v>2003</v>
      </c>
      <c r="C35" t="s">
        <v>74</v>
      </c>
      <c r="D35">
        <v>0.49</v>
      </c>
    </row>
    <row r="36" spans="1:4" x14ac:dyDescent="0.45">
      <c r="A36" t="s">
        <v>58</v>
      </c>
      <c r="B36">
        <v>2003</v>
      </c>
      <c r="C36" t="s">
        <v>74</v>
      </c>
      <c r="D36">
        <v>0.01</v>
      </c>
    </row>
    <row r="37" spans="1:4" x14ac:dyDescent="0.45">
      <c r="A37" t="s">
        <v>91</v>
      </c>
      <c r="B37">
        <v>2003</v>
      </c>
      <c r="C37" t="s">
        <v>74</v>
      </c>
      <c r="D37">
        <v>0.39</v>
      </c>
    </row>
    <row r="38" spans="1:4" x14ac:dyDescent="0.45">
      <c r="A38" t="s">
        <v>32</v>
      </c>
      <c r="B38">
        <v>2004</v>
      </c>
      <c r="C38" t="s">
        <v>74</v>
      </c>
      <c r="D38">
        <v>3.31</v>
      </c>
    </row>
    <row r="39" spans="1:4" x14ac:dyDescent="0.45">
      <c r="A39" t="s">
        <v>34</v>
      </c>
      <c r="B39">
        <v>2004</v>
      </c>
      <c r="C39" t="s">
        <v>74</v>
      </c>
      <c r="D39">
        <v>24.37</v>
      </c>
    </row>
    <row r="40" spans="1:4" x14ac:dyDescent="0.45">
      <c r="A40" t="s">
        <v>36</v>
      </c>
      <c r="B40">
        <v>2004</v>
      </c>
      <c r="C40" t="s">
        <v>74</v>
      </c>
      <c r="D40">
        <v>21.05</v>
      </c>
    </row>
    <row r="41" spans="1:4" x14ac:dyDescent="0.45">
      <c r="A41" t="s">
        <v>56</v>
      </c>
      <c r="B41">
        <v>2004</v>
      </c>
      <c r="C41" t="s">
        <v>74</v>
      </c>
      <c r="D41">
        <v>58.04</v>
      </c>
    </row>
    <row r="42" spans="1:4" x14ac:dyDescent="0.45">
      <c r="A42" t="s">
        <v>57</v>
      </c>
      <c r="B42">
        <v>2004</v>
      </c>
      <c r="C42" t="s">
        <v>74</v>
      </c>
      <c r="D42">
        <v>448.24</v>
      </c>
    </row>
    <row r="43" spans="1:4" x14ac:dyDescent="0.45">
      <c r="A43" t="s">
        <v>38</v>
      </c>
      <c r="B43">
        <v>2004</v>
      </c>
      <c r="C43" t="s">
        <v>74</v>
      </c>
      <c r="D43">
        <v>10.220000000000001</v>
      </c>
    </row>
    <row r="44" spans="1:4" x14ac:dyDescent="0.45">
      <c r="A44" t="s">
        <v>32</v>
      </c>
      <c r="B44">
        <v>2004</v>
      </c>
      <c r="C44" t="s">
        <v>74</v>
      </c>
      <c r="D44">
        <v>0.47</v>
      </c>
    </row>
    <row r="45" spans="1:4" x14ac:dyDescent="0.45">
      <c r="A45" t="s">
        <v>58</v>
      </c>
      <c r="B45">
        <v>2004</v>
      </c>
      <c r="C45" t="s">
        <v>74</v>
      </c>
      <c r="D45">
        <v>0.01</v>
      </c>
    </row>
    <row r="46" spans="1:4" x14ac:dyDescent="0.45">
      <c r="A46" t="s">
        <v>91</v>
      </c>
      <c r="B46">
        <v>2004</v>
      </c>
      <c r="C46" t="s">
        <v>74</v>
      </c>
      <c r="D46">
        <v>0.59</v>
      </c>
    </row>
    <row r="47" spans="1:4" x14ac:dyDescent="0.45">
      <c r="A47" t="s">
        <v>32</v>
      </c>
      <c r="B47">
        <v>2005</v>
      </c>
      <c r="C47" t="s">
        <v>74</v>
      </c>
      <c r="D47">
        <v>3.39</v>
      </c>
    </row>
    <row r="48" spans="1:4" x14ac:dyDescent="0.45">
      <c r="A48" t="s">
        <v>34</v>
      </c>
      <c r="B48">
        <v>2005</v>
      </c>
      <c r="C48" t="s">
        <v>74</v>
      </c>
      <c r="D48">
        <v>27.51</v>
      </c>
    </row>
    <row r="49" spans="1:4" x14ac:dyDescent="0.45">
      <c r="A49" t="s">
        <v>36</v>
      </c>
      <c r="B49">
        <v>2005</v>
      </c>
      <c r="C49" t="s">
        <v>74</v>
      </c>
      <c r="D49">
        <v>23.07</v>
      </c>
    </row>
    <row r="50" spans="1:4" x14ac:dyDescent="0.45">
      <c r="A50" t="s">
        <v>56</v>
      </c>
      <c r="B50">
        <v>2005</v>
      </c>
      <c r="C50" t="s">
        <v>74</v>
      </c>
      <c r="D50">
        <v>50.14</v>
      </c>
    </row>
    <row r="51" spans="1:4" x14ac:dyDescent="0.45">
      <c r="A51" t="s">
        <v>57</v>
      </c>
      <c r="B51">
        <v>2005</v>
      </c>
      <c r="C51" t="s">
        <v>74</v>
      </c>
      <c r="D51">
        <v>451.53</v>
      </c>
    </row>
    <row r="52" spans="1:4" x14ac:dyDescent="0.45">
      <c r="A52" t="s">
        <v>38</v>
      </c>
      <c r="B52">
        <v>2005</v>
      </c>
      <c r="C52" t="s">
        <v>74</v>
      </c>
      <c r="D52">
        <v>12.05</v>
      </c>
    </row>
    <row r="53" spans="1:4" x14ac:dyDescent="0.45">
      <c r="A53" t="s">
        <v>32</v>
      </c>
      <c r="B53">
        <v>2005</v>
      </c>
      <c r="C53" t="s">
        <v>74</v>
      </c>
      <c r="D53">
        <v>0.48</v>
      </c>
    </row>
    <row r="54" spans="1:4" x14ac:dyDescent="0.45">
      <c r="A54" t="s">
        <v>58</v>
      </c>
      <c r="B54">
        <v>2005</v>
      </c>
      <c r="C54" t="s">
        <v>74</v>
      </c>
      <c r="D54">
        <v>0.01</v>
      </c>
    </row>
    <row r="55" spans="1:4" x14ac:dyDescent="0.45">
      <c r="A55" t="s">
        <v>91</v>
      </c>
      <c r="B55">
        <v>2005</v>
      </c>
      <c r="C55" t="s">
        <v>74</v>
      </c>
      <c r="D55">
        <v>0.96</v>
      </c>
    </row>
    <row r="56" spans="1:4" x14ac:dyDescent="0.45">
      <c r="A56" t="s">
        <v>32</v>
      </c>
      <c r="B56">
        <v>2006</v>
      </c>
      <c r="C56" t="s">
        <v>74</v>
      </c>
      <c r="D56">
        <v>3.38</v>
      </c>
    </row>
    <row r="57" spans="1:4" x14ac:dyDescent="0.45">
      <c r="A57" t="s">
        <v>34</v>
      </c>
      <c r="B57">
        <v>2006</v>
      </c>
      <c r="C57" t="s">
        <v>74</v>
      </c>
      <c r="D57">
        <v>22.89</v>
      </c>
    </row>
    <row r="58" spans="1:4" x14ac:dyDescent="0.45">
      <c r="A58" t="s">
        <v>36</v>
      </c>
      <c r="B58">
        <v>2006</v>
      </c>
      <c r="C58" t="s">
        <v>74</v>
      </c>
      <c r="D58">
        <v>21.76</v>
      </c>
    </row>
    <row r="59" spans="1:4" x14ac:dyDescent="0.45">
      <c r="A59" t="s">
        <v>56</v>
      </c>
      <c r="B59">
        <v>2006</v>
      </c>
      <c r="C59" t="s">
        <v>74</v>
      </c>
      <c r="D59">
        <v>54.88</v>
      </c>
    </row>
    <row r="60" spans="1:4" x14ac:dyDescent="0.45">
      <c r="A60" t="s">
        <v>57</v>
      </c>
      <c r="B60">
        <v>2006</v>
      </c>
      <c r="C60" t="s">
        <v>74</v>
      </c>
      <c r="D60">
        <v>450.19</v>
      </c>
    </row>
    <row r="61" spans="1:4" x14ac:dyDescent="0.45">
      <c r="A61" t="s">
        <v>38</v>
      </c>
      <c r="B61">
        <v>2006</v>
      </c>
      <c r="C61" t="s">
        <v>74</v>
      </c>
      <c r="D61">
        <v>11.55</v>
      </c>
    </row>
    <row r="62" spans="1:4" x14ac:dyDescent="0.45">
      <c r="A62" t="s">
        <v>32</v>
      </c>
      <c r="B62">
        <v>2006</v>
      </c>
      <c r="C62" t="s">
        <v>74</v>
      </c>
      <c r="D62">
        <v>0.46</v>
      </c>
    </row>
    <row r="63" spans="1:4" x14ac:dyDescent="0.45">
      <c r="A63" t="s">
        <v>58</v>
      </c>
      <c r="B63">
        <v>2006</v>
      </c>
      <c r="C63" t="s">
        <v>74</v>
      </c>
      <c r="D63">
        <v>0.01</v>
      </c>
    </row>
    <row r="64" spans="1:4" x14ac:dyDescent="0.45">
      <c r="A64" t="s">
        <v>91</v>
      </c>
      <c r="B64">
        <v>2006</v>
      </c>
      <c r="C64" t="s">
        <v>74</v>
      </c>
      <c r="D64">
        <v>2.1800000000000002</v>
      </c>
    </row>
    <row r="65" spans="1:4" x14ac:dyDescent="0.45">
      <c r="A65" t="s">
        <v>32</v>
      </c>
      <c r="B65">
        <v>2007</v>
      </c>
      <c r="C65" t="s">
        <v>74</v>
      </c>
      <c r="D65">
        <v>3.75</v>
      </c>
    </row>
    <row r="66" spans="1:4" x14ac:dyDescent="0.45">
      <c r="A66" t="s">
        <v>34</v>
      </c>
      <c r="B66">
        <v>2007</v>
      </c>
      <c r="C66" t="s">
        <v>74</v>
      </c>
      <c r="D66">
        <v>24.45</v>
      </c>
    </row>
    <row r="67" spans="1:4" x14ac:dyDescent="0.45">
      <c r="A67" t="s">
        <v>36</v>
      </c>
      <c r="B67">
        <v>2007</v>
      </c>
      <c r="C67" t="s">
        <v>74</v>
      </c>
      <c r="D67">
        <v>21.99</v>
      </c>
    </row>
    <row r="68" spans="1:4" x14ac:dyDescent="0.45">
      <c r="A68" t="s">
        <v>56</v>
      </c>
      <c r="B68">
        <v>2007</v>
      </c>
      <c r="C68" t="s">
        <v>74</v>
      </c>
      <c r="D68">
        <v>55.99</v>
      </c>
    </row>
    <row r="69" spans="1:4" x14ac:dyDescent="0.45">
      <c r="A69" t="s">
        <v>57</v>
      </c>
      <c r="B69">
        <v>2007</v>
      </c>
      <c r="C69" t="s">
        <v>74</v>
      </c>
      <c r="D69">
        <v>439.73</v>
      </c>
    </row>
    <row r="70" spans="1:4" x14ac:dyDescent="0.45">
      <c r="A70" t="s">
        <v>38</v>
      </c>
      <c r="B70">
        <v>2007</v>
      </c>
      <c r="C70" t="s">
        <v>74</v>
      </c>
      <c r="D70">
        <v>11.37</v>
      </c>
    </row>
    <row r="71" spans="1:4" x14ac:dyDescent="0.45">
      <c r="A71" t="s">
        <v>32</v>
      </c>
      <c r="B71">
        <v>2007</v>
      </c>
      <c r="C71" t="s">
        <v>74</v>
      </c>
      <c r="D71">
        <v>0.47</v>
      </c>
    </row>
    <row r="72" spans="1:4" x14ac:dyDescent="0.45">
      <c r="A72" t="s">
        <v>58</v>
      </c>
      <c r="B72">
        <v>2007</v>
      </c>
      <c r="C72" t="s">
        <v>74</v>
      </c>
      <c r="D72">
        <v>0.02</v>
      </c>
    </row>
    <row r="73" spans="1:4" x14ac:dyDescent="0.45">
      <c r="A73" t="s">
        <v>91</v>
      </c>
      <c r="B73">
        <v>2007</v>
      </c>
      <c r="C73" t="s">
        <v>74</v>
      </c>
      <c r="D73">
        <v>4.07</v>
      </c>
    </row>
    <row r="74" spans="1:4" x14ac:dyDescent="0.45">
      <c r="A74" t="s">
        <v>32</v>
      </c>
      <c r="B74">
        <v>2008</v>
      </c>
      <c r="C74" t="s">
        <v>74</v>
      </c>
      <c r="D74">
        <v>3.97</v>
      </c>
    </row>
    <row r="75" spans="1:4" x14ac:dyDescent="0.45">
      <c r="A75" t="s">
        <v>34</v>
      </c>
      <c r="B75">
        <v>2008</v>
      </c>
      <c r="C75" t="s">
        <v>74</v>
      </c>
      <c r="D75">
        <v>23.06</v>
      </c>
    </row>
    <row r="76" spans="1:4" x14ac:dyDescent="0.45">
      <c r="A76" t="s">
        <v>36</v>
      </c>
      <c r="B76">
        <v>2008</v>
      </c>
      <c r="C76" t="s">
        <v>74</v>
      </c>
      <c r="D76">
        <v>21.88</v>
      </c>
    </row>
    <row r="77" spans="1:4" x14ac:dyDescent="0.45">
      <c r="A77" t="s">
        <v>56</v>
      </c>
      <c r="B77">
        <v>2008</v>
      </c>
      <c r="C77" t="s">
        <v>74</v>
      </c>
      <c r="D77">
        <v>62.16</v>
      </c>
    </row>
    <row r="78" spans="1:4" x14ac:dyDescent="0.45">
      <c r="A78" t="s">
        <v>57</v>
      </c>
      <c r="B78">
        <v>2008</v>
      </c>
      <c r="C78" t="s">
        <v>74</v>
      </c>
      <c r="D78">
        <v>439.45</v>
      </c>
    </row>
    <row r="79" spans="1:4" x14ac:dyDescent="0.45">
      <c r="A79" t="s">
        <v>38</v>
      </c>
      <c r="B79">
        <v>2008</v>
      </c>
      <c r="C79" t="s">
        <v>74</v>
      </c>
      <c r="D79">
        <v>10.26</v>
      </c>
    </row>
    <row r="80" spans="1:4" x14ac:dyDescent="0.45">
      <c r="A80" t="s">
        <v>32</v>
      </c>
      <c r="B80">
        <v>2008</v>
      </c>
      <c r="C80" t="s">
        <v>74</v>
      </c>
      <c r="D80">
        <v>0.47</v>
      </c>
    </row>
    <row r="81" spans="1:4" x14ac:dyDescent="0.45">
      <c r="A81" t="s">
        <v>58</v>
      </c>
      <c r="B81">
        <v>2008</v>
      </c>
      <c r="C81" t="s">
        <v>74</v>
      </c>
      <c r="D81">
        <v>0.04</v>
      </c>
    </row>
    <row r="82" spans="1:4" x14ac:dyDescent="0.45">
      <c r="A82" t="s">
        <v>91</v>
      </c>
      <c r="B82">
        <v>2008</v>
      </c>
      <c r="C82" t="s">
        <v>74</v>
      </c>
      <c r="D82">
        <v>5.69</v>
      </c>
    </row>
    <row r="83" spans="1:4" x14ac:dyDescent="0.45">
      <c r="A83" t="s">
        <v>32</v>
      </c>
      <c r="B83">
        <v>2009</v>
      </c>
      <c r="C83" t="s">
        <v>74</v>
      </c>
      <c r="D83">
        <v>4.13</v>
      </c>
    </row>
    <row r="84" spans="1:4" x14ac:dyDescent="0.45">
      <c r="A84" t="s">
        <v>34</v>
      </c>
      <c r="B84">
        <v>2009</v>
      </c>
      <c r="C84" t="s">
        <v>74</v>
      </c>
      <c r="D84">
        <v>21.67</v>
      </c>
    </row>
    <row r="85" spans="1:4" x14ac:dyDescent="0.45">
      <c r="A85" t="s">
        <v>36</v>
      </c>
      <c r="B85">
        <v>2009</v>
      </c>
      <c r="C85" t="s">
        <v>74</v>
      </c>
      <c r="D85">
        <v>20.5</v>
      </c>
    </row>
    <row r="86" spans="1:4" x14ac:dyDescent="0.45">
      <c r="A86" t="s">
        <v>56</v>
      </c>
      <c r="B86">
        <v>2009</v>
      </c>
      <c r="C86" t="s">
        <v>74</v>
      </c>
      <c r="D86">
        <v>55.49</v>
      </c>
    </row>
    <row r="87" spans="1:4" x14ac:dyDescent="0.45">
      <c r="A87" t="s">
        <v>57</v>
      </c>
      <c r="B87">
        <v>2009</v>
      </c>
      <c r="C87" t="s">
        <v>74</v>
      </c>
      <c r="D87">
        <v>409.74</v>
      </c>
    </row>
    <row r="88" spans="1:4" x14ac:dyDescent="0.45">
      <c r="A88" t="s">
        <v>38</v>
      </c>
      <c r="B88">
        <v>2009</v>
      </c>
      <c r="C88" t="s">
        <v>74</v>
      </c>
      <c r="D88">
        <v>8.81</v>
      </c>
    </row>
    <row r="89" spans="1:4" x14ac:dyDescent="0.45">
      <c r="A89" t="s">
        <v>32</v>
      </c>
      <c r="B89">
        <v>2009</v>
      </c>
      <c r="C89" t="s">
        <v>74</v>
      </c>
      <c r="D89">
        <v>0.45</v>
      </c>
    </row>
    <row r="90" spans="1:4" x14ac:dyDescent="0.45">
      <c r="A90" t="s">
        <v>58</v>
      </c>
      <c r="B90">
        <v>2009</v>
      </c>
      <c r="C90" t="s">
        <v>74</v>
      </c>
      <c r="D90">
        <v>0.17</v>
      </c>
    </row>
    <row r="91" spans="1:4" x14ac:dyDescent="0.45">
      <c r="A91" t="s">
        <v>91</v>
      </c>
      <c r="B91">
        <v>2009</v>
      </c>
      <c r="C91" t="s">
        <v>74</v>
      </c>
      <c r="D91">
        <v>7.91</v>
      </c>
    </row>
    <row r="92" spans="1:4" x14ac:dyDescent="0.45">
      <c r="A92" t="s">
        <v>32</v>
      </c>
      <c r="B92">
        <v>2010</v>
      </c>
      <c r="C92" t="s">
        <v>74</v>
      </c>
      <c r="D92">
        <v>4.4400000000000004</v>
      </c>
    </row>
    <row r="93" spans="1:4" x14ac:dyDescent="0.45">
      <c r="A93" t="s">
        <v>34</v>
      </c>
      <c r="B93">
        <v>2010</v>
      </c>
      <c r="C93" t="s">
        <v>74</v>
      </c>
      <c r="D93">
        <v>23.36</v>
      </c>
    </row>
    <row r="94" spans="1:4" x14ac:dyDescent="0.45">
      <c r="A94" t="s">
        <v>36</v>
      </c>
      <c r="B94">
        <v>2010</v>
      </c>
      <c r="C94" t="s">
        <v>74</v>
      </c>
      <c r="D94">
        <v>23.76</v>
      </c>
    </row>
    <row r="95" spans="1:4" x14ac:dyDescent="0.45">
      <c r="A95" t="s">
        <v>56</v>
      </c>
      <c r="B95">
        <v>2010</v>
      </c>
      <c r="C95" t="s">
        <v>74</v>
      </c>
      <c r="D95">
        <v>61.2</v>
      </c>
    </row>
    <row r="96" spans="1:4" x14ac:dyDescent="0.45">
      <c r="A96" t="s">
        <v>57</v>
      </c>
      <c r="B96">
        <v>2010</v>
      </c>
      <c r="C96" t="s">
        <v>74</v>
      </c>
      <c r="D96">
        <v>428.52</v>
      </c>
    </row>
    <row r="97" spans="1:4" x14ac:dyDescent="0.45">
      <c r="A97" t="s">
        <v>38</v>
      </c>
      <c r="B97">
        <v>2010</v>
      </c>
      <c r="C97" t="s">
        <v>74</v>
      </c>
      <c r="D97">
        <v>10.039999999999999</v>
      </c>
    </row>
    <row r="98" spans="1:4" x14ac:dyDescent="0.45">
      <c r="A98" t="s">
        <v>32</v>
      </c>
      <c r="B98">
        <v>2010</v>
      </c>
      <c r="C98" t="s">
        <v>74</v>
      </c>
      <c r="D98">
        <v>0.48</v>
      </c>
    </row>
    <row r="99" spans="1:4" x14ac:dyDescent="0.45">
      <c r="A99" t="s">
        <v>58</v>
      </c>
      <c r="B99">
        <v>2010</v>
      </c>
      <c r="C99" t="s">
        <v>74</v>
      </c>
      <c r="D99">
        <v>0.62</v>
      </c>
    </row>
    <row r="100" spans="1:4" x14ac:dyDescent="0.45">
      <c r="A100" t="s">
        <v>91</v>
      </c>
      <c r="B100">
        <v>2010</v>
      </c>
      <c r="C100" t="s">
        <v>74</v>
      </c>
      <c r="D100">
        <v>9.94</v>
      </c>
    </row>
    <row r="101" spans="1:4" x14ac:dyDescent="0.45">
      <c r="A101" t="s">
        <v>32</v>
      </c>
      <c r="B101">
        <v>2011</v>
      </c>
      <c r="C101" t="s">
        <v>74</v>
      </c>
      <c r="D101">
        <v>5.04</v>
      </c>
    </row>
    <row r="102" spans="1:4" x14ac:dyDescent="0.45">
      <c r="A102" t="s">
        <v>34</v>
      </c>
      <c r="B102">
        <v>2011</v>
      </c>
      <c r="C102" t="s">
        <v>74</v>
      </c>
      <c r="D102">
        <v>17.39</v>
      </c>
    </row>
    <row r="103" spans="1:4" x14ac:dyDescent="0.45">
      <c r="A103" t="s">
        <v>36</v>
      </c>
      <c r="B103">
        <v>2011</v>
      </c>
      <c r="C103" t="s">
        <v>74</v>
      </c>
      <c r="D103">
        <v>29.49</v>
      </c>
    </row>
    <row r="104" spans="1:4" x14ac:dyDescent="0.45">
      <c r="A104" t="s">
        <v>56</v>
      </c>
      <c r="B104">
        <v>2011</v>
      </c>
      <c r="C104" t="s">
        <v>74</v>
      </c>
      <c r="D104">
        <v>45.74</v>
      </c>
    </row>
    <row r="105" spans="1:4" x14ac:dyDescent="0.45">
      <c r="A105" t="s">
        <v>57</v>
      </c>
      <c r="B105">
        <v>2011</v>
      </c>
      <c r="C105" t="s">
        <v>74</v>
      </c>
      <c r="D105">
        <v>442.39</v>
      </c>
    </row>
    <row r="106" spans="1:4" x14ac:dyDescent="0.45">
      <c r="A106" t="s">
        <v>38</v>
      </c>
      <c r="B106">
        <v>2011</v>
      </c>
      <c r="C106" t="s">
        <v>74</v>
      </c>
      <c r="D106">
        <v>12.13</v>
      </c>
    </row>
    <row r="107" spans="1:4" x14ac:dyDescent="0.45">
      <c r="A107" t="s">
        <v>32</v>
      </c>
      <c r="B107">
        <v>2011</v>
      </c>
      <c r="C107" t="s">
        <v>74</v>
      </c>
      <c r="D107">
        <v>0.54</v>
      </c>
    </row>
    <row r="108" spans="1:4" x14ac:dyDescent="0.45">
      <c r="A108" t="s">
        <v>58</v>
      </c>
      <c r="B108">
        <v>2011</v>
      </c>
      <c r="C108" t="s">
        <v>74</v>
      </c>
      <c r="D108">
        <v>2.33</v>
      </c>
    </row>
    <row r="109" spans="1:4" x14ac:dyDescent="0.45">
      <c r="A109" t="s">
        <v>91</v>
      </c>
      <c r="B109">
        <v>2011</v>
      </c>
      <c r="C109" t="s">
        <v>74</v>
      </c>
      <c r="D109">
        <v>12.37</v>
      </c>
    </row>
    <row r="110" spans="1:4" x14ac:dyDescent="0.45">
      <c r="A110" t="s">
        <v>32</v>
      </c>
      <c r="B110">
        <v>2012</v>
      </c>
      <c r="C110" t="s">
        <v>74</v>
      </c>
      <c r="D110">
        <v>5.3</v>
      </c>
    </row>
    <row r="111" spans="1:4" x14ac:dyDescent="0.45">
      <c r="A111" t="s">
        <v>34</v>
      </c>
      <c r="B111">
        <v>2012</v>
      </c>
      <c r="C111" t="s">
        <v>74</v>
      </c>
      <c r="D111">
        <v>21.46</v>
      </c>
    </row>
    <row r="112" spans="1:4" x14ac:dyDescent="0.45">
      <c r="A112" t="s">
        <v>36</v>
      </c>
      <c r="B112">
        <v>2012</v>
      </c>
      <c r="C112" t="s">
        <v>74</v>
      </c>
      <c r="D112">
        <v>22.75</v>
      </c>
    </row>
    <row r="113" spans="1:4" x14ac:dyDescent="0.45">
      <c r="A113" t="s">
        <v>56</v>
      </c>
      <c r="B113">
        <v>2012</v>
      </c>
      <c r="C113" t="s">
        <v>74</v>
      </c>
      <c r="D113">
        <v>59.83</v>
      </c>
    </row>
    <row r="114" spans="1:4" x14ac:dyDescent="0.45">
      <c r="A114" t="s">
        <v>57</v>
      </c>
      <c r="B114">
        <v>2012</v>
      </c>
      <c r="C114" t="s">
        <v>74</v>
      </c>
      <c r="D114">
        <v>425.41</v>
      </c>
    </row>
    <row r="115" spans="1:4" x14ac:dyDescent="0.45">
      <c r="A115" t="s">
        <v>38</v>
      </c>
      <c r="B115">
        <v>2012</v>
      </c>
      <c r="C115" t="s">
        <v>74</v>
      </c>
      <c r="D115">
        <v>12.71</v>
      </c>
    </row>
    <row r="116" spans="1:4" x14ac:dyDescent="0.45">
      <c r="A116" t="s">
        <v>32</v>
      </c>
      <c r="B116">
        <v>2012</v>
      </c>
      <c r="C116" t="s">
        <v>74</v>
      </c>
      <c r="D116">
        <v>0.51</v>
      </c>
    </row>
    <row r="117" spans="1:4" x14ac:dyDescent="0.45">
      <c r="A117" t="s">
        <v>58</v>
      </c>
      <c r="B117">
        <v>2012</v>
      </c>
      <c r="C117" t="s">
        <v>74</v>
      </c>
      <c r="D117">
        <v>4.43</v>
      </c>
    </row>
    <row r="118" spans="1:4" x14ac:dyDescent="0.45">
      <c r="A118" t="s">
        <v>91</v>
      </c>
      <c r="B118">
        <v>2012</v>
      </c>
      <c r="C118" t="s">
        <v>74</v>
      </c>
      <c r="D118">
        <v>15.18</v>
      </c>
    </row>
    <row r="119" spans="1:4" x14ac:dyDescent="0.45">
      <c r="A119" t="s">
        <v>32</v>
      </c>
      <c r="B119">
        <v>2013</v>
      </c>
      <c r="C119" t="s">
        <v>74</v>
      </c>
      <c r="D119">
        <v>5.68</v>
      </c>
    </row>
    <row r="120" spans="1:4" x14ac:dyDescent="0.45">
      <c r="A120" t="s">
        <v>34</v>
      </c>
      <c r="B120">
        <v>2013</v>
      </c>
      <c r="C120" t="s">
        <v>74</v>
      </c>
      <c r="D120">
        <v>23.84</v>
      </c>
    </row>
    <row r="121" spans="1:4" x14ac:dyDescent="0.45">
      <c r="A121" t="s">
        <v>36</v>
      </c>
      <c r="B121">
        <v>2013</v>
      </c>
      <c r="C121" t="s">
        <v>74</v>
      </c>
      <c r="D121">
        <v>18.39</v>
      </c>
    </row>
    <row r="122" spans="1:4" x14ac:dyDescent="0.45">
      <c r="A122" t="s">
        <v>56</v>
      </c>
      <c r="B122">
        <v>2013</v>
      </c>
      <c r="C122" t="s">
        <v>74</v>
      </c>
      <c r="D122">
        <v>71.92</v>
      </c>
    </row>
    <row r="123" spans="1:4" x14ac:dyDescent="0.45">
      <c r="A123" t="s">
        <v>57</v>
      </c>
      <c r="B123">
        <v>2013</v>
      </c>
      <c r="C123" t="s">
        <v>74</v>
      </c>
      <c r="D123">
        <v>423.68</v>
      </c>
    </row>
    <row r="124" spans="1:4" x14ac:dyDescent="0.45">
      <c r="A124" t="s">
        <v>38</v>
      </c>
      <c r="B124">
        <v>2013</v>
      </c>
      <c r="C124" t="s">
        <v>74</v>
      </c>
      <c r="D124">
        <v>11.41</v>
      </c>
    </row>
    <row r="125" spans="1:4" x14ac:dyDescent="0.45">
      <c r="A125" t="s">
        <v>32</v>
      </c>
      <c r="B125">
        <v>2013</v>
      </c>
      <c r="C125" t="s">
        <v>74</v>
      </c>
      <c r="D125">
        <v>0.5</v>
      </c>
    </row>
    <row r="126" spans="1:4" x14ac:dyDescent="0.45">
      <c r="A126" t="s">
        <v>58</v>
      </c>
      <c r="B126">
        <v>2013</v>
      </c>
      <c r="C126" t="s">
        <v>74</v>
      </c>
      <c r="D126">
        <v>5.19</v>
      </c>
    </row>
    <row r="127" spans="1:4" x14ac:dyDescent="0.45">
      <c r="A127" t="s">
        <v>91</v>
      </c>
      <c r="B127">
        <v>2013</v>
      </c>
      <c r="C127" t="s">
        <v>74</v>
      </c>
      <c r="D127">
        <v>16.13</v>
      </c>
    </row>
    <row r="128" spans="1:4" x14ac:dyDescent="0.45">
      <c r="A128" t="s">
        <v>32</v>
      </c>
      <c r="B128">
        <v>2014</v>
      </c>
      <c r="C128" t="s">
        <v>74</v>
      </c>
      <c r="D128">
        <v>5.99</v>
      </c>
    </row>
    <row r="129" spans="1:4" x14ac:dyDescent="0.45">
      <c r="A129" t="s">
        <v>34</v>
      </c>
      <c r="B129">
        <v>2014</v>
      </c>
      <c r="C129" t="s">
        <v>74</v>
      </c>
      <c r="D129">
        <v>11.26</v>
      </c>
    </row>
    <row r="130" spans="1:4" x14ac:dyDescent="0.45">
      <c r="A130" t="s">
        <v>36</v>
      </c>
      <c r="B130">
        <v>2014</v>
      </c>
      <c r="C130" t="s">
        <v>74</v>
      </c>
      <c r="D130">
        <v>13.16</v>
      </c>
    </row>
    <row r="131" spans="1:4" x14ac:dyDescent="0.45">
      <c r="A131" t="s">
        <v>56</v>
      </c>
      <c r="B131">
        <v>2014</v>
      </c>
      <c r="C131" t="s">
        <v>74</v>
      </c>
      <c r="D131">
        <v>63.77</v>
      </c>
    </row>
    <row r="132" spans="1:4" x14ac:dyDescent="0.45">
      <c r="A132" t="s">
        <v>57</v>
      </c>
      <c r="B132">
        <v>2014</v>
      </c>
      <c r="C132" t="s">
        <v>74</v>
      </c>
      <c r="D132">
        <v>436.48</v>
      </c>
    </row>
    <row r="133" spans="1:4" x14ac:dyDescent="0.45">
      <c r="A133" t="s">
        <v>38</v>
      </c>
      <c r="B133">
        <v>2014</v>
      </c>
      <c r="C133" t="s">
        <v>74</v>
      </c>
      <c r="D133">
        <v>11.34</v>
      </c>
    </row>
    <row r="134" spans="1:4" x14ac:dyDescent="0.45">
      <c r="A134" t="s">
        <v>32</v>
      </c>
      <c r="B134">
        <v>2014</v>
      </c>
      <c r="C134" t="s">
        <v>74</v>
      </c>
      <c r="D134">
        <v>0.56000000000000005</v>
      </c>
    </row>
    <row r="135" spans="1:4" x14ac:dyDescent="0.45">
      <c r="A135" t="s">
        <v>58</v>
      </c>
      <c r="B135">
        <v>2014</v>
      </c>
      <c r="C135" t="s">
        <v>74</v>
      </c>
      <c r="D135">
        <v>6.39</v>
      </c>
    </row>
    <row r="136" spans="1:4" x14ac:dyDescent="0.45">
      <c r="A136" t="s">
        <v>91</v>
      </c>
      <c r="B136">
        <v>2014</v>
      </c>
      <c r="C136" t="s">
        <v>74</v>
      </c>
      <c r="D136">
        <v>17.32</v>
      </c>
    </row>
    <row r="137" spans="1:4" x14ac:dyDescent="0.45">
      <c r="A137" t="s">
        <v>32</v>
      </c>
      <c r="B137">
        <v>2015</v>
      </c>
      <c r="C137" t="s">
        <v>74</v>
      </c>
      <c r="D137">
        <v>6.53</v>
      </c>
    </row>
    <row r="138" spans="1:4" x14ac:dyDescent="0.45">
      <c r="A138" t="s">
        <v>34</v>
      </c>
      <c r="B138">
        <v>2015</v>
      </c>
      <c r="C138" t="s">
        <v>74</v>
      </c>
      <c r="D138">
        <v>11.89</v>
      </c>
    </row>
    <row r="139" spans="1:4" x14ac:dyDescent="0.45">
      <c r="A139" t="s">
        <v>36</v>
      </c>
      <c r="B139">
        <v>2015</v>
      </c>
      <c r="C139" t="s">
        <v>74</v>
      </c>
      <c r="D139">
        <v>21.14</v>
      </c>
    </row>
    <row r="140" spans="1:4" x14ac:dyDescent="0.45">
      <c r="A140" t="s">
        <v>56</v>
      </c>
      <c r="B140">
        <v>2015</v>
      </c>
      <c r="C140" t="s">
        <v>74</v>
      </c>
      <c r="D140">
        <v>55.56</v>
      </c>
    </row>
    <row r="141" spans="1:4" x14ac:dyDescent="0.45">
      <c r="A141" t="s">
        <v>57</v>
      </c>
      <c r="B141">
        <v>2015</v>
      </c>
      <c r="C141" t="s">
        <v>74</v>
      </c>
      <c r="D141">
        <v>437.43</v>
      </c>
    </row>
    <row r="142" spans="1:4" x14ac:dyDescent="0.45">
      <c r="A142" t="s">
        <v>38</v>
      </c>
      <c r="B142">
        <v>2015</v>
      </c>
      <c r="C142" t="s">
        <v>74</v>
      </c>
      <c r="D142">
        <v>11.81</v>
      </c>
    </row>
    <row r="143" spans="1:4" x14ac:dyDescent="0.45">
      <c r="A143" t="s">
        <v>32</v>
      </c>
      <c r="B143">
        <v>2015</v>
      </c>
      <c r="C143" t="s">
        <v>74</v>
      </c>
      <c r="D143">
        <v>0.57999999999999996</v>
      </c>
    </row>
    <row r="144" spans="1:4" x14ac:dyDescent="0.45">
      <c r="A144" t="s">
        <v>58</v>
      </c>
      <c r="B144">
        <v>2015</v>
      </c>
      <c r="C144" t="s">
        <v>74</v>
      </c>
      <c r="D144">
        <v>7.75</v>
      </c>
    </row>
    <row r="145" spans="1:4" x14ac:dyDescent="0.45">
      <c r="A145" t="s">
        <v>91</v>
      </c>
      <c r="B145">
        <v>2015</v>
      </c>
      <c r="C145" t="s">
        <v>74</v>
      </c>
      <c r="D145">
        <v>21.42</v>
      </c>
    </row>
    <row r="146" spans="1:4" x14ac:dyDescent="0.45">
      <c r="A146" t="s">
        <v>32</v>
      </c>
      <c r="B146">
        <v>2016</v>
      </c>
      <c r="C146" t="s">
        <v>74</v>
      </c>
      <c r="D146">
        <v>7.52</v>
      </c>
    </row>
    <row r="147" spans="1:4" x14ac:dyDescent="0.45">
      <c r="A147" t="s">
        <v>34</v>
      </c>
      <c r="B147">
        <v>2016</v>
      </c>
      <c r="C147" t="s">
        <v>74</v>
      </c>
      <c r="D147">
        <v>10.23</v>
      </c>
    </row>
    <row r="148" spans="1:4" x14ac:dyDescent="0.45">
      <c r="A148" t="s">
        <v>36</v>
      </c>
      <c r="B148">
        <v>2016</v>
      </c>
      <c r="C148" t="s">
        <v>74</v>
      </c>
      <c r="D148">
        <v>34.97</v>
      </c>
    </row>
    <row r="149" spans="1:4" x14ac:dyDescent="0.45">
      <c r="A149" t="s">
        <v>56</v>
      </c>
      <c r="B149">
        <v>2016</v>
      </c>
      <c r="C149" t="s">
        <v>74</v>
      </c>
      <c r="D149">
        <v>60.84</v>
      </c>
    </row>
    <row r="150" spans="1:4" x14ac:dyDescent="0.45">
      <c r="A150" t="s">
        <v>57</v>
      </c>
      <c r="B150">
        <v>2016</v>
      </c>
      <c r="C150" t="s">
        <v>74</v>
      </c>
      <c r="D150">
        <v>403.2</v>
      </c>
    </row>
    <row r="151" spans="1:4" x14ac:dyDescent="0.45">
      <c r="A151" t="s">
        <v>38</v>
      </c>
      <c r="B151">
        <v>2016</v>
      </c>
      <c r="C151" t="s">
        <v>74</v>
      </c>
      <c r="D151">
        <v>11.4</v>
      </c>
    </row>
    <row r="152" spans="1:4" x14ac:dyDescent="0.45">
      <c r="A152" t="s">
        <v>32</v>
      </c>
      <c r="B152">
        <v>2016</v>
      </c>
      <c r="C152" t="s">
        <v>74</v>
      </c>
      <c r="D152">
        <v>0.6</v>
      </c>
    </row>
    <row r="153" spans="1:4" x14ac:dyDescent="0.45">
      <c r="A153" t="s">
        <v>58</v>
      </c>
      <c r="B153">
        <v>2016</v>
      </c>
      <c r="C153" t="s">
        <v>74</v>
      </c>
      <c r="D153">
        <v>8.66</v>
      </c>
    </row>
    <row r="154" spans="1:4" x14ac:dyDescent="0.45">
      <c r="A154" t="s">
        <v>91</v>
      </c>
      <c r="B154">
        <v>2016</v>
      </c>
      <c r="C154" t="s">
        <v>74</v>
      </c>
      <c r="D154">
        <v>21.38</v>
      </c>
    </row>
    <row r="155" spans="1:4" x14ac:dyDescent="0.45">
      <c r="A155" t="s">
        <v>32</v>
      </c>
      <c r="B155">
        <v>2017</v>
      </c>
      <c r="C155" t="s">
        <v>74</v>
      </c>
      <c r="D155">
        <v>7.78</v>
      </c>
    </row>
    <row r="156" spans="1:4" x14ac:dyDescent="0.45">
      <c r="A156" t="s">
        <v>34</v>
      </c>
      <c r="B156">
        <v>2017</v>
      </c>
      <c r="C156" t="s">
        <v>74</v>
      </c>
      <c r="D156">
        <v>12.81</v>
      </c>
    </row>
    <row r="157" spans="1:4" x14ac:dyDescent="0.45">
      <c r="A157" t="s">
        <v>36</v>
      </c>
      <c r="B157">
        <v>2017</v>
      </c>
      <c r="C157" t="s">
        <v>74</v>
      </c>
      <c r="D157">
        <v>40.5</v>
      </c>
    </row>
    <row r="158" spans="1:4" x14ac:dyDescent="0.45">
      <c r="A158" t="s">
        <v>56</v>
      </c>
      <c r="B158">
        <v>2017</v>
      </c>
      <c r="C158" t="s">
        <v>74</v>
      </c>
      <c r="D158">
        <v>50</v>
      </c>
    </row>
    <row r="159" spans="1:4" x14ac:dyDescent="0.45">
      <c r="A159" t="s">
        <v>57</v>
      </c>
      <c r="B159">
        <v>2017</v>
      </c>
      <c r="C159" t="s">
        <v>74</v>
      </c>
      <c r="D159">
        <v>398.36</v>
      </c>
    </row>
    <row r="160" spans="1:4" x14ac:dyDescent="0.45">
      <c r="A160" t="s">
        <v>38</v>
      </c>
      <c r="B160">
        <v>2017</v>
      </c>
      <c r="C160" t="s">
        <v>74</v>
      </c>
      <c r="D160">
        <v>12.12</v>
      </c>
    </row>
    <row r="161" spans="1:4" x14ac:dyDescent="0.45">
      <c r="A161" t="s">
        <v>32</v>
      </c>
      <c r="B161">
        <v>2017</v>
      </c>
      <c r="C161" t="s">
        <v>74</v>
      </c>
      <c r="D161">
        <v>0.65</v>
      </c>
    </row>
    <row r="162" spans="1:4" x14ac:dyDescent="0.45">
      <c r="A162" t="s">
        <v>58</v>
      </c>
      <c r="B162">
        <v>2017</v>
      </c>
      <c r="C162" t="s">
        <v>74</v>
      </c>
      <c r="D162">
        <v>9.59</v>
      </c>
    </row>
    <row r="163" spans="1:4" x14ac:dyDescent="0.45">
      <c r="A163" t="s">
        <v>91</v>
      </c>
      <c r="B163">
        <v>2017</v>
      </c>
      <c r="C163" t="s">
        <v>74</v>
      </c>
      <c r="D163">
        <v>24.61</v>
      </c>
    </row>
    <row r="164" spans="1:4" x14ac:dyDescent="0.45">
      <c r="A164" t="s">
        <v>32</v>
      </c>
      <c r="B164">
        <v>2018</v>
      </c>
      <c r="C164" t="s">
        <v>74</v>
      </c>
      <c r="D164">
        <v>8.3800000000000008</v>
      </c>
    </row>
    <row r="165" spans="1:4" x14ac:dyDescent="0.45">
      <c r="A165" t="s">
        <v>34</v>
      </c>
      <c r="B165">
        <v>2018</v>
      </c>
      <c r="C165" t="s">
        <v>74</v>
      </c>
      <c r="D165">
        <v>8.31</v>
      </c>
    </row>
    <row r="166" spans="1:4" x14ac:dyDescent="0.45">
      <c r="A166" t="s">
        <v>36</v>
      </c>
      <c r="B166">
        <v>2018</v>
      </c>
      <c r="C166" t="s">
        <v>74</v>
      </c>
      <c r="D166">
        <v>30.61</v>
      </c>
    </row>
    <row r="167" spans="1:4" x14ac:dyDescent="0.45">
      <c r="A167" t="s">
        <v>56</v>
      </c>
      <c r="B167">
        <v>2018</v>
      </c>
      <c r="C167" t="s">
        <v>74</v>
      </c>
      <c r="D167">
        <v>65.11</v>
      </c>
    </row>
    <row r="168" spans="1:4" x14ac:dyDescent="0.45">
      <c r="A168" t="s">
        <v>57</v>
      </c>
      <c r="B168">
        <v>2018</v>
      </c>
      <c r="C168" t="s">
        <v>74</v>
      </c>
      <c r="D168">
        <v>412.94</v>
      </c>
    </row>
    <row r="169" spans="1:4" x14ac:dyDescent="0.45">
      <c r="A169" t="s">
        <v>38</v>
      </c>
      <c r="B169">
        <v>2018</v>
      </c>
      <c r="C169" t="s">
        <v>74</v>
      </c>
      <c r="D169">
        <v>10.56</v>
      </c>
    </row>
    <row r="170" spans="1:4" x14ac:dyDescent="0.45">
      <c r="A170" t="s">
        <v>32</v>
      </c>
      <c r="B170">
        <v>2018</v>
      </c>
      <c r="C170" t="s">
        <v>74</v>
      </c>
      <c r="D170">
        <v>0.61</v>
      </c>
    </row>
    <row r="171" spans="1:4" x14ac:dyDescent="0.45">
      <c r="A171" t="s">
        <v>58</v>
      </c>
      <c r="B171">
        <v>2018</v>
      </c>
      <c r="C171" t="s">
        <v>74</v>
      </c>
      <c r="D171">
        <v>10.81</v>
      </c>
    </row>
    <row r="172" spans="1:4" x14ac:dyDescent="0.45">
      <c r="A172" t="s">
        <v>91</v>
      </c>
      <c r="B172">
        <v>2018</v>
      </c>
      <c r="C172" t="s">
        <v>74</v>
      </c>
      <c r="D172">
        <v>28.6</v>
      </c>
    </row>
    <row r="173" spans="1:4" x14ac:dyDescent="0.45">
      <c r="A173" t="s">
        <v>32</v>
      </c>
      <c r="B173">
        <v>2019</v>
      </c>
      <c r="C173" t="s">
        <v>74</v>
      </c>
      <c r="D173">
        <v>8.64</v>
      </c>
    </row>
    <row r="174" spans="1:4" x14ac:dyDescent="0.45">
      <c r="A174" t="s">
        <v>34</v>
      </c>
      <c r="B174">
        <v>2019</v>
      </c>
      <c r="C174" t="s">
        <v>74</v>
      </c>
      <c r="D174">
        <v>3.64</v>
      </c>
    </row>
    <row r="175" spans="1:4" x14ac:dyDescent="0.45">
      <c r="A175" t="s">
        <v>36</v>
      </c>
      <c r="B175">
        <v>2019</v>
      </c>
      <c r="C175" t="s">
        <v>74</v>
      </c>
      <c r="D175">
        <v>39.31</v>
      </c>
    </row>
    <row r="176" spans="1:4" x14ac:dyDescent="0.45">
      <c r="A176" t="s">
        <v>56</v>
      </c>
      <c r="B176">
        <v>2019</v>
      </c>
      <c r="C176" t="s">
        <v>74</v>
      </c>
      <c r="D176">
        <v>56.91</v>
      </c>
    </row>
    <row r="177" spans="1:4" x14ac:dyDescent="0.45">
      <c r="A177" t="s">
        <v>57</v>
      </c>
      <c r="B177">
        <v>2019</v>
      </c>
      <c r="C177" t="s">
        <v>74</v>
      </c>
      <c r="D177">
        <v>399.01</v>
      </c>
    </row>
    <row r="178" spans="1:4" x14ac:dyDescent="0.45">
      <c r="A178" t="s">
        <v>38</v>
      </c>
      <c r="B178">
        <v>2019</v>
      </c>
      <c r="C178" t="s">
        <v>74</v>
      </c>
      <c r="D178">
        <v>10.71</v>
      </c>
    </row>
    <row r="179" spans="1:4" x14ac:dyDescent="0.45">
      <c r="A179" t="s">
        <v>32</v>
      </c>
      <c r="B179">
        <v>2019</v>
      </c>
      <c r="C179" t="s">
        <v>74</v>
      </c>
      <c r="D179">
        <v>0.61</v>
      </c>
    </row>
    <row r="180" spans="1:4" x14ac:dyDescent="0.45">
      <c r="A180" t="s">
        <v>58</v>
      </c>
      <c r="B180">
        <v>2019</v>
      </c>
      <c r="C180" t="s">
        <v>74</v>
      </c>
      <c r="D180">
        <v>12.17</v>
      </c>
    </row>
    <row r="181" spans="1:4" x14ac:dyDescent="0.45">
      <c r="A181" t="s">
        <v>91</v>
      </c>
      <c r="B181">
        <v>2019</v>
      </c>
      <c r="C181" t="s">
        <v>74</v>
      </c>
      <c r="D181">
        <v>34.72</v>
      </c>
    </row>
    <row r="182" spans="1:4" x14ac:dyDescent="0.45">
      <c r="A182" t="s">
        <v>32</v>
      </c>
      <c r="B182">
        <v>2020</v>
      </c>
      <c r="C182" t="s">
        <v>74</v>
      </c>
      <c r="D182">
        <v>8.76</v>
      </c>
    </row>
    <row r="183" spans="1:4" x14ac:dyDescent="0.45">
      <c r="A183" t="s">
        <v>34</v>
      </c>
      <c r="B183">
        <v>2020</v>
      </c>
      <c r="C183" t="s">
        <v>74</v>
      </c>
      <c r="D183">
        <v>3.09</v>
      </c>
    </row>
    <row r="184" spans="1:4" x14ac:dyDescent="0.45">
      <c r="A184" t="s">
        <v>36</v>
      </c>
      <c r="B184">
        <v>2020</v>
      </c>
      <c r="C184" t="s">
        <v>74</v>
      </c>
      <c r="D184">
        <v>35.25</v>
      </c>
    </row>
    <row r="185" spans="1:4" x14ac:dyDescent="0.45">
      <c r="A185" t="s">
        <v>56</v>
      </c>
      <c r="B185">
        <v>2020</v>
      </c>
      <c r="C185" t="s">
        <v>74</v>
      </c>
      <c r="D185">
        <v>62.59</v>
      </c>
    </row>
    <row r="186" spans="1:4" x14ac:dyDescent="0.45">
      <c r="A186" t="s">
        <v>57</v>
      </c>
      <c r="B186">
        <v>2020</v>
      </c>
      <c r="C186" t="s">
        <v>74</v>
      </c>
      <c r="D186">
        <v>353.83</v>
      </c>
    </row>
    <row r="187" spans="1:4" x14ac:dyDescent="0.45">
      <c r="A187" t="s">
        <v>38</v>
      </c>
      <c r="B187">
        <v>2020</v>
      </c>
      <c r="C187" t="s">
        <v>74</v>
      </c>
      <c r="D187">
        <v>10.029999999999999</v>
      </c>
    </row>
    <row r="188" spans="1:4" x14ac:dyDescent="0.45">
      <c r="A188" t="s">
        <v>32</v>
      </c>
      <c r="B188">
        <v>2020</v>
      </c>
      <c r="C188" t="s">
        <v>74</v>
      </c>
      <c r="D188">
        <v>0.61</v>
      </c>
    </row>
    <row r="189" spans="1:4" x14ac:dyDescent="0.45">
      <c r="A189" t="s">
        <v>58</v>
      </c>
      <c r="B189">
        <v>2020</v>
      </c>
      <c r="C189" t="s">
        <v>74</v>
      </c>
      <c r="D189">
        <v>13.19</v>
      </c>
    </row>
    <row r="190" spans="1:4" x14ac:dyDescent="0.45">
      <c r="A190" t="s">
        <v>91</v>
      </c>
      <c r="B190">
        <v>2020</v>
      </c>
      <c r="C190" t="s">
        <v>74</v>
      </c>
      <c r="D190">
        <v>39.86</v>
      </c>
    </row>
    <row r="191" spans="1:4" x14ac:dyDescent="0.45">
      <c r="A191" t="s">
        <v>32</v>
      </c>
      <c r="B191">
        <v>2021</v>
      </c>
      <c r="C191" t="s">
        <v>74</v>
      </c>
      <c r="D191">
        <v>9.57</v>
      </c>
    </row>
    <row r="192" spans="1:4" x14ac:dyDescent="0.45">
      <c r="A192" t="s">
        <v>34</v>
      </c>
      <c r="B192">
        <v>2021</v>
      </c>
      <c r="C192" t="s">
        <v>74</v>
      </c>
      <c r="D192">
        <v>5.44</v>
      </c>
    </row>
    <row r="193" spans="1:4" x14ac:dyDescent="0.45">
      <c r="A193" t="s">
        <v>36</v>
      </c>
      <c r="B193">
        <v>2021</v>
      </c>
      <c r="C193" t="s">
        <v>74</v>
      </c>
      <c r="D193">
        <v>33.29</v>
      </c>
    </row>
    <row r="194" spans="1:4" x14ac:dyDescent="0.45">
      <c r="A194" t="s">
        <v>56</v>
      </c>
      <c r="B194">
        <v>2021</v>
      </c>
      <c r="C194" t="s">
        <v>74</v>
      </c>
      <c r="D194">
        <v>59.62</v>
      </c>
    </row>
    <row r="195" spans="1:4" x14ac:dyDescent="0.45">
      <c r="A195" t="s">
        <v>57</v>
      </c>
      <c r="B195">
        <v>2021</v>
      </c>
      <c r="C195" t="s">
        <v>74</v>
      </c>
      <c r="D195">
        <v>379.36</v>
      </c>
    </row>
    <row r="196" spans="1:4" x14ac:dyDescent="0.45">
      <c r="A196" t="s">
        <v>38</v>
      </c>
      <c r="B196">
        <v>2021</v>
      </c>
      <c r="C196" t="s">
        <v>74</v>
      </c>
      <c r="D196">
        <v>10.06</v>
      </c>
    </row>
    <row r="197" spans="1:4" x14ac:dyDescent="0.45">
      <c r="A197" t="s">
        <v>32</v>
      </c>
      <c r="B197">
        <v>2021</v>
      </c>
      <c r="C197" t="s">
        <v>74</v>
      </c>
      <c r="D197">
        <v>0.57999999999999996</v>
      </c>
    </row>
    <row r="198" spans="1:4" x14ac:dyDescent="0.45">
      <c r="A198" t="s">
        <v>58</v>
      </c>
      <c r="B198">
        <v>2021</v>
      </c>
      <c r="C198" t="s">
        <v>74</v>
      </c>
      <c r="D198">
        <v>15.36</v>
      </c>
    </row>
    <row r="199" spans="1:4" x14ac:dyDescent="0.45">
      <c r="A199" t="s">
        <v>91</v>
      </c>
      <c r="B199">
        <v>2021</v>
      </c>
      <c r="C199" t="s">
        <v>74</v>
      </c>
      <c r="D199">
        <v>36.83</v>
      </c>
    </row>
    <row r="200" spans="1:4" x14ac:dyDescent="0.45">
      <c r="A200" t="s">
        <v>32</v>
      </c>
      <c r="B200">
        <v>2022</v>
      </c>
      <c r="C200" t="s">
        <v>74</v>
      </c>
      <c r="D200">
        <v>9.7799999999999994</v>
      </c>
    </row>
    <row r="201" spans="1:4" x14ac:dyDescent="0.45">
      <c r="A201" t="s">
        <v>34</v>
      </c>
      <c r="B201">
        <v>2022</v>
      </c>
      <c r="C201" t="s">
        <v>74</v>
      </c>
      <c r="D201">
        <v>4.33</v>
      </c>
    </row>
    <row r="202" spans="1:4" x14ac:dyDescent="0.45">
      <c r="A202" t="s">
        <v>36</v>
      </c>
      <c r="B202">
        <v>2022</v>
      </c>
      <c r="C202" t="s">
        <v>74</v>
      </c>
      <c r="D202">
        <v>45.74</v>
      </c>
    </row>
    <row r="203" spans="1:4" x14ac:dyDescent="0.45">
      <c r="A203" t="s">
        <v>56</v>
      </c>
      <c r="B203">
        <v>2022</v>
      </c>
      <c r="C203" t="s">
        <v>74</v>
      </c>
      <c r="D203">
        <v>45.52</v>
      </c>
    </row>
    <row r="204" spans="1:4" x14ac:dyDescent="0.45">
      <c r="A204" t="s">
        <v>57</v>
      </c>
      <c r="B204">
        <v>2022</v>
      </c>
      <c r="C204" t="s">
        <v>74</v>
      </c>
      <c r="D204">
        <v>294.73</v>
      </c>
    </row>
    <row r="205" spans="1:4" x14ac:dyDescent="0.45">
      <c r="A205" t="s">
        <v>38</v>
      </c>
      <c r="B205">
        <v>2022</v>
      </c>
      <c r="C205" t="s">
        <v>74</v>
      </c>
      <c r="D205">
        <v>10.45</v>
      </c>
    </row>
    <row r="206" spans="1:4" x14ac:dyDescent="0.45">
      <c r="A206" t="s">
        <v>32</v>
      </c>
      <c r="B206">
        <v>2022</v>
      </c>
      <c r="C206" t="s">
        <v>74</v>
      </c>
      <c r="D206">
        <v>0.6</v>
      </c>
    </row>
    <row r="207" spans="1:4" x14ac:dyDescent="0.45">
      <c r="A207" t="s">
        <v>58</v>
      </c>
      <c r="B207">
        <v>2022</v>
      </c>
      <c r="C207" t="s">
        <v>74</v>
      </c>
      <c r="D207">
        <v>19.63</v>
      </c>
    </row>
    <row r="208" spans="1:4" x14ac:dyDescent="0.45">
      <c r="A208" t="s">
        <v>91</v>
      </c>
      <c r="B208">
        <v>2022</v>
      </c>
      <c r="C208" t="s">
        <v>74</v>
      </c>
      <c r="D208">
        <v>38.56</v>
      </c>
    </row>
    <row r="209" spans="1:4" x14ac:dyDescent="0.45">
      <c r="A209" t="s">
        <v>32</v>
      </c>
      <c r="B209">
        <v>2023</v>
      </c>
      <c r="C209" t="s">
        <v>74</v>
      </c>
      <c r="D209">
        <v>9.5</v>
      </c>
    </row>
    <row r="210" spans="1:4" x14ac:dyDescent="0.45">
      <c r="A210" t="s">
        <v>34</v>
      </c>
      <c r="B210">
        <v>2023</v>
      </c>
      <c r="C210" t="s">
        <v>74</v>
      </c>
      <c r="D210">
        <v>2.16</v>
      </c>
    </row>
    <row r="211" spans="1:4" x14ac:dyDescent="0.45">
      <c r="A211" t="s">
        <v>36</v>
      </c>
      <c r="B211">
        <v>2023</v>
      </c>
      <c r="C211" t="s">
        <v>74</v>
      </c>
      <c r="D211">
        <v>31.43</v>
      </c>
    </row>
    <row r="212" spans="1:4" x14ac:dyDescent="0.45">
      <c r="A212" t="s">
        <v>56</v>
      </c>
      <c r="B212">
        <v>2023</v>
      </c>
      <c r="C212" t="s">
        <v>74</v>
      </c>
      <c r="D212">
        <v>53.19</v>
      </c>
    </row>
    <row r="213" spans="1:4" x14ac:dyDescent="0.45">
      <c r="A213" t="s">
        <v>57</v>
      </c>
      <c r="B213">
        <v>2023</v>
      </c>
      <c r="C213" t="s">
        <v>74</v>
      </c>
      <c r="D213">
        <v>335.65</v>
      </c>
    </row>
    <row r="214" spans="1:4" x14ac:dyDescent="0.45">
      <c r="A214" t="s">
        <v>38</v>
      </c>
      <c r="B214">
        <v>2023</v>
      </c>
      <c r="C214" t="s">
        <v>74</v>
      </c>
      <c r="D214">
        <v>9.7100000000000009</v>
      </c>
    </row>
    <row r="215" spans="1:4" x14ac:dyDescent="0.45">
      <c r="A215" t="s">
        <v>32</v>
      </c>
      <c r="B215">
        <v>2023</v>
      </c>
      <c r="C215" t="s">
        <v>74</v>
      </c>
      <c r="D215">
        <v>0.6</v>
      </c>
    </row>
    <row r="216" spans="1:4" x14ac:dyDescent="0.45">
      <c r="A216" t="s">
        <v>58</v>
      </c>
      <c r="B216">
        <v>2023</v>
      </c>
      <c r="C216" t="s">
        <v>74</v>
      </c>
      <c r="D216">
        <v>23.25</v>
      </c>
    </row>
    <row r="217" spans="1:4" x14ac:dyDescent="0.45">
      <c r="A217" t="s">
        <v>91</v>
      </c>
      <c r="B217">
        <v>2023</v>
      </c>
      <c r="C217" t="s">
        <v>74</v>
      </c>
      <c r="D217">
        <v>48.61</v>
      </c>
    </row>
    <row r="218" spans="1:4" x14ac:dyDescent="0.45">
      <c r="A218" t="s">
        <v>32</v>
      </c>
      <c r="B218">
        <v>2000</v>
      </c>
      <c r="C218" t="s">
        <v>75</v>
      </c>
      <c r="D218">
        <v>0.22</v>
      </c>
    </row>
    <row r="219" spans="1:4" x14ac:dyDescent="0.45">
      <c r="A219" t="s">
        <v>34</v>
      </c>
      <c r="B219">
        <v>2000</v>
      </c>
      <c r="C219" t="s">
        <v>75</v>
      </c>
      <c r="D219">
        <v>8.4</v>
      </c>
    </row>
    <row r="220" spans="1:4" x14ac:dyDescent="0.45">
      <c r="A220" t="s">
        <v>36</v>
      </c>
      <c r="B220">
        <v>2000</v>
      </c>
      <c r="C220" t="s">
        <v>75</v>
      </c>
      <c r="D220">
        <v>25.27</v>
      </c>
    </row>
    <row r="221" spans="1:4" x14ac:dyDescent="0.45">
      <c r="A221" t="s">
        <v>56</v>
      </c>
      <c r="B221">
        <v>2000</v>
      </c>
      <c r="C221" t="s">
        <v>75</v>
      </c>
      <c r="D221">
        <v>23.3</v>
      </c>
    </row>
    <row r="222" spans="1:4" x14ac:dyDescent="0.45">
      <c r="A222" t="s">
        <v>57</v>
      </c>
      <c r="B222">
        <v>2000</v>
      </c>
      <c r="C222" t="s">
        <v>75</v>
      </c>
      <c r="D222">
        <v>63.18</v>
      </c>
    </row>
    <row r="223" spans="1:4" x14ac:dyDescent="0.45">
      <c r="A223" t="s">
        <v>38</v>
      </c>
      <c r="B223">
        <v>2000</v>
      </c>
      <c r="C223" t="s">
        <v>75</v>
      </c>
      <c r="D223">
        <v>0.88</v>
      </c>
    </row>
    <row r="224" spans="1:4" x14ac:dyDescent="0.45">
      <c r="A224" t="s">
        <v>32</v>
      </c>
      <c r="B224">
        <v>2000</v>
      </c>
      <c r="C224" t="s">
        <v>75</v>
      </c>
      <c r="D224">
        <v>0.43</v>
      </c>
    </row>
    <row r="225" spans="1:4" x14ac:dyDescent="0.45">
      <c r="A225" t="s">
        <v>58</v>
      </c>
      <c r="B225">
        <v>2000</v>
      </c>
      <c r="C225" t="s">
        <v>75</v>
      </c>
      <c r="D225">
        <v>0.01</v>
      </c>
    </row>
    <row r="226" spans="1:4" x14ac:dyDescent="0.45">
      <c r="A226" t="s">
        <v>91</v>
      </c>
      <c r="B226">
        <v>2000</v>
      </c>
      <c r="C226" t="s">
        <v>75</v>
      </c>
      <c r="D226">
        <v>0.04</v>
      </c>
    </row>
    <row r="227" spans="1:4" x14ac:dyDescent="0.45">
      <c r="A227" t="s">
        <v>32</v>
      </c>
      <c r="B227">
        <v>2001</v>
      </c>
      <c r="C227" t="s">
        <v>75</v>
      </c>
      <c r="D227">
        <v>0.22</v>
      </c>
    </row>
    <row r="228" spans="1:4" x14ac:dyDescent="0.45">
      <c r="A228" t="s">
        <v>34</v>
      </c>
      <c r="B228">
        <v>2001</v>
      </c>
      <c r="C228" t="s">
        <v>75</v>
      </c>
      <c r="D228">
        <v>8.4</v>
      </c>
    </row>
    <row r="229" spans="1:4" x14ac:dyDescent="0.45">
      <c r="A229" t="s">
        <v>36</v>
      </c>
      <c r="B229">
        <v>2001</v>
      </c>
      <c r="C229" t="s">
        <v>75</v>
      </c>
      <c r="D229">
        <v>26.17</v>
      </c>
    </row>
    <row r="230" spans="1:4" x14ac:dyDescent="0.45">
      <c r="A230" t="s">
        <v>56</v>
      </c>
      <c r="B230">
        <v>2001</v>
      </c>
      <c r="C230" t="s">
        <v>75</v>
      </c>
      <c r="D230">
        <v>23.32</v>
      </c>
    </row>
    <row r="231" spans="1:4" x14ac:dyDescent="0.45">
      <c r="A231" t="s">
        <v>57</v>
      </c>
      <c r="B231">
        <v>2001</v>
      </c>
      <c r="C231" t="s">
        <v>75</v>
      </c>
      <c r="D231">
        <v>63.18</v>
      </c>
    </row>
    <row r="232" spans="1:4" x14ac:dyDescent="0.45">
      <c r="A232" t="s">
        <v>38</v>
      </c>
      <c r="B232">
        <v>2001</v>
      </c>
      <c r="C232" t="s">
        <v>75</v>
      </c>
      <c r="D232">
        <v>0.88</v>
      </c>
    </row>
    <row r="233" spans="1:4" x14ac:dyDescent="0.45">
      <c r="A233" t="s">
        <v>32</v>
      </c>
      <c r="B233">
        <v>2001</v>
      </c>
      <c r="C233" t="s">
        <v>75</v>
      </c>
      <c r="D233">
        <v>0.45</v>
      </c>
    </row>
    <row r="234" spans="1:4" x14ac:dyDescent="0.45">
      <c r="A234" t="s">
        <v>58</v>
      </c>
      <c r="B234">
        <v>2001</v>
      </c>
      <c r="C234" t="s">
        <v>75</v>
      </c>
      <c r="D234">
        <v>0.01</v>
      </c>
    </row>
    <row r="235" spans="1:4" x14ac:dyDescent="0.45">
      <c r="A235" t="s">
        <v>91</v>
      </c>
      <c r="B235">
        <v>2001</v>
      </c>
      <c r="C235" t="s">
        <v>75</v>
      </c>
      <c r="D235">
        <v>7.0000000000000007E-2</v>
      </c>
    </row>
    <row r="236" spans="1:4" x14ac:dyDescent="0.45">
      <c r="A236" t="s">
        <v>32</v>
      </c>
      <c r="B236">
        <v>2002</v>
      </c>
      <c r="C236" t="s">
        <v>75</v>
      </c>
      <c r="D236">
        <v>0.26</v>
      </c>
    </row>
    <row r="237" spans="1:4" x14ac:dyDescent="0.45">
      <c r="A237" t="s">
        <v>34</v>
      </c>
      <c r="B237">
        <v>2002</v>
      </c>
      <c r="C237" t="s">
        <v>75</v>
      </c>
      <c r="D237">
        <v>8.4</v>
      </c>
    </row>
    <row r="238" spans="1:4" x14ac:dyDescent="0.45">
      <c r="A238" t="s">
        <v>36</v>
      </c>
      <c r="B238">
        <v>2002</v>
      </c>
      <c r="C238" t="s">
        <v>75</v>
      </c>
      <c r="D238">
        <v>26.91</v>
      </c>
    </row>
    <row r="239" spans="1:4" x14ac:dyDescent="0.45">
      <c r="A239" t="s">
        <v>56</v>
      </c>
      <c r="B239">
        <v>2002</v>
      </c>
      <c r="C239" t="s">
        <v>75</v>
      </c>
      <c r="D239">
        <v>23.42</v>
      </c>
    </row>
    <row r="240" spans="1:4" x14ac:dyDescent="0.45">
      <c r="A240" t="s">
        <v>57</v>
      </c>
      <c r="B240">
        <v>2002</v>
      </c>
      <c r="C240" t="s">
        <v>75</v>
      </c>
      <c r="D240">
        <v>63.27</v>
      </c>
    </row>
    <row r="241" spans="1:4" x14ac:dyDescent="0.45">
      <c r="A241" t="s">
        <v>38</v>
      </c>
      <c r="B241">
        <v>2002</v>
      </c>
      <c r="C241" t="s">
        <v>75</v>
      </c>
      <c r="D241">
        <v>0.88</v>
      </c>
    </row>
    <row r="242" spans="1:4" x14ac:dyDescent="0.45">
      <c r="A242" t="s">
        <v>32</v>
      </c>
      <c r="B242">
        <v>2002</v>
      </c>
      <c r="C242" t="s">
        <v>75</v>
      </c>
      <c r="D242">
        <v>0.49</v>
      </c>
    </row>
    <row r="243" spans="1:4" x14ac:dyDescent="0.45">
      <c r="A243" t="s">
        <v>58</v>
      </c>
      <c r="B243">
        <v>2002</v>
      </c>
      <c r="C243" t="s">
        <v>75</v>
      </c>
      <c r="D243">
        <v>0.01</v>
      </c>
    </row>
    <row r="244" spans="1:4" x14ac:dyDescent="0.45">
      <c r="A244" t="s">
        <v>91</v>
      </c>
      <c r="B244">
        <v>2002</v>
      </c>
      <c r="C244" t="s">
        <v>75</v>
      </c>
      <c r="D244">
        <v>0.14000000000000001</v>
      </c>
    </row>
    <row r="245" spans="1:4" x14ac:dyDescent="0.45">
      <c r="A245" t="s">
        <v>32</v>
      </c>
      <c r="B245">
        <v>2003</v>
      </c>
      <c r="C245" t="s">
        <v>75</v>
      </c>
      <c r="D245">
        <v>0.26</v>
      </c>
    </row>
    <row r="246" spans="1:4" x14ac:dyDescent="0.45">
      <c r="A246" t="s">
        <v>34</v>
      </c>
      <c r="B246">
        <v>2003</v>
      </c>
      <c r="C246" t="s">
        <v>75</v>
      </c>
      <c r="D246">
        <v>8.4</v>
      </c>
    </row>
    <row r="247" spans="1:4" x14ac:dyDescent="0.45">
      <c r="A247" t="s">
        <v>36</v>
      </c>
      <c r="B247">
        <v>2003</v>
      </c>
      <c r="C247" t="s">
        <v>75</v>
      </c>
      <c r="D247">
        <v>26.51</v>
      </c>
    </row>
    <row r="248" spans="1:4" x14ac:dyDescent="0.45">
      <c r="A248" t="s">
        <v>56</v>
      </c>
      <c r="B248">
        <v>2003</v>
      </c>
      <c r="C248" t="s">
        <v>75</v>
      </c>
      <c r="D248">
        <v>23.43</v>
      </c>
    </row>
    <row r="249" spans="1:4" x14ac:dyDescent="0.45">
      <c r="A249" t="s">
        <v>57</v>
      </c>
      <c r="B249">
        <v>2003</v>
      </c>
      <c r="C249" t="s">
        <v>75</v>
      </c>
      <c r="D249">
        <v>63.36</v>
      </c>
    </row>
    <row r="250" spans="1:4" x14ac:dyDescent="0.45">
      <c r="A250" t="s">
        <v>38</v>
      </c>
      <c r="B250">
        <v>2003</v>
      </c>
      <c r="C250" t="s">
        <v>75</v>
      </c>
      <c r="D250">
        <v>0.88</v>
      </c>
    </row>
    <row r="251" spans="1:4" x14ac:dyDescent="0.45">
      <c r="A251" t="s">
        <v>32</v>
      </c>
      <c r="B251">
        <v>2003</v>
      </c>
      <c r="C251" t="s">
        <v>75</v>
      </c>
      <c r="D251">
        <v>0.51</v>
      </c>
    </row>
    <row r="252" spans="1:4" x14ac:dyDescent="0.45">
      <c r="A252" t="s">
        <v>58</v>
      </c>
      <c r="B252">
        <v>2003</v>
      </c>
      <c r="C252" t="s">
        <v>75</v>
      </c>
      <c r="D252">
        <v>0.01</v>
      </c>
    </row>
    <row r="253" spans="1:4" x14ac:dyDescent="0.45">
      <c r="A253" t="s">
        <v>91</v>
      </c>
      <c r="B253">
        <v>2003</v>
      </c>
      <c r="C253" t="s">
        <v>75</v>
      </c>
      <c r="D253">
        <v>0.22</v>
      </c>
    </row>
    <row r="254" spans="1:4" x14ac:dyDescent="0.45">
      <c r="A254" t="s">
        <v>32</v>
      </c>
      <c r="B254">
        <v>2004</v>
      </c>
      <c r="C254" t="s">
        <v>75</v>
      </c>
      <c r="D254">
        <v>0.28000000000000003</v>
      </c>
    </row>
    <row r="255" spans="1:4" x14ac:dyDescent="0.45">
      <c r="A255" t="s">
        <v>34</v>
      </c>
      <c r="B255">
        <v>2004</v>
      </c>
      <c r="C255" t="s">
        <v>75</v>
      </c>
      <c r="D255">
        <v>8.4499999999999993</v>
      </c>
    </row>
    <row r="256" spans="1:4" x14ac:dyDescent="0.45">
      <c r="A256" t="s">
        <v>36</v>
      </c>
      <c r="B256">
        <v>2004</v>
      </c>
      <c r="C256" t="s">
        <v>75</v>
      </c>
      <c r="D256">
        <v>26.17</v>
      </c>
    </row>
    <row r="257" spans="1:4" x14ac:dyDescent="0.45">
      <c r="A257" t="s">
        <v>56</v>
      </c>
      <c r="B257">
        <v>2004</v>
      </c>
      <c r="C257" t="s">
        <v>75</v>
      </c>
      <c r="D257">
        <v>23.32</v>
      </c>
    </row>
    <row r="258" spans="1:4" x14ac:dyDescent="0.45">
      <c r="A258" t="s">
        <v>57</v>
      </c>
      <c r="B258">
        <v>2004</v>
      </c>
      <c r="C258" t="s">
        <v>75</v>
      </c>
      <c r="D258">
        <v>63.36</v>
      </c>
    </row>
    <row r="259" spans="1:4" x14ac:dyDescent="0.45">
      <c r="A259" t="s">
        <v>38</v>
      </c>
      <c r="B259">
        <v>2004</v>
      </c>
      <c r="C259" t="s">
        <v>75</v>
      </c>
      <c r="D259">
        <v>0.92</v>
      </c>
    </row>
    <row r="260" spans="1:4" x14ac:dyDescent="0.45">
      <c r="A260" t="s">
        <v>32</v>
      </c>
      <c r="B260">
        <v>2004</v>
      </c>
      <c r="C260" t="s">
        <v>75</v>
      </c>
      <c r="D260">
        <v>0.55000000000000004</v>
      </c>
    </row>
    <row r="261" spans="1:4" x14ac:dyDescent="0.45">
      <c r="A261" t="s">
        <v>58</v>
      </c>
      <c r="B261">
        <v>2004</v>
      </c>
      <c r="C261" t="s">
        <v>75</v>
      </c>
      <c r="D261">
        <v>0.01</v>
      </c>
    </row>
    <row r="262" spans="1:4" x14ac:dyDescent="0.45">
      <c r="A262" t="s">
        <v>91</v>
      </c>
      <c r="B262">
        <v>2004</v>
      </c>
      <c r="C262" t="s">
        <v>75</v>
      </c>
      <c r="D262">
        <v>0.36</v>
      </c>
    </row>
    <row r="263" spans="1:4" x14ac:dyDescent="0.45">
      <c r="A263" t="s">
        <v>32</v>
      </c>
      <c r="B263">
        <v>2005</v>
      </c>
      <c r="C263" t="s">
        <v>75</v>
      </c>
      <c r="D263">
        <v>0.28999999999999998</v>
      </c>
    </row>
    <row r="264" spans="1:4" x14ac:dyDescent="0.45">
      <c r="A264" t="s">
        <v>34</v>
      </c>
      <c r="B264">
        <v>2005</v>
      </c>
      <c r="C264" t="s">
        <v>75</v>
      </c>
      <c r="D264">
        <v>7.72</v>
      </c>
    </row>
    <row r="265" spans="1:4" x14ac:dyDescent="0.45">
      <c r="A265" t="s">
        <v>36</v>
      </c>
      <c r="B265">
        <v>2005</v>
      </c>
      <c r="C265" t="s">
        <v>75</v>
      </c>
      <c r="D265">
        <v>25.45</v>
      </c>
    </row>
    <row r="266" spans="1:4" x14ac:dyDescent="0.45">
      <c r="A266" t="s">
        <v>56</v>
      </c>
      <c r="B266">
        <v>2005</v>
      </c>
      <c r="C266" t="s">
        <v>75</v>
      </c>
      <c r="D266">
        <v>23.33</v>
      </c>
    </row>
    <row r="267" spans="1:4" x14ac:dyDescent="0.45">
      <c r="A267" t="s">
        <v>57</v>
      </c>
      <c r="B267">
        <v>2005</v>
      </c>
      <c r="C267" t="s">
        <v>75</v>
      </c>
      <c r="D267">
        <v>63.26</v>
      </c>
    </row>
    <row r="268" spans="1:4" x14ac:dyDescent="0.45">
      <c r="A268" t="s">
        <v>38</v>
      </c>
      <c r="B268">
        <v>2005</v>
      </c>
      <c r="C268" t="s">
        <v>75</v>
      </c>
      <c r="D268">
        <v>0.92</v>
      </c>
    </row>
    <row r="269" spans="1:4" x14ac:dyDescent="0.45">
      <c r="A269" t="s">
        <v>32</v>
      </c>
      <c r="B269">
        <v>2005</v>
      </c>
      <c r="C269" t="s">
        <v>75</v>
      </c>
      <c r="D269">
        <v>0.55000000000000004</v>
      </c>
    </row>
    <row r="270" spans="1:4" x14ac:dyDescent="0.45">
      <c r="A270" t="s">
        <v>58</v>
      </c>
      <c r="B270">
        <v>2005</v>
      </c>
      <c r="C270" t="s">
        <v>75</v>
      </c>
      <c r="D270">
        <v>0.01</v>
      </c>
    </row>
    <row r="271" spans="1:4" x14ac:dyDescent="0.45">
      <c r="A271" t="s">
        <v>91</v>
      </c>
      <c r="B271">
        <v>2005</v>
      </c>
      <c r="C271" t="s">
        <v>75</v>
      </c>
      <c r="D271">
        <v>0.69</v>
      </c>
    </row>
    <row r="272" spans="1:4" x14ac:dyDescent="0.45">
      <c r="A272" t="s">
        <v>32</v>
      </c>
      <c r="B272">
        <v>2006</v>
      </c>
      <c r="C272" t="s">
        <v>75</v>
      </c>
      <c r="D272">
        <v>0.3</v>
      </c>
    </row>
    <row r="273" spans="1:4" x14ac:dyDescent="0.45">
      <c r="A273" t="s">
        <v>34</v>
      </c>
      <c r="B273">
        <v>2006</v>
      </c>
      <c r="C273" t="s">
        <v>75</v>
      </c>
      <c r="D273">
        <v>7.53</v>
      </c>
    </row>
    <row r="274" spans="1:4" x14ac:dyDescent="0.45">
      <c r="A274" t="s">
        <v>36</v>
      </c>
      <c r="B274">
        <v>2006</v>
      </c>
      <c r="C274" t="s">
        <v>75</v>
      </c>
      <c r="D274">
        <v>24.64</v>
      </c>
    </row>
    <row r="275" spans="1:4" x14ac:dyDescent="0.45">
      <c r="A275" t="s">
        <v>56</v>
      </c>
      <c r="B275">
        <v>2006</v>
      </c>
      <c r="C275" t="s">
        <v>75</v>
      </c>
      <c r="D275">
        <v>23.34</v>
      </c>
    </row>
    <row r="276" spans="1:4" x14ac:dyDescent="0.45">
      <c r="A276" t="s">
        <v>57</v>
      </c>
      <c r="B276">
        <v>2006</v>
      </c>
      <c r="C276" t="s">
        <v>75</v>
      </c>
      <c r="D276">
        <v>63.26</v>
      </c>
    </row>
    <row r="277" spans="1:4" x14ac:dyDescent="0.45">
      <c r="A277" t="s">
        <v>38</v>
      </c>
      <c r="B277">
        <v>2006</v>
      </c>
      <c r="C277" t="s">
        <v>75</v>
      </c>
      <c r="D277">
        <v>0.92</v>
      </c>
    </row>
    <row r="278" spans="1:4" x14ac:dyDescent="0.45">
      <c r="A278" t="s">
        <v>32</v>
      </c>
      <c r="B278">
        <v>2006</v>
      </c>
      <c r="C278" t="s">
        <v>75</v>
      </c>
      <c r="D278">
        <v>0.57999999999999996</v>
      </c>
    </row>
    <row r="279" spans="1:4" x14ac:dyDescent="0.45">
      <c r="A279" t="s">
        <v>58</v>
      </c>
      <c r="B279">
        <v>2006</v>
      </c>
      <c r="C279" t="s">
        <v>75</v>
      </c>
      <c r="D279">
        <v>0.01</v>
      </c>
    </row>
    <row r="280" spans="1:4" x14ac:dyDescent="0.45">
      <c r="A280" t="s">
        <v>91</v>
      </c>
      <c r="B280">
        <v>2006</v>
      </c>
      <c r="C280" t="s">
        <v>75</v>
      </c>
      <c r="D280">
        <v>1.41</v>
      </c>
    </row>
    <row r="281" spans="1:4" x14ac:dyDescent="0.45">
      <c r="A281" t="s">
        <v>32</v>
      </c>
      <c r="B281">
        <v>2007</v>
      </c>
      <c r="C281" t="s">
        <v>75</v>
      </c>
      <c r="D281">
        <v>0.35</v>
      </c>
    </row>
    <row r="282" spans="1:4" x14ac:dyDescent="0.45">
      <c r="A282" t="s">
        <v>34</v>
      </c>
      <c r="B282">
        <v>2007</v>
      </c>
      <c r="C282" t="s">
        <v>75</v>
      </c>
      <c r="D282">
        <v>7.53</v>
      </c>
    </row>
    <row r="283" spans="1:4" x14ac:dyDescent="0.45">
      <c r="A283" t="s">
        <v>36</v>
      </c>
      <c r="B283">
        <v>2007</v>
      </c>
      <c r="C283" t="s">
        <v>75</v>
      </c>
      <c r="D283">
        <v>24.37</v>
      </c>
    </row>
    <row r="284" spans="1:4" x14ac:dyDescent="0.45">
      <c r="A284" t="s">
        <v>56</v>
      </c>
      <c r="B284">
        <v>2007</v>
      </c>
      <c r="C284" t="s">
        <v>75</v>
      </c>
      <c r="D284">
        <v>23.35</v>
      </c>
    </row>
    <row r="285" spans="1:4" x14ac:dyDescent="0.45">
      <c r="A285" t="s">
        <v>57</v>
      </c>
      <c r="B285">
        <v>2007</v>
      </c>
      <c r="C285" t="s">
        <v>75</v>
      </c>
      <c r="D285">
        <v>63.26</v>
      </c>
    </row>
    <row r="286" spans="1:4" x14ac:dyDescent="0.45">
      <c r="A286" t="s">
        <v>38</v>
      </c>
      <c r="B286">
        <v>2007</v>
      </c>
      <c r="C286" t="s">
        <v>75</v>
      </c>
      <c r="D286">
        <v>1.04</v>
      </c>
    </row>
    <row r="287" spans="1:4" x14ac:dyDescent="0.45">
      <c r="A287" t="s">
        <v>32</v>
      </c>
      <c r="B287">
        <v>2007</v>
      </c>
      <c r="C287" t="s">
        <v>75</v>
      </c>
      <c r="D287">
        <v>0.59</v>
      </c>
    </row>
    <row r="288" spans="1:4" x14ac:dyDescent="0.45">
      <c r="A288" t="s">
        <v>58</v>
      </c>
      <c r="B288">
        <v>2007</v>
      </c>
      <c r="C288" t="s">
        <v>75</v>
      </c>
      <c r="D288">
        <v>0.03</v>
      </c>
    </row>
    <row r="289" spans="1:4" x14ac:dyDescent="0.45">
      <c r="A289" t="s">
        <v>91</v>
      </c>
      <c r="B289">
        <v>2007</v>
      </c>
      <c r="C289" t="s">
        <v>75</v>
      </c>
      <c r="D289">
        <v>2.2200000000000002</v>
      </c>
    </row>
    <row r="290" spans="1:4" x14ac:dyDescent="0.45">
      <c r="A290" t="s">
        <v>32</v>
      </c>
      <c r="B290">
        <v>2008</v>
      </c>
      <c r="C290" t="s">
        <v>75</v>
      </c>
      <c r="D290">
        <v>0.38</v>
      </c>
    </row>
    <row r="291" spans="1:4" x14ac:dyDescent="0.45">
      <c r="A291" t="s">
        <v>34</v>
      </c>
      <c r="B291">
        <v>2008</v>
      </c>
      <c r="C291" t="s">
        <v>75</v>
      </c>
      <c r="D291">
        <v>7.63</v>
      </c>
    </row>
    <row r="292" spans="1:4" x14ac:dyDescent="0.45">
      <c r="A292" t="s">
        <v>36</v>
      </c>
      <c r="B292">
        <v>2008</v>
      </c>
      <c r="C292" t="s">
        <v>75</v>
      </c>
      <c r="D292">
        <v>24.23</v>
      </c>
    </row>
    <row r="293" spans="1:4" x14ac:dyDescent="0.45">
      <c r="A293" t="s">
        <v>56</v>
      </c>
      <c r="B293">
        <v>2008</v>
      </c>
      <c r="C293" t="s">
        <v>75</v>
      </c>
      <c r="D293">
        <v>23.31</v>
      </c>
    </row>
    <row r="294" spans="1:4" x14ac:dyDescent="0.45">
      <c r="A294" t="s">
        <v>57</v>
      </c>
      <c r="B294">
        <v>2008</v>
      </c>
      <c r="C294" t="s">
        <v>75</v>
      </c>
      <c r="D294">
        <v>63.26</v>
      </c>
    </row>
    <row r="295" spans="1:4" x14ac:dyDescent="0.45">
      <c r="A295" t="s">
        <v>38</v>
      </c>
      <c r="B295">
        <v>2008</v>
      </c>
      <c r="C295" t="s">
        <v>75</v>
      </c>
      <c r="D295">
        <v>1.48</v>
      </c>
    </row>
    <row r="296" spans="1:4" x14ac:dyDescent="0.45">
      <c r="A296" t="s">
        <v>32</v>
      </c>
      <c r="B296">
        <v>2008</v>
      </c>
      <c r="C296" t="s">
        <v>75</v>
      </c>
      <c r="D296">
        <v>0.63</v>
      </c>
    </row>
    <row r="297" spans="1:4" x14ac:dyDescent="0.45">
      <c r="A297" t="s">
        <v>58</v>
      </c>
      <c r="B297">
        <v>2008</v>
      </c>
      <c r="C297" t="s">
        <v>75</v>
      </c>
      <c r="D297">
        <v>0.08</v>
      </c>
    </row>
    <row r="298" spans="1:4" x14ac:dyDescent="0.45">
      <c r="A298" t="s">
        <v>91</v>
      </c>
      <c r="B298">
        <v>2008</v>
      </c>
      <c r="C298" t="s">
        <v>75</v>
      </c>
      <c r="D298">
        <v>3.4</v>
      </c>
    </row>
    <row r="299" spans="1:4" x14ac:dyDescent="0.45">
      <c r="A299" t="s">
        <v>32</v>
      </c>
      <c r="B299">
        <v>2009</v>
      </c>
      <c r="C299" t="s">
        <v>75</v>
      </c>
      <c r="D299">
        <v>0.41</v>
      </c>
    </row>
    <row r="300" spans="1:4" x14ac:dyDescent="0.45">
      <c r="A300" t="s">
        <v>34</v>
      </c>
      <c r="B300">
        <v>2009</v>
      </c>
      <c r="C300" t="s">
        <v>75</v>
      </c>
      <c r="D300">
        <v>7.63</v>
      </c>
    </row>
    <row r="301" spans="1:4" x14ac:dyDescent="0.45">
      <c r="A301" t="s">
        <v>36</v>
      </c>
      <c r="B301">
        <v>2009</v>
      </c>
      <c r="C301" t="s">
        <v>75</v>
      </c>
      <c r="D301">
        <v>25.82</v>
      </c>
    </row>
    <row r="302" spans="1:4" x14ac:dyDescent="0.45">
      <c r="A302" t="s">
        <v>56</v>
      </c>
      <c r="B302">
        <v>2009</v>
      </c>
      <c r="C302" t="s">
        <v>75</v>
      </c>
      <c r="D302">
        <v>23.4</v>
      </c>
    </row>
    <row r="303" spans="1:4" x14ac:dyDescent="0.45">
      <c r="A303" t="s">
        <v>57</v>
      </c>
      <c r="B303">
        <v>2009</v>
      </c>
      <c r="C303" t="s">
        <v>75</v>
      </c>
      <c r="D303">
        <v>63.13</v>
      </c>
    </row>
    <row r="304" spans="1:4" x14ac:dyDescent="0.45">
      <c r="A304" t="s">
        <v>38</v>
      </c>
      <c r="B304">
        <v>2009</v>
      </c>
      <c r="C304" t="s">
        <v>75</v>
      </c>
      <c r="D304">
        <v>1.68</v>
      </c>
    </row>
    <row r="305" spans="1:4" x14ac:dyDescent="0.45">
      <c r="A305" t="s">
        <v>32</v>
      </c>
      <c r="B305">
        <v>2009</v>
      </c>
      <c r="C305" t="s">
        <v>75</v>
      </c>
      <c r="D305">
        <v>0.63</v>
      </c>
    </row>
    <row r="306" spans="1:4" x14ac:dyDescent="0.45">
      <c r="A306" t="s">
        <v>58</v>
      </c>
      <c r="B306">
        <v>2009</v>
      </c>
      <c r="C306" t="s">
        <v>75</v>
      </c>
      <c r="D306">
        <v>0.28000000000000003</v>
      </c>
    </row>
    <row r="307" spans="1:4" x14ac:dyDescent="0.45">
      <c r="A307" t="s">
        <v>91</v>
      </c>
      <c r="B307">
        <v>2009</v>
      </c>
      <c r="C307" t="s">
        <v>75</v>
      </c>
      <c r="D307">
        <v>4.58</v>
      </c>
    </row>
    <row r="308" spans="1:4" x14ac:dyDescent="0.45">
      <c r="A308" t="s">
        <v>32</v>
      </c>
      <c r="B308">
        <v>2010</v>
      </c>
      <c r="C308" t="s">
        <v>75</v>
      </c>
      <c r="D308">
        <v>0.52</v>
      </c>
    </row>
    <row r="309" spans="1:4" x14ac:dyDescent="0.45">
      <c r="A309" t="s">
        <v>34</v>
      </c>
      <c r="B309">
        <v>2010</v>
      </c>
      <c r="C309" t="s">
        <v>75</v>
      </c>
      <c r="D309">
        <v>7.63</v>
      </c>
    </row>
    <row r="310" spans="1:4" x14ac:dyDescent="0.45">
      <c r="A310" t="s">
        <v>36</v>
      </c>
      <c r="B310">
        <v>2010</v>
      </c>
      <c r="C310" t="s">
        <v>75</v>
      </c>
      <c r="D310">
        <v>27.02</v>
      </c>
    </row>
    <row r="311" spans="1:4" x14ac:dyDescent="0.45">
      <c r="A311" t="s">
        <v>56</v>
      </c>
      <c r="B311">
        <v>2010</v>
      </c>
      <c r="C311" t="s">
        <v>75</v>
      </c>
      <c r="D311">
        <v>23.62</v>
      </c>
    </row>
    <row r="312" spans="1:4" x14ac:dyDescent="0.45">
      <c r="A312" t="s">
        <v>57</v>
      </c>
      <c r="B312">
        <v>2010</v>
      </c>
      <c r="C312" t="s">
        <v>75</v>
      </c>
      <c r="D312">
        <v>63.13</v>
      </c>
    </row>
    <row r="313" spans="1:4" x14ac:dyDescent="0.45">
      <c r="A313" t="s">
        <v>38</v>
      </c>
      <c r="B313">
        <v>2010</v>
      </c>
      <c r="C313" t="s">
        <v>75</v>
      </c>
      <c r="D313">
        <v>1.72</v>
      </c>
    </row>
    <row r="314" spans="1:4" x14ac:dyDescent="0.45">
      <c r="A314" t="s">
        <v>32</v>
      </c>
      <c r="B314">
        <v>2010</v>
      </c>
      <c r="C314" t="s">
        <v>75</v>
      </c>
      <c r="D314">
        <v>0.62</v>
      </c>
    </row>
    <row r="315" spans="1:4" x14ac:dyDescent="0.45">
      <c r="A315" t="s">
        <v>58</v>
      </c>
      <c r="B315">
        <v>2010</v>
      </c>
      <c r="C315" t="s">
        <v>75</v>
      </c>
      <c r="D315">
        <v>1.04</v>
      </c>
    </row>
    <row r="316" spans="1:4" x14ac:dyDescent="0.45">
      <c r="A316" t="s">
        <v>91</v>
      </c>
      <c r="B316">
        <v>2010</v>
      </c>
      <c r="C316" t="s">
        <v>75</v>
      </c>
      <c r="D316">
        <v>5.91</v>
      </c>
    </row>
    <row r="317" spans="1:4" x14ac:dyDescent="0.45">
      <c r="A317" t="s">
        <v>32</v>
      </c>
      <c r="B317">
        <v>2011</v>
      </c>
      <c r="C317" t="s">
        <v>75</v>
      </c>
      <c r="D317">
        <v>0.55000000000000004</v>
      </c>
    </row>
    <row r="318" spans="1:4" x14ac:dyDescent="0.45">
      <c r="A318" t="s">
        <v>34</v>
      </c>
      <c r="B318">
        <v>2011</v>
      </c>
      <c r="C318" t="s">
        <v>75</v>
      </c>
      <c r="D318">
        <v>7.63</v>
      </c>
    </row>
    <row r="319" spans="1:4" x14ac:dyDescent="0.45">
      <c r="A319" t="s">
        <v>36</v>
      </c>
      <c r="B319">
        <v>2011</v>
      </c>
      <c r="C319" t="s">
        <v>75</v>
      </c>
      <c r="D319">
        <v>26.74</v>
      </c>
    </row>
    <row r="320" spans="1:4" x14ac:dyDescent="0.45">
      <c r="A320" t="s">
        <v>56</v>
      </c>
      <c r="B320">
        <v>2011</v>
      </c>
      <c r="C320" t="s">
        <v>75</v>
      </c>
      <c r="D320">
        <v>23.83</v>
      </c>
    </row>
    <row r="321" spans="1:4" x14ac:dyDescent="0.45">
      <c r="A321" t="s">
        <v>57</v>
      </c>
      <c r="B321">
        <v>2011</v>
      </c>
      <c r="C321" t="s">
        <v>75</v>
      </c>
      <c r="D321">
        <v>63.13</v>
      </c>
    </row>
    <row r="322" spans="1:4" x14ac:dyDescent="0.45">
      <c r="A322" t="s">
        <v>38</v>
      </c>
      <c r="B322">
        <v>2011</v>
      </c>
      <c r="C322" t="s">
        <v>75</v>
      </c>
      <c r="D322">
        <v>1.72</v>
      </c>
    </row>
    <row r="323" spans="1:4" x14ac:dyDescent="0.45">
      <c r="A323" t="s">
        <v>32</v>
      </c>
      <c r="B323">
        <v>2011</v>
      </c>
      <c r="C323" t="s">
        <v>75</v>
      </c>
      <c r="D323">
        <v>0.85</v>
      </c>
    </row>
    <row r="324" spans="1:4" x14ac:dyDescent="0.45">
      <c r="A324" t="s">
        <v>58</v>
      </c>
      <c r="B324">
        <v>2011</v>
      </c>
      <c r="C324" t="s">
        <v>75</v>
      </c>
      <c r="D324">
        <v>3</v>
      </c>
    </row>
    <row r="325" spans="1:4" x14ac:dyDescent="0.45">
      <c r="A325" t="s">
        <v>91</v>
      </c>
      <c r="B325">
        <v>2011</v>
      </c>
      <c r="C325" t="s">
        <v>75</v>
      </c>
      <c r="D325">
        <v>6.76</v>
      </c>
    </row>
    <row r="326" spans="1:4" x14ac:dyDescent="0.45">
      <c r="A326" t="s">
        <v>32</v>
      </c>
      <c r="B326">
        <v>2012</v>
      </c>
      <c r="C326" t="s">
        <v>75</v>
      </c>
      <c r="D326">
        <v>0.63</v>
      </c>
    </row>
    <row r="327" spans="1:4" x14ac:dyDescent="0.45">
      <c r="A327" t="s">
        <v>34</v>
      </c>
      <c r="B327">
        <v>2012</v>
      </c>
      <c r="C327" t="s">
        <v>75</v>
      </c>
      <c r="D327">
        <v>7.9</v>
      </c>
    </row>
    <row r="328" spans="1:4" x14ac:dyDescent="0.45">
      <c r="A328" t="s">
        <v>36</v>
      </c>
      <c r="B328">
        <v>2012</v>
      </c>
      <c r="C328" t="s">
        <v>75</v>
      </c>
      <c r="D328">
        <v>27.69</v>
      </c>
    </row>
    <row r="329" spans="1:4" x14ac:dyDescent="0.45">
      <c r="A329" t="s">
        <v>56</v>
      </c>
      <c r="B329">
        <v>2012</v>
      </c>
      <c r="C329" t="s">
        <v>75</v>
      </c>
      <c r="D329">
        <v>23.85</v>
      </c>
    </row>
    <row r="330" spans="1:4" x14ac:dyDescent="0.45">
      <c r="A330" t="s">
        <v>57</v>
      </c>
      <c r="B330">
        <v>2012</v>
      </c>
      <c r="C330" t="s">
        <v>75</v>
      </c>
      <c r="D330">
        <v>63.13</v>
      </c>
    </row>
    <row r="331" spans="1:4" x14ac:dyDescent="0.45">
      <c r="A331" t="s">
        <v>38</v>
      </c>
      <c r="B331">
        <v>2012</v>
      </c>
      <c r="C331" t="s">
        <v>75</v>
      </c>
      <c r="D331">
        <v>1.72</v>
      </c>
    </row>
    <row r="332" spans="1:4" x14ac:dyDescent="0.45">
      <c r="A332" t="s">
        <v>32</v>
      </c>
      <c r="B332">
        <v>2012</v>
      </c>
      <c r="C332" t="s">
        <v>75</v>
      </c>
      <c r="D332">
        <v>0.88</v>
      </c>
    </row>
    <row r="333" spans="1:4" x14ac:dyDescent="0.45">
      <c r="A333" t="s">
        <v>58</v>
      </c>
      <c r="B333">
        <v>2012</v>
      </c>
      <c r="C333" t="s">
        <v>75</v>
      </c>
      <c r="D333">
        <v>4.3600000000000003</v>
      </c>
    </row>
    <row r="334" spans="1:4" x14ac:dyDescent="0.45">
      <c r="A334" t="s">
        <v>91</v>
      </c>
      <c r="B334">
        <v>2012</v>
      </c>
      <c r="C334" t="s">
        <v>75</v>
      </c>
      <c r="D334">
        <v>7.61</v>
      </c>
    </row>
    <row r="335" spans="1:4" x14ac:dyDescent="0.45">
      <c r="A335" t="s">
        <v>32</v>
      </c>
      <c r="B335">
        <v>2013</v>
      </c>
      <c r="C335" t="s">
        <v>75</v>
      </c>
      <c r="D335">
        <v>0.76</v>
      </c>
    </row>
    <row r="336" spans="1:4" x14ac:dyDescent="0.45">
      <c r="A336" t="s">
        <v>34</v>
      </c>
      <c r="B336">
        <v>2013</v>
      </c>
      <c r="C336" t="s">
        <v>75</v>
      </c>
      <c r="D336">
        <v>6.31</v>
      </c>
    </row>
    <row r="337" spans="1:4" x14ac:dyDescent="0.45">
      <c r="A337" t="s">
        <v>36</v>
      </c>
      <c r="B337">
        <v>2013</v>
      </c>
      <c r="C337" t="s">
        <v>75</v>
      </c>
      <c r="D337">
        <v>25.52</v>
      </c>
    </row>
    <row r="338" spans="1:4" x14ac:dyDescent="0.45">
      <c r="A338" t="s">
        <v>56</v>
      </c>
      <c r="B338">
        <v>2013</v>
      </c>
      <c r="C338" t="s">
        <v>75</v>
      </c>
      <c r="D338">
        <v>23.84</v>
      </c>
    </row>
    <row r="339" spans="1:4" x14ac:dyDescent="0.45">
      <c r="A339" t="s">
        <v>57</v>
      </c>
      <c r="B339">
        <v>2013</v>
      </c>
      <c r="C339" t="s">
        <v>75</v>
      </c>
      <c r="D339">
        <v>63.13</v>
      </c>
    </row>
    <row r="340" spans="1:4" x14ac:dyDescent="0.45">
      <c r="A340" t="s">
        <v>38</v>
      </c>
      <c r="B340">
        <v>2013</v>
      </c>
      <c r="C340" t="s">
        <v>75</v>
      </c>
      <c r="D340">
        <v>1.72</v>
      </c>
    </row>
    <row r="341" spans="1:4" x14ac:dyDescent="0.45">
      <c r="A341" t="s">
        <v>32</v>
      </c>
      <c r="B341">
        <v>2013</v>
      </c>
      <c r="C341" t="s">
        <v>75</v>
      </c>
      <c r="D341">
        <v>0.88</v>
      </c>
    </row>
    <row r="342" spans="1:4" x14ac:dyDescent="0.45">
      <c r="A342" t="s">
        <v>58</v>
      </c>
      <c r="B342">
        <v>2013</v>
      </c>
      <c r="C342" t="s">
        <v>75</v>
      </c>
      <c r="D342">
        <v>5.28</v>
      </c>
    </row>
    <row r="343" spans="1:4" x14ac:dyDescent="0.45">
      <c r="A343" t="s">
        <v>91</v>
      </c>
      <c r="B343">
        <v>2013</v>
      </c>
      <c r="C343" t="s">
        <v>75</v>
      </c>
      <c r="D343">
        <v>8.16</v>
      </c>
    </row>
    <row r="344" spans="1:4" x14ac:dyDescent="0.45">
      <c r="A344" t="s">
        <v>32</v>
      </c>
      <c r="B344">
        <v>2014</v>
      </c>
      <c r="C344" t="s">
        <v>75</v>
      </c>
      <c r="D344">
        <v>0.82</v>
      </c>
    </row>
    <row r="345" spans="1:4" x14ac:dyDescent="0.45">
      <c r="A345" t="s">
        <v>34</v>
      </c>
      <c r="B345">
        <v>2014</v>
      </c>
      <c r="C345" t="s">
        <v>75</v>
      </c>
      <c r="D345">
        <v>5.8</v>
      </c>
    </row>
    <row r="346" spans="1:4" x14ac:dyDescent="0.45">
      <c r="A346" t="s">
        <v>36</v>
      </c>
      <c r="B346">
        <v>2014</v>
      </c>
      <c r="C346" t="s">
        <v>75</v>
      </c>
      <c r="D346">
        <v>23.75</v>
      </c>
    </row>
    <row r="347" spans="1:4" x14ac:dyDescent="0.45">
      <c r="A347" t="s">
        <v>56</v>
      </c>
      <c r="B347">
        <v>2014</v>
      </c>
      <c r="C347" t="s">
        <v>75</v>
      </c>
      <c r="D347">
        <v>23.8</v>
      </c>
    </row>
    <row r="348" spans="1:4" x14ac:dyDescent="0.45">
      <c r="A348" t="s">
        <v>57</v>
      </c>
      <c r="B348">
        <v>2014</v>
      </c>
      <c r="C348" t="s">
        <v>75</v>
      </c>
      <c r="D348">
        <v>63.13</v>
      </c>
    </row>
    <row r="349" spans="1:4" x14ac:dyDescent="0.45">
      <c r="A349" t="s">
        <v>38</v>
      </c>
      <c r="B349">
        <v>2014</v>
      </c>
      <c r="C349" t="s">
        <v>75</v>
      </c>
      <c r="D349">
        <v>1.85</v>
      </c>
    </row>
    <row r="350" spans="1:4" x14ac:dyDescent="0.45">
      <c r="A350" t="s">
        <v>32</v>
      </c>
      <c r="B350">
        <v>2014</v>
      </c>
      <c r="C350" t="s">
        <v>75</v>
      </c>
      <c r="D350">
        <v>0.88</v>
      </c>
    </row>
    <row r="351" spans="1:4" x14ac:dyDescent="0.45">
      <c r="A351" t="s">
        <v>58</v>
      </c>
      <c r="B351">
        <v>2014</v>
      </c>
      <c r="C351" t="s">
        <v>75</v>
      </c>
      <c r="D351">
        <v>6.03</v>
      </c>
    </row>
    <row r="352" spans="1:4" x14ac:dyDescent="0.45">
      <c r="A352" t="s">
        <v>91</v>
      </c>
      <c r="B352">
        <v>2014</v>
      </c>
      <c r="C352" t="s">
        <v>75</v>
      </c>
      <c r="D352">
        <v>9.1999999999999993</v>
      </c>
    </row>
    <row r="353" spans="1:4" x14ac:dyDescent="0.45">
      <c r="A353" t="s">
        <v>32</v>
      </c>
      <c r="B353">
        <v>2015</v>
      </c>
      <c r="C353" t="s">
        <v>75</v>
      </c>
      <c r="D353">
        <v>0.93</v>
      </c>
    </row>
    <row r="354" spans="1:4" x14ac:dyDescent="0.45">
      <c r="A354" t="s">
        <v>34</v>
      </c>
      <c r="B354">
        <v>2015</v>
      </c>
      <c r="C354" t="s">
        <v>75</v>
      </c>
      <c r="D354">
        <v>3.74</v>
      </c>
    </row>
    <row r="355" spans="1:4" x14ac:dyDescent="0.45">
      <c r="A355" t="s">
        <v>36</v>
      </c>
      <c r="B355">
        <v>2015</v>
      </c>
      <c r="C355" t="s">
        <v>75</v>
      </c>
      <c r="D355">
        <v>23.66</v>
      </c>
    </row>
    <row r="356" spans="1:4" x14ac:dyDescent="0.45">
      <c r="A356" t="s">
        <v>56</v>
      </c>
      <c r="B356">
        <v>2015</v>
      </c>
      <c r="C356" t="s">
        <v>75</v>
      </c>
      <c r="D356">
        <v>23.82</v>
      </c>
    </row>
    <row r="357" spans="1:4" x14ac:dyDescent="0.45">
      <c r="A357" t="s">
        <v>57</v>
      </c>
      <c r="B357">
        <v>2015</v>
      </c>
      <c r="C357" t="s">
        <v>75</v>
      </c>
      <c r="D357">
        <v>63.13</v>
      </c>
    </row>
    <row r="358" spans="1:4" x14ac:dyDescent="0.45">
      <c r="A358" t="s">
        <v>38</v>
      </c>
      <c r="B358">
        <v>2015</v>
      </c>
      <c r="C358" t="s">
        <v>75</v>
      </c>
      <c r="D358">
        <v>1.89</v>
      </c>
    </row>
    <row r="359" spans="1:4" x14ac:dyDescent="0.45">
      <c r="A359" t="s">
        <v>32</v>
      </c>
      <c r="B359">
        <v>2015</v>
      </c>
      <c r="C359" t="s">
        <v>75</v>
      </c>
      <c r="D359">
        <v>0.84</v>
      </c>
    </row>
    <row r="360" spans="1:4" x14ac:dyDescent="0.45">
      <c r="A360" t="s">
        <v>58</v>
      </c>
      <c r="B360">
        <v>2015</v>
      </c>
      <c r="C360" t="s">
        <v>75</v>
      </c>
      <c r="D360">
        <v>7.14</v>
      </c>
    </row>
    <row r="361" spans="1:4" x14ac:dyDescent="0.45">
      <c r="A361" t="s">
        <v>91</v>
      </c>
      <c r="B361">
        <v>2015</v>
      </c>
      <c r="C361" t="s">
        <v>75</v>
      </c>
      <c r="D361">
        <v>10.3</v>
      </c>
    </row>
    <row r="362" spans="1:4" x14ac:dyDescent="0.45">
      <c r="A362" t="s">
        <v>32</v>
      </c>
      <c r="B362">
        <v>2016</v>
      </c>
      <c r="C362" t="s">
        <v>75</v>
      </c>
      <c r="D362">
        <v>1.04</v>
      </c>
    </row>
    <row r="363" spans="1:4" x14ac:dyDescent="0.45">
      <c r="A363" t="s">
        <v>34</v>
      </c>
      <c r="B363">
        <v>2016</v>
      </c>
      <c r="C363" t="s">
        <v>75</v>
      </c>
      <c r="D363">
        <v>3.74</v>
      </c>
    </row>
    <row r="364" spans="1:4" x14ac:dyDescent="0.45">
      <c r="A364" t="s">
        <v>36</v>
      </c>
      <c r="B364">
        <v>2016</v>
      </c>
      <c r="C364" t="s">
        <v>75</v>
      </c>
      <c r="D364">
        <v>22.55</v>
      </c>
    </row>
    <row r="365" spans="1:4" x14ac:dyDescent="0.45">
      <c r="A365" t="s">
        <v>56</v>
      </c>
      <c r="B365">
        <v>2016</v>
      </c>
      <c r="C365" t="s">
        <v>75</v>
      </c>
      <c r="D365">
        <v>23.89</v>
      </c>
    </row>
    <row r="366" spans="1:4" x14ac:dyDescent="0.45">
      <c r="A366" t="s">
        <v>57</v>
      </c>
      <c r="B366">
        <v>2016</v>
      </c>
      <c r="C366" t="s">
        <v>75</v>
      </c>
      <c r="D366">
        <v>63.13</v>
      </c>
    </row>
    <row r="367" spans="1:4" x14ac:dyDescent="0.45">
      <c r="A367" t="s">
        <v>38</v>
      </c>
      <c r="B367">
        <v>2016</v>
      </c>
      <c r="C367" t="s">
        <v>75</v>
      </c>
      <c r="D367">
        <v>1.89</v>
      </c>
    </row>
    <row r="368" spans="1:4" x14ac:dyDescent="0.45">
      <c r="A368" t="s">
        <v>32</v>
      </c>
      <c r="B368">
        <v>2016</v>
      </c>
      <c r="C368" t="s">
        <v>75</v>
      </c>
      <c r="D368">
        <v>0.86</v>
      </c>
    </row>
    <row r="369" spans="1:4" x14ac:dyDescent="0.45">
      <c r="A369" t="s">
        <v>58</v>
      </c>
      <c r="B369">
        <v>2016</v>
      </c>
      <c r="C369" t="s">
        <v>75</v>
      </c>
      <c r="D369">
        <v>7.7</v>
      </c>
    </row>
    <row r="370" spans="1:4" x14ac:dyDescent="0.45">
      <c r="A370" t="s">
        <v>91</v>
      </c>
      <c r="B370">
        <v>2016</v>
      </c>
      <c r="C370" t="s">
        <v>75</v>
      </c>
      <c r="D370">
        <v>11.57</v>
      </c>
    </row>
    <row r="371" spans="1:4" x14ac:dyDescent="0.45">
      <c r="A371" t="s">
        <v>32</v>
      </c>
      <c r="B371">
        <v>2017</v>
      </c>
      <c r="C371" t="s">
        <v>75</v>
      </c>
      <c r="D371">
        <v>1.0900000000000001</v>
      </c>
    </row>
    <row r="372" spans="1:4" x14ac:dyDescent="0.45">
      <c r="A372" t="s">
        <v>34</v>
      </c>
      <c r="B372">
        <v>2017</v>
      </c>
      <c r="C372" t="s">
        <v>75</v>
      </c>
      <c r="D372">
        <v>3.74</v>
      </c>
    </row>
    <row r="373" spans="1:4" x14ac:dyDescent="0.45">
      <c r="A373" t="s">
        <v>36</v>
      </c>
      <c r="B373">
        <v>2017</v>
      </c>
      <c r="C373" t="s">
        <v>75</v>
      </c>
      <c r="D373">
        <v>19.52</v>
      </c>
    </row>
    <row r="374" spans="1:4" x14ac:dyDescent="0.45">
      <c r="A374" t="s">
        <v>56</v>
      </c>
      <c r="B374">
        <v>2017</v>
      </c>
      <c r="C374" t="s">
        <v>75</v>
      </c>
      <c r="D374">
        <v>23.98</v>
      </c>
    </row>
    <row r="375" spans="1:4" x14ac:dyDescent="0.45">
      <c r="A375" t="s">
        <v>57</v>
      </c>
      <c r="B375">
        <v>2017</v>
      </c>
      <c r="C375" t="s">
        <v>75</v>
      </c>
      <c r="D375">
        <v>63.13</v>
      </c>
    </row>
    <row r="376" spans="1:4" x14ac:dyDescent="0.45">
      <c r="A376" t="s">
        <v>38</v>
      </c>
      <c r="B376">
        <v>2017</v>
      </c>
      <c r="C376" t="s">
        <v>75</v>
      </c>
      <c r="D376">
        <v>1.89</v>
      </c>
    </row>
    <row r="377" spans="1:4" x14ac:dyDescent="0.45">
      <c r="A377" t="s">
        <v>32</v>
      </c>
      <c r="B377">
        <v>2017</v>
      </c>
      <c r="C377" t="s">
        <v>75</v>
      </c>
      <c r="D377">
        <v>0.86</v>
      </c>
    </row>
    <row r="378" spans="1:4" x14ac:dyDescent="0.45">
      <c r="A378" t="s">
        <v>58</v>
      </c>
      <c r="B378">
        <v>2017</v>
      </c>
      <c r="C378" t="s">
        <v>75</v>
      </c>
      <c r="D378">
        <v>8.61</v>
      </c>
    </row>
    <row r="379" spans="1:4" x14ac:dyDescent="0.45">
      <c r="A379" t="s">
        <v>91</v>
      </c>
      <c r="B379">
        <v>2017</v>
      </c>
      <c r="C379" t="s">
        <v>75</v>
      </c>
      <c r="D379">
        <v>13.5</v>
      </c>
    </row>
    <row r="380" spans="1:4" x14ac:dyDescent="0.45">
      <c r="A380" t="s">
        <v>32</v>
      </c>
      <c r="B380">
        <v>2018</v>
      </c>
      <c r="C380" t="s">
        <v>75</v>
      </c>
      <c r="D380">
        <v>1.32</v>
      </c>
    </row>
    <row r="381" spans="1:4" x14ac:dyDescent="0.45">
      <c r="A381" t="s">
        <v>34</v>
      </c>
      <c r="B381">
        <v>2018</v>
      </c>
      <c r="C381" t="s">
        <v>75</v>
      </c>
      <c r="D381">
        <v>3.74</v>
      </c>
    </row>
    <row r="382" spans="1:4" x14ac:dyDescent="0.45">
      <c r="A382" t="s">
        <v>36</v>
      </c>
      <c r="B382">
        <v>2018</v>
      </c>
      <c r="C382" t="s">
        <v>75</v>
      </c>
      <c r="D382">
        <v>18.809999999999999</v>
      </c>
    </row>
    <row r="383" spans="1:4" x14ac:dyDescent="0.45">
      <c r="A383" t="s">
        <v>56</v>
      </c>
      <c r="B383">
        <v>2018</v>
      </c>
      <c r="C383" t="s">
        <v>75</v>
      </c>
      <c r="D383">
        <v>24</v>
      </c>
    </row>
    <row r="384" spans="1:4" x14ac:dyDescent="0.45">
      <c r="A384" t="s">
        <v>57</v>
      </c>
      <c r="B384">
        <v>2018</v>
      </c>
      <c r="C384" t="s">
        <v>75</v>
      </c>
      <c r="D384">
        <v>63.13</v>
      </c>
    </row>
    <row r="385" spans="1:4" x14ac:dyDescent="0.45">
      <c r="A385" t="s">
        <v>38</v>
      </c>
      <c r="B385">
        <v>2018</v>
      </c>
      <c r="C385" t="s">
        <v>75</v>
      </c>
      <c r="D385">
        <v>1.89</v>
      </c>
    </row>
    <row r="386" spans="1:4" x14ac:dyDescent="0.45">
      <c r="A386" t="s">
        <v>32</v>
      </c>
      <c r="B386">
        <v>2018</v>
      </c>
      <c r="C386" t="s">
        <v>75</v>
      </c>
      <c r="D386">
        <v>0.84</v>
      </c>
    </row>
    <row r="387" spans="1:4" x14ac:dyDescent="0.45">
      <c r="A387" t="s">
        <v>58</v>
      </c>
      <c r="B387">
        <v>2018</v>
      </c>
      <c r="C387" t="s">
        <v>75</v>
      </c>
      <c r="D387">
        <v>9.6300000000000008</v>
      </c>
    </row>
    <row r="388" spans="1:4" x14ac:dyDescent="0.45">
      <c r="A388" t="s">
        <v>91</v>
      </c>
      <c r="B388">
        <v>2018</v>
      </c>
      <c r="C388" t="s">
        <v>75</v>
      </c>
      <c r="D388">
        <v>14.9</v>
      </c>
    </row>
    <row r="389" spans="1:4" x14ac:dyDescent="0.45">
      <c r="A389" t="s">
        <v>32</v>
      </c>
      <c r="B389">
        <v>2019</v>
      </c>
      <c r="C389" t="s">
        <v>75</v>
      </c>
      <c r="D389">
        <v>1.4</v>
      </c>
    </row>
    <row r="390" spans="1:4" x14ac:dyDescent="0.45">
      <c r="A390" t="s">
        <v>34</v>
      </c>
      <c r="B390">
        <v>2019</v>
      </c>
      <c r="C390" t="s">
        <v>75</v>
      </c>
      <c r="D390">
        <v>3.74</v>
      </c>
    </row>
    <row r="391" spans="1:4" x14ac:dyDescent="0.45">
      <c r="A391" t="s">
        <v>36</v>
      </c>
      <c r="B391">
        <v>2019</v>
      </c>
      <c r="C391" t="s">
        <v>75</v>
      </c>
      <c r="D391">
        <v>17.11</v>
      </c>
    </row>
    <row r="392" spans="1:4" x14ac:dyDescent="0.45">
      <c r="A392" t="s">
        <v>56</v>
      </c>
      <c r="B392">
        <v>2019</v>
      </c>
      <c r="C392" t="s">
        <v>75</v>
      </c>
      <c r="D392">
        <v>24.14</v>
      </c>
    </row>
    <row r="393" spans="1:4" x14ac:dyDescent="0.45">
      <c r="A393" t="s">
        <v>57</v>
      </c>
      <c r="B393">
        <v>2019</v>
      </c>
      <c r="C393" t="s">
        <v>75</v>
      </c>
      <c r="D393">
        <v>63.13</v>
      </c>
    </row>
    <row r="394" spans="1:4" x14ac:dyDescent="0.45">
      <c r="A394" t="s">
        <v>38</v>
      </c>
      <c r="B394">
        <v>2019</v>
      </c>
      <c r="C394" t="s">
        <v>75</v>
      </c>
      <c r="D394">
        <v>1.89</v>
      </c>
    </row>
    <row r="395" spans="1:4" x14ac:dyDescent="0.45">
      <c r="A395" t="s">
        <v>32</v>
      </c>
      <c r="B395">
        <v>2019</v>
      </c>
      <c r="C395" t="s">
        <v>75</v>
      </c>
      <c r="D395">
        <v>0.84</v>
      </c>
    </row>
    <row r="396" spans="1:4" x14ac:dyDescent="0.45">
      <c r="A396" t="s">
        <v>58</v>
      </c>
      <c r="B396">
        <v>2019</v>
      </c>
      <c r="C396" t="s">
        <v>75</v>
      </c>
      <c r="D396">
        <v>10.74</v>
      </c>
    </row>
    <row r="397" spans="1:4" x14ac:dyDescent="0.45">
      <c r="A397" t="s">
        <v>91</v>
      </c>
      <c r="B397">
        <v>2019</v>
      </c>
      <c r="C397" t="s">
        <v>75</v>
      </c>
      <c r="D397">
        <v>16.43</v>
      </c>
    </row>
    <row r="398" spans="1:4" x14ac:dyDescent="0.45">
      <c r="A398" t="s">
        <v>32</v>
      </c>
      <c r="B398">
        <v>2020</v>
      </c>
      <c r="C398" t="s">
        <v>75</v>
      </c>
      <c r="D398">
        <v>1.38</v>
      </c>
    </row>
    <row r="399" spans="1:4" x14ac:dyDescent="0.45">
      <c r="A399" t="s">
        <v>34</v>
      </c>
      <c r="B399">
        <v>2020</v>
      </c>
      <c r="C399" t="s">
        <v>75</v>
      </c>
      <c r="D399">
        <v>3.74</v>
      </c>
    </row>
    <row r="400" spans="1:4" x14ac:dyDescent="0.45">
      <c r="A400" t="s">
        <v>36</v>
      </c>
      <c r="B400">
        <v>2020</v>
      </c>
      <c r="C400" t="s">
        <v>75</v>
      </c>
      <c r="D400">
        <v>17.39</v>
      </c>
    </row>
    <row r="401" spans="1:4" x14ac:dyDescent="0.45">
      <c r="A401" t="s">
        <v>56</v>
      </c>
      <c r="B401">
        <v>2020</v>
      </c>
      <c r="C401" t="s">
        <v>75</v>
      </c>
      <c r="D401">
        <v>24.23</v>
      </c>
    </row>
    <row r="402" spans="1:4" x14ac:dyDescent="0.45">
      <c r="A402" t="s">
        <v>57</v>
      </c>
      <c r="B402">
        <v>2020</v>
      </c>
      <c r="C402" t="s">
        <v>75</v>
      </c>
      <c r="D402">
        <v>61.4</v>
      </c>
    </row>
    <row r="403" spans="1:4" x14ac:dyDescent="0.45">
      <c r="A403" t="s">
        <v>38</v>
      </c>
      <c r="B403">
        <v>2020</v>
      </c>
      <c r="C403" t="s">
        <v>75</v>
      </c>
      <c r="D403">
        <v>1.94</v>
      </c>
    </row>
    <row r="404" spans="1:4" x14ac:dyDescent="0.45">
      <c r="A404" t="s">
        <v>32</v>
      </c>
      <c r="B404">
        <v>2020</v>
      </c>
      <c r="C404" t="s">
        <v>75</v>
      </c>
      <c r="D404">
        <v>0.78</v>
      </c>
    </row>
    <row r="405" spans="1:4" x14ac:dyDescent="0.45">
      <c r="A405" t="s">
        <v>58</v>
      </c>
      <c r="B405">
        <v>2020</v>
      </c>
      <c r="C405" t="s">
        <v>75</v>
      </c>
      <c r="D405">
        <v>11.93</v>
      </c>
    </row>
    <row r="406" spans="1:4" x14ac:dyDescent="0.45">
      <c r="A406" t="s">
        <v>91</v>
      </c>
      <c r="B406">
        <v>2020</v>
      </c>
      <c r="C406" t="s">
        <v>75</v>
      </c>
      <c r="D406">
        <v>17.54</v>
      </c>
    </row>
    <row r="407" spans="1:4" x14ac:dyDescent="0.45">
      <c r="A407" t="s">
        <v>32</v>
      </c>
      <c r="B407">
        <v>2021</v>
      </c>
      <c r="C407" t="s">
        <v>75</v>
      </c>
      <c r="D407">
        <v>1.48</v>
      </c>
    </row>
    <row r="408" spans="1:4" x14ac:dyDescent="0.45">
      <c r="A408" t="s">
        <v>34</v>
      </c>
      <c r="B408">
        <v>2021</v>
      </c>
      <c r="C408" t="s">
        <v>75</v>
      </c>
      <c r="D408">
        <v>3.11</v>
      </c>
    </row>
    <row r="409" spans="1:4" x14ac:dyDescent="0.45">
      <c r="A409" t="s">
        <v>36</v>
      </c>
      <c r="B409">
        <v>2021</v>
      </c>
      <c r="C409" t="s">
        <v>75</v>
      </c>
      <c r="D409">
        <v>17.25</v>
      </c>
    </row>
    <row r="410" spans="1:4" x14ac:dyDescent="0.45">
      <c r="A410" t="s">
        <v>56</v>
      </c>
      <c r="B410">
        <v>2021</v>
      </c>
      <c r="C410" t="s">
        <v>75</v>
      </c>
      <c r="D410">
        <v>24.26</v>
      </c>
    </row>
    <row r="411" spans="1:4" x14ac:dyDescent="0.45">
      <c r="A411" t="s">
        <v>57</v>
      </c>
      <c r="B411">
        <v>2021</v>
      </c>
      <c r="C411" t="s">
        <v>75</v>
      </c>
      <c r="D411">
        <v>61.4</v>
      </c>
    </row>
    <row r="412" spans="1:4" x14ac:dyDescent="0.45">
      <c r="A412" t="s">
        <v>38</v>
      </c>
      <c r="B412">
        <v>2021</v>
      </c>
      <c r="C412" t="s">
        <v>75</v>
      </c>
      <c r="D412">
        <v>1.94</v>
      </c>
    </row>
    <row r="413" spans="1:4" x14ac:dyDescent="0.45">
      <c r="A413" t="s">
        <v>32</v>
      </c>
      <c r="B413">
        <v>2021</v>
      </c>
      <c r="C413" t="s">
        <v>75</v>
      </c>
      <c r="D413">
        <v>0.79</v>
      </c>
    </row>
    <row r="414" spans="1:4" x14ac:dyDescent="0.45">
      <c r="A414" t="s">
        <v>58</v>
      </c>
      <c r="B414">
        <v>2021</v>
      </c>
      <c r="C414" t="s">
        <v>75</v>
      </c>
      <c r="D414">
        <v>14.61</v>
      </c>
    </row>
    <row r="415" spans="1:4" x14ac:dyDescent="0.45">
      <c r="A415" t="s">
        <v>91</v>
      </c>
      <c r="B415">
        <v>2021</v>
      </c>
      <c r="C415" t="s">
        <v>75</v>
      </c>
      <c r="D415">
        <v>18.55</v>
      </c>
    </row>
    <row r="416" spans="1:4" x14ac:dyDescent="0.45">
      <c r="A416" t="s">
        <v>32</v>
      </c>
      <c r="B416">
        <v>2022</v>
      </c>
      <c r="C416" t="s">
        <v>75</v>
      </c>
      <c r="D416">
        <v>1.5</v>
      </c>
    </row>
    <row r="417" spans="1:4" x14ac:dyDescent="0.45">
      <c r="A417" t="s">
        <v>34</v>
      </c>
      <c r="B417">
        <v>2022</v>
      </c>
      <c r="C417" t="s">
        <v>75</v>
      </c>
      <c r="D417">
        <v>2.5099999999999998</v>
      </c>
    </row>
    <row r="418" spans="1:4" x14ac:dyDescent="0.45">
      <c r="A418" t="s">
        <v>36</v>
      </c>
      <c r="B418">
        <v>2022</v>
      </c>
      <c r="C418" t="s">
        <v>75</v>
      </c>
      <c r="D418">
        <v>17.79</v>
      </c>
    </row>
    <row r="419" spans="1:4" x14ac:dyDescent="0.45">
      <c r="A419" t="s">
        <v>56</v>
      </c>
      <c r="B419">
        <v>2022</v>
      </c>
      <c r="C419" t="s">
        <v>75</v>
      </c>
      <c r="D419">
        <v>24.24</v>
      </c>
    </row>
    <row r="420" spans="1:4" x14ac:dyDescent="0.45">
      <c r="A420" t="s">
        <v>57</v>
      </c>
      <c r="B420">
        <v>2022</v>
      </c>
      <c r="C420" t="s">
        <v>75</v>
      </c>
      <c r="D420">
        <v>61.4</v>
      </c>
    </row>
    <row r="421" spans="1:4" x14ac:dyDescent="0.45">
      <c r="A421" t="s">
        <v>38</v>
      </c>
      <c r="B421">
        <v>2022</v>
      </c>
      <c r="C421" t="s">
        <v>75</v>
      </c>
      <c r="D421">
        <v>1.94</v>
      </c>
    </row>
    <row r="422" spans="1:4" x14ac:dyDescent="0.45">
      <c r="A422" t="s">
        <v>32</v>
      </c>
      <c r="B422">
        <v>2022</v>
      </c>
      <c r="C422" t="s">
        <v>75</v>
      </c>
      <c r="D422">
        <v>0.79</v>
      </c>
    </row>
    <row r="423" spans="1:4" x14ac:dyDescent="0.45">
      <c r="A423" t="s">
        <v>58</v>
      </c>
      <c r="B423">
        <v>2022</v>
      </c>
      <c r="C423" t="s">
        <v>75</v>
      </c>
      <c r="D423">
        <v>17.350000000000001</v>
      </c>
    </row>
    <row r="424" spans="1:4" x14ac:dyDescent="0.45">
      <c r="A424" t="s">
        <v>91</v>
      </c>
      <c r="B424">
        <v>2022</v>
      </c>
      <c r="C424" t="s">
        <v>75</v>
      </c>
      <c r="D424">
        <v>20.81</v>
      </c>
    </row>
    <row r="425" spans="1:4" x14ac:dyDescent="0.45">
      <c r="A425" t="s">
        <v>32</v>
      </c>
      <c r="B425">
        <v>2023</v>
      </c>
      <c r="C425" t="s">
        <v>75</v>
      </c>
      <c r="D425">
        <v>1.56</v>
      </c>
    </row>
    <row r="426" spans="1:4" x14ac:dyDescent="0.45">
      <c r="A426" t="s">
        <v>34</v>
      </c>
      <c r="B426">
        <v>2023</v>
      </c>
      <c r="C426" t="s">
        <v>75</v>
      </c>
      <c r="D426">
        <v>2.5099999999999998</v>
      </c>
    </row>
    <row r="427" spans="1:4" x14ac:dyDescent="0.45">
      <c r="A427" t="s">
        <v>36</v>
      </c>
      <c r="B427">
        <v>2023</v>
      </c>
      <c r="C427" t="s">
        <v>75</v>
      </c>
      <c r="D427">
        <v>18.5</v>
      </c>
    </row>
    <row r="428" spans="1:4" x14ac:dyDescent="0.45">
      <c r="A428" t="s">
        <v>56</v>
      </c>
      <c r="B428">
        <v>2023</v>
      </c>
      <c r="C428" t="s">
        <v>75</v>
      </c>
      <c r="D428">
        <v>24.14</v>
      </c>
    </row>
    <row r="429" spans="1:4" x14ac:dyDescent="0.45">
      <c r="A429" t="s">
        <v>57</v>
      </c>
      <c r="B429">
        <v>2023</v>
      </c>
      <c r="C429" t="s">
        <v>75</v>
      </c>
      <c r="D429">
        <v>61.4</v>
      </c>
    </row>
    <row r="430" spans="1:4" x14ac:dyDescent="0.45">
      <c r="A430" t="s">
        <v>38</v>
      </c>
      <c r="B430">
        <v>2023</v>
      </c>
      <c r="C430" t="s">
        <v>75</v>
      </c>
      <c r="D430">
        <v>1.94</v>
      </c>
    </row>
    <row r="431" spans="1:4" x14ac:dyDescent="0.45">
      <c r="A431" t="s">
        <v>32</v>
      </c>
      <c r="B431">
        <v>2023</v>
      </c>
      <c r="C431" t="s">
        <v>75</v>
      </c>
      <c r="D431">
        <v>0.85</v>
      </c>
    </row>
    <row r="432" spans="1:4" x14ac:dyDescent="0.45">
      <c r="A432" t="s">
        <v>58</v>
      </c>
      <c r="B432">
        <v>2023</v>
      </c>
      <c r="C432" t="s">
        <v>75</v>
      </c>
      <c r="D432">
        <v>20.55</v>
      </c>
    </row>
    <row r="433" spans="1:4" x14ac:dyDescent="0.45">
      <c r="A433" t="s">
        <v>91</v>
      </c>
      <c r="B433">
        <v>2023</v>
      </c>
      <c r="C433" t="s">
        <v>75</v>
      </c>
      <c r="D433">
        <v>22.2</v>
      </c>
    </row>
    <row r="434" spans="1:4" x14ac:dyDescent="0.45">
      <c r="A434" t="s">
        <v>32</v>
      </c>
      <c r="B434">
        <v>2000</v>
      </c>
      <c r="C434" t="s">
        <v>76</v>
      </c>
      <c r="D434">
        <v>0.54</v>
      </c>
    </row>
    <row r="435" spans="1:4" x14ac:dyDescent="0.45">
      <c r="A435" t="s">
        <v>34</v>
      </c>
      <c r="B435">
        <v>2000</v>
      </c>
      <c r="C435" t="s">
        <v>76</v>
      </c>
      <c r="D435">
        <v>26.09</v>
      </c>
    </row>
    <row r="436" spans="1:4" x14ac:dyDescent="0.45">
      <c r="A436" t="s">
        <v>36</v>
      </c>
      <c r="B436">
        <v>2000</v>
      </c>
      <c r="C436" t="s">
        <v>76</v>
      </c>
      <c r="D436">
        <v>5.01</v>
      </c>
    </row>
    <row r="437" spans="1:4" x14ac:dyDescent="0.45">
      <c r="A437" t="s">
        <v>56</v>
      </c>
      <c r="B437">
        <v>2000</v>
      </c>
      <c r="C437" t="s">
        <v>76</v>
      </c>
      <c r="D437">
        <v>1.54</v>
      </c>
    </row>
    <row r="438" spans="1:4" x14ac:dyDescent="0.45">
      <c r="A438" t="s">
        <v>57</v>
      </c>
      <c r="B438">
        <v>2000</v>
      </c>
      <c r="C438" t="s">
        <v>76</v>
      </c>
      <c r="D438">
        <v>2</v>
      </c>
    </row>
    <row r="439" spans="1:4" x14ac:dyDescent="0.45">
      <c r="A439" t="s">
        <v>38</v>
      </c>
      <c r="B439">
        <v>2000</v>
      </c>
      <c r="C439" t="s">
        <v>76</v>
      </c>
      <c r="D439">
        <v>7.28</v>
      </c>
    </row>
    <row r="440" spans="1:4" x14ac:dyDescent="0.45">
      <c r="A440" t="s">
        <v>32</v>
      </c>
      <c r="B440">
        <v>2000</v>
      </c>
      <c r="C440" t="s">
        <v>76</v>
      </c>
      <c r="D440">
        <v>0.02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</v>
      </c>
    </row>
    <row r="443" spans="1:4" x14ac:dyDescent="0.45">
      <c r="A443" t="s">
        <v>32</v>
      </c>
      <c r="B443">
        <v>2001</v>
      </c>
      <c r="C443" t="s">
        <v>76</v>
      </c>
      <c r="D443">
        <v>0.62</v>
      </c>
    </row>
    <row r="444" spans="1:4" x14ac:dyDescent="0.45">
      <c r="A444" t="s">
        <v>34</v>
      </c>
      <c r="B444">
        <v>2001</v>
      </c>
      <c r="C444" t="s">
        <v>76</v>
      </c>
      <c r="D444">
        <v>19.8</v>
      </c>
    </row>
    <row r="445" spans="1:4" x14ac:dyDescent="0.45">
      <c r="A445" t="s">
        <v>36</v>
      </c>
      <c r="B445">
        <v>2001</v>
      </c>
      <c r="C445" t="s">
        <v>76</v>
      </c>
      <c r="D445">
        <v>6.59</v>
      </c>
    </row>
    <row r="446" spans="1:4" x14ac:dyDescent="0.45">
      <c r="A446" t="s">
        <v>56</v>
      </c>
      <c r="B446">
        <v>2001</v>
      </c>
      <c r="C446" t="s">
        <v>76</v>
      </c>
      <c r="D446">
        <v>1.73</v>
      </c>
    </row>
    <row r="447" spans="1:4" x14ac:dyDescent="0.45">
      <c r="A447" t="s">
        <v>57</v>
      </c>
      <c r="B447">
        <v>2001</v>
      </c>
      <c r="C447" t="s">
        <v>76</v>
      </c>
      <c r="D447">
        <v>2.0299999999999998</v>
      </c>
    </row>
    <row r="448" spans="1:4" x14ac:dyDescent="0.45">
      <c r="A448" t="s">
        <v>38</v>
      </c>
      <c r="B448">
        <v>2001</v>
      </c>
      <c r="C448" t="s">
        <v>76</v>
      </c>
      <c r="D448">
        <v>6.45</v>
      </c>
    </row>
    <row r="449" spans="1:4" x14ac:dyDescent="0.45">
      <c r="A449" t="s">
        <v>32</v>
      </c>
      <c r="B449">
        <v>2001</v>
      </c>
      <c r="C449" t="s">
        <v>76</v>
      </c>
      <c r="D449">
        <v>0.02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</v>
      </c>
    </row>
    <row r="452" spans="1:4" x14ac:dyDescent="0.45">
      <c r="A452" t="s">
        <v>32</v>
      </c>
      <c r="B452">
        <v>2002</v>
      </c>
      <c r="C452" t="s">
        <v>76</v>
      </c>
      <c r="D452">
        <v>0.66</v>
      </c>
    </row>
    <row r="453" spans="1:4" x14ac:dyDescent="0.45">
      <c r="A453" t="s">
        <v>34</v>
      </c>
      <c r="B453">
        <v>2002</v>
      </c>
      <c r="C453" t="s">
        <v>76</v>
      </c>
      <c r="D453">
        <v>22.86</v>
      </c>
    </row>
    <row r="454" spans="1:4" x14ac:dyDescent="0.45">
      <c r="A454" t="s">
        <v>36</v>
      </c>
      <c r="B454">
        <v>2002</v>
      </c>
      <c r="C454" t="s">
        <v>76</v>
      </c>
      <c r="D454">
        <v>7.99</v>
      </c>
    </row>
    <row r="455" spans="1:4" x14ac:dyDescent="0.45">
      <c r="A455" t="s">
        <v>56</v>
      </c>
      <c r="B455">
        <v>2002</v>
      </c>
      <c r="C455" t="s">
        <v>76</v>
      </c>
      <c r="D455">
        <v>1.4</v>
      </c>
    </row>
    <row r="456" spans="1:4" x14ac:dyDescent="0.45">
      <c r="A456" t="s">
        <v>57</v>
      </c>
      <c r="B456">
        <v>2002</v>
      </c>
      <c r="C456" t="s">
        <v>76</v>
      </c>
      <c r="D456">
        <v>2.11</v>
      </c>
    </row>
    <row r="457" spans="1:4" x14ac:dyDescent="0.45">
      <c r="A457" t="s">
        <v>38</v>
      </c>
      <c r="B457">
        <v>2002</v>
      </c>
      <c r="C457" t="s">
        <v>76</v>
      </c>
      <c r="D457">
        <v>6.42</v>
      </c>
    </row>
    <row r="458" spans="1:4" x14ac:dyDescent="0.45">
      <c r="A458" t="s">
        <v>32</v>
      </c>
      <c r="B458">
        <v>2002</v>
      </c>
      <c r="C458" t="s">
        <v>76</v>
      </c>
      <c r="D458">
        <v>0.02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</v>
      </c>
    </row>
    <row r="461" spans="1:4" x14ac:dyDescent="0.45">
      <c r="A461" t="s">
        <v>32</v>
      </c>
      <c r="B461">
        <v>2003</v>
      </c>
      <c r="C461" t="s">
        <v>76</v>
      </c>
      <c r="D461">
        <v>0.7</v>
      </c>
    </row>
    <row r="462" spans="1:4" x14ac:dyDescent="0.45">
      <c r="A462" t="s">
        <v>34</v>
      </c>
      <c r="B462">
        <v>2003</v>
      </c>
      <c r="C462" t="s">
        <v>76</v>
      </c>
      <c r="D462">
        <v>25.36</v>
      </c>
    </row>
    <row r="463" spans="1:4" x14ac:dyDescent="0.45">
      <c r="A463" t="s">
        <v>36</v>
      </c>
      <c r="B463">
        <v>2003</v>
      </c>
      <c r="C463" t="s">
        <v>76</v>
      </c>
      <c r="D463">
        <v>8.43</v>
      </c>
    </row>
    <row r="464" spans="1:4" x14ac:dyDescent="0.45">
      <c r="A464" t="s">
        <v>56</v>
      </c>
      <c r="B464">
        <v>2003</v>
      </c>
      <c r="C464" t="s">
        <v>76</v>
      </c>
      <c r="D464">
        <v>1.36</v>
      </c>
    </row>
    <row r="465" spans="1:4" x14ac:dyDescent="0.45">
      <c r="A465" t="s">
        <v>57</v>
      </c>
      <c r="B465">
        <v>2003</v>
      </c>
      <c r="C465" t="s">
        <v>76</v>
      </c>
      <c r="D465">
        <v>2.13</v>
      </c>
    </row>
    <row r="466" spans="1:4" x14ac:dyDescent="0.45">
      <c r="A466" t="s">
        <v>38</v>
      </c>
      <c r="B466">
        <v>2003</v>
      </c>
      <c r="C466" t="s">
        <v>76</v>
      </c>
      <c r="D466">
        <v>7.21</v>
      </c>
    </row>
    <row r="467" spans="1:4" x14ac:dyDescent="0.45">
      <c r="A467" t="s">
        <v>32</v>
      </c>
      <c r="B467">
        <v>2003</v>
      </c>
      <c r="C467" t="s">
        <v>76</v>
      </c>
      <c r="D467">
        <v>0.02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</v>
      </c>
    </row>
    <row r="470" spans="1:4" x14ac:dyDescent="0.45">
      <c r="A470" t="s">
        <v>32</v>
      </c>
      <c r="B470">
        <v>2004</v>
      </c>
      <c r="C470" t="s">
        <v>76</v>
      </c>
      <c r="D470">
        <v>0.72</v>
      </c>
    </row>
    <row r="471" spans="1:4" x14ac:dyDescent="0.45">
      <c r="A471" t="s">
        <v>34</v>
      </c>
      <c r="B471">
        <v>2004</v>
      </c>
      <c r="C471" t="s">
        <v>76</v>
      </c>
      <c r="D471">
        <v>23.54</v>
      </c>
    </row>
    <row r="472" spans="1:4" x14ac:dyDescent="0.45">
      <c r="A472" t="s">
        <v>36</v>
      </c>
      <c r="B472">
        <v>2004</v>
      </c>
      <c r="C472" t="s">
        <v>76</v>
      </c>
      <c r="D472">
        <v>9.16</v>
      </c>
    </row>
    <row r="473" spans="1:4" x14ac:dyDescent="0.45">
      <c r="A473" t="s">
        <v>56</v>
      </c>
      <c r="B473">
        <v>2004</v>
      </c>
      <c r="C473" t="s">
        <v>76</v>
      </c>
      <c r="D473">
        <v>1.38</v>
      </c>
    </row>
    <row r="474" spans="1:4" x14ac:dyDescent="0.45">
      <c r="A474" t="s">
        <v>57</v>
      </c>
      <c r="B474">
        <v>2004</v>
      </c>
      <c r="C474" t="s">
        <v>76</v>
      </c>
      <c r="D474">
        <v>2.16</v>
      </c>
    </row>
    <row r="475" spans="1:4" x14ac:dyDescent="0.45">
      <c r="A475" t="s">
        <v>38</v>
      </c>
      <c r="B475">
        <v>2004</v>
      </c>
      <c r="C475" t="s">
        <v>76</v>
      </c>
      <c r="D475">
        <v>6.72</v>
      </c>
    </row>
    <row r="476" spans="1:4" x14ac:dyDescent="0.45">
      <c r="A476" t="s">
        <v>32</v>
      </c>
      <c r="B476">
        <v>2004</v>
      </c>
      <c r="C476" t="s">
        <v>76</v>
      </c>
      <c r="D476">
        <v>0.02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0.01</v>
      </c>
    </row>
    <row r="479" spans="1:4" x14ac:dyDescent="0.45">
      <c r="A479" t="s">
        <v>32</v>
      </c>
      <c r="B479">
        <v>2005</v>
      </c>
      <c r="C479" t="s">
        <v>76</v>
      </c>
      <c r="D479">
        <v>0.73</v>
      </c>
    </row>
    <row r="480" spans="1:4" x14ac:dyDescent="0.45">
      <c r="A480" t="s">
        <v>34</v>
      </c>
      <c r="B480">
        <v>2005</v>
      </c>
      <c r="C480" t="s">
        <v>76</v>
      </c>
      <c r="D480">
        <v>26.58</v>
      </c>
    </row>
    <row r="481" spans="1:4" x14ac:dyDescent="0.45">
      <c r="A481" t="s">
        <v>36</v>
      </c>
      <c r="B481">
        <v>2005</v>
      </c>
      <c r="C481" t="s">
        <v>76</v>
      </c>
      <c r="D481">
        <v>10.039999999999999</v>
      </c>
    </row>
    <row r="482" spans="1:4" x14ac:dyDescent="0.45">
      <c r="A482" t="s">
        <v>56</v>
      </c>
      <c r="B482">
        <v>2005</v>
      </c>
      <c r="C482" t="s">
        <v>76</v>
      </c>
      <c r="D482">
        <v>1.19</v>
      </c>
    </row>
    <row r="483" spans="1:4" x14ac:dyDescent="0.45">
      <c r="A483" t="s">
        <v>57</v>
      </c>
      <c r="B483">
        <v>2005</v>
      </c>
      <c r="C483" t="s">
        <v>76</v>
      </c>
      <c r="D483">
        <v>2.1800000000000002</v>
      </c>
    </row>
    <row r="484" spans="1:4" x14ac:dyDescent="0.45">
      <c r="A484" t="s">
        <v>38</v>
      </c>
      <c r="B484">
        <v>2005</v>
      </c>
      <c r="C484" t="s">
        <v>76</v>
      </c>
      <c r="D484">
        <v>7.93</v>
      </c>
    </row>
    <row r="485" spans="1:4" x14ac:dyDescent="0.45">
      <c r="A485" t="s">
        <v>32</v>
      </c>
      <c r="B485">
        <v>2005</v>
      </c>
      <c r="C485" t="s">
        <v>76</v>
      </c>
      <c r="D485">
        <v>0.02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0.01</v>
      </c>
    </row>
    <row r="488" spans="1:4" x14ac:dyDescent="0.45">
      <c r="A488" t="s">
        <v>32</v>
      </c>
      <c r="B488">
        <v>2006</v>
      </c>
      <c r="C488" t="s">
        <v>76</v>
      </c>
      <c r="D488">
        <v>0.73</v>
      </c>
    </row>
    <row r="489" spans="1:4" x14ac:dyDescent="0.45">
      <c r="A489" t="s">
        <v>34</v>
      </c>
      <c r="B489">
        <v>2006</v>
      </c>
      <c r="C489" t="s">
        <v>76</v>
      </c>
      <c r="D489">
        <v>22.12</v>
      </c>
    </row>
    <row r="490" spans="1:4" x14ac:dyDescent="0.45">
      <c r="A490" t="s">
        <v>36</v>
      </c>
      <c r="B490">
        <v>2006</v>
      </c>
      <c r="C490" t="s">
        <v>76</v>
      </c>
      <c r="D490">
        <v>9.4700000000000006</v>
      </c>
    </row>
    <row r="491" spans="1:4" x14ac:dyDescent="0.45">
      <c r="A491" t="s">
        <v>56</v>
      </c>
      <c r="B491">
        <v>2006</v>
      </c>
      <c r="C491" t="s">
        <v>76</v>
      </c>
      <c r="D491">
        <v>1.3</v>
      </c>
    </row>
    <row r="492" spans="1:4" x14ac:dyDescent="0.45">
      <c r="A492" t="s">
        <v>57</v>
      </c>
      <c r="B492">
        <v>2006</v>
      </c>
      <c r="C492" t="s">
        <v>76</v>
      </c>
      <c r="D492">
        <v>2.17</v>
      </c>
    </row>
    <row r="493" spans="1:4" x14ac:dyDescent="0.45">
      <c r="A493" t="s">
        <v>38</v>
      </c>
      <c r="B493">
        <v>2006</v>
      </c>
      <c r="C493" t="s">
        <v>76</v>
      </c>
      <c r="D493">
        <v>7.6</v>
      </c>
    </row>
    <row r="494" spans="1:4" x14ac:dyDescent="0.45">
      <c r="A494" t="s">
        <v>32</v>
      </c>
      <c r="B494">
        <v>2006</v>
      </c>
      <c r="C494" t="s">
        <v>76</v>
      </c>
      <c r="D494">
        <v>0.02</v>
      </c>
    </row>
    <row r="495" spans="1:4" x14ac:dyDescent="0.45">
      <c r="A495" t="s">
        <v>58</v>
      </c>
      <c r="B495">
        <v>2006</v>
      </c>
      <c r="C495" t="s">
        <v>76</v>
      </c>
      <c r="D495">
        <v>0</v>
      </c>
    </row>
    <row r="496" spans="1:4" x14ac:dyDescent="0.45">
      <c r="A496" t="s">
        <v>91</v>
      </c>
      <c r="B496">
        <v>2006</v>
      </c>
      <c r="C496" t="s">
        <v>76</v>
      </c>
      <c r="D496">
        <v>0.03</v>
      </c>
    </row>
    <row r="497" spans="1:4" x14ac:dyDescent="0.45">
      <c r="A497" t="s">
        <v>32</v>
      </c>
      <c r="B497">
        <v>2007</v>
      </c>
      <c r="C497" t="s">
        <v>76</v>
      </c>
      <c r="D497">
        <v>0.81</v>
      </c>
    </row>
    <row r="498" spans="1:4" x14ac:dyDescent="0.45">
      <c r="A498" t="s">
        <v>34</v>
      </c>
      <c r="B498">
        <v>2007</v>
      </c>
      <c r="C498" t="s">
        <v>76</v>
      </c>
      <c r="D498">
        <v>23.63</v>
      </c>
    </row>
    <row r="499" spans="1:4" x14ac:dyDescent="0.45">
      <c r="A499" t="s">
        <v>36</v>
      </c>
      <c r="B499">
        <v>2007</v>
      </c>
      <c r="C499" t="s">
        <v>76</v>
      </c>
      <c r="D499">
        <v>9.57</v>
      </c>
    </row>
    <row r="500" spans="1:4" x14ac:dyDescent="0.45">
      <c r="A500" t="s">
        <v>56</v>
      </c>
      <c r="B500">
        <v>2007</v>
      </c>
      <c r="C500" t="s">
        <v>76</v>
      </c>
      <c r="D500">
        <v>1.33</v>
      </c>
    </row>
    <row r="501" spans="1:4" x14ac:dyDescent="0.45">
      <c r="A501" t="s">
        <v>57</v>
      </c>
      <c r="B501">
        <v>2007</v>
      </c>
      <c r="C501" t="s">
        <v>76</v>
      </c>
      <c r="D501">
        <v>2.12</v>
      </c>
    </row>
    <row r="502" spans="1:4" x14ac:dyDescent="0.45">
      <c r="A502" t="s">
        <v>38</v>
      </c>
      <c r="B502">
        <v>2007</v>
      </c>
      <c r="C502" t="s">
        <v>76</v>
      </c>
      <c r="D502">
        <v>7.48</v>
      </c>
    </row>
    <row r="503" spans="1:4" x14ac:dyDescent="0.45">
      <c r="A503" t="s">
        <v>32</v>
      </c>
      <c r="B503">
        <v>2007</v>
      </c>
      <c r="C503" t="s">
        <v>76</v>
      </c>
      <c r="D503">
        <v>0.02</v>
      </c>
    </row>
    <row r="504" spans="1:4" x14ac:dyDescent="0.45">
      <c r="A504" t="s">
        <v>58</v>
      </c>
      <c r="B504">
        <v>2007</v>
      </c>
      <c r="C504" t="s">
        <v>76</v>
      </c>
      <c r="D504">
        <v>0</v>
      </c>
    </row>
    <row r="505" spans="1:4" x14ac:dyDescent="0.45">
      <c r="A505" t="s">
        <v>91</v>
      </c>
      <c r="B505">
        <v>2007</v>
      </c>
      <c r="C505" t="s">
        <v>76</v>
      </c>
      <c r="D505">
        <v>0.05</v>
      </c>
    </row>
    <row r="506" spans="1:4" x14ac:dyDescent="0.45">
      <c r="A506" t="s">
        <v>32</v>
      </c>
      <c r="B506">
        <v>2008</v>
      </c>
      <c r="C506" t="s">
        <v>76</v>
      </c>
      <c r="D506">
        <v>0.86</v>
      </c>
    </row>
    <row r="507" spans="1:4" x14ac:dyDescent="0.45">
      <c r="A507" t="s">
        <v>34</v>
      </c>
      <c r="B507">
        <v>2008</v>
      </c>
      <c r="C507" t="s">
        <v>76</v>
      </c>
      <c r="D507">
        <v>22.29</v>
      </c>
    </row>
    <row r="508" spans="1:4" x14ac:dyDescent="0.45">
      <c r="A508" t="s">
        <v>36</v>
      </c>
      <c r="B508">
        <v>2008</v>
      </c>
      <c r="C508" t="s">
        <v>76</v>
      </c>
      <c r="D508">
        <v>9.52</v>
      </c>
    </row>
    <row r="509" spans="1:4" x14ac:dyDescent="0.45">
      <c r="A509" t="s">
        <v>56</v>
      </c>
      <c r="B509">
        <v>2008</v>
      </c>
      <c r="C509" t="s">
        <v>76</v>
      </c>
      <c r="D509">
        <v>1.48</v>
      </c>
    </row>
    <row r="510" spans="1:4" x14ac:dyDescent="0.45">
      <c r="A510" t="s">
        <v>57</v>
      </c>
      <c r="B510">
        <v>2008</v>
      </c>
      <c r="C510" t="s">
        <v>76</v>
      </c>
      <c r="D510">
        <v>2.12</v>
      </c>
    </row>
    <row r="511" spans="1:4" x14ac:dyDescent="0.45">
      <c r="A511" t="s">
        <v>38</v>
      </c>
      <c r="B511">
        <v>2008</v>
      </c>
      <c r="C511" t="s">
        <v>76</v>
      </c>
      <c r="D511">
        <v>6.75</v>
      </c>
    </row>
    <row r="512" spans="1:4" x14ac:dyDescent="0.45">
      <c r="A512" t="s">
        <v>32</v>
      </c>
      <c r="B512">
        <v>2008</v>
      </c>
      <c r="C512" t="s">
        <v>76</v>
      </c>
      <c r="D512">
        <v>0.02</v>
      </c>
    </row>
    <row r="513" spans="1:4" x14ac:dyDescent="0.45">
      <c r="A513" t="s">
        <v>58</v>
      </c>
      <c r="B513">
        <v>2008</v>
      </c>
      <c r="C513" t="s">
        <v>76</v>
      </c>
      <c r="D513">
        <v>0</v>
      </c>
    </row>
    <row r="514" spans="1:4" x14ac:dyDescent="0.45">
      <c r="A514" t="s">
        <v>91</v>
      </c>
      <c r="B514">
        <v>2008</v>
      </c>
      <c r="C514" t="s">
        <v>76</v>
      </c>
      <c r="D514">
        <v>7.0000000000000007E-2</v>
      </c>
    </row>
    <row r="515" spans="1:4" x14ac:dyDescent="0.45">
      <c r="A515" t="s">
        <v>32</v>
      </c>
      <c r="B515">
        <v>2009</v>
      </c>
      <c r="C515" t="s">
        <v>76</v>
      </c>
      <c r="D515">
        <v>0.89</v>
      </c>
    </row>
    <row r="516" spans="1:4" x14ac:dyDescent="0.45">
      <c r="A516" t="s">
        <v>34</v>
      </c>
      <c r="B516">
        <v>2009</v>
      </c>
      <c r="C516" t="s">
        <v>76</v>
      </c>
      <c r="D516">
        <v>20.94</v>
      </c>
    </row>
    <row r="517" spans="1:4" x14ac:dyDescent="0.45">
      <c r="A517" t="s">
        <v>36</v>
      </c>
      <c r="B517">
        <v>2009</v>
      </c>
      <c r="C517" t="s">
        <v>76</v>
      </c>
      <c r="D517">
        <v>8.92</v>
      </c>
    </row>
    <row r="518" spans="1:4" x14ac:dyDescent="0.45">
      <c r="A518" t="s">
        <v>56</v>
      </c>
      <c r="B518">
        <v>2009</v>
      </c>
      <c r="C518" t="s">
        <v>76</v>
      </c>
      <c r="D518">
        <v>1.32</v>
      </c>
    </row>
    <row r="519" spans="1:4" x14ac:dyDescent="0.45">
      <c r="A519" t="s">
        <v>57</v>
      </c>
      <c r="B519">
        <v>2009</v>
      </c>
      <c r="C519" t="s">
        <v>76</v>
      </c>
      <c r="D519">
        <v>1.98</v>
      </c>
    </row>
    <row r="520" spans="1:4" x14ac:dyDescent="0.45">
      <c r="A520" t="s">
        <v>38</v>
      </c>
      <c r="B520">
        <v>2009</v>
      </c>
      <c r="C520" t="s">
        <v>76</v>
      </c>
      <c r="D520">
        <v>5.8</v>
      </c>
    </row>
    <row r="521" spans="1:4" x14ac:dyDescent="0.45">
      <c r="A521" t="s">
        <v>32</v>
      </c>
      <c r="B521">
        <v>2009</v>
      </c>
      <c r="C521" t="s">
        <v>76</v>
      </c>
      <c r="D521">
        <v>0.02</v>
      </c>
    </row>
    <row r="522" spans="1:4" x14ac:dyDescent="0.45">
      <c r="A522" t="s">
        <v>58</v>
      </c>
      <c r="B522">
        <v>2009</v>
      </c>
      <c r="C522" t="s">
        <v>76</v>
      </c>
      <c r="D522">
        <v>0.01</v>
      </c>
    </row>
    <row r="523" spans="1:4" x14ac:dyDescent="0.45">
      <c r="A523" t="s">
        <v>91</v>
      </c>
      <c r="B523">
        <v>2009</v>
      </c>
      <c r="C523" t="s">
        <v>76</v>
      </c>
      <c r="D523">
        <v>0.1</v>
      </c>
    </row>
    <row r="524" spans="1:4" x14ac:dyDescent="0.45">
      <c r="A524" t="s">
        <v>32</v>
      </c>
      <c r="B524">
        <v>2010</v>
      </c>
      <c r="C524" t="s">
        <v>76</v>
      </c>
      <c r="D524">
        <v>0.96</v>
      </c>
    </row>
    <row r="525" spans="1:4" x14ac:dyDescent="0.45">
      <c r="A525" t="s">
        <v>34</v>
      </c>
      <c r="B525">
        <v>2010</v>
      </c>
      <c r="C525" t="s">
        <v>76</v>
      </c>
      <c r="D525">
        <v>22.58</v>
      </c>
    </row>
    <row r="526" spans="1:4" x14ac:dyDescent="0.45">
      <c r="A526" t="s">
        <v>36</v>
      </c>
      <c r="B526">
        <v>2010</v>
      </c>
      <c r="C526" t="s">
        <v>76</v>
      </c>
      <c r="D526">
        <v>10.34</v>
      </c>
    </row>
    <row r="527" spans="1:4" x14ac:dyDescent="0.45">
      <c r="A527" t="s">
        <v>56</v>
      </c>
      <c r="B527">
        <v>2010</v>
      </c>
      <c r="C527" t="s">
        <v>76</v>
      </c>
      <c r="D527">
        <v>1.45</v>
      </c>
    </row>
    <row r="528" spans="1:4" x14ac:dyDescent="0.45">
      <c r="A528" t="s">
        <v>57</v>
      </c>
      <c r="B528">
        <v>2010</v>
      </c>
      <c r="C528" t="s">
        <v>76</v>
      </c>
      <c r="D528">
        <v>2.0699999999999998</v>
      </c>
    </row>
    <row r="529" spans="1:4" x14ac:dyDescent="0.45">
      <c r="A529" t="s">
        <v>38</v>
      </c>
      <c r="B529">
        <v>2010</v>
      </c>
      <c r="C529" t="s">
        <v>76</v>
      </c>
      <c r="D529">
        <v>6.61</v>
      </c>
    </row>
    <row r="530" spans="1:4" x14ac:dyDescent="0.45">
      <c r="A530" t="s">
        <v>32</v>
      </c>
      <c r="B530">
        <v>2010</v>
      </c>
      <c r="C530" t="s">
        <v>76</v>
      </c>
      <c r="D530">
        <v>0.02</v>
      </c>
    </row>
    <row r="531" spans="1:4" x14ac:dyDescent="0.45">
      <c r="A531" t="s">
        <v>58</v>
      </c>
      <c r="B531">
        <v>2010</v>
      </c>
      <c r="C531" t="s">
        <v>76</v>
      </c>
      <c r="D531">
        <v>0.03</v>
      </c>
    </row>
    <row r="532" spans="1:4" x14ac:dyDescent="0.45">
      <c r="A532" t="s">
        <v>91</v>
      </c>
      <c r="B532">
        <v>2010</v>
      </c>
      <c r="C532" t="s">
        <v>76</v>
      </c>
      <c r="D532">
        <v>0.12</v>
      </c>
    </row>
    <row r="533" spans="1:4" x14ac:dyDescent="0.45">
      <c r="A533" t="s">
        <v>32</v>
      </c>
      <c r="B533">
        <v>2011</v>
      </c>
      <c r="C533" t="s">
        <v>76</v>
      </c>
      <c r="D533">
        <v>1.0900000000000001</v>
      </c>
    </row>
    <row r="534" spans="1:4" x14ac:dyDescent="0.45">
      <c r="A534" t="s">
        <v>34</v>
      </c>
      <c r="B534">
        <v>2011</v>
      </c>
      <c r="C534" t="s">
        <v>76</v>
      </c>
      <c r="D534">
        <v>16.809999999999999</v>
      </c>
    </row>
    <row r="535" spans="1:4" x14ac:dyDescent="0.45">
      <c r="A535" t="s">
        <v>36</v>
      </c>
      <c r="B535">
        <v>2011</v>
      </c>
      <c r="C535" t="s">
        <v>76</v>
      </c>
      <c r="D535">
        <v>12.83</v>
      </c>
    </row>
    <row r="536" spans="1:4" x14ac:dyDescent="0.45">
      <c r="A536" t="s">
        <v>56</v>
      </c>
      <c r="B536">
        <v>2011</v>
      </c>
      <c r="C536" t="s">
        <v>76</v>
      </c>
      <c r="D536">
        <v>1.0900000000000001</v>
      </c>
    </row>
    <row r="537" spans="1:4" x14ac:dyDescent="0.45">
      <c r="A537" t="s">
        <v>57</v>
      </c>
      <c r="B537">
        <v>2011</v>
      </c>
      <c r="C537" t="s">
        <v>76</v>
      </c>
      <c r="D537">
        <v>2.13</v>
      </c>
    </row>
    <row r="538" spans="1:4" x14ac:dyDescent="0.45">
      <c r="A538" t="s">
        <v>38</v>
      </c>
      <c r="B538">
        <v>2011</v>
      </c>
      <c r="C538" t="s">
        <v>76</v>
      </c>
      <c r="D538">
        <v>7.98</v>
      </c>
    </row>
    <row r="539" spans="1:4" x14ac:dyDescent="0.45">
      <c r="A539" t="s">
        <v>32</v>
      </c>
      <c r="B539">
        <v>2011</v>
      </c>
      <c r="C539" t="s">
        <v>76</v>
      </c>
      <c r="D539">
        <v>0.02</v>
      </c>
    </row>
    <row r="540" spans="1:4" x14ac:dyDescent="0.45">
      <c r="A540" t="s">
        <v>58</v>
      </c>
      <c r="B540">
        <v>2011</v>
      </c>
      <c r="C540" t="s">
        <v>76</v>
      </c>
      <c r="D540">
        <v>0.11</v>
      </c>
    </row>
    <row r="541" spans="1:4" x14ac:dyDescent="0.45">
      <c r="A541" t="s">
        <v>91</v>
      </c>
      <c r="B541">
        <v>2011</v>
      </c>
      <c r="C541" t="s">
        <v>76</v>
      </c>
      <c r="D541">
        <v>0.15</v>
      </c>
    </row>
    <row r="542" spans="1:4" x14ac:dyDescent="0.45">
      <c r="A542" t="s">
        <v>32</v>
      </c>
      <c r="B542">
        <v>2012</v>
      </c>
      <c r="C542" t="s">
        <v>76</v>
      </c>
      <c r="D542">
        <v>1.1499999999999999</v>
      </c>
    </row>
    <row r="543" spans="1:4" x14ac:dyDescent="0.45">
      <c r="A543" t="s">
        <v>34</v>
      </c>
      <c r="B543">
        <v>2012</v>
      </c>
      <c r="C543" t="s">
        <v>76</v>
      </c>
      <c r="D543">
        <v>20.74</v>
      </c>
    </row>
    <row r="544" spans="1:4" x14ac:dyDescent="0.45">
      <c r="A544" t="s">
        <v>36</v>
      </c>
      <c r="B544">
        <v>2012</v>
      </c>
      <c r="C544" t="s">
        <v>76</v>
      </c>
      <c r="D544">
        <v>9.9</v>
      </c>
    </row>
    <row r="545" spans="1:4" x14ac:dyDescent="0.45">
      <c r="A545" t="s">
        <v>56</v>
      </c>
      <c r="B545">
        <v>2012</v>
      </c>
      <c r="C545" t="s">
        <v>76</v>
      </c>
      <c r="D545">
        <v>1.42</v>
      </c>
    </row>
    <row r="546" spans="1:4" x14ac:dyDescent="0.45">
      <c r="A546" t="s">
        <v>57</v>
      </c>
      <c r="B546">
        <v>2012</v>
      </c>
      <c r="C546" t="s">
        <v>76</v>
      </c>
      <c r="D546">
        <v>2.0499999999999998</v>
      </c>
    </row>
    <row r="547" spans="1:4" x14ac:dyDescent="0.45">
      <c r="A547" t="s">
        <v>38</v>
      </c>
      <c r="B547">
        <v>2012</v>
      </c>
      <c r="C547" t="s">
        <v>76</v>
      </c>
      <c r="D547">
        <v>8.36</v>
      </c>
    </row>
    <row r="548" spans="1:4" x14ac:dyDescent="0.45">
      <c r="A548" t="s">
        <v>32</v>
      </c>
      <c r="B548">
        <v>2012</v>
      </c>
      <c r="C548" t="s">
        <v>76</v>
      </c>
      <c r="D548">
        <v>0.02</v>
      </c>
    </row>
    <row r="549" spans="1:4" x14ac:dyDescent="0.45">
      <c r="A549" t="s">
        <v>58</v>
      </c>
      <c r="B549">
        <v>2012</v>
      </c>
      <c r="C549" t="s">
        <v>76</v>
      </c>
      <c r="D549">
        <v>0.21</v>
      </c>
    </row>
    <row r="550" spans="1:4" x14ac:dyDescent="0.45">
      <c r="A550" t="s">
        <v>91</v>
      </c>
      <c r="B550">
        <v>2012</v>
      </c>
      <c r="C550" t="s">
        <v>76</v>
      </c>
      <c r="D550">
        <v>0.19</v>
      </c>
    </row>
    <row r="551" spans="1:4" x14ac:dyDescent="0.45">
      <c r="A551" t="s">
        <v>32</v>
      </c>
      <c r="B551">
        <v>2013</v>
      </c>
      <c r="C551" t="s">
        <v>76</v>
      </c>
      <c r="D551">
        <v>1.23</v>
      </c>
    </row>
    <row r="552" spans="1:4" x14ac:dyDescent="0.45">
      <c r="A552" t="s">
        <v>34</v>
      </c>
      <c r="B552">
        <v>2013</v>
      </c>
      <c r="C552" t="s">
        <v>76</v>
      </c>
      <c r="D552">
        <v>23.03</v>
      </c>
    </row>
    <row r="553" spans="1:4" x14ac:dyDescent="0.45">
      <c r="A553" t="s">
        <v>36</v>
      </c>
      <c r="B553">
        <v>2013</v>
      </c>
      <c r="C553" t="s">
        <v>76</v>
      </c>
      <c r="D553">
        <v>8</v>
      </c>
    </row>
    <row r="554" spans="1:4" x14ac:dyDescent="0.45">
      <c r="A554" t="s">
        <v>56</v>
      </c>
      <c r="B554">
        <v>2013</v>
      </c>
      <c r="C554" t="s">
        <v>76</v>
      </c>
      <c r="D554">
        <v>1.71</v>
      </c>
    </row>
    <row r="555" spans="1:4" x14ac:dyDescent="0.45">
      <c r="A555" t="s">
        <v>57</v>
      </c>
      <c r="B555">
        <v>2013</v>
      </c>
      <c r="C555" t="s">
        <v>76</v>
      </c>
      <c r="D555">
        <v>2.04</v>
      </c>
    </row>
    <row r="556" spans="1:4" x14ac:dyDescent="0.45">
      <c r="A556" t="s">
        <v>38</v>
      </c>
      <c r="B556">
        <v>2013</v>
      </c>
      <c r="C556" t="s">
        <v>76</v>
      </c>
      <c r="D556">
        <v>7.51</v>
      </c>
    </row>
    <row r="557" spans="1:4" x14ac:dyDescent="0.45">
      <c r="A557" t="s">
        <v>32</v>
      </c>
      <c r="B557">
        <v>2013</v>
      </c>
      <c r="C557" t="s">
        <v>76</v>
      </c>
      <c r="D557">
        <v>0.02</v>
      </c>
    </row>
    <row r="558" spans="1:4" x14ac:dyDescent="0.45">
      <c r="A558" t="s">
        <v>58</v>
      </c>
      <c r="B558">
        <v>2013</v>
      </c>
      <c r="C558" t="s">
        <v>76</v>
      </c>
      <c r="D558">
        <v>0.25</v>
      </c>
    </row>
    <row r="559" spans="1:4" x14ac:dyDescent="0.45">
      <c r="A559" t="s">
        <v>91</v>
      </c>
      <c r="B559">
        <v>2013</v>
      </c>
      <c r="C559" t="s">
        <v>76</v>
      </c>
      <c r="D559">
        <v>0.2</v>
      </c>
    </row>
    <row r="560" spans="1:4" x14ac:dyDescent="0.45">
      <c r="A560" t="s">
        <v>32</v>
      </c>
      <c r="B560">
        <v>2014</v>
      </c>
      <c r="C560" t="s">
        <v>76</v>
      </c>
      <c r="D560">
        <v>1.3</v>
      </c>
    </row>
    <row r="561" spans="1:4" x14ac:dyDescent="0.45">
      <c r="A561" t="s">
        <v>34</v>
      </c>
      <c r="B561">
        <v>2014</v>
      </c>
      <c r="C561" t="s">
        <v>76</v>
      </c>
      <c r="D561">
        <v>10.88</v>
      </c>
    </row>
    <row r="562" spans="1:4" x14ac:dyDescent="0.45">
      <c r="A562" t="s">
        <v>36</v>
      </c>
      <c r="B562">
        <v>2014</v>
      </c>
      <c r="C562" t="s">
        <v>76</v>
      </c>
      <c r="D562">
        <v>5.73</v>
      </c>
    </row>
    <row r="563" spans="1:4" x14ac:dyDescent="0.45">
      <c r="A563" t="s">
        <v>56</v>
      </c>
      <c r="B563">
        <v>2014</v>
      </c>
      <c r="C563" t="s">
        <v>76</v>
      </c>
      <c r="D563">
        <v>1.52</v>
      </c>
    </row>
    <row r="564" spans="1:4" x14ac:dyDescent="0.45">
      <c r="A564" t="s">
        <v>57</v>
      </c>
      <c r="B564">
        <v>2014</v>
      </c>
      <c r="C564" t="s">
        <v>76</v>
      </c>
      <c r="D564">
        <v>2.11</v>
      </c>
    </row>
    <row r="565" spans="1:4" x14ac:dyDescent="0.45">
      <c r="A565" t="s">
        <v>38</v>
      </c>
      <c r="B565">
        <v>2014</v>
      </c>
      <c r="C565" t="s">
        <v>76</v>
      </c>
      <c r="D565">
        <v>7.46</v>
      </c>
    </row>
    <row r="566" spans="1:4" x14ac:dyDescent="0.45">
      <c r="A566" t="s">
        <v>32</v>
      </c>
      <c r="B566">
        <v>2014</v>
      </c>
      <c r="C566" t="s">
        <v>76</v>
      </c>
      <c r="D566">
        <v>0.02</v>
      </c>
    </row>
    <row r="567" spans="1:4" x14ac:dyDescent="0.45">
      <c r="A567" t="s">
        <v>58</v>
      </c>
      <c r="B567">
        <v>2014</v>
      </c>
      <c r="C567" t="s">
        <v>76</v>
      </c>
      <c r="D567">
        <v>0.3</v>
      </c>
    </row>
    <row r="568" spans="1:4" x14ac:dyDescent="0.45">
      <c r="A568" t="s">
        <v>91</v>
      </c>
      <c r="B568">
        <v>2014</v>
      </c>
      <c r="C568" t="s">
        <v>76</v>
      </c>
      <c r="D568">
        <v>0.21</v>
      </c>
    </row>
    <row r="569" spans="1:4" x14ac:dyDescent="0.45">
      <c r="A569" t="s">
        <v>32</v>
      </c>
      <c r="B569">
        <v>2015</v>
      </c>
      <c r="C569" t="s">
        <v>76</v>
      </c>
      <c r="D569">
        <v>1.41</v>
      </c>
    </row>
    <row r="570" spans="1:4" x14ac:dyDescent="0.45">
      <c r="A570" t="s">
        <v>34</v>
      </c>
      <c r="B570">
        <v>2015</v>
      </c>
      <c r="C570" t="s">
        <v>76</v>
      </c>
      <c r="D570">
        <v>11.48</v>
      </c>
    </row>
    <row r="571" spans="1:4" x14ac:dyDescent="0.45">
      <c r="A571" t="s">
        <v>36</v>
      </c>
      <c r="B571">
        <v>2015</v>
      </c>
      <c r="C571" t="s">
        <v>76</v>
      </c>
      <c r="D571">
        <v>9.1999999999999993</v>
      </c>
    </row>
    <row r="572" spans="1:4" x14ac:dyDescent="0.45">
      <c r="A572" t="s">
        <v>56</v>
      </c>
      <c r="B572">
        <v>2015</v>
      </c>
      <c r="C572" t="s">
        <v>76</v>
      </c>
      <c r="D572">
        <v>1.32</v>
      </c>
    </row>
    <row r="573" spans="1:4" x14ac:dyDescent="0.45">
      <c r="A573" t="s">
        <v>57</v>
      </c>
      <c r="B573">
        <v>2015</v>
      </c>
      <c r="C573" t="s">
        <v>76</v>
      </c>
      <c r="D573">
        <v>2.11</v>
      </c>
    </row>
    <row r="574" spans="1:4" x14ac:dyDescent="0.45">
      <c r="A574" t="s">
        <v>38</v>
      </c>
      <c r="B574">
        <v>2015</v>
      </c>
      <c r="C574" t="s">
        <v>76</v>
      </c>
      <c r="D574">
        <v>7.77</v>
      </c>
    </row>
    <row r="575" spans="1:4" x14ac:dyDescent="0.45">
      <c r="A575" t="s">
        <v>32</v>
      </c>
      <c r="B575">
        <v>2015</v>
      </c>
      <c r="C575" t="s">
        <v>76</v>
      </c>
      <c r="D575">
        <v>0.02</v>
      </c>
    </row>
    <row r="576" spans="1:4" x14ac:dyDescent="0.45">
      <c r="A576" t="s">
        <v>58</v>
      </c>
      <c r="B576">
        <v>2015</v>
      </c>
      <c r="C576" t="s">
        <v>76</v>
      </c>
      <c r="D576">
        <v>0.37</v>
      </c>
    </row>
    <row r="577" spans="1:4" x14ac:dyDescent="0.45">
      <c r="A577" t="s">
        <v>91</v>
      </c>
      <c r="B577">
        <v>2015</v>
      </c>
      <c r="C577" t="s">
        <v>76</v>
      </c>
      <c r="D577">
        <v>0.26</v>
      </c>
    </row>
    <row r="578" spans="1:4" x14ac:dyDescent="0.45">
      <c r="A578" t="s">
        <v>32</v>
      </c>
      <c r="B578">
        <v>2016</v>
      </c>
      <c r="C578" t="s">
        <v>76</v>
      </c>
      <c r="D578">
        <v>1.63</v>
      </c>
    </row>
    <row r="579" spans="1:4" x14ac:dyDescent="0.45">
      <c r="A579" t="s">
        <v>34</v>
      </c>
      <c r="B579">
        <v>2016</v>
      </c>
      <c r="C579" t="s">
        <v>76</v>
      </c>
      <c r="D579">
        <v>9.8699999999999992</v>
      </c>
    </row>
    <row r="580" spans="1:4" x14ac:dyDescent="0.45">
      <c r="A580" t="s">
        <v>36</v>
      </c>
      <c r="B580">
        <v>2016</v>
      </c>
      <c r="C580" t="s">
        <v>76</v>
      </c>
      <c r="D580">
        <v>15.22</v>
      </c>
    </row>
    <row r="581" spans="1:4" x14ac:dyDescent="0.45">
      <c r="A581" t="s">
        <v>56</v>
      </c>
      <c r="B581">
        <v>2016</v>
      </c>
      <c r="C581" t="s">
        <v>76</v>
      </c>
      <c r="D581">
        <v>1.45</v>
      </c>
    </row>
    <row r="582" spans="1:4" x14ac:dyDescent="0.45">
      <c r="A582" t="s">
        <v>57</v>
      </c>
      <c r="B582">
        <v>2016</v>
      </c>
      <c r="C582" t="s">
        <v>76</v>
      </c>
      <c r="D582">
        <v>1.95</v>
      </c>
    </row>
    <row r="583" spans="1:4" x14ac:dyDescent="0.45">
      <c r="A583" t="s">
        <v>38</v>
      </c>
      <c r="B583">
        <v>2016</v>
      </c>
      <c r="C583" t="s">
        <v>76</v>
      </c>
      <c r="D583">
        <v>7.5</v>
      </c>
    </row>
    <row r="584" spans="1:4" x14ac:dyDescent="0.45">
      <c r="A584" t="s">
        <v>32</v>
      </c>
      <c r="B584">
        <v>2016</v>
      </c>
      <c r="C584" t="s">
        <v>76</v>
      </c>
      <c r="D584">
        <v>0.02</v>
      </c>
    </row>
    <row r="585" spans="1:4" x14ac:dyDescent="0.45">
      <c r="A585" t="s">
        <v>58</v>
      </c>
      <c r="B585">
        <v>2016</v>
      </c>
      <c r="C585" t="s">
        <v>76</v>
      </c>
      <c r="D585">
        <v>0.41</v>
      </c>
    </row>
    <row r="586" spans="1:4" x14ac:dyDescent="0.45">
      <c r="A586" t="s">
        <v>91</v>
      </c>
      <c r="B586">
        <v>2016</v>
      </c>
      <c r="C586" t="s">
        <v>76</v>
      </c>
      <c r="D586">
        <v>0.26</v>
      </c>
    </row>
    <row r="587" spans="1:4" x14ac:dyDescent="0.45">
      <c r="A587" t="s">
        <v>32</v>
      </c>
      <c r="B587">
        <v>2017</v>
      </c>
      <c r="C587" t="s">
        <v>76</v>
      </c>
      <c r="D587">
        <v>1.68</v>
      </c>
    </row>
    <row r="588" spans="1:4" x14ac:dyDescent="0.45">
      <c r="A588" t="s">
        <v>34</v>
      </c>
      <c r="B588">
        <v>2017</v>
      </c>
      <c r="C588" t="s">
        <v>76</v>
      </c>
      <c r="D588">
        <v>12.36</v>
      </c>
    </row>
    <row r="589" spans="1:4" x14ac:dyDescent="0.45">
      <c r="A589" t="s">
        <v>36</v>
      </c>
      <c r="B589">
        <v>2017</v>
      </c>
      <c r="C589" t="s">
        <v>76</v>
      </c>
      <c r="D589">
        <v>17.62</v>
      </c>
    </row>
    <row r="590" spans="1:4" x14ac:dyDescent="0.45">
      <c r="A590" t="s">
        <v>56</v>
      </c>
      <c r="B590">
        <v>2017</v>
      </c>
      <c r="C590" t="s">
        <v>76</v>
      </c>
      <c r="D590">
        <v>1.19</v>
      </c>
    </row>
    <row r="591" spans="1:4" x14ac:dyDescent="0.45">
      <c r="A591" t="s">
        <v>57</v>
      </c>
      <c r="B591">
        <v>2017</v>
      </c>
      <c r="C591" t="s">
        <v>76</v>
      </c>
      <c r="D591">
        <v>1.92</v>
      </c>
    </row>
    <row r="592" spans="1:4" x14ac:dyDescent="0.45">
      <c r="A592" t="s">
        <v>38</v>
      </c>
      <c r="B592">
        <v>2017</v>
      </c>
      <c r="C592" t="s">
        <v>76</v>
      </c>
      <c r="D592">
        <v>7.97</v>
      </c>
    </row>
    <row r="593" spans="1:4" x14ac:dyDescent="0.45">
      <c r="A593" t="s">
        <v>32</v>
      </c>
      <c r="B593">
        <v>2017</v>
      </c>
      <c r="C593" t="s">
        <v>76</v>
      </c>
      <c r="D593">
        <v>0.02</v>
      </c>
    </row>
    <row r="594" spans="1:4" x14ac:dyDescent="0.45">
      <c r="A594" t="s">
        <v>58</v>
      </c>
      <c r="B594">
        <v>2017</v>
      </c>
      <c r="C594" t="s">
        <v>76</v>
      </c>
      <c r="D594">
        <v>0.46</v>
      </c>
    </row>
    <row r="595" spans="1:4" x14ac:dyDescent="0.45">
      <c r="A595" t="s">
        <v>91</v>
      </c>
      <c r="B595">
        <v>2017</v>
      </c>
      <c r="C595" t="s">
        <v>76</v>
      </c>
      <c r="D595">
        <v>0.3</v>
      </c>
    </row>
    <row r="596" spans="1:4" x14ac:dyDescent="0.45">
      <c r="A596" t="s">
        <v>32</v>
      </c>
      <c r="B596">
        <v>2018</v>
      </c>
      <c r="C596" t="s">
        <v>76</v>
      </c>
      <c r="D596">
        <v>1.81</v>
      </c>
    </row>
    <row r="597" spans="1:4" x14ac:dyDescent="0.45">
      <c r="A597" t="s">
        <v>34</v>
      </c>
      <c r="B597">
        <v>2018</v>
      </c>
      <c r="C597" t="s">
        <v>76</v>
      </c>
      <c r="D597">
        <v>8.02</v>
      </c>
    </row>
    <row r="598" spans="1:4" x14ac:dyDescent="0.45">
      <c r="A598" t="s">
        <v>36</v>
      </c>
      <c r="B598">
        <v>2018</v>
      </c>
      <c r="C598" t="s">
        <v>76</v>
      </c>
      <c r="D598">
        <v>13.32</v>
      </c>
    </row>
    <row r="599" spans="1:4" x14ac:dyDescent="0.45">
      <c r="A599" t="s">
        <v>56</v>
      </c>
      <c r="B599">
        <v>2018</v>
      </c>
      <c r="C599" t="s">
        <v>76</v>
      </c>
      <c r="D599">
        <v>1.55</v>
      </c>
    </row>
    <row r="600" spans="1:4" x14ac:dyDescent="0.45">
      <c r="A600" t="s">
        <v>57</v>
      </c>
      <c r="B600">
        <v>2018</v>
      </c>
      <c r="C600" t="s">
        <v>76</v>
      </c>
      <c r="D600">
        <v>1.99</v>
      </c>
    </row>
    <row r="601" spans="1:4" x14ac:dyDescent="0.45">
      <c r="A601" t="s">
        <v>38</v>
      </c>
      <c r="B601">
        <v>2018</v>
      </c>
      <c r="C601" t="s">
        <v>76</v>
      </c>
      <c r="D601">
        <v>6.95</v>
      </c>
    </row>
    <row r="602" spans="1:4" x14ac:dyDescent="0.45">
      <c r="A602" t="s">
        <v>32</v>
      </c>
      <c r="B602">
        <v>2018</v>
      </c>
      <c r="C602" t="s">
        <v>76</v>
      </c>
      <c r="D602">
        <v>0.02</v>
      </c>
    </row>
    <row r="603" spans="1:4" x14ac:dyDescent="0.45">
      <c r="A603" t="s">
        <v>58</v>
      </c>
      <c r="B603">
        <v>2018</v>
      </c>
      <c r="C603" t="s">
        <v>76</v>
      </c>
      <c r="D603">
        <v>0.51</v>
      </c>
    </row>
    <row r="604" spans="1:4" x14ac:dyDescent="0.45">
      <c r="A604" t="s">
        <v>91</v>
      </c>
      <c r="B604">
        <v>2018</v>
      </c>
      <c r="C604" t="s">
        <v>76</v>
      </c>
      <c r="D604">
        <v>0.35</v>
      </c>
    </row>
    <row r="605" spans="1:4" x14ac:dyDescent="0.45">
      <c r="A605" t="s">
        <v>32</v>
      </c>
      <c r="B605">
        <v>2019</v>
      </c>
      <c r="C605" t="s">
        <v>76</v>
      </c>
      <c r="D605">
        <v>1.87</v>
      </c>
    </row>
    <row r="606" spans="1:4" x14ac:dyDescent="0.45">
      <c r="A606" t="s">
        <v>34</v>
      </c>
      <c r="B606">
        <v>2019</v>
      </c>
      <c r="C606" t="s">
        <v>76</v>
      </c>
      <c r="D606">
        <v>3.51</v>
      </c>
    </row>
    <row r="607" spans="1:4" x14ac:dyDescent="0.45">
      <c r="A607" t="s">
        <v>36</v>
      </c>
      <c r="B607">
        <v>2019</v>
      </c>
      <c r="C607" t="s">
        <v>76</v>
      </c>
      <c r="D607">
        <v>17.11</v>
      </c>
    </row>
    <row r="608" spans="1:4" x14ac:dyDescent="0.45">
      <c r="A608" t="s">
        <v>56</v>
      </c>
      <c r="B608">
        <v>2019</v>
      </c>
      <c r="C608" t="s">
        <v>76</v>
      </c>
      <c r="D608">
        <v>1.35</v>
      </c>
    </row>
    <row r="609" spans="1:4" x14ac:dyDescent="0.45">
      <c r="A609" t="s">
        <v>57</v>
      </c>
      <c r="B609">
        <v>2019</v>
      </c>
      <c r="C609" t="s">
        <v>76</v>
      </c>
      <c r="D609">
        <v>1.93</v>
      </c>
    </row>
    <row r="610" spans="1:4" x14ac:dyDescent="0.45">
      <c r="A610" t="s">
        <v>38</v>
      </c>
      <c r="B610">
        <v>2019</v>
      </c>
      <c r="C610" t="s">
        <v>76</v>
      </c>
      <c r="D610">
        <v>7.05</v>
      </c>
    </row>
    <row r="611" spans="1:4" x14ac:dyDescent="0.45">
      <c r="A611" t="s">
        <v>32</v>
      </c>
      <c r="B611">
        <v>2019</v>
      </c>
      <c r="C611" t="s">
        <v>76</v>
      </c>
      <c r="D611">
        <v>0.02</v>
      </c>
    </row>
    <row r="612" spans="1:4" x14ac:dyDescent="0.45">
      <c r="A612" t="s">
        <v>58</v>
      </c>
      <c r="B612">
        <v>2019</v>
      </c>
      <c r="C612" t="s">
        <v>76</v>
      </c>
      <c r="D612">
        <v>0.57999999999999996</v>
      </c>
    </row>
    <row r="613" spans="1:4" x14ac:dyDescent="0.45">
      <c r="A613" t="s">
        <v>91</v>
      </c>
      <c r="B613">
        <v>2019</v>
      </c>
      <c r="C613" t="s">
        <v>76</v>
      </c>
      <c r="D613">
        <v>0.43</v>
      </c>
    </row>
    <row r="614" spans="1:4" x14ac:dyDescent="0.45">
      <c r="A614" t="s">
        <v>32</v>
      </c>
      <c r="B614">
        <v>2020</v>
      </c>
      <c r="C614" t="s">
        <v>76</v>
      </c>
      <c r="D614">
        <v>1.89</v>
      </c>
    </row>
    <row r="615" spans="1:4" x14ac:dyDescent="0.45">
      <c r="A615" t="s">
        <v>34</v>
      </c>
      <c r="B615">
        <v>2020</v>
      </c>
      <c r="C615" t="s">
        <v>76</v>
      </c>
      <c r="D615">
        <v>2.98</v>
      </c>
    </row>
    <row r="616" spans="1:4" x14ac:dyDescent="0.45">
      <c r="A616" t="s">
        <v>36</v>
      </c>
      <c r="B616">
        <v>2020</v>
      </c>
      <c r="C616" t="s">
        <v>76</v>
      </c>
      <c r="D616">
        <v>15.34</v>
      </c>
    </row>
    <row r="617" spans="1:4" x14ac:dyDescent="0.45">
      <c r="A617" t="s">
        <v>56</v>
      </c>
      <c r="B617">
        <v>2020</v>
      </c>
      <c r="C617" t="s">
        <v>76</v>
      </c>
      <c r="D617">
        <v>1.49</v>
      </c>
    </row>
    <row r="618" spans="1:4" x14ac:dyDescent="0.45">
      <c r="A618" t="s">
        <v>57</v>
      </c>
      <c r="B618">
        <v>2020</v>
      </c>
      <c r="C618" t="s">
        <v>76</v>
      </c>
      <c r="D618">
        <v>1.71</v>
      </c>
    </row>
    <row r="619" spans="1:4" x14ac:dyDescent="0.45">
      <c r="A619" t="s">
        <v>38</v>
      </c>
      <c r="B619">
        <v>2020</v>
      </c>
      <c r="C619" t="s">
        <v>76</v>
      </c>
      <c r="D619">
        <v>6.6</v>
      </c>
    </row>
    <row r="620" spans="1:4" x14ac:dyDescent="0.45">
      <c r="A620" t="s">
        <v>32</v>
      </c>
      <c r="B620">
        <v>2020</v>
      </c>
      <c r="C620" t="s">
        <v>76</v>
      </c>
      <c r="D620">
        <v>0.02</v>
      </c>
    </row>
    <row r="621" spans="1:4" x14ac:dyDescent="0.45">
      <c r="A621" t="s">
        <v>58</v>
      </c>
      <c r="B621">
        <v>2020</v>
      </c>
      <c r="C621" t="s">
        <v>76</v>
      </c>
      <c r="D621">
        <v>0.63</v>
      </c>
    </row>
    <row r="622" spans="1:4" x14ac:dyDescent="0.45">
      <c r="A622" t="s">
        <v>91</v>
      </c>
      <c r="B622">
        <v>2020</v>
      </c>
      <c r="C622" t="s">
        <v>76</v>
      </c>
      <c r="D622">
        <v>0.49</v>
      </c>
    </row>
    <row r="623" spans="1:4" x14ac:dyDescent="0.45">
      <c r="A623" t="s">
        <v>32</v>
      </c>
      <c r="B623">
        <v>2021</v>
      </c>
      <c r="C623" t="s">
        <v>76</v>
      </c>
      <c r="D623">
        <v>2.0699999999999998</v>
      </c>
    </row>
    <row r="624" spans="1:4" x14ac:dyDescent="0.45">
      <c r="A624" t="s">
        <v>34</v>
      </c>
      <c r="B624">
        <v>2021</v>
      </c>
      <c r="C624" t="s">
        <v>76</v>
      </c>
      <c r="D624">
        <v>5.25</v>
      </c>
    </row>
    <row r="625" spans="1:4" x14ac:dyDescent="0.45">
      <c r="A625" t="s">
        <v>36</v>
      </c>
      <c r="B625">
        <v>2021</v>
      </c>
      <c r="C625" t="s">
        <v>76</v>
      </c>
      <c r="D625">
        <v>14.49</v>
      </c>
    </row>
    <row r="626" spans="1:4" x14ac:dyDescent="0.45">
      <c r="A626" t="s">
        <v>56</v>
      </c>
      <c r="B626">
        <v>2021</v>
      </c>
      <c r="C626" t="s">
        <v>76</v>
      </c>
      <c r="D626">
        <v>1.42</v>
      </c>
    </row>
    <row r="627" spans="1:4" x14ac:dyDescent="0.45">
      <c r="A627" t="s">
        <v>57</v>
      </c>
      <c r="B627">
        <v>2021</v>
      </c>
      <c r="C627" t="s">
        <v>76</v>
      </c>
      <c r="D627">
        <v>1.83</v>
      </c>
    </row>
    <row r="628" spans="1:4" x14ac:dyDescent="0.45">
      <c r="A628" t="s">
        <v>38</v>
      </c>
      <c r="B628">
        <v>2021</v>
      </c>
      <c r="C628" t="s">
        <v>76</v>
      </c>
      <c r="D628">
        <v>6.62</v>
      </c>
    </row>
    <row r="629" spans="1:4" x14ac:dyDescent="0.45">
      <c r="A629" t="s">
        <v>32</v>
      </c>
      <c r="B629">
        <v>2021</v>
      </c>
      <c r="C629" t="s">
        <v>76</v>
      </c>
      <c r="D629">
        <v>0.02</v>
      </c>
    </row>
    <row r="630" spans="1:4" x14ac:dyDescent="0.45">
      <c r="A630" t="s">
        <v>58</v>
      </c>
      <c r="B630">
        <v>2021</v>
      </c>
      <c r="C630" t="s">
        <v>76</v>
      </c>
      <c r="D630">
        <v>0.73</v>
      </c>
    </row>
    <row r="631" spans="1:4" x14ac:dyDescent="0.45">
      <c r="A631" t="s">
        <v>91</v>
      </c>
      <c r="B631">
        <v>2021</v>
      </c>
      <c r="C631" t="s">
        <v>76</v>
      </c>
      <c r="D631">
        <v>0.45</v>
      </c>
    </row>
    <row r="632" spans="1:4" x14ac:dyDescent="0.45">
      <c r="A632" t="s">
        <v>32</v>
      </c>
      <c r="B632">
        <v>2022</v>
      </c>
      <c r="C632" t="s">
        <v>76</v>
      </c>
      <c r="D632">
        <v>2.11</v>
      </c>
    </row>
    <row r="633" spans="1:4" x14ac:dyDescent="0.45">
      <c r="A633" t="s">
        <v>34</v>
      </c>
      <c r="B633">
        <v>2022</v>
      </c>
      <c r="C633" t="s">
        <v>76</v>
      </c>
      <c r="D633">
        <v>4.18</v>
      </c>
    </row>
    <row r="634" spans="1:4" x14ac:dyDescent="0.45">
      <c r="A634" t="s">
        <v>36</v>
      </c>
      <c r="B634">
        <v>2022</v>
      </c>
      <c r="C634" t="s">
        <v>76</v>
      </c>
      <c r="D634">
        <v>19.899999999999999</v>
      </c>
    </row>
    <row r="635" spans="1:4" x14ac:dyDescent="0.45">
      <c r="A635" t="s">
        <v>56</v>
      </c>
      <c r="B635">
        <v>2022</v>
      </c>
      <c r="C635" t="s">
        <v>76</v>
      </c>
      <c r="D635">
        <v>1.08</v>
      </c>
    </row>
    <row r="636" spans="1:4" x14ac:dyDescent="0.45">
      <c r="A636" t="s">
        <v>57</v>
      </c>
      <c r="B636">
        <v>2022</v>
      </c>
      <c r="C636" t="s">
        <v>76</v>
      </c>
      <c r="D636">
        <v>1.42</v>
      </c>
    </row>
    <row r="637" spans="1:4" x14ac:dyDescent="0.45">
      <c r="A637" t="s">
        <v>38</v>
      </c>
      <c r="B637">
        <v>2022</v>
      </c>
      <c r="C637" t="s">
        <v>76</v>
      </c>
      <c r="D637">
        <v>6.88</v>
      </c>
    </row>
    <row r="638" spans="1:4" x14ac:dyDescent="0.45">
      <c r="A638" t="s">
        <v>32</v>
      </c>
      <c r="B638">
        <v>2022</v>
      </c>
      <c r="C638" t="s">
        <v>76</v>
      </c>
      <c r="D638">
        <v>0.02</v>
      </c>
    </row>
    <row r="639" spans="1:4" x14ac:dyDescent="0.45">
      <c r="A639" t="s">
        <v>58</v>
      </c>
      <c r="B639">
        <v>2022</v>
      </c>
      <c r="C639" t="s">
        <v>76</v>
      </c>
      <c r="D639">
        <v>0.93</v>
      </c>
    </row>
    <row r="640" spans="1:4" x14ac:dyDescent="0.45">
      <c r="A640" t="s">
        <v>91</v>
      </c>
      <c r="B640">
        <v>2022</v>
      </c>
      <c r="C640" t="s">
        <v>76</v>
      </c>
      <c r="D640">
        <v>0.47</v>
      </c>
    </row>
    <row r="641" spans="1:4" x14ac:dyDescent="0.45">
      <c r="A641" t="s">
        <v>32</v>
      </c>
      <c r="B641">
        <v>2023</v>
      </c>
      <c r="C641" t="s">
        <v>76</v>
      </c>
      <c r="D641">
        <v>2.0499999999999998</v>
      </c>
    </row>
    <row r="642" spans="1:4" x14ac:dyDescent="0.45">
      <c r="A642" t="s">
        <v>34</v>
      </c>
      <c r="B642">
        <v>2023</v>
      </c>
      <c r="C642" t="s">
        <v>76</v>
      </c>
      <c r="D642">
        <v>2.08</v>
      </c>
    </row>
    <row r="643" spans="1:4" x14ac:dyDescent="0.45">
      <c r="A643" t="s">
        <v>36</v>
      </c>
      <c r="B643">
        <v>2023</v>
      </c>
      <c r="C643" t="s">
        <v>76</v>
      </c>
      <c r="D643">
        <v>13.68</v>
      </c>
    </row>
    <row r="644" spans="1:4" x14ac:dyDescent="0.45">
      <c r="A644" t="s">
        <v>56</v>
      </c>
      <c r="B644">
        <v>2023</v>
      </c>
      <c r="C644" t="s">
        <v>76</v>
      </c>
      <c r="D644">
        <v>1.26</v>
      </c>
    </row>
    <row r="645" spans="1:4" x14ac:dyDescent="0.45">
      <c r="A645" t="s">
        <v>57</v>
      </c>
      <c r="B645">
        <v>2023</v>
      </c>
      <c r="C645" t="s">
        <v>76</v>
      </c>
      <c r="D645">
        <v>1.62</v>
      </c>
    </row>
    <row r="646" spans="1:4" x14ac:dyDescent="0.45">
      <c r="A646" t="s">
        <v>38</v>
      </c>
      <c r="B646">
        <v>2023</v>
      </c>
      <c r="C646" t="s">
        <v>76</v>
      </c>
      <c r="D646">
        <v>6.39</v>
      </c>
    </row>
    <row r="647" spans="1:4" x14ac:dyDescent="0.45">
      <c r="A647" t="s">
        <v>32</v>
      </c>
      <c r="B647">
        <v>2023</v>
      </c>
      <c r="C647" t="s">
        <v>76</v>
      </c>
      <c r="D647">
        <v>0.02</v>
      </c>
    </row>
    <row r="648" spans="1:4" x14ac:dyDescent="0.45">
      <c r="A648" t="s">
        <v>58</v>
      </c>
      <c r="B648">
        <v>2023</v>
      </c>
      <c r="C648" t="s">
        <v>76</v>
      </c>
      <c r="D648">
        <v>1.1000000000000001</v>
      </c>
    </row>
    <row r="649" spans="1:4" x14ac:dyDescent="0.45">
      <c r="A649" t="s">
        <v>91</v>
      </c>
      <c r="B649">
        <v>2023</v>
      </c>
      <c r="C649" t="s">
        <v>76</v>
      </c>
      <c r="D649">
        <v>0.6</v>
      </c>
    </row>
    <row r="650" spans="1:4" x14ac:dyDescent="0.45">
      <c r="A650" t="s">
        <v>60</v>
      </c>
      <c r="B650">
        <v>2000</v>
      </c>
      <c r="C650" t="s">
        <v>74</v>
      </c>
      <c r="D650">
        <v>0</v>
      </c>
    </row>
    <row r="651" spans="1:4" x14ac:dyDescent="0.45">
      <c r="A651" t="s">
        <v>59</v>
      </c>
      <c r="B651">
        <v>2000</v>
      </c>
      <c r="C651" t="s">
        <v>74</v>
      </c>
      <c r="D651">
        <v>69.48</v>
      </c>
    </row>
    <row r="652" spans="1:4" x14ac:dyDescent="0.45">
      <c r="A652" t="s">
        <v>60</v>
      </c>
      <c r="B652">
        <v>2001</v>
      </c>
      <c r="C652" t="s">
        <v>74</v>
      </c>
      <c r="D652">
        <v>0</v>
      </c>
    </row>
    <row r="653" spans="1:4" x14ac:dyDescent="0.45">
      <c r="A653" t="s">
        <v>59</v>
      </c>
      <c r="B653">
        <v>2001</v>
      </c>
      <c r="C653" t="s">
        <v>74</v>
      </c>
      <c r="D653">
        <v>68.39</v>
      </c>
    </row>
    <row r="654" spans="1:4" x14ac:dyDescent="0.45">
      <c r="A654" t="s">
        <v>60</v>
      </c>
      <c r="B654">
        <v>2002</v>
      </c>
      <c r="C654" t="s">
        <v>74</v>
      </c>
      <c r="D654">
        <v>0</v>
      </c>
    </row>
    <row r="655" spans="1:4" x14ac:dyDescent="0.45">
      <c r="A655" t="s">
        <v>59</v>
      </c>
      <c r="B655">
        <v>2002</v>
      </c>
      <c r="C655" t="s">
        <v>74</v>
      </c>
      <c r="D655">
        <v>77.03</v>
      </c>
    </row>
    <row r="656" spans="1:4" x14ac:dyDescent="0.45">
      <c r="A656" t="s">
        <v>60</v>
      </c>
      <c r="B656">
        <v>2003</v>
      </c>
      <c r="C656" t="s">
        <v>74</v>
      </c>
      <c r="D656">
        <v>0</v>
      </c>
    </row>
    <row r="657" spans="1:4" x14ac:dyDescent="0.45">
      <c r="A657" t="s">
        <v>59</v>
      </c>
      <c r="B657">
        <v>2003</v>
      </c>
      <c r="C657" t="s">
        <v>74</v>
      </c>
      <c r="D657">
        <v>66.41</v>
      </c>
    </row>
    <row r="658" spans="1:4" x14ac:dyDescent="0.45">
      <c r="A658" t="s">
        <v>60</v>
      </c>
      <c r="B658">
        <v>2004</v>
      </c>
      <c r="C658" t="s">
        <v>74</v>
      </c>
      <c r="D658">
        <v>0</v>
      </c>
    </row>
    <row r="659" spans="1:4" x14ac:dyDescent="0.45">
      <c r="A659" t="s">
        <v>59</v>
      </c>
      <c r="B659">
        <v>2004</v>
      </c>
      <c r="C659" t="s">
        <v>74</v>
      </c>
      <c r="D659">
        <v>61.91</v>
      </c>
    </row>
    <row r="660" spans="1:4" x14ac:dyDescent="0.45">
      <c r="A660" t="s">
        <v>60</v>
      </c>
      <c r="B660">
        <v>2005</v>
      </c>
      <c r="C660" t="s">
        <v>74</v>
      </c>
      <c r="D660">
        <v>0</v>
      </c>
    </row>
    <row r="661" spans="1:4" x14ac:dyDescent="0.45">
      <c r="A661" t="s">
        <v>59</v>
      </c>
      <c r="B661">
        <v>2005</v>
      </c>
      <c r="C661" t="s">
        <v>74</v>
      </c>
      <c r="D661">
        <v>60.33</v>
      </c>
    </row>
    <row r="662" spans="1:4" x14ac:dyDescent="0.45">
      <c r="A662" t="s">
        <v>60</v>
      </c>
      <c r="B662">
        <v>2006</v>
      </c>
      <c r="C662" t="s">
        <v>74</v>
      </c>
      <c r="D662">
        <v>0</v>
      </c>
    </row>
    <row r="663" spans="1:4" x14ac:dyDescent="0.45">
      <c r="A663" t="s">
        <v>59</v>
      </c>
      <c r="B663">
        <v>2006</v>
      </c>
      <c r="C663" t="s">
        <v>74</v>
      </c>
      <c r="D663">
        <v>63.34</v>
      </c>
    </row>
    <row r="664" spans="1:4" x14ac:dyDescent="0.45">
      <c r="A664" t="s">
        <v>60</v>
      </c>
      <c r="B664">
        <v>2007</v>
      </c>
      <c r="C664" t="s">
        <v>74</v>
      </c>
      <c r="D664">
        <v>0</v>
      </c>
    </row>
    <row r="665" spans="1:4" x14ac:dyDescent="0.45">
      <c r="A665" t="s">
        <v>59</v>
      </c>
      <c r="B665">
        <v>2007</v>
      </c>
      <c r="C665" t="s">
        <v>74</v>
      </c>
      <c r="D665">
        <v>56.81</v>
      </c>
    </row>
    <row r="666" spans="1:4" x14ac:dyDescent="0.45">
      <c r="A666" t="s">
        <v>60</v>
      </c>
      <c r="B666">
        <v>2008</v>
      </c>
      <c r="C666" t="s">
        <v>74</v>
      </c>
      <c r="D666">
        <v>0</v>
      </c>
    </row>
    <row r="667" spans="1:4" x14ac:dyDescent="0.45">
      <c r="A667" t="s">
        <v>59</v>
      </c>
      <c r="B667">
        <v>2008</v>
      </c>
      <c r="C667" t="s">
        <v>74</v>
      </c>
      <c r="D667">
        <v>47.99</v>
      </c>
    </row>
    <row r="668" spans="1:4" x14ac:dyDescent="0.45">
      <c r="A668" t="s">
        <v>60</v>
      </c>
      <c r="B668">
        <v>2009</v>
      </c>
      <c r="C668" t="s">
        <v>74</v>
      </c>
      <c r="D668">
        <v>0</v>
      </c>
    </row>
    <row r="669" spans="1:4" x14ac:dyDescent="0.45">
      <c r="A669" t="s">
        <v>59</v>
      </c>
      <c r="B669">
        <v>2009</v>
      </c>
      <c r="C669" t="s">
        <v>74</v>
      </c>
      <c r="D669">
        <v>25.93</v>
      </c>
    </row>
    <row r="670" spans="1:4" x14ac:dyDescent="0.45">
      <c r="A670" t="s">
        <v>60</v>
      </c>
      <c r="B670">
        <v>2010</v>
      </c>
      <c r="C670" t="s">
        <v>74</v>
      </c>
      <c r="D670">
        <v>0</v>
      </c>
    </row>
    <row r="671" spans="1:4" x14ac:dyDescent="0.45">
      <c r="A671" t="s">
        <v>59</v>
      </c>
      <c r="B671">
        <v>2010</v>
      </c>
      <c r="C671" t="s">
        <v>74</v>
      </c>
      <c r="D671">
        <v>30.71</v>
      </c>
    </row>
    <row r="672" spans="1:4" x14ac:dyDescent="0.45">
      <c r="A672" t="s">
        <v>60</v>
      </c>
      <c r="B672">
        <v>2011</v>
      </c>
      <c r="C672" t="s">
        <v>74</v>
      </c>
      <c r="D672">
        <v>0</v>
      </c>
    </row>
    <row r="673" spans="1:4" x14ac:dyDescent="0.45">
      <c r="A673" t="s">
        <v>59</v>
      </c>
      <c r="B673">
        <v>2011</v>
      </c>
      <c r="C673" t="s">
        <v>74</v>
      </c>
      <c r="D673">
        <v>56.41</v>
      </c>
    </row>
    <row r="674" spans="1:4" x14ac:dyDescent="0.45">
      <c r="A674" t="s">
        <v>60</v>
      </c>
      <c r="B674">
        <v>2012</v>
      </c>
      <c r="C674" t="s">
        <v>74</v>
      </c>
      <c r="D674">
        <v>0</v>
      </c>
    </row>
    <row r="675" spans="1:4" x14ac:dyDescent="0.45">
      <c r="A675" t="s">
        <v>59</v>
      </c>
      <c r="B675">
        <v>2012</v>
      </c>
      <c r="C675" t="s">
        <v>74</v>
      </c>
      <c r="D675">
        <v>44.52</v>
      </c>
    </row>
    <row r="676" spans="1:4" x14ac:dyDescent="0.45">
      <c r="A676" t="s">
        <v>60</v>
      </c>
      <c r="B676">
        <v>2013</v>
      </c>
      <c r="C676" t="s">
        <v>74</v>
      </c>
      <c r="D676">
        <v>0</v>
      </c>
    </row>
    <row r="677" spans="1:4" x14ac:dyDescent="0.45">
      <c r="A677" t="s">
        <v>59</v>
      </c>
      <c r="B677">
        <v>2013</v>
      </c>
      <c r="C677" t="s">
        <v>74</v>
      </c>
      <c r="D677">
        <v>48.46</v>
      </c>
    </row>
    <row r="678" spans="1:4" x14ac:dyDescent="0.45">
      <c r="A678" t="s">
        <v>60</v>
      </c>
      <c r="B678">
        <v>2014</v>
      </c>
      <c r="C678" t="s">
        <v>74</v>
      </c>
      <c r="D678">
        <v>0</v>
      </c>
    </row>
    <row r="679" spans="1:4" x14ac:dyDescent="0.45">
      <c r="A679" t="s">
        <v>59</v>
      </c>
      <c r="B679">
        <v>2014</v>
      </c>
      <c r="C679" t="s">
        <v>74</v>
      </c>
      <c r="D679">
        <v>67.19</v>
      </c>
    </row>
    <row r="680" spans="1:4" x14ac:dyDescent="0.45">
      <c r="A680" t="s">
        <v>60</v>
      </c>
      <c r="B680">
        <v>2015</v>
      </c>
      <c r="C680" t="s">
        <v>74</v>
      </c>
      <c r="D680">
        <v>0</v>
      </c>
    </row>
    <row r="681" spans="1:4" x14ac:dyDescent="0.45">
      <c r="A681" t="s">
        <v>59</v>
      </c>
      <c r="B681">
        <v>2015</v>
      </c>
      <c r="C681" t="s">
        <v>74</v>
      </c>
      <c r="D681">
        <v>64.06</v>
      </c>
    </row>
    <row r="682" spans="1:4" x14ac:dyDescent="0.45">
      <c r="A682" t="s">
        <v>60</v>
      </c>
      <c r="B682">
        <v>2016</v>
      </c>
      <c r="C682" t="s">
        <v>74</v>
      </c>
      <c r="D682">
        <v>0</v>
      </c>
    </row>
    <row r="683" spans="1:4" x14ac:dyDescent="0.45">
      <c r="A683" t="s">
        <v>59</v>
      </c>
      <c r="B683">
        <v>2016</v>
      </c>
      <c r="C683" t="s">
        <v>74</v>
      </c>
      <c r="D683">
        <v>41.5</v>
      </c>
    </row>
    <row r="684" spans="1:4" x14ac:dyDescent="0.45">
      <c r="A684" t="s">
        <v>60</v>
      </c>
      <c r="B684">
        <v>2017</v>
      </c>
      <c r="C684" t="s">
        <v>74</v>
      </c>
      <c r="D684">
        <v>0</v>
      </c>
    </row>
    <row r="685" spans="1:4" x14ac:dyDescent="0.45">
      <c r="A685" t="s">
        <v>59</v>
      </c>
      <c r="B685">
        <v>2017</v>
      </c>
      <c r="C685" t="s">
        <v>74</v>
      </c>
      <c r="D685">
        <v>40.130000000000003</v>
      </c>
    </row>
    <row r="686" spans="1:4" x14ac:dyDescent="0.45">
      <c r="A686" t="s">
        <v>60</v>
      </c>
      <c r="B686">
        <v>2018</v>
      </c>
      <c r="C686" t="s">
        <v>74</v>
      </c>
      <c r="D686">
        <v>0</v>
      </c>
    </row>
    <row r="687" spans="1:4" x14ac:dyDescent="0.45">
      <c r="A687" t="s">
        <v>59</v>
      </c>
      <c r="B687">
        <v>2018</v>
      </c>
      <c r="C687" t="s">
        <v>74</v>
      </c>
      <c r="D687">
        <v>62.97</v>
      </c>
    </row>
    <row r="688" spans="1:4" x14ac:dyDescent="0.45">
      <c r="A688" t="s">
        <v>60</v>
      </c>
      <c r="B688">
        <v>2019</v>
      </c>
      <c r="C688" t="s">
        <v>74</v>
      </c>
      <c r="D688">
        <v>0</v>
      </c>
    </row>
    <row r="689" spans="1:4" x14ac:dyDescent="0.45">
      <c r="A689" t="s">
        <v>59</v>
      </c>
      <c r="B689">
        <v>2019</v>
      </c>
      <c r="C689" t="s">
        <v>74</v>
      </c>
      <c r="D689">
        <v>57.67</v>
      </c>
    </row>
    <row r="690" spans="1:4" x14ac:dyDescent="0.45">
      <c r="A690" t="s">
        <v>60</v>
      </c>
      <c r="B690">
        <v>2020</v>
      </c>
      <c r="C690" t="s">
        <v>74</v>
      </c>
      <c r="D690">
        <v>0</v>
      </c>
    </row>
    <row r="691" spans="1:4" x14ac:dyDescent="0.45">
      <c r="A691" t="s">
        <v>59</v>
      </c>
      <c r="B691">
        <v>2020</v>
      </c>
      <c r="C691" t="s">
        <v>74</v>
      </c>
      <c r="D691">
        <v>45.04</v>
      </c>
    </row>
    <row r="692" spans="1:4" x14ac:dyDescent="0.45">
      <c r="A692" t="s">
        <v>60</v>
      </c>
      <c r="B692">
        <v>2021</v>
      </c>
      <c r="C692" t="s">
        <v>74</v>
      </c>
      <c r="D692">
        <v>0</v>
      </c>
    </row>
    <row r="693" spans="1:4" x14ac:dyDescent="0.45">
      <c r="A693" t="s">
        <v>59</v>
      </c>
      <c r="B693">
        <v>2021</v>
      </c>
      <c r="C693" t="s">
        <v>74</v>
      </c>
      <c r="D693">
        <v>44.89</v>
      </c>
    </row>
    <row r="694" spans="1:4" x14ac:dyDescent="0.45">
      <c r="A694" t="s">
        <v>60</v>
      </c>
      <c r="B694">
        <v>2022</v>
      </c>
      <c r="C694" t="s">
        <v>74</v>
      </c>
      <c r="D694">
        <v>14.94</v>
      </c>
    </row>
    <row r="695" spans="1:4" x14ac:dyDescent="0.45">
      <c r="A695" t="s">
        <v>59</v>
      </c>
      <c r="B695">
        <v>2022</v>
      </c>
      <c r="C695" t="s">
        <v>74</v>
      </c>
      <c r="D695">
        <v>0</v>
      </c>
    </row>
    <row r="696" spans="1:4" x14ac:dyDescent="0.45">
      <c r="A696" t="s">
        <v>60</v>
      </c>
      <c r="B696">
        <v>2023</v>
      </c>
      <c r="C696" t="s">
        <v>74</v>
      </c>
      <c r="D696">
        <v>0</v>
      </c>
    </row>
    <row r="697" spans="1:4" x14ac:dyDescent="0.45">
      <c r="A697" t="s">
        <v>59</v>
      </c>
      <c r="B697">
        <v>2023</v>
      </c>
      <c r="C697" t="s">
        <v>74</v>
      </c>
      <c r="D697">
        <v>50.34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3.5531999999999999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3.7693999999999996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3.6848000000000001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3.4403999999999999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3.9762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3.6284000000000001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3.7035999999999998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2025</v>
      </c>
      <c r="J9">
        <v>2.5756000000000001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2.7071999999999998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2025</v>
      </c>
      <c r="J11">
        <v>2.585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2025</v>
      </c>
      <c r="J12">
        <v>2.444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2025</v>
      </c>
      <c r="J13">
        <v>2.8858000000000001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2025</v>
      </c>
      <c r="J14">
        <v>2.6132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2025</v>
      </c>
      <c r="J15">
        <v>2.7729999999999997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2030</v>
      </c>
      <c r="J16">
        <v>1.5697999999999999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2030</v>
      </c>
      <c r="J17">
        <v>1.6261999999999999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1.4946000000000002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2030</v>
      </c>
      <c r="J19">
        <v>1.4757999999999998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2030</v>
      </c>
      <c r="J20">
        <v>1.6544000000000001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2030</v>
      </c>
      <c r="J21">
        <v>1.5416000000000001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2030</v>
      </c>
      <c r="J22">
        <v>0.84599999999999997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2035</v>
      </c>
      <c r="J23">
        <v>1.1468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2035</v>
      </c>
      <c r="J24">
        <v>2.0209999999999999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2035</v>
      </c>
      <c r="J25">
        <v>0.53580000000000005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0.33839999999999998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2035</v>
      </c>
      <c r="J27">
        <v>0.42299999999999999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2035</v>
      </c>
      <c r="J28">
        <v>0.78959999999999997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2035</v>
      </c>
      <c r="J29">
        <v>0.23500000000000001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2040</v>
      </c>
      <c r="J30">
        <v>0.53580000000000005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2040</v>
      </c>
      <c r="J31">
        <v>1.8236000000000001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2040</v>
      </c>
      <c r="J32">
        <v>0.13159999999999999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2040</v>
      </c>
      <c r="J33">
        <v>0.13159999999999999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0.15040000000000001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0.376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2040</v>
      </c>
      <c r="J36">
        <v>2.8199999999999996E-2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2045</v>
      </c>
      <c r="J37">
        <v>0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0.81779999999999997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2045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2045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2045</v>
      </c>
      <c r="J41">
        <v>1.8800000000000001E-2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2045</v>
      </c>
      <c r="J43">
        <v>4.7E-2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2050</v>
      </c>
      <c r="J44">
        <v>0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2050</v>
      </c>
      <c r="J45">
        <v>0.51700000000000002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2050</v>
      </c>
      <c r="J46">
        <v>0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2050</v>
      </c>
      <c r="J47">
        <v>0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2050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2050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9.4000000000000004E-3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7.4634999999999989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2020</v>
      </c>
      <c r="J52">
        <v>7.9584999999999999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2020</v>
      </c>
      <c r="J53">
        <v>7.8649999999999993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2020</v>
      </c>
      <c r="J54">
        <v>7.3535000000000004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2020</v>
      </c>
      <c r="J55">
        <v>8.2004999999999999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2020</v>
      </c>
      <c r="J56">
        <v>7.5844999999999994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2020</v>
      </c>
      <c r="J57">
        <v>7.6669999999999998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2025</v>
      </c>
      <c r="J58">
        <v>9.1134999999999984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11.2255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2025</v>
      </c>
      <c r="J60">
        <v>10.9945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2025</v>
      </c>
      <c r="J61">
        <v>10.296000000000001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2025</v>
      </c>
      <c r="J62">
        <v>10.054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2025</v>
      </c>
      <c r="J63">
        <v>9.2125000000000004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2025</v>
      </c>
      <c r="J64">
        <v>9.4930000000000003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2030</v>
      </c>
      <c r="J65">
        <v>9.432500000000001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2030</v>
      </c>
      <c r="J66">
        <v>8.5854999999999997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8.2664999999999988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2030</v>
      </c>
      <c r="J68">
        <v>8.1124999999999989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2030</v>
      </c>
      <c r="J69">
        <v>8.2720000000000002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2030</v>
      </c>
      <c r="J70">
        <v>7.9695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2030</v>
      </c>
      <c r="J71">
        <v>7.1114999999999995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11.511500000000002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9.4489999999999998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8.6349999999999998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7.9365000000000006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2.5465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9.3719999999999999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1.012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2040</v>
      </c>
      <c r="J79">
        <v>14.558499999999999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2040</v>
      </c>
      <c r="J80">
        <v>13.821500000000002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2040</v>
      </c>
      <c r="J81">
        <v>9.7899999999999991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2040</v>
      </c>
      <c r="J82">
        <v>8.3874999999999993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2.3815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2040</v>
      </c>
      <c r="J84">
        <v>11.830500000000001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2040</v>
      </c>
      <c r="J85">
        <v>1.661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2045</v>
      </c>
      <c r="J86">
        <v>22.902000000000001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2045</v>
      </c>
      <c r="J87">
        <v>31.5425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2045</v>
      </c>
      <c r="J88">
        <v>14.553000000000001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2045</v>
      </c>
      <c r="J89">
        <v>10.609499999999999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2045</v>
      </c>
      <c r="J90">
        <v>5.423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20.02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2045</v>
      </c>
      <c r="J92">
        <v>1.7765000000000002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2050</v>
      </c>
      <c r="J93">
        <v>25.553000000000001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2050</v>
      </c>
      <c r="J94">
        <v>42.366500000000002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2050</v>
      </c>
      <c r="J95">
        <v>12.2265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2050</v>
      </c>
      <c r="J96">
        <v>10.131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2050</v>
      </c>
      <c r="J97">
        <v>9.2729999999999997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2050</v>
      </c>
      <c r="J98">
        <v>34.286999999999999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0.24200000000000002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2.5270000000000001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2020</v>
      </c>
      <c r="J101">
        <v>2.6949999999999998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2020</v>
      </c>
      <c r="J102">
        <v>2.6879999999999997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2020</v>
      </c>
      <c r="J103">
        <v>2.5270000000000001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2020</v>
      </c>
      <c r="J104">
        <v>2.7160000000000002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2020</v>
      </c>
      <c r="J105">
        <v>2.5760000000000001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2020</v>
      </c>
      <c r="J106">
        <v>2.5409999999999999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2025</v>
      </c>
      <c r="J107">
        <v>0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0.56000000000000005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2025</v>
      </c>
      <c r="J109">
        <v>0.55300000000000005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2025</v>
      </c>
      <c r="J110">
        <v>0.52500000000000002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2025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2025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0.33589999999999998</v>
      </c>
      <c r="K156" t="s">
        <v>45</v>
      </c>
    </row>
    <row r="157" spans="1:12" x14ac:dyDescent="0.45">
      <c r="A157" t="s">
        <v>90</v>
      </c>
      <c r="B157" t="s">
        <v>4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0.23035</v>
      </c>
      <c r="K157" t="s">
        <v>45</v>
      </c>
    </row>
    <row r="158" spans="1:12" x14ac:dyDescent="0.45">
      <c r="A158" t="s">
        <v>90</v>
      </c>
      <c r="B158" t="s">
        <v>0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0.22305</v>
      </c>
      <c r="K158" t="s">
        <v>45</v>
      </c>
    </row>
    <row r="159" spans="1:12" x14ac:dyDescent="0.45">
      <c r="A159" t="s">
        <v>90</v>
      </c>
      <c r="B159" t="s">
        <v>6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0.22570000000000001</v>
      </c>
      <c r="K159" t="s">
        <v>45</v>
      </c>
    </row>
    <row r="160" spans="1:12" x14ac:dyDescent="0.45">
      <c r="A160" t="s">
        <v>90</v>
      </c>
      <c r="B160" t="s">
        <v>5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0.42675000000000002</v>
      </c>
      <c r="K160" t="s">
        <v>45</v>
      </c>
    </row>
    <row r="161" spans="1:11" x14ac:dyDescent="0.45">
      <c r="A161" t="s">
        <v>90</v>
      </c>
      <c r="B161" t="s">
        <v>2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0.42549999999999999</v>
      </c>
      <c r="K161" t="s">
        <v>45</v>
      </c>
    </row>
    <row r="162" spans="1:11" x14ac:dyDescent="0.45">
      <c r="A162" t="s">
        <v>90</v>
      </c>
      <c r="B162" t="s">
        <v>1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0.43325000000000002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2.4177</v>
      </c>
      <c r="K163" t="s">
        <v>45</v>
      </c>
    </row>
    <row r="164" spans="1:11" x14ac:dyDescent="0.45">
      <c r="A164" t="s">
        <v>90</v>
      </c>
      <c r="B164" t="s">
        <v>4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0.24440000000000001</v>
      </c>
      <c r="K164" t="s">
        <v>45</v>
      </c>
    </row>
    <row r="165" spans="1:11" x14ac:dyDescent="0.45">
      <c r="A165" t="s">
        <v>90</v>
      </c>
      <c r="B165" t="s">
        <v>0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0.2409</v>
      </c>
      <c r="K165" t="s">
        <v>45</v>
      </c>
    </row>
    <row r="166" spans="1:11" x14ac:dyDescent="0.45">
      <c r="A166" t="s">
        <v>90</v>
      </c>
      <c r="B166" t="s">
        <v>6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0.24409999999999998</v>
      </c>
      <c r="K166" t="s">
        <v>45</v>
      </c>
    </row>
    <row r="167" spans="1:11" x14ac:dyDescent="0.45">
      <c r="A167" t="s">
        <v>90</v>
      </c>
      <c r="B167" t="s">
        <v>5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7.3830499999999999</v>
      </c>
      <c r="K167" t="s">
        <v>45</v>
      </c>
    </row>
    <row r="168" spans="1:11" x14ac:dyDescent="0.45">
      <c r="A168" t="s">
        <v>90</v>
      </c>
      <c r="B168" t="s">
        <v>2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3.1154000000000002</v>
      </c>
      <c r="K168" t="s">
        <v>45</v>
      </c>
    </row>
    <row r="169" spans="1:11" x14ac:dyDescent="0.45">
      <c r="A169" t="s">
        <v>90</v>
      </c>
      <c r="B169" t="s">
        <v>1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14.13015</v>
      </c>
      <c r="K169" t="s">
        <v>45</v>
      </c>
    </row>
    <row r="170" spans="1:11" x14ac:dyDescent="0.45">
      <c r="A170" t="s">
        <v>90</v>
      </c>
      <c r="B170" t="s">
        <v>3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7.2263000000000002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0.24714999999999998</v>
      </c>
      <c r="K171" t="s">
        <v>45</v>
      </c>
    </row>
    <row r="172" spans="1:11" x14ac:dyDescent="0.45">
      <c r="A172" t="s">
        <v>90</v>
      </c>
      <c r="B172" t="s">
        <v>0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1.33185</v>
      </c>
      <c r="K172" t="s">
        <v>45</v>
      </c>
    </row>
    <row r="173" spans="1:11" x14ac:dyDescent="0.45">
      <c r="A173" t="s">
        <v>90</v>
      </c>
      <c r="B173" t="s">
        <v>6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0.84609999999999996</v>
      </c>
      <c r="K173" t="s">
        <v>45</v>
      </c>
    </row>
    <row r="174" spans="1:11" x14ac:dyDescent="0.45">
      <c r="A174" t="s">
        <v>90</v>
      </c>
      <c r="B174" t="s">
        <v>5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17.170099999999998</v>
      </c>
      <c r="K174" t="s">
        <v>45</v>
      </c>
    </row>
    <row r="175" spans="1:11" x14ac:dyDescent="0.45">
      <c r="A175" t="s">
        <v>90</v>
      </c>
      <c r="B175" t="s">
        <v>2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7.9116499999999998</v>
      </c>
      <c r="K175" t="s">
        <v>45</v>
      </c>
    </row>
    <row r="176" spans="1:11" x14ac:dyDescent="0.45">
      <c r="A176" t="s">
        <v>90</v>
      </c>
      <c r="B176" t="s">
        <v>1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39.326500000000003</v>
      </c>
      <c r="K176" t="s">
        <v>45</v>
      </c>
    </row>
    <row r="177" spans="1:11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14.232949999999999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0.25764999999999999</v>
      </c>
      <c r="K178" t="s">
        <v>45</v>
      </c>
    </row>
    <row r="179" spans="1:11" x14ac:dyDescent="0.45">
      <c r="A179" t="s">
        <v>90</v>
      </c>
      <c r="B179" t="s">
        <v>0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19.319049999999997</v>
      </c>
      <c r="K179" t="s">
        <v>45</v>
      </c>
    </row>
    <row r="180" spans="1:11" x14ac:dyDescent="0.45">
      <c r="A180" t="s">
        <v>90</v>
      </c>
      <c r="B180" t="s">
        <v>6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4.4855499999999999</v>
      </c>
      <c r="K180" t="s">
        <v>45</v>
      </c>
    </row>
    <row r="181" spans="1:11" x14ac:dyDescent="0.45">
      <c r="A181" t="s">
        <v>90</v>
      </c>
      <c r="B181" t="s">
        <v>5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27.982800000000001</v>
      </c>
      <c r="K181" t="s">
        <v>45</v>
      </c>
    </row>
    <row r="182" spans="1:11" x14ac:dyDescent="0.45">
      <c r="A182" t="s">
        <v>90</v>
      </c>
      <c r="B182" t="s">
        <v>2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14.0535</v>
      </c>
      <c r="K182" t="s">
        <v>45</v>
      </c>
    </row>
    <row r="183" spans="1:11" x14ac:dyDescent="0.45">
      <c r="A183" t="s">
        <v>90</v>
      </c>
      <c r="B183" t="s">
        <v>1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66.707699999999988</v>
      </c>
      <c r="K183" t="s">
        <v>45</v>
      </c>
    </row>
    <row r="184" spans="1:11" x14ac:dyDescent="0.45">
      <c r="A184" t="s">
        <v>90</v>
      </c>
      <c r="B184" t="s">
        <v>3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20.787100000000002</v>
      </c>
      <c r="K184" t="s">
        <v>45</v>
      </c>
    </row>
    <row r="185" spans="1:11" x14ac:dyDescent="0.45">
      <c r="A185" t="s">
        <v>90</v>
      </c>
      <c r="B185" t="s">
        <v>4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0.26655000000000001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51.856999999999999</v>
      </c>
      <c r="K186" t="s">
        <v>45</v>
      </c>
    </row>
    <row r="187" spans="1:11" x14ac:dyDescent="0.45">
      <c r="A187" t="s">
        <v>90</v>
      </c>
      <c r="B187" t="s">
        <v>6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9.0443999999999996</v>
      </c>
      <c r="K187" t="s">
        <v>45</v>
      </c>
    </row>
    <row r="188" spans="1:11" x14ac:dyDescent="0.45">
      <c r="A188" t="s">
        <v>90</v>
      </c>
      <c r="B188" t="s">
        <v>5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36.433300000000003</v>
      </c>
      <c r="K188" t="s">
        <v>45</v>
      </c>
    </row>
    <row r="189" spans="1:11" x14ac:dyDescent="0.45">
      <c r="A189" t="s">
        <v>90</v>
      </c>
      <c r="B189" t="s">
        <v>2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17.024349999999998</v>
      </c>
      <c r="K189" t="s">
        <v>45</v>
      </c>
    </row>
    <row r="190" spans="1:11" x14ac:dyDescent="0.45">
      <c r="A190" t="s">
        <v>90</v>
      </c>
      <c r="B190" t="s">
        <v>1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74.571750000000009</v>
      </c>
      <c r="K190" t="s">
        <v>45</v>
      </c>
    </row>
    <row r="191" spans="1:11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24.438099999999999</v>
      </c>
      <c r="K191" t="s">
        <v>45</v>
      </c>
    </row>
    <row r="192" spans="1:11" x14ac:dyDescent="0.45">
      <c r="A192" t="s">
        <v>90</v>
      </c>
      <c r="B192" t="s">
        <v>4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0.26734999999999998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65.247600000000006</v>
      </c>
      <c r="K193" t="s">
        <v>45</v>
      </c>
    </row>
    <row r="194" spans="1:11" x14ac:dyDescent="0.45">
      <c r="A194" t="s">
        <v>90</v>
      </c>
      <c r="B194" t="s">
        <v>6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12.995950000000001</v>
      </c>
      <c r="K194" t="s">
        <v>45</v>
      </c>
    </row>
    <row r="195" spans="1:11" x14ac:dyDescent="0.45">
      <c r="A195" t="s">
        <v>90</v>
      </c>
      <c r="B195" t="s">
        <v>5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42.103449999999995</v>
      </c>
      <c r="K195" t="s">
        <v>45</v>
      </c>
    </row>
    <row r="196" spans="1:11" x14ac:dyDescent="0.45">
      <c r="A196" t="s">
        <v>90</v>
      </c>
      <c r="B196" t="s">
        <v>2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20.052900000000001</v>
      </c>
      <c r="K196" t="s">
        <v>45</v>
      </c>
    </row>
    <row r="197" spans="1:11" x14ac:dyDescent="0.45">
      <c r="A197" t="s">
        <v>90</v>
      </c>
      <c r="B197" t="s">
        <v>1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76.434799999999996</v>
      </c>
      <c r="K197" t="s">
        <v>45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24.889400000000002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0.25209999999999999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72.817599999999999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14.873799999999999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45.262950000000004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20.706600000000002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77.537099999999995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24.895299999999999</v>
      </c>
      <c r="K205" t="s">
        <v>45</v>
      </c>
    </row>
    <row r="206" spans="1:11" x14ac:dyDescent="0.45">
      <c r="A206" t="s">
        <v>90</v>
      </c>
      <c r="B206" t="s">
        <v>4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0.22585</v>
      </c>
      <c r="K206" t="s">
        <v>45</v>
      </c>
    </row>
    <row r="207" spans="1:11" x14ac:dyDescent="0.45">
      <c r="A207" t="s">
        <v>90</v>
      </c>
      <c r="B207" t="s">
        <v>0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72.443649999999991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16.125250000000001</v>
      </c>
      <c r="K208" t="s">
        <v>45</v>
      </c>
    </row>
    <row r="209" spans="1:11" x14ac:dyDescent="0.45">
      <c r="A209" t="s">
        <v>90</v>
      </c>
      <c r="B209" t="s">
        <v>5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47.0792</v>
      </c>
      <c r="K209" t="s">
        <v>45</v>
      </c>
    </row>
    <row r="210" spans="1:11" x14ac:dyDescent="0.45">
      <c r="A210" t="s">
        <v>90</v>
      </c>
      <c r="B210" t="s">
        <v>2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20.956949999999999</v>
      </c>
      <c r="K210" t="s">
        <v>45</v>
      </c>
    </row>
    <row r="211" spans="1:11" x14ac:dyDescent="0.45">
      <c r="A211" t="s">
        <v>90</v>
      </c>
      <c r="B211" t="s">
        <v>1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74.35575</v>
      </c>
      <c r="K211" t="s">
        <v>45</v>
      </c>
    </row>
    <row r="212" spans="1:11" x14ac:dyDescent="0.45">
      <c r="A212" t="s">
        <v>90</v>
      </c>
      <c r="B212" t="s">
        <v>3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23.704799999999999</v>
      </c>
      <c r="K212" t="s">
        <v>45</v>
      </c>
    </row>
    <row r="213" spans="1:11" x14ac:dyDescent="0.45">
      <c r="A213" t="s">
        <v>90</v>
      </c>
      <c r="B213" t="s">
        <v>4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0.15789999999999998</v>
      </c>
      <c r="K213" t="s">
        <v>45</v>
      </c>
    </row>
    <row r="214" spans="1:11" x14ac:dyDescent="0.45">
      <c r="A214" t="s">
        <v>90</v>
      </c>
      <c r="B214" t="s">
        <v>0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72.909450000000007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16.29025</v>
      </c>
      <c r="K215" t="s">
        <v>45</v>
      </c>
    </row>
    <row r="216" spans="1:11" x14ac:dyDescent="0.45">
      <c r="A216" t="s">
        <v>90</v>
      </c>
      <c r="B216" t="s">
        <v>5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48.360599999999998</v>
      </c>
      <c r="K216" t="s">
        <v>45</v>
      </c>
    </row>
    <row r="217" spans="1:11" x14ac:dyDescent="0.45">
      <c r="A217" t="s">
        <v>90</v>
      </c>
      <c r="B217" t="s">
        <v>2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19.482950000000002</v>
      </c>
      <c r="K217" t="s">
        <v>45</v>
      </c>
    </row>
    <row r="218" spans="1:11" x14ac:dyDescent="0.45">
      <c r="A218" t="s">
        <v>90</v>
      </c>
      <c r="B218" t="s">
        <v>1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67.3309</v>
      </c>
      <c r="K218" t="s">
        <v>45</v>
      </c>
    </row>
    <row r="219" spans="1:11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22.3188</v>
      </c>
      <c r="K219" t="s">
        <v>45</v>
      </c>
    </row>
    <row r="220" spans="1:11" x14ac:dyDescent="0.45">
      <c r="A220" t="s">
        <v>90</v>
      </c>
      <c r="B220" t="s">
        <v>4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8.5199999999999998E-2</v>
      </c>
      <c r="K220" t="s">
        <v>45</v>
      </c>
    </row>
    <row r="221" spans="1:11" x14ac:dyDescent="0.45">
      <c r="A221" t="s">
        <v>90</v>
      </c>
      <c r="B221" t="s">
        <v>0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72.942300000000003</v>
      </c>
      <c r="K221" t="s">
        <v>45</v>
      </c>
    </row>
    <row r="222" spans="1:11" x14ac:dyDescent="0.45">
      <c r="A222" t="s">
        <v>90</v>
      </c>
      <c r="B222" t="s">
        <v>6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16.37715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49.481700000000004</v>
      </c>
      <c r="K223" t="s">
        <v>45</v>
      </c>
    </row>
    <row r="224" spans="1:11" x14ac:dyDescent="0.45">
      <c r="A224" t="s">
        <v>90</v>
      </c>
      <c r="B224" t="s">
        <v>2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17.79515</v>
      </c>
      <c r="K224" t="s">
        <v>45</v>
      </c>
    </row>
    <row r="225" spans="1:11" x14ac:dyDescent="0.45">
      <c r="A225" t="s">
        <v>90</v>
      </c>
      <c r="B225" t="s">
        <v>1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59.49</v>
      </c>
      <c r="K225" t="s">
        <v>45</v>
      </c>
    </row>
    <row r="226" spans="1:11" x14ac:dyDescent="0.45">
      <c r="A226" t="s">
        <v>90</v>
      </c>
      <c r="B226" t="s">
        <v>3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22.390149999999998</v>
      </c>
      <c r="K226" t="s">
        <v>45</v>
      </c>
    </row>
    <row r="227" spans="1:11" x14ac:dyDescent="0.45">
      <c r="A227" t="s">
        <v>90</v>
      </c>
      <c r="B227" t="s">
        <v>4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4.335E-2</v>
      </c>
      <c r="K227" t="s">
        <v>45</v>
      </c>
    </row>
    <row r="228" spans="1:11" x14ac:dyDescent="0.45">
      <c r="A228" t="s">
        <v>90</v>
      </c>
      <c r="B228" t="s">
        <v>0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67.754750000000001</v>
      </c>
      <c r="K228" t="s">
        <v>45</v>
      </c>
    </row>
    <row r="229" spans="1:11" x14ac:dyDescent="0.45">
      <c r="A229" t="s">
        <v>90</v>
      </c>
      <c r="B229" t="s">
        <v>6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14.594450000000002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51.69585</v>
      </c>
      <c r="K230" t="s">
        <v>45</v>
      </c>
    </row>
    <row r="231" spans="1:11" x14ac:dyDescent="0.45">
      <c r="A231" t="s">
        <v>90</v>
      </c>
      <c r="B231" t="s">
        <v>2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14.1381</v>
      </c>
      <c r="K231" t="s">
        <v>45</v>
      </c>
    </row>
    <row r="232" spans="1:11" x14ac:dyDescent="0.45">
      <c r="A232" t="s">
        <v>90</v>
      </c>
      <c r="B232" t="s">
        <v>1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54.362700000000004</v>
      </c>
      <c r="K232" t="s">
        <v>45</v>
      </c>
    </row>
    <row r="233" spans="1:11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22.364750000000001</v>
      </c>
      <c r="K233" t="s">
        <v>45</v>
      </c>
    </row>
    <row r="234" spans="1:11" x14ac:dyDescent="0.45">
      <c r="A234" t="s">
        <v>90</v>
      </c>
      <c r="B234" t="s">
        <v>4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0</v>
      </c>
      <c r="K234" t="s">
        <v>45</v>
      </c>
    </row>
    <row r="235" spans="1:11" x14ac:dyDescent="0.45">
      <c r="A235" t="s">
        <v>90</v>
      </c>
      <c r="B235" t="s">
        <v>0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62.064549999999997</v>
      </c>
      <c r="K235" t="s">
        <v>45</v>
      </c>
    </row>
    <row r="236" spans="1:11" x14ac:dyDescent="0.45">
      <c r="A236" t="s">
        <v>90</v>
      </c>
      <c r="B236" t="s">
        <v>6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12.635899999999999</v>
      </c>
      <c r="K236" t="s">
        <v>45</v>
      </c>
    </row>
    <row r="237" spans="1:11" x14ac:dyDescent="0.45">
      <c r="A237" t="s">
        <v>90</v>
      </c>
      <c r="B237" t="s">
        <v>5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53.842550000000003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10.312200000000001</v>
      </c>
      <c r="K238" t="s">
        <v>45</v>
      </c>
    </row>
    <row r="239" spans="1:11" x14ac:dyDescent="0.45">
      <c r="A239" t="s">
        <v>90</v>
      </c>
      <c r="B239" t="s">
        <v>1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48.801050000000004</v>
      </c>
      <c r="K239" t="s">
        <v>45</v>
      </c>
    </row>
    <row r="240" spans="1:11" x14ac:dyDescent="0.45">
      <c r="A240" t="s">
        <v>90</v>
      </c>
      <c r="B240" t="s">
        <v>3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24.2959</v>
      </c>
      <c r="K240" t="s">
        <v>45</v>
      </c>
    </row>
    <row r="241" spans="1:11" x14ac:dyDescent="0.45">
      <c r="A241" t="s">
        <v>90</v>
      </c>
      <c r="B241" t="s">
        <v>4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0</v>
      </c>
      <c r="K241" t="s">
        <v>45</v>
      </c>
    </row>
    <row r="242" spans="1:11" x14ac:dyDescent="0.45">
      <c r="A242" t="s">
        <v>90</v>
      </c>
      <c r="B242" t="s">
        <v>0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53.9251</v>
      </c>
      <c r="K242" t="s">
        <v>45</v>
      </c>
    </row>
    <row r="243" spans="1:11" x14ac:dyDescent="0.45">
      <c r="A243" t="s">
        <v>90</v>
      </c>
      <c r="B243" t="s">
        <v>6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13.420199999999999</v>
      </c>
      <c r="K243" t="s">
        <v>45</v>
      </c>
    </row>
    <row r="244" spans="1:11" x14ac:dyDescent="0.45">
      <c r="A244" t="s">
        <v>90</v>
      </c>
      <c r="B244" t="s">
        <v>5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56.2714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10.4483</v>
      </c>
      <c r="K245" t="s">
        <v>45</v>
      </c>
    </row>
    <row r="246" spans="1:11" x14ac:dyDescent="0.45">
      <c r="A246" t="s">
        <v>90</v>
      </c>
      <c r="B246" t="s">
        <v>1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52.127000000000002</v>
      </c>
      <c r="K246" t="s">
        <v>45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26.194699999999997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45.049949999999995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14.132200000000001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58.464300000000001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10.541700000000001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56.045349999999999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26.963349999999998</v>
      </c>
      <c r="K254" t="s">
        <v>45</v>
      </c>
    </row>
    <row r="255" spans="1:11" x14ac:dyDescent="0.45">
      <c r="A255" t="s">
        <v>90</v>
      </c>
      <c r="B255" t="s">
        <v>4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45">
      <c r="A256" t="s">
        <v>90</v>
      </c>
      <c r="B256" t="s">
        <v>0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44.515550000000005</v>
      </c>
      <c r="K256" t="s">
        <v>45</v>
      </c>
    </row>
    <row r="257" spans="1:11" x14ac:dyDescent="0.45">
      <c r="A257" t="s">
        <v>90</v>
      </c>
      <c r="B257" t="s">
        <v>6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15.23405</v>
      </c>
      <c r="K257" t="s">
        <v>45</v>
      </c>
    </row>
    <row r="258" spans="1:11" x14ac:dyDescent="0.45">
      <c r="A258" t="s">
        <v>90</v>
      </c>
      <c r="B258" t="s">
        <v>5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59.601799999999997</v>
      </c>
      <c r="K258" t="s">
        <v>45</v>
      </c>
    </row>
    <row r="259" spans="1:11" x14ac:dyDescent="0.45">
      <c r="A259" t="s">
        <v>90</v>
      </c>
      <c r="B259" t="s">
        <v>2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12.653749999999999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59.450950000000006</v>
      </c>
      <c r="K260" t="s">
        <v>45</v>
      </c>
    </row>
    <row r="261" spans="1:11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27.775600000000001</v>
      </c>
      <c r="K261" t="s">
        <v>45</v>
      </c>
    </row>
    <row r="262" spans="1:11" x14ac:dyDescent="0.45">
      <c r="A262" t="s">
        <v>90</v>
      </c>
      <c r="B262" t="s">
        <v>4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45">
      <c r="A263" t="s">
        <v>90</v>
      </c>
      <c r="B263" t="s">
        <v>0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43.932949999999998</v>
      </c>
      <c r="K263" t="s">
        <v>45</v>
      </c>
    </row>
    <row r="264" spans="1:11" x14ac:dyDescent="0.45">
      <c r="A264" t="s">
        <v>90</v>
      </c>
      <c r="B264" t="s">
        <v>6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16.371449999999999</v>
      </c>
      <c r="K264" t="s">
        <v>45</v>
      </c>
    </row>
    <row r="265" spans="1:11" x14ac:dyDescent="0.45">
      <c r="A265" t="s">
        <v>90</v>
      </c>
      <c r="B265" t="s">
        <v>5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60.671149999999997</v>
      </c>
      <c r="K265" t="s">
        <v>45</v>
      </c>
    </row>
    <row r="266" spans="1:11" x14ac:dyDescent="0.45">
      <c r="A266" t="s">
        <v>90</v>
      </c>
      <c r="B266" t="s">
        <v>2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14.846150000000002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62.983900000000006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244.559</v>
      </c>
      <c r="K268" t="s">
        <v>48</v>
      </c>
    </row>
    <row r="269" spans="1:11" x14ac:dyDescent="0.45">
      <c r="A269" t="s">
        <v>90</v>
      </c>
      <c r="B269" t="s">
        <v>4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2020</v>
      </c>
      <c r="J269">
        <v>242.60255000000001</v>
      </c>
      <c r="K269" t="s">
        <v>48</v>
      </c>
    </row>
    <row r="270" spans="1:11" x14ac:dyDescent="0.45">
      <c r="A270" t="s">
        <v>90</v>
      </c>
      <c r="B270" t="s">
        <v>0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2020</v>
      </c>
      <c r="J270">
        <v>243.1335</v>
      </c>
      <c r="K270" t="s">
        <v>48</v>
      </c>
    </row>
    <row r="271" spans="1:11" x14ac:dyDescent="0.45">
      <c r="A271" t="s">
        <v>90</v>
      </c>
      <c r="B271" t="s">
        <v>6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2020</v>
      </c>
      <c r="J271">
        <v>244.72540000000001</v>
      </c>
      <c r="K271" t="s">
        <v>48</v>
      </c>
    </row>
    <row r="272" spans="1:11" x14ac:dyDescent="0.45">
      <c r="A272" t="s">
        <v>90</v>
      </c>
      <c r="B272" t="s">
        <v>5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2020</v>
      </c>
      <c r="J272">
        <v>246.13830000000002</v>
      </c>
      <c r="K272" t="s">
        <v>48</v>
      </c>
    </row>
    <row r="273" spans="1:11" x14ac:dyDescent="0.45">
      <c r="A273" t="s">
        <v>90</v>
      </c>
      <c r="B273" t="s">
        <v>2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2020</v>
      </c>
      <c r="J273">
        <v>244.63954999999999</v>
      </c>
      <c r="K273" t="s">
        <v>48</v>
      </c>
    </row>
    <row r="274" spans="1:11" x14ac:dyDescent="0.45">
      <c r="A274" t="s">
        <v>90</v>
      </c>
      <c r="B274" t="s">
        <v>1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2020</v>
      </c>
      <c r="J274">
        <v>245.54485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2025</v>
      </c>
      <c r="J275">
        <v>239.5839</v>
      </c>
      <c r="K275" t="s">
        <v>48</v>
      </c>
    </row>
    <row r="276" spans="1:11" x14ac:dyDescent="0.45">
      <c r="A276" t="s">
        <v>90</v>
      </c>
      <c r="B276" t="s">
        <v>4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2025</v>
      </c>
      <c r="J276">
        <v>239.42665</v>
      </c>
      <c r="K276" t="s">
        <v>48</v>
      </c>
    </row>
    <row r="277" spans="1:11" x14ac:dyDescent="0.45">
      <c r="A277" t="s">
        <v>90</v>
      </c>
      <c r="B277" t="s">
        <v>0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2025</v>
      </c>
      <c r="J277">
        <v>243.23105000000001</v>
      </c>
      <c r="K277" t="s">
        <v>48</v>
      </c>
    </row>
    <row r="278" spans="1:11" x14ac:dyDescent="0.45">
      <c r="A278" t="s">
        <v>90</v>
      </c>
      <c r="B278" t="s">
        <v>6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2025</v>
      </c>
      <c r="J278">
        <v>243.96609999999998</v>
      </c>
      <c r="K278" t="s">
        <v>48</v>
      </c>
    </row>
    <row r="279" spans="1:11" x14ac:dyDescent="0.45">
      <c r="A279" t="s">
        <v>90</v>
      </c>
      <c r="B279" t="s">
        <v>5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2025</v>
      </c>
      <c r="J279">
        <v>216.3321</v>
      </c>
      <c r="K279" t="s">
        <v>48</v>
      </c>
    </row>
    <row r="280" spans="1:11" x14ac:dyDescent="0.45">
      <c r="A280" t="s">
        <v>90</v>
      </c>
      <c r="B280" t="s">
        <v>2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2025</v>
      </c>
      <c r="J280">
        <v>234.56445000000002</v>
      </c>
      <c r="K280" t="s">
        <v>48</v>
      </c>
    </row>
    <row r="281" spans="1:11" x14ac:dyDescent="0.45">
      <c r="A281" t="s">
        <v>90</v>
      </c>
      <c r="B281" t="s">
        <v>1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2025</v>
      </c>
      <c r="J281">
        <v>231.42910000000001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2030</v>
      </c>
      <c r="J282">
        <v>192.39575000000002</v>
      </c>
      <c r="K282" t="s">
        <v>48</v>
      </c>
    </row>
    <row r="283" spans="1:11" x14ac:dyDescent="0.45">
      <c r="A283" t="s">
        <v>90</v>
      </c>
      <c r="B283" t="s">
        <v>4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2030</v>
      </c>
      <c r="J283">
        <v>215.09744999999998</v>
      </c>
      <c r="K283" t="s">
        <v>48</v>
      </c>
    </row>
    <row r="284" spans="1:11" x14ac:dyDescent="0.45">
      <c r="A284" t="s">
        <v>90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221.01769999999999</v>
      </c>
      <c r="K284" t="s">
        <v>48</v>
      </c>
    </row>
    <row r="285" spans="1:11" x14ac:dyDescent="0.45">
      <c r="A285" t="s">
        <v>90</v>
      </c>
      <c r="B285" t="s">
        <v>6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2030</v>
      </c>
      <c r="J285">
        <v>218.19225</v>
      </c>
      <c r="K285" t="s">
        <v>48</v>
      </c>
    </row>
    <row r="286" spans="1:11" x14ac:dyDescent="0.45">
      <c r="A286" t="s">
        <v>90</v>
      </c>
      <c r="B286" t="s">
        <v>5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2030</v>
      </c>
      <c r="J286">
        <v>84.010450000000006</v>
      </c>
      <c r="K286" t="s">
        <v>48</v>
      </c>
    </row>
    <row r="287" spans="1:11" x14ac:dyDescent="0.45">
      <c r="A287" t="s">
        <v>90</v>
      </c>
      <c r="B287" t="s">
        <v>2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168.75665000000001</v>
      </c>
      <c r="K287" t="s">
        <v>48</v>
      </c>
    </row>
    <row r="288" spans="1:11" x14ac:dyDescent="0.45">
      <c r="A288" t="s">
        <v>90</v>
      </c>
      <c r="B288" t="s">
        <v>1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2030</v>
      </c>
      <c r="J288">
        <v>123.54995</v>
      </c>
      <c r="K288" t="s">
        <v>48</v>
      </c>
    </row>
    <row r="289" spans="1:11" x14ac:dyDescent="0.45">
      <c r="A289" t="s">
        <v>90</v>
      </c>
      <c r="B289" t="s">
        <v>3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2035</v>
      </c>
      <c r="J289">
        <v>110.27959999999999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2035</v>
      </c>
      <c r="J290">
        <v>174.19569999999999</v>
      </c>
      <c r="K290" t="s">
        <v>48</v>
      </c>
    </row>
    <row r="291" spans="1:11" x14ac:dyDescent="0.45">
      <c r="A291" t="s">
        <v>90</v>
      </c>
      <c r="B291" t="s">
        <v>0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2035</v>
      </c>
      <c r="J291">
        <v>155.92994999999999</v>
      </c>
      <c r="K291" t="s">
        <v>48</v>
      </c>
    </row>
    <row r="292" spans="1:11" x14ac:dyDescent="0.45">
      <c r="A292" t="s">
        <v>90</v>
      </c>
      <c r="B292" t="s">
        <v>6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2035</v>
      </c>
      <c r="J292">
        <v>159.33244999999999</v>
      </c>
      <c r="K292" t="s">
        <v>48</v>
      </c>
    </row>
    <row r="293" spans="1:11" x14ac:dyDescent="0.45">
      <c r="A293" t="s">
        <v>90</v>
      </c>
      <c r="B293" t="s">
        <v>5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2035</v>
      </c>
      <c r="J293">
        <v>19.160399999999999</v>
      </c>
      <c r="K293" t="s">
        <v>48</v>
      </c>
    </row>
    <row r="294" spans="1:11" x14ac:dyDescent="0.45">
      <c r="A294" t="s">
        <v>90</v>
      </c>
      <c r="B294" t="s">
        <v>2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2035</v>
      </c>
      <c r="J294">
        <v>93.203900000000004</v>
      </c>
      <c r="K294" t="s">
        <v>48</v>
      </c>
    </row>
    <row r="295" spans="1:11" x14ac:dyDescent="0.45">
      <c r="A295" t="s">
        <v>90</v>
      </c>
      <c r="B295" t="s">
        <v>1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2035</v>
      </c>
      <c r="J295">
        <v>3.7348500000000002</v>
      </c>
      <c r="K295" t="s">
        <v>48</v>
      </c>
    </row>
    <row r="296" spans="1:11" x14ac:dyDescent="0.45">
      <c r="A296" t="s">
        <v>90</v>
      </c>
      <c r="B296" t="s">
        <v>3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2040</v>
      </c>
      <c r="J296">
        <v>39.136600000000001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2040</v>
      </c>
      <c r="J297">
        <v>139.35534999999999</v>
      </c>
      <c r="K297" t="s">
        <v>48</v>
      </c>
    </row>
    <row r="298" spans="1:11" x14ac:dyDescent="0.45">
      <c r="A298" t="s">
        <v>90</v>
      </c>
      <c r="B298" t="s">
        <v>0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2040</v>
      </c>
      <c r="J298">
        <v>-6.5295500000000004</v>
      </c>
      <c r="K298" t="s">
        <v>48</v>
      </c>
    </row>
    <row r="299" spans="1:11" x14ac:dyDescent="0.45">
      <c r="A299" t="s">
        <v>90</v>
      </c>
      <c r="B299" t="s">
        <v>6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2040</v>
      </c>
      <c r="J299">
        <v>44.043149999999997</v>
      </c>
      <c r="K299" t="s">
        <v>48</v>
      </c>
    </row>
    <row r="300" spans="1:11" x14ac:dyDescent="0.45">
      <c r="A300" t="s">
        <v>90</v>
      </c>
      <c r="B300" t="s">
        <v>5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2040</v>
      </c>
      <c r="J300">
        <v>-32.258300000000006</v>
      </c>
      <c r="K300" t="s">
        <v>48</v>
      </c>
    </row>
    <row r="301" spans="1:11" x14ac:dyDescent="0.45">
      <c r="A301" t="s">
        <v>90</v>
      </c>
      <c r="B301" t="s">
        <v>2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2040</v>
      </c>
      <c r="J301">
        <v>33.234200000000001</v>
      </c>
      <c r="K301" t="s">
        <v>48</v>
      </c>
    </row>
    <row r="302" spans="1:11" x14ac:dyDescent="0.45">
      <c r="A302" t="s">
        <v>90</v>
      </c>
      <c r="B302" t="s">
        <v>1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2040</v>
      </c>
      <c r="J302">
        <v>-76.285449999999997</v>
      </c>
      <c r="K302" t="s">
        <v>48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2045</v>
      </c>
      <c r="J303">
        <v>-2.1302500000000002</v>
      </c>
      <c r="K303" t="s">
        <v>48</v>
      </c>
    </row>
    <row r="304" spans="1:11" x14ac:dyDescent="0.45">
      <c r="A304" t="s">
        <v>90</v>
      </c>
      <c r="B304" t="s">
        <v>4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2045</v>
      </c>
      <c r="J304">
        <v>110.84099999999999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2045</v>
      </c>
      <c r="J305">
        <v>-78.571150000000003</v>
      </c>
      <c r="K305" t="s">
        <v>48</v>
      </c>
    </row>
    <row r="306" spans="1:11" x14ac:dyDescent="0.45">
      <c r="A306" t="s">
        <v>90</v>
      </c>
      <c r="B306" t="s">
        <v>6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2045</v>
      </c>
      <c r="J306">
        <v>-5.29155</v>
      </c>
      <c r="K306" t="s">
        <v>48</v>
      </c>
    </row>
    <row r="307" spans="1:11" x14ac:dyDescent="0.45">
      <c r="A307" t="s">
        <v>90</v>
      </c>
      <c r="B307" t="s">
        <v>5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-63.648650000000004</v>
      </c>
      <c r="K307" t="s">
        <v>48</v>
      </c>
    </row>
    <row r="308" spans="1:11" x14ac:dyDescent="0.45">
      <c r="A308" t="s">
        <v>90</v>
      </c>
      <c r="B308" t="s">
        <v>2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2045</v>
      </c>
      <c r="J308">
        <v>0.14405000000000001</v>
      </c>
      <c r="K308" t="s">
        <v>48</v>
      </c>
    </row>
    <row r="309" spans="1:11" x14ac:dyDescent="0.45">
      <c r="A309" t="s">
        <v>90</v>
      </c>
      <c r="B309" t="s">
        <v>1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2045</v>
      </c>
      <c r="J309">
        <v>-102.42310000000001</v>
      </c>
      <c r="K309" t="s">
        <v>48</v>
      </c>
    </row>
    <row r="310" spans="1:11" x14ac:dyDescent="0.45">
      <c r="A310" t="s">
        <v>90</v>
      </c>
      <c r="B310" t="s">
        <v>3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2050</v>
      </c>
      <c r="J310">
        <v>-28.323599999999999</v>
      </c>
      <c r="K310" t="s">
        <v>48</v>
      </c>
    </row>
    <row r="311" spans="1:11" x14ac:dyDescent="0.45">
      <c r="A311" t="s">
        <v>90</v>
      </c>
      <c r="B311" t="s">
        <v>4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2050</v>
      </c>
      <c r="J311">
        <v>97.49584999999999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2050</v>
      </c>
      <c r="J312">
        <v>-110.29044999999999</v>
      </c>
      <c r="K312" t="s">
        <v>48</v>
      </c>
    </row>
    <row r="313" spans="1:11" x14ac:dyDescent="0.45">
      <c r="A313" t="s">
        <v>90</v>
      </c>
      <c r="B313" t="s">
        <v>6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2050</v>
      </c>
      <c r="J313">
        <v>-30.367199999999997</v>
      </c>
      <c r="K313" t="s">
        <v>48</v>
      </c>
    </row>
    <row r="314" spans="1:11" x14ac:dyDescent="0.45">
      <c r="A314" t="s">
        <v>90</v>
      </c>
      <c r="B314" t="s">
        <v>5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2050</v>
      </c>
      <c r="J314">
        <v>-78.084900000000005</v>
      </c>
      <c r="K314" t="s">
        <v>48</v>
      </c>
    </row>
    <row r="315" spans="1:11" x14ac:dyDescent="0.45">
      <c r="A315" t="s">
        <v>90</v>
      </c>
      <c r="B315" t="s">
        <v>2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2050</v>
      </c>
      <c r="J315">
        <v>-22.025200000000002</v>
      </c>
      <c r="K315" t="s">
        <v>48</v>
      </c>
    </row>
    <row r="316" spans="1:11" x14ac:dyDescent="0.45">
      <c r="A316" t="s">
        <v>90</v>
      </c>
      <c r="B316" t="s">
        <v>1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2050</v>
      </c>
      <c r="J316">
        <v>-114.62925</v>
      </c>
      <c r="K316" t="s">
        <v>48</v>
      </c>
    </row>
    <row r="317" spans="1:11" x14ac:dyDescent="0.45">
      <c r="A317" t="s">
        <v>90</v>
      </c>
      <c r="B317" t="s">
        <v>3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2055</v>
      </c>
      <c r="J317">
        <v>-37.897149999999996</v>
      </c>
      <c r="K317" t="s">
        <v>48</v>
      </c>
    </row>
    <row r="318" spans="1:11" x14ac:dyDescent="0.45">
      <c r="A318" t="s">
        <v>90</v>
      </c>
      <c r="B318" t="s">
        <v>4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2055</v>
      </c>
      <c r="J318">
        <v>87.80680000000001</v>
      </c>
      <c r="K318" t="s">
        <v>48</v>
      </c>
    </row>
    <row r="319" spans="1:11" x14ac:dyDescent="0.45">
      <c r="A319" t="s">
        <v>90</v>
      </c>
      <c r="B319" t="s">
        <v>0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2055</v>
      </c>
      <c r="J319">
        <v>-116.57204999999999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2055</v>
      </c>
      <c r="J320">
        <v>-36.483699999999999</v>
      </c>
      <c r="K320" t="s">
        <v>48</v>
      </c>
    </row>
    <row r="321" spans="1:11" x14ac:dyDescent="0.45">
      <c r="A321" t="s">
        <v>90</v>
      </c>
      <c r="B321" t="s">
        <v>5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2055</v>
      </c>
      <c r="J321">
        <v>-84.804400000000001</v>
      </c>
      <c r="K321" t="s">
        <v>48</v>
      </c>
    </row>
    <row r="322" spans="1:11" x14ac:dyDescent="0.45">
      <c r="A322" t="s">
        <v>90</v>
      </c>
      <c r="B322" t="s">
        <v>2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2055</v>
      </c>
      <c r="J322">
        <v>-30.210949999999997</v>
      </c>
      <c r="K322" t="s">
        <v>48</v>
      </c>
    </row>
    <row r="323" spans="1:11" x14ac:dyDescent="0.45">
      <c r="A323" t="s">
        <v>90</v>
      </c>
      <c r="B323" t="s">
        <v>1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2055</v>
      </c>
      <c r="J323">
        <v>-115.63935000000001</v>
      </c>
      <c r="K323" t="s">
        <v>48</v>
      </c>
    </row>
    <row r="324" spans="1:11" x14ac:dyDescent="0.45">
      <c r="A324" t="s">
        <v>90</v>
      </c>
      <c r="B324" t="s">
        <v>3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2060</v>
      </c>
      <c r="J324">
        <v>-48.679749999999999</v>
      </c>
      <c r="K324" t="s">
        <v>48</v>
      </c>
    </row>
    <row r="325" spans="1:11" x14ac:dyDescent="0.45">
      <c r="A325" t="s">
        <v>90</v>
      </c>
      <c r="B325" t="s">
        <v>4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2060</v>
      </c>
      <c r="J325">
        <v>79.086600000000004</v>
      </c>
      <c r="K325" t="s">
        <v>48</v>
      </c>
    </row>
    <row r="326" spans="1:11" x14ac:dyDescent="0.45">
      <c r="A326" t="s">
        <v>90</v>
      </c>
      <c r="B326" t="s">
        <v>0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2060</v>
      </c>
      <c r="J326">
        <v>-116.61500000000001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-41.245400000000004</v>
      </c>
      <c r="K327" t="s">
        <v>48</v>
      </c>
    </row>
    <row r="328" spans="1:11" x14ac:dyDescent="0.45">
      <c r="A328" t="s">
        <v>90</v>
      </c>
      <c r="B328" t="s">
        <v>5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2060</v>
      </c>
      <c r="J328">
        <v>-85.979749999999996</v>
      </c>
      <c r="K328" t="s">
        <v>48</v>
      </c>
    </row>
    <row r="329" spans="1:11" x14ac:dyDescent="0.45">
      <c r="A329" t="s">
        <v>90</v>
      </c>
      <c r="B329" t="s">
        <v>2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2060</v>
      </c>
      <c r="J329">
        <v>-36.936</v>
      </c>
      <c r="K329" t="s">
        <v>48</v>
      </c>
    </row>
    <row r="330" spans="1:11" x14ac:dyDescent="0.45">
      <c r="A330" t="s">
        <v>90</v>
      </c>
      <c r="B330" t="s">
        <v>1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2060</v>
      </c>
      <c r="J330">
        <v>-114.22005</v>
      </c>
      <c r="K330" t="s">
        <v>48</v>
      </c>
    </row>
    <row r="331" spans="1:11" x14ac:dyDescent="0.45">
      <c r="A331" t="s">
        <v>90</v>
      </c>
      <c r="B331" t="s">
        <v>3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2065</v>
      </c>
      <c r="J331">
        <v>-50.5169</v>
      </c>
      <c r="K331" t="s">
        <v>48</v>
      </c>
    </row>
    <row r="332" spans="1:11" x14ac:dyDescent="0.45">
      <c r="A332" t="s">
        <v>90</v>
      </c>
      <c r="B332" t="s">
        <v>4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2065</v>
      </c>
      <c r="J332">
        <v>75.476650000000006</v>
      </c>
      <c r="K332" t="s">
        <v>48</v>
      </c>
    </row>
    <row r="333" spans="1:11" x14ac:dyDescent="0.45">
      <c r="A333" t="s">
        <v>90</v>
      </c>
      <c r="B333" t="s">
        <v>0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2065</v>
      </c>
      <c r="J333">
        <v>-118.48824999999999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2065</v>
      </c>
      <c r="J334">
        <v>-43.137699999999995</v>
      </c>
      <c r="K334" t="s">
        <v>48</v>
      </c>
    </row>
    <row r="335" spans="1:11" x14ac:dyDescent="0.45">
      <c r="A335" t="s">
        <v>90</v>
      </c>
      <c r="B335" t="s">
        <v>5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2065</v>
      </c>
      <c r="J335">
        <v>-81.149850000000001</v>
      </c>
      <c r="K335" t="s">
        <v>48</v>
      </c>
    </row>
    <row r="336" spans="1:11" x14ac:dyDescent="0.45">
      <c r="A336" t="s">
        <v>90</v>
      </c>
      <c r="B336" t="s">
        <v>2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2065</v>
      </c>
      <c r="J336">
        <v>-37.906800000000004</v>
      </c>
      <c r="K336" t="s">
        <v>48</v>
      </c>
    </row>
    <row r="337" spans="1:11" x14ac:dyDescent="0.45">
      <c r="A337" t="s">
        <v>90</v>
      </c>
      <c r="B337" t="s">
        <v>1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2065</v>
      </c>
      <c r="J337">
        <v>-102.16855</v>
      </c>
      <c r="K337" t="s">
        <v>48</v>
      </c>
    </row>
    <row r="338" spans="1:11" x14ac:dyDescent="0.45">
      <c r="A338" t="s">
        <v>90</v>
      </c>
      <c r="B338" t="s">
        <v>3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2070</v>
      </c>
      <c r="J338">
        <v>-52.318849999999998</v>
      </c>
      <c r="K338" t="s">
        <v>48</v>
      </c>
    </row>
    <row r="339" spans="1:11" x14ac:dyDescent="0.45">
      <c r="A339" t="s">
        <v>90</v>
      </c>
      <c r="B339" t="s">
        <v>4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2070</v>
      </c>
      <c r="J339">
        <v>71.882199999999997</v>
      </c>
      <c r="K339" t="s">
        <v>48</v>
      </c>
    </row>
    <row r="340" spans="1:11" x14ac:dyDescent="0.45">
      <c r="A340" t="s">
        <v>90</v>
      </c>
      <c r="B340" t="s">
        <v>0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2070</v>
      </c>
      <c r="J340">
        <v>-120.09784999999999</v>
      </c>
      <c r="K340" t="s">
        <v>48</v>
      </c>
    </row>
    <row r="341" spans="1:11" x14ac:dyDescent="0.45">
      <c r="A341" t="s">
        <v>90</v>
      </c>
      <c r="B341" t="s">
        <v>6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2070</v>
      </c>
      <c r="J341">
        <v>-45.016350000000003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2070</v>
      </c>
      <c r="J342">
        <v>-76.14425</v>
      </c>
      <c r="K342" t="s">
        <v>48</v>
      </c>
    </row>
    <row r="343" spans="1:11" x14ac:dyDescent="0.45">
      <c r="A343" t="s">
        <v>90</v>
      </c>
      <c r="B343" t="s">
        <v>2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2070</v>
      </c>
      <c r="J343">
        <v>-38.728949999999998</v>
      </c>
      <c r="K343" t="s">
        <v>48</v>
      </c>
    </row>
    <row r="344" spans="1:11" x14ac:dyDescent="0.45">
      <c r="A344" t="s">
        <v>90</v>
      </c>
      <c r="B344" t="s">
        <v>1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2070</v>
      </c>
      <c r="J344">
        <v>-89.337500000000006</v>
      </c>
      <c r="K344" t="s">
        <v>48</v>
      </c>
    </row>
    <row r="345" spans="1:11" x14ac:dyDescent="0.45">
      <c r="A345" t="s">
        <v>90</v>
      </c>
      <c r="B345" t="s">
        <v>3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2075</v>
      </c>
      <c r="J345">
        <v>-53.317350000000005</v>
      </c>
      <c r="K345" t="s">
        <v>48</v>
      </c>
    </row>
    <row r="346" spans="1:11" x14ac:dyDescent="0.45">
      <c r="A346" t="s">
        <v>90</v>
      </c>
      <c r="B346" t="s">
        <v>4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2075</v>
      </c>
      <c r="J346">
        <v>64.489000000000004</v>
      </c>
      <c r="K346" t="s">
        <v>48</v>
      </c>
    </row>
    <row r="347" spans="1:11" x14ac:dyDescent="0.45">
      <c r="A347" t="s">
        <v>90</v>
      </c>
      <c r="B347" t="s">
        <v>0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-113.43455</v>
      </c>
      <c r="K347" t="s">
        <v>48</v>
      </c>
    </row>
    <row r="348" spans="1:11" x14ac:dyDescent="0.45">
      <c r="A348" t="s">
        <v>90</v>
      </c>
      <c r="B348" t="s">
        <v>6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2075</v>
      </c>
      <c r="J348">
        <v>-47.617099999999994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2075</v>
      </c>
      <c r="J349">
        <v>-84.556600000000003</v>
      </c>
      <c r="K349" t="s">
        <v>48</v>
      </c>
    </row>
    <row r="350" spans="1:11" x14ac:dyDescent="0.45">
      <c r="A350" t="s">
        <v>90</v>
      </c>
      <c r="B350" t="s">
        <v>2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2075</v>
      </c>
      <c r="J350">
        <v>-37.432850000000002</v>
      </c>
      <c r="K350" t="s">
        <v>48</v>
      </c>
    </row>
    <row r="351" spans="1:11" x14ac:dyDescent="0.45">
      <c r="A351" t="s">
        <v>90</v>
      </c>
      <c r="B351" t="s">
        <v>1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2075</v>
      </c>
      <c r="J351">
        <v>-90.2273</v>
      </c>
      <c r="K351" t="s">
        <v>48</v>
      </c>
    </row>
    <row r="352" spans="1:11" x14ac:dyDescent="0.45">
      <c r="A352" t="s">
        <v>90</v>
      </c>
      <c r="B352" t="s">
        <v>3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2080</v>
      </c>
      <c r="J352">
        <v>-54.43</v>
      </c>
      <c r="K352" t="s">
        <v>48</v>
      </c>
    </row>
    <row r="353" spans="1:11" x14ac:dyDescent="0.45">
      <c r="A353" t="s">
        <v>90</v>
      </c>
      <c r="B353" t="s">
        <v>4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2080</v>
      </c>
      <c r="J353">
        <v>57.196300000000001</v>
      </c>
      <c r="K353" t="s">
        <v>48</v>
      </c>
    </row>
    <row r="354" spans="1:11" x14ac:dyDescent="0.45">
      <c r="A354" t="s">
        <v>90</v>
      </c>
      <c r="B354" t="s">
        <v>0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2080</v>
      </c>
      <c r="J354">
        <v>-106.31385</v>
      </c>
      <c r="K354" t="s">
        <v>48</v>
      </c>
    </row>
    <row r="355" spans="1:11" x14ac:dyDescent="0.45">
      <c r="A355" t="s">
        <v>90</v>
      </c>
      <c r="B355" t="s">
        <v>6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2080</v>
      </c>
      <c r="J355">
        <v>-50.054699999999997</v>
      </c>
      <c r="K355" t="s">
        <v>48</v>
      </c>
    </row>
    <row r="356" spans="1:11" x14ac:dyDescent="0.45">
      <c r="A356" t="s">
        <v>90</v>
      </c>
      <c r="B356" t="s">
        <v>5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2080</v>
      </c>
      <c r="J356">
        <v>-93.00685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2080</v>
      </c>
      <c r="J357">
        <v>-36.019100000000002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2080</v>
      </c>
      <c r="J358">
        <v>-90.760349999999988</v>
      </c>
      <c r="K358" t="s">
        <v>48</v>
      </c>
    </row>
    <row r="359" spans="1:11" x14ac:dyDescent="0.45">
      <c r="A359" t="s">
        <v>90</v>
      </c>
      <c r="B359" t="s">
        <v>3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2085</v>
      </c>
      <c r="J359">
        <v>-56.563050000000004</v>
      </c>
      <c r="K359" t="s">
        <v>48</v>
      </c>
    </row>
    <row r="360" spans="1:11" x14ac:dyDescent="0.45">
      <c r="A360" t="s">
        <v>90</v>
      </c>
      <c r="B360" t="s">
        <v>4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2085</v>
      </c>
      <c r="J360">
        <v>51.060450000000003</v>
      </c>
      <c r="K360" t="s">
        <v>48</v>
      </c>
    </row>
    <row r="361" spans="1:11" x14ac:dyDescent="0.45">
      <c r="A361" t="s">
        <v>90</v>
      </c>
      <c r="B361" t="s">
        <v>0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2085</v>
      </c>
      <c r="J361">
        <v>-97.773799999999994</v>
      </c>
      <c r="K361" t="s">
        <v>48</v>
      </c>
    </row>
    <row r="362" spans="1:11" x14ac:dyDescent="0.45">
      <c r="A362" t="s">
        <v>90</v>
      </c>
      <c r="B362" t="s">
        <v>6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2085</v>
      </c>
      <c r="J362">
        <v>-52.161000000000001</v>
      </c>
      <c r="K362" t="s">
        <v>48</v>
      </c>
    </row>
    <row r="363" spans="1:11" x14ac:dyDescent="0.45">
      <c r="A363" t="s">
        <v>90</v>
      </c>
      <c r="B363" t="s">
        <v>5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2085</v>
      </c>
      <c r="J363">
        <v>-91.694450000000003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2085</v>
      </c>
      <c r="J364">
        <v>-34.593499999999999</v>
      </c>
      <c r="K364" t="s">
        <v>48</v>
      </c>
    </row>
    <row r="365" spans="1:11" x14ac:dyDescent="0.45">
      <c r="A365" t="s">
        <v>90</v>
      </c>
      <c r="B365" t="s">
        <v>1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2085</v>
      </c>
      <c r="J365">
        <v>-90.664299999999997</v>
      </c>
      <c r="K365" t="s">
        <v>48</v>
      </c>
    </row>
    <row r="366" spans="1:11" x14ac:dyDescent="0.45">
      <c r="A366" t="s">
        <v>90</v>
      </c>
      <c r="B366" t="s">
        <v>3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2090</v>
      </c>
      <c r="J366">
        <v>-58.75385</v>
      </c>
      <c r="K366" t="s">
        <v>48</v>
      </c>
    </row>
    <row r="367" spans="1:11" x14ac:dyDescent="0.45">
      <c r="A367" t="s">
        <v>90</v>
      </c>
      <c r="B367" t="s">
        <v>4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44.203149999999994</v>
      </c>
      <c r="K367" t="s">
        <v>48</v>
      </c>
    </row>
    <row r="368" spans="1:11" x14ac:dyDescent="0.45">
      <c r="A368" t="s">
        <v>90</v>
      </c>
      <c r="B368" t="s">
        <v>0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2090</v>
      </c>
      <c r="J368">
        <v>-88.516300000000001</v>
      </c>
      <c r="K368" t="s">
        <v>48</v>
      </c>
    </row>
    <row r="369" spans="1:11" x14ac:dyDescent="0.45">
      <c r="A369" t="s">
        <v>90</v>
      </c>
      <c r="B369" t="s">
        <v>6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2090</v>
      </c>
      <c r="J369">
        <v>-54.322850000000003</v>
      </c>
      <c r="K369" t="s">
        <v>48</v>
      </c>
    </row>
    <row r="370" spans="1:11" x14ac:dyDescent="0.45">
      <c r="A370" t="s">
        <v>90</v>
      </c>
      <c r="B370" t="s">
        <v>5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2090</v>
      </c>
      <c r="J370">
        <v>-90.255300000000005</v>
      </c>
      <c r="K370" t="s">
        <v>48</v>
      </c>
    </row>
    <row r="371" spans="1:11" x14ac:dyDescent="0.45">
      <c r="A371" t="s">
        <v>90</v>
      </c>
      <c r="B371" t="s">
        <v>2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2090</v>
      </c>
      <c r="J371">
        <v>-33.254899999999999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2090</v>
      </c>
      <c r="J372">
        <v>-91.178600000000003</v>
      </c>
      <c r="K372" t="s">
        <v>48</v>
      </c>
    </row>
    <row r="373" spans="1:11" x14ac:dyDescent="0.45">
      <c r="A373" t="s">
        <v>90</v>
      </c>
      <c r="B373" t="s">
        <v>3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2095</v>
      </c>
      <c r="J373">
        <v>-56.020600000000002</v>
      </c>
      <c r="K373" t="s">
        <v>48</v>
      </c>
    </row>
    <row r="374" spans="1:11" x14ac:dyDescent="0.45">
      <c r="A374" t="s">
        <v>90</v>
      </c>
      <c r="B374" t="s">
        <v>4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2095</v>
      </c>
      <c r="J374">
        <v>44.844300000000004</v>
      </c>
      <c r="K374" t="s">
        <v>48</v>
      </c>
    </row>
    <row r="375" spans="1:11" x14ac:dyDescent="0.45">
      <c r="A375" t="s">
        <v>90</v>
      </c>
      <c r="B375" t="s">
        <v>0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2095</v>
      </c>
      <c r="J375">
        <v>-83.550299999999993</v>
      </c>
      <c r="K375" t="s">
        <v>48</v>
      </c>
    </row>
    <row r="376" spans="1:11" x14ac:dyDescent="0.45">
      <c r="A376" t="s">
        <v>90</v>
      </c>
      <c r="B376" t="s">
        <v>6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2095</v>
      </c>
      <c r="J376">
        <v>-50.183099999999996</v>
      </c>
      <c r="K376" t="s">
        <v>48</v>
      </c>
    </row>
    <row r="377" spans="1:11" x14ac:dyDescent="0.45">
      <c r="A377" t="s">
        <v>90</v>
      </c>
      <c r="B377" t="s">
        <v>5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2095</v>
      </c>
      <c r="J377">
        <v>-95.252800000000008</v>
      </c>
      <c r="K377" t="s">
        <v>48</v>
      </c>
    </row>
    <row r="378" spans="1:11" x14ac:dyDescent="0.45">
      <c r="A378" t="s">
        <v>90</v>
      </c>
      <c r="B378" t="s">
        <v>2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2095</v>
      </c>
      <c r="J378">
        <v>-29.140599999999999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2095</v>
      </c>
      <c r="J379">
        <v>-97.566699999999997</v>
      </c>
      <c r="K379" t="s">
        <v>48</v>
      </c>
    </row>
    <row r="380" spans="1:11" x14ac:dyDescent="0.45">
      <c r="A380" t="s">
        <v>90</v>
      </c>
      <c r="B380" t="s">
        <v>3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2100</v>
      </c>
      <c r="J380">
        <v>-53.409700000000001</v>
      </c>
      <c r="K380" t="s">
        <v>48</v>
      </c>
    </row>
    <row r="381" spans="1:11" x14ac:dyDescent="0.45">
      <c r="A381" t="s">
        <v>90</v>
      </c>
      <c r="B381" t="s">
        <v>4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45.113599999999998</v>
      </c>
      <c r="K381" t="s">
        <v>48</v>
      </c>
    </row>
    <row r="382" spans="1:11" x14ac:dyDescent="0.45">
      <c r="A382" t="s">
        <v>90</v>
      </c>
      <c r="B382" t="s">
        <v>0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2100</v>
      </c>
      <c r="J382">
        <v>-78.5702</v>
      </c>
      <c r="K382" t="s">
        <v>48</v>
      </c>
    </row>
    <row r="383" spans="1:11" x14ac:dyDescent="0.45">
      <c r="A383" t="s">
        <v>90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-46.144099999999995</v>
      </c>
      <c r="K383" t="s">
        <v>48</v>
      </c>
    </row>
    <row r="384" spans="1:11" x14ac:dyDescent="0.45">
      <c r="A384" t="s">
        <v>90</v>
      </c>
      <c r="B384" t="s">
        <v>5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2100</v>
      </c>
      <c r="J384">
        <v>-100.2958</v>
      </c>
      <c r="K384" t="s">
        <v>48</v>
      </c>
    </row>
    <row r="385" spans="1:11" x14ac:dyDescent="0.45">
      <c r="A385" t="s">
        <v>90</v>
      </c>
      <c r="B385" t="s">
        <v>2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-25.203949999999999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-104.0976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303.58240000000001</v>
      </c>
      <c r="K387" t="s">
        <v>51</v>
      </c>
    </row>
    <row r="388" spans="1:11" x14ac:dyDescent="0.45">
      <c r="A388" t="s">
        <v>90</v>
      </c>
      <c r="B388" t="s">
        <v>4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301.57740000000001</v>
      </c>
      <c r="K388" t="s">
        <v>51</v>
      </c>
    </row>
    <row r="389" spans="1:11" x14ac:dyDescent="0.45">
      <c r="A389" t="s">
        <v>90</v>
      </c>
      <c r="B389" t="s">
        <v>0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2020</v>
      </c>
      <c r="J389">
        <v>302.20425</v>
      </c>
      <c r="K389" t="s">
        <v>51</v>
      </c>
    </row>
    <row r="390" spans="1:11" x14ac:dyDescent="0.45">
      <c r="A390" t="s">
        <v>90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2020</v>
      </c>
      <c r="J390">
        <v>303.70119999999997</v>
      </c>
      <c r="K390" t="s">
        <v>51</v>
      </c>
    </row>
    <row r="391" spans="1:11" x14ac:dyDescent="0.45">
      <c r="A391" t="s">
        <v>90</v>
      </c>
      <c r="B391" t="s">
        <v>5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2020</v>
      </c>
      <c r="J391">
        <v>305.35955000000001</v>
      </c>
      <c r="K391" t="s">
        <v>51</v>
      </c>
    </row>
    <row r="392" spans="1:11" x14ac:dyDescent="0.45">
      <c r="A392" t="s">
        <v>90</v>
      </c>
      <c r="B392" t="s">
        <v>2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2020</v>
      </c>
      <c r="J392">
        <v>303.61249999999995</v>
      </c>
      <c r="K392" t="s">
        <v>51</v>
      </c>
    </row>
    <row r="393" spans="1:11" x14ac:dyDescent="0.45">
      <c r="A393" t="s">
        <v>90</v>
      </c>
      <c r="B393" t="s">
        <v>1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2020</v>
      </c>
      <c r="J393">
        <v>304.66745000000003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2025</v>
      </c>
      <c r="J394">
        <v>272.13515000000001</v>
      </c>
      <c r="K394" t="s">
        <v>51</v>
      </c>
    </row>
    <row r="395" spans="1:11" x14ac:dyDescent="0.45">
      <c r="A395" t="s">
        <v>90</v>
      </c>
      <c r="B395" t="s">
        <v>4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2025</v>
      </c>
      <c r="J395">
        <v>275.17914999999999</v>
      </c>
      <c r="K395" t="s">
        <v>51</v>
      </c>
    </row>
    <row r="396" spans="1:11" x14ac:dyDescent="0.45">
      <c r="A396" t="s">
        <v>90</v>
      </c>
      <c r="B396" t="s">
        <v>0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2025</v>
      </c>
      <c r="J396">
        <v>276.37585000000001</v>
      </c>
      <c r="K396" t="s">
        <v>51</v>
      </c>
    </row>
    <row r="397" spans="1:11" x14ac:dyDescent="0.45">
      <c r="A397" t="s">
        <v>90</v>
      </c>
      <c r="B397" t="s">
        <v>6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2025</v>
      </c>
      <c r="J397">
        <v>275.77859999999998</v>
      </c>
      <c r="K397" t="s">
        <v>51</v>
      </c>
    </row>
    <row r="398" spans="1:11" x14ac:dyDescent="0.45">
      <c r="A398" t="s">
        <v>90</v>
      </c>
      <c r="B398" t="s">
        <v>5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2025</v>
      </c>
      <c r="J398">
        <v>251.94239999999999</v>
      </c>
      <c r="K398" t="s">
        <v>51</v>
      </c>
    </row>
    <row r="399" spans="1:11" x14ac:dyDescent="0.45">
      <c r="A399" t="s">
        <v>90</v>
      </c>
      <c r="B399" t="s">
        <v>2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2025</v>
      </c>
      <c r="J399">
        <v>268.23344999999995</v>
      </c>
      <c r="K399" t="s">
        <v>51</v>
      </c>
    </row>
    <row r="400" spans="1:11" x14ac:dyDescent="0.45">
      <c r="A400" t="s">
        <v>90</v>
      </c>
      <c r="B400" t="s">
        <v>1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2025</v>
      </c>
      <c r="J400">
        <v>265.14339999999999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2030</v>
      </c>
      <c r="J401">
        <v>229.67455000000001</v>
      </c>
      <c r="K401" t="s">
        <v>51</v>
      </c>
    </row>
    <row r="402" spans="1:11" x14ac:dyDescent="0.45">
      <c r="A402" t="s">
        <v>90</v>
      </c>
      <c r="B402" t="s">
        <v>4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2030</v>
      </c>
      <c r="J402">
        <v>254.05054999999999</v>
      </c>
      <c r="K402" t="s">
        <v>51</v>
      </c>
    </row>
    <row r="403" spans="1:11" x14ac:dyDescent="0.45">
      <c r="A403" t="s">
        <v>90</v>
      </c>
      <c r="B403" t="s">
        <v>0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2030</v>
      </c>
      <c r="J403">
        <v>257.44794999999999</v>
      </c>
      <c r="K403" t="s">
        <v>51</v>
      </c>
    </row>
    <row r="404" spans="1:11" x14ac:dyDescent="0.45">
      <c r="A404" t="s">
        <v>90</v>
      </c>
      <c r="B404" t="s">
        <v>6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2030</v>
      </c>
      <c r="J404">
        <v>255.26755</v>
      </c>
      <c r="K404" t="s">
        <v>51</v>
      </c>
    </row>
    <row r="405" spans="1:11" x14ac:dyDescent="0.45">
      <c r="A405" t="s">
        <v>90</v>
      </c>
      <c r="B405" t="s">
        <v>5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2030</v>
      </c>
      <c r="J405">
        <v>129.25190000000001</v>
      </c>
      <c r="K405" t="s">
        <v>51</v>
      </c>
    </row>
    <row r="406" spans="1:11" x14ac:dyDescent="0.45">
      <c r="A406" t="s">
        <v>90</v>
      </c>
      <c r="B406" t="s">
        <v>2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208.53970000000001</v>
      </c>
      <c r="K406" t="s">
        <v>51</v>
      </c>
    </row>
    <row r="407" spans="1:11" x14ac:dyDescent="0.45">
      <c r="A407" t="s">
        <v>90</v>
      </c>
      <c r="B407" t="s">
        <v>1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2030</v>
      </c>
      <c r="J407">
        <v>164.67789999999999</v>
      </c>
      <c r="K407" t="s">
        <v>51</v>
      </c>
    </row>
    <row r="408" spans="1:11" x14ac:dyDescent="0.45">
      <c r="A408" t="s">
        <v>90</v>
      </c>
      <c r="B408" t="s">
        <v>3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2035</v>
      </c>
      <c r="J408">
        <v>153.53725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2035</v>
      </c>
      <c r="J409">
        <v>217.1439</v>
      </c>
      <c r="K409" t="s">
        <v>51</v>
      </c>
    </row>
    <row r="410" spans="1:11" x14ac:dyDescent="0.45">
      <c r="A410" t="s">
        <v>90</v>
      </c>
      <c r="B410" t="s">
        <v>0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2035</v>
      </c>
      <c r="J410">
        <v>201.52415000000002</v>
      </c>
      <c r="K410" t="s">
        <v>51</v>
      </c>
    </row>
    <row r="411" spans="1:11" x14ac:dyDescent="0.45">
      <c r="A411" t="s">
        <v>90</v>
      </c>
      <c r="B411" t="s">
        <v>6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2035</v>
      </c>
      <c r="J411">
        <v>205.44285000000002</v>
      </c>
      <c r="K411" t="s">
        <v>51</v>
      </c>
    </row>
    <row r="412" spans="1:11" x14ac:dyDescent="0.45">
      <c r="A412" t="s">
        <v>90</v>
      </c>
      <c r="B412" t="s">
        <v>5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2035</v>
      </c>
      <c r="J412">
        <v>68.673400000000001</v>
      </c>
      <c r="K412" t="s">
        <v>51</v>
      </c>
    </row>
    <row r="413" spans="1:11" x14ac:dyDescent="0.45">
      <c r="A413" t="s">
        <v>90</v>
      </c>
      <c r="B413" t="s">
        <v>2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2035</v>
      </c>
      <c r="J413">
        <v>138.44409999999999</v>
      </c>
      <c r="K413" t="s">
        <v>51</v>
      </c>
    </row>
    <row r="414" spans="1:11" x14ac:dyDescent="0.45">
      <c r="A414" t="s">
        <v>90</v>
      </c>
      <c r="B414" t="s">
        <v>1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2035</v>
      </c>
      <c r="J414">
        <v>50.24335</v>
      </c>
      <c r="K414" t="s">
        <v>51</v>
      </c>
    </row>
    <row r="415" spans="1:11" x14ac:dyDescent="0.45">
      <c r="A415" t="s">
        <v>90</v>
      </c>
      <c r="B415" t="s">
        <v>3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2040</v>
      </c>
      <c r="J415">
        <v>86.849600000000009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2040</v>
      </c>
      <c r="J416">
        <v>186.67449999999999</v>
      </c>
      <c r="K416" t="s">
        <v>51</v>
      </c>
    </row>
    <row r="417" spans="1:11" x14ac:dyDescent="0.45">
      <c r="A417" t="s">
        <v>90</v>
      </c>
      <c r="B417" t="s">
        <v>0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2040</v>
      </c>
      <c r="J417">
        <v>47.337899999999998</v>
      </c>
      <c r="K417" t="s">
        <v>51</v>
      </c>
    </row>
    <row r="418" spans="1:11" x14ac:dyDescent="0.45">
      <c r="A418" t="s">
        <v>90</v>
      </c>
      <c r="B418" t="s">
        <v>6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2040</v>
      </c>
      <c r="J418">
        <v>97.8155</v>
      </c>
      <c r="K418" t="s">
        <v>51</v>
      </c>
    </row>
    <row r="419" spans="1:11" x14ac:dyDescent="0.45">
      <c r="A419" t="s">
        <v>90</v>
      </c>
      <c r="B419" t="s">
        <v>5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2040</v>
      </c>
      <c r="J419">
        <v>19.84665</v>
      </c>
      <c r="K419" t="s">
        <v>51</v>
      </c>
    </row>
    <row r="420" spans="1:11" x14ac:dyDescent="0.45">
      <c r="A420" t="s">
        <v>90</v>
      </c>
      <c r="B420" t="s">
        <v>2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2040</v>
      </c>
      <c r="J420">
        <v>83.656049999999993</v>
      </c>
      <c r="K420" t="s">
        <v>51</v>
      </c>
    </row>
    <row r="421" spans="1:11" x14ac:dyDescent="0.45">
      <c r="A421" t="s">
        <v>90</v>
      </c>
      <c r="B421" t="s">
        <v>1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2040</v>
      </c>
      <c r="J421">
        <v>-27.8963</v>
      </c>
      <c r="K421" t="s">
        <v>51</v>
      </c>
    </row>
    <row r="422" spans="1:11" x14ac:dyDescent="0.45">
      <c r="A422" t="s">
        <v>90</v>
      </c>
      <c r="B422" t="s">
        <v>3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2045</v>
      </c>
      <c r="J422">
        <v>47.188800000000001</v>
      </c>
      <c r="K422" t="s">
        <v>51</v>
      </c>
    </row>
    <row r="423" spans="1:11" x14ac:dyDescent="0.45">
      <c r="A423" t="s">
        <v>90</v>
      </c>
      <c r="B423" t="s">
        <v>4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2045</v>
      </c>
      <c r="J423">
        <v>162.3913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2045</v>
      </c>
      <c r="J424">
        <v>-20.931699999999999</v>
      </c>
      <c r="K424" t="s">
        <v>51</v>
      </c>
    </row>
    <row r="425" spans="1:11" x14ac:dyDescent="0.45">
      <c r="A425" t="s">
        <v>90</v>
      </c>
      <c r="B425" t="s">
        <v>6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2045</v>
      </c>
      <c r="J425">
        <v>53.745350000000002</v>
      </c>
      <c r="K425" t="s">
        <v>51</v>
      </c>
    </row>
    <row r="426" spans="1:11" x14ac:dyDescent="0.45">
      <c r="A426" t="s">
        <v>90</v>
      </c>
      <c r="B426" t="s">
        <v>5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-8.7484999999999999</v>
      </c>
      <c r="K426" t="s">
        <v>51</v>
      </c>
    </row>
    <row r="427" spans="1:11" x14ac:dyDescent="0.45">
      <c r="A427" t="s">
        <v>90</v>
      </c>
      <c r="B427" t="s">
        <v>2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2045</v>
      </c>
      <c r="J427">
        <v>53.793949999999995</v>
      </c>
      <c r="K427" t="s">
        <v>51</v>
      </c>
    </row>
    <row r="428" spans="1:11" x14ac:dyDescent="0.45">
      <c r="A428" t="s">
        <v>90</v>
      </c>
      <c r="B428" t="s">
        <v>1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2045</v>
      </c>
      <c r="J428">
        <v>-54.191500000000005</v>
      </c>
      <c r="K428" t="s">
        <v>51</v>
      </c>
    </row>
    <row r="429" spans="1:11" x14ac:dyDescent="0.45">
      <c r="A429" t="s">
        <v>90</v>
      </c>
      <c r="B429" t="s">
        <v>3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2050</v>
      </c>
      <c r="J429">
        <v>21.914899999999999</v>
      </c>
      <c r="K429" t="s">
        <v>51</v>
      </c>
    </row>
    <row r="430" spans="1:11" x14ac:dyDescent="0.45">
      <c r="A430" t="s">
        <v>90</v>
      </c>
      <c r="B430" t="s">
        <v>4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2050</v>
      </c>
      <c r="J430">
        <v>153.09885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2050</v>
      </c>
      <c r="J431">
        <v>-50.065300000000001</v>
      </c>
      <c r="K431" t="s">
        <v>51</v>
      </c>
    </row>
    <row r="432" spans="1:11" x14ac:dyDescent="0.45">
      <c r="A432" t="s">
        <v>90</v>
      </c>
      <c r="B432" t="s">
        <v>6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2050</v>
      </c>
      <c r="J432">
        <v>31.9267</v>
      </c>
      <c r="K432" t="s">
        <v>51</v>
      </c>
    </row>
    <row r="433" spans="1:11" x14ac:dyDescent="0.45">
      <c r="A433" t="s">
        <v>90</v>
      </c>
      <c r="B433" t="s">
        <v>5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2050</v>
      </c>
      <c r="J433">
        <v>-21.282499999999999</v>
      </c>
      <c r="K433" t="s">
        <v>51</v>
      </c>
    </row>
    <row r="434" spans="1:11" x14ac:dyDescent="0.45">
      <c r="A434" t="s">
        <v>90</v>
      </c>
      <c r="B434" t="s">
        <v>2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2050</v>
      </c>
      <c r="J434">
        <v>34.597499999999997</v>
      </c>
      <c r="K434" t="s">
        <v>51</v>
      </c>
    </row>
    <row r="435" spans="1:11" x14ac:dyDescent="0.45">
      <c r="A435" t="s">
        <v>90</v>
      </c>
      <c r="B435" t="s">
        <v>1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2050</v>
      </c>
      <c r="J435">
        <v>-67.185599999999994</v>
      </c>
      <c r="K435" t="s">
        <v>51</v>
      </c>
    </row>
    <row r="436" spans="1:11" x14ac:dyDescent="0.45">
      <c r="A436" t="s">
        <v>90</v>
      </c>
      <c r="B436" t="s">
        <v>3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2055</v>
      </c>
      <c r="J436">
        <v>9.5838000000000001</v>
      </c>
      <c r="K436" t="s">
        <v>51</v>
      </c>
    </row>
    <row r="437" spans="1:11" x14ac:dyDescent="0.45">
      <c r="A437" t="s">
        <v>90</v>
      </c>
      <c r="B437" t="s">
        <v>4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2055</v>
      </c>
      <c r="J437">
        <v>142.32255000000001</v>
      </c>
      <c r="K437" t="s">
        <v>51</v>
      </c>
    </row>
    <row r="438" spans="1:11" x14ac:dyDescent="0.45">
      <c r="A438" t="s">
        <v>90</v>
      </c>
      <c r="B438" t="s">
        <v>0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2055</v>
      </c>
      <c r="J438">
        <v>-59.217649999999999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2055</v>
      </c>
      <c r="J439">
        <v>22.695550000000001</v>
      </c>
      <c r="K439" t="s">
        <v>51</v>
      </c>
    </row>
    <row r="440" spans="1:11" x14ac:dyDescent="0.45">
      <c r="A440" t="s">
        <v>90</v>
      </c>
      <c r="B440" t="s">
        <v>5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2055</v>
      </c>
      <c r="J440">
        <v>-27.6067</v>
      </c>
      <c r="K440" t="s">
        <v>51</v>
      </c>
    </row>
    <row r="441" spans="1:11" x14ac:dyDescent="0.45">
      <c r="A441" t="s">
        <v>90</v>
      </c>
      <c r="B441" t="s">
        <v>2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2055</v>
      </c>
      <c r="J441">
        <v>23.52375</v>
      </c>
      <c r="K441" t="s">
        <v>51</v>
      </c>
    </row>
    <row r="442" spans="1:11" x14ac:dyDescent="0.45">
      <c r="A442" t="s">
        <v>90</v>
      </c>
      <c r="B442" t="s">
        <v>1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2055</v>
      </c>
      <c r="J442">
        <v>-69.000650000000007</v>
      </c>
      <c r="K442" t="s">
        <v>51</v>
      </c>
    </row>
    <row r="443" spans="1:11" x14ac:dyDescent="0.45">
      <c r="A443" t="s">
        <v>90</v>
      </c>
      <c r="B443" t="s">
        <v>3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2060</v>
      </c>
      <c r="J443">
        <v>-5.8075999999999999</v>
      </c>
      <c r="K443" t="s">
        <v>51</v>
      </c>
    </row>
    <row r="444" spans="1:11" x14ac:dyDescent="0.45">
      <c r="A444" t="s">
        <v>90</v>
      </c>
      <c r="B444" t="s">
        <v>4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2060</v>
      </c>
      <c r="J444">
        <v>132.41155000000001</v>
      </c>
      <c r="K444" t="s">
        <v>51</v>
      </c>
    </row>
    <row r="445" spans="1:11" x14ac:dyDescent="0.45">
      <c r="A445" t="s">
        <v>90</v>
      </c>
      <c r="B445" t="s">
        <v>0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2060</v>
      </c>
      <c r="J445">
        <v>-64.278400000000005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13.35735</v>
      </c>
      <c r="K446" t="s">
        <v>51</v>
      </c>
    </row>
    <row r="447" spans="1:11" x14ac:dyDescent="0.45">
      <c r="A447" t="s">
        <v>90</v>
      </c>
      <c r="B447" t="s">
        <v>5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2060</v>
      </c>
      <c r="J447">
        <v>-31.046799999999998</v>
      </c>
      <c r="K447" t="s">
        <v>51</v>
      </c>
    </row>
    <row r="448" spans="1:11" x14ac:dyDescent="0.45">
      <c r="A448" t="s">
        <v>90</v>
      </c>
      <c r="B448" t="s">
        <v>2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2060</v>
      </c>
      <c r="J448">
        <v>12.122499999999999</v>
      </c>
      <c r="K448" t="s">
        <v>51</v>
      </c>
    </row>
    <row r="449" spans="1:11" x14ac:dyDescent="0.45">
      <c r="A449" t="s">
        <v>90</v>
      </c>
      <c r="B449" t="s">
        <v>1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2060</v>
      </c>
      <c r="J449">
        <v>-70.343850000000003</v>
      </c>
      <c r="K449" t="s">
        <v>51</v>
      </c>
    </row>
    <row r="450" spans="1:11" x14ac:dyDescent="0.45">
      <c r="A450" t="s">
        <v>90</v>
      </c>
      <c r="B450" t="s">
        <v>3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2065</v>
      </c>
      <c r="J450">
        <v>-9.1570999999999998</v>
      </c>
      <c r="K450" t="s">
        <v>51</v>
      </c>
    </row>
    <row r="451" spans="1:11" x14ac:dyDescent="0.45">
      <c r="A451" t="s">
        <v>90</v>
      </c>
      <c r="B451" t="s">
        <v>4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2065</v>
      </c>
      <c r="J451">
        <v>127.46064999999999</v>
      </c>
      <c r="K451" t="s">
        <v>51</v>
      </c>
    </row>
    <row r="452" spans="1:11" x14ac:dyDescent="0.45">
      <c r="A452" t="s">
        <v>90</v>
      </c>
      <c r="B452" t="s">
        <v>0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2065</v>
      </c>
      <c r="J452">
        <v>-68.383900000000011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2065</v>
      </c>
      <c r="J453">
        <v>8.5546500000000005</v>
      </c>
      <c r="K453" t="s">
        <v>51</v>
      </c>
    </row>
    <row r="454" spans="1:11" x14ac:dyDescent="0.45">
      <c r="A454" t="s">
        <v>90</v>
      </c>
      <c r="B454" t="s">
        <v>5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2065</v>
      </c>
      <c r="J454">
        <v>-33.318899999999999</v>
      </c>
      <c r="K454" t="s">
        <v>51</v>
      </c>
    </row>
    <row r="455" spans="1:11" x14ac:dyDescent="0.45">
      <c r="A455" t="s">
        <v>90</v>
      </c>
      <c r="B455" t="s">
        <v>2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2065</v>
      </c>
      <c r="J455">
        <v>8.2022499999999994</v>
      </c>
      <c r="K455" t="s">
        <v>51</v>
      </c>
    </row>
    <row r="456" spans="1:11" x14ac:dyDescent="0.45">
      <c r="A456" t="s">
        <v>90</v>
      </c>
      <c r="B456" t="s">
        <v>1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2065</v>
      </c>
      <c r="J456">
        <v>-65.070599999999999</v>
      </c>
      <c r="K456" t="s">
        <v>51</v>
      </c>
    </row>
    <row r="457" spans="1:11" x14ac:dyDescent="0.45">
      <c r="A457" t="s">
        <v>90</v>
      </c>
      <c r="B457" t="s">
        <v>3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2070</v>
      </c>
      <c r="J457">
        <v>-12.501899999999999</v>
      </c>
      <c r="K457" t="s">
        <v>51</v>
      </c>
    </row>
    <row r="458" spans="1:11" x14ac:dyDescent="0.45">
      <c r="A458" t="s">
        <v>90</v>
      </c>
      <c r="B458" t="s">
        <v>4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2070</v>
      </c>
      <c r="J458">
        <v>122.50595</v>
      </c>
      <c r="K458" t="s">
        <v>51</v>
      </c>
    </row>
    <row r="459" spans="1:11" x14ac:dyDescent="0.45">
      <c r="A459" t="s">
        <v>90</v>
      </c>
      <c r="B459" t="s">
        <v>0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2070</v>
      </c>
      <c r="J459">
        <v>-72.261150000000001</v>
      </c>
      <c r="K459" t="s">
        <v>51</v>
      </c>
    </row>
    <row r="460" spans="1:11" x14ac:dyDescent="0.45">
      <c r="A460" t="s">
        <v>90</v>
      </c>
      <c r="B460" t="s">
        <v>6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2070</v>
      </c>
      <c r="J460">
        <v>3.7215000000000003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2070</v>
      </c>
      <c r="J461">
        <v>-35.470399999999998</v>
      </c>
      <c r="K461" t="s">
        <v>51</v>
      </c>
    </row>
    <row r="462" spans="1:11" x14ac:dyDescent="0.45">
      <c r="A462" t="s">
        <v>90</v>
      </c>
      <c r="B462" t="s">
        <v>2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2070</v>
      </c>
      <c r="J462">
        <v>4.3890500000000001</v>
      </c>
      <c r="K462" t="s">
        <v>51</v>
      </c>
    </row>
    <row r="463" spans="1:11" x14ac:dyDescent="0.45">
      <c r="A463" t="s">
        <v>90</v>
      </c>
      <c r="B463" t="s">
        <v>1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2070</v>
      </c>
      <c r="J463">
        <v>-59.070899999999995</v>
      </c>
      <c r="K463" t="s">
        <v>51</v>
      </c>
    </row>
    <row r="464" spans="1:11" x14ac:dyDescent="0.45">
      <c r="A464" t="s">
        <v>90</v>
      </c>
      <c r="B464" t="s">
        <v>3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2075</v>
      </c>
      <c r="J464">
        <v>-14.955450000000001</v>
      </c>
      <c r="K464" t="s">
        <v>51</v>
      </c>
    </row>
    <row r="465" spans="1:11" x14ac:dyDescent="0.45">
      <c r="A465" t="s">
        <v>90</v>
      </c>
      <c r="B465" t="s">
        <v>4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2075</v>
      </c>
      <c r="J465">
        <v>116.0016</v>
      </c>
      <c r="K465" t="s">
        <v>51</v>
      </c>
    </row>
    <row r="466" spans="1:11" x14ac:dyDescent="0.45">
      <c r="A466" t="s">
        <v>90</v>
      </c>
      <c r="B466" t="s">
        <v>0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-67.632300000000001</v>
      </c>
      <c r="K466" t="s">
        <v>51</v>
      </c>
    </row>
    <row r="467" spans="1:11" x14ac:dyDescent="0.45">
      <c r="A467" t="s">
        <v>90</v>
      </c>
      <c r="B467" t="s">
        <v>6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2075</v>
      </c>
      <c r="J467">
        <v>1.9081999999999999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2075</v>
      </c>
      <c r="J468">
        <v>-39.011600000000001</v>
      </c>
      <c r="K468" t="s">
        <v>51</v>
      </c>
    </row>
    <row r="469" spans="1:11" x14ac:dyDescent="0.45">
      <c r="A469" t="s">
        <v>90</v>
      </c>
      <c r="B469" t="s">
        <v>2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2075</v>
      </c>
      <c r="J469">
        <v>6.2439</v>
      </c>
      <c r="K469" t="s">
        <v>51</v>
      </c>
    </row>
    <row r="470" spans="1:11" x14ac:dyDescent="0.45">
      <c r="A470" t="s">
        <v>90</v>
      </c>
      <c r="B470" t="s">
        <v>1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2075</v>
      </c>
      <c r="J470">
        <v>-54.713750000000005</v>
      </c>
      <c r="K470" t="s">
        <v>51</v>
      </c>
    </row>
    <row r="471" spans="1:11" x14ac:dyDescent="0.45">
      <c r="A471" t="s">
        <v>90</v>
      </c>
      <c r="B471" t="s">
        <v>3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2080</v>
      </c>
      <c r="J471">
        <v>-17.5228</v>
      </c>
      <c r="K471" t="s">
        <v>51</v>
      </c>
    </row>
    <row r="472" spans="1:11" x14ac:dyDescent="0.45">
      <c r="A472" t="s">
        <v>90</v>
      </c>
      <c r="B472" t="s">
        <v>4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2080</v>
      </c>
      <c r="J472">
        <v>109.6</v>
      </c>
      <c r="K472" t="s">
        <v>51</v>
      </c>
    </row>
    <row r="473" spans="1:11" x14ac:dyDescent="0.45">
      <c r="A473" t="s">
        <v>90</v>
      </c>
      <c r="B473" t="s">
        <v>0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2080</v>
      </c>
      <c r="J473">
        <v>-62.559699999999992</v>
      </c>
      <c r="K473" t="s">
        <v>51</v>
      </c>
    </row>
    <row r="474" spans="1:11" x14ac:dyDescent="0.45">
      <c r="A474" t="s">
        <v>90</v>
      </c>
      <c r="B474" t="s">
        <v>6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2080</v>
      </c>
      <c r="J474">
        <v>0.24614999999999965</v>
      </c>
      <c r="K474" t="s">
        <v>51</v>
      </c>
    </row>
    <row r="475" spans="1:11" x14ac:dyDescent="0.45">
      <c r="A475" t="s">
        <v>90</v>
      </c>
      <c r="B475" t="s">
        <v>5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2080</v>
      </c>
      <c r="J475">
        <v>-42.615099999999998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2080</v>
      </c>
      <c r="J476">
        <v>8.1862499999999994</v>
      </c>
      <c r="K476" t="s">
        <v>51</v>
      </c>
    </row>
    <row r="477" spans="1:11" x14ac:dyDescent="0.45">
      <c r="A477" t="s">
        <v>90</v>
      </c>
      <c r="B477" t="s">
        <v>1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2080</v>
      </c>
      <c r="J477">
        <v>-50.023949999999999</v>
      </c>
      <c r="K477" t="s">
        <v>51</v>
      </c>
    </row>
    <row r="478" spans="1:11" x14ac:dyDescent="0.45">
      <c r="A478" t="s">
        <v>90</v>
      </c>
      <c r="B478" t="s">
        <v>3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2085</v>
      </c>
      <c r="J478">
        <v>-19.718900000000001</v>
      </c>
      <c r="K478" t="s">
        <v>51</v>
      </c>
    </row>
    <row r="479" spans="1:11" x14ac:dyDescent="0.45">
      <c r="A479" t="s">
        <v>90</v>
      </c>
      <c r="B479" t="s">
        <v>4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2085</v>
      </c>
      <c r="J479">
        <v>100.785</v>
      </c>
      <c r="K479" t="s">
        <v>51</v>
      </c>
    </row>
    <row r="480" spans="1:11" x14ac:dyDescent="0.45">
      <c r="A480" t="s">
        <v>90</v>
      </c>
      <c r="B480" t="s">
        <v>0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2085</v>
      </c>
      <c r="J480">
        <v>-54.732550000000003</v>
      </c>
      <c r="K480" t="s">
        <v>51</v>
      </c>
    </row>
    <row r="481" spans="1:11" x14ac:dyDescent="0.45">
      <c r="A481" t="s">
        <v>90</v>
      </c>
      <c r="B481" t="s">
        <v>6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2085</v>
      </c>
      <c r="J481">
        <v>-3.0570499999999998</v>
      </c>
      <c r="K481" t="s">
        <v>51</v>
      </c>
    </row>
    <row r="482" spans="1:11" x14ac:dyDescent="0.45">
      <c r="A482" t="s">
        <v>90</v>
      </c>
      <c r="B482" t="s">
        <v>5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2085</v>
      </c>
      <c r="J482">
        <v>-45.280450000000002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2085</v>
      </c>
      <c r="J483">
        <v>8.1642499999999991</v>
      </c>
      <c r="K483" t="s">
        <v>51</v>
      </c>
    </row>
    <row r="484" spans="1:11" x14ac:dyDescent="0.45">
      <c r="A484" t="s">
        <v>90</v>
      </c>
      <c r="B484" t="s">
        <v>1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2085</v>
      </c>
      <c r="J484">
        <v>-53.744699999999995</v>
      </c>
      <c r="K484" t="s">
        <v>51</v>
      </c>
    </row>
    <row r="485" spans="1:11" x14ac:dyDescent="0.45">
      <c r="A485" t="s">
        <v>90</v>
      </c>
      <c r="B485" t="s">
        <v>3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2090</v>
      </c>
      <c r="J485">
        <v>-21.9419</v>
      </c>
      <c r="K485" t="s">
        <v>51</v>
      </c>
    </row>
    <row r="486" spans="1:11" x14ac:dyDescent="0.45">
      <c r="A486" t="s">
        <v>90</v>
      </c>
      <c r="B486" t="s">
        <v>4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91.271749999999997</v>
      </c>
      <c r="K486" t="s">
        <v>51</v>
      </c>
    </row>
    <row r="487" spans="1:11" x14ac:dyDescent="0.45">
      <c r="A487" t="s">
        <v>90</v>
      </c>
      <c r="B487" t="s">
        <v>0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2090</v>
      </c>
      <c r="J487">
        <v>-46.187649999999998</v>
      </c>
      <c r="K487" t="s">
        <v>51</v>
      </c>
    </row>
    <row r="488" spans="1:11" x14ac:dyDescent="0.45">
      <c r="A488" t="s">
        <v>90</v>
      </c>
      <c r="B488" t="s">
        <v>6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2090</v>
      </c>
      <c r="J488">
        <v>-6.3894000000000002</v>
      </c>
      <c r="K488" t="s">
        <v>51</v>
      </c>
    </row>
    <row r="489" spans="1:11" x14ac:dyDescent="0.45">
      <c r="A489" t="s">
        <v>90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2090</v>
      </c>
      <c r="J489">
        <v>-47.820549999999997</v>
      </c>
      <c r="K489" t="s">
        <v>51</v>
      </c>
    </row>
    <row r="490" spans="1:11" x14ac:dyDescent="0.45">
      <c r="A490" t="s">
        <v>90</v>
      </c>
      <c r="B490" t="s">
        <v>2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2090</v>
      </c>
      <c r="J490">
        <v>8.0742499999999993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2090</v>
      </c>
      <c r="J491">
        <v>-58.053800000000003</v>
      </c>
      <c r="K491" t="s">
        <v>51</v>
      </c>
    </row>
    <row r="492" spans="1:11" x14ac:dyDescent="0.45">
      <c r="A492" t="s">
        <v>90</v>
      </c>
      <c r="B492" t="s">
        <v>3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2095</v>
      </c>
      <c r="J492">
        <v>-23.76275</v>
      </c>
      <c r="K492" t="s">
        <v>51</v>
      </c>
    </row>
    <row r="493" spans="1:11" x14ac:dyDescent="0.45">
      <c r="A493" t="s">
        <v>90</v>
      </c>
      <c r="B493" t="s">
        <v>4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2095</v>
      </c>
      <c r="J493">
        <v>84.753900000000002</v>
      </c>
      <c r="K493" t="s">
        <v>51</v>
      </c>
    </row>
    <row r="494" spans="1:11" x14ac:dyDescent="0.45">
      <c r="A494" t="s">
        <v>90</v>
      </c>
      <c r="B494" t="s">
        <v>0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2095</v>
      </c>
      <c r="J494">
        <v>-46.123649999999998</v>
      </c>
      <c r="K494" t="s">
        <v>51</v>
      </c>
    </row>
    <row r="495" spans="1:11" x14ac:dyDescent="0.45">
      <c r="A495" t="s">
        <v>90</v>
      </c>
      <c r="B495" t="s">
        <v>6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2095</v>
      </c>
      <c r="J495">
        <v>-9.2061999999999991</v>
      </c>
      <c r="K495" t="s">
        <v>51</v>
      </c>
    </row>
    <row r="496" spans="1:11" x14ac:dyDescent="0.45">
      <c r="A496" t="s">
        <v>90</v>
      </c>
      <c r="B496" t="s">
        <v>5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2095</v>
      </c>
      <c r="J496">
        <v>-50.456299999999999</v>
      </c>
      <c r="K496" t="s">
        <v>51</v>
      </c>
    </row>
    <row r="497" spans="1:11" x14ac:dyDescent="0.45">
      <c r="A497" t="s">
        <v>90</v>
      </c>
      <c r="B497" t="s">
        <v>2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2095</v>
      </c>
      <c r="J497">
        <v>5.2832499999999998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2095</v>
      </c>
      <c r="J498">
        <v>-61.953850000000003</v>
      </c>
      <c r="K498" t="s">
        <v>51</v>
      </c>
    </row>
    <row r="499" spans="1:11" x14ac:dyDescent="0.45">
      <c r="A499" t="s">
        <v>90</v>
      </c>
      <c r="B499" t="s">
        <v>3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2100</v>
      </c>
      <c r="J499">
        <v>-25.71265</v>
      </c>
      <c r="K499" t="s">
        <v>51</v>
      </c>
    </row>
    <row r="500" spans="1:11" x14ac:dyDescent="0.45">
      <c r="A500" t="s">
        <v>90</v>
      </c>
      <c r="B500" t="s">
        <v>4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2100</v>
      </c>
      <c r="J500">
        <v>77.863599999999991</v>
      </c>
      <c r="K500" t="s">
        <v>51</v>
      </c>
    </row>
    <row r="501" spans="1:11" x14ac:dyDescent="0.45">
      <c r="A501" t="s">
        <v>90</v>
      </c>
      <c r="B501" t="s">
        <v>0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2100</v>
      </c>
      <c r="J501">
        <v>-46.046300000000002</v>
      </c>
      <c r="K501" t="s">
        <v>51</v>
      </c>
    </row>
    <row r="502" spans="1:11" x14ac:dyDescent="0.45">
      <c r="A502" t="s">
        <v>90</v>
      </c>
      <c r="B502" t="s">
        <v>6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2100</v>
      </c>
      <c r="J502">
        <v>-12.1182</v>
      </c>
      <c r="K502" t="s">
        <v>51</v>
      </c>
    </row>
    <row r="503" spans="1:11" x14ac:dyDescent="0.45">
      <c r="A503" t="s">
        <v>90</v>
      </c>
      <c r="B503" t="s">
        <v>5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2100</v>
      </c>
      <c r="J503">
        <v>-53.1496</v>
      </c>
      <c r="K503" t="s">
        <v>51</v>
      </c>
    </row>
    <row r="504" spans="1:11" x14ac:dyDescent="0.45">
      <c r="A504" t="s">
        <v>90</v>
      </c>
      <c r="B504" t="s">
        <v>2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2100</v>
      </c>
      <c r="J504">
        <v>2.3242500000000001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-65.993050000000011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0.46039999999999998</v>
      </c>
      <c r="K506" t="s">
        <v>24</v>
      </c>
    </row>
    <row r="507" spans="1:11" x14ac:dyDescent="0.45">
      <c r="A507" t="s">
        <v>90</v>
      </c>
      <c r="B507" t="s">
        <v>4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2020</v>
      </c>
      <c r="J507">
        <v>0.45504999999999995</v>
      </c>
      <c r="K507" t="s">
        <v>24</v>
      </c>
    </row>
    <row r="508" spans="1:11" x14ac:dyDescent="0.45">
      <c r="A508" t="s">
        <v>90</v>
      </c>
      <c r="B508" t="s">
        <v>0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2020</v>
      </c>
      <c r="J508">
        <v>0.45669999999999999</v>
      </c>
      <c r="K508" t="s">
        <v>24</v>
      </c>
    </row>
    <row r="509" spans="1:11" x14ac:dyDescent="0.45">
      <c r="A509" t="s">
        <v>90</v>
      </c>
      <c r="B509" t="s">
        <v>6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2020</v>
      </c>
      <c r="J509">
        <v>0.45894999999999997</v>
      </c>
      <c r="K509" t="s">
        <v>24</v>
      </c>
    </row>
    <row r="510" spans="1:11" x14ac:dyDescent="0.45">
      <c r="A510" t="s">
        <v>90</v>
      </c>
      <c r="B510" t="s">
        <v>5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2020</v>
      </c>
      <c r="J510">
        <v>0.45235000000000003</v>
      </c>
      <c r="K510" t="s">
        <v>24</v>
      </c>
    </row>
    <row r="511" spans="1:11" x14ac:dyDescent="0.45">
      <c r="A511" t="s">
        <v>90</v>
      </c>
      <c r="B511" t="s">
        <v>2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2020</v>
      </c>
      <c r="J511">
        <v>0.45984999999999998</v>
      </c>
      <c r="K511" t="s">
        <v>24</v>
      </c>
    </row>
    <row r="512" spans="1:11" x14ac:dyDescent="0.45">
      <c r="A512" t="s">
        <v>90</v>
      </c>
      <c r="B512" t="s">
        <v>1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2020</v>
      </c>
      <c r="J512">
        <v>0.4632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2025</v>
      </c>
      <c r="J513">
        <v>0.54244999999999999</v>
      </c>
      <c r="K513" t="s">
        <v>24</v>
      </c>
    </row>
    <row r="514" spans="1:11" x14ac:dyDescent="0.45">
      <c r="A514" t="s">
        <v>90</v>
      </c>
      <c r="B514" t="s">
        <v>4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2025</v>
      </c>
      <c r="J514">
        <v>0.53010000000000002</v>
      </c>
      <c r="K514" t="s">
        <v>24</v>
      </c>
    </row>
    <row r="515" spans="1:11" x14ac:dyDescent="0.45">
      <c r="A515" t="s">
        <v>90</v>
      </c>
      <c r="B515" t="s">
        <v>0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2025</v>
      </c>
      <c r="J515">
        <v>0.52895000000000003</v>
      </c>
      <c r="K515" t="s">
        <v>24</v>
      </c>
    </row>
    <row r="516" spans="1:11" x14ac:dyDescent="0.45">
      <c r="A516" t="s">
        <v>90</v>
      </c>
      <c r="B516" t="s">
        <v>6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2025</v>
      </c>
      <c r="J516">
        <v>0.53075000000000006</v>
      </c>
      <c r="K516" t="s">
        <v>24</v>
      </c>
    </row>
    <row r="517" spans="1:11" x14ac:dyDescent="0.45">
      <c r="A517" t="s">
        <v>90</v>
      </c>
      <c r="B517" t="s">
        <v>5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2025</v>
      </c>
      <c r="J517">
        <v>0.3831</v>
      </c>
      <c r="K517" t="s">
        <v>24</v>
      </c>
    </row>
    <row r="518" spans="1:11" x14ac:dyDescent="0.45">
      <c r="A518" t="s">
        <v>90</v>
      </c>
      <c r="B518" t="s">
        <v>2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2025</v>
      </c>
      <c r="J518">
        <v>0.54184999999999994</v>
      </c>
      <c r="K518" t="s">
        <v>24</v>
      </c>
    </row>
    <row r="519" spans="1:11" x14ac:dyDescent="0.45">
      <c r="A519" t="s">
        <v>90</v>
      </c>
      <c r="B519" t="s">
        <v>1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2025</v>
      </c>
      <c r="J519">
        <v>0.54380000000000006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2030</v>
      </c>
      <c r="J520">
        <v>0.56105000000000005</v>
      </c>
      <c r="K520" t="s">
        <v>24</v>
      </c>
    </row>
    <row r="521" spans="1:11" x14ac:dyDescent="0.45">
      <c r="A521" t="s">
        <v>90</v>
      </c>
      <c r="B521" t="s">
        <v>4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2030</v>
      </c>
      <c r="J521">
        <v>0.56079999999999997</v>
      </c>
      <c r="K521" t="s">
        <v>24</v>
      </c>
    </row>
    <row r="522" spans="1:11" x14ac:dyDescent="0.45">
      <c r="A522" t="s">
        <v>90</v>
      </c>
      <c r="B522" t="s">
        <v>0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2030</v>
      </c>
      <c r="J522">
        <v>0.5615</v>
      </c>
      <c r="K522" t="s">
        <v>24</v>
      </c>
    </row>
    <row r="523" spans="1:11" x14ac:dyDescent="0.45">
      <c r="A523" t="s">
        <v>90</v>
      </c>
      <c r="B523" t="s">
        <v>6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2030</v>
      </c>
      <c r="J523">
        <v>0.56379999999999997</v>
      </c>
      <c r="K523" t="s">
        <v>24</v>
      </c>
    </row>
    <row r="524" spans="1:11" x14ac:dyDescent="0.45">
      <c r="A524" t="s">
        <v>90</v>
      </c>
      <c r="B524" t="s">
        <v>5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2030</v>
      </c>
      <c r="J524">
        <v>0.31955</v>
      </c>
      <c r="K524" t="s">
        <v>24</v>
      </c>
    </row>
    <row r="525" spans="1:11" x14ac:dyDescent="0.45">
      <c r="A525" t="s">
        <v>90</v>
      </c>
      <c r="B525" t="s">
        <v>2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0.5534</v>
      </c>
      <c r="K525" t="s">
        <v>24</v>
      </c>
    </row>
    <row r="526" spans="1:11" x14ac:dyDescent="0.45">
      <c r="A526" t="s">
        <v>90</v>
      </c>
      <c r="B526" t="s">
        <v>1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2030</v>
      </c>
      <c r="J526">
        <v>0.55499999999999994</v>
      </c>
      <c r="K526" t="s">
        <v>24</v>
      </c>
    </row>
    <row r="527" spans="1:11" x14ac:dyDescent="0.45">
      <c r="A527" t="s">
        <v>90</v>
      </c>
      <c r="B527" t="s">
        <v>3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2035</v>
      </c>
      <c r="J527">
        <v>0.58494999999999997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2035</v>
      </c>
      <c r="J528">
        <v>0.57004999999999995</v>
      </c>
      <c r="K528" t="s">
        <v>24</v>
      </c>
    </row>
    <row r="529" spans="1:11" x14ac:dyDescent="0.45">
      <c r="A529" t="s">
        <v>90</v>
      </c>
      <c r="B529" t="s">
        <v>0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2035</v>
      </c>
      <c r="J529">
        <v>0.59694999999999998</v>
      </c>
      <c r="K529" t="s">
        <v>24</v>
      </c>
    </row>
    <row r="530" spans="1:11" x14ac:dyDescent="0.45">
      <c r="A530" t="s">
        <v>90</v>
      </c>
      <c r="B530" t="s">
        <v>6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2035</v>
      </c>
      <c r="J530">
        <v>0.55520000000000003</v>
      </c>
      <c r="K530" t="s">
        <v>24</v>
      </c>
    </row>
    <row r="531" spans="1:11" x14ac:dyDescent="0.45">
      <c r="A531" t="s">
        <v>90</v>
      </c>
      <c r="B531" t="s">
        <v>5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2035</v>
      </c>
      <c r="J531">
        <v>0.31084999999999996</v>
      </c>
      <c r="K531" t="s">
        <v>24</v>
      </c>
    </row>
    <row r="532" spans="1:11" x14ac:dyDescent="0.45">
      <c r="A532" t="s">
        <v>90</v>
      </c>
      <c r="B532" t="s">
        <v>2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2035</v>
      </c>
      <c r="J532">
        <v>0.58335000000000004</v>
      </c>
      <c r="K532" t="s">
        <v>24</v>
      </c>
    </row>
    <row r="533" spans="1:11" x14ac:dyDescent="0.45">
      <c r="A533" t="s">
        <v>90</v>
      </c>
      <c r="B533" t="s">
        <v>1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2035</v>
      </c>
      <c r="J533">
        <v>0.58509999999999995</v>
      </c>
      <c r="K533" t="s">
        <v>24</v>
      </c>
    </row>
    <row r="534" spans="1:11" x14ac:dyDescent="0.45">
      <c r="A534" t="s">
        <v>90</v>
      </c>
      <c r="B534" t="s">
        <v>3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2040</v>
      </c>
      <c r="J534">
        <v>0.60194999999999999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2040</v>
      </c>
      <c r="J535">
        <v>0.57630000000000003</v>
      </c>
      <c r="K535" t="s">
        <v>24</v>
      </c>
    </row>
    <row r="536" spans="1:11" x14ac:dyDescent="0.45">
      <c r="A536" t="s">
        <v>90</v>
      </c>
      <c r="B536" t="s">
        <v>0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2040</v>
      </c>
      <c r="J536">
        <v>0.64820000000000011</v>
      </c>
      <c r="K536" t="s">
        <v>24</v>
      </c>
    </row>
    <row r="537" spans="1:11" x14ac:dyDescent="0.45">
      <c r="A537" t="s">
        <v>90</v>
      </c>
      <c r="B537" t="s">
        <v>6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2040</v>
      </c>
      <c r="J537">
        <v>0.56894999999999996</v>
      </c>
      <c r="K537" t="s">
        <v>24</v>
      </c>
    </row>
    <row r="538" spans="1:11" x14ac:dyDescent="0.45">
      <c r="A538" t="s">
        <v>90</v>
      </c>
      <c r="B538" t="s">
        <v>5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2040</v>
      </c>
      <c r="J538">
        <v>0.29410000000000003</v>
      </c>
      <c r="K538" t="s">
        <v>24</v>
      </c>
    </row>
    <row r="539" spans="1:11" x14ac:dyDescent="0.45">
      <c r="A539" t="s">
        <v>90</v>
      </c>
      <c r="B539" t="s">
        <v>2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2040</v>
      </c>
      <c r="J539">
        <v>0.61875000000000002</v>
      </c>
      <c r="K539" t="s">
        <v>24</v>
      </c>
    </row>
    <row r="540" spans="1:11" x14ac:dyDescent="0.45">
      <c r="A540" t="s">
        <v>90</v>
      </c>
      <c r="B540" t="s">
        <v>1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2040</v>
      </c>
      <c r="J540">
        <v>0.64555000000000007</v>
      </c>
      <c r="K540" t="s">
        <v>24</v>
      </c>
    </row>
    <row r="541" spans="1:11" x14ac:dyDescent="0.45">
      <c r="A541" t="s">
        <v>90</v>
      </c>
      <c r="B541" t="s">
        <v>3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2045</v>
      </c>
      <c r="J541">
        <v>0.62260000000000004</v>
      </c>
      <c r="K541" t="s">
        <v>24</v>
      </c>
    </row>
    <row r="542" spans="1:11" x14ac:dyDescent="0.45">
      <c r="A542" t="s">
        <v>90</v>
      </c>
      <c r="B542" t="s">
        <v>4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2045</v>
      </c>
      <c r="J542">
        <v>0.58004999999999995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2045</v>
      </c>
      <c r="J543">
        <v>0.6522</v>
      </c>
      <c r="K543" t="s">
        <v>24</v>
      </c>
    </row>
    <row r="544" spans="1:11" x14ac:dyDescent="0.45">
      <c r="A544" t="s">
        <v>90</v>
      </c>
      <c r="B544" t="s">
        <v>6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2045</v>
      </c>
      <c r="J544">
        <v>0.60140000000000005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0.27065</v>
      </c>
      <c r="K545" t="s">
        <v>24</v>
      </c>
    </row>
    <row r="546" spans="1:11" x14ac:dyDescent="0.45">
      <c r="A546" t="s">
        <v>90</v>
      </c>
      <c r="B546" t="s">
        <v>2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2045</v>
      </c>
      <c r="J546">
        <v>0.63644999999999996</v>
      </c>
      <c r="K546" t="s">
        <v>24</v>
      </c>
    </row>
    <row r="547" spans="1:11" x14ac:dyDescent="0.45">
      <c r="A547" t="s">
        <v>90</v>
      </c>
      <c r="B547" t="s">
        <v>1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2045</v>
      </c>
      <c r="J547">
        <v>0.64664999999999995</v>
      </c>
      <c r="K547" t="s">
        <v>24</v>
      </c>
    </row>
    <row r="548" spans="1:11" x14ac:dyDescent="0.45">
      <c r="A548" t="s">
        <v>90</v>
      </c>
      <c r="B548" t="s">
        <v>3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2050</v>
      </c>
      <c r="J548">
        <v>0.62280000000000002</v>
      </c>
      <c r="K548" t="s">
        <v>24</v>
      </c>
    </row>
    <row r="549" spans="1:11" x14ac:dyDescent="0.45">
      <c r="A549" t="s">
        <v>90</v>
      </c>
      <c r="B549" t="s">
        <v>4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2050</v>
      </c>
      <c r="J549">
        <v>0.59660000000000002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2050</v>
      </c>
      <c r="J550">
        <v>0.63850000000000007</v>
      </c>
      <c r="K550" t="s">
        <v>24</v>
      </c>
    </row>
    <row r="551" spans="1:11" x14ac:dyDescent="0.45">
      <c r="A551" t="s">
        <v>90</v>
      </c>
      <c r="B551" t="s">
        <v>6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2050</v>
      </c>
      <c r="J551">
        <v>0.61695</v>
      </c>
      <c r="K551" t="s">
        <v>24</v>
      </c>
    </row>
    <row r="552" spans="1:11" x14ac:dyDescent="0.45">
      <c r="A552" t="s">
        <v>90</v>
      </c>
      <c r="B552" t="s">
        <v>5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2050</v>
      </c>
      <c r="J552">
        <v>0.26945000000000002</v>
      </c>
      <c r="K552" t="s">
        <v>24</v>
      </c>
    </row>
    <row r="553" spans="1:11" x14ac:dyDescent="0.45">
      <c r="A553" t="s">
        <v>90</v>
      </c>
      <c r="B553" t="s">
        <v>2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2050</v>
      </c>
      <c r="J553">
        <v>0.62519999999999998</v>
      </c>
      <c r="K553" t="s">
        <v>24</v>
      </c>
    </row>
    <row r="554" spans="1:11" x14ac:dyDescent="0.45">
      <c r="A554" t="s">
        <v>90</v>
      </c>
      <c r="B554" t="s">
        <v>1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2050</v>
      </c>
      <c r="J554">
        <v>0.63905000000000001</v>
      </c>
      <c r="K554" t="s">
        <v>24</v>
      </c>
    </row>
    <row r="555" spans="1:11" x14ac:dyDescent="0.45">
      <c r="A555" t="s">
        <v>90</v>
      </c>
      <c r="B555" t="s">
        <v>3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2055</v>
      </c>
      <c r="J555">
        <v>0.62065000000000003</v>
      </c>
      <c r="K555" t="s">
        <v>24</v>
      </c>
    </row>
    <row r="556" spans="1:11" x14ac:dyDescent="0.45">
      <c r="A556" t="s">
        <v>90</v>
      </c>
      <c r="B556" t="s">
        <v>4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2055</v>
      </c>
      <c r="J556">
        <v>0.59084999999999999</v>
      </c>
      <c r="K556" t="s">
        <v>24</v>
      </c>
    </row>
    <row r="557" spans="1:11" x14ac:dyDescent="0.45">
      <c r="A557" t="s">
        <v>90</v>
      </c>
      <c r="B557" t="s">
        <v>0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2055</v>
      </c>
      <c r="J557">
        <v>0.63770000000000004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2055</v>
      </c>
      <c r="J558">
        <v>0.61939999999999995</v>
      </c>
      <c r="K558" t="s">
        <v>24</v>
      </c>
    </row>
    <row r="559" spans="1:11" x14ac:dyDescent="0.45">
      <c r="A559" t="s">
        <v>90</v>
      </c>
      <c r="B559" t="s">
        <v>5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2055</v>
      </c>
      <c r="J559">
        <v>0.26579999999999998</v>
      </c>
      <c r="K559" t="s">
        <v>24</v>
      </c>
    </row>
    <row r="560" spans="1:11" x14ac:dyDescent="0.45">
      <c r="A560" t="s">
        <v>90</v>
      </c>
      <c r="B560" t="s">
        <v>2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2055</v>
      </c>
      <c r="J560">
        <v>0.61840000000000006</v>
      </c>
      <c r="K560" t="s">
        <v>24</v>
      </c>
    </row>
    <row r="561" spans="1:11" x14ac:dyDescent="0.45">
      <c r="A561" t="s">
        <v>90</v>
      </c>
      <c r="B561" t="s">
        <v>1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2055</v>
      </c>
      <c r="J561">
        <v>0.64129999999999998</v>
      </c>
      <c r="K561" t="s">
        <v>24</v>
      </c>
    </row>
    <row r="562" spans="1:11" x14ac:dyDescent="0.45">
      <c r="A562" t="s">
        <v>90</v>
      </c>
      <c r="B562" t="s">
        <v>3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2060</v>
      </c>
      <c r="J562">
        <v>0.58309999999999995</v>
      </c>
      <c r="K562" t="s">
        <v>24</v>
      </c>
    </row>
    <row r="563" spans="1:11" x14ac:dyDescent="0.45">
      <c r="A563" t="s">
        <v>90</v>
      </c>
      <c r="B563" t="s">
        <v>4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2060</v>
      </c>
      <c r="J563">
        <v>0.56330000000000002</v>
      </c>
      <c r="K563" t="s">
        <v>24</v>
      </c>
    </row>
    <row r="564" spans="1:11" x14ac:dyDescent="0.45">
      <c r="A564" t="s">
        <v>90</v>
      </c>
      <c r="B564" t="s">
        <v>0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2060</v>
      </c>
      <c r="J564">
        <v>0.59565000000000001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0.57945000000000002</v>
      </c>
      <c r="K565" t="s">
        <v>24</v>
      </c>
    </row>
    <row r="566" spans="1:11" x14ac:dyDescent="0.45">
      <c r="A566" t="s">
        <v>90</v>
      </c>
      <c r="B566" t="s">
        <v>5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2060</v>
      </c>
      <c r="J566">
        <v>0.24829999999999999</v>
      </c>
      <c r="K566" t="s">
        <v>24</v>
      </c>
    </row>
    <row r="567" spans="1:11" x14ac:dyDescent="0.45">
      <c r="A567" t="s">
        <v>90</v>
      </c>
      <c r="B567" t="s">
        <v>2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2060</v>
      </c>
      <c r="J567">
        <v>0.57250000000000001</v>
      </c>
      <c r="K567" t="s">
        <v>24</v>
      </c>
    </row>
    <row r="568" spans="1:11" x14ac:dyDescent="0.45">
      <c r="A568" t="s">
        <v>90</v>
      </c>
      <c r="B568" t="s">
        <v>1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2060</v>
      </c>
      <c r="J568">
        <v>0.61624999999999996</v>
      </c>
      <c r="K568" t="s">
        <v>24</v>
      </c>
    </row>
    <row r="569" spans="1:11" x14ac:dyDescent="0.45">
      <c r="A569" t="s">
        <v>90</v>
      </c>
      <c r="B569" t="s">
        <v>3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2065</v>
      </c>
      <c r="J569">
        <v>0.58665</v>
      </c>
      <c r="K569" t="s">
        <v>24</v>
      </c>
    </row>
    <row r="570" spans="1:11" x14ac:dyDescent="0.45">
      <c r="A570" t="s">
        <v>90</v>
      </c>
      <c r="B570" t="s">
        <v>4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2065</v>
      </c>
      <c r="J570">
        <v>0.56479999999999997</v>
      </c>
      <c r="K570" t="s">
        <v>24</v>
      </c>
    </row>
    <row r="571" spans="1:11" x14ac:dyDescent="0.45">
      <c r="A571" t="s">
        <v>90</v>
      </c>
      <c r="B571" t="s">
        <v>0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2065</v>
      </c>
      <c r="J571">
        <v>0.59919999999999995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2065</v>
      </c>
      <c r="J572">
        <v>0.58384999999999998</v>
      </c>
      <c r="K572" t="s">
        <v>24</v>
      </c>
    </row>
    <row r="573" spans="1:11" x14ac:dyDescent="0.45">
      <c r="A573" t="s">
        <v>90</v>
      </c>
      <c r="B573" t="s">
        <v>5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2065</v>
      </c>
      <c r="J573">
        <v>0.25650000000000001</v>
      </c>
      <c r="K573" t="s">
        <v>24</v>
      </c>
    </row>
    <row r="574" spans="1:11" x14ac:dyDescent="0.45">
      <c r="A574" t="s">
        <v>90</v>
      </c>
      <c r="B574" t="s">
        <v>2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2065</v>
      </c>
      <c r="J574">
        <v>0.57550000000000001</v>
      </c>
      <c r="K574" t="s">
        <v>24</v>
      </c>
    </row>
    <row r="575" spans="1:11" x14ac:dyDescent="0.45">
      <c r="A575" t="s">
        <v>90</v>
      </c>
      <c r="B575" t="s">
        <v>1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2065</v>
      </c>
      <c r="J575">
        <v>0.62579999999999991</v>
      </c>
      <c r="K575" t="s">
        <v>24</v>
      </c>
    </row>
    <row r="576" spans="1:11" x14ac:dyDescent="0.45">
      <c r="A576" t="s">
        <v>90</v>
      </c>
      <c r="B576" t="s">
        <v>3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2070</v>
      </c>
      <c r="J576">
        <v>0.58975</v>
      </c>
      <c r="K576" t="s">
        <v>24</v>
      </c>
    </row>
    <row r="577" spans="1:11" x14ac:dyDescent="0.45">
      <c r="A577" t="s">
        <v>90</v>
      </c>
      <c r="B577" t="s">
        <v>4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2070</v>
      </c>
      <c r="J577">
        <v>0.56679999999999997</v>
      </c>
      <c r="K577" t="s">
        <v>24</v>
      </c>
    </row>
    <row r="578" spans="1:11" x14ac:dyDescent="0.45">
      <c r="A578" t="s">
        <v>90</v>
      </c>
      <c r="B578" t="s">
        <v>0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2070</v>
      </c>
      <c r="J578">
        <v>0.6028</v>
      </c>
      <c r="K578" t="s">
        <v>24</v>
      </c>
    </row>
    <row r="579" spans="1:11" x14ac:dyDescent="0.45">
      <c r="A579" t="s">
        <v>90</v>
      </c>
      <c r="B579" t="s">
        <v>6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2070</v>
      </c>
      <c r="J579">
        <v>0.58945000000000003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2070</v>
      </c>
      <c r="J580">
        <v>0.2666</v>
      </c>
      <c r="K580" t="s">
        <v>24</v>
      </c>
    </row>
    <row r="581" spans="1:11" x14ac:dyDescent="0.45">
      <c r="A581" t="s">
        <v>90</v>
      </c>
      <c r="B581" t="s">
        <v>2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2070</v>
      </c>
      <c r="J581">
        <v>0.58044999999999991</v>
      </c>
      <c r="K581" t="s">
        <v>24</v>
      </c>
    </row>
    <row r="582" spans="1:11" x14ac:dyDescent="0.45">
      <c r="A582" t="s">
        <v>90</v>
      </c>
      <c r="B582" t="s">
        <v>1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2070</v>
      </c>
      <c r="J582">
        <v>0.63629999999999998</v>
      </c>
      <c r="K582" t="s">
        <v>24</v>
      </c>
    </row>
    <row r="583" spans="1:11" x14ac:dyDescent="0.45">
      <c r="A583" t="s">
        <v>90</v>
      </c>
      <c r="B583" t="s">
        <v>3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2075</v>
      </c>
      <c r="J583">
        <v>0.59094999999999998</v>
      </c>
      <c r="K583" t="s">
        <v>24</v>
      </c>
    </row>
    <row r="584" spans="1:11" x14ac:dyDescent="0.45">
      <c r="A584" t="s">
        <v>90</v>
      </c>
      <c r="B584" t="s">
        <v>4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2075</v>
      </c>
      <c r="J584">
        <v>0.55895000000000006</v>
      </c>
      <c r="K584" t="s">
        <v>24</v>
      </c>
    </row>
    <row r="585" spans="1:11" x14ac:dyDescent="0.45">
      <c r="A585" t="s">
        <v>90</v>
      </c>
      <c r="B585" t="s">
        <v>0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0.60750000000000004</v>
      </c>
      <c r="K585" t="s">
        <v>24</v>
      </c>
    </row>
    <row r="586" spans="1:11" x14ac:dyDescent="0.45">
      <c r="A586" t="s">
        <v>90</v>
      </c>
      <c r="B586" t="s">
        <v>6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2075</v>
      </c>
      <c r="J586">
        <v>0.58965000000000001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2075</v>
      </c>
      <c r="J587">
        <v>0.27849999999999997</v>
      </c>
      <c r="K587" t="s">
        <v>24</v>
      </c>
    </row>
    <row r="588" spans="1:11" x14ac:dyDescent="0.45">
      <c r="A588" t="s">
        <v>90</v>
      </c>
      <c r="B588" t="s">
        <v>2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2075</v>
      </c>
      <c r="J588">
        <v>0.57655000000000001</v>
      </c>
      <c r="K588" t="s">
        <v>24</v>
      </c>
    </row>
    <row r="589" spans="1:11" x14ac:dyDescent="0.45">
      <c r="A589" t="s">
        <v>90</v>
      </c>
      <c r="B589" t="s">
        <v>1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2075</v>
      </c>
      <c r="J589">
        <v>0.64029999999999998</v>
      </c>
      <c r="K589" t="s">
        <v>24</v>
      </c>
    </row>
    <row r="590" spans="1:11" x14ac:dyDescent="0.45">
      <c r="A590" t="s">
        <v>90</v>
      </c>
      <c r="B590" t="s">
        <v>3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2080</v>
      </c>
      <c r="J590">
        <v>0.58994999999999997</v>
      </c>
      <c r="K590" t="s">
        <v>24</v>
      </c>
    </row>
    <row r="591" spans="1:11" x14ac:dyDescent="0.45">
      <c r="A591" t="s">
        <v>90</v>
      </c>
      <c r="B591" t="s">
        <v>4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2080</v>
      </c>
      <c r="J591">
        <v>0.54705000000000004</v>
      </c>
      <c r="K591" t="s">
        <v>24</v>
      </c>
    </row>
    <row r="592" spans="1:11" x14ac:dyDescent="0.45">
      <c r="A592" t="s">
        <v>90</v>
      </c>
      <c r="B592" t="s">
        <v>0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2080</v>
      </c>
      <c r="J592">
        <v>0.61024999999999996</v>
      </c>
      <c r="K592" t="s">
        <v>24</v>
      </c>
    </row>
    <row r="593" spans="1:11" x14ac:dyDescent="0.45">
      <c r="A593" t="s">
        <v>90</v>
      </c>
      <c r="B593" t="s">
        <v>6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2080</v>
      </c>
      <c r="J593">
        <v>0.58684999999999998</v>
      </c>
      <c r="K593" t="s">
        <v>24</v>
      </c>
    </row>
    <row r="594" spans="1:11" x14ac:dyDescent="0.45">
      <c r="A594" t="s">
        <v>90</v>
      </c>
      <c r="B594" t="s">
        <v>5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2080</v>
      </c>
      <c r="J594">
        <v>0.2898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2080</v>
      </c>
      <c r="J595">
        <v>0.56645000000000001</v>
      </c>
      <c r="K595" t="s">
        <v>24</v>
      </c>
    </row>
    <row r="596" spans="1:11" x14ac:dyDescent="0.45">
      <c r="A596" t="s">
        <v>90</v>
      </c>
      <c r="B596" t="s">
        <v>1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>
      <c r="J596">
        <v>0.64149999999999996</v>
      </c>
      <c r="K596" t="s">
        <v>24</v>
      </c>
    </row>
    <row r="597" spans="1:11" x14ac:dyDescent="0.45">
      <c r="A597" t="s">
        <v>90</v>
      </c>
      <c r="B597" t="s">
        <v>3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2085</v>
      </c>
      <c r="J597">
        <v>0.58074999999999999</v>
      </c>
      <c r="K597" t="s">
        <v>24</v>
      </c>
    </row>
    <row r="598" spans="1:11" x14ac:dyDescent="0.45">
      <c r="A598" t="s">
        <v>90</v>
      </c>
      <c r="B598" t="s">
        <v>4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2085</v>
      </c>
      <c r="J598">
        <v>0.53010000000000002</v>
      </c>
      <c r="K598" t="s">
        <v>24</v>
      </c>
    </row>
    <row r="599" spans="1:11" x14ac:dyDescent="0.45">
      <c r="A599" t="s">
        <v>90</v>
      </c>
      <c r="B599" t="s">
        <v>0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2085</v>
      </c>
      <c r="J599">
        <v>0.60040000000000004</v>
      </c>
      <c r="K599" t="s">
        <v>24</v>
      </c>
    </row>
    <row r="600" spans="1:11" x14ac:dyDescent="0.45">
      <c r="A600" t="s">
        <v>90</v>
      </c>
      <c r="B600" t="s">
        <v>6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2085</v>
      </c>
      <c r="J600">
        <v>0.57035000000000002</v>
      </c>
      <c r="K600" t="s">
        <v>24</v>
      </c>
    </row>
    <row r="601" spans="1:11" x14ac:dyDescent="0.45">
      <c r="A601" t="s">
        <v>90</v>
      </c>
      <c r="B601" t="s">
        <v>5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2085</v>
      </c>
      <c r="J601">
        <v>0.30169999999999997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2085</v>
      </c>
      <c r="J602">
        <v>0.54859999999999998</v>
      </c>
      <c r="K602" t="s">
        <v>24</v>
      </c>
    </row>
    <row r="603" spans="1:11" x14ac:dyDescent="0.45">
      <c r="A603" t="s">
        <v>90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2085</v>
      </c>
      <c r="J603">
        <v>0.6381</v>
      </c>
      <c r="K603" t="s">
        <v>24</v>
      </c>
    </row>
    <row r="604" spans="1:11" x14ac:dyDescent="0.45">
      <c r="A604" t="s">
        <v>90</v>
      </c>
      <c r="B604" t="s">
        <v>3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2090</v>
      </c>
      <c r="J604">
        <v>0.56815000000000004</v>
      </c>
      <c r="K604" t="s">
        <v>24</v>
      </c>
    </row>
    <row r="605" spans="1:11" x14ac:dyDescent="0.45">
      <c r="A605" t="s">
        <v>90</v>
      </c>
      <c r="B605" t="s">
        <v>4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0.51164999999999994</v>
      </c>
      <c r="K605" t="s">
        <v>24</v>
      </c>
    </row>
    <row r="606" spans="1:11" x14ac:dyDescent="0.45">
      <c r="A606" t="s">
        <v>90</v>
      </c>
      <c r="B606" t="s">
        <v>0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2090</v>
      </c>
      <c r="J606">
        <v>0.58515000000000006</v>
      </c>
      <c r="K606" t="s">
        <v>24</v>
      </c>
    </row>
    <row r="607" spans="1:11" x14ac:dyDescent="0.45">
      <c r="A607" t="s">
        <v>90</v>
      </c>
      <c r="B607" t="s">
        <v>6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2090</v>
      </c>
      <c r="J607">
        <v>0.54805000000000004</v>
      </c>
      <c r="K607" t="s">
        <v>24</v>
      </c>
    </row>
    <row r="608" spans="1:11" x14ac:dyDescent="0.45">
      <c r="A608" t="s">
        <v>90</v>
      </c>
      <c r="B608" t="s">
        <v>5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2090</v>
      </c>
      <c r="J608">
        <v>0.312</v>
      </c>
      <c r="K608" t="s">
        <v>24</v>
      </c>
    </row>
    <row r="609" spans="1:11" x14ac:dyDescent="0.45">
      <c r="A609" t="s">
        <v>90</v>
      </c>
      <c r="B609" t="s">
        <v>2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2090</v>
      </c>
      <c r="J609">
        <v>0.52810000000000001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2090</v>
      </c>
      <c r="J610">
        <v>0.63085000000000002</v>
      </c>
      <c r="K610" t="s">
        <v>24</v>
      </c>
    </row>
    <row r="611" spans="1:11" x14ac:dyDescent="0.45">
      <c r="A611" t="s">
        <v>90</v>
      </c>
      <c r="B611" t="s">
        <v>3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2095</v>
      </c>
      <c r="J611">
        <v>0.54214999999999991</v>
      </c>
      <c r="K611" t="s">
        <v>24</v>
      </c>
    </row>
    <row r="612" spans="1:11" x14ac:dyDescent="0.45">
      <c r="A612" t="s">
        <v>90</v>
      </c>
      <c r="B612" t="s">
        <v>4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2095</v>
      </c>
      <c r="J612">
        <v>0.49059999999999998</v>
      </c>
      <c r="K612" t="s">
        <v>24</v>
      </c>
    </row>
    <row r="613" spans="1:11" x14ac:dyDescent="0.45">
      <c r="A613" t="s">
        <v>90</v>
      </c>
      <c r="B613" t="s">
        <v>0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2095</v>
      </c>
      <c r="J613">
        <v>0.55899999999999994</v>
      </c>
      <c r="K613" t="s">
        <v>24</v>
      </c>
    </row>
    <row r="614" spans="1:11" x14ac:dyDescent="0.45">
      <c r="A614" t="s">
        <v>90</v>
      </c>
      <c r="B614" t="s">
        <v>6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2095</v>
      </c>
      <c r="J614">
        <v>0.52505000000000002</v>
      </c>
      <c r="K614" t="s">
        <v>24</v>
      </c>
    </row>
    <row r="615" spans="1:11" x14ac:dyDescent="0.45">
      <c r="A615" t="s">
        <v>90</v>
      </c>
      <c r="B615" t="s">
        <v>5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2095</v>
      </c>
      <c r="J615">
        <v>0.31625000000000003</v>
      </c>
      <c r="K615" t="s">
        <v>24</v>
      </c>
    </row>
    <row r="616" spans="1:11" x14ac:dyDescent="0.45">
      <c r="A616" t="s">
        <v>90</v>
      </c>
      <c r="B616" t="s">
        <v>2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2095</v>
      </c>
      <c r="J616">
        <v>0.50855000000000006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2095</v>
      </c>
      <c r="J617">
        <v>0.60489999999999999</v>
      </c>
      <c r="K617" t="s">
        <v>24</v>
      </c>
    </row>
    <row r="618" spans="1:11" x14ac:dyDescent="0.45">
      <c r="A618" t="s">
        <v>90</v>
      </c>
      <c r="B618" t="s">
        <v>3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2100</v>
      </c>
      <c r="J618">
        <v>0.51455000000000006</v>
      </c>
      <c r="K618" t="s">
        <v>24</v>
      </c>
    </row>
    <row r="619" spans="1:11" x14ac:dyDescent="0.45">
      <c r="A619" t="s">
        <v>90</v>
      </c>
      <c r="B619" t="s">
        <v>4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2100</v>
      </c>
      <c r="J619">
        <v>0.46934999999999999</v>
      </c>
      <c r="K619" t="s">
        <v>24</v>
      </c>
    </row>
    <row r="620" spans="1:11" x14ac:dyDescent="0.45">
      <c r="A620" t="s">
        <v>90</v>
      </c>
      <c r="B620" t="s">
        <v>0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2100</v>
      </c>
      <c r="J620">
        <v>0.53164999999999996</v>
      </c>
      <c r="K620" t="s">
        <v>24</v>
      </c>
    </row>
    <row r="621" spans="1:11" x14ac:dyDescent="0.45">
      <c r="A621" t="s">
        <v>90</v>
      </c>
      <c r="B621" t="s">
        <v>6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2100</v>
      </c>
      <c r="J621">
        <v>0.50180000000000002</v>
      </c>
      <c r="K621" t="s">
        <v>24</v>
      </c>
    </row>
    <row r="622" spans="1:11" x14ac:dyDescent="0.45">
      <c r="A622" t="s">
        <v>90</v>
      </c>
      <c r="B622" t="s">
        <v>5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2100</v>
      </c>
      <c r="J622">
        <v>0.31984999999999997</v>
      </c>
      <c r="K622" t="s">
        <v>24</v>
      </c>
    </row>
    <row r="623" spans="1:11" x14ac:dyDescent="0.45">
      <c r="A623" t="s">
        <v>90</v>
      </c>
      <c r="B623" t="s">
        <v>2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2100</v>
      </c>
      <c r="J623">
        <v>0.48799999999999999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0.57699999999999996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1.0956000000000001</v>
      </c>
      <c r="K625" t="s">
        <v>28</v>
      </c>
    </row>
    <row r="626" spans="1:11" x14ac:dyDescent="0.45">
      <c r="A626" t="s">
        <v>90</v>
      </c>
      <c r="B626" t="s">
        <v>4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1.09135</v>
      </c>
      <c r="K626" t="s">
        <v>28</v>
      </c>
    </row>
    <row r="627" spans="1:11" x14ac:dyDescent="0.45">
      <c r="A627" t="s">
        <v>90</v>
      </c>
      <c r="B627" t="s">
        <v>0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1.0906500000000001</v>
      </c>
      <c r="K627" t="s">
        <v>28</v>
      </c>
    </row>
    <row r="628" spans="1:11" x14ac:dyDescent="0.45">
      <c r="A628" t="s">
        <v>90</v>
      </c>
      <c r="B628" t="s">
        <v>6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1.0996999999999999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1.07385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1.0993999999999999</v>
      </c>
      <c r="K630" t="s">
        <v>28</v>
      </c>
    </row>
    <row r="631" spans="1:11" x14ac:dyDescent="0.45">
      <c r="A631" t="s">
        <v>90</v>
      </c>
      <c r="B631" t="s">
        <v>1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1.083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1.2209500000000002</v>
      </c>
      <c r="K632" t="s">
        <v>28</v>
      </c>
    </row>
    <row r="633" spans="1:11" x14ac:dyDescent="0.45">
      <c r="A633" t="s">
        <v>90</v>
      </c>
      <c r="B633" t="s">
        <v>4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1.2016499999999999</v>
      </c>
      <c r="K633" t="s">
        <v>28</v>
      </c>
    </row>
    <row r="634" spans="1:11" x14ac:dyDescent="0.45">
      <c r="A634" t="s">
        <v>90</v>
      </c>
      <c r="B634" t="s">
        <v>0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1.2010000000000001</v>
      </c>
      <c r="K634" t="s">
        <v>28</v>
      </c>
    </row>
    <row r="635" spans="1:11" x14ac:dyDescent="0.45">
      <c r="A635" t="s">
        <v>90</v>
      </c>
      <c r="B635" t="s">
        <v>6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1.2076500000000001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1.2153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1.2191000000000001</v>
      </c>
      <c r="K637" t="s">
        <v>28</v>
      </c>
    </row>
    <row r="638" spans="1:11" x14ac:dyDescent="0.45">
      <c r="A638" t="s">
        <v>90</v>
      </c>
      <c r="B638" t="s">
        <v>1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1.2055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1.2713000000000001</v>
      </c>
      <c r="K639" t="s">
        <v>28</v>
      </c>
    </row>
    <row r="640" spans="1:11" x14ac:dyDescent="0.45">
      <c r="A640" t="s">
        <v>90</v>
      </c>
      <c r="B640" t="s">
        <v>4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1.2723</v>
      </c>
      <c r="K640" t="s">
        <v>28</v>
      </c>
    </row>
    <row r="641" spans="1:11" x14ac:dyDescent="0.45">
      <c r="A641" t="s">
        <v>90</v>
      </c>
      <c r="B641" t="s">
        <v>0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1.2753000000000001</v>
      </c>
      <c r="K641" t="s">
        <v>28</v>
      </c>
    </row>
    <row r="642" spans="1:11" x14ac:dyDescent="0.45">
      <c r="A642" t="s">
        <v>90</v>
      </c>
      <c r="B642" t="s">
        <v>6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1.2801</v>
      </c>
      <c r="K642" t="s">
        <v>28</v>
      </c>
    </row>
    <row r="643" spans="1:11" x14ac:dyDescent="0.45">
      <c r="A643" t="s">
        <v>90</v>
      </c>
      <c r="B643" t="s">
        <v>5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1.14845</v>
      </c>
      <c r="K643" t="s">
        <v>28</v>
      </c>
    </row>
    <row r="644" spans="1:11" x14ac:dyDescent="0.45">
      <c r="A644" t="s">
        <v>90</v>
      </c>
      <c r="B644" t="s">
        <v>2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1.2505000000000002</v>
      </c>
      <c r="K644" t="s">
        <v>28</v>
      </c>
    </row>
    <row r="645" spans="1:11" x14ac:dyDescent="0.45">
      <c r="A645" t="s">
        <v>90</v>
      </c>
      <c r="B645" t="s">
        <v>1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1.2525999999999999</v>
      </c>
      <c r="K645" t="s">
        <v>28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1.3443499999999999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1.28955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1.3370500000000001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1.34955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1.2871000000000001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1.3310999999999999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1.4459499999999998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1.34815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1.29165</v>
      </c>
      <c r="K654" t="s">
        <v>28</v>
      </c>
    </row>
    <row r="655" spans="1:11" x14ac:dyDescent="0.45">
      <c r="A655" t="s">
        <v>90</v>
      </c>
      <c r="B655" t="s">
        <v>0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1.3875999999999999</v>
      </c>
      <c r="K655" t="s">
        <v>28</v>
      </c>
    </row>
    <row r="656" spans="1:11" x14ac:dyDescent="0.45">
      <c r="A656" t="s">
        <v>90</v>
      </c>
      <c r="B656" t="s">
        <v>6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1.36775</v>
      </c>
      <c r="K656" t="s">
        <v>28</v>
      </c>
    </row>
    <row r="657" spans="1:11" x14ac:dyDescent="0.45">
      <c r="A657" t="s">
        <v>90</v>
      </c>
      <c r="B657" t="s">
        <v>5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1.33965</v>
      </c>
      <c r="K657" t="s">
        <v>28</v>
      </c>
    </row>
    <row r="658" spans="1:11" x14ac:dyDescent="0.45">
      <c r="A658" t="s">
        <v>90</v>
      </c>
      <c r="B658" t="s">
        <v>2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1.37155</v>
      </c>
      <c r="K658" t="s">
        <v>28</v>
      </c>
    </row>
    <row r="659" spans="1:11" x14ac:dyDescent="0.45">
      <c r="A659" t="s">
        <v>90</v>
      </c>
      <c r="B659" t="s">
        <v>1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1.53495</v>
      </c>
      <c r="K659" t="s">
        <v>28</v>
      </c>
    </row>
    <row r="660" spans="1:11" x14ac:dyDescent="0.45">
      <c r="A660" t="s">
        <v>90</v>
      </c>
      <c r="B660" t="s">
        <v>3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1.4289999999999998</v>
      </c>
      <c r="K660" t="s">
        <v>28</v>
      </c>
    </row>
    <row r="661" spans="1:11" x14ac:dyDescent="0.45">
      <c r="A661" t="s">
        <v>90</v>
      </c>
      <c r="B661" t="s">
        <v>4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1.2862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1.5375000000000001</v>
      </c>
      <c r="K662" t="s">
        <v>28</v>
      </c>
    </row>
    <row r="663" spans="1:11" x14ac:dyDescent="0.45">
      <c r="A663" t="s">
        <v>90</v>
      </c>
      <c r="B663" t="s">
        <v>6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1.4312</v>
      </c>
      <c r="K663" t="s">
        <v>28</v>
      </c>
    </row>
    <row r="664" spans="1:11" x14ac:dyDescent="0.45">
      <c r="A664" t="s">
        <v>90</v>
      </c>
      <c r="B664" t="s">
        <v>5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1.3780999999999999</v>
      </c>
      <c r="K664" t="s">
        <v>28</v>
      </c>
    </row>
    <row r="665" spans="1:11" x14ac:dyDescent="0.45">
      <c r="A665" t="s">
        <v>90</v>
      </c>
      <c r="B665" t="s">
        <v>2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1.4024999999999999</v>
      </c>
      <c r="K665" t="s">
        <v>28</v>
      </c>
    </row>
    <row r="666" spans="1:11" x14ac:dyDescent="0.45">
      <c r="A666" t="s">
        <v>90</v>
      </c>
      <c r="B666" t="s">
        <v>1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1.51315</v>
      </c>
      <c r="K666" t="s">
        <v>28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1.4454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1.3176000000000001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1.52535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1.42005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1.3915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1.4088000000000001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1.4533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1.3769</v>
      </c>
      <c r="K674" t="s">
        <v>28</v>
      </c>
    </row>
    <row r="675" spans="1:11" x14ac:dyDescent="0.45">
      <c r="A675" t="s">
        <v>90</v>
      </c>
      <c r="B675" t="s">
        <v>4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1.2744</v>
      </c>
      <c r="K675" t="s">
        <v>28</v>
      </c>
    </row>
    <row r="676" spans="1:11" x14ac:dyDescent="0.45">
      <c r="A676" t="s">
        <v>90</v>
      </c>
      <c r="B676" t="s">
        <v>0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1.4222999999999999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1.3652500000000001</v>
      </c>
      <c r="K677" t="s">
        <v>28</v>
      </c>
    </row>
    <row r="678" spans="1:11" x14ac:dyDescent="0.45">
      <c r="A678" t="s">
        <v>90</v>
      </c>
      <c r="B678" t="s">
        <v>5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1.3355999999999999</v>
      </c>
      <c r="K678" t="s">
        <v>28</v>
      </c>
    </row>
    <row r="679" spans="1:11" x14ac:dyDescent="0.45">
      <c r="A679" t="s">
        <v>90</v>
      </c>
      <c r="B679" t="s">
        <v>2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1.3501000000000001</v>
      </c>
      <c r="K679" t="s">
        <v>28</v>
      </c>
    </row>
    <row r="680" spans="1:11" x14ac:dyDescent="0.45">
      <c r="A680" t="s">
        <v>90</v>
      </c>
      <c r="B680" t="s">
        <v>1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1.37845</v>
      </c>
      <c r="K680" t="s">
        <v>28</v>
      </c>
    </row>
    <row r="681" spans="1:11" x14ac:dyDescent="0.45">
      <c r="A681" t="s">
        <v>90</v>
      </c>
      <c r="B681" t="s">
        <v>3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1.4087999999999998</v>
      </c>
      <c r="K681" t="s">
        <v>28</v>
      </c>
    </row>
    <row r="682" spans="1:11" x14ac:dyDescent="0.45">
      <c r="A682" t="s">
        <v>90</v>
      </c>
      <c r="B682" t="s">
        <v>4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1.2968999999999999</v>
      </c>
      <c r="K682" t="s">
        <v>28</v>
      </c>
    </row>
    <row r="683" spans="1:11" x14ac:dyDescent="0.45">
      <c r="A683" t="s">
        <v>90</v>
      </c>
      <c r="B683" t="s">
        <v>0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1.4135500000000001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1.3771499999999999</v>
      </c>
      <c r="K684" t="s">
        <v>28</v>
      </c>
    </row>
    <row r="685" spans="1:11" x14ac:dyDescent="0.45">
      <c r="A685" t="s">
        <v>90</v>
      </c>
      <c r="B685" t="s">
        <v>5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1.3151000000000002</v>
      </c>
      <c r="K685" t="s">
        <v>28</v>
      </c>
    </row>
    <row r="686" spans="1:11" x14ac:dyDescent="0.45">
      <c r="A686" t="s">
        <v>90</v>
      </c>
      <c r="B686" t="s">
        <v>2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1.3713500000000001</v>
      </c>
      <c r="K686" t="s">
        <v>28</v>
      </c>
    </row>
    <row r="687" spans="1:11" x14ac:dyDescent="0.45">
      <c r="A687" t="s">
        <v>90</v>
      </c>
      <c r="B687" t="s">
        <v>1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1.42255</v>
      </c>
      <c r="K687" t="s">
        <v>28</v>
      </c>
    </row>
    <row r="688" spans="1:11" x14ac:dyDescent="0.45">
      <c r="A688" t="s">
        <v>90</v>
      </c>
      <c r="B688" t="s">
        <v>3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1.4170500000000001</v>
      </c>
      <c r="K688" t="s">
        <v>28</v>
      </c>
    </row>
    <row r="689" spans="1:11" x14ac:dyDescent="0.45">
      <c r="A689" t="s">
        <v>90</v>
      </c>
      <c r="B689" t="s">
        <v>4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1.3161999999999998</v>
      </c>
      <c r="K689" t="s">
        <v>28</v>
      </c>
    </row>
    <row r="690" spans="1:11" x14ac:dyDescent="0.45">
      <c r="A690" t="s">
        <v>90</v>
      </c>
      <c r="B690" t="s">
        <v>0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1.4209999999999998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1.3834</v>
      </c>
      <c r="K691" t="s">
        <v>28</v>
      </c>
    </row>
    <row r="692" spans="1:11" x14ac:dyDescent="0.45">
      <c r="A692" t="s">
        <v>90</v>
      </c>
      <c r="B692" t="s">
        <v>5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1.3309</v>
      </c>
      <c r="K692" t="s">
        <v>28</v>
      </c>
    </row>
    <row r="693" spans="1:11" x14ac:dyDescent="0.45">
      <c r="A693" t="s">
        <v>90</v>
      </c>
      <c r="B693" t="s">
        <v>2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1.3805999999999998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1.42215</v>
      </c>
      <c r="K694" t="s">
        <v>28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1.4279999999999999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1.3389500000000001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1.4310999999999998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1.39215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1.35155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1.3928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1.4257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1.49505</v>
      </c>
      <c r="K702" t="s">
        <v>28</v>
      </c>
    </row>
    <row r="703" spans="1:11" x14ac:dyDescent="0.45">
      <c r="A703" t="s">
        <v>90</v>
      </c>
      <c r="B703" t="s">
        <v>4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1.3968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1.49525</v>
      </c>
      <c r="K704" t="s">
        <v>28</v>
      </c>
    </row>
    <row r="705" spans="1:11" x14ac:dyDescent="0.45">
      <c r="A705" t="s">
        <v>90</v>
      </c>
      <c r="B705" t="s">
        <v>6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1.4487999999999999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1.4331</v>
      </c>
      <c r="K706" t="s">
        <v>28</v>
      </c>
    </row>
    <row r="707" spans="1:11" x14ac:dyDescent="0.45">
      <c r="A707" t="s">
        <v>90</v>
      </c>
      <c r="B707" t="s">
        <v>2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1.4444499999999998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1.49065</v>
      </c>
      <c r="K708" t="s">
        <v>28</v>
      </c>
    </row>
    <row r="709" spans="1:11" x14ac:dyDescent="0.45">
      <c r="A709" t="s">
        <v>90</v>
      </c>
      <c r="B709" t="s">
        <v>3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1.5640499999999999</v>
      </c>
      <c r="K709" t="s">
        <v>28</v>
      </c>
    </row>
    <row r="710" spans="1:11" x14ac:dyDescent="0.45">
      <c r="A710" t="s">
        <v>90</v>
      </c>
      <c r="B710" t="s">
        <v>4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1.45445</v>
      </c>
      <c r="K710" t="s">
        <v>28</v>
      </c>
    </row>
    <row r="711" spans="1:11" x14ac:dyDescent="0.45">
      <c r="A711" t="s">
        <v>90</v>
      </c>
      <c r="B711" t="s">
        <v>0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1.56145</v>
      </c>
      <c r="K711" t="s">
        <v>28</v>
      </c>
    </row>
    <row r="712" spans="1:11" x14ac:dyDescent="0.45">
      <c r="A712" t="s">
        <v>90</v>
      </c>
      <c r="B712" t="s">
        <v>6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1.5078499999999999</v>
      </c>
      <c r="K712" t="s">
        <v>28</v>
      </c>
    </row>
    <row r="713" spans="1:11" x14ac:dyDescent="0.45">
      <c r="A713" t="s">
        <v>90</v>
      </c>
      <c r="B713" t="s">
        <v>5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1.5187499999999998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1.4959</v>
      </c>
      <c r="K714" t="s">
        <v>28</v>
      </c>
    </row>
    <row r="715" spans="1:11" x14ac:dyDescent="0.45">
      <c r="A715" t="s">
        <v>90</v>
      </c>
      <c r="B715" t="s">
        <v>1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1.5583499999999999</v>
      </c>
      <c r="K715" t="s">
        <v>28</v>
      </c>
    </row>
    <row r="716" spans="1:11" x14ac:dyDescent="0.45">
      <c r="A716" t="s">
        <v>90</v>
      </c>
      <c r="B716" t="s">
        <v>3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1.62815</v>
      </c>
      <c r="K716" t="s">
        <v>28</v>
      </c>
    </row>
    <row r="717" spans="1:11" x14ac:dyDescent="0.45">
      <c r="A717" t="s">
        <v>90</v>
      </c>
      <c r="B717" t="s">
        <v>4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1.50325</v>
      </c>
      <c r="K717" t="s">
        <v>28</v>
      </c>
    </row>
    <row r="718" spans="1:11" x14ac:dyDescent="0.45">
      <c r="A718" t="s">
        <v>90</v>
      </c>
      <c r="B718" t="s">
        <v>0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1.6181000000000001</v>
      </c>
      <c r="K718" t="s">
        <v>28</v>
      </c>
    </row>
    <row r="719" spans="1:11" x14ac:dyDescent="0.45">
      <c r="A719" t="s">
        <v>90</v>
      </c>
      <c r="B719" t="s">
        <v>6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1.5683</v>
      </c>
      <c r="K719" t="s">
        <v>28</v>
      </c>
    </row>
    <row r="720" spans="1:11" x14ac:dyDescent="0.45">
      <c r="A720" t="s">
        <v>90</v>
      </c>
      <c r="B720" t="s">
        <v>5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1.5960000000000001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1.5514999999999999</v>
      </c>
      <c r="K721" t="s">
        <v>28</v>
      </c>
    </row>
    <row r="722" spans="1:11" x14ac:dyDescent="0.45">
      <c r="A722" t="s">
        <v>90</v>
      </c>
      <c r="B722" t="s">
        <v>1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1.6337000000000002</v>
      </c>
      <c r="K722" t="s">
        <v>28</v>
      </c>
    </row>
    <row r="723" spans="1:11" x14ac:dyDescent="0.45">
      <c r="A723" t="s">
        <v>90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1.6922999999999999</v>
      </c>
      <c r="K723" t="s">
        <v>28</v>
      </c>
    </row>
    <row r="724" spans="1:11" x14ac:dyDescent="0.45">
      <c r="A724" t="s">
        <v>90</v>
      </c>
      <c r="B724" t="s">
        <v>4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1.5524</v>
      </c>
      <c r="K724" t="s">
        <v>28</v>
      </c>
    </row>
    <row r="725" spans="1:11" x14ac:dyDescent="0.45">
      <c r="A725" t="s">
        <v>90</v>
      </c>
      <c r="B725" t="s">
        <v>0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1.6738999999999999</v>
      </c>
      <c r="K725" t="s">
        <v>28</v>
      </c>
    </row>
    <row r="726" spans="1:11" x14ac:dyDescent="0.45">
      <c r="A726" t="s">
        <v>90</v>
      </c>
      <c r="B726" t="s">
        <v>6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1.62805</v>
      </c>
      <c r="K726" t="s">
        <v>28</v>
      </c>
    </row>
    <row r="727" spans="1:11" x14ac:dyDescent="0.45">
      <c r="A727" t="s">
        <v>90</v>
      </c>
      <c r="B727" t="s">
        <v>5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1.6738</v>
      </c>
      <c r="K727" t="s">
        <v>28</v>
      </c>
    </row>
    <row r="728" spans="1:11" x14ac:dyDescent="0.45">
      <c r="A728" t="s">
        <v>90</v>
      </c>
      <c r="B728" t="s">
        <v>2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1.6064500000000002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1.7086999999999999</v>
      </c>
      <c r="K729" t="s">
        <v>28</v>
      </c>
    </row>
    <row r="730" spans="1:11" x14ac:dyDescent="0.45">
      <c r="A730" t="s">
        <v>90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1.75275</v>
      </c>
      <c r="K730" t="s">
        <v>28</v>
      </c>
    </row>
    <row r="731" spans="1:11" x14ac:dyDescent="0.45">
      <c r="A731" t="s">
        <v>90</v>
      </c>
      <c r="B731" t="s">
        <v>4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1.6111500000000001</v>
      </c>
      <c r="K731" t="s">
        <v>28</v>
      </c>
    </row>
    <row r="732" spans="1:11" x14ac:dyDescent="0.45">
      <c r="A732" t="s">
        <v>90</v>
      </c>
      <c r="B732" t="s">
        <v>0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1.7499</v>
      </c>
      <c r="K732" t="s">
        <v>28</v>
      </c>
    </row>
    <row r="733" spans="1:11" x14ac:dyDescent="0.45">
      <c r="A733" t="s">
        <v>90</v>
      </c>
      <c r="B733" t="s">
        <v>6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1.6903999999999999</v>
      </c>
      <c r="K733" t="s">
        <v>28</v>
      </c>
    </row>
    <row r="734" spans="1:11" x14ac:dyDescent="0.45">
      <c r="A734" t="s">
        <v>90</v>
      </c>
      <c r="B734" t="s">
        <v>5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1.74685</v>
      </c>
      <c r="K734" t="s">
        <v>28</v>
      </c>
    </row>
    <row r="735" spans="1:11" x14ac:dyDescent="0.45">
      <c r="A735" t="s">
        <v>90</v>
      </c>
      <c r="B735" t="s">
        <v>2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1.6677999999999999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1.7867999999999999</v>
      </c>
      <c r="K736" t="s">
        <v>28</v>
      </c>
    </row>
    <row r="737" spans="1:11" x14ac:dyDescent="0.45">
      <c r="A737" t="s">
        <v>90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1.8150999999999999</v>
      </c>
      <c r="K737" t="s">
        <v>28</v>
      </c>
    </row>
    <row r="738" spans="1:11" x14ac:dyDescent="0.45">
      <c r="A738" t="s">
        <v>90</v>
      </c>
      <c r="B738" t="s">
        <v>4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1.6738999999999999</v>
      </c>
      <c r="K738" t="s">
        <v>28</v>
      </c>
    </row>
    <row r="739" spans="1:11" x14ac:dyDescent="0.45">
      <c r="A739" t="s">
        <v>90</v>
      </c>
      <c r="B739" t="s">
        <v>0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1.8304499999999999</v>
      </c>
      <c r="K739" t="s">
        <v>28</v>
      </c>
    </row>
    <row r="740" spans="1:11" x14ac:dyDescent="0.45">
      <c r="A740" t="s">
        <v>90</v>
      </c>
      <c r="B740" t="s">
        <v>6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1.7565</v>
      </c>
      <c r="K740" t="s">
        <v>28</v>
      </c>
    </row>
    <row r="741" spans="1:11" x14ac:dyDescent="0.45">
      <c r="A741" t="s">
        <v>90</v>
      </c>
      <c r="B741" t="s">
        <v>5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1.8251500000000001</v>
      </c>
      <c r="K741" t="s">
        <v>28</v>
      </c>
    </row>
    <row r="742" spans="1:11" x14ac:dyDescent="0.45">
      <c r="A742" t="s">
        <v>90</v>
      </c>
      <c r="B742" t="s">
        <v>2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1.7331500000000002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1.869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5.3249999999999999E-2</v>
      </c>
      <c r="K744" t="s">
        <v>27</v>
      </c>
    </row>
    <row r="745" spans="1:11" x14ac:dyDescent="0.45">
      <c r="A745" t="s">
        <v>90</v>
      </c>
      <c r="B745" t="s">
        <v>4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2020</v>
      </c>
      <c r="J745">
        <v>5.3650000000000003E-2</v>
      </c>
      <c r="K745" t="s">
        <v>27</v>
      </c>
    </row>
    <row r="746" spans="1:11" x14ac:dyDescent="0.45">
      <c r="A746" t="s">
        <v>90</v>
      </c>
      <c r="B746" t="s">
        <v>0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2020</v>
      </c>
      <c r="J746">
        <v>5.4150000000000004E-2</v>
      </c>
      <c r="K746" t="s">
        <v>27</v>
      </c>
    </row>
    <row r="747" spans="1:11" x14ac:dyDescent="0.45">
      <c r="A747" t="s">
        <v>90</v>
      </c>
      <c r="B747" t="s">
        <v>6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2020</v>
      </c>
      <c r="J747">
        <v>5.3100000000000001E-2</v>
      </c>
      <c r="K747" t="s">
        <v>27</v>
      </c>
    </row>
    <row r="748" spans="1:11" x14ac:dyDescent="0.45">
      <c r="A748" t="s">
        <v>90</v>
      </c>
      <c r="B748" t="s">
        <v>5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2020</v>
      </c>
      <c r="J748">
        <v>5.3449999999999998E-2</v>
      </c>
      <c r="K748" t="s">
        <v>27</v>
      </c>
    </row>
    <row r="749" spans="1:11" x14ac:dyDescent="0.45">
      <c r="A749" t="s">
        <v>90</v>
      </c>
      <c r="B749" t="s">
        <v>2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2020</v>
      </c>
      <c r="J749">
        <v>5.2699999999999997E-2</v>
      </c>
      <c r="K749" t="s">
        <v>27</v>
      </c>
    </row>
    <row r="750" spans="1:11" x14ac:dyDescent="0.45">
      <c r="A750" t="s">
        <v>90</v>
      </c>
      <c r="B750" t="s">
        <v>1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2020</v>
      </c>
      <c r="J750">
        <v>5.3499999999999999E-2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2025</v>
      </c>
      <c r="J751">
        <v>0.12205000000000001</v>
      </c>
      <c r="K751" t="s">
        <v>27</v>
      </c>
    </row>
    <row r="752" spans="1:11" x14ac:dyDescent="0.45">
      <c r="A752" t="s">
        <v>90</v>
      </c>
      <c r="B752" t="s">
        <v>4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2025</v>
      </c>
      <c r="J752">
        <v>0.11945</v>
      </c>
      <c r="K752" t="s">
        <v>27</v>
      </c>
    </row>
    <row r="753" spans="1:11" x14ac:dyDescent="0.45">
      <c r="A753" t="s">
        <v>90</v>
      </c>
      <c r="B753" t="s">
        <v>0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2025</v>
      </c>
      <c r="J753">
        <v>0.12054999999999999</v>
      </c>
      <c r="K753" t="s">
        <v>27</v>
      </c>
    </row>
    <row r="754" spans="1:11" x14ac:dyDescent="0.45">
      <c r="A754" t="s">
        <v>90</v>
      </c>
      <c r="B754" t="s">
        <v>6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2025</v>
      </c>
      <c r="J754">
        <v>0.12054999999999999</v>
      </c>
      <c r="K754" t="s">
        <v>27</v>
      </c>
    </row>
    <row r="755" spans="1:11" x14ac:dyDescent="0.45">
      <c r="A755" t="s">
        <v>90</v>
      </c>
      <c r="B755" t="s">
        <v>5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2025</v>
      </c>
      <c r="J755">
        <v>0.1133</v>
      </c>
      <c r="K755" t="s">
        <v>27</v>
      </c>
    </row>
    <row r="756" spans="1:11" x14ac:dyDescent="0.45">
      <c r="A756" t="s">
        <v>90</v>
      </c>
      <c r="B756" t="s">
        <v>2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2025</v>
      </c>
      <c r="J756">
        <v>0.1205</v>
      </c>
      <c r="K756" t="s">
        <v>27</v>
      </c>
    </row>
    <row r="757" spans="1:11" x14ac:dyDescent="0.45">
      <c r="A757" t="s">
        <v>90</v>
      </c>
      <c r="B757" t="s">
        <v>1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2025</v>
      </c>
      <c r="J757">
        <v>0.1236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2030</v>
      </c>
      <c r="J758">
        <v>0.22544999999999998</v>
      </c>
      <c r="K758" t="s">
        <v>27</v>
      </c>
    </row>
    <row r="759" spans="1:11" x14ac:dyDescent="0.45">
      <c r="A759" t="s">
        <v>90</v>
      </c>
      <c r="B759" t="s">
        <v>4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2030</v>
      </c>
      <c r="J759">
        <v>0.2092</v>
      </c>
      <c r="K759" t="s">
        <v>27</v>
      </c>
    </row>
    <row r="760" spans="1:11" x14ac:dyDescent="0.45">
      <c r="A760" t="s">
        <v>90</v>
      </c>
      <c r="B760" t="s">
        <v>0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2030</v>
      </c>
      <c r="J760">
        <v>0.2102</v>
      </c>
      <c r="K760" t="s">
        <v>27</v>
      </c>
    </row>
    <row r="761" spans="1:11" x14ac:dyDescent="0.45">
      <c r="A761" t="s">
        <v>90</v>
      </c>
      <c r="B761" t="s">
        <v>6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2030</v>
      </c>
      <c r="J761">
        <v>0.21135000000000001</v>
      </c>
      <c r="K761" t="s">
        <v>27</v>
      </c>
    </row>
    <row r="762" spans="1:11" x14ac:dyDescent="0.45">
      <c r="A762" t="s">
        <v>90</v>
      </c>
      <c r="B762" t="s">
        <v>5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2030</v>
      </c>
      <c r="J762">
        <v>0.20679999999999998</v>
      </c>
      <c r="K762" t="s">
        <v>27</v>
      </c>
    </row>
    <row r="763" spans="1:11" x14ac:dyDescent="0.45">
      <c r="A763" t="s">
        <v>90</v>
      </c>
      <c r="B763" t="s">
        <v>2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0.21049999999999999</v>
      </c>
      <c r="K763" t="s">
        <v>27</v>
      </c>
    </row>
    <row r="764" spans="1:11" x14ac:dyDescent="0.45">
      <c r="A764" t="s">
        <v>90</v>
      </c>
      <c r="B764" t="s">
        <v>1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2030</v>
      </c>
      <c r="J764">
        <v>0.22899999999999998</v>
      </c>
      <c r="K764" t="s">
        <v>27</v>
      </c>
    </row>
    <row r="765" spans="1:11" x14ac:dyDescent="0.45">
      <c r="A765" t="s">
        <v>90</v>
      </c>
      <c r="B765" t="s">
        <v>3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2035</v>
      </c>
      <c r="J765">
        <v>0.34475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2035</v>
      </c>
      <c r="J766">
        <v>0.29120000000000001</v>
      </c>
      <c r="K766" t="s">
        <v>27</v>
      </c>
    </row>
    <row r="767" spans="1:11" x14ac:dyDescent="0.45">
      <c r="A767" t="s">
        <v>90</v>
      </c>
      <c r="B767" t="s">
        <v>0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2035</v>
      </c>
      <c r="J767">
        <v>0.30125000000000002</v>
      </c>
      <c r="K767" t="s">
        <v>27</v>
      </c>
    </row>
    <row r="768" spans="1:11" x14ac:dyDescent="0.45">
      <c r="A768" t="s">
        <v>90</v>
      </c>
      <c r="B768" t="s">
        <v>6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2035</v>
      </c>
      <c r="J768">
        <v>0.29354999999999998</v>
      </c>
      <c r="K768" t="s">
        <v>27</v>
      </c>
    </row>
    <row r="769" spans="1:11" x14ac:dyDescent="0.45">
      <c r="A769" t="s">
        <v>90</v>
      </c>
      <c r="B769" t="s">
        <v>5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2035</v>
      </c>
      <c r="J769">
        <v>0.30515000000000003</v>
      </c>
      <c r="K769" t="s">
        <v>27</v>
      </c>
    </row>
    <row r="770" spans="1:11" x14ac:dyDescent="0.45">
      <c r="A770" t="s">
        <v>90</v>
      </c>
      <c r="B770" t="s">
        <v>2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2035</v>
      </c>
      <c r="J770">
        <v>0.29520000000000002</v>
      </c>
      <c r="K770" t="s">
        <v>27</v>
      </c>
    </row>
    <row r="771" spans="1:11" x14ac:dyDescent="0.45">
      <c r="A771" t="s">
        <v>90</v>
      </c>
      <c r="B771" t="s">
        <v>1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2035</v>
      </c>
      <c r="J771">
        <v>0.33994999999999997</v>
      </c>
      <c r="K771" t="s">
        <v>27</v>
      </c>
    </row>
    <row r="772" spans="1:11" x14ac:dyDescent="0.45">
      <c r="A772" t="s">
        <v>90</v>
      </c>
      <c r="B772" t="s">
        <v>3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2040</v>
      </c>
      <c r="J772">
        <v>0.42194999999999999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2040</v>
      </c>
      <c r="J773">
        <v>0.33230000000000004</v>
      </c>
      <c r="K773" t="s">
        <v>27</v>
      </c>
    </row>
    <row r="774" spans="1:11" x14ac:dyDescent="0.45">
      <c r="A774" t="s">
        <v>90</v>
      </c>
      <c r="B774" t="s">
        <v>0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2040</v>
      </c>
      <c r="J774">
        <v>0.35139999999999999</v>
      </c>
      <c r="K774" t="s">
        <v>27</v>
      </c>
    </row>
    <row r="775" spans="1:11" x14ac:dyDescent="0.45">
      <c r="A775" t="s">
        <v>90</v>
      </c>
      <c r="B775" t="s">
        <v>6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2040</v>
      </c>
      <c r="J775">
        <v>0.34899999999999998</v>
      </c>
      <c r="K775" t="s">
        <v>27</v>
      </c>
    </row>
    <row r="776" spans="1:11" x14ac:dyDescent="0.45">
      <c r="A776" t="s">
        <v>90</v>
      </c>
      <c r="B776" t="s">
        <v>5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2040</v>
      </c>
      <c r="J776">
        <v>0.3548</v>
      </c>
      <c r="K776" t="s">
        <v>27</v>
      </c>
    </row>
    <row r="777" spans="1:11" x14ac:dyDescent="0.45">
      <c r="A777" t="s">
        <v>90</v>
      </c>
      <c r="B777" t="s">
        <v>2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2040</v>
      </c>
      <c r="J777">
        <v>0.34565000000000001</v>
      </c>
      <c r="K777" t="s">
        <v>27</v>
      </c>
    </row>
    <row r="778" spans="1:11" x14ac:dyDescent="0.45">
      <c r="A778" t="s">
        <v>90</v>
      </c>
      <c r="B778" t="s">
        <v>1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2040</v>
      </c>
      <c r="J778">
        <v>0.40325</v>
      </c>
      <c r="K778" t="s">
        <v>27</v>
      </c>
    </row>
    <row r="779" spans="1:11" x14ac:dyDescent="0.45">
      <c r="A779" t="s">
        <v>90</v>
      </c>
      <c r="B779" t="s">
        <v>3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2045</v>
      </c>
      <c r="J779">
        <v>0.4471</v>
      </c>
      <c r="K779" t="s">
        <v>27</v>
      </c>
    </row>
    <row r="780" spans="1:11" x14ac:dyDescent="0.45">
      <c r="A780" t="s">
        <v>90</v>
      </c>
      <c r="B780" t="s">
        <v>4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2045</v>
      </c>
      <c r="J780">
        <v>0.3508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2045</v>
      </c>
      <c r="J781">
        <v>0.35770000000000002</v>
      </c>
      <c r="K781" t="s">
        <v>27</v>
      </c>
    </row>
    <row r="782" spans="1:11" x14ac:dyDescent="0.45">
      <c r="A782" t="s">
        <v>90</v>
      </c>
      <c r="B782" t="s">
        <v>6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2045</v>
      </c>
      <c r="J782">
        <v>0.37385000000000002</v>
      </c>
      <c r="K782" t="s">
        <v>27</v>
      </c>
    </row>
    <row r="783" spans="1:11" x14ac:dyDescent="0.45">
      <c r="A783" t="s">
        <v>90</v>
      </c>
      <c r="B783" t="s">
        <v>5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0.35599999999999998</v>
      </c>
      <c r="K783" t="s">
        <v>27</v>
      </c>
    </row>
    <row r="784" spans="1:11" x14ac:dyDescent="0.45">
      <c r="A784" t="s">
        <v>90</v>
      </c>
      <c r="B784" t="s">
        <v>2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2045</v>
      </c>
      <c r="J784">
        <v>0.36750000000000005</v>
      </c>
      <c r="K784" t="s">
        <v>27</v>
      </c>
    </row>
    <row r="785" spans="1:11" x14ac:dyDescent="0.45">
      <c r="A785" t="s">
        <v>90</v>
      </c>
      <c r="B785" t="s">
        <v>1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2045</v>
      </c>
      <c r="J785">
        <v>0.43994999999999995</v>
      </c>
      <c r="K785" t="s">
        <v>27</v>
      </c>
    </row>
    <row r="786" spans="1:11" x14ac:dyDescent="0.45">
      <c r="A786" t="s">
        <v>90</v>
      </c>
      <c r="B786" t="s">
        <v>3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2050</v>
      </c>
      <c r="J786">
        <v>0.46010000000000001</v>
      </c>
      <c r="K786" t="s">
        <v>27</v>
      </c>
    </row>
    <row r="787" spans="1:11" x14ac:dyDescent="0.45">
      <c r="A787" t="s">
        <v>90</v>
      </c>
      <c r="B787" t="s">
        <v>4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2050</v>
      </c>
      <c r="J787">
        <v>0.36614999999999998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2050</v>
      </c>
      <c r="J788">
        <v>0.38075000000000003</v>
      </c>
      <c r="K788" t="s">
        <v>27</v>
      </c>
    </row>
    <row r="789" spans="1:11" x14ac:dyDescent="0.45">
      <c r="A789" t="s">
        <v>90</v>
      </c>
      <c r="B789" t="s">
        <v>6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2050</v>
      </c>
      <c r="J789">
        <v>0.39185000000000003</v>
      </c>
      <c r="K789" t="s">
        <v>27</v>
      </c>
    </row>
    <row r="790" spans="1:11" x14ac:dyDescent="0.45">
      <c r="A790" t="s">
        <v>90</v>
      </c>
      <c r="B790" t="s">
        <v>5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2050</v>
      </c>
      <c r="J790">
        <v>0.33894999999999997</v>
      </c>
      <c r="K790" t="s">
        <v>27</v>
      </c>
    </row>
    <row r="791" spans="1:11" x14ac:dyDescent="0.45">
      <c r="A791" t="s">
        <v>90</v>
      </c>
      <c r="B791" t="s">
        <v>2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2050</v>
      </c>
      <c r="J791">
        <v>0.38395000000000001</v>
      </c>
      <c r="K791" t="s">
        <v>27</v>
      </c>
    </row>
    <row r="792" spans="1:11" x14ac:dyDescent="0.45">
      <c r="A792" t="s">
        <v>90</v>
      </c>
      <c r="B792" t="s">
        <v>1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2050</v>
      </c>
      <c r="J792">
        <v>0.45784999999999998</v>
      </c>
      <c r="K792" t="s">
        <v>27</v>
      </c>
    </row>
    <row r="793" spans="1:11" x14ac:dyDescent="0.45">
      <c r="A793" t="s">
        <v>90</v>
      </c>
      <c r="B793" t="s">
        <v>3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2055</v>
      </c>
      <c r="J793">
        <v>0.48150000000000004</v>
      </c>
      <c r="K793" t="s">
        <v>27</v>
      </c>
    </row>
    <row r="794" spans="1:11" x14ac:dyDescent="0.45">
      <c r="A794" t="s">
        <v>90</v>
      </c>
      <c r="B794" t="s">
        <v>4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2055</v>
      </c>
      <c r="J794">
        <v>0.38865</v>
      </c>
      <c r="K794" t="s">
        <v>27</v>
      </c>
    </row>
    <row r="795" spans="1:11" x14ac:dyDescent="0.45">
      <c r="A795" t="s">
        <v>90</v>
      </c>
      <c r="B795" t="s">
        <v>0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2055</v>
      </c>
      <c r="J795">
        <v>0.40465000000000001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2055</v>
      </c>
      <c r="J796">
        <v>0.4052</v>
      </c>
      <c r="K796" t="s">
        <v>27</v>
      </c>
    </row>
    <row r="797" spans="1:11" x14ac:dyDescent="0.45">
      <c r="A797" t="s">
        <v>90</v>
      </c>
      <c r="B797" t="s">
        <v>5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2055</v>
      </c>
      <c r="J797">
        <v>0.379</v>
      </c>
      <c r="K797" t="s">
        <v>27</v>
      </c>
    </row>
    <row r="798" spans="1:11" x14ac:dyDescent="0.45">
      <c r="A798" t="s">
        <v>90</v>
      </c>
      <c r="B798" t="s">
        <v>2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2055</v>
      </c>
      <c r="J798">
        <v>0.40515000000000001</v>
      </c>
      <c r="K798" t="s">
        <v>27</v>
      </c>
    </row>
    <row r="799" spans="1:11" x14ac:dyDescent="0.45">
      <c r="A799" t="s">
        <v>90</v>
      </c>
      <c r="B799" t="s">
        <v>1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2055</v>
      </c>
      <c r="J799">
        <v>0.47955000000000003</v>
      </c>
      <c r="K799" t="s">
        <v>27</v>
      </c>
    </row>
    <row r="800" spans="1:11" x14ac:dyDescent="0.45">
      <c r="A800" t="s">
        <v>90</v>
      </c>
      <c r="B800" t="s">
        <v>3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2060</v>
      </c>
      <c r="J800">
        <v>0.49524999999999997</v>
      </c>
      <c r="K800" t="s">
        <v>27</v>
      </c>
    </row>
    <row r="801" spans="1:11" x14ac:dyDescent="0.45">
      <c r="A801" t="s">
        <v>90</v>
      </c>
      <c r="B801" t="s">
        <v>4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2060</v>
      </c>
      <c r="J801">
        <v>0.40525</v>
      </c>
      <c r="K801" t="s">
        <v>27</v>
      </c>
    </row>
    <row r="802" spans="1:11" x14ac:dyDescent="0.45">
      <c r="A802" t="s">
        <v>90</v>
      </c>
      <c r="B802" t="s">
        <v>0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2060</v>
      </c>
      <c r="J802">
        <v>0.42059999999999997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0.4108</v>
      </c>
      <c r="K803" t="s">
        <v>27</v>
      </c>
    </row>
    <row r="804" spans="1:11" x14ac:dyDescent="0.45">
      <c r="A804" t="s">
        <v>90</v>
      </c>
      <c r="B804" t="s">
        <v>5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2060</v>
      </c>
      <c r="J804">
        <v>0.38764999999999999</v>
      </c>
      <c r="K804" t="s">
        <v>27</v>
      </c>
    </row>
    <row r="805" spans="1:11" x14ac:dyDescent="0.45">
      <c r="A805" t="s">
        <v>90</v>
      </c>
      <c r="B805" t="s">
        <v>2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2060</v>
      </c>
      <c r="J805">
        <v>0.4123</v>
      </c>
      <c r="K805" t="s">
        <v>27</v>
      </c>
    </row>
    <row r="806" spans="1:11" x14ac:dyDescent="0.45">
      <c r="A806" t="s">
        <v>90</v>
      </c>
      <c r="B806" t="s">
        <v>1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2060</v>
      </c>
      <c r="J806">
        <v>0.49254999999999999</v>
      </c>
      <c r="K806" t="s">
        <v>27</v>
      </c>
    </row>
    <row r="807" spans="1:11" x14ac:dyDescent="0.45">
      <c r="A807" t="s">
        <v>90</v>
      </c>
      <c r="B807" t="s">
        <v>3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2065</v>
      </c>
      <c r="J807">
        <v>0.50970000000000004</v>
      </c>
      <c r="K807" t="s">
        <v>27</v>
      </c>
    </row>
    <row r="808" spans="1:11" x14ac:dyDescent="0.45">
      <c r="A808" t="s">
        <v>90</v>
      </c>
      <c r="B808" t="s">
        <v>4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2065</v>
      </c>
      <c r="J808">
        <v>0.42079999999999995</v>
      </c>
      <c r="K808" t="s">
        <v>27</v>
      </c>
    </row>
    <row r="809" spans="1:11" x14ac:dyDescent="0.45">
      <c r="A809" t="s">
        <v>90</v>
      </c>
      <c r="B809" t="s">
        <v>0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2065</v>
      </c>
      <c r="J809">
        <v>0.43825000000000003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2065</v>
      </c>
      <c r="J810">
        <v>0.42454999999999998</v>
      </c>
      <c r="K810" t="s">
        <v>27</v>
      </c>
    </row>
    <row r="811" spans="1:11" x14ac:dyDescent="0.45">
      <c r="A811" t="s">
        <v>90</v>
      </c>
      <c r="B811" t="s">
        <v>5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2065</v>
      </c>
      <c r="J811">
        <v>0.39754999999999996</v>
      </c>
      <c r="K811" t="s">
        <v>27</v>
      </c>
    </row>
    <row r="812" spans="1:11" x14ac:dyDescent="0.45">
      <c r="A812" t="s">
        <v>90</v>
      </c>
      <c r="B812" t="s">
        <v>2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2065</v>
      </c>
      <c r="J812">
        <v>0.42759999999999998</v>
      </c>
      <c r="K812" t="s">
        <v>27</v>
      </c>
    </row>
    <row r="813" spans="1:11" x14ac:dyDescent="0.45">
      <c r="A813" t="s">
        <v>90</v>
      </c>
      <c r="B813" t="s">
        <v>1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2065</v>
      </c>
      <c r="J813">
        <v>0.50719999999999998</v>
      </c>
      <c r="K813" t="s">
        <v>27</v>
      </c>
    </row>
    <row r="814" spans="1:11" x14ac:dyDescent="0.45">
      <c r="A814" t="s">
        <v>90</v>
      </c>
      <c r="B814" t="s">
        <v>3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2070</v>
      </c>
      <c r="J814">
        <v>0.52090000000000003</v>
      </c>
      <c r="K814" t="s">
        <v>27</v>
      </c>
    </row>
    <row r="815" spans="1:11" x14ac:dyDescent="0.45">
      <c r="A815" t="s">
        <v>90</v>
      </c>
      <c r="B815" t="s">
        <v>4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2070</v>
      </c>
      <c r="J815">
        <v>0.43315000000000003</v>
      </c>
      <c r="K815" t="s">
        <v>27</v>
      </c>
    </row>
    <row r="816" spans="1:11" x14ac:dyDescent="0.45">
      <c r="A816" t="s">
        <v>90</v>
      </c>
      <c r="B816" t="s">
        <v>0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2070</v>
      </c>
      <c r="J816">
        <v>0.45355000000000001</v>
      </c>
      <c r="K816" t="s">
        <v>27</v>
      </c>
    </row>
    <row r="817" spans="1:11" x14ac:dyDescent="0.45">
      <c r="A817" t="s">
        <v>90</v>
      </c>
      <c r="B817" t="s">
        <v>6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2070</v>
      </c>
      <c r="J817">
        <v>0.43679999999999997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2070</v>
      </c>
      <c r="J818">
        <v>0.40705000000000002</v>
      </c>
      <c r="K818" t="s">
        <v>27</v>
      </c>
    </row>
    <row r="819" spans="1:11" x14ac:dyDescent="0.45">
      <c r="A819" t="s">
        <v>90</v>
      </c>
      <c r="B819" t="s">
        <v>2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2070</v>
      </c>
      <c r="J819">
        <v>0.44174999999999998</v>
      </c>
      <c r="K819" t="s">
        <v>27</v>
      </c>
    </row>
    <row r="820" spans="1:11" x14ac:dyDescent="0.45">
      <c r="A820" t="s">
        <v>90</v>
      </c>
      <c r="B820" t="s">
        <v>1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2070</v>
      </c>
      <c r="J820">
        <v>0.52054999999999996</v>
      </c>
      <c r="K820" t="s">
        <v>27</v>
      </c>
    </row>
    <row r="821" spans="1:11" x14ac:dyDescent="0.45">
      <c r="A821" t="s">
        <v>90</v>
      </c>
      <c r="B821" t="s">
        <v>3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2075</v>
      </c>
      <c r="J821">
        <v>0.53354999999999997</v>
      </c>
      <c r="K821" t="s">
        <v>27</v>
      </c>
    </row>
    <row r="822" spans="1:11" x14ac:dyDescent="0.45">
      <c r="A822" t="s">
        <v>90</v>
      </c>
      <c r="B822" t="s">
        <v>4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2075</v>
      </c>
      <c r="J822">
        <v>0.44340000000000002</v>
      </c>
      <c r="K822" t="s">
        <v>27</v>
      </c>
    </row>
    <row r="823" spans="1:11" x14ac:dyDescent="0.45">
      <c r="A823" t="s">
        <v>90</v>
      </c>
      <c r="B823" t="s">
        <v>0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0.46655000000000002</v>
      </c>
      <c r="K823" t="s">
        <v>27</v>
      </c>
    </row>
    <row r="824" spans="1:11" x14ac:dyDescent="0.45">
      <c r="A824" t="s">
        <v>90</v>
      </c>
      <c r="B824" t="s">
        <v>6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2075</v>
      </c>
      <c r="J824">
        <v>0.45174999999999998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2075</v>
      </c>
      <c r="J825">
        <v>0.42115000000000002</v>
      </c>
      <c r="K825" t="s">
        <v>27</v>
      </c>
    </row>
    <row r="826" spans="1:11" x14ac:dyDescent="0.45">
      <c r="A826" t="s">
        <v>90</v>
      </c>
      <c r="B826" t="s">
        <v>2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2075</v>
      </c>
      <c r="J826">
        <v>0.45540000000000003</v>
      </c>
      <c r="K826" t="s">
        <v>27</v>
      </c>
    </row>
    <row r="827" spans="1:11" x14ac:dyDescent="0.45">
      <c r="A827" t="s">
        <v>90</v>
      </c>
      <c r="B827" t="s">
        <v>1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2075</v>
      </c>
      <c r="J827">
        <v>0.53560000000000008</v>
      </c>
      <c r="K827" t="s">
        <v>27</v>
      </c>
    </row>
    <row r="828" spans="1:11" x14ac:dyDescent="0.45">
      <c r="A828" t="s">
        <v>90</v>
      </c>
      <c r="B828" t="s">
        <v>3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2080</v>
      </c>
      <c r="J828">
        <v>0.54744999999999999</v>
      </c>
      <c r="K828" t="s">
        <v>27</v>
      </c>
    </row>
    <row r="829" spans="1:11" x14ac:dyDescent="0.45">
      <c r="A829" t="s">
        <v>90</v>
      </c>
      <c r="B829" t="s">
        <v>4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2080</v>
      </c>
      <c r="J829">
        <v>0.4526</v>
      </c>
      <c r="K829" t="s">
        <v>27</v>
      </c>
    </row>
    <row r="830" spans="1:11" x14ac:dyDescent="0.45">
      <c r="A830" t="s">
        <v>90</v>
      </c>
      <c r="B830" t="s">
        <v>0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2080</v>
      </c>
      <c r="J830">
        <v>0.48104999999999998</v>
      </c>
      <c r="K830" t="s">
        <v>27</v>
      </c>
    </row>
    <row r="831" spans="1:11" x14ac:dyDescent="0.45">
      <c r="A831" t="s">
        <v>90</v>
      </c>
      <c r="B831" t="s">
        <v>6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2080</v>
      </c>
      <c r="J831">
        <v>0.46699999999999997</v>
      </c>
      <c r="K831" t="s">
        <v>27</v>
      </c>
    </row>
    <row r="832" spans="1:11" x14ac:dyDescent="0.45">
      <c r="A832" t="s">
        <v>90</v>
      </c>
      <c r="B832" t="s">
        <v>5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2080</v>
      </c>
      <c r="J832">
        <v>0.43654999999999999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2080</v>
      </c>
      <c r="J833">
        <v>0.46660000000000001</v>
      </c>
      <c r="K833" t="s">
        <v>27</v>
      </c>
    </row>
    <row r="834" spans="1:11" x14ac:dyDescent="0.45">
      <c r="A834" t="s">
        <v>90</v>
      </c>
      <c r="B834" t="s">
        <v>1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2080</v>
      </c>
      <c r="J834">
        <v>0.55135000000000001</v>
      </c>
      <c r="K834" t="s">
        <v>27</v>
      </c>
    </row>
    <row r="835" spans="1:11" x14ac:dyDescent="0.45">
      <c r="A835" t="s">
        <v>90</v>
      </c>
      <c r="B835" t="s">
        <v>3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2085</v>
      </c>
      <c r="J835">
        <v>0.55899999999999994</v>
      </c>
      <c r="K835" t="s">
        <v>27</v>
      </c>
    </row>
    <row r="836" spans="1:11" x14ac:dyDescent="0.45">
      <c r="A836" t="s">
        <v>90</v>
      </c>
      <c r="B836" t="s">
        <v>4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2085</v>
      </c>
      <c r="J836">
        <v>0.45910000000000001</v>
      </c>
      <c r="K836" t="s">
        <v>27</v>
      </c>
    </row>
    <row r="837" spans="1:11" x14ac:dyDescent="0.45">
      <c r="A837" t="s">
        <v>90</v>
      </c>
      <c r="B837" t="s">
        <v>0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2085</v>
      </c>
      <c r="J837">
        <v>0.49335000000000001</v>
      </c>
      <c r="K837" t="s">
        <v>27</v>
      </c>
    </row>
    <row r="838" spans="1:11" x14ac:dyDescent="0.45">
      <c r="A838" t="s">
        <v>90</v>
      </c>
      <c r="B838" t="s">
        <v>6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2085</v>
      </c>
      <c r="J838">
        <v>0.47624999999999995</v>
      </c>
      <c r="K838" t="s">
        <v>27</v>
      </c>
    </row>
    <row r="839" spans="1:11" x14ac:dyDescent="0.45">
      <c r="A839" t="s">
        <v>90</v>
      </c>
      <c r="B839" t="s">
        <v>5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2085</v>
      </c>
      <c r="J839">
        <v>0.45065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2085</v>
      </c>
      <c r="J840">
        <v>0.4728</v>
      </c>
      <c r="K840" t="s">
        <v>27</v>
      </c>
    </row>
    <row r="841" spans="1:11" x14ac:dyDescent="0.45">
      <c r="A841" t="s">
        <v>90</v>
      </c>
      <c r="B841" t="s">
        <v>1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2085</v>
      </c>
      <c r="J841">
        <v>0.56435000000000002</v>
      </c>
      <c r="K841" t="s">
        <v>27</v>
      </c>
    </row>
    <row r="842" spans="1:11" x14ac:dyDescent="0.45">
      <c r="A842" t="s">
        <v>90</v>
      </c>
      <c r="B842" t="s">
        <v>3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2090</v>
      </c>
      <c r="J842">
        <v>0.57025000000000003</v>
      </c>
      <c r="K842" t="s">
        <v>27</v>
      </c>
    </row>
    <row r="843" spans="1:11" x14ac:dyDescent="0.45">
      <c r="A843" t="s">
        <v>90</v>
      </c>
      <c r="B843" t="s">
        <v>4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0.46555000000000002</v>
      </c>
      <c r="K843" t="s">
        <v>27</v>
      </c>
    </row>
    <row r="844" spans="1:11" x14ac:dyDescent="0.45">
      <c r="A844" t="s">
        <v>90</v>
      </c>
      <c r="B844" t="s">
        <v>0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2090</v>
      </c>
      <c r="J844">
        <v>0.50344999999999995</v>
      </c>
      <c r="K844" t="s">
        <v>27</v>
      </c>
    </row>
    <row r="845" spans="1:11" x14ac:dyDescent="0.45">
      <c r="A845" t="s">
        <v>90</v>
      </c>
      <c r="B845" t="s">
        <v>6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2090</v>
      </c>
      <c r="J845">
        <v>0.48370000000000002</v>
      </c>
      <c r="K845" t="s">
        <v>27</v>
      </c>
    </row>
    <row r="846" spans="1:11" x14ac:dyDescent="0.45">
      <c r="A846" t="s">
        <v>90</v>
      </c>
      <c r="B846" t="s">
        <v>5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2090</v>
      </c>
      <c r="J846">
        <v>0.46434999999999998</v>
      </c>
      <c r="K846" t="s">
        <v>27</v>
      </c>
    </row>
    <row r="847" spans="1:11" x14ac:dyDescent="0.45">
      <c r="A847" t="s">
        <v>90</v>
      </c>
      <c r="B847" t="s">
        <v>2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2090</v>
      </c>
      <c r="J847">
        <v>0.47815000000000002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2090</v>
      </c>
      <c r="J848">
        <v>0.57674999999999998</v>
      </c>
      <c r="K848" t="s">
        <v>27</v>
      </c>
    </row>
    <row r="849" spans="1:11" x14ac:dyDescent="0.45">
      <c r="A849" t="s">
        <v>90</v>
      </c>
      <c r="B849" t="s">
        <v>3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2095</v>
      </c>
      <c r="J849">
        <v>0.57399999999999995</v>
      </c>
      <c r="K849" t="s">
        <v>27</v>
      </c>
    </row>
    <row r="850" spans="1:11" x14ac:dyDescent="0.45">
      <c r="A850" t="s">
        <v>90</v>
      </c>
      <c r="B850" t="s">
        <v>4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2095</v>
      </c>
      <c r="J850">
        <v>0.46915000000000001</v>
      </c>
      <c r="K850" t="s">
        <v>27</v>
      </c>
    </row>
    <row r="851" spans="1:11" x14ac:dyDescent="0.45">
      <c r="A851" t="s">
        <v>90</v>
      </c>
      <c r="B851" t="s">
        <v>0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2095</v>
      </c>
      <c r="J851">
        <v>0.50839999999999996</v>
      </c>
      <c r="K851" t="s">
        <v>27</v>
      </c>
    </row>
    <row r="852" spans="1:11" x14ac:dyDescent="0.45">
      <c r="A852" t="s">
        <v>90</v>
      </c>
      <c r="B852" t="s">
        <v>6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2095</v>
      </c>
      <c r="J852">
        <v>0.48765000000000003</v>
      </c>
      <c r="K852" t="s">
        <v>27</v>
      </c>
    </row>
    <row r="853" spans="1:11" x14ac:dyDescent="0.45">
      <c r="A853" t="s">
        <v>90</v>
      </c>
      <c r="B853" t="s">
        <v>5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2095</v>
      </c>
      <c r="J853">
        <v>0.47239999999999999</v>
      </c>
      <c r="K853" t="s">
        <v>27</v>
      </c>
    </row>
    <row r="854" spans="1:11" x14ac:dyDescent="0.45">
      <c r="A854" t="s">
        <v>90</v>
      </c>
      <c r="B854" t="s">
        <v>2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2095</v>
      </c>
      <c r="J854">
        <v>0.48204999999999998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2095</v>
      </c>
      <c r="J855">
        <v>0.58255000000000001</v>
      </c>
      <c r="K855" t="s">
        <v>27</v>
      </c>
    </row>
    <row r="856" spans="1:11" x14ac:dyDescent="0.45">
      <c r="A856" t="s">
        <v>90</v>
      </c>
      <c r="B856" t="s">
        <v>3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2100</v>
      </c>
      <c r="J856">
        <v>0.57440000000000002</v>
      </c>
      <c r="K856" t="s">
        <v>27</v>
      </c>
    </row>
    <row r="857" spans="1:11" x14ac:dyDescent="0.45">
      <c r="A857" t="s">
        <v>90</v>
      </c>
      <c r="B857" t="s">
        <v>4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2100</v>
      </c>
      <c r="J857">
        <v>0.47184999999999999</v>
      </c>
      <c r="K857" t="s">
        <v>27</v>
      </c>
    </row>
    <row r="858" spans="1:11" x14ac:dyDescent="0.45">
      <c r="A858" t="s">
        <v>90</v>
      </c>
      <c r="B858" t="s">
        <v>0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2100</v>
      </c>
      <c r="J858">
        <v>0.51300000000000001</v>
      </c>
      <c r="K858" t="s">
        <v>27</v>
      </c>
    </row>
    <row r="859" spans="1:11" x14ac:dyDescent="0.45">
      <c r="A859" t="s">
        <v>90</v>
      </c>
      <c r="B859" t="s">
        <v>6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2100</v>
      </c>
      <c r="J859">
        <v>0.49104999999999999</v>
      </c>
      <c r="K859" t="s">
        <v>27</v>
      </c>
    </row>
    <row r="860" spans="1:11" x14ac:dyDescent="0.45">
      <c r="A860" t="s">
        <v>90</v>
      </c>
      <c r="B860" t="s">
        <v>5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2100</v>
      </c>
      <c r="J860">
        <v>0.48014999999999997</v>
      </c>
      <c r="K860" t="s">
        <v>27</v>
      </c>
    </row>
    <row r="861" spans="1:11" x14ac:dyDescent="0.45">
      <c r="A861" t="s">
        <v>90</v>
      </c>
      <c r="B861" t="s">
        <v>2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2100</v>
      </c>
      <c r="J861">
        <v>0.48544999999999999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0.58765000000000001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4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2020</v>
      </c>
      <c r="J864">
        <v>5.3799000000000001</v>
      </c>
      <c r="K864" t="s">
        <v>29</v>
      </c>
    </row>
    <row r="865" spans="1:11" x14ac:dyDescent="0.45">
      <c r="A865" t="s">
        <v>90</v>
      </c>
      <c r="B865" t="s">
        <v>0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2020</v>
      </c>
      <c r="J865">
        <v>5.3799000000000001</v>
      </c>
      <c r="K865" t="s">
        <v>29</v>
      </c>
    </row>
    <row r="866" spans="1:11" x14ac:dyDescent="0.45">
      <c r="A866" t="s">
        <v>90</v>
      </c>
      <c r="B866" t="s">
        <v>6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2020</v>
      </c>
      <c r="J866">
        <v>5.3799000000000001</v>
      </c>
      <c r="K866" t="s">
        <v>29</v>
      </c>
    </row>
    <row r="867" spans="1:11" x14ac:dyDescent="0.45">
      <c r="A867" t="s">
        <v>90</v>
      </c>
      <c r="B867" t="s">
        <v>5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2020</v>
      </c>
      <c r="J867">
        <v>5.3799000000000001</v>
      </c>
      <c r="K867" t="s">
        <v>29</v>
      </c>
    </row>
    <row r="868" spans="1:11" x14ac:dyDescent="0.45">
      <c r="A868" t="s">
        <v>90</v>
      </c>
      <c r="B868" t="s">
        <v>2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2020</v>
      </c>
      <c r="J868">
        <v>5.3799000000000001</v>
      </c>
      <c r="K868" t="s">
        <v>29</v>
      </c>
    </row>
    <row r="869" spans="1:11" x14ac:dyDescent="0.45">
      <c r="A869" t="s">
        <v>90</v>
      </c>
      <c r="B869" t="s">
        <v>1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2020</v>
      </c>
      <c r="J869">
        <v>5.3799000000000001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2025</v>
      </c>
      <c r="J870">
        <v>5.6314500000000001</v>
      </c>
      <c r="K870" t="s">
        <v>29</v>
      </c>
    </row>
    <row r="871" spans="1:11" x14ac:dyDescent="0.45">
      <c r="A871" t="s">
        <v>90</v>
      </c>
      <c r="B871" t="s">
        <v>4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2025</v>
      </c>
      <c r="J871">
        <v>5.7637999999999998</v>
      </c>
      <c r="K871" t="s">
        <v>29</v>
      </c>
    </row>
    <row r="872" spans="1:11" x14ac:dyDescent="0.45">
      <c r="A872" t="s">
        <v>90</v>
      </c>
      <c r="B872" t="s">
        <v>0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2025</v>
      </c>
      <c r="J872">
        <v>5.7637999999999998</v>
      </c>
      <c r="K872" t="s">
        <v>29</v>
      </c>
    </row>
    <row r="873" spans="1:11" x14ac:dyDescent="0.45">
      <c r="A873" t="s">
        <v>90</v>
      </c>
      <c r="B873" t="s">
        <v>6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2025</v>
      </c>
      <c r="J873">
        <v>5.7637999999999998</v>
      </c>
      <c r="K873" t="s">
        <v>29</v>
      </c>
    </row>
    <row r="874" spans="1:11" x14ac:dyDescent="0.45">
      <c r="A874" t="s">
        <v>90</v>
      </c>
      <c r="B874" t="s">
        <v>5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2025</v>
      </c>
      <c r="J874">
        <v>5.3708</v>
      </c>
      <c r="K874" t="s">
        <v>29</v>
      </c>
    </row>
    <row r="875" spans="1:11" x14ac:dyDescent="0.45">
      <c r="A875" t="s">
        <v>90</v>
      </c>
      <c r="B875" t="s">
        <v>2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2025</v>
      </c>
      <c r="J875">
        <v>5.6462000000000003</v>
      </c>
      <c r="K875" t="s">
        <v>29</v>
      </c>
    </row>
    <row r="876" spans="1:11" x14ac:dyDescent="0.45">
      <c r="A876" t="s">
        <v>90</v>
      </c>
      <c r="B876" t="s">
        <v>1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2025</v>
      </c>
      <c r="J876">
        <v>5.2343000000000002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2030</v>
      </c>
      <c r="J877">
        <v>5.5214499999999997</v>
      </c>
      <c r="K877" t="s">
        <v>29</v>
      </c>
    </row>
    <row r="878" spans="1:11" x14ac:dyDescent="0.45">
      <c r="A878" t="s">
        <v>90</v>
      </c>
      <c r="B878" t="s">
        <v>4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2030</v>
      </c>
      <c r="J878">
        <v>5.3145500000000006</v>
      </c>
      <c r="K878" t="s">
        <v>29</v>
      </c>
    </row>
    <row r="879" spans="1:11" x14ac:dyDescent="0.45">
      <c r="A879" t="s">
        <v>90</v>
      </c>
      <c r="B879" t="s">
        <v>0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2030</v>
      </c>
      <c r="J879">
        <v>5.3145500000000006</v>
      </c>
      <c r="K879" t="s">
        <v>29</v>
      </c>
    </row>
    <row r="880" spans="1:11" x14ac:dyDescent="0.45">
      <c r="A880" t="s">
        <v>90</v>
      </c>
      <c r="B880" t="s">
        <v>6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2030</v>
      </c>
      <c r="J880">
        <v>5.3145500000000006</v>
      </c>
      <c r="K880" t="s">
        <v>29</v>
      </c>
    </row>
    <row r="881" spans="1:11" x14ac:dyDescent="0.45">
      <c r="A881" t="s">
        <v>90</v>
      </c>
      <c r="B881" t="s">
        <v>5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2030</v>
      </c>
      <c r="J881">
        <v>5.2363499999999998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5.6435499999999994</v>
      </c>
      <c r="K882" t="s">
        <v>29</v>
      </c>
    </row>
    <row r="883" spans="1:11" x14ac:dyDescent="0.45">
      <c r="A883" t="s">
        <v>90</v>
      </c>
      <c r="B883" t="s">
        <v>1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2030</v>
      </c>
      <c r="J883">
        <v>6.0677500000000002</v>
      </c>
      <c r="K883" t="s">
        <v>29</v>
      </c>
    </row>
    <row r="884" spans="1:11" x14ac:dyDescent="0.45">
      <c r="A884" t="s">
        <v>90</v>
      </c>
      <c r="B884" t="s">
        <v>3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2035</v>
      </c>
      <c r="J884">
        <v>5.7596500000000006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2035</v>
      </c>
      <c r="J885">
        <v>4.5601500000000001</v>
      </c>
      <c r="K885" t="s">
        <v>29</v>
      </c>
    </row>
    <row r="886" spans="1:11" x14ac:dyDescent="0.45">
      <c r="A886" t="s">
        <v>90</v>
      </c>
      <c r="B886" t="s">
        <v>0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2035</v>
      </c>
      <c r="J886">
        <v>2.1764999999999999</v>
      </c>
      <c r="K886" t="s">
        <v>29</v>
      </c>
    </row>
    <row r="887" spans="1:11" x14ac:dyDescent="0.45">
      <c r="A887" t="s">
        <v>90</v>
      </c>
      <c r="B887" t="s">
        <v>6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2035</v>
      </c>
      <c r="J887">
        <v>4.7282500000000001</v>
      </c>
      <c r="K887" t="s">
        <v>29</v>
      </c>
    </row>
    <row r="888" spans="1:11" x14ac:dyDescent="0.45">
      <c r="A888" t="s">
        <v>90</v>
      </c>
      <c r="B888" t="s">
        <v>5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2035</v>
      </c>
      <c r="J888">
        <v>7.54115</v>
      </c>
      <c r="K888" t="s">
        <v>29</v>
      </c>
    </row>
    <row r="889" spans="1:11" x14ac:dyDescent="0.45">
      <c r="A889" t="s">
        <v>90</v>
      </c>
      <c r="B889" t="s">
        <v>2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2035</v>
      </c>
      <c r="J889">
        <v>5.8456999999999999</v>
      </c>
      <c r="K889" t="s">
        <v>29</v>
      </c>
    </row>
    <row r="890" spans="1:11" x14ac:dyDescent="0.45">
      <c r="A890" t="s">
        <v>90</v>
      </c>
      <c r="B890" t="s">
        <v>1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2035</v>
      </c>
      <c r="J890">
        <v>8.3306499999999986</v>
      </c>
      <c r="K890" t="s">
        <v>29</v>
      </c>
    </row>
    <row r="891" spans="1:11" x14ac:dyDescent="0.45">
      <c r="A891" t="s">
        <v>90</v>
      </c>
      <c r="B891" t="s">
        <v>3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2040</v>
      </c>
      <c r="J891">
        <v>6.8430499999999999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2040</v>
      </c>
      <c r="J892">
        <v>2.1816000000000004</v>
      </c>
      <c r="K892" t="s">
        <v>29</v>
      </c>
    </row>
    <row r="893" spans="1:11" x14ac:dyDescent="0.45">
      <c r="A893" t="s">
        <v>90</v>
      </c>
      <c r="B893" t="s">
        <v>0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2040</v>
      </c>
      <c r="J893">
        <v>5.5442</v>
      </c>
      <c r="K893" t="s">
        <v>29</v>
      </c>
    </row>
    <row r="894" spans="1:11" x14ac:dyDescent="0.45">
      <c r="A894" t="s">
        <v>90</v>
      </c>
      <c r="B894" t="s">
        <v>6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2040</v>
      </c>
      <c r="J894">
        <v>5.6577500000000001</v>
      </c>
      <c r="K894" t="s">
        <v>29</v>
      </c>
    </row>
    <row r="895" spans="1:11" x14ac:dyDescent="0.45">
      <c r="A895" t="s">
        <v>90</v>
      </c>
      <c r="B895" t="s">
        <v>5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2040</v>
      </c>
      <c r="J895">
        <v>8.9328500000000002</v>
      </c>
      <c r="K895" t="s">
        <v>29</v>
      </c>
    </row>
    <row r="896" spans="1:11" x14ac:dyDescent="0.45">
      <c r="A896" t="s">
        <v>90</v>
      </c>
      <c r="B896" t="s">
        <v>2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2040</v>
      </c>
      <c r="J896">
        <v>5.91425</v>
      </c>
      <c r="K896" t="s">
        <v>29</v>
      </c>
    </row>
    <row r="897" spans="1:11" x14ac:dyDescent="0.45">
      <c r="A897" t="s">
        <v>90</v>
      </c>
      <c r="B897" t="s">
        <v>1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2040</v>
      </c>
      <c r="J897">
        <v>16.86035</v>
      </c>
      <c r="K897" t="s">
        <v>29</v>
      </c>
    </row>
    <row r="898" spans="1:11" x14ac:dyDescent="0.45">
      <c r="A898" t="s">
        <v>90</v>
      </c>
      <c r="B898" t="s">
        <v>3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2045</v>
      </c>
      <c r="J898">
        <v>6.9108000000000001</v>
      </c>
      <c r="K898" t="s">
        <v>29</v>
      </c>
    </row>
    <row r="899" spans="1:11" x14ac:dyDescent="0.45">
      <c r="A899" t="s">
        <v>90</v>
      </c>
      <c r="B899" t="s">
        <v>4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2045</v>
      </c>
      <c r="J899">
        <v>2.3449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2045</v>
      </c>
      <c r="J900">
        <v>9.3986999999999998</v>
      </c>
      <c r="K900" t="s">
        <v>29</v>
      </c>
    </row>
    <row r="901" spans="1:11" x14ac:dyDescent="0.45">
      <c r="A901" t="s">
        <v>90</v>
      </c>
      <c r="B901" t="s">
        <v>6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2045</v>
      </c>
      <c r="J901">
        <v>6.7579000000000002</v>
      </c>
      <c r="K901" t="s">
        <v>29</v>
      </c>
    </row>
    <row r="902" spans="1:11" x14ac:dyDescent="0.45">
      <c r="A902" t="s">
        <v>90</v>
      </c>
      <c r="B902" t="s">
        <v>5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10.32155</v>
      </c>
      <c r="K902" t="s">
        <v>29</v>
      </c>
    </row>
    <row r="903" spans="1:11" x14ac:dyDescent="0.45">
      <c r="A903" t="s">
        <v>90</v>
      </c>
      <c r="B903" t="s">
        <v>2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2045</v>
      </c>
      <c r="J903">
        <v>6.5330500000000002</v>
      </c>
      <c r="K903" t="s">
        <v>29</v>
      </c>
    </row>
    <row r="904" spans="1:11" x14ac:dyDescent="0.45">
      <c r="A904" t="s">
        <v>90</v>
      </c>
      <c r="B904" t="s">
        <v>1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2045</v>
      </c>
      <c r="J904">
        <v>22.537300000000002</v>
      </c>
      <c r="K904" t="s">
        <v>29</v>
      </c>
    </row>
    <row r="905" spans="1:11" x14ac:dyDescent="0.45">
      <c r="A905" t="s">
        <v>90</v>
      </c>
      <c r="B905" t="s">
        <v>3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2050</v>
      </c>
      <c r="J905">
        <v>7.9924499999999998</v>
      </c>
      <c r="K905" t="s">
        <v>29</v>
      </c>
    </row>
    <row r="906" spans="1:11" x14ac:dyDescent="0.45">
      <c r="A906" t="s">
        <v>90</v>
      </c>
      <c r="B906" t="s">
        <v>4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2050</v>
      </c>
      <c r="J906">
        <v>3.6767000000000003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2050</v>
      </c>
      <c r="J907">
        <v>17.657350000000001</v>
      </c>
      <c r="K907" t="s">
        <v>29</v>
      </c>
    </row>
    <row r="908" spans="1:11" x14ac:dyDescent="0.45">
      <c r="A908" t="s">
        <v>90</v>
      </c>
      <c r="B908" t="s">
        <v>6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2050</v>
      </c>
      <c r="J908">
        <v>8.1373999999999995</v>
      </c>
      <c r="K908" t="s">
        <v>29</v>
      </c>
    </row>
    <row r="909" spans="1:11" x14ac:dyDescent="0.45">
      <c r="A909" t="s">
        <v>90</v>
      </c>
      <c r="B909" t="s">
        <v>5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2050</v>
      </c>
      <c r="J909">
        <v>12.79175</v>
      </c>
      <c r="K909" t="s">
        <v>29</v>
      </c>
    </row>
    <row r="910" spans="1:11" x14ac:dyDescent="0.45">
      <c r="A910" t="s">
        <v>90</v>
      </c>
      <c r="B910" t="s">
        <v>2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2050</v>
      </c>
      <c r="J910">
        <v>7.6464999999999996</v>
      </c>
      <c r="K910" t="s">
        <v>29</v>
      </c>
    </row>
    <row r="911" spans="1:11" x14ac:dyDescent="0.45">
      <c r="A911" t="s">
        <v>90</v>
      </c>
      <c r="B911" t="s">
        <v>1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2050</v>
      </c>
      <c r="J911">
        <v>21.625300000000003</v>
      </c>
      <c r="K911" t="s">
        <v>29</v>
      </c>
    </row>
    <row r="912" spans="1:11" x14ac:dyDescent="0.45">
      <c r="A912" t="s">
        <v>90</v>
      </c>
      <c r="B912" t="s">
        <v>3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2055</v>
      </c>
      <c r="J912">
        <v>8.6547000000000001</v>
      </c>
      <c r="K912" t="s">
        <v>29</v>
      </c>
    </row>
    <row r="913" spans="1:11" x14ac:dyDescent="0.45">
      <c r="A913" t="s">
        <v>90</v>
      </c>
      <c r="B913" t="s">
        <v>4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2055</v>
      </c>
      <c r="J913">
        <v>4.1312499999999996</v>
      </c>
      <c r="K913" t="s">
        <v>29</v>
      </c>
    </row>
    <row r="914" spans="1:11" x14ac:dyDescent="0.45">
      <c r="A914" t="s">
        <v>90</v>
      </c>
      <c r="B914" t="s">
        <v>0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2055</v>
      </c>
      <c r="J914">
        <v>20.9406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2055</v>
      </c>
      <c r="J915">
        <v>9.2483499999999985</v>
      </c>
      <c r="K915" t="s">
        <v>29</v>
      </c>
    </row>
    <row r="916" spans="1:11" x14ac:dyDescent="0.45">
      <c r="A916" t="s">
        <v>90</v>
      </c>
      <c r="B916" t="s">
        <v>5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2055</v>
      </c>
      <c r="J916">
        <v>10.578399999999998</v>
      </c>
      <c r="K916" t="s">
        <v>29</v>
      </c>
    </row>
    <row r="917" spans="1:11" x14ac:dyDescent="0.45">
      <c r="A917" t="s">
        <v>90</v>
      </c>
      <c r="B917" t="s">
        <v>2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2055</v>
      </c>
      <c r="J917">
        <v>6.8690999999999995</v>
      </c>
      <c r="K917" t="s">
        <v>29</v>
      </c>
    </row>
    <row r="918" spans="1:11" x14ac:dyDescent="0.45">
      <c r="A918" t="s">
        <v>90</v>
      </c>
      <c r="B918" t="s">
        <v>1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2055</v>
      </c>
      <c r="J918">
        <v>20.022300000000001</v>
      </c>
      <c r="K918" t="s">
        <v>29</v>
      </c>
    </row>
    <row r="919" spans="1:11" x14ac:dyDescent="0.45">
      <c r="A919" t="s">
        <v>90</v>
      </c>
      <c r="B919" t="s">
        <v>3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2060</v>
      </c>
      <c r="J919">
        <v>12.725249999999999</v>
      </c>
      <c r="K919" t="s">
        <v>29</v>
      </c>
    </row>
    <row r="920" spans="1:11" x14ac:dyDescent="0.45">
      <c r="A920" t="s">
        <v>90</v>
      </c>
      <c r="B920" t="s">
        <v>4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2060</v>
      </c>
      <c r="J920">
        <v>5.2963500000000003</v>
      </c>
      <c r="K920" t="s">
        <v>29</v>
      </c>
    </row>
    <row r="921" spans="1:11" x14ac:dyDescent="0.45">
      <c r="A921" t="s">
        <v>90</v>
      </c>
      <c r="B921" t="s">
        <v>0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2060</v>
      </c>
      <c r="J921">
        <v>28.955849999999998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5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2060</v>
      </c>
      <c r="J923">
        <v>21.462600000000002</v>
      </c>
      <c r="K923" t="s">
        <v>29</v>
      </c>
    </row>
    <row r="924" spans="1:11" x14ac:dyDescent="0.45">
      <c r="A924" t="s">
        <v>90</v>
      </c>
      <c r="B924" t="s">
        <v>2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2060</v>
      </c>
      <c r="J924">
        <v>13.05955</v>
      </c>
      <c r="K924" t="s">
        <v>29</v>
      </c>
    </row>
    <row r="925" spans="1:11" x14ac:dyDescent="0.45">
      <c r="A925" t="s">
        <v>90</v>
      </c>
      <c r="B925" t="s">
        <v>1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2060</v>
      </c>
      <c r="J925">
        <v>34.522100000000002</v>
      </c>
      <c r="K925" t="s">
        <v>29</v>
      </c>
    </row>
    <row r="926" spans="1:11" x14ac:dyDescent="0.45">
      <c r="A926" t="s">
        <v>90</v>
      </c>
      <c r="B926" t="s">
        <v>3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2065</v>
      </c>
      <c r="J926">
        <v>12.6111</v>
      </c>
      <c r="K926" t="s">
        <v>29</v>
      </c>
    </row>
    <row r="927" spans="1:11" x14ac:dyDescent="0.45">
      <c r="A927" t="s">
        <v>90</v>
      </c>
      <c r="B927" t="s">
        <v>4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2065</v>
      </c>
      <c r="J927">
        <v>6.2115499999999999</v>
      </c>
      <c r="K927" t="s">
        <v>29</v>
      </c>
    </row>
    <row r="928" spans="1:11" x14ac:dyDescent="0.45">
      <c r="A928" t="s">
        <v>90</v>
      </c>
      <c r="B928" t="s">
        <v>0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2065</v>
      </c>
      <c r="J928">
        <v>25.764299999999999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2065</v>
      </c>
      <c r="J929">
        <v>15.117049999999999</v>
      </c>
      <c r="K929" t="s">
        <v>29</v>
      </c>
    </row>
    <row r="930" spans="1:11" x14ac:dyDescent="0.45">
      <c r="A930" t="s">
        <v>90</v>
      </c>
      <c r="B930" t="s">
        <v>5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2065</v>
      </c>
      <c r="J930">
        <v>19.187899999999999</v>
      </c>
      <c r="K930" t="s">
        <v>29</v>
      </c>
    </row>
    <row r="931" spans="1:11" x14ac:dyDescent="0.45">
      <c r="A931" t="s">
        <v>90</v>
      </c>
      <c r="B931" t="s">
        <v>2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2065</v>
      </c>
      <c r="J931">
        <v>12.338899999999999</v>
      </c>
      <c r="K931" t="s">
        <v>29</v>
      </c>
    </row>
    <row r="932" spans="1:11" x14ac:dyDescent="0.45">
      <c r="A932" t="s">
        <v>90</v>
      </c>
      <c r="B932" t="s">
        <v>1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2065</v>
      </c>
      <c r="J932">
        <v>34.848349999999996</v>
      </c>
      <c r="K932" t="s">
        <v>29</v>
      </c>
    </row>
    <row r="933" spans="1:11" x14ac:dyDescent="0.45">
      <c r="A933" t="s">
        <v>90</v>
      </c>
      <c r="B933" t="s">
        <v>3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2070</v>
      </c>
      <c r="J933">
        <v>12.497</v>
      </c>
      <c r="K933" t="s">
        <v>29</v>
      </c>
    </row>
    <row r="934" spans="1:11" x14ac:dyDescent="0.45">
      <c r="A934" t="s">
        <v>90</v>
      </c>
      <c r="B934" t="s">
        <v>4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2070</v>
      </c>
      <c r="J934">
        <v>7.1266999999999996</v>
      </c>
      <c r="K934" t="s">
        <v>29</v>
      </c>
    </row>
    <row r="935" spans="1:11" x14ac:dyDescent="0.45">
      <c r="A935" t="s">
        <v>90</v>
      </c>
      <c r="B935" t="s">
        <v>0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2070</v>
      </c>
      <c r="J935">
        <v>22.572700000000001</v>
      </c>
      <c r="K935" t="s">
        <v>29</v>
      </c>
    </row>
    <row r="936" spans="1:11" x14ac:dyDescent="0.45">
      <c r="A936" t="s">
        <v>90</v>
      </c>
      <c r="B936" t="s">
        <v>6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2070</v>
      </c>
      <c r="J936">
        <v>15.547899999999998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2070</v>
      </c>
      <c r="J937">
        <v>16.913249999999998</v>
      </c>
      <c r="K937" t="s">
        <v>29</v>
      </c>
    </row>
    <row r="938" spans="1:11" x14ac:dyDescent="0.45">
      <c r="A938" t="s">
        <v>90</v>
      </c>
      <c r="B938" t="s">
        <v>2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2070</v>
      </c>
      <c r="J938">
        <v>11.61825</v>
      </c>
      <c r="K938" t="s">
        <v>29</v>
      </c>
    </row>
    <row r="939" spans="1:11" x14ac:dyDescent="0.45">
      <c r="A939" t="s">
        <v>90</v>
      </c>
      <c r="B939" t="s">
        <v>1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2070</v>
      </c>
      <c r="J939">
        <v>35.174599999999998</v>
      </c>
      <c r="K939" t="s">
        <v>29</v>
      </c>
    </row>
    <row r="940" spans="1:11" x14ac:dyDescent="0.45">
      <c r="A940" t="s">
        <v>90</v>
      </c>
      <c r="B940" t="s">
        <v>3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2075</v>
      </c>
      <c r="J940">
        <v>13.562349999999999</v>
      </c>
      <c r="K940" t="s">
        <v>29</v>
      </c>
    </row>
    <row r="941" spans="1:11" x14ac:dyDescent="0.45">
      <c r="A941" t="s">
        <v>90</v>
      </c>
      <c r="B941" t="s">
        <v>4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2075</v>
      </c>
      <c r="J941">
        <v>7.1797500000000003</v>
      </c>
      <c r="K941" t="s">
        <v>29</v>
      </c>
    </row>
    <row r="942" spans="1:11" x14ac:dyDescent="0.45">
      <c r="A942" t="s">
        <v>90</v>
      </c>
      <c r="B942" t="s">
        <v>0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23.83595</v>
      </c>
      <c r="K942" t="s">
        <v>29</v>
      </c>
    </row>
    <row r="943" spans="1:11" x14ac:dyDescent="0.45">
      <c r="A943" t="s">
        <v>90</v>
      </c>
      <c r="B943" t="s">
        <v>6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2075</v>
      </c>
      <c r="J943">
        <v>15.43695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2075</v>
      </c>
      <c r="J944">
        <v>16.574300000000001</v>
      </c>
      <c r="K944" t="s">
        <v>29</v>
      </c>
    </row>
    <row r="945" spans="1:11" x14ac:dyDescent="0.45">
      <c r="A945" t="s">
        <v>90</v>
      </c>
      <c r="B945" t="s">
        <v>2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2075</v>
      </c>
      <c r="J945">
        <v>11.212400000000001</v>
      </c>
      <c r="K945" t="s">
        <v>29</v>
      </c>
    </row>
    <row r="946" spans="1:11" x14ac:dyDescent="0.45">
      <c r="A946" t="s">
        <v>90</v>
      </c>
      <c r="B946" t="s">
        <v>1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2075</v>
      </c>
      <c r="J946">
        <v>34.450149999999994</v>
      </c>
      <c r="K946" t="s">
        <v>29</v>
      </c>
    </row>
    <row r="947" spans="1:11" x14ac:dyDescent="0.45">
      <c r="A947" t="s">
        <v>90</v>
      </c>
      <c r="B947" t="s">
        <v>3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2080</v>
      </c>
      <c r="J947">
        <v>14.627700000000001</v>
      </c>
      <c r="K947" t="s">
        <v>29</v>
      </c>
    </row>
    <row r="948" spans="1:11" x14ac:dyDescent="0.45">
      <c r="A948" t="s">
        <v>90</v>
      </c>
      <c r="B948" t="s">
        <v>4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2080</v>
      </c>
      <c r="J948">
        <v>7.2326999999999995</v>
      </c>
      <c r="K948" t="s">
        <v>29</v>
      </c>
    </row>
    <row r="949" spans="1:11" x14ac:dyDescent="0.45">
      <c r="A949" t="s">
        <v>90</v>
      </c>
      <c r="B949" t="s">
        <v>0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2080</v>
      </c>
      <c r="J949">
        <v>25.099249999999998</v>
      </c>
      <c r="K949" t="s">
        <v>29</v>
      </c>
    </row>
    <row r="950" spans="1:11" x14ac:dyDescent="0.45">
      <c r="A950" t="s">
        <v>90</v>
      </c>
      <c r="B950" t="s">
        <v>6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2080</v>
      </c>
      <c r="J950">
        <v>15.325950000000001</v>
      </c>
      <c r="K950" t="s">
        <v>29</v>
      </c>
    </row>
    <row r="951" spans="1:11" x14ac:dyDescent="0.45">
      <c r="A951" t="s">
        <v>90</v>
      </c>
      <c r="B951" t="s">
        <v>5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2080</v>
      </c>
      <c r="J951">
        <v>16.235250000000001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2080</v>
      </c>
      <c r="J952">
        <v>10.8065</v>
      </c>
      <c r="K952" t="s">
        <v>29</v>
      </c>
    </row>
    <row r="953" spans="1:11" x14ac:dyDescent="0.45">
      <c r="A953" t="s">
        <v>90</v>
      </c>
      <c r="B953" t="s">
        <v>1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2080</v>
      </c>
      <c r="J953">
        <v>33.725650000000002</v>
      </c>
      <c r="K953" t="s">
        <v>29</v>
      </c>
    </row>
    <row r="954" spans="1:11" x14ac:dyDescent="0.45">
      <c r="A954" t="s">
        <v>90</v>
      </c>
      <c r="B954" t="s">
        <v>3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2085</v>
      </c>
      <c r="J954">
        <v>15.284700000000001</v>
      </c>
      <c r="K954" t="s">
        <v>29</v>
      </c>
    </row>
    <row r="955" spans="1:11" x14ac:dyDescent="0.45">
      <c r="A955" t="s">
        <v>90</v>
      </c>
      <c r="B955" t="s">
        <v>4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2085</v>
      </c>
      <c r="J955">
        <v>7.1741000000000001</v>
      </c>
      <c r="K955" t="s">
        <v>29</v>
      </c>
    </row>
    <row r="956" spans="1:11" x14ac:dyDescent="0.45">
      <c r="A956" t="s">
        <v>90</v>
      </c>
      <c r="B956" t="s">
        <v>0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2085</v>
      </c>
      <c r="J956">
        <v>23.323250000000002</v>
      </c>
      <c r="K956" t="s">
        <v>29</v>
      </c>
    </row>
    <row r="957" spans="1:11" x14ac:dyDescent="0.45">
      <c r="A957" t="s">
        <v>90</v>
      </c>
      <c r="B957" t="s">
        <v>6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2085</v>
      </c>
      <c r="J957">
        <v>15.232099999999999</v>
      </c>
      <c r="K957" t="s">
        <v>29</v>
      </c>
    </row>
    <row r="958" spans="1:11" x14ac:dyDescent="0.45">
      <c r="A958" t="s">
        <v>90</v>
      </c>
      <c r="B958" t="s">
        <v>5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2085</v>
      </c>
      <c r="J958">
        <v>16.323450000000001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2085</v>
      </c>
      <c r="J959">
        <v>10.06185</v>
      </c>
      <c r="K959" t="s">
        <v>29</v>
      </c>
    </row>
    <row r="960" spans="1:11" x14ac:dyDescent="0.45">
      <c r="A960" t="s">
        <v>90</v>
      </c>
      <c r="B960" t="s">
        <v>1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2085</v>
      </c>
      <c r="J960">
        <v>35.534049999999993</v>
      </c>
      <c r="K960" t="s">
        <v>29</v>
      </c>
    </row>
    <row r="961" spans="1:11" x14ac:dyDescent="0.45">
      <c r="A961" t="s">
        <v>90</v>
      </c>
      <c r="B961" t="s">
        <v>3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2090</v>
      </c>
      <c r="J961">
        <v>15.941649999999999</v>
      </c>
      <c r="K961" t="s">
        <v>29</v>
      </c>
    </row>
    <row r="962" spans="1:11" x14ac:dyDescent="0.45">
      <c r="A962" t="s">
        <v>90</v>
      </c>
      <c r="B962" t="s">
        <v>4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7.1154500000000001</v>
      </c>
      <c r="K962" t="s">
        <v>29</v>
      </c>
    </row>
    <row r="963" spans="1:11" x14ac:dyDescent="0.45">
      <c r="A963" t="s">
        <v>90</v>
      </c>
      <c r="B963" t="s">
        <v>0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2090</v>
      </c>
      <c r="J963">
        <v>21.547249999999998</v>
      </c>
      <c r="K963" t="s">
        <v>29</v>
      </c>
    </row>
    <row r="964" spans="1:11" x14ac:dyDescent="0.45">
      <c r="A964" t="s">
        <v>90</v>
      </c>
      <c r="B964" t="s">
        <v>6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2090</v>
      </c>
      <c r="J964">
        <v>15.138300000000001</v>
      </c>
      <c r="K964" t="s">
        <v>29</v>
      </c>
    </row>
    <row r="965" spans="1:11" x14ac:dyDescent="0.45">
      <c r="A965" t="s">
        <v>90</v>
      </c>
      <c r="B965" t="s">
        <v>5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2090</v>
      </c>
      <c r="J965">
        <v>16.411549999999998</v>
      </c>
      <c r="K965" t="s">
        <v>29</v>
      </c>
    </row>
    <row r="966" spans="1:11" x14ac:dyDescent="0.45">
      <c r="A966" t="s">
        <v>90</v>
      </c>
      <c r="B966" t="s">
        <v>2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2090</v>
      </c>
      <c r="J966">
        <v>9.3171999999999997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2090</v>
      </c>
      <c r="J967">
        <v>37.342399999999998</v>
      </c>
      <c r="K967" t="s">
        <v>29</v>
      </c>
    </row>
    <row r="968" spans="1:11" x14ac:dyDescent="0.45">
      <c r="A968" t="s">
        <v>90</v>
      </c>
      <c r="B968" t="s">
        <v>3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2095</v>
      </c>
      <c r="J968">
        <v>15.99475</v>
      </c>
      <c r="K968" t="s">
        <v>29</v>
      </c>
    </row>
    <row r="969" spans="1:11" x14ac:dyDescent="0.45">
      <c r="A969" t="s">
        <v>90</v>
      </c>
      <c r="B969" t="s">
        <v>4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2095</v>
      </c>
      <c r="J969">
        <v>7.3076499999999998</v>
      </c>
      <c r="K969" t="s">
        <v>29</v>
      </c>
    </row>
    <row r="970" spans="1:11" x14ac:dyDescent="0.45">
      <c r="A970" t="s">
        <v>90</v>
      </c>
      <c r="B970" t="s">
        <v>0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2095</v>
      </c>
      <c r="J970">
        <v>22.268699999999999</v>
      </c>
      <c r="K970" t="s">
        <v>29</v>
      </c>
    </row>
    <row r="971" spans="1:11" x14ac:dyDescent="0.45">
      <c r="A971" t="s">
        <v>90</v>
      </c>
      <c r="B971" t="s">
        <v>6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2095</v>
      </c>
      <c r="J971">
        <v>15.0703</v>
      </c>
      <c r="K971" t="s">
        <v>29</v>
      </c>
    </row>
    <row r="972" spans="1:11" x14ac:dyDescent="0.45">
      <c r="A972" t="s">
        <v>90</v>
      </c>
      <c r="B972" t="s">
        <v>5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2095</v>
      </c>
      <c r="J972">
        <v>16.4863</v>
      </c>
      <c r="K972" t="s">
        <v>29</v>
      </c>
    </row>
    <row r="973" spans="1:11" x14ac:dyDescent="0.45">
      <c r="A973" t="s">
        <v>90</v>
      </c>
      <c r="B973" t="s">
        <v>2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2095</v>
      </c>
      <c r="J973">
        <v>10.18595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2095</v>
      </c>
      <c r="J974">
        <v>41.003249999999994</v>
      </c>
      <c r="K974" t="s">
        <v>29</v>
      </c>
    </row>
    <row r="975" spans="1:11" x14ac:dyDescent="0.45">
      <c r="A975" t="s">
        <v>90</v>
      </c>
      <c r="B975" t="s">
        <v>3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2100</v>
      </c>
      <c r="J975">
        <v>16.047899999999998</v>
      </c>
      <c r="K975" t="s">
        <v>29</v>
      </c>
    </row>
    <row r="976" spans="1:11" x14ac:dyDescent="0.45">
      <c r="A976" t="s">
        <v>90</v>
      </c>
      <c r="B976" t="s">
        <v>4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2100</v>
      </c>
      <c r="J976">
        <v>7.4998000000000005</v>
      </c>
      <c r="K976" t="s">
        <v>29</v>
      </c>
    </row>
    <row r="977" spans="1:11" x14ac:dyDescent="0.45">
      <c r="A977" t="s">
        <v>90</v>
      </c>
      <c r="B977" t="s">
        <v>0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2100</v>
      </c>
      <c r="J977">
        <v>22.99005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2100</v>
      </c>
      <c r="J978">
        <v>15.00235</v>
      </c>
      <c r="K978" t="s">
        <v>29</v>
      </c>
    </row>
    <row r="979" spans="1:11" x14ac:dyDescent="0.45">
      <c r="A979" t="s">
        <v>90</v>
      </c>
      <c r="B979" t="s">
        <v>5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2100</v>
      </c>
      <c r="J979">
        <v>16.561</v>
      </c>
      <c r="K979" t="s">
        <v>29</v>
      </c>
    </row>
    <row r="980" spans="1:11" x14ac:dyDescent="0.45">
      <c r="A980" t="s">
        <v>90</v>
      </c>
      <c r="B980" t="s">
        <v>2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2100</v>
      </c>
      <c r="J980">
        <v>11.05475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4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2020</v>
      </c>
      <c r="J983">
        <v>2.0344000000000002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2020</v>
      </c>
      <c r="J984">
        <v>2.0344000000000002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2020</v>
      </c>
      <c r="J985">
        <v>2.0344000000000002</v>
      </c>
      <c r="K985" t="s">
        <v>33</v>
      </c>
    </row>
    <row r="986" spans="1:11" x14ac:dyDescent="0.45">
      <c r="A986" t="s">
        <v>90</v>
      </c>
      <c r="B986" t="s">
        <v>5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2020</v>
      </c>
      <c r="J986">
        <v>2.0344000000000002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2020</v>
      </c>
      <c r="J987">
        <v>2.0344000000000002</v>
      </c>
      <c r="K987" t="s">
        <v>33</v>
      </c>
    </row>
    <row r="988" spans="1:11" x14ac:dyDescent="0.45">
      <c r="A988" t="s">
        <v>90</v>
      </c>
      <c r="B988" t="s">
        <v>1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2020</v>
      </c>
      <c r="J988">
        <v>2.0344000000000002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2025</v>
      </c>
      <c r="J989">
        <v>2.1930000000000001</v>
      </c>
      <c r="K989" t="s">
        <v>33</v>
      </c>
    </row>
    <row r="990" spans="1:11" x14ac:dyDescent="0.45">
      <c r="A990" t="s">
        <v>90</v>
      </c>
      <c r="B990" t="s">
        <v>4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2025</v>
      </c>
      <c r="J990">
        <v>2.2243500000000003</v>
      </c>
      <c r="K990" t="s">
        <v>33</v>
      </c>
    </row>
    <row r="991" spans="1:11" x14ac:dyDescent="0.45">
      <c r="A991" t="s">
        <v>90</v>
      </c>
      <c r="B991" t="s">
        <v>0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2025</v>
      </c>
      <c r="J991">
        <v>2.2243500000000003</v>
      </c>
      <c r="K991" t="s">
        <v>33</v>
      </c>
    </row>
    <row r="992" spans="1:11" x14ac:dyDescent="0.45">
      <c r="A992" t="s">
        <v>90</v>
      </c>
      <c r="B992" t="s">
        <v>6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2025</v>
      </c>
      <c r="J992">
        <v>2.2243500000000003</v>
      </c>
      <c r="K992" t="s">
        <v>33</v>
      </c>
    </row>
    <row r="993" spans="1:11" x14ac:dyDescent="0.45">
      <c r="A993" t="s">
        <v>90</v>
      </c>
      <c r="B993" t="s">
        <v>5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2025</v>
      </c>
      <c r="J993">
        <v>2.3414999999999999</v>
      </c>
      <c r="K993" t="s">
        <v>33</v>
      </c>
    </row>
    <row r="994" spans="1:11" x14ac:dyDescent="0.45">
      <c r="A994" t="s">
        <v>90</v>
      </c>
      <c r="B994" t="s">
        <v>2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2025</v>
      </c>
      <c r="J994">
        <v>2.1197999999999997</v>
      </c>
      <c r="K994" t="s">
        <v>33</v>
      </c>
    </row>
    <row r="995" spans="1:11" x14ac:dyDescent="0.45">
      <c r="A995" t="s">
        <v>90</v>
      </c>
      <c r="B995" t="s">
        <v>1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2025</v>
      </c>
      <c r="J995">
        <v>2.6320999999999999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2030</v>
      </c>
      <c r="J996">
        <v>1.6815500000000001</v>
      </c>
      <c r="K996" t="s">
        <v>33</v>
      </c>
    </row>
    <row r="997" spans="1:11" x14ac:dyDescent="0.45">
      <c r="A997" t="s">
        <v>90</v>
      </c>
      <c r="B997" t="s">
        <v>4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2030</v>
      </c>
      <c r="J997">
        <v>2.2640500000000001</v>
      </c>
      <c r="K997" t="s">
        <v>33</v>
      </c>
    </row>
    <row r="998" spans="1:11" x14ac:dyDescent="0.45">
      <c r="A998" t="s">
        <v>90</v>
      </c>
      <c r="B998" t="s">
        <v>0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2030</v>
      </c>
      <c r="J998">
        <v>2.2640500000000001</v>
      </c>
      <c r="K998" t="s">
        <v>33</v>
      </c>
    </row>
    <row r="999" spans="1:11" x14ac:dyDescent="0.45">
      <c r="A999" t="s">
        <v>90</v>
      </c>
      <c r="B999" t="s">
        <v>6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2030</v>
      </c>
      <c r="J999">
        <v>2.2640500000000001</v>
      </c>
      <c r="K999" t="s">
        <v>33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2030</v>
      </c>
      <c r="J1000">
        <v>1.6132</v>
      </c>
      <c r="K1000" t="s">
        <v>33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2.0793499999999998</v>
      </c>
      <c r="K1001" t="s">
        <v>33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2030</v>
      </c>
      <c r="J1002">
        <v>1.7513000000000001</v>
      </c>
      <c r="K1002" t="s">
        <v>33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2035</v>
      </c>
      <c r="J1003">
        <v>1.4066000000000001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2035</v>
      </c>
      <c r="J1004">
        <v>2.3101000000000003</v>
      </c>
      <c r="K1004" t="s">
        <v>33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2035</v>
      </c>
      <c r="J1005">
        <v>2.2969999999999997</v>
      </c>
      <c r="K1005" t="s">
        <v>33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2035</v>
      </c>
      <c r="J1006">
        <v>2.2448999999999999</v>
      </c>
      <c r="K1006" t="s">
        <v>33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2035</v>
      </c>
      <c r="J1007">
        <v>1.1793999999999998</v>
      </c>
      <c r="K1007" t="s">
        <v>33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2035</v>
      </c>
      <c r="J1008">
        <v>2.0613000000000001</v>
      </c>
      <c r="K1008" t="s">
        <v>33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2035</v>
      </c>
      <c r="J1009">
        <v>1.4137</v>
      </c>
      <c r="K1009" t="s">
        <v>33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2040</v>
      </c>
      <c r="J1010">
        <v>1.3738000000000001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2040</v>
      </c>
      <c r="J1011">
        <v>2.37805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2040</v>
      </c>
      <c r="J1012">
        <v>1.8371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2040</v>
      </c>
      <c r="J1013">
        <v>1.7654000000000001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2040</v>
      </c>
      <c r="J1014">
        <v>1.2764500000000001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2040</v>
      </c>
      <c r="J1015">
        <v>1.9228499999999999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2040</v>
      </c>
      <c r="J1016">
        <v>1.3690500000000001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2045</v>
      </c>
      <c r="J1017">
        <v>1.4182999999999999</v>
      </c>
      <c r="K1017" t="s">
        <v>33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2045</v>
      </c>
      <c r="J1018">
        <v>2.4756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2045</v>
      </c>
      <c r="J1019">
        <v>1.4248000000000001</v>
      </c>
      <c r="K1019" t="s">
        <v>33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2045</v>
      </c>
      <c r="J1020">
        <v>1.82115</v>
      </c>
      <c r="K1020" t="s">
        <v>33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1.2519499999999999</v>
      </c>
      <c r="K1021" t="s">
        <v>33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2045</v>
      </c>
      <c r="J1022">
        <v>1.8263</v>
      </c>
      <c r="K1022" t="s">
        <v>33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2045</v>
      </c>
      <c r="J1023">
        <v>1.4416</v>
      </c>
      <c r="K1023" t="s">
        <v>33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2050</v>
      </c>
      <c r="J1024">
        <v>1.5704500000000001</v>
      </c>
      <c r="K1024" t="s">
        <v>33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2050</v>
      </c>
      <c r="J1025">
        <v>2.7322500000000001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2050</v>
      </c>
      <c r="J1026">
        <v>1.53165</v>
      </c>
      <c r="K1026" t="s">
        <v>33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2050</v>
      </c>
      <c r="J1027">
        <v>2.1814</v>
      </c>
      <c r="K1027" t="s">
        <v>33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2050</v>
      </c>
      <c r="J1028">
        <v>1.59405</v>
      </c>
      <c r="K1028" t="s">
        <v>33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2050</v>
      </c>
      <c r="J1029">
        <v>1.9153500000000001</v>
      </c>
      <c r="K1029" t="s">
        <v>33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2050</v>
      </c>
      <c r="J1030">
        <v>1.7387999999999999</v>
      </c>
      <c r="K1030" t="s">
        <v>33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2055</v>
      </c>
      <c r="J1031">
        <v>1.3464499999999999</v>
      </c>
      <c r="K1031" t="s">
        <v>33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2055</v>
      </c>
      <c r="J1032">
        <v>2.6589499999999999</v>
      </c>
      <c r="K1032" t="s">
        <v>33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2055</v>
      </c>
      <c r="J1033">
        <v>1.57935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2055</v>
      </c>
      <c r="J1034">
        <v>1.5321500000000001</v>
      </c>
      <c r="K1034" t="s">
        <v>33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2055</v>
      </c>
      <c r="J1035">
        <v>1.51485</v>
      </c>
      <c r="K1035" t="s">
        <v>33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2055</v>
      </c>
      <c r="J1036">
        <v>1.8517000000000001</v>
      </c>
      <c r="K1036" t="s">
        <v>33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2055</v>
      </c>
      <c r="J1037">
        <v>1.66615</v>
      </c>
      <c r="K1037" t="s">
        <v>33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2060</v>
      </c>
      <c r="J1038">
        <v>1.9051</v>
      </c>
      <c r="K1038" t="s">
        <v>33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2060</v>
      </c>
      <c r="J1039">
        <v>3.4098000000000002</v>
      </c>
      <c r="K1039" t="s">
        <v>33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2060</v>
      </c>
      <c r="J1040">
        <v>2.1811500000000001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2060</v>
      </c>
      <c r="J1042">
        <v>1.5146000000000002</v>
      </c>
      <c r="K1042" t="s">
        <v>33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2060</v>
      </c>
      <c r="J1043">
        <v>2.3400499999999997</v>
      </c>
      <c r="K1043" t="s">
        <v>33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2060</v>
      </c>
      <c r="J1044">
        <v>1.8959000000000001</v>
      </c>
      <c r="K1044" t="s">
        <v>33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2065</v>
      </c>
      <c r="J1045">
        <v>1.8803999999999998</v>
      </c>
      <c r="K1045" t="s">
        <v>33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2065</v>
      </c>
      <c r="J1046">
        <v>3.5568999999999997</v>
      </c>
      <c r="K1046" t="s">
        <v>33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2065</v>
      </c>
      <c r="J1047">
        <v>2.1503000000000001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2065</v>
      </c>
      <c r="J1048">
        <v>2.2705000000000002</v>
      </c>
      <c r="K1048" t="s">
        <v>33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2065</v>
      </c>
      <c r="J1049">
        <v>1.63405</v>
      </c>
      <c r="K1049" t="s">
        <v>33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2065</v>
      </c>
      <c r="J1050">
        <v>2.2040999999999999</v>
      </c>
      <c r="K1050" t="s">
        <v>33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2065</v>
      </c>
      <c r="J1051">
        <v>1.9075500000000001</v>
      </c>
      <c r="K1051" t="s">
        <v>33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2070</v>
      </c>
      <c r="J1052">
        <v>1.8557000000000001</v>
      </c>
      <c r="K1052" t="s">
        <v>33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2070</v>
      </c>
      <c r="J1053">
        <v>3.7039</v>
      </c>
      <c r="K1053" t="s">
        <v>33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2070</v>
      </c>
      <c r="J1054">
        <v>2.1193999999999997</v>
      </c>
      <c r="K1054" t="s">
        <v>33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2070</v>
      </c>
      <c r="J1055">
        <v>2.2568000000000001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2070</v>
      </c>
      <c r="J1056">
        <v>1.7535500000000002</v>
      </c>
      <c r="K1056" t="s">
        <v>33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2070</v>
      </c>
      <c r="J1057">
        <v>2.0681500000000002</v>
      </c>
      <c r="K1057" t="s">
        <v>33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2070</v>
      </c>
      <c r="J1058">
        <v>1.9191499999999999</v>
      </c>
      <c r="K1058" t="s">
        <v>33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2075</v>
      </c>
      <c r="J1059">
        <v>1.85775</v>
      </c>
      <c r="K1059" t="s">
        <v>33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2075</v>
      </c>
      <c r="J1060">
        <v>3.8219000000000003</v>
      </c>
      <c r="K1060" t="s">
        <v>33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2.0685000000000002</v>
      </c>
      <c r="K1061" t="s">
        <v>33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2075</v>
      </c>
      <c r="J1062">
        <v>2.2270000000000003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2075</v>
      </c>
      <c r="J1063">
        <v>1.8342499999999999</v>
      </c>
      <c r="K1063" t="s">
        <v>33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2075</v>
      </c>
      <c r="J1064">
        <v>2.1757499999999999</v>
      </c>
      <c r="K1064" t="s">
        <v>33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2075</v>
      </c>
      <c r="J1065">
        <v>2.0170500000000002</v>
      </c>
      <c r="K1065" t="s">
        <v>33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2080</v>
      </c>
      <c r="J1066">
        <v>1.8597999999999999</v>
      </c>
      <c r="K1066" t="s">
        <v>33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2080</v>
      </c>
      <c r="J1067">
        <v>3.9399000000000002</v>
      </c>
      <c r="K1067" t="s">
        <v>33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2080</v>
      </c>
      <c r="J1068">
        <v>2.0176500000000002</v>
      </c>
      <c r="K1068" t="s">
        <v>33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2080</v>
      </c>
      <c r="J1069">
        <v>2.1972499999999999</v>
      </c>
      <c r="K1069" t="s">
        <v>33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2080</v>
      </c>
      <c r="J1070">
        <v>1.9149500000000002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2080</v>
      </c>
      <c r="J1071">
        <v>2.28335</v>
      </c>
      <c r="K1071" t="s">
        <v>33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2080</v>
      </c>
      <c r="J1072">
        <v>2.1149</v>
      </c>
      <c r="K1072" t="s">
        <v>33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2085</v>
      </c>
      <c r="J1073">
        <v>1.8835500000000001</v>
      </c>
      <c r="K1073" t="s">
        <v>33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2085</v>
      </c>
      <c r="J1074">
        <v>4.0999499999999998</v>
      </c>
      <c r="K1074" t="s">
        <v>33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2085</v>
      </c>
      <c r="J1075">
        <v>2.0796000000000001</v>
      </c>
      <c r="K1075" t="s">
        <v>33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2085</v>
      </c>
      <c r="J1076">
        <v>2.1886000000000001</v>
      </c>
      <c r="K1076" t="s">
        <v>33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2085</v>
      </c>
      <c r="J1077">
        <v>1.8938000000000001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2085</v>
      </c>
      <c r="J1078">
        <v>2.29</v>
      </c>
      <c r="K1078" t="s">
        <v>33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2085</v>
      </c>
      <c r="J1079">
        <v>2.0994000000000002</v>
      </c>
      <c r="K1079" t="s">
        <v>33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2090</v>
      </c>
      <c r="J1080">
        <v>1.9073500000000001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4.2600999999999996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2090</v>
      </c>
      <c r="J1082">
        <v>2.1415499999999996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2090</v>
      </c>
      <c r="J1083">
        <v>2.1798999999999999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2090</v>
      </c>
      <c r="J1084">
        <v>1.8727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2090</v>
      </c>
      <c r="J1085">
        <v>2.2967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2090</v>
      </c>
      <c r="J1086">
        <v>2.0839499999999997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2095</v>
      </c>
      <c r="J1087">
        <v>1.81115</v>
      </c>
      <c r="K1087" t="s">
        <v>33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2095</v>
      </c>
      <c r="J1088">
        <v>4.2486499999999996</v>
      </c>
      <c r="K1088" t="s">
        <v>33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2095</v>
      </c>
      <c r="J1089">
        <v>1.9457</v>
      </c>
      <c r="K1089" t="s">
        <v>33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2095</v>
      </c>
      <c r="J1090">
        <v>2.117</v>
      </c>
      <c r="K1090" t="s">
        <v>33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2095</v>
      </c>
      <c r="J1091">
        <v>1.7038500000000001</v>
      </c>
      <c r="K1091" t="s">
        <v>33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2095</v>
      </c>
      <c r="J1092">
        <v>2.3285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2095</v>
      </c>
      <c r="J1093">
        <v>1.94255</v>
      </c>
      <c r="K1093" t="s">
        <v>33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2100</v>
      </c>
      <c r="J1094">
        <v>1.7150500000000002</v>
      </c>
      <c r="K1094" t="s">
        <v>33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4.2371499999999997</v>
      </c>
      <c r="K1095" t="s">
        <v>33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1.7498</v>
      </c>
      <c r="K1096" t="s">
        <v>33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2100</v>
      </c>
      <c r="J1097">
        <v>2.0540000000000003</v>
      </c>
      <c r="K1097" t="s">
        <v>33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2100</v>
      </c>
      <c r="J1098">
        <v>1.53505</v>
      </c>
      <c r="K1098" t="s">
        <v>33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2100</v>
      </c>
      <c r="J1099">
        <v>2.3602499999999997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2020</v>
      </c>
      <c r="J1102">
        <v>3.9710999999999999</v>
      </c>
      <c r="K1102" t="s">
        <v>35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2020</v>
      </c>
      <c r="J1103">
        <v>3.9710999999999999</v>
      </c>
      <c r="K1103" t="s">
        <v>35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2020</v>
      </c>
      <c r="J1104">
        <v>3.9710999999999999</v>
      </c>
      <c r="K1104" t="s">
        <v>35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2020</v>
      </c>
      <c r="J1105">
        <v>3.9710999999999999</v>
      </c>
      <c r="K1105" t="s">
        <v>35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2020</v>
      </c>
      <c r="J1106">
        <v>3.9710999999999999</v>
      </c>
      <c r="K1106" t="s">
        <v>35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2020</v>
      </c>
      <c r="J1107">
        <v>3.9710999999999999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2025</v>
      </c>
      <c r="J1108">
        <v>4.6235499999999998</v>
      </c>
      <c r="K1108" t="s">
        <v>35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2025</v>
      </c>
      <c r="J1109">
        <v>4.6684000000000001</v>
      </c>
      <c r="K1109" t="s">
        <v>35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2025</v>
      </c>
      <c r="J1110">
        <v>4.6684000000000001</v>
      </c>
      <c r="K1110" t="s">
        <v>35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2025</v>
      </c>
      <c r="J1111">
        <v>4.6684000000000001</v>
      </c>
      <c r="K1111" t="s">
        <v>35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2025</v>
      </c>
      <c r="J1112">
        <v>4.6830999999999996</v>
      </c>
      <c r="K1112" t="s">
        <v>35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2025</v>
      </c>
      <c r="J1113">
        <v>4.5302500000000006</v>
      </c>
      <c r="K1113" t="s">
        <v>35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2025</v>
      </c>
      <c r="J1114">
        <v>5.1760999999999999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2030</v>
      </c>
      <c r="J1115">
        <v>4.5418000000000003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2030</v>
      </c>
      <c r="J1116">
        <v>4.6227999999999998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2030</v>
      </c>
      <c r="J1117">
        <v>4.6227999999999998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2030</v>
      </c>
      <c r="J1118">
        <v>4.6227999999999998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2030</v>
      </c>
      <c r="J1119">
        <v>4.3525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4.2876500000000002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2030</v>
      </c>
      <c r="J1121">
        <v>5.5630500000000005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2035</v>
      </c>
      <c r="J1122">
        <v>5.2363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2035</v>
      </c>
      <c r="J1123">
        <v>4.9910999999999994</v>
      </c>
      <c r="K1123" t="s">
        <v>35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2035</v>
      </c>
      <c r="J1124">
        <v>5.7273500000000004</v>
      </c>
      <c r="K1124" t="s">
        <v>35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2035</v>
      </c>
      <c r="J1125">
        <v>5.0059500000000003</v>
      </c>
      <c r="K1125" t="s">
        <v>35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2035</v>
      </c>
      <c r="J1126">
        <v>5.21875</v>
      </c>
      <c r="K1126" t="s">
        <v>35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2035</v>
      </c>
      <c r="J1127">
        <v>4.73515</v>
      </c>
      <c r="K1127" t="s">
        <v>35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2035</v>
      </c>
      <c r="J1128">
        <v>5.8599999999999994</v>
      </c>
      <c r="K1128" t="s">
        <v>35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2040</v>
      </c>
      <c r="J1129">
        <v>5.0498499999999993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2040</v>
      </c>
      <c r="J1130">
        <v>5.2395999999999994</v>
      </c>
      <c r="K1130" t="s">
        <v>35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2040</v>
      </c>
      <c r="J1131">
        <v>5.2990500000000003</v>
      </c>
      <c r="K1131" t="s">
        <v>35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2040</v>
      </c>
      <c r="J1132">
        <v>4.9135</v>
      </c>
      <c r="K1132" t="s">
        <v>35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2040</v>
      </c>
      <c r="J1133">
        <v>4.6133500000000005</v>
      </c>
      <c r="K1133" t="s">
        <v>35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2040</v>
      </c>
      <c r="J1134">
        <v>5.0349500000000003</v>
      </c>
      <c r="K1134" t="s">
        <v>35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2040</v>
      </c>
      <c r="J1135">
        <v>5.7446000000000002</v>
      </c>
      <c r="K1135" t="s">
        <v>35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2045</v>
      </c>
      <c r="J1136">
        <v>4.7785500000000001</v>
      </c>
      <c r="K1136" t="s">
        <v>35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2045</v>
      </c>
      <c r="J1137">
        <v>5.4906499999999996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2045</v>
      </c>
      <c r="J1138">
        <v>4.6289499999999997</v>
      </c>
      <c r="K1138" t="s">
        <v>35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2045</v>
      </c>
      <c r="J1139">
        <v>5.3256499999999996</v>
      </c>
      <c r="K1139" t="s">
        <v>35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4.0944000000000003</v>
      </c>
      <c r="K1140" t="s">
        <v>35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2045</v>
      </c>
      <c r="J1141">
        <v>5.3595000000000006</v>
      </c>
      <c r="K1141" t="s">
        <v>35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2045</v>
      </c>
      <c r="J1142">
        <v>4.9245999999999999</v>
      </c>
      <c r="K1142" t="s">
        <v>35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2050</v>
      </c>
      <c r="J1143">
        <v>4.8227500000000001</v>
      </c>
      <c r="K1143" t="s">
        <v>35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2050</v>
      </c>
      <c r="J1144">
        <v>5.6541999999999994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2050</v>
      </c>
      <c r="J1145">
        <v>4.1950500000000002</v>
      </c>
      <c r="K1145" t="s">
        <v>35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2050</v>
      </c>
      <c r="J1146">
        <v>5.0952500000000001</v>
      </c>
      <c r="K1146" t="s">
        <v>35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2050</v>
      </c>
      <c r="J1147">
        <v>4.16275</v>
      </c>
      <c r="K1147" t="s">
        <v>35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2050</v>
      </c>
      <c r="J1148">
        <v>5.3207000000000004</v>
      </c>
      <c r="K1148" t="s">
        <v>35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2050</v>
      </c>
      <c r="J1149">
        <v>4.4139499999999998</v>
      </c>
      <c r="K1149" t="s">
        <v>35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2055</v>
      </c>
      <c r="J1150">
        <v>4.5329499999999996</v>
      </c>
      <c r="K1150" t="s">
        <v>35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2055</v>
      </c>
      <c r="J1151">
        <v>5.6654</v>
      </c>
      <c r="K1151" t="s">
        <v>35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2055</v>
      </c>
      <c r="J1152">
        <v>4.3904499999999995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2055</v>
      </c>
      <c r="J1153">
        <v>4.8427000000000007</v>
      </c>
      <c r="K1153" t="s">
        <v>35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2055</v>
      </c>
      <c r="J1154">
        <v>4.0207499999999996</v>
      </c>
      <c r="K1154" t="s">
        <v>35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2055</v>
      </c>
      <c r="J1155">
        <v>5.03695</v>
      </c>
      <c r="K1155" t="s">
        <v>35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2055</v>
      </c>
      <c r="J1156">
        <v>4.5674000000000001</v>
      </c>
      <c r="K1156" t="s">
        <v>35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2060</v>
      </c>
      <c r="J1157">
        <v>5.8452000000000002</v>
      </c>
      <c r="K1157" t="s">
        <v>35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2060</v>
      </c>
      <c r="J1158">
        <v>6.6663999999999994</v>
      </c>
      <c r="K1158" t="s">
        <v>35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2060</v>
      </c>
      <c r="J1159">
        <v>5.1861999999999995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2060</v>
      </c>
      <c r="J1161">
        <v>5.0639500000000002</v>
      </c>
      <c r="K1161" t="s">
        <v>35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2060</v>
      </c>
      <c r="J1162">
        <v>6.1361500000000007</v>
      </c>
      <c r="K1162" t="s">
        <v>35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2060</v>
      </c>
      <c r="J1163">
        <v>5.5579999999999998</v>
      </c>
      <c r="K1163" t="s">
        <v>35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2065</v>
      </c>
      <c r="J1164">
        <v>5.5266999999999999</v>
      </c>
      <c r="K1164" t="s">
        <v>35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2065</v>
      </c>
      <c r="J1165">
        <v>6.5385</v>
      </c>
      <c r="K1165" t="s">
        <v>35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2065</v>
      </c>
      <c r="J1166">
        <v>5.0748999999999995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2065</v>
      </c>
      <c r="J1167">
        <v>5.65855</v>
      </c>
      <c r="K1167" t="s">
        <v>35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2065</v>
      </c>
      <c r="J1168">
        <v>5.1820000000000004</v>
      </c>
      <c r="K1168" t="s">
        <v>35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2065</v>
      </c>
      <c r="J1169">
        <v>5.9593500000000006</v>
      </c>
      <c r="K1169" t="s">
        <v>35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2065</v>
      </c>
      <c r="J1170">
        <v>5.8658999999999999</v>
      </c>
      <c r="K1170" t="s">
        <v>35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2070</v>
      </c>
      <c r="J1171">
        <v>5.2081999999999997</v>
      </c>
      <c r="K1171" t="s">
        <v>35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2070</v>
      </c>
      <c r="J1172">
        <v>6.4105500000000006</v>
      </c>
      <c r="K1172" t="s">
        <v>35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2070</v>
      </c>
      <c r="J1173">
        <v>4.9635999999999996</v>
      </c>
      <c r="K1173" t="s">
        <v>35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2070</v>
      </c>
      <c r="J1174">
        <v>5.4417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2070</v>
      </c>
      <c r="J1175">
        <v>5.3000500000000006</v>
      </c>
      <c r="K1175" t="s">
        <v>35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2070</v>
      </c>
      <c r="J1176">
        <v>5.7826500000000003</v>
      </c>
      <c r="K1176" t="s">
        <v>35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2070</v>
      </c>
      <c r="J1177">
        <v>6.1738</v>
      </c>
      <c r="K1177" t="s">
        <v>35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2075</v>
      </c>
      <c r="J1178">
        <v>5.0817499999999995</v>
      </c>
      <c r="K1178" t="s">
        <v>35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2075</v>
      </c>
      <c r="J1179">
        <v>6.6208</v>
      </c>
      <c r="K1179" t="s">
        <v>35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5.0854999999999997</v>
      </c>
      <c r="K1180" t="s">
        <v>35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2075</v>
      </c>
      <c r="J1181">
        <v>5.4064499999999995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2075</v>
      </c>
      <c r="J1182">
        <v>5.1056999999999997</v>
      </c>
      <c r="K1182" t="s">
        <v>35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2075</v>
      </c>
      <c r="J1183">
        <v>5.7862499999999999</v>
      </c>
      <c r="K1183" t="s">
        <v>35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2075</v>
      </c>
      <c r="J1184">
        <v>6.0717999999999996</v>
      </c>
      <c r="K1184" t="s">
        <v>35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2080</v>
      </c>
      <c r="J1185">
        <v>4.9551999999999996</v>
      </c>
      <c r="K1185" t="s">
        <v>35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2080</v>
      </c>
      <c r="J1186">
        <v>6.8310500000000003</v>
      </c>
      <c r="K1186" t="s">
        <v>35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2080</v>
      </c>
      <c r="J1187">
        <v>5.2074499999999997</v>
      </c>
      <c r="K1187" t="s">
        <v>35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2080</v>
      </c>
      <c r="J1188">
        <v>5.3712499999999999</v>
      </c>
      <c r="K1188" t="s">
        <v>35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2080</v>
      </c>
      <c r="J1189">
        <v>4.9113500000000005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2080</v>
      </c>
      <c r="J1190">
        <v>5.7898499999999995</v>
      </c>
      <c r="K1190" t="s">
        <v>35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2080</v>
      </c>
      <c r="J1191">
        <v>5.9697999999999993</v>
      </c>
      <c r="K1191" t="s">
        <v>35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2085</v>
      </c>
      <c r="J1192">
        <v>5.0263999999999998</v>
      </c>
      <c r="K1192" t="s">
        <v>35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2085</v>
      </c>
      <c r="J1193">
        <v>7.0742500000000001</v>
      </c>
      <c r="K1193" t="s">
        <v>35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2085</v>
      </c>
      <c r="J1194">
        <v>5.1766000000000005</v>
      </c>
      <c r="K1194" t="s">
        <v>35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2085</v>
      </c>
      <c r="J1195">
        <v>5.36965</v>
      </c>
      <c r="K1195" t="s">
        <v>35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2085</v>
      </c>
      <c r="J1196">
        <v>4.8847000000000005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2085</v>
      </c>
      <c r="J1197">
        <v>5.8544</v>
      </c>
      <c r="K1197" t="s">
        <v>35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2085</v>
      </c>
      <c r="J1198">
        <v>5.8603500000000004</v>
      </c>
      <c r="K1198" t="s">
        <v>35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2090</v>
      </c>
      <c r="J1199">
        <v>5.0976499999999998</v>
      </c>
      <c r="K1199" t="s">
        <v>35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7.31745</v>
      </c>
      <c r="K1200" t="s">
        <v>35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2090</v>
      </c>
      <c r="J1201">
        <v>5.1458000000000004</v>
      </c>
      <c r="K1201" t="s">
        <v>35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2090</v>
      </c>
      <c r="J1202">
        <v>5.3680500000000002</v>
      </c>
      <c r="K1202" t="s">
        <v>35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2090</v>
      </c>
      <c r="J1203">
        <v>4.8580500000000004</v>
      </c>
      <c r="K1203" t="s">
        <v>35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2090</v>
      </c>
      <c r="J1204">
        <v>5.9189499999999997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2090</v>
      </c>
      <c r="J1205">
        <v>5.7508499999999998</v>
      </c>
      <c r="K1205" t="s">
        <v>35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2095</v>
      </c>
      <c r="J1206">
        <v>5.0595999999999997</v>
      </c>
      <c r="K1206" t="s">
        <v>35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2095</v>
      </c>
      <c r="J1207">
        <v>7.4690499999999993</v>
      </c>
      <c r="K1207" t="s">
        <v>35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2095</v>
      </c>
      <c r="J1208">
        <v>5.0733999999999995</v>
      </c>
      <c r="K1208" t="s">
        <v>35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2095</v>
      </c>
      <c r="J1209">
        <v>5.4055999999999997</v>
      </c>
      <c r="K1209" t="s">
        <v>35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2095</v>
      </c>
      <c r="J1210">
        <v>4.3528500000000001</v>
      </c>
      <c r="K1210" t="s">
        <v>35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2095</v>
      </c>
      <c r="J1211">
        <v>5.9424000000000001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2095</v>
      </c>
      <c r="J1212">
        <v>5.3330500000000001</v>
      </c>
      <c r="K1212" t="s">
        <v>35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2100</v>
      </c>
      <c r="J1213">
        <v>5.0215499999999995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2100</v>
      </c>
      <c r="J1214">
        <v>7.6207000000000003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2100</v>
      </c>
      <c r="J1215">
        <v>5.0011000000000001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2100</v>
      </c>
      <c r="J1216">
        <v>5.4432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2100</v>
      </c>
      <c r="J1217">
        <v>3.8476499999999998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2100</v>
      </c>
      <c r="J1218">
        <v>5.9658999999999995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82.284700000000001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2020</v>
      </c>
      <c r="J1221">
        <v>82.284700000000001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2020</v>
      </c>
      <c r="J1222">
        <v>82.284700000000001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2020</v>
      </c>
      <c r="J1223">
        <v>82.284700000000001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2020</v>
      </c>
      <c r="J1224">
        <v>82.284700000000001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2020</v>
      </c>
      <c r="J1225">
        <v>82.284700000000001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2020</v>
      </c>
      <c r="J1226">
        <v>82.284700000000001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2025</v>
      </c>
      <c r="J1227">
        <v>89.96575</v>
      </c>
      <c r="K1227" t="s">
        <v>37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2025</v>
      </c>
      <c r="J1228">
        <v>95.1999</v>
      </c>
      <c r="K1228" t="s">
        <v>37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2025</v>
      </c>
      <c r="J1229">
        <v>95.1999</v>
      </c>
      <c r="K1229" t="s">
        <v>37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2025</v>
      </c>
      <c r="J1230">
        <v>95.1999</v>
      </c>
      <c r="K1230" t="s">
        <v>37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2025</v>
      </c>
      <c r="J1231">
        <v>42.180800000000005</v>
      </c>
      <c r="K1231" t="s">
        <v>37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2025</v>
      </c>
      <c r="J1232">
        <v>90.086849999999998</v>
      </c>
      <c r="K1232" t="s">
        <v>37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2025</v>
      </c>
      <c r="J1233">
        <v>82.312600000000003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2030</v>
      </c>
      <c r="J1234">
        <v>91.722499999999997</v>
      </c>
      <c r="K1234" t="s">
        <v>37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2030</v>
      </c>
      <c r="J1235">
        <v>85.915099999999995</v>
      </c>
      <c r="K1235" t="s">
        <v>37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2030</v>
      </c>
      <c r="J1236">
        <v>85.915099999999995</v>
      </c>
      <c r="K1236" t="s">
        <v>37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2030</v>
      </c>
      <c r="J1237">
        <v>85.915099999999995</v>
      </c>
      <c r="K1237" t="s">
        <v>37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2030</v>
      </c>
      <c r="J1238">
        <v>79.161200000000008</v>
      </c>
      <c r="K1238" t="s">
        <v>37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91.933149999999998</v>
      </c>
      <c r="K1239" t="s">
        <v>37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2030</v>
      </c>
      <c r="J1240">
        <v>93.561599999999999</v>
      </c>
      <c r="K1240" t="s">
        <v>37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2035</v>
      </c>
      <c r="J1241">
        <v>80.866849999999999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2035</v>
      </c>
      <c r="J1242">
        <v>88.236950000000007</v>
      </c>
      <c r="K1242" t="s">
        <v>37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2035</v>
      </c>
      <c r="J1243">
        <v>67.341350000000006</v>
      </c>
      <c r="K1243" t="s">
        <v>37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2035</v>
      </c>
      <c r="J1244">
        <v>70.272050000000007</v>
      </c>
      <c r="K1244" t="s">
        <v>37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2035</v>
      </c>
      <c r="J1245">
        <v>85.023949999999999</v>
      </c>
      <c r="K1245" t="s">
        <v>37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2035</v>
      </c>
      <c r="J1246">
        <v>84.959299999999999</v>
      </c>
      <c r="K1246" t="s">
        <v>37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2035</v>
      </c>
      <c r="J1247">
        <v>105.96599999999999</v>
      </c>
      <c r="K1247" t="s">
        <v>37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2040</v>
      </c>
      <c r="J1248">
        <v>94.775350000000003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2040</v>
      </c>
      <c r="J1249">
        <v>98.972450000000009</v>
      </c>
      <c r="K1249" t="s">
        <v>37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2040</v>
      </c>
      <c r="J1250">
        <v>120.63204999999999</v>
      </c>
      <c r="K1250" t="s">
        <v>37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2040</v>
      </c>
      <c r="J1251">
        <v>99.064899999999994</v>
      </c>
      <c r="K1251" t="s">
        <v>37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2040</v>
      </c>
      <c r="J1252">
        <v>98.771500000000003</v>
      </c>
      <c r="K1252" t="s">
        <v>37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2040</v>
      </c>
      <c r="J1253">
        <v>101.9907</v>
      </c>
      <c r="K1253" t="s">
        <v>37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2040</v>
      </c>
      <c r="J1254">
        <v>133.94040000000001</v>
      </c>
      <c r="K1254" t="s">
        <v>37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2045</v>
      </c>
      <c r="J1255">
        <v>109.4058</v>
      </c>
      <c r="K1255" t="s">
        <v>37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2045</v>
      </c>
      <c r="J1256">
        <v>109.85804999999999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2045</v>
      </c>
      <c r="J1257">
        <v>160.59660000000002</v>
      </c>
      <c r="K1257" t="s">
        <v>37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2045</v>
      </c>
      <c r="J1258">
        <v>125.70115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92.769149999999996</v>
      </c>
      <c r="K1259" t="s">
        <v>37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2045</v>
      </c>
      <c r="J1260">
        <v>119.41069999999999</v>
      </c>
      <c r="K1260" t="s">
        <v>37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2045</v>
      </c>
      <c r="J1261">
        <v>142.2116</v>
      </c>
      <c r="K1261" t="s">
        <v>37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2050</v>
      </c>
      <c r="J1262">
        <v>127.68880000000001</v>
      </c>
      <c r="K1262" t="s">
        <v>37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2050</v>
      </c>
      <c r="J1263">
        <v>118.9221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2050</v>
      </c>
      <c r="J1264">
        <v>161.64535000000001</v>
      </c>
      <c r="K1264" t="s">
        <v>37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2050</v>
      </c>
      <c r="J1265">
        <v>127.8946</v>
      </c>
      <c r="K1265" t="s">
        <v>37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2050</v>
      </c>
      <c r="J1266">
        <v>123.6588</v>
      </c>
      <c r="K1266" t="s">
        <v>37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2050</v>
      </c>
      <c r="J1267">
        <v>134.60120000000001</v>
      </c>
      <c r="K1267" t="s">
        <v>37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2050</v>
      </c>
      <c r="J1268">
        <v>146.59960000000001</v>
      </c>
      <c r="K1268" t="s">
        <v>37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2055</v>
      </c>
      <c r="J1269">
        <v>138.68365</v>
      </c>
      <c r="K1269" t="s">
        <v>37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2055</v>
      </c>
      <c r="J1270">
        <v>132.76395000000002</v>
      </c>
      <c r="K1270" t="s">
        <v>37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2055</v>
      </c>
      <c r="J1271">
        <v>174.55090000000001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2055</v>
      </c>
      <c r="J1272">
        <v>139.0829</v>
      </c>
      <c r="K1272" t="s">
        <v>37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2055</v>
      </c>
      <c r="J1273">
        <v>138.9537</v>
      </c>
      <c r="K1273" t="s">
        <v>37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2055</v>
      </c>
      <c r="J1274">
        <v>143.03975</v>
      </c>
      <c r="K1274" t="s">
        <v>37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2055</v>
      </c>
      <c r="J1275">
        <v>175.14765</v>
      </c>
      <c r="K1275" t="s">
        <v>37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2060</v>
      </c>
      <c r="J1276">
        <v>231.57419999999999</v>
      </c>
      <c r="K1276" t="s">
        <v>37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2060</v>
      </c>
      <c r="J1277">
        <v>202.08070000000001</v>
      </c>
      <c r="K1277" t="s">
        <v>37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2060</v>
      </c>
      <c r="J1278">
        <v>296.1721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220.98079999999999</v>
      </c>
      <c r="K1279" t="s">
        <v>37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2060</v>
      </c>
      <c r="J1280">
        <v>209.56855000000002</v>
      </c>
      <c r="K1280" t="s">
        <v>37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2060</v>
      </c>
      <c r="J1281">
        <v>231.95824999999999</v>
      </c>
      <c r="K1281" t="s">
        <v>37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2060</v>
      </c>
      <c r="J1282">
        <v>294.91550000000001</v>
      </c>
      <c r="K1282" t="s">
        <v>37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2065</v>
      </c>
      <c r="J1283">
        <v>276.86974999999995</v>
      </c>
      <c r="K1283" t="s">
        <v>37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2065</v>
      </c>
      <c r="J1284">
        <v>247.37195</v>
      </c>
      <c r="K1284" t="s">
        <v>37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2065</v>
      </c>
      <c r="J1285">
        <v>359.3349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2065</v>
      </c>
      <c r="J1286">
        <v>277.65129999999999</v>
      </c>
      <c r="K1286" t="s">
        <v>37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2065</v>
      </c>
      <c r="J1287">
        <v>259.17174999999997</v>
      </c>
      <c r="K1287" t="s">
        <v>37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2065</v>
      </c>
      <c r="J1288">
        <v>275.41724999999997</v>
      </c>
      <c r="K1288" t="s">
        <v>37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2065</v>
      </c>
      <c r="J1289">
        <v>396.57960000000003</v>
      </c>
      <c r="K1289" t="s">
        <v>37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2070</v>
      </c>
      <c r="J1290">
        <v>322.16525000000001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2070</v>
      </c>
      <c r="J1291">
        <v>292.66325000000001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2070</v>
      </c>
      <c r="J1292">
        <v>422.49770000000001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2070</v>
      </c>
      <c r="J1293">
        <v>334.3218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2070</v>
      </c>
      <c r="J1294">
        <v>308.77499999999998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2070</v>
      </c>
      <c r="J1295">
        <v>318.87615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2070</v>
      </c>
      <c r="J1296">
        <v>498.24369999999999</v>
      </c>
      <c r="K1296" t="s">
        <v>37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2075</v>
      </c>
      <c r="J1297">
        <v>329.49990000000003</v>
      </c>
      <c r="K1297" t="s">
        <v>37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2075</v>
      </c>
      <c r="J1298">
        <v>289.27425000000005</v>
      </c>
      <c r="K1298" t="s">
        <v>37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431.72564999999997</v>
      </c>
      <c r="K1299" t="s">
        <v>37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2075</v>
      </c>
      <c r="J1300">
        <v>336.99554999999998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2075</v>
      </c>
      <c r="J1301">
        <v>299.42885000000001</v>
      </c>
      <c r="K1301" t="s">
        <v>37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2075</v>
      </c>
      <c r="J1302">
        <v>305.05365</v>
      </c>
      <c r="K1302" t="s">
        <v>37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2075</v>
      </c>
      <c r="J1303">
        <v>516.12689999999998</v>
      </c>
      <c r="K1303" t="s">
        <v>37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2080</v>
      </c>
      <c r="J1304">
        <v>336.83455000000004</v>
      </c>
      <c r="K1304" t="s">
        <v>37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2080</v>
      </c>
      <c r="J1305">
        <v>285.88525000000004</v>
      </c>
      <c r="K1305" t="s">
        <v>37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2080</v>
      </c>
      <c r="J1306">
        <v>440.95359999999999</v>
      </c>
      <c r="K1306" t="s">
        <v>37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2080</v>
      </c>
      <c r="J1307">
        <v>339.66935000000001</v>
      </c>
      <c r="K1307" t="s">
        <v>37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2080</v>
      </c>
      <c r="J1308">
        <v>290.08265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2080</v>
      </c>
      <c r="J1309">
        <v>291.23109999999997</v>
      </c>
      <c r="K1309" t="s">
        <v>37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2080</v>
      </c>
      <c r="J1310">
        <v>534.01009999999997</v>
      </c>
      <c r="K1310" t="s">
        <v>37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2085</v>
      </c>
      <c r="J1311">
        <v>339.76205000000004</v>
      </c>
      <c r="K1311" t="s">
        <v>37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2085</v>
      </c>
      <c r="J1312">
        <v>283.90915000000001</v>
      </c>
      <c r="K1312" t="s">
        <v>37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2085</v>
      </c>
      <c r="J1313">
        <v>441.67345</v>
      </c>
      <c r="K1313" t="s">
        <v>37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2085</v>
      </c>
      <c r="J1314">
        <v>332.01355000000001</v>
      </c>
      <c r="K1314" t="s">
        <v>37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2085</v>
      </c>
      <c r="J1315">
        <v>283.4889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2085</v>
      </c>
      <c r="J1316">
        <v>276.61815000000001</v>
      </c>
      <c r="K1316" t="s">
        <v>37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2085</v>
      </c>
      <c r="J1317">
        <v>540.76405</v>
      </c>
      <c r="K1317" t="s">
        <v>37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2090</v>
      </c>
      <c r="J1318">
        <v>342.68944999999997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281.93314999999996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2090</v>
      </c>
      <c r="J1320">
        <v>442.39335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2090</v>
      </c>
      <c r="J1321">
        <v>324.35770000000002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2090</v>
      </c>
      <c r="J1322">
        <v>276.89509999999996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2090</v>
      </c>
      <c r="J1323">
        <v>262.00514999999996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2090</v>
      </c>
      <c r="J1324">
        <v>547.51790000000005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2095</v>
      </c>
      <c r="J1325">
        <v>348.86220000000003</v>
      </c>
      <c r="K1325" t="s">
        <v>37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2095</v>
      </c>
      <c r="J1326">
        <v>274.43950000000001</v>
      </c>
      <c r="K1326" t="s">
        <v>37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2095</v>
      </c>
      <c r="J1327">
        <v>450.49324999999999</v>
      </c>
      <c r="K1327" t="s">
        <v>37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2095</v>
      </c>
      <c r="J1328">
        <v>338.12104999999997</v>
      </c>
      <c r="K1328" t="s">
        <v>37</v>
      </c>
    </row>
    <row r="1329" spans="1:12" x14ac:dyDescent="0.45">
      <c r="A1329" t="s">
        <v>90</v>
      </c>
      <c r="B1329" t="s">
        <v>5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2095</v>
      </c>
      <c r="J1329">
        <v>304.50725</v>
      </c>
      <c r="K1329" t="s">
        <v>37</v>
      </c>
    </row>
    <row r="1330" spans="1:12" x14ac:dyDescent="0.45">
      <c r="A1330" t="s">
        <v>90</v>
      </c>
      <c r="B1330" t="s">
        <v>2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2095</v>
      </c>
      <c r="J1330">
        <v>277.25805000000003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2095</v>
      </c>
      <c r="J1331">
        <v>571.23070000000007</v>
      </c>
      <c r="K1331" t="s">
        <v>37</v>
      </c>
    </row>
    <row r="1332" spans="1:12" x14ac:dyDescent="0.45">
      <c r="A1332" t="s">
        <v>90</v>
      </c>
      <c r="B1332" t="s">
        <v>3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2100</v>
      </c>
      <c r="J1332">
        <v>355.03494999999998</v>
      </c>
      <c r="K1332" t="s">
        <v>37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2100</v>
      </c>
      <c r="J1333">
        <v>266.94579999999996</v>
      </c>
      <c r="K1333" t="s">
        <v>37</v>
      </c>
    </row>
    <row r="1334" spans="1:12" x14ac:dyDescent="0.45">
      <c r="A1334" t="s">
        <v>90</v>
      </c>
      <c r="B1334" t="s">
        <v>0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2100</v>
      </c>
      <c r="J1334">
        <v>458.59320000000002</v>
      </c>
      <c r="K1334" t="s">
        <v>37</v>
      </c>
    </row>
    <row r="1335" spans="1:12" x14ac:dyDescent="0.45">
      <c r="A1335" t="s">
        <v>90</v>
      </c>
      <c r="B1335" t="s">
        <v>6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2100</v>
      </c>
      <c r="J1335">
        <v>351.88430000000005</v>
      </c>
      <c r="K1335" t="s">
        <v>37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332.11930000000001</v>
      </c>
      <c r="K1336" t="s">
        <v>37</v>
      </c>
    </row>
    <row r="1337" spans="1:12" x14ac:dyDescent="0.45">
      <c r="A1337" t="s">
        <v>90</v>
      </c>
      <c r="B1337" t="s">
        <v>2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2100</v>
      </c>
      <c r="J1337">
        <v>292.51094999999998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594.94344999999998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3.2500000000000001E-2</v>
      </c>
      <c r="K1339" t="s">
        <v>52</v>
      </c>
      <c r="L1339">
        <v>94</v>
      </c>
    </row>
    <row r="1340" spans="1:12" x14ac:dyDescent="0.45">
      <c r="A1340" t="s">
        <v>90</v>
      </c>
      <c r="B1340" t="s">
        <v>4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2020</v>
      </c>
      <c r="J1340">
        <v>3.2399999999999998E-2</v>
      </c>
      <c r="K1340" t="s">
        <v>52</v>
      </c>
      <c r="L1340">
        <v>94</v>
      </c>
    </row>
    <row r="1341" spans="1:12" x14ac:dyDescent="0.45">
      <c r="A1341" t="s">
        <v>90</v>
      </c>
      <c r="B1341" t="s">
        <v>0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2020</v>
      </c>
      <c r="J1341">
        <v>3.27E-2</v>
      </c>
      <c r="K1341" t="s">
        <v>52</v>
      </c>
      <c r="L1341">
        <v>94</v>
      </c>
    </row>
    <row r="1342" spans="1:12" x14ac:dyDescent="0.45">
      <c r="A1342" t="s">
        <v>90</v>
      </c>
      <c r="B1342" t="s">
        <v>6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2020</v>
      </c>
      <c r="J1342">
        <v>3.2500000000000001E-2</v>
      </c>
      <c r="K1342" t="s">
        <v>52</v>
      </c>
      <c r="L1342">
        <v>94</v>
      </c>
    </row>
    <row r="1343" spans="1:12" x14ac:dyDescent="0.45">
      <c r="A1343" t="s">
        <v>90</v>
      </c>
      <c r="B1343" t="s">
        <v>5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2020</v>
      </c>
      <c r="J1343">
        <v>3.2000000000000001E-2</v>
      </c>
      <c r="K1343" t="s">
        <v>52</v>
      </c>
      <c r="L1343">
        <v>94</v>
      </c>
    </row>
    <row r="1344" spans="1:12" x14ac:dyDescent="0.45">
      <c r="A1344" t="s">
        <v>90</v>
      </c>
      <c r="B1344" t="s">
        <v>2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2020</v>
      </c>
      <c r="J1344">
        <v>3.2599999999999997E-2</v>
      </c>
      <c r="K1344" t="s">
        <v>52</v>
      </c>
      <c r="L1344">
        <v>94</v>
      </c>
    </row>
    <row r="1345" spans="1:12" x14ac:dyDescent="0.45">
      <c r="A1345" t="s">
        <v>90</v>
      </c>
      <c r="B1345" t="s">
        <v>1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2020</v>
      </c>
      <c r="J1345">
        <v>3.3399999999999999E-2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2025</v>
      </c>
      <c r="J1346">
        <v>7.0000000000000001E-3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2025</v>
      </c>
      <c r="J1347">
        <v>8.6E-3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2025</v>
      </c>
      <c r="J1348">
        <v>8.6999999999999994E-3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2025</v>
      </c>
      <c r="J1349">
        <v>8.6999999999999994E-3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2025</v>
      </c>
      <c r="J1350">
        <v>5.4000000000000003E-3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2025</v>
      </c>
      <c r="J1351">
        <v>5.7000000000000002E-3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2025</v>
      </c>
      <c r="J1352">
        <v>6.4000000000000003E-3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2030</v>
      </c>
      <c r="J1353">
        <v>5.0000000000000001E-4</v>
      </c>
      <c r="K1353" t="s">
        <v>52</v>
      </c>
      <c r="L1353">
        <v>94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2030</v>
      </c>
      <c r="J1354">
        <v>2.5000000000000001E-3</v>
      </c>
      <c r="K1354" t="s">
        <v>52</v>
      </c>
      <c r="L1354">
        <v>94</v>
      </c>
    </row>
    <row r="1355" spans="1:12" x14ac:dyDescent="0.45">
      <c r="A1355" t="s">
        <v>90</v>
      </c>
      <c r="B1355" t="s">
        <v>0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2030</v>
      </c>
      <c r="J1355">
        <v>2.5000000000000001E-3</v>
      </c>
      <c r="K1355" t="s">
        <v>52</v>
      </c>
      <c r="L1355">
        <v>94</v>
      </c>
    </row>
    <row r="1356" spans="1:12" x14ac:dyDescent="0.45">
      <c r="A1356" t="s">
        <v>90</v>
      </c>
      <c r="B1356" t="s">
        <v>6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2030</v>
      </c>
      <c r="J1356">
        <v>2.5000000000000001E-3</v>
      </c>
      <c r="K1356" t="s">
        <v>52</v>
      </c>
      <c r="L1356">
        <v>94</v>
      </c>
    </row>
    <row r="1357" spans="1:12" x14ac:dyDescent="0.45">
      <c r="A1357" t="s">
        <v>90</v>
      </c>
      <c r="B1357" t="s">
        <v>5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2030</v>
      </c>
      <c r="J1357">
        <v>0</v>
      </c>
      <c r="K1357" t="s">
        <v>52</v>
      </c>
      <c r="L1357">
        <v>94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0</v>
      </c>
      <c r="K1358" t="s">
        <v>52</v>
      </c>
      <c r="L1358">
        <v>94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2030</v>
      </c>
      <c r="J1359">
        <v>0</v>
      </c>
      <c r="K1359" t="s">
        <v>52</v>
      </c>
      <c r="L1359">
        <v>94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2035</v>
      </c>
      <c r="J1360">
        <v>0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2035</v>
      </c>
      <c r="J1361">
        <v>2.2000000000000001E-3</v>
      </c>
      <c r="K1361" t="s">
        <v>52</v>
      </c>
      <c r="L1361">
        <v>94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2035</v>
      </c>
      <c r="J1362">
        <v>8.9999999999999998E-4</v>
      </c>
      <c r="K1362" t="s">
        <v>52</v>
      </c>
      <c r="L1362">
        <v>94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2035</v>
      </c>
      <c r="J1363">
        <v>1.1000000000000001E-3</v>
      </c>
      <c r="K1363" t="s">
        <v>52</v>
      </c>
      <c r="L1363">
        <v>94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2035</v>
      </c>
      <c r="J1364">
        <v>0</v>
      </c>
      <c r="K1364" t="s">
        <v>52</v>
      </c>
      <c r="L1364">
        <v>94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2035</v>
      </c>
      <c r="J1365">
        <v>0</v>
      </c>
      <c r="K1365" t="s">
        <v>52</v>
      </c>
      <c r="L1365">
        <v>94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2035</v>
      </c>
      <c r="J1366">
        <v>0</v>
      </c>
      <c r="K1366" t="s">
        <v>52</v>
      </c>
      <c r="L1366">
        <v>94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2040</v>
      </c>
      <c r="J1367">
        <v>0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2040</v>
      </c>
      <c r="J1368">
        <v>1.2999999999999999E-3</v>
      </c>
      <c r="K1368" t="s">
        <v>52</v>
      </c>
      <c r="L1368">
        <v>94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2040</v>
      </c>
      <c r="J1369">
        <v>0</v>
      </c>
      <c r="K1369" t="s">
        <v>52</v>
      </c>
      <c r="L1369">
        <v>94</v>
      </c>
    </row>
    <row r="1370" spans="1:12" x14ac:dyDescent="0.45">
      <c r="A1370" t="s">
        <v>90</v>
      </c>
      <c r="B1370" t="s">
        <v>6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2040</v>
      </c>
      <c r="J1370">
        <v>0</v>
      </c>
      <c r="K1370" t="s">
        <v>52</v>
      </c>
      <c r="L1370">
        <v>94</v>
      </c>
    </row>
    <row r="1371" spans="1:12" x14ac:dyDescent="0.45">
      <c r="A1371" t="s">
        <v>90</v>
      </c>
      <c r="B1371" t="s">
        <v>5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2040</v>
      </c>
      <c r="J1371">
        <v>0</v>
      </c>
      <c r="K1371" t="s">
        <v>52</v>
      </c>
      <c r="L1371">
        <v>94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2040</v>
      </c>
      <c r="J1372">
        <v>0</v>
      </c>
      <c r="K1372" t="s">
        <v>52</v>
      </c>
      <c r="L1372">
        <v>94</v>
      </c>
    </row>
    <row r="1373" spans="1:12" x14ac:dyDescent="0.45">
      <c r="A1373" t="s">
        <v>90</v>
      </c>
      <c r="B1373" t="s">
        <v>1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2040</v>
      </c>
      <c r="J1373">
        <v>0</v>
      </c>
      <c r="K1373" t="s">
        <v>52</v>
      </c>
      <c r="L1373">
        <v>94</v>
      </c>
    </row>
    <row r="1374" spans="1:12" x14ac:dyDescent="0.45">
      <c r="A1374" t="s">
        <v>90</v>
      </c>
      <c r="B1374" t="s">
        <v>3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2045</v>
      </c>
      <c r="J1374">
        <v>0</v>
      </c>
      <c r="K1374" t="s">
        <v>52</v>
      </c>
      <c r="L1374">
        <v>94</v>
      </c>
    </row>
    <row r="1375" spans="1:12" x14ac:dyDescent="0.45">
      <c r="A1375" t="s">
        <v>90</v>
      </c>
      <c r="B1375" t="s">
        <v>4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2045</v>
      </c>
      <c r="J1375">
        <v>0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2045</v>
      </c>
      <c r="J1376">
        <v>0</v>
      </c>
      <c r="K1376" t="s">
        <v>52</v>
      </c>
      <c r="L1376">
        <v>94</v>
      </c>
    </row>
    <row r="1377" spans="1:12" x14ac:dyDescent="0.45">
      <c r="A1377" t="s">
        <v>90</v>
      </c>
      <c r="B1377" t="s">
        <v>6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2045</v>
      </c>
      <c r="J1377">
        <v>0</v>
      </c>
      <c r="K1377" t="s">
        <v>52</v>
      </c>
      <c r="L1377">
        <v>94</v>
      </c>
    </row>
    <row r="1378" spans="1:12" x14ac:dyDescent="0.45">
      <c r="A1378" t="s">
        <v>90</v>
      </c>
      <c r="B1378" t="s">
        <v>5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2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2045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1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2045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3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2050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4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2050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2050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6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2050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5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2050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2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2050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1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2050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3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2055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4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2055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2055</v>
      </c>
      <c r="J1390">
        <v>0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2055</v>
      </c>
      <c r="J1391">
        <v>0</v>
      </c>
      <c r="K1391" t="s">
        <v>52</v>
      </c>
      <c r="L1391">
        <v>94</v>
      </c>
    </row>
    <row r="1392" spans="1:12" x14ac:dyDescent="0.45">
      <c r="A1392" t="s">
        <v>90</v>
      </c>
      <c r="B1392" t="s">
        <v>5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2055</v>
      </c>
      <c r="J1392">
        <v>0</v>
      </c>
      <c r="K1392" t="s">
        <v>52</v>
      </c>
      <c r="L1392">
        <v>94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2055</v>
      </c>
      <c r="J1393">
        <v>0</v>
      </c>
      <c r="K1393" t="s">
        <v>52</v>
      </c>
      <c r="L1393">
        <v>94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2055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2060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2060</v>
      </c>
      <c r="J1396">
        <v>1E-4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2060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2060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2060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2065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2065</v>
      </c>
      <c r="J1403">
        <v>1.25E-3</v>
      </c>
      <c r="K1403" t="s">
        <v>52</v>
      </c>
      <c r="L1403">
        <v>94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2065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2065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2065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2065</v>
      </c>
      <c r="J1407">
        <v>0</v>
      </c>
      <c r="K1407" t="s">
        <v>52</v>
      </c>
      <c r="L1407">
        <v>94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2065</v>
      </c>
      <c r="J1408">
        <v>0</v>
      </c>
      <c r="K1408" t="s">
        <v>52</v>
      </c>
      <c r="L1408">
        <v>94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2070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2070</v>
      </c>
      <c r="J1410">
        <v>2.7000000000000001E-3</v>
      </c>
      <c r="K1410" t="s">
        <v>52</v>
      </c>
      <c r="L1410">
        <v>94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2070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2070</v>
      </c>
      <c r="J1412">
        <v>0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2070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2070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2070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2075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2075</v>
      </c>
      <c r="J1417">
        <v>6.5000000000000006E-3</v>
      </c>
      <c r="K1417" t="s">
        <v>52</v>
      </c>
      <c r="L1417">
        <v>94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2075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2075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2075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2075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2080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2080</v>
      </c>
      <c r="J1424">
        <v>1.125E-2</v>
      </c>
      <c r="K1424" t="s">
        <v>52</v>
      </c>
      <c r="L1424">
        <v>94</v>
      </c>
    </row>
    <row r="1425" spans="1:12" x14ac:dyDescent="0.45">
      <c r="A1425" t="s">
        <v>90</v>
      </c>
      <c r="B1425" t="s">
        <v>0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2080</v>
      </c>
      <c r="J1425">
        <v>0</v>
      </c>
      <c r="K1425" t="s">
        <v>52</v>
      </c>
      <c r="L1425">
        <v>94</v>
      </c>
    </row>
    <row r="1426" spans="1:12" x14ac:dyDescent="0.45">
      <c r="A1426" t="s">
        <v>90</v>
      </c>
      <c r="B1426" t="s">
        <v>6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2080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5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2080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2080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1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2080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3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2085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4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2085</v>
      </c>
      <c r="J1431">
        <v>1.685E-2</v>
      </c>
      <c r="K1431" t="s">
        <v>52</v>
      </c>
      <c r="L1431">
        <v>94</v>
      </c>
    </row>
    <row r="1432" spans="1:12" x14ac:dyDescent="0.45">
      <c r="A1432" t="s">
        <v>90</v>
      </c>
      <c r="B1432" t="s">
        <v>0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2085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6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2085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5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2085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2085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1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2085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3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2090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4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2.315E-2</v>
      </c>
      <c r="K1438" t="s">
        <v>52</v>
      </c>
      <c r="L1438">
        <v>94</v>
      </c>
    </row>
    <row r="1439" spans="1:12" x14ac:dyDescent="0.45">
      <c r="A1439" t="s">
        <v>90</v>
      </c>
      <c r="B1439" t="s">
        <v>0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2090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6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2090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5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2090</v>
      </c>
      <c r="J1441">
        <v>0</v>
      </c>
      <c r="K1441" t="s">
        <v>52</v>
      </c>
      <c r="L1441">
        <v>94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2090</v>
      </c>
      <c r="J1442">
        <v>0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2090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2095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2095</v>
      </c>
      <c r="J1445">
        <v>2.3699999999999999E-2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2095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2095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2095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2095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2095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2100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4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2100</v>
      </c>
      <c r="J1452">
        <v>2.4199999999999999E-2</v>
      </c>
      <c r="K1452" t="s">
        <v>52</v>
      </c>
      <c r="L1452">
        <v>94</v>
      </c>
    </row>
    <row r="1453" spans="1:12" x14ac:dyDescent="0.45">
      <c r="A1453" t="s">
        <v>90</v>
      </c>
      <c r="B1453" t="s">
        <v>0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2100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2100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5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2100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2100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0.17530000000000001</v>
      </c>
      <c r="K1458" t="s">
        <v>53</v>
      </c>
      <c r="L1458">
        <v>55</v>
      </c>
    </row>
    <row r="1459" spans="1:12" x14ac:dyDescent="0.45">
      <c r="A1459" t="s">
        <v>90</v>
      </c>
      <c r="B1459" t="s">
        <v>4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2020</v>
      </c>
      <c r="J1459">
        <v>0.1741</v>
      </c>
      <c r="K1459" t="s">
        <v>53</v>
      </c>
      <c r="L1459">
        <v>55</v>
      </c>
    </row>
    <row r="1460" spans="1:12" x14ac:dyDescent="0.45">
      <c r="A1460" t="s">
        <v>90</v>
      </c>
      <c r="B1460" t="s">
        <v>0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2020</v>
      </c>
      <c r="J1460">
        <v>0.17680000000000001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2020</v>
      </c>
      <c r="J1461">
        <v>0.1757</v>
      </c>
      <c r="K1461" t="s">
        <v>53</v>
      </c>
      <c r="L1461">
        <v>55</v>
      </c>
    </row>
    <row r="1462" spans="1:12" x14ac:dyDescent="0.45">
      <c r="A1462" t="s">
        <v>90</v>
      </c>
      <c r="B1462" t="s">
        <v>5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2020</v>
      </c>
      <c r="J1462">
        <v>0.17460000000000001</v>
      </c>
      <c r="K1462" t="s">
        <v>53</v>
      </c>
      <c r="L1462">
        <v>55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2020</v>
      </c>
      <c r="J1463">
        <v>0.17530000000000001</v>
      </c>
      <c r="K1463" t="s">
        <v>53</v>
      </c>
      <c r="L1463">
        <v>55</v>
      </c>
    </row>
    <row r="1464" spans="1:12" x14ac:dyDescent="0.45">
      <c r="A1464" t="s">
        <v>90</v>
      </c>
      <c r="B1464" t="s">
        <v>1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2020</v>
      </c>
      <c r="J1464">
        <v>0.1777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2025</v>
      </c>
      <c r="J1465">
        <v>0.19400000000000001</v>
      </c>
      <c r="K1465" t="s">
        <v>53</v>
      </c>
      <c r="L1465">
        <v>55</v>
      </c>
    </row>
    <row r="1466" spans="1:12" x14ac:dyDescent="0.45">
      <c r="A1466" t="s">
        <v>90</v>
      </c>
      <c r="B1466" t="s">
        <v>4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2025</v>
      </c>
      <c r="J1466">
        <v>0.19739999999999999</v>
      </c>
      <c r="K1466" t="s">
        <v>53</v>
      </c>
      <c r="L1466">
        <v>55</v>
      </c>
    </row>
    <row r="1467" spans="1:12" x14ac:dyDescent="0.45">
      <c r="A1467" t="s">
        <v>90</v>
      </c>
      <c r="B1467" t="s">
        <v>0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2025</v>
      </c>
      <c r="J1467">
        <v>0.19950000000000001</v>
      </c>
      <c r="K1467" t="s">
        <v>53</v>
      </c>
      <c r="L1467">
        <v>55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2025</v>
      </c>
      <c r="J1468">
        <v>0.19939999999999999</v>
      </c>
      <c r="K1468" t="s">
        <v>53</v>
      </c>
      <c r="L1468">
        <v>55</v>
      </c>
    </row>
    <row r="1469" spans="1:12" x14ac:dyDescent="0.45">
      <c r="A1469" t="s">
        <v>90</v>
      </c>
      <c r="B1469" t="s">
        <v>5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2025</v>
      </c>
      <c r="J1469">
        <v>0.16539999999999999</v>
      </c>
      <c r="K1469" t="s">
        <v>53</v>
      </c>
      <c r="L1469">
        <v>55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2025</v>
      </c>
      <c r="J1470">
        <v>0.1895</v>
      </c>
      <c r="K1470" t="s">
        <v>53</v>
      </c>
      <c r="L1470">
        <v>55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2025</v>
      </c>
      <c r="J1471">
        <v>0.18640000000000001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2030</v>
      </c>
      <c r="J1472">
        <v>0.1096</v>
      </c>
      <c r="K1472" t="s">
        <v>53</v>
      </c>
      <c r="L1472">
        <v>55</v>
      </c>
    </row>
    <row r="1473" spans="1:12" x14ac:dyDescent="0.45">
      <c r="A1473" t="s">
        <v>90</v>
      </c>
      <c r="B1473" t="s">
        <v>4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2030</v>
      </c>
      <c r="J1473">
        <v>0.17960000000000001</v>
      </c>
      <c r="K1473" t="s">
        <v>53</v>
      </c>
      <c r="L1473">
        <v>55</v>
      </c>
    </row>
    <row r="1474" spans="1:12" x14ac:dyDescent="0.45">
      <c r="A1474" t="s">
        <v>90</v>
      </c>
      <c r="B1474" t="s">
        <v>0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2030</v>
      </c>
      <c r="J1474">
        <v>0.18</v>
      </c>
      <c r="K1474" t="s">
        <v>53</v>
      </c>
      <c r="L1474">
        <v>55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2030</v>
      </c>
      <c r="J1475">
        <v>0.18129999999999999</v>
      </c>
      <c r="K1475" t="s">
        <v>53</v>
      </c>
      <c r="L1475">
        <v>55</v>
      </c>
    </row>
    <row r="1476" spans="1:12" x14ac:dyDescent="0.45">
      <c r="A1476" t="s">
        <v>90</v>
      </c>
      <c r="B1476" t="s">
        <v>5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2030</v>
      </c>
      <c r="J1476">
        <v>4.1300000000000003E-2</v>
      </c>
      <c r="K1476" t="s">
        <v>53</v>
      </c>
      <c r="L1476">
        <v>55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8.2299999999999998E-2</v>
      </c>
      <c r="K1477" t="s">
        <v>53</v>
      </c>
      <c r="L1477">
        <v>55</v>
      </c>
    </row>
    <row r="1478" spans="1:12" x14ac:dyDescent="0.45">
      <c r="A1478" t="s">
        <v>90</v>
      </c>
      <c r="B1478" t="s">
        <v>1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2030</v>
      </c>
      <c r="J1478">
        <v>5.8799999999999998E-2</v>
      </c>
      <c r="K1478" t="s">
        <v>53</v>
      </c>
      <c r="L1478">
        <v>55</v>
      </c>
    </row>
    <row r="1479" spans="1:12" x14ac:dyDescent="0.45">
      <c r="A1479" t="s">
        <v>90</v>
      </c>
      <c r="B1479" t="s">
        <v>3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2035</v>
      </c>
      <c r="J1479">
        <v>6.7000000000000004E-2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2035</v>
      </c>
      <c r="J1480">
        <v>0.12</v>
      </c>
      <c r="K1480" t="s">
        <v>53</v>
      </c>
      <c r="L1480">
        <v>55</v>
      </c>
    </row>
    <row r="1481" spans="1:12" x14ac:dyDescent="0.45">
      <c r="A1481" t="s">
        <v>90</v>
      </c>
      <c r="B1481" t="s">
        <v>0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2035</v>
      </c>
      <c r="J1481">
        <v>0.10920000000000001</v>
      </c>
      <c r="K1481" t="s">
        <v>53</v>
      </c>
      <c r="L1481">
        <v>55</v>
      </c>
    </row>
    <row r="1482" spans="1:12" x14ac:dyDescent="0.45">
      <c r="A1482" t="s">
        <v>90</v>
      </c>
      <c r="B1482" t="s">
        <v>6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2035</v>
      </c>
      <c r="J1482">
        <v>0.11559999999999999</v>
      </c>
      <c r="K1482" t="s">
        <v>53</v>
      </c>
      <c r="L1482">
        <v>55</v>
      </c>
    </row>
    <row r="1483" spans="1:12" x14ac:dyDescent="0.45">
      <c r="A1483" t="s">
        <v>90</v>
      </c>
      <c r="B1483" t="s">
        <v>5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2035</v>
      </c>
      <c r="J1483">
        <v>8.6999999999999994E-3</v>
      </c>
      <c r="K1483" t="s">
        <v>53</v>
      </c>
      <c r="L1483">
        <v>55</v>
      </c>
    </row>
    <row r="1484" spans="1:12" x14ac:dyDescent="0.45">
      <c r="A1484" t="s">
        <v>90</v>
      </c>
      <c r="B1484" t="s">
        <v>2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2035</v>
      </c>
      <c r="J1484">
        <v>4.7699999999999999E-2</v>
      </c>
      <c r="K1484" t="s">
        <v>53</v>
      </c>
      <c r="L1484">
        <v>55</v>
      </c>
    </row>
    <row r="1485" spans="1:12" x14ac:dyDescent="0.45">
      <c r="A1485" t="s">
        <v>90</v>
      </c>
      <c r="B1485" t="s">
        <v>1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2035</v>
      </c>
      <c r="J1485">
        <v>6.4000000000000003E-3</v>
      </c>
      <c r="K1485" t="s">
        <v>53</v>
      </c>
      <c r="L1485">
        <v>55</v>
      </c>
    </row>
    <row r="1486" spans="1:12" x14ac:dyDescent="0.45">
      <c r="A1486" t="s">
        <v>90</v>
      </c>
      <c r="B1486" t="s">
        <v>3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2040</v>
      </c>
      <c r="J1486">
        <v>1.5699999999999999E-2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2040</v>
      </c>
      <c r="J1487">
        <v>7.8899999999999998E-2</v>
      </c>
      <c r="K1487" t="s">
        <v>53</v>
      </c>
      <c r="L1487">
        <v>55</v>
      </c>
    </row>
    <row r="1488" spans="1:12" x14ac:dyDescent="0.45">
      <c r="A1488" t="s">
        <v>90</v>
      </c>
      <c r="B1488" t="s">
        <v>0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2040</v>
      </c>
      <c r="J1488">
        <v>8.6999999999999994E-3</v>
      </c>
      <c r="K1488" t="s">
        <v>53</v>
      </c>
      <c r="L1488">
        <v>55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2040</v>
      </c>
      <c r="J1489">
        <v>2.01E-2</v>
      </c>
      <c r="K1489" t="s">
        <v>53</v>
      </c>
      <c r="L1489">
        <v>55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2040</v>
      </c>
      <c r="J1490">
        <v>5.7999999999999996E-3</v>
      </c>
      <c r="K1490" t="s">
        <v>53</v>
      </c>
      <c r="L1490">
        <v>55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2040</v>
      </c>
      <c r="J1491">
        <v>1.6199999999999999E-2</v>
      </c>
      <c r="K1491" t="s">
        <v>53</v>
      </c>
      <c r="L1491">
        <v>55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2040</v>
      </c>
      <c r="J1492">
        <v>3.8999999999999998E-3</v>
      </c>
      <c r="K1492" t="s">
        <v>53</v>
      </c>
      <c r="L1492">
        <v>55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2045</v>
      </c>
      <c r="J1493">
        <v>1.5100000000000001E-2</v>
      </c>
      <c r="K1493" t="s">
        <v>53</v>
      </c>
      <c r="L1493">
        <v>55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2045</v>
      </c>
      <c r="J1494">
        <v>1.8100000000000002E-2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2045</v>
      </c>
      <c r="J1495">
        <v>6.1000000000000004E-3</v>
      </c>
      <c r="K1495" t="s">
        <v>53</v>
      </c>
      <c r="L1495">
        <v>55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2045</v>
      </c>
      <c r="J1496">
        <v>2.2599999999999999E-2</v>
      </c>
      <c r="K1496" t="s">
        <v>53</v>
      </c>
      <c r="L1496">
        <v>55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4.1000000000000003E-3</v>
      </c>
      <c r="K1497" t="s">
        <v>53</v>
      </c>
      <c r="L1497">
        <v>55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2045</v>
      </c>
      <c r="J1498">
        <v>1.5900000000000001E-2</v>
      </c>
      <c r="K1498" t="s">
        <v>53</v>
      </c>
      <c r="L1498">
        <v>55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2045</v>
      </c>
      <c r="J1499">
        <v>1.6999999999999999E-3</v>
      </c>
      <c r="K1499" t="s">
        <v>53</v>
      </c>
      <c r="L1499">
        <v>55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2050</v>
      </c>
      <c r="J1500">
        <v>1.29E-2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2050</v>
      </c>
      <c r="J1501">
        <v>2.06E-2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2050</v>
      </c>
      <c r="J1502">
        <v>2.7000000000000001E-3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2050</v>
      </c>
      <c r="J1503">
        <v>2.1100000000000001E-2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2050</v>
      </c>
      <c r="J1504">
        <v>2.8E-3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2050</v>
      </c>
      <c r="J1505">
        <v>1.38E-2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2050</v>
      </c>
      <c r="J1506">
        <v>2.9999999999999997E-4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2055</v>
      </c>
      <c r="J1507">
        <v>1.175E-2</v>
      </c>
      <c r="K1507" t="s">
        <v>53</v>
      </c>
      <c r="L1507">
        <v>55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2055</v>
      </c>
      <c r="J1508">
        <v>2.1650000000000003E-2</v>
      </c>
      <c r="K1508" t="s">
        <v>53</v>
      </c>
      <c r="L1508">
        <v>55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2055</v>
      </c>
      <c r="J1509">
        <v>5.9999999999999995E-4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2055</v>
      </c>
      <c r="J1510">
        <v>1.9949999999999999E-2</v>
      </c>
      <c r="K1510" t="s">
        <v>53</v>
      </c>
      <c r="L1510">
        <v>55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2055</v>
      </c>
      <c r="J1511">
        <v>2.0499999999999997E-3</v>
      </c>
      <c r="K1511" t="s">
        <v>53</v>
      </c>
      <c r="L1511">
        <v>55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2055</v>
      </c>
      <c r="J1512">
        <v>1.235E-2</v>
      </c>
      <c r="K1512" t="s">
        <v>53</v>
      </c>
      <c r="L1512">
        <v>55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2055</v>
      </c>
      <c r="J1513">
        <v>0</v>
      </c>
      <c r="K1513" t="s">
        <v>53</v>
      </c>
      <c r="L1513">
        <v>55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2060</v>
      </c>
      <c r="J1514">
        <v>6.7500000000000008E-3</v>
      </c>
      <c r="K1514" t="s">
        <v>53</v>
      </c>
      <c r="L1514">
        <v>55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2060</v>
      </c>
      <c r="J1515">
        <v>2.2850000000000002E-2</v>
      </c>
      <c r="K1515" t="s">
        <v>53</v>
      </c>
      <c r="L1515">
        <v>55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2060</v>
      </c>
      <c r="J1516">
        <v>0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1.345E-2</v>
      </c>
      <c r="K1517" t="s">
        <v>53</v>
      </c>
      <c r="L1517">
        <v>55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2060</v>
      </c>
      <c r="J1518">
        <v>9.4999999999999989E-4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2060</v>
      </c>
      <c r="J1519">
        <v>9.1000000000000004E-3</v>
      </c>
      <c r="K1519" t="s">
        <v>53</v>
      </c>
      <c r="L1519">
        <v>55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2060</v>
      </c>
      <c r="J1520">
        <v>0</v>
      </c>
      <c r="K1520" t="s">
        <v>53</v>
      </c>
      <c r="L1520">
        <v>55</v>
      </c>
    </row>
    <row r="1521" spans="1:12" x14ac:dyDescent="0.45">
      <c r="A1521" t="s">
        <v>90</v>
      </c>
      <c r="B1521" t="s">
        <v>3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2065</v>
      </c>
      <c r="J1521">
        <v>3.7499999999999999E-3</v>
      </c>
      <c r="K1521" t="s">
        <v>53</v>
      </c>
      <c r="L1521">
        <v>55</v>
      </c>
    </row>
    <row r="1522" spans="1:12" x14ac:dyDescent="0.45">
      <c r="A1522" t="s">
        <v>90</v>
      </c>
      <c r="B1522" t="s">
        <v>4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2065</v>
      </c>
      <c r="J1522">
        <v>2.4E-2</v>
      </c>
      <c r="K1522" t="s">
        <v>53</v>
      </c>
      <c r="L1522">
        <v>55</v>
      </c>
    </row>
    <row r="1523" spans="1:12" x14ac:dyDescent="0.45">
      <c r="A1523" t="s">
        <v>90</v>
      </c>
      <c r="B1523" t="s">
        <v>0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2065</v>
      </c>
      <c r="J1523">
        <v>0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2065</v>
      </c>
      <c r="J1524">
        <v>9.4000000000000004E-3</v>
      </c>
      <c r="K1524" t="s">
        <v>53</v>
      </c>
      <c r="L1524">
        <v>55</v>
      </c>
    </row>
    <row r="1525" spans="1:12" x14ac:dyDescent="0.45">
      <c r="A1525" t="s">
        <v>90</v>
      </c>
      <c r="B1525" t="s">
        <v>5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2065</v>
      </c>
      <c r="J1525">
        <v>5.0000000000000001E-4</v>
      </c>
      <c r="K1525" t="s">
        <v>53</v>
      </c>
      <c r="L1525">
        <v>55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2065</v>
      </c>
      <c r="J1526">
        <v>5.1999999999999998E-3</v>
      </c>
      <c r="K1526" t="s">
        <v>53</v>
      </c>
      <c r="L1526">
        <v>55</v>
      </c>
    </row>
    <row r="1527" spans="1:12" x14ac:dyDescent="0.45">
      <c r="A1527" t="s">
        <v>90</v>
      </c>
      <c r="B1527" t="s">
        <v>1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2065</v>
      </c>
      <c r="J1527">
        <v>0</v>
      </c>
      <c r="K1527" t="s">
        <v>53</v>
      </c>
      <c r="L1527">
        <v>55</v>
      </c>
    </row>
    <row r="1528" spans="1:12" x14ac:dyDescent="0.45">
      <c r="A1528" t="s">
        <v>90</v>
      </c>
      <c r="B1528" t="s">
        <v>3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2070</v>
      </c>
      <c r="J1528">
        <v>8.0000000000000004E-4</v>
      </c>
      <c r="K1528" t="s">
        <v>53</v>
      </c>
      <c r="L1528">
        <v>55</v>
      </c>
    </row>
    <row r="1529" spans="1:12" x14ac:dyDescent="0.45">
      <c r="A1529" t="s">
        <v>90</v>
      </c>
      <c r="B1529" t="s">
        <v>4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2070</v>
      </c>
      <c r="J1529">
        <v>2.5049999999999999E-2</v>
      </c>
      <c r="K1529" t="s">
        <v>53</v>
      </c>
      <c r="L1529">
        <v>55</v>
      </c>
    </row>
    <row r="1530" spans="1:12" x14ac:dyDescent="0.45">
      <c r="A1530" t="s">
        <v>90</v>
      </c>
      <c r="B1530" t="s">
        <v>0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2070</v>
      </c>
      <c r="J1530">
        <v>0</v>
      </c>
      <c r="K1530" t="s">
        <v>53</v>
      </c>
      <c r="L1530">
        <v>55</v>
      </c>
    </row>
    <row r="1531" spans="1:12" x14ac:dyDescent="0.45">
      <c r="A1531" t="s">
        <v>90</v>
      </c>
      <c r="B1531" t="s">
        <v>6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2070</v>
      </c>
      <c r="J1531">
        <v>5.1000000000000004E-3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2070</v>
      </c>
      <c r="J1532">
        <v>0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2070</v>
      </c>
      <c r="J1533">
        <v>1.2000000000000001E-3</v>
      </c>
      <c r="K1533" t="s">
        <v>53</v>
      </c>
      <c r="L1533">
        <v>55</v>
      </c>
    </row>
    <row r="1534" spans="1:12" x14ac:dyDescent="0.45">
      <c r="A1534" t="s">
        <v>90</v>
      </c>
      <c r="B1534" t="s">
        <v>1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2070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3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2075</v>
      </c>
      <c r="J1535">
        <v>3.9999999999999996E-4</v>
      </c>
      <c r="K1535" t="s">
        <v>53</v>
      </c>
      <c r="L1535">
        <v>55</v>
      </c>
    </row>
    <row r="1536" spans="1:12" x14ac:dyDescent="0.45">
      <c r="A1536" t="s">
        <v>90</v>
      </c>
      <c r="B1536" t="s">
        <v>4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2075</v>
      </c>
      <c r="J1536">
        <v>2.5049999999999999E-2</v>
      </c>
      <c r="K1536" t="s">
        <v>53</v>
      </c>
      <c r="L1536">
        <v>55</v>
      </c>
    </row>
    <row r="1537" spans="1:12" x14ac:dyDescent="0.45">
      <c r="A1537" t="s">
        <v>90</v>
      </c>
      <c r="B1537" t="s">
        <v>0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6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2075</v>
      </c>
      <c r="J1538">
        <v>2.8999999999999998E-3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2075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2075</v>
      </c>
      <c r="J1540">
        <v>6.0000000000000006E-4</v>
      </c>
      <c r="K1540" t="s">
        <v>53</v>
      </c>
      <c r="L1540">
        <v>55</v>
      </c>
    </row>
    <row r="1541" spans="1:12" x14ac:dyDescent="0.45">
      <c r="A1541" t="s">
        <v>90</v>
      </c>
      <c r="B1541" t="s">
        <v>1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2075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3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2080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4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2080</v>
      </c>
      <c r="J1543">
        <v>2.495E-2</v>
      </c>
      <c r="K1543" t="s">
        <v>53</v>
      </c>
      <c r="L1543">
        <v>55</v>
      </c>
    </row>
    <row r="1544" spans="1:12" x14ac:dyDescent="0.45">
      <c r="A1544" t="s">
        <v>90</v>
      </c>
      <c r="B1544" t="s">
        <v>0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2080</v>
      </c>
      <c r="J1544">
        <v>0</v>
      </c>
      <c r="K1544" t="s">
        <v>53</v>
      </c>
      <c r="L1544">
        <v>55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2080</v>
      </c>
      <c r="J1545">
        <v>1.9999999999999998E-4</v>
      </c>
      <c r="K1545" t="s">
        <v>53</v>
      </c>
      <c r="L1545">
        <v>55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2080</v>
      </c>
      <c r="J1546">
        <v>0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2080</v>
      </c>
      <c r="J1547">
        <v>0</v>
      </c>
      <c r="K1547" t="s">
        <v>53</v>
      </c>
      <c r="L1547">
        <v>55</v>
      </c>
    </row>
    <row r="1548" spans="1:12" x14ac:dyDescent="0.45">
      <c r="A1548" t="s">
        <v>90</v>
      </c>
      <c r="B1548" t="s">
        <v>1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2080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3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2085</v>
      </c>
      <c r="J1549">
        <v>0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2085</v>
      </c>
      <c r="J1550">
        <v>2.2100000000000002E-2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2085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2085</v>
      </c>
      <c r="J1552">
        <v>5.0000000000000002E-5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2085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2085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2085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2090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1.915E-2</v>
      </c>
      <c r="K1557" t="s">
        <v>53</v>
      </c>
      <c r="L1557">
        <v>55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2090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2090</v>
      </c>
      <c r="J1559">
        <v>0</v>
      </c>
      <c r="K1559" t="s">
        <v>53</v>
      </c>
      <c r="L1559">
        <v>55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2090</v>
      </c>
      <c r="J1560">
        <v>0</v>
      </c>
      <c r="K1560" t="s">
        <v>53</v>
      </c>
      <c r="L1560">
        <v>55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2090</v>
      </c>
      <c r="J1561">
        <v>0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2090</v>
      </c>
      <c r="J1562">
        <v>0</v>
      </c>
      <c r="K1562" t="s">
        <v>53</v>
      </c>
      <c r="L1562">
        <v>55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2095</v>
      </c>
      <c r="J1563">
        <v>0</v>
      </c>
      <c r="K1563" t="s">
        <v>53</v>
      </c>
      <c r="L1563">
        <v>55</v>
      </c>
    </row>
    <row r="1564" spans="1:12" x14ac:dyDescent="0.45">
      <c r="A1564" t="s">
        <v>90</v>
      </c>
      <c r="B1564" t="s">
        <v>4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2095</v>
      </c>
      <c r="J1564">
        <v>1.5899999999999997E-2</v>
      </c>
      <c r="K1564" t="s">
        <v>53</v>
      </c>
      <c r="L1564">
        <v>55</v>
      </c>
    </row>
    <row r="1565" spans="1:12" x14ac:dyDescent="0.45">
      <c r="A1565" t="s">
        <v>90</v>
      </c>
      <c r="B1565" t="s">
        <v>0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2095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6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2095</v>
      </c>
      <c r="J1566">
        <v>0</v>
      </c>
      <c r="K1566" t="s">
        <v>53</v>
      </c>
      <c r="L1566">
        <v>55</v>
      </c>
    </row>
    <row r="1567" spans="1:12" x14ac:dyDescent="0.45">
      <c r="A1567" t="s">
        <v>90</v>
      </c>
      <c r="B1567" t="s">
        <v>5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2095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2095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2095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3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2100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4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2100</v>
      </c>
      <c r="J1571">
        <v>1.2500000000000001E-2</v>
      </c>
      <c r="K1571" t="s">
        <v>53</v>
      </c>
      <c r="L1571">
        <v>55</v>
      </c>
    </row>
    <row r="1572" spans="1:12" x14ac:dyDescent="0.45">
      <c r="A1572" t="s">
        <v>90</v>
      </c>
      <c r="B1572" t="s">
        <v>0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2100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6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2100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5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2100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2100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1.43E-2</v>
      </c>
      <c r="K1577" t="s">
        <v>54</v>
      </c>
      <c r="L1577">
        <v>70</v>
      </c>
    </row>
    <row r="1578" spans="1:12" x14ac:dyDescent="0.45">
      <c r="A1578" t="s">
        <v>90</v>
      </c>
      <c r="B1578" t="s">
        <v>4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2020</v>
      </c>
      <c r="J1578">
        <v>1.4200000000000001E-2</v>
      </c>
      <c r="K1578" t="s">
        <v>54</v>
      </c>
      <c r="L1578">
        <v>70</v>
      </c>
    </row>
    <row r="1579" spans="1:12" x14ac:dyDescent="0.45">
      <c r="A1579" t="s">
        <v>90</v>
      </c>
      <c r="B1579" t="s">
        <v>0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2020</v>
      </c>
      <c r="J1579">
        <v>1.43E-2</v>
      </c>
      <c r="K1579" t="s">
        <v>54</v>
      </c>
      <c r="L1579">
        <v>70</v>
      </c>
    </row>
    <row r="1580" spans="1:12" x14ac:dyDescent="0.45">
      <c r="A1580" t="s">
        <v>90</v>
      </c>
      <c r="B1580" t="s">
        <v>6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2020</v>
      </c>
      <c r="J1580">
        <v>1.43E-2</v>
      </c>
      <c r="K1580" t="s">
        <v>54</v>
      </c>
      <c r="L1580">
        <v>70</v>
      </c>
    </row>
    <row r="1581" spans="1:12" x14ac:dyDescent="0.45">
      <c r="A1581" t="s">
        <v>90</v>
      </c>
      <c r="B1581" t="s">
        <v>5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2020</v>
      </c>
      <c r="J1581">
        <v>1.4200000000000001E-2</v>
      </c>
      <c r="K1581" t="s">
        <v>54</v>
      </c>
      <c r="L1581">
        <v>70</v>
      </c>
    </row>
    <row r="1582" spans="1:12" x14ac:dyDescent="0.45">
      <c r="A1582" t="s">
        <v>90</v>
      </c>
      <c r="B1582" t="s">
        <v>2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2020</v>
      </c>
      <c r="J1582">
        <v>1.43E-2</v>
      </c>
      <c r="K1582" t="s">
        <v>54</v>
      </c>
      <c r="L1582">
        <v>70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2020</v>
      </c>
      <c r="J1583">
        <v>1.43E-2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2025</v>
      </c>
      <c r="J1584">
        <v>5.3E-3</v>
      </c>
      <c r="K1584" t="s">
        <v>54</v>
      </c>
      <c r="L1584">
        <v>70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2025</v>
      </c>
      <c r="J1585">
        <v>5.1999999999999998E-3</v>
      </c>
      <c r="K1585" t="s">
        <v>54</v>
      </c>
      <c r="L1585">
        <v>70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2025</v>
      </c>
      <c r="J1586">
        <v>5.3E-3</v>
      </c>
      <c r="K1586" t="s">
        <v>54</v>
      </c>
      <c r="L1586">
        <v>70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2025</v>
      </c>
      <c r="J1587">
        <v>5.3E-3</v>
      </c>
      <c r="K1587" t="s">
        <v>54</v>
      </c>
      <c r="L1587">
        <v>70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2025</v>
      </c>
      <c r="J1588">
        <v>4.8999999999999998E-3</v>
      </c>
      <c r="K1588" t="s">
        <v>54</v>
      </c>
      <c r="L1588">
        <v>70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2025</v>
      </c>
      <c r="J1589">
        <v>5.3E-3</v>
      </c>
      <c r="K1589" t="s">
        <v>54</v>
      </c>
      <c r="L1589">
        <v>70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2025</v>
      </c>
      <c r="J1590">
        <v>5.4999999999999997E-3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2030</v>
      </c>
      <c r="J1591">
        <v>4.0000000000000002E-4</v>
      </c>
      <c r="K1591" t="s">
        <v>54</v>
      </c>
      <c r="L1591">
        <v>70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2030</v>
      </c>
      <c r="J1592">
        <v>4.0000000000000002E-4</v>
      </c>
      <c r="K1592" t="s">
        <v>54</v>
      </c>
      <c r="L1592">
        <v>70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2030</v>
      </c>
      <c r="J1593">
        <v>4.0000000000000002E-4</v>
      </c>
      <c r="K1593" t="s">
        <v>54</v>
      </c>
      <c r="L1593">
        <v>70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2030</v>
      </c>
      <c r="J1594">
        <v>4.0000000000000002E-4</v>
      </c>
      <c r="K1594" t="s">
        <v>54</v>
      </c>
      <c r="L1594">
        <v>70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2030</v>
      </c>
      <c r="J1595">
        <v>4.0000000000000002E-4</v>
      </c>
      <c r="K1595" t="s">
        <v>54</v>
      </c>
      <c r="L1595">
        <v>70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4.0000000000000002E-4</v>
      </c>
      <c r="K1596" t="s">
        <v>54</v>
      </c>
      <c r="L1596">
        <v>70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2030</v>
      </c>
      <c r="J1597">
        <v>5.0000000000000001E-4</v>
      </c>
      <c r="K1597" t="s">
        <v>54</v>
      </c>
      <c r="L1597">
        <v>70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2035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2035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2035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2035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2035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2035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2035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2040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2040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2040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2040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2040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2040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2040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2045</v>
      </c>
      <c r="J1612">
        <v>0</v>
      </c>
      <c r="K1612" t="s">
        <v>54</v>
      </c>
      <c r="L1612">
        <v>70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2045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2045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2045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2045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2045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3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2050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4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2050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2050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6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2050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5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2050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2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2050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1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2050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3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2055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4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2055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0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2055</v>
      </c>
      <c r="J1628">
        <v>0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2055</v>
      </c>
      <c r="J1629">
        <v>0</v>
      </c>
      <c r="K1629" t="s">
        <v>54</v>
      </c>
      <c r="L1629">
        <v>70</v>
      </c>
    </row>
    <row r="1630" spans="1:12" x14ac:dyDescent="0.45">
      <c r="A1630" t="s">
        <v>90</v>
      </c>
      <c r="B1630" t="s">
        <v>5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2055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2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2055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2055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3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2060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4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2060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0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2060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5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2060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2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2060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2060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2065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2065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2065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2065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2065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2065</v>
      </c>
      <c r="J1645">
        <v>0</v>
      </c>
      <c r="K1645" t="s">
        <v>54</v>
      </c>
      <c r="L1645">
        <v>70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2065</v>
      </c>
      <c r="J1646">
        <v>0</v>
      </c>
      <c r="K1646" t="s">
        <v>54</v>
      </c>
      <c r="L1646">
        <v>70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2070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4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2070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0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2070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6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2070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2070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2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2070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2070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3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2075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2075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2075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2075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2075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2080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4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2080</v>
      </c>
      <c r="J1662">
        <v>0</v>
      </c>
      <c r="K1662" t="s">
        <v>54</v>
      </c>
      <c r="L1662">
        <v>70</v>
      </c>
    </row>
    <row r="1663" spans="1:12" x14ac:dyDescent="0.45">
      <c r="A1663" t="s">
        <v>90</v>
      </c>
      <c r="B1663" t="s">
        <v>0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2080</v>
      </c>
      <c r="J1663">
        <v>0</v>
      </c>
      <c r="K1663" t="s">
        <v>54</v>
      </c>
      <c r="L1663">
        <v>70</v>
      </c>
    </row>
    <row r="1664" spans="1:12" x14ac:dyDescent="0.45">
      <c r="A1664" t="s">
        <v>90</v>
      </c>
      <c r="B1664" t="s">
        <v>6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2080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5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2080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2080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2080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2085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4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2085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0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2085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6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2085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5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2085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2085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2085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3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2090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4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0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2090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6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2090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5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2090</v>
      </c>
      <c r="J1679">
        <v>0</v>
      </c>
      <c r="K1679" t="s">
        <v>54</v>
      </c>
      <c r="L1679">
        <v>70</v>
      </c>
    </row>
    <row r="1680" spans="1:12" x14ac:dyDescent="0.45">
      <c r="A1680" t="s">
        <v>90</v>
      </c>
      <c r="B1680" t="s">
        <v>2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2090</v>
      </c>
      <c r="J1680">
        <v>0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2090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2095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2095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2095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2095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2095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2095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2095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8.5000000000000006E-3</v>
      </c>
      <c r="K1696" t="s">
        <v>85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2020</v>
      </c>
      <c r="J1697">
        <v>8.4499999999999992E-3</v>
      </c>
      <c r="K1697" t="s">
        <v>85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2020</v>
      </c>
      <c r="J1698">
        <v>8.3999999999999995E-3</v>
      </c>
      <c r="K1698" t="s">
        <v>85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2020</v>
      </c>
      <c r="J1699">
        <v>8.5000000000000006E-3</v>
      </c>
      <c r="K1699" t="s">
        <v>85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2020</v>
      </c>
      <c r="J1700">
        <v>8.2000000000000007E-3</v>
      </c>
      <c r="K1700" t="s">
        <v>85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2020</v>
      </c>
      <c r="J1701">
        <v>8.5000000000000006E-3</v>
      </c>
      <c r="K1701" t="s">
        <v>85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2020</v>
      </c>
      <c r="J1702">
        <v>8.3999999999999995E-3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2025</v>
      </c>
      <c r="J1703">
        <v>3.9199999999999999E-2</v>
      </c>
      <c r="K1703" t="s">
        <v>85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2025</v>
      </c>
      <c r="J1704">
        <v>3.875E-2</v>
      </c>
      <c r="K1704" t="s">
        <v>85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2025</v>
      </c>
      <c r="J1705">
        <v>3.875E-2</v>
      </c>
      <c r="K1705" t="s">
        <v>85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2025</v>
      </c>
      <c r="J1706">
        <v>3.8949999999999999E-2</v>
      </c>
      <c r="K1706" t="s">
        <v>85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2025</v>
      </c>
      <c r="J1707">
        <v>2.8249999999999997E-2</v>
      </c>
      <c r="K1707" t="s">
        <v>85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2025</v>
      </c>
      <c r="J1708">
        <v>3.78E-2</v>
      </c>
      <c r="K1708" t="s">
        <v>85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3.8199999999999998E-2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7.3099999999999998E-2</v>
      </c>
      <c r="K1710" t="s">
        <v>85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2030</v>
      </c>
      <c r="J1711">
        <v>7.1599999999999997E-2</v>
      </c>
      <c r="K1711" t="s">
        <v>85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2030</v>
      </c>
      <c r="J1712">
        <v>7.1750000000000008E-2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2030</v>
      </c>
      <c r="J1713">
        <v>7.2349999999999998E-2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2030</v>
      </c>
      <c r="J1714">
        <v>4.8149999999999998E-2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7.0800000000000002E-2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2030</v>
      </c>
      <c r="J1716">
        <v>9.1249999999999998E-2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2035</v>
      </c>
      <c r="J1717">
        <v>0.10205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2035</v>
      </c>
      <c r="J1718">
        <v>8.7550000000000003E-2</v>
      </c>
      <c r="K1718" t="s">
        <v>85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2035</v>
      </c>
      <c r="J1719">
        <v>8.6800000000000002E-2</v>
      </c>
      <c r="K1719" t="s">
        <v>85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2035</v>
      </c>
      <c r="J1720">
        <v>8.3799999999999999E-2</v>
      </c>
      <c r="K1720" t="s">
        <v>85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2035</v>
      </c>
      <c r="J1721">
        <v>6.7250000000000004E-2</v>
      </c>
      <c r="K1721" t="s">
        <v>85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2035</v>
      </c>
      <c r="J1722">
        <v>9.7599999999999992E-2</v>
      </c>
      <c r="K1722" t="s">
        <v>85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2035</v>
      </c>
      <c r="J1723">
        <v>0.1678</v>
      </c>
      <c r="K1723" t="s">
        <v>85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2040</v>
      </c>
      <c r="J1724">
        <v>0.12820000000000001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2040</v>
      </c>
      <c r="J1725">
        <v>9.0400000000000008E-2</v>
      </c>
      <c r="K1725" t="s">
        <v>85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2040</v>
      </c>
      <c r="J1726">
        <v>0.12175</v>
      </c>
      <c r="K1726" t="s">
        <v>85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2040</v>
      </c>
      <c r="J1727">
        <v>0.10059999999999999</v>
      </c>
      <c r="K1727" t="s">
        <v>85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2040</v>
      </c>
      <c r="J1728">
        <v>8.9950000000000002E-2</v>
      </c>
      <c r="K1728" t="s">
        <v>85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2040</v>
      </c>
      <c r="J1729">
        <v>0.14255000000000001</v>
      </c>
      <c r="K1729" t="s">
        <v>85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2040</v>
      </c>
      <c r="J1730">
        <v>0.26829999999999998</v>
      </c>
      <c r="K1730" t="s">
        <v>85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2045</v>
      </c>
      <c r="J1731">
        <v>0.18535000000000001</v>
      </c>
      <c r="K1731" t="s">
        <v>85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2045</v>
      </c>
      <c r="J1732">
        <v>9.6700000000000008E-2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2045</v>
      </c>
      <c r="J1733">
        <v>0.24690000000000001</v>
      </c>
      <c r="K1733" t="s">
        <v>85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2045</v>
      </c>
      <c r="J1734">
        <v>0.15889999999999999</v>
      </c>
      <c r="K1734" t="s">
        <v>85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9.5750000000000002E-2</v>
      </c>
      <c r="K1735" t="s">
        <v>85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2045</v>
      </c>
      <c r="J1736">
        <v>0.22294999999999998</v>
      </c>
      <c r="K1736" t="s">
        <v>85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2045</v>
      </c>
      <c r="J1737">
        <v>0.34924999999999995</v>
      </c>
      <c r="K1737" t="s">
        <v>85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2050</v>
      </c>
      <c r="J1738">
        <v>0.24790000000000001</v>
      </c>
      <c r="K1738" t="s">
        <v>85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2050</v>
      </c>
      <c r="J1739">
        <v>0.1211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2050</v>
      </c>
      <c r="J1740">
        <v>0.38874999999999998</v>
      </c>
      <c r="K1740" t="s">
        <v>85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2050</v>
      </c>
      <c r="J1741">
        <v>0.23494999999999999</v>
      </c>
      <c r="K1741" t="s">
        <v>85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2050</v>
      </c>
      <c r="J1742">
        <v>0.10314999999999999</v>
      </c>
      <c r="K1742" t="s">
        <v>85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2050</v>
      </c>
      <c r="J1743">
        <v>0.29944999999999999</v>
      </c>
      <c r="K1743" t="s">
        <v>85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2050</v>
      </c>
      <c r="J1744">
        <v>0.41025</v>
      </c>
      <c r="K1744" t="s">
        <v>85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2055</v>
      </c>
      <c r="J1745">
        <v>0.31054999999999999</v>
      </c>
      <c r="K1745" t="s">
        <v>85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2055</v>
      </c>
      <c r="J1746">
        <v>0.1169</v>
      </c>
      <c r="K1746" t="s">
        <v>85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2055</v>
      </c>
      <c r="J1747">
        <v>0.48559999999999998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2055</v>
      </c>
      <c r="J1748">
        <v>0.29659999999999997</v>
      </c>
      <c r="K1748" t="s">
        <v>85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2055</v>
      </c>
      <c r="J1749">
        <v>0.11445</v>
      </c>
      <c r="K1749" t="s">
        <v>85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2055</v>
      </c>
      <c r="J1750">
        <v>0.36265000000000003</v>
      </c>
      <c r="K1750" t="s">
        <v>85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2055</v>
      </c>
      <c r="J1751">
        <v>0.44535000000000002</v>
      </c>
      <c r="K1751" t="s">
        <v>85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2060</v>
      </c>
      <c r="J1752">
        <v>0.3851</v>
      </c>
      <c r="K1752" t="s">
        <v>85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2060</v>
      </c>
      <c r="J1753">
        <v>0.18840000000000001</v>
      </c>
      <c r="K1753" t="s">
        <v>85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2060</v>
      </c>
      <c r="J1754">
        <v>0.57905000000000006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0.38024999999999998</v>
      </c>
      <c r="K1755" t="s">
        <v>85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2060</v>
      </c>
      <c r="J1756">
        <v>0.1608</v>
      </c>
      <c r="K1756" t="s">
        <v>85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2060</v>
      </c>
      <c r="J1757">
        <v>0.44474999999999998</v>
      </c>
      <c r="K1757" t="s">
        <v>85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2060</v>
      </c>
      <c r="J1758">
        <v>0.47660000000000002</v>
      </c>
      <c r="K1758" t="s">
        <v>85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2065</v>
      </c>
      <c r="J1759">
        <v>0.39055000000000001</v>
      </c>
      <c r="K1759" t="s">
        <v>85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2065</v>
      </c>
      <c r="J1760">
        <v>0.23785000000000001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2065</v>
      </c>
      <c r="J1761">
        <v>0.58655000000000002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2065</v>
      </c>
      <c r="J1762">
        <v>0.39554999999999996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2065</v>
      </c>
      <c r="J1763">
        <v>0.17845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2065</v>
      </c>
      <c r="J1764">
        <v>0.45074999999999998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2065</v>
      </c>
      <c r="J1765">
        <v>0.46329999999999999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2070</v>
      </c>
      <c r="J1766">
        <v>0.38780000000000003</v>
      </c>
      <c r="K1766" t="s">
        <v>85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2070</v>
      </c>
      <c r="J1767">
        <v>0.28400000000000003</v>
      </c>
      <c r="K1767" t="s">
        <v>85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2070</v>
      </c>
      <c r="J1768">
        <v>0.58830000000000005</v>
      </c>
      <c r="K1768" t="s">
        <v>85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2070</v>
      </c>
      <c r="J1769">
        <v>0.40384999999999999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2070</v>
      </c>
      <c r="J1770">
        <v>0.19350000000000001</v>
      </c>
      <c r="K1770" t="s">
        <v>85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2070</v>
      </c>
      <c r="J1771">
        <v>0.44769999999999999</v>
      </c>
      <c r="K1771" t="s">
        <v>85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2070</v>
      </c>
      <c r="J1772">
        <v>0.44045000000000001</v>
      </c>
      <c r="K1772" t="s">
        <v>85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2075</v>
      </c>
      <c r="J1773">
        <v>0.38155</v>
      </c>
      <c r="K1773" t="s">
        <v>85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2075</v>
      </c>
      <c r="J1774">
        <v>0.34714999999999996</v>
      </c>
      <c r="K1774" t="s">
        <v>85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0.57105000000000006</v>
      </c>
      <c r="K1775" t="s">
        <v>85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2075</v>
      </c>
      <c r="J1776">
        <v>0.41115000000000002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2075</v>
      </c>
      <c r="J1777">
        <v>0.19445000000000001</v>
      </c>
      <c r="K1777" t="s">
        <v>85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2075</v>
      </c>
      <c r="J1778">
        <v>0.45224999999999999</v>
      </c>
      <c r="K1778" t="s">
        <v>85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2075</v>
      </c>
      <c r="J1779">
        <v>0.43884999999999996</v>
      </c>
      <c r="K1779" t="s">
        <v>85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2080</v>
      </c>
      <c r="J1780">
        <v>0.37324999999999997</v>
      </c>
      <c r="K1780" t="s">
        <v>85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2080</v>
      </c>
      <c r="J1781">
        <v>0.40325</v>
      </c>
      <c r="K1781" t="s">
        <v>85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2080</v>
      </c>
      <c r="J1782">
        <v>0.55054999999999998</v>
      </c>
      <c r="K1782" t="s">
        <v>85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2080</v>
      </c>
      <c r="J1783">
        <v>0.41244999999999998</v>
      </c>
      <c r="K1783" t="s">
        <v>85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2080</v>
      </c>
      <c r="J1784">
        <v>0.1948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2080</v>
      </c>
      <c r="J1785">
        <v>0.45284999999999997</v>
      </c>
      <c r="K1785" t="s">
        <v>85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2080</v>
      </c>
      <c r="J1786">
        <v>0.43420000000000003</v>
      </c>
      <c r="K1786" t="s">
        <v>85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2085</v>
      </c>
      <c r="J1787">
        <v>0.37885000000000002</v>
      </c>
      <c r="K1787" t="s">
        <v>85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2085</v>
      </c>
      <c r="J1788">
        <v>0.46294999999999997</v>
      </c>
      <c r="K1788" t="s">
        <v>85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2085</v>
      </c>
      <c r="J1789">
        <v>0.54125000000000001</v>
      </c>
      <c r="K1789" t="s">
        <v>85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2085</v>
      </c>
      <c r="J1790">
        <v>0.42849999999999999</v>
      </c>
      <c r="K1790" t="s">
        <v>85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2085</v>
      </c>
      <c r="J1791">
        <v>0.20180000000000001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2085</v>
      </c>
      <c r="J1792">
        <v>0.47145000000000004</v>
      </c>
      <c r="K1792" t="s">
        <v>85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2085</v>
      </c>
      <c r="J1793">
        <v>0.45974999999999999</v>
      </c>
      <c r="K1793" t="s">
        <v>85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2090</v>
      </c>
      <c r="J1794">
        <v>0.38250000000000001</v>
      </c>
      <c r="K1794" t="s">
        <v>85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0.51239999999999997</v>
      </c>
      <c r="K1795" t="s">
        <v>85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2090</v>
      </c>
      <c r="J1796">
        <v>0.52770000000000006</v>
      </c>
      <c r="K1796" t="s">
        <v>85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2090</v>
      </c>
      <c r="J1797">
        <v>0.44159999999999999</v>
      </c>
      <c r="K1797" t="s">
        <v>85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2090</v>
      </c>
      <c r="J1798">
        <v>0.20765</v>
      </c>
      <c r="K1798" t="s">
        <v>85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2090</v>
      </c>
      <c r="J1799">
        <v>0.48855000000000004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2090</v>
      </c>
      <c r="J1800">
        <v>0.49020000000000002</v>
      </c>
      <c r="K1800" t="s">
        <v>85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2095</v>
      </c>
      <c r="J1801">
        <v>0.39119999999999999</v>
      </c>
      <c r="K1801" t="s">
        <v>85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2095</v>
      </c>
      <c r="J1802">
        <v>0.53265000000000007</v>
      </c>
      <c r="K1802" t="s">
        <v>85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2095</v>
      </c>
      <c r="J1803">
        <v>0.53285000000000005</v>
      </c>
      <c r="K1803" t="s">
        <v>85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2095</v>
      </c>
      <c r="J1804">
        <v>0.44714999999999999</v>
      </c>
      <c r="K1804" t="s">
        <v>85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2095</v>
      </c>
      <c r="J1805">
        <v>0.22015000000000001</v>
      </c>
      <c r="K1805" t="s">
        <v>85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2095</v>
      </c>
      <c r="J1806">
        <v>0.49275000000000002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2095</v>
      </c>
      <c r="J1807">
        <v>0.50665000000000004</v>
      </c>
      <c r="K1807" t="s">
        <v>85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2100</v>
      </c>
      <c r="J1808">
        <v>0.40034999999999998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2100</v>
      </c>
      <c r="J1809">
        <v>0.54849999999999999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2100</v>
      </c>
      <c r="J1810">
        <v>0.53795000000000004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2100</v>
      </c>
      <c r="J1811">
        <v>0.45235000000000003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2100</v>
      </c>
      <c r="J1812">
        <v>0.23199999999999998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2100</v>
      </c>
      <c r="J1813">
        <v>0.49644999999999995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0.52340000000000009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5.617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12.5786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19.569199999999999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28.9268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48.544499999999999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0.23300000000000001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0.23710000000000001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0.18709999999999999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0.21970000000000001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0.21010000000000001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0.24129999999999999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0.26490000000000002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1.0034000000000001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1.1241000000000001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1.2059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1.3358000000000001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1.4424999999999999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1.5882000000000001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1.7459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5.0999999999999997E-2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5.8200000000000002E-2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6.4199999999999993E-2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0.13550000000000001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0.28010000000000002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0.4652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0.51790000000000003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1.8E-3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1.2800000000000001E-2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3.5000000000000003E-2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6.7599999999999993E-2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3.5531999999999999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2.5756000000000001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1.5697999999999999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1.1468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0.53580000000000005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7.4634999999999989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9.1134999999999984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9.432500000000001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11.511500000000002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14.558499999999999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22.902000000000001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25.553000000000001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2.5270000000000001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196.17179999999999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223.56299999999999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198.17070000000001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174.82689999999999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146.12039999999999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116.3287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88.624899999999997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257.54160000000002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262.19569999999999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246.76320000000001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228.7749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204.74639999999999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176.73310000000001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150.4589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0.23119999999999999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0.23400000000000001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0.20019999999999999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0.1895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0.20050000000000001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0.21829999999999999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0.22689999999999999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1.0394000000000001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1.1516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1.2656000000000001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1.2561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1.3213999999999999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1.4749000000000001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1.5568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5.45E-2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5.3100000000000001E-2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6.7699999999999996E-2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5.2400000000000002E-2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4.1599999999999998E-2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5.33E-2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9.6299999999999997E-2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3.7693999999999996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2.7071999999999998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1.6261999999999999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2.0209999999999999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1.8236000000000001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0.81779999999999997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0.51700000000000002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7.9584999999999999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11.2255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8.5854999999999997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9.4489999999999998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13.821500000000002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31.5425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42.366500000000002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2.6949999999999998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0.56000000000000005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195.40440000000001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236.00049999999999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215.34370000000001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247.86840000000001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278.41449999999998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342.62259999999998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367.21030000000002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256.78550000000001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275.40170000000001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265.99020000000002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303.66989999999998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339.28140000000002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407.56450000000001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436.7552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6.9596999999999998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14.7041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21.300699999999999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30.558399999999999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0.2271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0.2281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0.1913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0.20669999999999999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0.21460000000000001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0.24030000000000001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0.2364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1.0407999999999999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1.1524000000000001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1.264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1.4179999999999999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1.5827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1.7445999999999999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1.9429000000000001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5.4600000000000003E-2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5.3400000000000003E-2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6.7100000000000007E-2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9.8599999999999993E-2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0.22090000000000001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0.3982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0.49930000000000002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1.04E-2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2.76E-2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5.7599999999999998E-2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0.10349999999999999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3.6848000000000001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2.585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1.4946000000000002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0.53580000000000005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0.13159999999999999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7.8649999999999993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10.9945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8.2664999999999988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8.6349999999999998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9.7899999999999991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14.553000000000001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12.2265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2.6879999999999997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0.55300000000000005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194.8218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237.38220000000001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218.9084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184.60059999999999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143.33279999999999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91.061099999999996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44.609299999999998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256.22329999999999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274.45549999999997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264.8784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235.43209999999999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198.62549999999999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149.3682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105.2582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9.5336999999999996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15.960900000000001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23.2714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36.631100000000004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0.22520000000000001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0.2293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0.20449999999999999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0.2099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0.26369999999999999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0.27279999999999999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0.28510000000000002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1.0092000000000001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1.1162000000000001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1.2391000000000001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1.3244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1.2413000000000001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1.3942000000000001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1.5575000000000001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5.0700000000000002E-2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4.9000000000000002E-2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7.4300000000000005E-2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0.13869999999999999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0.3468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0.48609999999999998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0.57210000000000005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1.06E-2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2.8400000000000002E-2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5.3600000000000002E-2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9.1899999999999996E-2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3.4403999999999999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2.444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1.4757999999999998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0.33839999999999998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0.13159999999999999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7.3535000000000004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10.296000000000001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8.1124999999999989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7.9365000000000006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8.3874999999999993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10.609499999999999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10.131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2.5270000000000001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0.52500000000000002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196.9667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236.7287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217.34229999999999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180.8185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137.38409999999999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88.252200000000002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39.504199999999997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258.2543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275.10320000000002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265.78530000000001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236.08779999999999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198.2698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153.48500000000001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109.24890000000001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11.9674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19.4955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27.059200000000001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36.069400000000002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47.0304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0.23619999999999999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0.25840000000000002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0.2737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0.2762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0.26200000000000001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0.24990000000000001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0.23100000000000001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1.071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1.1801999999999999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1.1465000000000001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1.0569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0.94540000000000002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0.92049999999999998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0.95109999999999995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4.8399999999999999E-2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5.6800000000000003E-2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8.2699999999999996E-2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0.16439999999999999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0.3382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0.58809999999999996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0.72860000000000003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2.9499999999999998E-2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7.5399999999999995E-2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0.13569999999999999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0.21060000000000001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0.2412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3.9762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2.8858000000000001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1.6544000000000001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0.42299999999999999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0.15040000000000001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1.8800000000000001E-2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8.2004999999999999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10.054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8.2720000000000002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2.5465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2.3815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5.423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9.2729999999999997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2.7160000000000002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192.64750000000001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230.07259999999999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138.75149999999999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85.953800000000001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40.5914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-4.6509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-29.4787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254.16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268.62079999999997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186.98150000000001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137.68680000000001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96.669399999999996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57.366900000000001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34.182600000000001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6.1928999999999998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9.532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13.8325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20.728000000000002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0.22489999999999999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0.23180000000000001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0.222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0.23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0.25679999999999997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0.26939999999999997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0.3034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1.0116000000000001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1.1293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1.1476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1.2353000000000001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1.2473000000000001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1.3264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1.4124000000000001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4.7899999999999998E-2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5.5599999999999997E-2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4.2799999999999998E-2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0.1061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0.2354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0.41170000000000001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0.61209999999999998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2.5999999999999999E-3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6.0000000000000001E-3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7.7000000000000002E-3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7.4000000000000003E-3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3.6284000000000001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2.6132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1.5416000000000001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0.78959999999999997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0.376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7.5844999999999994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9.2125000000000004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7.9695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9.3719999999999999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11.830500000000001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20.02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34.286999999999999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2.5760000000000001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195.32599999999999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222.94990000000001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220.0154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193.7304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177.38910000000001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165.452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153.47139999999999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256.7527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262.60789999999997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270.51159999999999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250.9632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240.4051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232.30090000000001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224.1841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21.0183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28.372800000000002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29.849699999999999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36.784100000000002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35.559800000000003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0.24249999999999999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0.25090000000000001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0.28039999999999998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0.2994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0.37390000000000001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0.45879999999999999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0.4929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1.0008999999999999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1.1187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1.3563000000000001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1.5733999999999999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1.7963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1.8864000000000001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2.0171999999999999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5.1499999999999997E-2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5.8700000000000002E-2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8.0399999999999999E-2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0.1678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0.34260000000000002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0.432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0.4546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3.1E-2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7.7799999999999994E-2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0.14799999999999999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0.21840000000000001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0.25590000000000002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3.7035999999999998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2.7729999999999997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0.84599999999999997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0.23500000000000001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2.8199999999999996E-2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4.7E-2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9.4000000000000004E-3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7.6669999999999998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9.4930000000000003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7.1114999999999995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1.012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1.661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1.7765000000000002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0.24200000000000002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2.5409999999999999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197.7653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225.30090000000001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153.11109999999999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87.957400000000007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40.149099999999997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3.9340000000000002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-17.2622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259.01659999999998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263.75209999999998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202.2561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141.73089999999999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97.259399999999999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64.438100000000006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45.576300000000003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0.24629999999999999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2.4037999999999999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6.8498999999999999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13.3454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19.9239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23.3261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24.940799999999999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24.807600000000001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23.542999999999999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22.0701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22.229600000000001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22.298200000000001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24.445399999999999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26.5733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27.284600000000001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28.0273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0.45989999999999998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0.54059999999999997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0.56110000000000004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0.59199999999999997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0.60119999999999996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0.61980000000000002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0.62009999999999998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0.61760000000000004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0.57989999999999997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0.58260000000000001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0.58579999999999999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0.58699999999999997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0.58599999999999997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0.57699999999999996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0.56420000000000003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0.53649999999999998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0.50929999999999997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1.0958000000000001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1.2190000000000001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1.2695000000000001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1.3506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1.3476999999999999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1.4123000000000001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1.4221999999999999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1.3675999999999999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1.3994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1.4049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1.4140999999999999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1.4793000000000001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1.5466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1.6102000000000001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1.6740999999999999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1.7309000000000001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1.7887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5.3199999999999997E-2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0.1227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0.2266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0.34710000000000002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0.42109999999999997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0.4446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0.45700000000000002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0.47960000000000003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0.49299999999999999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0.5071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0.51910000000000001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0.53139999999999998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0.54500000000000004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0.55630000000000002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0.56710000000000005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0.56899999999999995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0.56810000000000005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8.5000000000000006E-3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3.9100000000000003E-2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7.3499999999999996E-2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0.1032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0.1326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0.18759999999999999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0.24890000000000001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0.31009999999999999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0.38300000000000001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0.38950000000000001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0.38769999999999999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0.38140000000000002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0.37309999999999999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0.37830000000000003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0.38159999999999999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0.39129999999999998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0.40129999999999999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3.2500000000000001E-2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5.7000000000000002E-3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0.17510000000000001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0.18540000000000001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9.5399999999999999E-2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6.6000000000000003E-2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1.5699999999999999E-2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1.5100000000000001E-2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1.29E-2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1.09E-2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6.1000000000000004E-3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3.3E-3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5.0000000000000001E-4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2.9999999999999997E-4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1.43E-2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5.3E-3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4.0000000000000002E-4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244.5609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239.57740000000001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186.27780000000001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105.94710000000001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37.255899999999997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-1.948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-29.180399999999999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-36.4574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-47.428199999999997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-48.921700000000001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-50.343299999999999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-51.878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-53.552199999999999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-56.201300000000003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-58.950299999999999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-56.133600000000001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-53.420099999999998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303.59960000000001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271.78550000000001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223.07249999999999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148.30770000000001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84.810100000000006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46.985300000000002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20.739100000000001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10.797599999999999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-4.7191000000000001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-7.7508999999999997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-10.7423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-13.653600000000001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-16.703900000000001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-19.328600000000002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-22.0199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-23.7666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-25.63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0.2198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0.2263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0.2291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0.24049999999999999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0.24840000000000001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0.24909999999999999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0.23469999999999999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0.21029999999999999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0.14649999999999999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7.8299999999999995E-2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3.9899999999999998E-2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0.45579999999999998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0.53259999999999996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0.56299999999999994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0.57189999999999996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0.57879999999999998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0.57979999999999998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0.59370000000000001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0.58660000000000001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0.55900000000000005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0.55920000000000003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0.55969999999999998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0.54830000000000001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0.53410000000000002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0.51849999999999996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0.50080000000000002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0.47989999999999999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0.4592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1.0925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1.2020999999999999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1.2729999999999999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1.2911999999999999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1.2829999999999999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1.2698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1.2919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1.2696000000000001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1.2926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1.3089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1.3285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1.3807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1.4312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1.4754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1.5201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1.5760000000000001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1.6357999999999999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5.2400000000000002E-2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0.11940000000000001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0.21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0.29310000000000003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0.33550000000000002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0.35210000000000002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0.36699999999999999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0.3871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0.40379999999999999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0.41909999999999997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0.43090000000000001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0.438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0.44479999999999997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0.4511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0.45739999999999997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0.46060000000000001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0.4627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8.5000000000000006E-3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3.8199999999999998E-2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7.1800000000000003E-2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8.7800000000000003E-2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9.0300000000000005E-2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9.6600000000000005E-2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0.1202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0.1162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0.1817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0.22670000000000001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0.26929999999999998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0.32969999999999999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0.38419999999999999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0.44440000000000002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0.49519999999999997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0.51770000000000005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0.5353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3.2399999999999998E-2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8.6999999999999994E-3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2.5000000000000001E-3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2.2000000000000001E-3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1.2999999999999999E-3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8.0000000000000004E-4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1.6999999999999999E-3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4.1000000000000003E-3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7.1000000000000004E-3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1.0800000000000001E-2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1.5100000000000001E-2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1.55E-2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1.5900000000000001E-2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0.1741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0.1973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0.17530000000000001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0.1128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7.3700000000000002E-2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1.8100000000000002E-2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2.06E-2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2.1700000000000001E-2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2.2800000000000001E-2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2.3800000000000002E-2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2.46E-2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2.4799999999999999E-2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2.4899999999999999E-2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2.2100000000000002E-2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1.9199999999999998E-2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1.61E-2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1.2800000000000001E-2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1.4200000000000001E-2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5.1999999999999998E-3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4.0000000000000002E-4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243.9751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242.22329999999999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215.07919999999999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174.065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138.78059999999999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111.14149999999999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95.937899999999999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85.034300000000002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75.517300000000006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72.678700000000006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69.847200000000001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63.865099999999998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57.888300000000001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52.112699999999997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45.607599999999998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45.471699999999998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44.943199999999997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302.90390000000002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274.95659999999998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254.0333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217.00120000000001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186.0977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162.71129999999999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151.60429999999999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139.62530000000001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128.91460000000001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124.7522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120.5795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115.50320000000001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110.42789999999999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101.9654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92.799300000000002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85.523300000000006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77.853399999999993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0.2122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0.22270000000000001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1.3113999999999999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21.167000000000002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53.695799999999998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67.689700000000002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73.33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73.093999999999994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74.108500000000006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74.660200000000003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69.927300000000002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64.711600000000004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55.779600000000002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46.104599999999998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45.425600000000003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44.702199999999998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0.46039999999999998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0.53090000000000004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0.5645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0.60029999999999994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0.64670000000000005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0.64949999999999997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0.63929999999999998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0.63370000000000004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0.59119999999999995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0.59399999999999997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0.59660000000000002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0.60150000000000003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0.60440000000000005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0.59419999999999995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0.57769999999999999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0.55269999999999997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0.52690000000000003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1.0905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1.2021999999999999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1.2745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1.3174999999999999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1.3783000000000001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1.5136000000000001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1.4934000000000001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1.4119999999999999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1.4027000000000001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1.4080999999999999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1.4160999999999999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1.4794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1.5448999999999999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1.5992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1.6521999999999999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1.7293000000000001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1.8106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5.3699999999999998E-2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0.1207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0.2114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0.3009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0.3508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0.35580000000000001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0.37740000000000001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0.40300000000000002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0.41870000000000002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0.43619999999999998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0.45140000000000002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0.4642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0.47839999999999999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0.48970000000000002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0.498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0.50270000000000004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0.50660000000000005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8.3999999999999995E-3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3.8199999999999998E-2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7.2099999999999997E-2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8.6300000000000002E-2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0.12139999999999999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0.24590000000000001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0.38679999999999998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0.48309999999999997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0.57779999999999998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0.58850000000000002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0.59319999999999995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0.57679999999999998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0.55730000000000002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0.54620000000000002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0.53100000000000003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0.53600000000000003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0.54100000000000004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3.27E-2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8.6999999999999994E-3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2.5000000000000001E-3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8.9999999999999998E-4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0.17680000000000001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0.19950000000000001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0.17710000000000001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0.10059999999999999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8.6999999999999994E-3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6.1000000000000004E-3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2.7000000000000001E-3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5.9999999999999995E-4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1.44E-2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5.3E-3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4.0000000000000002E-4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245.39529999999999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247.80770000000001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223.12700000000001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153.67500000000001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-11.825699999999999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-81.603099999999998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-109.2595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-116.73609999999999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-118.17570000000001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-120.6093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-122.7436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-116.3159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-109.4121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-100.18300000000001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-90.253600000000006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-85.150899999999993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-80.033799999999999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304.51749999999998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278.2962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257.32740000000001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199.5539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42.944099999999999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-22.665199999999999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-47.8842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-58.1723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-64.929299999999998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-69.667900000000003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-74.140799999999999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-69.828900000000004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-65.053299999999993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-56.5837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-47.414099999999998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-47.254899999999999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-47.0854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0.21529999999999999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0.22600000000000001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0.68149999999999999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3.3378999999999999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9.1659000000000006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13.260300000000001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15.685700000000001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17.192499999999999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17.57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17.873999999999999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16.543500000000002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15.0303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15.422599999999999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15.7081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16.592400000000001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17.5045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0.46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0.5333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0.56489999999999996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0.55030000000000001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0.56899999999999995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0.59940000000000004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0.6119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0.61580000000000001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0.57140000000000002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0.5756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0.58099999999999996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0.5837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0.58250000000000002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0.56859999999999999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0.55110000000000003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0.52510000000000001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0.49909999999999999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1.1003000000000001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1.2105999999999999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1.2811999999999999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1.3568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1.3794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1.4258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1.4103000000000001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1.36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1.3671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1.3720000000000001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1.3789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1.4356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1.4939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1.5559000000000001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1.6184000000000001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1.6767000000000001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1.7387999999999999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5.3100000000000001E-2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0.1206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0.21110000000000001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0.29089999999999999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0.33910000000000001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0.3513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0.377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0.40039999999999998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0.40479999999999999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0.41799999999999998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0.42980000000000002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0.44469999999999998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0.45860000000000001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0.46739999999999998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0.47599999999999998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0.4798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0.48309999999999997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8.5000000000000006E-3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3.8300000000000001E-2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7.2099999999999997E-2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8.3199999999999996E-2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0.10589999999999999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0.17269999999999999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0.2427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0.29909999999999998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0.38009999999999999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0.3947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0.40229999999999999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0.40660000000000002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0.40450000000000003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0.41649999999999998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0.42530000000000001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0.43219999999999997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0.43890000000000001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3.2500000000000001E-2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8.6999999999999994E-3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2.5000000000000001E-3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1.1000000000000001E-3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0.1754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0.19850000000000001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0.17649999999999999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0.10630000000000001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2.01E-2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2.2599999999999999E-2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2.1100000000000001E-2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1.9599999999999999E-2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1.3100000000000001E-2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9.1000000000000004E-3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4.5999999999999999E-3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2.8E-3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1.43E-2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5.3E-3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4.0000000000000002E-4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244.70310000000001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244.92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217.91919999999999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150.96420000000001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31.628599999999999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-9.6372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-31.755199999999999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-38.427799999999998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-43.532699999999998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-46.094999999999999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-48.628399999999999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-53.447699999999998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-58.008499999999998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-59.429499999999997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-60.962499999999999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-56.518799999999999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-52.225999999999999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303.68009999999998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276.45400000000001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254.5093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198.93469999999999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85.736599999999996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49.5212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30.299700000000001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20.507400000000001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10.875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5.5307000000000004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0.17369999999999999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-3.6227999999999998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-7.1729000000000003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-9.5687999999999995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-12.052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-14.491199999999999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-17.0793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0.42730000000000001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7.2320000000000002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16.955300000000001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27.908000000000001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36.941000000000003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42.679600000000001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47.245699999999999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50.883899999999997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52.443899999999999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53.925899999999999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56.132300000000001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58.264000000000003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60.246699999999997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61.944800000000001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61.071599999999997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59.985300000000002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0.45200000000000001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0.38290000000000002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0.3196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0.31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0.29270000000000002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0.26850000000000002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0.26640000000000003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0.26269999999999999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0.24729999999999999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0.25480000000000003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0.26419999999999999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0.27610000000000001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0.2873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0.29930000000000001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0.30959999999999999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0.3125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0.31459999999999999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1.077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1.224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1.1519999999999999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1.2988999999999999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1.3468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1.3797999999999999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1.3959999999999999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1.3196000000000001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1.3059000000000001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1.3171999999999999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1.3332999999999999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1.4137999999999999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1.4984999999999999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1.5767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1.6555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1.7229000000000001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1.7954000000000001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5.3600000000000002E-2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0.1134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0.20780000000000001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0.30620000000000003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0.35510000000000003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0.35439999999999999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0.33629999999999999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0.38200000000000001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0.38919999999999999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0.39889999999999998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0.40839999999999999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0.42220000000000002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0.43730000000000002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0.45029999999999998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0.46289999999999998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0.4708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0.4783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8.2000000000000007E-3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2.7799999999999998E-2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4.7600000000000003E-2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6.6699999999999995E-2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9.01E-2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9.5500000000000002E-2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9.2499999999999999E-2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0.10059999999999999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0.1361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0.155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0.1721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0.1744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0.1762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0.1857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0.1943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0.2162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0.23699999999999999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3.2000000000000001E-2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5.4000000000000003E-3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0.17449999999999999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0.16389999999999999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3.9300000000000002E-2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8.8000000000000005E-3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5.8999999999999999E-3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4.1000000000000003E-3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2.8999999999999998E-3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2.0999999999999999E-3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1.1999999999999999E-3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6.9999999999999999E-4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1.4200000000000001E-2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4.8999999999999998E-3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4.0000000000000002E-4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246.12010000000001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216.22149999999999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83.731800000000007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19.3079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-32.370100000000001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-63.828800000000001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-78.528400000000005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-84.1447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-87.012799999999999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-82.190200000000004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-77.2453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-86.747299999999996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-96.364099999999993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-94.835400000000007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-93.122600000000006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-96.683400000000006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-100.19240000000001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305.33839999999998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251.4468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128.47880000000001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68.607299999999995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19.995799999999999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-8.4779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-21.658799999999999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-26.936900000000001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-31.898299999999999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-33.943600000000004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-35.9163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-40.282899999999998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-44.787300000000002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-46.944699999999997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-48.924599999999998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-50.429900000000004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-51.909799999999997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0.42920000000000003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3.0985999999999998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7.8590999999999998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14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16.940999999999999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19.306699999999999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20.600300000000001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20.8399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19.383800000000001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17.717099999999999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14.4079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10.944599999999999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11.325100000000001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11.669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13.946899999999999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16.312000000000001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0.45989999999999998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0.54200000000000004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0.55459999999999998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0.58409999999999995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0.61680000000000001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0.63429999999999997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0.62260000000000004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0.61570000000000003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0.5696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0.57130000000000003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0.57579999999999998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0.57169999999999999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0.55940000000000001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0.54169999999999996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0.52170000000000005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0.50160000000000005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0.48049999999999998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1.0992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1.2198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1.2545999999999999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1.3311999999999999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1.3703000000000001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1.3992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1.3926000000000001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1.3423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1.3629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1.3697999999999999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1.3793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1.4282999999999999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1.4763999999999999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1.5284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1.5803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1.6376999999999999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1.6991000000000001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5.28E-2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0.1205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0.21029999999999999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0.29499999999999998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0.34539999999999998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0.36580000000000001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0.38069999999999998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0.40389999999999998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0.41089999999999999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0.42549999999999999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0.4395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0.45319999999999999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0.46279999999999999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0.46779999999999999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0.47260000000000002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0.47589999999999999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0.4788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8.5000000000000006E-3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3.7999999999999999E-2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7.0900000000000005E-2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9.7799999999999998E-2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0.1449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0.223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0.29849999999999999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0.36070000000000002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0.44180000000000003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0.4476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0.44429999999999997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0.44819999999999999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0.44879999999999998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0.46700000000000003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0.48370000000000002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0.4874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0.49059999999999998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3.2599999999999997E-2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5.7000000000000002E-3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0.17530000000000001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0.1888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8.5800000000000001E-2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4.8500000000000001E-2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1.6199999999999999E-2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1.5900000000000001E-2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1.38E-2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1.17E-2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8.5000000000000006E-3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4.7999999999999996E-3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1E-3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5.0000000000000001E-4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1.43E-2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5.3E-3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4.0000000000000002E-4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244.69710000000001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235.28739999999999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168.88560000000001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93.071700000000007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33.023299999999999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-0.45979999999999999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-22.026700000000002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-32.317599999999999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-38.939599999999999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-39.585700000000003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-40.080599999999997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-38.912599999999998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-37.591000000000001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-36.430999999999997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-35.383600000000001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-31.457999999999998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-27.717099999999999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303.67529999999999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269.25979999999998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208.95230000000001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138.6018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83.7072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53.4574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34.887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21.729399999999998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10.4643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6.8738999999999999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3.3895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5.1494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7.0401999999999996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6.77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6.4082999999999997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3.4565999999999999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0.33110000000000001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0.43280000000000002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13.8048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38.896500000000003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67.119299999999996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76.900899999999993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79.457700000000003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80.084599999999995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77.037499999999994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69.776499999999999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61.588200000000001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55.391500000000001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48.753300000000003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52.061500000000002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56.088900000000002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59.368200000000002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62.780200000000001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0.4617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0.54249999999999998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0.5534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0.5786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0.63460000000000005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0.63349999999999995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0.62619999999999998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0.62539999999999996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0.59850000000000003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0.60719999999999996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0.61709999999999998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0.62119999999999997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0.62239999999999995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0.61829999999999996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0.61070000000000002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0.58409999999999995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0.55489999999999995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1.0922000000000001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1.2218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1.2648999999999999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1.4505999999999999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1.5423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1.5258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1.4648000000000001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1.3897999999999999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1.4379999999999999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1.4375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1.4401999999999999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1.5023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1.5666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1.6391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1.7113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1.7884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1.8703000000000001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5.3800000000000001E-2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0.12429999999999999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0.22989999999999999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0.34089999999999998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0.40110000000000001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0.43609999999999999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0.4541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0.47689999999999999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0.4899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0.50490000000000002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0.51849999999999996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0.53380000000000005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0.55000000000000004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0.56320000000000003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0.57599999999999996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0.58189999999999997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0.58660000000000001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8.3999999999999995E-3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3.7999999999999999E-2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9.1200000000000003E-2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0.16600000000000001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0.26619999999999999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0.34799999999999998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0.41370000000000001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0.45319999999999999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0.48709999999999998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0.4733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0.44919999999999999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0.4415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0.43090000000000001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0.45629999999999998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0.48770000000000002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0.50449999999999995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0.52180000000000004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3.2300000000000002E-2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5.7999999999999996E-3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0.17610000000000001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0.18290000000000001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6.0600000000000001E-2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6.4000000000000003E-3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4.0000000000000001E-3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1.6999999999999999E-3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2.9999999999999997E-4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1.43E-2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5.4000000000000003E-3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4.0000000000000002E-4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245.38200000000001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232.2559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126.1793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4.3996000000000004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-76.297499999999999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-104.4924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-114.9241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-116.2136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-117.2094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-105.101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-92.106499999999997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-91.872100000000003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-91.264399999999995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-91.163300000000007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-91.788200000000003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-98.102500000000006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-104.5715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304.51220000000001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265.27019999999999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166.904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51.226500000000001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-27.9345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-56.286200000000001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-67.4636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-69.475099999999998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-73.162800000000004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-67.793599999999998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-61.585099999999997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-56.095300000000002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-50.253999999999998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-53.9514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-58.354300000000002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-62.1738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-66.142300000000006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0.42549999999999999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2.2242000000000002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6.7515999999999998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13.3973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19.2989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23.022600000000001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24.838000000000001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24.983000000000001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23.866599999999998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22.567499999999999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22.550699999999999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22.4313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24.1464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25.816099999999999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26.642099999999999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27.523900000000001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0.46089999999999998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0.54430000000000001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0.56279999999999997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0.58499999999999996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0.60270000000000001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0.62539999999999996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0.62549999999999994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0.62370000000000003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0.58630000000000004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0.5907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0.59370000000000001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0.59489999999999998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0.59389999999999998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0.58450000000000002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0.57210000000000005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0.54779999999999995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0.51980000000000004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1.097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1.2229000000000001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1.2730999999999999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1.3441000000000001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1.3368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1.4200999999999999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1.4365000000000001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1.3862000000000001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1.4181999999999999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1.4292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1.4419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1.5107999999999999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1.5814999999999999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1.6460999999999999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1.7104999999999999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1.7746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1.8414999999999999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5.33E-2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0.12230000000000001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0.2261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0.34510000000000002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0.42280000000000001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0.44679999999999997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0.4602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0.4834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0.4975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0.51229999999999998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0.52270000000000005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0.53569999999999995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0.54990000000000006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0.56169999999999998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0.57340000000000002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0.57899999999999996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0.58069999999999999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8.5000000000000006E-3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3.9300000000000002E-2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7.2700000000000001E-2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0.1009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0.12570000000000001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0.18310000000000001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0.24690000000000001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0.311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0.38719999999999999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0.3916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0.38790000000000002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0.38169999999999998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0.37340000000000001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0.37940000000000002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0.38340000000000002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0.3911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0.39939999999999998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3.2500000000000001E-2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7.0000000000000001E-3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5.0000000000000001E-4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0.17530000000000001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0.19400000000000001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0.1096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6.7000000000000004E-2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1.7100000000000001E-2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1.6799999999999999E-2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1.46E-2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1.26E-2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7.4000000000000003E-3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4.1999999999999997E-3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1.1000000000000001E-3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5.0000000000000001E-4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1.43E-2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5.3E-3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4.0000000000000002E-4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244.55709999999999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239.59039999999999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190.77670000000001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109.3329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39.099200000000003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-2.3125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-27.466799999999999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-39.3369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-49.9313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-52.112099999999998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-54.294400000000003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-54.756700000000002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-55.3078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-56.924799999999998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-58.557400000000001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-55.907600000000002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-53.399299999999997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303.5652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272.48480000000001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228.10720000000001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153.02379999999999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87.365700000000004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47.392299999999999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23.090699999999998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8.3699999999999992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-6.8960999999999997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-10.5633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-14.2615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-16.257300000000001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-18.341699999999999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-20.109200000000001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-21.863900000000001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-23.758900000000001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-25.795300000000001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0.2409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0.26250000000000001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0.26519999999999999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0.27479999999999999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0.28470000000000001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0.28560000000000002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0.26950000000000002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0.2414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0.16930000000000001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9.2100000000000001E-2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4.6800000000000001E-2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0.4587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0.53129999999999999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0.56200000000000006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0.57030000000000003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0.57720000000000005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0.58030000000000004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0.59950000000000003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0.59509999999999996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0.56759999999999999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0.57040000000000002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0.57389999999999997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0.5696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0.56000000000000005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0.54169999999999996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0.52249999999999996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0.50129999999999997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0.47949999999999998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1.0985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1.2012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1.2716000000000001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1.2879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1.2796000000000001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1.2672000000000001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1.2985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1.2791999999999999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1.3011999999999999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1.3234999999999999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1.3493999999999999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1.4129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1.4777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1.5310999999999999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1.5847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1.6463000000000001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1.712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5.28E-2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0.1195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0.21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0.2923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0.33410000000000001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0.35220000000000001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0.36959999999999998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0.39019999999999999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0.40670000000000001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0.42249999999999999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0.43540000000000001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0.44879999999999998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0.46039999999999998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0.46710000000000002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0.47370000000000001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0.47770000000000001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0.48099999999999998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8.5000000000000006E-3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3.9600000000000003E-2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7.2400000000000006E-2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8.8300000000000003E-2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9.1200000000000003E-2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9.7199999999999995E-2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0.122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0.1176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0.1951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0.249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0.29870000000000002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0.36459999999999998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0.42230000000000001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0.48149999999999998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0.52959999999999996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0.54759999999999998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0.56169999999999998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3.2399999999999998E-2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8.6E-3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2.5000000000000001E-3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2.2000000000000001E-3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1.2999999999999999E-3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2.0000000000000001E-4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1.6999999999999999E-3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3.7000000000000002E-3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8.8999999999999999E-3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1.54E-2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2.29E-2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3.1199999999999999E-2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3.1899999999999998E-2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3.2500000000000001E-2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0.17430000000000001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0.19739999999999999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0.17960000000000001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0.12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7.8899999999999998E-2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1.7600000000000001E-2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2.0299999999999999E-2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2.1600000000000001E-2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2.29E-2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2.4199999999999999E-2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2.5499999999999998E-2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2.53E-2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2.5000000000000001E-2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2.2100000000000002E-2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1.9099999999999999E-2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1.5699999999999999E-2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1.2200000000000001E-2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1.4200000000000001E-2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5.1999999999999998E-3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4.0000000000000002E-4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244.102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243.12049999999999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215.1157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174.32640000000001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139.93010000000001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110.54049999999999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99.053799999999995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90.579300000000003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82.655900000000003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78.274600000000007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73.917199999999994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65.112899999999996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56.504300000000001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50.008200000000002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42.798699999999997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44.216900000000003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45.283999999999999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303.02440000000001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275.8261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254.06780000000001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217.28659999999999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187.25129999999999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162.07130000000001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154.5934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145.0198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135.9085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130.16909999999999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124.4324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116.5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108.77209999999999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99.604600000000005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89.744200000000006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83.984499999999997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77.873800000000003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0.2339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0.2591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1.3523000000000001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20.509499999999999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53.806800000000003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67.268799999999999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72.305199999999999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71.793300000000002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71.710400000000007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71.224400000000003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65.5822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59.417499999999997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52.070599999999999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43.9953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43.605499999999999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43.163699999999999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0.46050000000000002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0.52990000000000004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0.56499999999999995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0.60209999999999997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0.64970000000000006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0.65490000000000004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0.64529999999999998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0.64170000000000005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0.60009999999999997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0.60440000000000005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0.60899999999999999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0.61350000000000005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0.61609999999999998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0.60660000000000003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0.59260000000000002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0.56530000000000002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0.53639999999999999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1.0908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1.1998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1.2761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1.3251999999999999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1.3813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1.5248999999999999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1.5116000000000001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1.4326000000000001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1.4244000000000001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1.4339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1.4460999999999999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1.5111000000000001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1.5780000000000001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1.637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1.6956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1.7705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1.8503000000000001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5.3699999999999998E-2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0.12039999999999999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0.21129999999999999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0.30159999999999998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0.35199999999999998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0.3579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0.38069999999999998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0.40629999999999999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0.42249999999999999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0.44030000000000002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0.45569999999999999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0.46889999999999998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0.48370000000000002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0.497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0.50890000000000002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0.5141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0.51939999999999997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8.3999999999999995E-3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3.95E-2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7.2800000000000004E-2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8.7300000000000003E-2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0.1221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0.24790000000000001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0.39069999999999999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0.48809999999999998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0.58030000000000004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0.58460000000000001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0.58340000000000003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0.56530000000000002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0.54379999999999995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0.5363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0.52439999999999998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0.52969999999999995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0.53490000000000004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3.27E-2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8.6999999999999994E-3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2.5000000000000001E-3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8.9999999999999998E-4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0.17680000000000001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0.20069999999999999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0.18279999999999999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0.10920000000000001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8.6999999999999994E-3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6.1000000000000004E-3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2.5999999999999999E-3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5.9999999999999995E-4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1.43E-2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5.3E-3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4.0000000000000002E-4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245.3623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248.2277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223.3835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155.47829999999999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-7.9885999999999999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-79.427300000000002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-112.7766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-116.408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-115.0543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-116.3672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-117.4521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-110.5532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-103.21559999999999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-95.364599999999996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-86.778999999999996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-81.949700000000007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-77.1066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304.4794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278.69720000000001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257.56849999999997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201.2124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46.022199999999998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-21.661100000000001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-53.559899999999999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-60.262999999999998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-63.627499999999998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-67.099900000000005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-70.381500000000003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-65.435699999999997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-60.066099999999999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-52.881399999999999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-44.961199999999998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-44.992400000000004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-45.007199999999997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0.2361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0.26219999999999999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0.80389999999999995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3.5775999999999999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8.6465999999999994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12.579700000000001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14.0619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15.058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15.0105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14.8803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12.6454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10.2415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11.4178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12.5563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13.8757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15.2384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0.4592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0.5302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0.56379999999999997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0.56010000000000004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0.56969999999999998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0.60389999999999999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0.622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0.623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0.58750000000000002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0.59209999999999996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0.59789999999999999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0.59560000000000002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0.59119999999999995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0.57210000000000005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0.54500000000000004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0.52500000000000002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0.50449999999999995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1.0991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1.2047000000000001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1.2789999999999999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1.3423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1.3561000000000001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1.4366000000000001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1.4136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1.3705000000000001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1.3872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1.3948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1.4054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1.462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1.5218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1.5807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1.6376999999999999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1.7040999999999999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1.7742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5.3100000000000001E-2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0.1205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0.21160000000000001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0.29620000000000002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0.35120000000000001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0.37380000000000002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0.3901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0.41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0.4168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0.43109999999999998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0.44379999999999997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0.45879999999999999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0.47539999999999999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0.48509999999999998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0.4914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0.4955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0.499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8.5000000000000006E-3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3.9600000000000003E-2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7.2599999999999998E-2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8.4400000000000003E-2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9.8799999999999999E-2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0.14510000000000001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0.22720000000000001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0.29409999999999997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0.38040000000000002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0.39639999999999997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0.40539999999999998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0.41570000000000001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0.4204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0.4405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0.45789999999999997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0.46210000000000001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0.46579999999999999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3.2800000000000003E-2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8.6999999999999994E-3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2.5000000000000001E-3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1.1000000000000001E-3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0.17660000000000001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0.1822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0.11559999999999999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2.2100000000000002E-2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2.3099999999999999E-2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2.1700000000000001E-2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2.0299999999999999E-2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1.38E-2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9.7000000000000003E-3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5.5999999999999999E-3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3.0000000000000001E-3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2.9999999999999997E-4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1E-4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1.44E-2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5.3E-3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4.0000000000000002E-4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244.92400000000001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246.19329999999999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218.9555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158.57820000000001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43.5884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-2.9035000000000002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-28.979199999999999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-34.5396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-38.958100000000002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-40.180399999999999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-41.404299999999999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-41.786499999999997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-42.100900000000003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-44.892499999999998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-47.683199999999999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-43.8474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-40.062199999999997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303.88310000000001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277.6764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255.50210000000001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204.40690000000001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96.775999999999996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56.105899999999998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33.553699999999999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24.883700000000001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15.839700000000001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11.5786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7.2693000000000003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7.4391999999999996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7.6651999999999996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3.4546999999999999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-0.7268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-3.9211999999999998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-7.1570999999999998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0.4274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7.3532999999999999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17.166499999999999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28.057600000000001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36.372500000000002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41.050600000000003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43.280200000000001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43.274500000000003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44.277299999999997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45.037500000000001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47.259399999999999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49.421100000000003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52.296100000000003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54.983800000000002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58.131999999999998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61.356999999999999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0.45269999999999999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0.38329999999999997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0.31950000000000001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0.31169999999999998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0.29549999999999998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0.27279999999999999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0.27250000000000002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0.26889999999999997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0.24929999999999999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0.25819999999999999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0.26900000000000002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0.28089999999999998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0.2923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0.30409999999999998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0.31440000000000001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0.32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0.3251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1.0767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1.2242999999999999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1.1504000000000001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1.3027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1.3636999999999999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1.4186000000000001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1.4478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1.3515999999999999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1.3243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1.3446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1.3697999999999999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1.4523999999999999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1.5389999999999999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1.6153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1.6920999999999999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1.7707999999999999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1.8549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5.3600000000000002E-2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0.1132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0.20669999999999999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0.30480000000000002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0.35449999999999998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0.34839999999999999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0.31780000000000003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0.376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0.3861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0.3962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0.40570000000000001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0.42009999999999997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0.43580000000000002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0.45100000000000001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0.46579999999999999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0.47399999999999998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0.48199999999999998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8.2000000000000007E-3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2.9000000000000001E-2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4.9399999999999999E-2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6.7299999999999999E-2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8.9800000000000005E-2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9.6000000000000002E-2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0.1042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0.1283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0.1855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0.2019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0.21490000000000001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0.2145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0.21340000000000001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0.21790000000000001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0.221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0.22409999999999999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0.22700000000000001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3.2000000000000001E-2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5.4000000000000003E-3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0.17460000000000001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0.16539999999999999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4.1300000000000003E-2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8.6999999999999994E-3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5.7999999999999996E-3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4.1000000000000003E-3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2.8E-3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2E-3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6.9999999999999999E-4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2.9999999999999997E-4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1.4200000000000001E-2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4.7999999999999996E-3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4.0000000000000002E-4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246.15649999999999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216.4427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84.289100000000005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19.012899999999998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-32.146500000000003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-63.468499999999999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-77.641400000000004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-85.464100000000002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-84.946700000000007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-80.109499999999997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-75.043199999999999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-82.365899999999996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-89.649600000000007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-88.5535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-87.388000000000005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-93.822199999999995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-100.39919999999999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305.38069999999999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252.43799999999999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130.02500000000001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68.739500000000007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19.697500000000002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-9.0190999999999999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-20.906199999999998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-28.276499999999999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-30.1953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-32.694200000000002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-35.024500000000003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-37.740299999999998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-40.442900000000002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-43.616199999999999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-46.716500000000003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-50.482700000000001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-54.389400000000002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0.42299999999999999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3.1322000000000001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7.9641999999999999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14.106999999999999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17.107700000000001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19.377800000000001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20.812899999999999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21.074000000000002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19.582100000000001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17.873200000000001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13.8683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9.6798000000000002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9.5715000000000003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9.4144000000000005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11.3606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13.3803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0.45979999999999999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0.54169999999999996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0.5544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0.58709999999999996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0.62070000000000003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0.63859999999999995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0.62780000000000002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0.62109999999999999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0.57540000000000002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0.57969999999999999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0.58509999999999995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0.58140000000000003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0.57350000000000001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0.55549999999999999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0.53449999999999998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0.51549999999999996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0.4955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1.0995999999999999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1.2183999999999999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1.2514000000000001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1.3362000000000001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1.3728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1.4057999999999999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1.4052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1.3579000000000001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1.3797999999999999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1.3914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1.4063000000000001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1.4605999999999999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1.5154000000000001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1.5746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1.6326000000000001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1.6979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1.7672000000000001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5.2699999999999997E-2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0.1206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0.2109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0.29570000000000002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0.34589999999999999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0.36770000000000003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0.3836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0.40639999999999998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0.41370000000000001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0.42970000000000003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0.44400000000000001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0.45760000000000001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0.47039999999999998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0.4778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0.48370000000000002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0.48820000000000002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0.49209999999999998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8.5000000000000006E-3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3.78E-2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7.0699999999999999E-2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9.74E-2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0.14019999999999999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0.22289999999999999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0.3004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0.36459999999999998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0.44769999999999999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0.45390000000000003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0.4511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0.45629999999999998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0.45689999999999997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0.47589999999999999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0.49340000000000001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0.49809999999999999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0.50229999999999997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3.2599999999999997E-2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5.7000000000000002E-3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0.17530000000000001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0.1895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8.2299999999999998E-2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4.7699999999999999E-2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1.72E-2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1.7000000000000001E-2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1.49E-2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1.2999999999999999E-2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9.7000000000000003E-3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5.5999999999999999E-3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1.4E-3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6.9999999999999999E-4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1.43E-2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5.3E-3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4.0000000000000002E-4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244.64279999999999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234.6619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168.6277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93.336100000000002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33.445099999999996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0.74790000000000001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-22.023700000000002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-28.104299999999999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-34.932400000000001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-36.227899999999998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-37.377299999999998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-35.953099999999999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-34.447200000000002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-32.756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-31.126200000000001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-26.8232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-22.690799999999999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303.61559999999997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268.07549999999998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208.12710000000001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138.28639999999999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83.604900000000001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54.130499999999998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34.308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25.318100000000001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13.7807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9.5305999999999997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5.3886000000000003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7.3384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9.3323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9.5585000000000004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9.7401999999999997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7.1098999999999997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4.3174000000000001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0.43369999999999997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14.044700000000001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39.756500000000003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66.296099999999996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72.692400000000006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74.3523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74.989599999999996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71.674000000000007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64.885300000000001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57.391800000000003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53.3339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48.848799999999997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52.192500000000003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56.001800000000003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59.533700000000003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63.187600000000003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0.4647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0.54510000000000003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0.55659999999999998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0.59160000000000001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0.6573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0.65980000000000005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0.65190000000000003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0.65720000000000001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0.63400000000000001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0.64439999999999997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0.65549999999999997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0.65939999999999999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0.66059999999999997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0.65790000000000004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0.65100000000000002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0.62570000000000003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0.59909999999999997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1.0829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1.2042999999999999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1.2403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1.4367000000000001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1.5245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1.4881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1.4381999999999999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1.3671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1.4071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1.4068000000000001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1.4112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1.4790000000000001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1.5501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1.6283000000000001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1.7060999999999999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1.7851999999999999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1.8676999999999999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5.3499999999999999E-2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0.1235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0.22869999999999999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0.3397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0.40539999999999998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0.44379999999999997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0.46110000000000001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0.48220000000000002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0.49519999999999997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0.50949999999999995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0.52259999999999995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0.53739999999999999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0.55269999999999997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0.5655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0.57750000000000001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0.58320000000000005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0.5887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8.3999999999999995E-3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3.8899999999999997E-2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9.1700000000000004E-2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0.1696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0.27039999999999997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0.35049999999999998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0.40679999999999999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0.4375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0.46610000000000001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0.45329999999999998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0.43169999999999997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0.43619999999999998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0.4375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0.4632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0.49270000000000003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0.50880000000000003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0.52500000000000002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3.3399999999999999E-2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6.4000000000000003E-3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0.1777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0.18640000000000001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5.8799999999999998E-2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6.3E-3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3.8E-3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1.6000000000000001E-3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2.9999999999999997E-4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1.43E-2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5.4999999999999997E-3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5.0000000000000001E-4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245.72069999999999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231.65479999999999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120.92059999999999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3.0701000000000001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-76.273399999999995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-100.35380000000001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-114.3344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-115.0651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-111.2307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-99.236099999999993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-86.5685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-88.582499999999996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-90.256299999999996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-90.165300000000002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-90.569000000000003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-97.030900000000003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-103.6237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304.83460000000002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265.37419999999997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162.45179999999999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49.260199999999998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-27.8581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-52.099600000000002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-66.907600000000002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-68.526200000000003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-67.524900000000002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-62.3476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-56.556699999999999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-53.3322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-49.793900000000001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-53.537999999999997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-57.753300000000003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-61.733899999999998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-65.843800000000002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0.4274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2.4316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7.6026999999999996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15.0686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21.650300000000001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25.5501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0.46160000000000001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0.54700000000000004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0.56100000000000005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0.58489999999999998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0.60429999999999995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0.62680000000000002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0.62919999999999998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1.0953999999999999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1.2256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1.2746999999999999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1.3446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1.3486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1.4379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1.4542999999999999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5.33E-2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0.12180000000000001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0.2248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0.34439999999999998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0.4234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0.44740000000000002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0.46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8.5000000000000006E-3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3.9600000000000003E-2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7.3499999999999996E-2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0.104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0.13070000000000001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0.18820000000000001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0.25259999999999999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3.2500000000000001E-2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7.1000000000000004E-3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5.0000000000000001E-4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0.17530000000000001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0.19839999999999999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0.1132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6.8199999999999997E-2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1.5299999999999999E-2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1.4800000000000001E-2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1.26E-2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1.43E-2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5.4000000000000003E-3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4.0000000000000002E-4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244.7071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240.1953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194.01480000000001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111.22629999999999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39.173999999999999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-3.8130000000000002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-29.8551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303.75229999999999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273.11250000000001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231.24189999999999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154.05070000000001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86.333500000000001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44.622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19.4116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0.2792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0.29749999999999999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0.30270000000000002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0.31580000000000003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0.33360000000000001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0.33710000000000001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0.45429999999999998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0.52890000000000004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0.55959999999999999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0.56979999999999997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0.57540000000000002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0.58399999999999996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0.60219999999999996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1.0902000000000001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1.2020999999999999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1.2779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1.3109999999999999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1.3003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1.3026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1.3367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5.4800000000000001E-2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0.1211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0.2084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0.29010000000000002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0.33050000000000002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0.34949999999999998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0.36530000000000001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8.3999999999999995E-3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3.9300000000000002E-2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7.1400000000000005E-2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8.7300000000000003E-2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9.0499999999999997E-2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9.6799999999999997E-2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0.1222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3.2300000000000002E-2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8.6E-3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2.5000000000000001E-3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2.2000000000000001E-3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1.4E-3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1E-4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0.1741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0.20019999999999999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0.18190000000000001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0.12429999999999999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8.14E-2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1.8100000000000002E-2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2.0799999999999999E-2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1.41E-2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5.1999999999999998E-3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4.0000000000000002E-4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241.23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236.63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211.75149999999999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171.10820000000001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137.37039999999999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109.8865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94.959100000000007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300.2509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269.54629999999997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250.87100000000001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214.1438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184.7499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161.35560000000001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150.4171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0.27860000000000001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0.29649999999999999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1.3026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18.128599999999999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50.0182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63.226399999999998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0.45300000000000001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0.52800000000000002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0.5585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0.59360000000000002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0.65720000000000001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0.65500000000000003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0.63770000000000004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1.095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1.2109000000000001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1.2901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1.3489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1.3938999999999999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1.5501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1.5390999999999999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5.5E-2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0.1216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0.20910000000000001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0.30330000000000001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0.35299999999999998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0.35749999999999998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0.38080000000000003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8.3999999999999995E-3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3.9300000000000002E-2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7.1400000000000005E-2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8.77E-2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0.1242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0.24909999999999999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0.39129999999999998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3.1699999999999999E-2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8.0999999999999996E-3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2.2000000000000001E-3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8.0000000000000004E-4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0.17299999999999999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0.1981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0.18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0.10979999999999999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8.6999999999999994E-3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6.1000000000000004E-3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2.7000000000000001E-3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1.41E-2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5.1999999999999998E-3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2.9999999999999997E-4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240.90469999999999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238.65440000000001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216.1996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156.38159999999999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-5.0705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-77.715000000000003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-111.3214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299.92910000000001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269.19619999999998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250.5729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201.83590000000001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48.653599999999997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-20.202300000000001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-52.246400000000001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0.27489999999999998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0.30180000000000001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0.88829999999999998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5.3935000000000004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8.9229000000000003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12.7316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0.4587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0.53129999999999999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0.56379999999999997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0.56079999999999997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0.56889999999999996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0.60340000000000005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0.62429999999999997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1.1045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1.2169000000000001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1.2943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1.3653999999999999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1.3892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1.4736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1.4265000000000001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5.3100000000000001E-2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0.1208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0.21199999999999999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0.29899999999999999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0.35580000000000001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0.37390000000000001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0.39360000000000001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8.5000000000000006E-3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0.04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7.2800000000000004E-2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8.5199999999999998E-2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0.1024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0.1729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0.27429999999999999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3.2000000000000001E-2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8.2000000000000007E-3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2.2000000000000001E-3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1E-3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0.1757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0.19939999999999999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0.18129999999999999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0.1174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1.89E-2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1.9900000000000001E-2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1.8200000000000001E-2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1.43E-2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5.1999999999999998E-3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2.9999999999999997E-4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244.74770000000001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243.01220000000001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218.46530000000001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160.08670000000001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44.497900000000001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-7.6795999999999998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-39.327100000000002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303.72230000000002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274.55669999999998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255.03299999999999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206.47880000000001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98.855000000000004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51.384799999999998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22.839700000000001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0.42620000000000002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7.4127999999999998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17.1737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28.375499999999999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36.494100000000003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41.527299999999997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0.45319999999999999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0.38729999999999998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0.32390000000000002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0.31609999999999999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0.30309999999999998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0.2838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0.2843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1.0676000000000001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1.2065999999999999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1.137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1.2753000000000001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1.3325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1.3764000000000001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1.387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5.33E-2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0.1135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0.2069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0.30549999999999999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0.35780000000000001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0.35759999999999997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0.34160000000000001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8.2000000000000007E-3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2.87E-2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4.87E-2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6.7199999999999996E-2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8.9599999999999999E-2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9.5000000000000001E-2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0.1021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3.3000000000000002E-2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6.0000000000000001E-3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0.1762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0.1701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4.4200000000000003E-2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8.6999999999999994E-3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5.7999999999999996E-3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4.0000000000000001E-3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2.8E-3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1.4200000000000001E-2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5.0000000000000001E-3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5.0000000000000001E-4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246.33590000000001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214.69390000000001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82.736599999999996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18.264199999999999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-33.447499999999998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-65.104100000000003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-79.354299999999995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305.56599999999997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250.0421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127.56319999999999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67.552999999999997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18.5398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-10.4087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-23.577999999999999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0.42799999999999999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3.7816000000000001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9.5190000000000001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16.6905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19.827000000000002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22.037700000000001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0.45989999999999998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0.54310000000000003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0.5524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0.58260000000000001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0.62329999999999997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0.64119999999999999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0.63070000000000004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1.0996999999999999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1.2202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1.2496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1.331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1.3968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1.4221999999999999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1.4157999999999999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5.2699999999999997E-2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0.1205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0.2107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0.2954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0.34599999999999997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0.36730000000000002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0.38429999999999997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8.5000000000000006E-3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3.78E-2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7.1099999999999997E-2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9.9599999999999994E-2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0.14660000000000001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0.2321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0.31140000000000001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3.2599999999999997E-2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5.5999999999999999E-3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0.17530000000000001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0.19189999999999999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8.1500000000000003E-2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3.9699999999999999E-2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1.5699999999999999E-2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1.52E-2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1.3100000000000001E-2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1.43E-2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5.3E-3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4.0000000000000002E-4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244.63630000000001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234.46700000000001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167.66630000000001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88.986599999999996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28.537800000000001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-3.3128000000000002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-24.434200000000001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303.60939999999999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268.39139999999998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207.78800000000001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134.60230000000001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79.174000000000007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50.537500000000001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32.320300000000003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0.43530000000000002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14.2156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40.834400000000002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68.421099999999996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76.451099999999997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78.517300000000006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0.46479999999999999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0.54749999999999999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0.55679999999999996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0.59199999999999997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0.65649999999999997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0.66190000000000004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0.65639999999999998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1.0831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1.2067000000000001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1.2403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1.4413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1.5276000000000001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1.5004999999999999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1.4418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5.3499999999999999E-2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0.1237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0.2293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0.3402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0.40749999999999997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0.4446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0.4622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8.3999999999999995E-3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3.8399999999999997E-2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9.1300000000000006E-2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0.17150000000000001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0.2752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0.35549999999999998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0.41489999999999999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3.3399999999999999E-2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6.4000000000000003E-3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0.1777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0.18940000000000001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5.7599999999999998E-2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6.4000000000000003E-3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3.8999999999999998E-3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1.6999999999999999E-3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2.9999999999999997E-4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1.43E-2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5.4999999999999997E-3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5.0000000000000001E-4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245.70769999999999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231.20339999999999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119.9378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0.52569999999999995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-78.702799999999996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-105.05240000000001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-115.6503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304.8227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265.01659999999998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161.7715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47.281500000000001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-29.918099999999999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-56.2834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-67.606800000000007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2025-10-14T06:28:28Z</dcterms:modified>
</cp:coreProperties>
</file>