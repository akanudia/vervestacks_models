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AZ\SuppXLS\"/>
    </mc:Choice>
  </mc:AlternateContent>
  <xr:revisionPtr revIDLastSave="0" documentId="8_{7913ED34-AA6A-4354-8142-C1D40011FFA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<sst xmlns="http://schemas.openxmlformats.org/spreadsheetml/2006/main" count="58483" uniqueCount="91">
  <si>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</si>
  <si>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</si>
  <si>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</si>
  <si>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</si>
  <si>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</si>
  <si>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</si>
  <si>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</si>
  <si>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</si>
  <si>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</si>
  <si>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</si>
  <si>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</si>
  <si>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</si>
  <si>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</si>
  <si>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</si>
  <si>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</si>
  <si>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</si>
  <si>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</si>
  <si>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</si>
  <si>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</si>
  <si>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</si>
  <si>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</si>
  <si>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</si>
  <si>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</si>
  <si>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</si>
  <si>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</si>
  <si>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</si>
  <si>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</si>
  <si>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</si>
  <si>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</si>
  <si>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</si>
  <si>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</si>
  <si>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</si>
  <si>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</si>
  <si>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</si>
  <si>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</si>
  <si>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</si>
  <si>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</si>
  <si>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</si>
  <si>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</si>
  <si>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</si>
  <si>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</si>
  <si>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</si>
  <si>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</si>
  <si>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</si>
  <si>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</si>
  <si>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</si>
  <si>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</si>
  <si>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</si>
  <si>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</si>
  <si>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</si>
  <si>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</si>
  <si>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</si>
  <si>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</si>
  <si>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</si>
  <si>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</si>
  <si>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</si>
  <si>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</si>
  <si>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</si>
  <si>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</si>
  <si>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</si>
  <si>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</si>
  <si>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</si>
  <si>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</si>
  <si>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</si>
  <si>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</si>
  <si>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</si>
  <si>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</si>
  <si>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</si>
  <si>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</si>
  <si>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</si>
  <si>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</si>
  <si>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</si>
  <si>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</si>
  <si>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</si>
  <si>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</si>
  <si>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</si>
  <si>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</si>
  <si>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</si>
  <si>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</si>
  <si>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</si>
  <si>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</si>
  <si>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</si>
  <si>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</si>
  <si>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KAZ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</si>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</sst>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117.85000000000002</c:v>
                </c:pt>
                <c:pt idx="1">
                  <c:v>138.75305810397555</c:v>
                </c:pt>
                <c:pt idx="2">
                  <c:v>175.87400611620794</c:v>
                </c:pt>
                <c:pt idx="3">
                  <c:v>233.06459288990825</c:v>
                </c:pt>
                <c:pt idx="4">
                  <c:v>304.08543577981652</c:v>
                </c:pt>
                <c:pt idx="5">
                  <c:v>351.70296253822636</c:v>
                </c:pt>
                <c:pt idx="6">
                  <c:v>367.38025611620799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91.050000000000011</c:v>
                </c:pt>
                <c:pt idx="1">
                  <c:v>90.559387683694908</c:v>
                </c:pt>
                <c:pt idx="2">
                  <c:v>97.999544699090293</c:v>
                </c:pt>
                <c:pt idx="3">
                  <c:v>104.55086511546537</c:v>
                </c:pt>
                <c:pt idx="4">
                  <c:v>89.855327151854468</c:v>
                </c:pt>
                <c:pt idx="5">
                  <c:v>44.395370451364599</c:v>
                </c:pt>
                <c:pt idx="6">
                  <c:v>53.350107155353399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80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79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117.85000000000001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117.85000000000002</v>
      </c>
      <c r="S12" s="8">
        <f t="shared" ref="S12:X12" si="0">SUM(S17:S20)</f>
        <v>138.75305810397555</v>
      </c>
      <c r="T12" s="8">
        <f t="shared" si="0"/>
        <v>175.87400611620794</v>
      </c>
      <c r="U12" s="8">
        <f t="shared" si="0"/>
        <v>233.06459288990825</v>
      </c>
      <c r="V12" s="8">
        <f t="shared" si="0"/>
        <v>304.08543577981652</v>
      </c>
      <c r="W12" s="8">
        <f t="shared" si="0"/>
        <v>351.70296253822636</v>
      </c>
      <c r="X12" s="8">
        <f t="shared" si="0"/>
        <v>367.38025611620799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4.7499999999999999E-3</v>
      </c>
      <c r="H16" s="10">
        <f>SUMIFS(ngfs_median!$J$2:$J$17119,ngfs_median!$B$2:$B$17119,Veda!$C$5,ngfs_median!$H$2:$H$17119,Veda!$Q16,ngfs_median!$I$2:$I$17119,Veda!H$15)</f>
        <v>2.0150000000000001E-2</v>
      </c>
      <c r="I16" s="10">
        <f>SUMIFS(ngfs_median!$J$2:$J$17119,ngfs_median!$B$2:$B$17119,Veda!$C$5,ngfs_median!$H$2:$H$17119,Veda!$Q16,ngfs_median!$I$2:$I$17119,Veda!I$15)</f>
        <v>4.3999999999999997E-2</v>
      </c>
      <c r="J16" s="10">
        <f>SUMIFS(ngfs_median!$J$2:$J$17119,ngfs_median!$B$2:$B$17119,Veda!$C$5,ngfs_median!$H$2:$H$17119,Veda!$Q16,ngfs_median!$I$2:$I$17119,Veda!J$15)</f>
        <v>6.9200000000000012E-2</v>
      </c>
      <c r="K16" s="10">
        <f>SUMIFS(ngfs_median!$J$2:$J$17119,ngfs_median!$B$2:$B$17119,Veda!$C$5,ngfs_median!$H$2:$H$17119,Veda!$Q16,ngfs_median!$I$2:$I$17119,Veda!K$15)</f>
        <v>9.4500000000000001E-2</v>
      </c>
      <c r="L16" s="10">
        <f>SUMIFS(ngfs_median!$J$2:$J$17119,ngfs_median!$B$2:$B$17119,Veda!$C$5,ngfs_median!$H$2:$H$17119,Veda!$Q16,ngfs_median!$I$2:$I$17119,Veda!L$15)</f>
        <v>0.10975</v>
      </c>
      <c r="M16" s="10">
        <f>SUMIFS(ngfs_median!$J$2:$J$17119,ngfs_median!$B$2:$B$17119,Veda!$C$5,ngfs_median!$H$2:$H$17119,Veda!$Q16,ngfs_median!$I$2:$I$17119,Veda!M$15)</f>
        <v>0.1162</v>
      </c>
      <c r="Q16" s="12" t="s">
        <v>81</v>
      </c>
      <c r="R16" s="6"/>
      <c r="S16" s="6">
        <f>(H16-$H$16)*$E$16</f>
        <v>0</v>
      </c>
      <c r="T16" s="6">
        <f t="shared" ref="T16:X16" si="2">(I16-$H$16)*$E$16</f>
        <v>6.6249999999999991</v>
      </c>
      <c r="U16" s="6">
        <f t="shared" si="2"/>
        <v>13.625000000000002</v>
      </c>
      <c r="V16" s="6">
        <f t="shared" si="2"/>
        <v>20.652777777777779</v>
      </c>
      <c r="W16" s="6">
        <f t="shared" si="2"/>
        <v>24.888888888888889</v>
      </c>
      <c r="X16" s="6">
        <f t="shared" si="2"/>
        <v>26.680555555555554</v>
      </c>
      <c r="Y16" t="s">
        <v>11</v>
      </c>
      <c r="AA16" s="2" t="s">
        <v>82</v>
      </c>
    </row>
    <row r="17" spans="2:27" x14ac:dyDescent="0.45">
      <c r="G17" s="10">
        <f>SUMIFS(ngfs_median!$J$2:$J$17119,ngfs_median!$B$2:$B$17119,Veda!$C$5,ngfs_median!$H$2:$H$17119,Veda!$Q17,ngfs_median!$I$2:$I$17119,Veda!G$15)</f>
        <v>1.0999999999999999E-2</v>
      </c>
      <c r="H17" s="10">
        <f>SUMIFS(ngfs_median!$J$2:$J$17119,ngfs_median!$B$2:$B$17119,Veda!$C$5,ngfs_median!$H$2:$H$17119,Veda!$Q17,ngfs_median!$I$2:$I$17119,Veda!H$15)</f>
        <v>1.8200000000000001E-2</v>
      </c>
      <c r="I17" s="10">
        <f>SUMIFS(ngfs_median!$J$2:$J$17119,ngfs_median!$B$2:$B$17119,Veda!$C$5,ngfs_median!$H$2:$H$17119,Veda!$Q17,ngfs_median!$I$2:$I$17119,Veda!I$15)</f>
        <v>3.4200000000000001E-2</v>
      </c>
      <c r="J17" s="10">
        <f>SUMIFS(ngfs_median!$J$2:$J$17119,ngfs_median!$B$2:$B$17119,Veda!$C$5,ngfs_median!$H$2:$H$17119,Veda!$Q17,ngfs_median!$I$2:$I$17119,Veda!J$15)</f>
        <v>6.1399999999999996E-2</v>
      </c>
      <c r="K17" s="10">
        <f>SUMIFS(ngfs_median!$J$2:$J$17119,ngfs_median!$B$2:$B$17119,Veda!$C$5,ngfs_median!$H$2:$H$17119,Veda!$Q17,ngfs_median!$I$2:$I$17119,Veda!K$15)</f>
        <v>0.1011</v>
      </c>
      <c r="L17" s="10">
        <f>SUMIFS(ngfs_median!$J$2:$J$17119,ngfs_median!$B$2:$B$17119,Veda!$C$5,ngfs_median!$H$2:$H$17119,Veda!$Q17,ngfs_median!$I$2:$I$17119,Veda!L$15)</f>
        <v>0.11210000000000001</v>
      </c>
      <c r="M17" s="10">
        <f>SUMIFS(ngfs_median!$J$2:$J$17119,ngfs_median!$B$2:$B$17119,Veda!$C$5,ngfs_median!$H$2:$H$17119,Veda!$Q17,ngfs_median!$I$2:$I$17119,Veda!M$15)</f>
        <v>0.1133</v>
      </c>
      <c r="Q17" s="12" t="s">
        <v>10</v>
      </c>
      <c r="R17" s="6">
        <f>$Q$10*G17/SUM($G$17:$G$19)</f>
        <v>4.9554663608562697</v>
      </c>
      <c r="S17" s="6">
        <f>R17</f>
        <v>4.9554663608562697</v>
      </c>
      <c r="T17" s="6">
        <f t="shared" ref="T17:X17" si="3">S17</f>
        <v>4.9554663608562697</v>
      </c>
      <c r="U17" s="6">
        <f t="shared" si="3"/>
        <v>4.9554663608562697</v>
      </c>
      <c r="V17" s="6">
        <f t="shared" si="3"/>
        <v>4.9554663608562697</v>
      </c>
      <c r="W17" s="6">
        <f t="shared" si="3"/>
        <v>4.9554663608562697</v>
      </c>
      <c r="X17" s="6">
        <f t="shared" si="3"/>
        <v>4.9554663608562697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9.7450000000000009E-2</v>
      </c>
      <c r="H18" s="10">
        <f>SUMIFS(ngfs_median!$J$2:$J$17119,ngfs_median!$B$2:$B$17119,Veda!$C$5,ngfs_median!$H$2:$H$17119,Veda!$Q18,ngfs_median!$I$2:$I$17119,Veda!H$15)</f>
        <v>0.1169</v>
      </c>
      <c r="I18" s="10">
        <f>SUMIFS(ngfs_median!$J$2:$J$17119,ngfs_median!$B$2:$B$17119,Veda!$C$5,ngfs_median!$H$2:$H$17119,Veda!$Q18,ngfs_median!$I$2:$I$17119,Veda!I$15)</f>
        <v>0.14434999999999998</v>
      </c>
      <c r="J18" s="10">
        <f>SUMIFS(ngfs_median!$J$2:$J$17119,ngfs_median!$B$2:$B$17119,Veda!$C$5,ngfs_median!$H$2:$H$17119,Veda!$Q18,ngfs_median!$I$2:$I$17119,Veda!J$15)</f>
        <v>0.183</v>
      </c>
      <c r="K18" s="10">
        <f>SUMIFS(ngfs_median!$J$2:$J$17119,ngfs_median!$B$2:$B$17119,Veda!$C$5,ngfs_median!$H$2:$H$17119,Veda!$Q18,ngfs_median!$I$2:$I$17119,Veda!K$15)</f>
        <v>0.2195</v>
      </c>
      <c r="L18" s="10">
        <f>SUMIFS(ngfs_median!$J$2:$J$17119,ngfs_median!$B$2:$B$17119,Veda!$C$5,ngfs_median!$H$2:$H$17119,Veda!$Q18,ngfs_median!$I$2:$I$17119,Veda!L$15)</f>
        <v>0.2432</v>
      </c>
      <c r="M18" s="10">
        <f>SUMIFS(ngfs_median!$J$2:$J$17119,ngfs_median!$B$2:$B$17119,Veda!$C$5,ngfs_median!$H$2:$H$17119,Veda!$Q18,ngfs_median!$I$2:$I$17119,Veda!M$15)</f>
        <v>0.2545</v>
      </c>
      <c r="Q18" s="12" t="s">
        <v>12</v>
      </c>
      <c r="R18" s="6">
        <f>$Q$10*G18/SUM($G$17:$G$19)</f>
        <v>43.900926987767591</v>
      </c>
      <c r="S18" s="6">
        <f t="shared" ref="S18:X19" si="4">R18*H18/G18</f>
        <v>52.663092507645267</v>
      </c>
      <c r="T18" s="6">
        <f t="shared" si="4"/>
        <v>65.029233562691132</v>
      </c>
      <c r="U18" s="6">
        <f t="shared" si="4"/>
        <v>82.440940366972484</v>
      </c>
      <c r="V18" s="6">
        <f t="shared" si="4"/>
        <v>98.88407874617738</v>
      </c>
      <c r="W18" s="6">
        <f t="shared" si="4"/>
        <v>109.56085626911316</v>
      </c>
      <c r="X18" s="6">
        <f t="shared" si="4"/>
        <v>114.65147171253824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0.15315000000000001</v>
      </c>
      <c r="H19" s="10">
        <f>SUMIFS(ngfs_median!$J$2:$J$17119,ngfs_median!$B$2:$B$17119,Veda!$C$5,ngfs_median!$H$2:$H$17119,Veda!$Q19,ngfs_median!$I$2:$I$17119,Veda!H$15)</f>
        <v>0.1729</v>
      </c>
      <c r="I19" s="10">
        <f>SUMIFS(ngfs_median!$J$2:$J$17119,ngfs_median!$B$2:$B$17119,Veda!$C$5,ngfs_median!$H$2:$H$17119,Veda!$Q19,ngfs_median!$I$2:$I$17119,Veda!I$15)</f>
        <v>0.21184999999999998</v>
      </c>
      <c r="J19" s="10">
        <f>SUMIFS(ngfs_median!$J$2:$J$17119,ngfs_median!$B$2:$B$17119,Veda!$C$5,ngfs_median!$H$2:$H$17119,Veda!$Q19,ngfs_median!$I$2:$I$17119,Veda!J$15)</f>
        <v>0.27295000000000003</v>
      </c>
      <c r="K19" s="10">
        <f>SUMIFS(ngfs_median!$J$2:$J$17119,ngfs_median!$B$2:$B$17119,Veda!$C$5,ngfs_median!$H$2:$H$17119,Veda!$Q19,ngfs_median!$I$2:$I$17119,Veda!K$15)</f>
        <v>0.35439999999999999</v>
      </c>
      <c r="L19" s="10">
        <f>SUMIFS(ngfs_median!$J$2:$J$17119,ngfs_median!$B$2:$B$17119,Veda!$C$5,ngfs_median!$H$2:$H$17119,Veda!$Q19,ngfs_median!$I$2:$I$17119,Veda!L$15)</f>
        <v>0.4254</v>
      </c>
      <c r="M19" s="10">
        <f>SUMIFS(ngfs_median!$J$2:$J$17119,ngfs_median!$B$2:$B$17119,Veda!$C$5,ngfs_median!$H$2:$H$17119,Veda!$Q19,ngfs_median!$I$2:$I$17119,Veda!M$15)</f>
        <v>0.44769999999999999</v>
      </c>
      <c r="Q19" s="12" t="s">
        <v>13</v>
      </c>
      <c r="R19" s="6">
        <f>$Q$10*G19/SUM($G$17:$G$19)</f>
        <v>68.993606651376155</v>
      </c>
      <c r="S19" s="6">
        <f t="shared" si="4"/>
        <v>77.890921253822626</v>
      </c>
      <c r="T19" s="6">
        <f t="shared" si="4"/>
        <v>95.437777140672779</v>
      </c>
      <c r="U19" s="6">
        <f t="shared" si="4"/>
        <v>122.96314029051989</v>
      </c>
      <c r="V19" s="6">
        <f t="shared" si="4"/>
        <v>159.65611620795107</v>
      </c>
      <c r="W19" s="6">
        <f t="shared" si="4"/>
        <v>191.64139908256882</v>
      </c>
      <c r="X19" s="6">
        <f t="shared" si="4"/>
        <v>201.68748088685018</v>
      </c>
      <c r="Y19" t="s">
        <v>11</v>
      </c>
    </row>
    <row r="20" spans="2:27" x14ac:dyDescent="0.45">
      <c r="B20" t="s">
        <v>79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3.2435779816513763</v>
      </c>
      <c r="T20" s="6">
        <f t="shared" si="5"/>
        <v>10.451529051987769</v>
      </c>
      <c r="U20" s="6">
        <f t="shared" si="5"/>
        <v>22.705045871559633</v>
      </c>
      <c r="V20" s="6">
        <f t="shared" si="5"/>
        <v>40.589774464831805</v>
      </c>
      <c r="W20" s="6">
        <f t="shared" si="5"/>
        <v>45.545240825688076</v>
      </c>
      <c r="X20" s="6">
        <f t="shared" si="5"/>
        <v>46.085837155963304</v>
      </c>
      <c r="Y20" t="s">
        <v>11</v>
      </c>
    </row>
    <row r="21" spans="2:27" x14ac:dyDescent="0.45">
      <c r="B21" s="1">
        <v>2020</v>
      </c>
      <c r="Q21" t="s">
        <v>60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91.050000000000011</v>
      </c>
      <c r="D22" s="12" t="s">
        <v>78</v>
      </c>
      <c r="G22" s="8">
        <f>G35/$G$35*$B22</f>
        <v>91.050000000000011</v>
      </c>
      <c r="H22" s="8">
        <f t="shared" ref="H22:M22" si="6">H35/$G$35*$B22</f>
        <v>90.559387683694908</v>
      </c>
      <c r="I22" s="8">
        <f t="shared" si="6"/>
        <v>97.999544699090293</v>
      </c>
      <c r="J22" s="8">
        <f t="shared" si="6"/>
        <v>104.55086511546537</v>
      </c>
      <c r="K22" s="8">
        <f t="shared" si="6"/>
        <v>89.855327151854468</v>
      </c>
      <c r="L22" s="8">
        <f t="shared" si="6"/>
        <v>44.395370451364599</v>
      </c>
      <c r="M22" s="8">
        <f t="shared" si="6"/>
        <v>53.350107155353399</v>
      </c>
      <c r="Q22" t="s">
        <v>63</v>
      </c>
      <c r="T22" s="8">
        <f>I35*1000</f>
        <v>36913.700000000004</v>
      </c>
      <c r="U22" s="8">
        <f>J35*1000</f>
        <v>39381.4</v>
      </c>
      <c r="V22" s="8">
        <f>K35*1000</f>
        <v>33846</v>
      </c>
      <c r="W22" s="8">
        <f>L35*1000</f>
        <v>16722.5</v>
      </c>
      <c r="X22" s="8">
        <f>M35*1000</f>
        <v>20095.5</v>
      </c>
      <c r="Y22" t="s">
        <v>64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76</v>
      </c>
      <c r="Q26" t="s">
        <v>39</v>
      </c>
      <c r="R26" s="3">
        <f>SUMIFS(historical_data_long!$D$3:$D$9999,historical_data_long!$B$3:$B$9999,Veda!R$25,historical_data_long!$A$3:$A$9999,$O26)</f>
        <v>3.7</v>
      </c>
      <c r="S26" s="3">
        <f>AVERAGEIFS(historical_data_long!$D$3:$D$9999,historical_data_long!$B$3:$B$9999,"&gt;2017",historical_data_long!$A$3:$A$9999,$O26)</f>
        <v>2.6166666666666667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77</v>
      </c>
      <c r="Q27" t="s">
        <v>40</v>
      </c>
      <c r="R27" s="3">
        <f>SUMIFS(historical_data_long!$D$3:$D$9999,historical_data_long!$B$3:$B$9999,Veda!R$25,historical_data_long!$A$3:$A$9999,$O27)</f>
        <v>2.2000000000000002</v>
      </c>
      <c r="S27" s="3">
        <f>AVERAGEIFS(historical_data_long!$D$3:$D$9999,historical_data_long!$B$3:$B$9999,"&gt;2017",historical_data_long!$A$3:$A$9999,$O27)</f>
        <v>2.8666666666666667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34.295999999999999</v>
      </c>
      <c r="H35" s="11">
        <f>SUMIFS(ngfs_median!$J$2:$J$17119,ngfs_median!$B$2:$B$17119,Veda!$C$5,ngfs_median!$D$2:$D$17119,Veda!$D22,ngfs_median!$I$2:$I$17119,Veda!H$15)</f>
        <v>34.111200000000004</v>
      </c>
      <c r="I35" s="11">
        <f>SUMIFS(ngfs_median!$J$2:$J$17119,ngfs_median!$B$2:$B$17119,Veda!$C$5,ngfs_median!$D$2:$D$17119,Veda!$D22,ngfs_median!$I$2:$I$17119,Veda!I$15)</f>
        <v>36.913700000000006</v>
      </c>
      <c r="J35" s="11">
        <f>SUMIFS(ngfs_median!$J$2:$J$17119,ngfs_median!$B$2:$B$17119,Veda!$C$5,ngfs_median!$D$2:$D$17119,Veda!$D22,ngfs_median!$I$2:$I$17119,Veda!J$15)</f>
        <v>39.381399999999999</v>
      </c>
      <c r="K35" s="11">
        <f>SUMIFS(ngfs_median!$J$2:$J$17119,ngfs_median!$B$2:$B$17119,Veda!$C$5,ngfs_median!$D$2:$D$17119,Veda!$D22,ngfs_median!$I$2:$I$17119,Veda!K$15)</f>
        <v>33.846000000000004</v>
      </c>
      <c r="L35" s="11">
        <f>SUMIFS(ngfs_median!$J$2:$J$17119,ngfs_median!$B$2:$B$17119,Veda!$C$5,ngfs_median!$D$2:$D$17119,Veda!$D22,ngfs_median!$I$2:$I$17119,Veda!L$15)</f>
        <v>16.7225</v>
      </c>
      <c r="M35" s="11">
        <f>SUMIFS(ngfs_median!$J$2:$J$17119,ngfs_median!$B$2:$B$17119,Veda!$C$5,ngfs_median!$D$2:$D$17119,Veda!$D22,ngfs_median!$I$2:$I$17119,Veda!M$15)</f>
        <v>20.095500000000001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553"/>
  <sheetViews>
    <sheetView workbookViewId="0">
      <selection sqref="A1:D553"/>
    </sheetView>
  </sheetViews>
  <sheetFormatPr defaultRowHeight="14.25" x14ac:dyDescent="0.45"/>
  <sheetData>
    <row r="1" spans="1:4" x14ac:dyDescent="0.45">
      <c r="A1" t="s">
        <v>55</v>
      </c>
      <c r="B1" t="s">
        <v>71</v>
      </c>
      <c r="C1" t="s">
        <v>21</v>
      </c>
      <c r="D1" t="s">
        <v>72</v>
      </c>
    </row>
    <row r="2" spans="1:4" x14ac:dyDescent="0.45">
      <c r="A2" t="s">
        <v>32</v>
      </c>
      <c r="B2">
        <v>2000</v>
      </c>
      <c r="C2" t="s">
        <v>73</v>
      </c>
      <c r="D2">
        <v>0</v>
      </c>
    </row>
    <row r="3" spans="1:4" x14ac:dyDescent="0.45">
      <c r="A3" t="s">
        <v>34</v>
      </c>
      <c r="B3">
        <v>2000</v>
      </c>
      <c r="C3" t="s">
        <v>73</v>
      </c>
      <c r="D3">
        <v>35.9</v>
      </c>
    </row>
    <row r="4" spans="1:4" x14ac:dyDescent="0.45">
      <c r="A4" t="s">
        <v>36</v>
      </c>
      <c r="B4">
        <v>2000</v>
      </c>
      <c r="C4" t="s">
        <v>73</v>
      </c>
      <c r="D4">
        <v>5.52</v>
      </c>
    </row>
    <row r="5" spans="1:4" x14ac:dyDescent="0.45">
      <c r="A5" t="s">
        <v>56</v>
      </c>
      <c r="B5">
        <v>2000</v>
      </c>
      <c r="C5" t="s">
        <v>73</v>
      </c>
      <c r="D5">
        <v>7.53</v>
      </c>
    </row>
    <row r="6" spans="1:4" x14ac:dyDescent="0.45">
      <c r="A6" t="s">
        <v>38</v>
      </c>
      <c r="B6">
        <v>2000</v>
      </c>
      <c r="C6" t="s">
        <v>73</v>
      </c>
      <c r="D6">
        <v>2.69</v>
      </c>
    </row>
    <row r="7" spans="1:4" x14ac:dyDescent="0.45">
      <c r="A7" t="s">
        <v>57</v>
      </c>
      <c r="B7">
        <v>2000</v>
      </c>
      <c r="C7" t="s">
        <v>73</v>
      </c>
      <c r="D7">
        <v>0</v>
      </c>
    </row>
    <row r="8" spans="1:4" x14ac:dyDescent="0.45">
      <c r="A8" t="s">
        <v>90</v>
      </c>
      <c r="B8">
        <v>2000</v>
      </c>
      <c r="C8" t="s">
        <v>73</v>
      </c>
      <c r="D8">
        <v>0</v>
      </c>
    </row>
    <row r="9" spans="1:4" x14ac:dyDescent="0.45">
      <c r="A9" t="s">
        <v>32</v>
      </c>
      <c r="B9">
        <v>2001</v>
      </c>
      <c r="C9" t="s">
        <v>73</v>
      </c>
      <c r="D9">
        <v>0</v>
      </c>
    </row>
    <row r="10" spans="1:4" x14ac:dyDescent="0.45">
      <c r="A10" t="s">
        <v>34</v>
      </c>
      <c r="B10">
        <v>2001</v>
      </c>
      <c r="C10" t="s">
        <v>73</v>
      </c>
      <c r="D10">
        <v>39.08</v>
      </c>
    </row>
    <row r="11" spans="1:4" x14ac:dyDescent="0.45">
      <c r="A11" t="s">
        <v>36</v>
      </c>
      <c r="B11">
        <v>2001</v>
      </c>
      <c r="C11" t="s">
        <v>73</v>
      </c>
      <c r="D11">
        <v>5.89</v>
      </c>
    </row>
    <row r="12" spans="1:4" x14ac:dyDescent="0.45">
      <c r="A12" t="s">
        <v>56</v>
      </c>
      <c r="B12">
        <v>2001</v>
      </c>
      <c r="C12" t="s">
        <v>73</v>
      </c>
      <c r="D12">
        <v>8.08</v>
      </c>
    </row>
    <row r="13" spans="1:4" x14ac:dyDescent="0.45">
      <c r="A13" t="s">
        <v>38</v>
      </c>
      <c r="B13">
        <v>2001</v>
      </c>
      <c r="C13" t="s">
        <v>73</v>
      </c>
      <c r="D13">
        <v>2.33</v>
      </c>
    </row>
    <row r="14" spans="1:4" x14ac:dyDescent="0.45">
      <c r="A14" t="s">
        <v>57</v>
      </c>
      <c r="B14">
        <v>2001</v>
      </c>
      <c r="C14" t="s">
        <v>73</v>
      </c>
      <c r="D14">
        <v>0</v>
      </c>
    </row>
    <row r="15" spans="1:4" x14ac:dyDescent="0.45">
      <c r="A15" t="s">
        <v>90</v>
      </c>
      <c r="B15">
        <v>2001</v>
      </c>
      <c r="C15" t="s">
        <v>73</v>
      </c>
      <c r="D15">
        <v>0</v>
      </c>
    </row>
    <row r="16" spans="1:4" x14ac:dyDescent="0.45">
      <c r="A16" t="s">
        <v>32</v>
      </c>
      <c r="B16">
        <v>2002</v>
      </c>
      <c r="C16" t="s">
        <v>73</v>
      </c>
      <c r="D16">
        <v>0</v>
      </c>
    </row>
    <row r="17" spans="1:4" x14ac:dyDescent="0.45">
      <c r="A17" t="s">
        <v>34</v>
      </c>
      <c r="B17">
        <v>2002</v>
      </c>
      <c r="C17" t="s">
        <v>73</v>
      </c>
      <c r="D17">
        <v>40.14</v>
      </c>
    </row>
    <row r="18" spans="1:4" x14ac:dyDescent="0.45">
      <c r="A18" t="s">
        <v>36</v>
      </c>
      <c r="B18">
        <v>2002</v>
      </c>
      <c r="C18" t="s">
        <v>73</v>
      </c>
      <c r="D18">
        <v>6.23</v>
      </c>
    </row>
    <row r="19" spans="1:4" x14ac:dyDescent="0.45">
      <c r="A19" t="s">
        <v>56</v>
      </c>
      <c r="B19">
        <v>2002</v>
      </c>
      <c r="C19" t="s">
        <v>73</v>
      </c>
      <c r="D19">
        <v>8.89</v>
      </c>
    </row>
    <row r="20" spans="1:4" x14ac:dyDescent="0.45">
      <c r="A20" t="s">
        <v>38</v>
      </c>
      <c r="B20">
        <v>2002</v>
      </c>
      <c r="C20" t="s">
        <v>73</v>
      </c>
      <c r="D20">
        <v>3.07</v>
      </c>
    </row>
    <row r="21" spans="1:4" x14ac:dyDescent="0.45">
      <c r="A21" t="s">
        <v>57</v>
      </c>
      <c r="B21">
        <v>2002</v>
      </c>
      <c r="C21" t="s">
        <v>73</v>
      </c>
      <c r="D21">
        <v>0</v>
      </c>
    </row>
    <row r="22" spans="1:4" x14ac:dyDescent="0.45">
      <c r="A22" t="s">
        <v>90</v>
      </c>
      <c r="B22">
        <v>2002</v>
      </c>
      <c r="C22" t="s">
        <v>73</v>
      </c>
      <c r="D22">
        <v>0</v>
      </c>
    </row>
    <row r="23" spans="1:4" x14ac:dyDescent="0.45">
      <c r="A23" t="s">
        <v>32</v>
      </c>
      <c r="B23">
        <v>2003</v>
      </c>
      <c r="C23" t="s">
        <v>73</v>
      </c>
      <c r="D23">
        <v>0</v>
      </c>
    </row>
    <row r="24" spans="1:4" x14ac:dyDescent="0.45">
      <c r="A24" t="s">
        <v>34</v>
      </c>
      <c r="B24">
        <v>2003</v>
      </c>
      <c r="C24" t="s">
        <v>73</v>
      </c>
      <c r="D24">
        <v>45.83</v>
      </c>
    </row>
    <row r="25" spans="1:4" x14ac:dyDescent="0.45">
      <c r="A25" t="s">
        <v>36</v>
      </c>
      <c r="B25">
        <v>2003</v>
      </c>
      <c r="C25" t="s">
        <v>73</v>
      </c>
      <c r="D25">
        <v>6.82</v>
      </c>
    </row>
    <row r="26" spans="1:4" x14ac:dyDescent="0.45">
      <c r="A26" t="s">
        <v>56</v>
      </c>
      <c r="B26">
        <v>2003</v>
      </c>
      <c r="C26" t="s">
        <v>73</v>
      </c>
      <c r="D26">
        <v>8.6199999999999992</v>
      </c>
    </row>
    <row r="27" spans="1:4" x14ac:dyDescent="0.45">
      <c r="A27" t="s">
        <v>38</v>
      </c>
      <c r="B27">
        <v>2003</v>
      </c>
      <c r="C27" t="s">
        <v>73</v>
      </c>
      <c r="D27">
        <v>2.59</v>
      </c>
    </row>
    <row r="28" spans="1:4" x14ac:dyDescent="0.45">
      <c r="A28" t="s">
        <v>57</v>
      </c>
      <c r="B28">
        <v>2003</v>
      </c>
      <c r="C28" t="s">
        <v>73</v>
      </c>
      <c r="D28">
        <v>0</v>
      </c>
    </row>
    <row r="29" spans="1:4" x14ac:dyDescent="0.45">
      <c r="A29" t="s">
        <v>90</v>
      </c>
      <c r="B29">
        <v>2003</v>
      </c>
      <c r="C29" t="s">
        <v>73</v>
      </c>
      <c r="D29">
        <v>0</v>
      </c>
    </row>
    <row r="30" spans="1:4" x14ac:dyDescent="0.45">
      <c r="A30" t="s">
        <v>32</v>
      </c>
      <c r="B30">
        <v>2004</v>
      </c>
      <c r="C30" t="s">
        <v>73</v>
      </c>
      <c r="D30">
        <v>0</v>
      </c>
    </row>
    <row r="31" spans="1:4" x14ac:dyDescent="0.45">
      <c r="A31" t="s">
        <v>34</v>
      </c>
      <c r="B31">
        <v>2004</v>
      </c>
      <c r="C31" t="s">
        <v>73</v>
      </c>
      <c r="D31">
        <v>50.56</v>
      </c>
    </row>
    <row r="32" spans="1:4" x14ac:dyDescent="0.45">
      <c r="A32" t="s">
        <v>36</v>
      </c>
      <c r="B32">
        <v>2004</v>
      </c>
      <c r="C32" t="s">
        <v>73</v>
      </c>
      <c r="D32">
        <v>7.15</v>
      </c>
    </row>
    <row r="33" spans="1:4" x14ac:dyDescent="0.45">
      <c r="A33" t="s">
        <v>56</v>
      </c>
      <c r="B33">
        <v>2004</v>
      </c>
      <c r="C33" t="s">
        <v>73</v>
      </c>
      <c r="D33">
        <v>8.06</v>
      </c>
    </row>
    <row r="34" spans="1:4" x14ac:dyDescent="0.45">
      <c r="A34" t="s">
        <v>38</v>
      </c>
      <c r="B34">
        <v>2004</v>
      </c>
      <c r="C34" t="s">
        <v>73</v>
      </c>
      <c r="D34">
        <v>1.18</v>
      </c>
    </row>
    <row r="35" spans="1:4" x14ac:dyDescent="0.45">
      <c r="A35" t="s">
        <v>57</v>
      </c>
      <c r="B35">
        <v>2004</v>
      </c>
      <c r="C35" t="s">
        <v>73</v>
      </c>
      <c r="D35">
        <v>0</v>
      </c>
    </row>
    <row r="36" spans="1:4" x14ac:dyDescent="0.45">
      <c r="A36" t="s">
        <v>90</v>
      </c>
      <c r="B36">
        <v>2004</v>
      </c>
      <c r="C36" t="s">
        <v>73</v>
      </c>
      <c r="D36">
        <v>0</v>
      </c>
    </row>
    <row r="37" spans="1:4" x14ac:dyDescent="0.45">
      <c r="A37" t="s">
        <v>32</v>
      </c>
      <c r="B37">
        <v>2005</v>
      </c>
      <c r="C37" t="s">
        <v>73</v>
      </c>
      <c r="D37">
        <v>0</v>
      </c>
    </row>
    <row r="38" spans="1:4" x14ac:dyDescent="0.45">
      <c r="A38" t="s">
        <v>34</v>
      </c>
      <c r="B38">
        <v>2005</v>
      </c>
      <c r="C38" t="s">
        <v>73</v>
      </c>
      <c r="D38">
        <v>50.17</v>
      </c>
    </row>
    <row r="39" spans="1:4" x14ac:dyDescent="0.45">
      <c r="A39" t="s">
        <v>36</v>
      </c>
      <c r="B39">
        <v>2005</v>
      </c>
      <c r="C39" t="s">
        <v>73</v>
      </c>
      <c r="D39">
        <v>7.26</v>
      </c>
    </row>
    <row r="40" spans="1:4" x14ac:dyDescent="0.45">
      <c r="A40" t="s">
        <v>56</v>
      </c>
      <c r="B40">
        <v>2005</v>
      </c>
      <c r="C40" t="s">
        <v>73</v>
      </c>
      <c r="D40">
        <v>7.86</v>
      </c>
    </row>
    <row r="41" spans="1:4" x14ac:dyDescent="0.45">
      <c r="A41" t="s">
        <v>38</v>
      </c>
      <c r="B41">
        <v>2005</v>
      </c>
      <c r="C41" t="s">
        <v>73</v>
      </c>
      <c r="D41">
        <v>2.63</v>
      </c>
    </row>
    <row r="42" spans="1:4" x14ac:dyDescent="0.45">
      <c r="A42" t="s">
        <v>57</v>
      </c>
      <c r="B42">
        <v>2005</v>
      </c>
      <c r="C42" t="s">
        <v>73</v>
      </c>
      <c r="D42">
        <v>0</v>
      </c>
    </row>
    <row r="43" spans="1:4" x14ac:dyDescent="0.45">
      <c r="A43" t="s">
        <v>90</v>
      </c>
      <c r="B43">
        <v>2005</v>
      </c>
      <c r="C43" t="s">
        <v>73</v>
      </c>
      <c r="D43">
        <v>0</v>
      </c>
    </row>
    <row r="44" spans="1:4" x14ac:dyDescent="0.45">
      <c r="A44" t="s">
        <v>32</v>
      </c>
      <c r="B44">
        <v>2006</v>
      </c>
      <c r="C44" t="s">
        <v>73</v>
      </c>
      <c r="D44">
        <v>0</v>
      </c>
    </row>
    <row r="45" spans="1:4" x14ac:dyDescent="0.45">
      <c r="A45" t="s">
        <v>34</v>
      </c>
      <c r="B45">
        <v>2006</v>
      </c>
      <c r="C45" t="s">
        <v>73</v>
      </c>
      <c r="D45">
        <v>49.32</v>
      </c>
    </row>
    <row r="46" spans="1:4" x14ac:dyDescent="0.45">
      <c r="A46" t="s">
        <v>36</v>
      </c>
      <c r="B46">
        <v>2006</v>
      </c>
      <c r="C46" t="s">
        <v>73</v>
      </c>
      <c r="D46">
        <v>8</v>
      </c>
    </row>
    <row r="47" spans="1:4" x14ac:dyDescent="0.45">
      <c r="A47" t="s">
        <v>56</v>
      </c>
      <c r="B47">
        <v>2006</v>
      </c>
      <c r="C47" t="s">
        <v>73</v>
      </c>
      <c r="D47">
        <v>7.77</v>
      </c>
    </row>
    <row r="48" spans="1:4" x14ac:dyDescent="0.45">
      <c r="A48" t="s">
        <v>38</v>
      </c>
      <c r="B48">
        <v>2006</v>
      </c>
      <c r="C48" t="s">
        <v>73</v>
      </c>
      <c r="D48">
        <v>6.57</v>
      </c>
    </row>
    <row r="49" spans="1:4" x14ac:dyDescent="0.45">
      <c r="A49" t="s">
        <v>57</v>
      </c>
      <c r="B49">
        <v>2006</v>
      </c>
      <c r="C49" t="s">
        <v>73</v>
      </c>
      <c r="D49">
        <v>0</v>
      </c>
    </row>
    <row r="50" spans="1:4" x14ac:dyDescent="0.45">
      <c r="A50" t="s">
        <v>90</v>
      </c>
      <c r="B50">
        <v>2006</v>
      </c>
      <c r="C50" t="s">
        <v>73</v>
      </c>
      <c r="D50">
        <v>0</v>
      </c>
    </row>
    <row r="51" spans="1:4" x14ac:dyDescent="0.45">
      <c r="A51" t="s">
        <v>32</v>
      </c>
      <c r="B51">
        <v>2007</v>
      </c>
      <c r="C51" t="s">
        <v>73</v>
      </c>
      <c r="D51">
        <v>0</v>
      </c>
    </row>
    <row r="52" spans="1:4" x14ac:dyDescent="0.45">
      <c r="A52" t="s">
        <v>34</v>
      </c>
      <c r="B52">
        <v>2007</v>
      </c>
      <c r="C52" t="s">
        <v>73</v>
      </c>
      <c r="D52">
        <v>56.25</v>
      </c>
    </row>
    <row r="53" spans="1:4" x14ac:dyDescent="0.45">
      <c r="A53" t="s">
        <v>36</v>
      </c>
      <c r="B53">
        <v>2007</v>
      </c>
      <c r="C53" t="s">
        <v>73</v>
      </c>
      <c r="D53">
        <v>5.05</v>
      </c>
    </row>
    <row r="54" spans="1:4" x14ac:dyDescent="0.45">
      <c r="A54" t="s">
        <v>56</v>
      </c>
      <c r="B54">
        <v>2007</v>
      </c>
      <c r="C54" t="s">
        <v>73</v>
      </c>
      <c r="D54">
        <v>8.17</v>
      </c>
    </row>
    <row r="55" spans="1:4" x14ac:dyDescent="0.45">
      <c r="A55" t="s">
        <v>38</v>
      </c>
      <c r="B55">
        <v>2007</v>
      </c>
      <c r="C55" t="s">
        <v>73</v>
      </c>
      <c r="D55">
        <v>7.15</v>
      </c>
    </row>
    <row r="56" spans="1:4" x14ac:dyDescent="0.45">
      <c r="A56" t="s">
        <v>57</v>
      </c>
      <c r="B56">
        <v>2007</v>
      </c>
      <c r="C56" t="s">
        <v>73</v>
      </c>
      <c r="D56">
        <v>0</v>
      </c>
    </row>
    <row r="57" spans="1:4" x14ac:dyDescent="0.45">
      <c r="A57" t="s">
        <v>90</v>
      </c>
      <c r="B57">
        <v>2007</v>
      </c>
      <c r="C57" t="s">
        <v>73</v>
      </c>
      <c r="D57">
        <v>0</v>
      </c>
    </row>
    <row r="58" spans="1:4" x14ac:dyDescent="0.45">
      <c r="A58" t="s">
        <v>32</v>
      </c>
      <c r="B58">
        <v>2008</v>
      </c>
      <c r="C58" t="s">
        <v>73</v>
      </c>
      <c r="D58">
        <v>0</v>
      </c>
    </row>
    <row r="59" spans="1:4" x14ac:dyDescent="0.45">
      <c r="A59" t="s">
        <v>34</v>
      </c>
      <c r="B59">
        <v>2008</v>
      </c>
      <c r="C59" t="s">
        <v>73</v>
      </c>
      <c r="D59">
        <v>61.6</v>
      </c>
    </row>
    <row r="60" spans="1:4" x14ac:dyDescent="0.45">
      <c r="A60" t="s">
        <v>36</v>
      </c>
      <c r="B60">
        <v>2008</v>
      </c>
      <c r="C60" t="s">
        <v>73</v>
      </c>
      <c r="D60">
        <v>8.2100000000000009</v>
      </c>
    </row>
    <row r="61" spans="1:4" x14ac:dyDescent="0.45">
      <c r="A61" t="s">
        <v>56</v>
      </c>
      <c r="B61">
        <v>2008</v>
      </c>
      <c r="C61" t="s">
        <v>73</v>
      </c>
      <c r="D61">
        <v>7.46</v>
      </c>
    </row>
    <row r="62" spans="1:4" x14ac:dyDescent="0.45">
      <c r="A62" t="s">
        <v>38</v>
      </c>
      <c r="B62">
        <v>2008</v>
      </c>
      <c r="C62" t="s">
        <v>73</v>
      </c>
      <c r="D62">
        <v>3.08</v>
      </c>
    </row>
    <row r="63" spans="1:4" x14ac:dyDescent="0.45">
      <c r="A63" t="s">
        <v>57</v>
      </c>
      <c r="B63">
        <v>2008</v>
      </c>
      <c r="C63" t="s">
        <v>73</v>
      </c>
      <c r="D63">
        <v>0</v>
      </c>
    </row>
    <row r="64" spans="1:4" x14ac:dyDescent="0.45">
      <c r="A64" t="s">
        <v>90</v>
      </c>
      <c r="B64">
        <v>2008</v>
      </c>
      <c r="C64" t="s">
        <v>73</v>
      </c>
      <c r="D64">
        <v>0</v>
      </c>
    </row>
    <row r="65" spans="1:4" x14ac:dyDescent="0.45">
      <c r="A65" t="s">
        <v>32</v>
      </c>
      <c r="B65">
        <v>2009</v>
      </c>
      <c r="C65" t="s">
        <v>73</v>
      </c>
      <c r="D65">
        <v>0</v>
      </c>
    </row>
    <row r="66" spans="1:4" x14ac:dyDescent="0.45">
      <c r="A66" t="s">
        <v>34</v>
      </c>
      <c r="B66">
        <v>2009</v>
      </c>
      <c r="C66" t="s">
        <v>73</v>
      </c>
      <c r="D66">
        <v>58.11</v>
      </c>
    </row>
    <row r="67" spans="1:4" x14ac:dyDescent="0.45">
      <c r="A67" t="s">
        <v>36</v>
      </c>
      <c r="B67">
        <v>2009</v>
      </c>
      <c r="C67" t="s">
        <v>73</v>
      </c>
      <c r="D67">
        <v>12.86</v>
      </c>
    </row>
    <row r="68" spans="1:4" x14ac:dyDescent="0.45">
      <c r="A68" t="s">
        <v>56</v>
      </c>
      <c r="B68">
        <v>2009</v>
      </c>
      <c r="C68" t="s">
        <v>73</v>
      </c>
      <c r="D68">
        <v>6.88</v>
      </c>
    </row>
    <row r="69" spans="1:4" x14ac:dyDescent="0.45">
      <c r="A69" t="s">
        <v>38</v>
      </c>
      <c r="B69">
        <v>2009</v>
      </c>
      <c r="C69" t="s">
        <v>73</v>
      </c>
      <c r="D69">
        <v>0.88</v>
      </c>
    </row>
    <row r="70" spans="1:4" x14ac:dyDescent="0.45">
      <c r="A70" t="s">
        <v>57</v>
      </c>
      <c r="B70">
        <v>2009</v>
      </c>
      <c r="C70" t="s">
        <v>73</v>
      </c>
      <c r="D70">
        <v>0</v>
      </c>
    </row>
    <row r="71" spans="1:4" x14ac:dyDescent="0.45">
      <c r="A71" t="s">
        <v>90</v>
      </c>
      <c r="B71">
        <v>2009</v>
      </c>
      <c r="C71" t="s">
        <v>73</v>
      </c>
      <c r="D71">
        <v>0</v>
      </c>
    </row>
    <row r="72" spans="1:4" x14ac:dyDescent="0.45">
      <c r="A72" t="s">
        <v>32</v>
      </c>
      <c r="B72">
        <v>2010</v>
      </c>
      <c r="C72" t="s">
        <v>73</v>
      </c>
      <c r="D72">
        <v>0</v>
      </c>
    </row>
    <row r="73" spans="1:4" x14ac:dyDescent="0.45">
      <c r="A73" t="s">
        <v>34</v>
      </c>
      <c r="B73">
        <v>2010</v>
      </c>
      <c r="C73" t="s">
        <v>73</v>
      </c>
      <c r="D73">
        <v>66.66</v>
      </c>
    </row>
    <row r="74" spans="1:4" x14ac:dyDescent="0.45">
      <c r="A74" t="s">
        <v>36</v>
      </c>
      <c r="B74">
        <v>2010</v>
      </c>
      <c r="C74" t="s">
        <v>73</v>
      </c>
      <c r="D74">
        <v>7.35</v>
      </c>
    </row>
    <row r="75" spans="1:4" x14ac:dyDescent="0.45">
      <c r="A75" t="s">
        <v>56</v>
      </c>
      <c r="B75">
        <v>2010</v>
      </c>
      <c r="C75" t="s">
        <v>73</v>
      </c>
      <c r="D75">
        <v>8.02</v>
      </c>
    </row>
    <row r="76" spans="1:4" x14ac:dyDescent="0.45">
      <c r="A76" t="s">
        <v>38</v>
      </c>
      <c r="B76">
        <v>2010</v>
      </c>
      <c r="C76" t="s">
        <v>73</v>
      </c>
      <c r="D76">
        <v>0.62</v>
      </c>
    </row>
    <row r="77" spans="1:4" x14ac:dyDescent="0.45">
      <c r="A77" t="s">
        <v>57</v>
      </c>
      <c r="B77">
        <v>2010</v>
      </c>
      <c r="C77" t="s">
        <v>73</v>
      </c>
      <c r="D77">
        <v>0</v>
      </c>
    </row>
    <row r="78" spans="1:4" x14ac:dyDescent="0.45">
      <c r="A78" t="s">
        <v>90</v>
      </c>
      <c r="B78">
        <v>2010</v>
      </c>
      <c r="C78" t="s">
        <v>73</v>
      </c>
      <c r="D78">
        <v>0</v>
      </c>
    </row>
    <row r="79" spans="1:4" x14ac:dyDescent="0.45">
      <c r="A79" t="s">
        <v>32</v>
      </c>
      <c r="B79">
        <v>2011</v>
      </c>
      <c r="C79" t="s">
        <v>73</v>
      </c>
      <c r="D79">
        <v>0</v>
      </c>
    </row>
    <row r="80" spans="1:4" x14ac:dyDescent="0.45">
      <c r="A80" t="s">
        <v>34</v>
      </c>
      <c r="B80">
        <v>2011</v>
      </c>
      <c r="C80" t="s">
        <v>73</v>
      </c>
      <c r="D80">
        <v>70.22</v>
      </c>
    </row>
    <row r="81" spans="1:4" x14ac:dyDescent="0.45">
      <c r="A81" t="s">
        <v>36</v>
      </c>
      <c r="B81">
        <v>2011</v>
      </c>
      <c r="C81" t="s">
        <v>73</v>
      </c>
      <c r="D81">
        <v>7.94</v>
      </c>
    </row>
    <row r="82" spans="1:4" x14ac:dyDescent="0.45">
      <c r="A82" t="s">
        <v>56</v>
      </c>
      <c r="B82">
        <v>2011</v>
      </c>
      <c r="C82" t="s">
        <v>73</v>
      </c>
      <c r="D82">
        <v>7.88</v>
      </c>
    </row>
    <row r="83" spans="1:4" x14ac:dyDescent="0.45">
      <c r="A83" t="s">
        <v>38</v>
      </c>
      <c r="B83">
        <v>2011</v>
      </c>
      <c r="C83" t="s">
        <v>73</v>
      </c>
      <c r="D83">
        <v>0.54</v>
      </c>
    </row>
    <row r="84" spans="1:4" x14ac:dyDescent="0.45">
      <c r="A84" t="s">
        <v>57</v>
      </c>
      <c r="B84">
        <v>2011</v>
      </c>
      <c r="C84" t="s">
        <v>73</v>
      </c>
      <c r="D84">
        <v>0</v>
      </c>
    </row>
    <row r="85" spans="1:4" x14ac:dyDescent="0.45">
      <c r="A85" t="s">
        <v>90</v>
      </c>
      <c r="B85">
        <v>2011</v>
      </c>
      <c r="C85" t="s">
        <v>73</v>
      </c>
      <c r="D85">
        <v>0</v>
      </c>
    </row>
    <row r="86" spans="1:4" x14ac:dyDescent="0.45">
      <c r="A86" t="s">
        <v>32</v>
      </c>
      <c r="B86">
        <v>2012</v>
      </c>
      <c r="C86" t="s">
        <v>73</v>
      </c>
      <c r="D86">
        <v>0</v>
      </c>
    </row>
    <row r="87" spans="1:4" x14ac:dyDescent="0.45">
      <c r="A87" t="s">
        <v>34</v>
      </c>
      <c r="B87">
        <v>2012</v>
      </c>
      <c r="C87" t="s">
        <v>73</v>
      </c>
      <c r="D87">
        <v>67.63</v>
      </c>
    </row>
    <row r="88" spans="1:4" x14ac:dyDescent="0.45">
      <c r="A88" t="s">
        <v>36</v>
      </c>
      <c r="B88">
        <v>2012</v>
      </c>
      <c r="C88" t="s">
        <v>73</v>
      </c>
      <c r="D88">
        <v>14.63</v>
      </c>
    </row>
    <row r="89" spans="1:4" x14ac:dyDescent="0.45">
      <c r="A89" t="s">
        <v>56</v>
      </c>
      <c r="B89">
        <v>2012</v>
      </c>
      <c r="C89" t="s">
        <v>73</v>
      </c>
      <c r="D89">
        <v>7.64</v>
      </c>
    </row>
    <row r="90" spans="1:4" x14ac:dyDescent="0.45">
      <c r="A90" t="s">
        <v>38</v>
      </c>
      <c r="B90">
        <v>2012</v>
      </c>
      <c r="C90" t="s">
        <v>73</v>
      </c>
      <c r="D90">
        <v>0.72</v>
      </c>
    </row>
    <row r="91" spans="1:4" x14ac:dyDescent="0.45">
      <c r="A91" t="s">
        <v>57</v>
      </c>
      <c r="B91">
        <v>2012</v>
      </c>
      <c r="C91" t="s">
        <v>73</v>
      </c>
      <c r="D91">
        <v>0</v>
      </c>
    </row>
    <row r="92" spans="1:4" x14ac:dyDescent="0.45">
      <c r="A92" t="s">
        <v>90</v>
      </c>
      <c r="B92">
        <v>2012</v>
      </c>
      <c r="C92" t="s">
        <v>73</v>
      </c>
      <c r="D92">
        <v>0</v>
      </c>
    </row>
    <row r="93" spans="1:4" x14ac:dyDescent="0.45">
      <c r="A93" t="s">
        <v>32</v>
      </c>
      <c r="B93">
        <v>2013</v>
      </c>
      <c r="C93" t="s">
        <v>73</v>
      </c>
      <c r="D93">
        <v>0</v>
      </c>
    </row>
    <row r="94" spans="1:4" x14ac:dyDescent="0.45">
      <c r="A94" t="s">
        <v>34</v>
      </c>
      <c r="B94">
        <v>2013</v>
      </c>
      <c r="C94" t="s">
        <v>73</v>
      </c>
      <c r="D94">
        <v>69</v>
      </c>
    </row>
    <row r="95" spans="1:4" x14ac:dyDescent="0.45">
      <c r="A95" t="s">
        <v>36</v>
      </c>
      <c r="B95">
        <v>2013</v>
      </c>
      <c r="C95" t="s">
        <v>73</v>
      </c>
      <c r="D95">
        <v>15.34</v>
      </c>
    </row>
    <row r="96" spans="1:4" x14ac:dyDescent="0.45">
      <c r="A96" t="s">
        <v>56</v>
      </c>
      <c r="B96">
        <v>2013</v>
      </c>
      <c r="C96" t="s">
        <v>73</v>
      </c>
      <c r="D96">
        <v>7.73</v>
      </c>
    </row>
    <row r="97" spans="1:4" x14ac:dyDescent="0.45">
      <c r="A97" t="s">
        <v>38</v>
      </c>
      <c r="B97">
        <v>2013</v>
      </c>
      <c r="C97" t="s">
        <v>73</v>
      </c>
      <c r="D97">
        <v>0.54</v>
      </c>
    </row>
    <row r="98" spans="1:4" x14ac:dyDescent="0.45">
      <c r="A98" t="s">
        <v>57</v>
      </c>
      <c r="B98">
        <v>2013</v>
      </c>
      <c r="C98" t="s">
        <v>73</v>
      </c>
      <c r="D98">
        <v>0</v>
      </c>
    </row>
    <row r="99" spans="1:4" x14ac:dyDescent="0.45">
      <c r="A99" t="s">
        <v>90</v>
      </c>
      <c r="B99">
        <v>2013</v>
      </c>
      <c r="C99" t="s">
        <v>73</v>
      </c>
      <c r="D99">
        <v>0</v>
      </c>
    </row>
    <row r="100" spans="1:4" x14ac:dyDescent="0.45">
      <c r="A100" t="s">
        <v>32</v>
      </c>
      <c r="B100">
        <v>2014</v>
      </c>
      <c r="C100" t="s">
        <v>73</v>
      </c>
      <c r="D100">
        <v>0</v>
      </c>
    </row>
    <row r="101" spans="1:4" x14ac:dyDescent="0.45">
      <c r="A101" t="s">
        <v>34</v>
      </c>
      <c r="B101">
        <v>2014</v>
      </c>
      <c r="C101" t="s">
        <v>73</v>
      </c>
      <c r="D101">
        <v>64.7</v>
      </c>
    </row>
    <row r="102" spans="1:4" x14ac:dyDescent="0.45">
      <c r="A102" t="s">
        <v>36</v>
      </c>
      <c r="B102">
        <v>2014</v>
      </c>
      <c r="C102" t="s">
        <v>73</v>
      </c>
      <c r="D102">
        <v>20.239999999999998</v>
      </c>
    </row>
    <row r="103" spans="1:4" x14ac:dyDescent="0.45">
      <c r="A103" t="s">
        <v>56</v>
      </c>
      <c r="B103">
        <v>2014</v>
      </c>
      <c r="C103" t="s">
        <v>73</v>
      </c>
      <c r="D103">
        <v>8.26</v>
      </c>
    </row>
    <row r="104" spans="1:4" x14ac:dyDescent="0.45">
      <c r="A104" t="s">
        <v>38</v>
      </c>
      <c r="B104">
        <v>2014</v>
      </c>
      <c r="C104" t="s">
        <v>73</v>
      </c>
      <c r="D104">
        <v>1.42</v>
      </c>
    </row>
    <row r="105" spans="1:4" x14ac:dyDescent="0.45">
      <c r="A105" t="s">
        <v>57</v>
      </c>
      <c r="B105">
        <v>2014</v>
      </c>
      <c r="C105" t="s">
        <v>73</v>
      </c>
      <c r="D105">
        <v>0</v>
      </c>
    </row>
    <row r="106" spans="1:4" x14ac:dyDescent="0.45">
      <c r="A106" t="s">
        <v>90</v>
      </c>
      <c r="B106">
        <v>2014</v>
      </c>
      <c r="C106" t="s">
        <v>73</v>
      </c>
      <c r="D106">
        <v>0.01</v>
      </c>
    </row>
    <row r="107" spans="1:4" x14ac:dyDescent="0.45">
      <c r="A107" t="s">
        <v>32</v>
      </c>
      <c r="B107">
        <v>2015</v>
      </c>
      <c r="C107" t="s">
        <v>73</v>
      </c>
      <c r="D107">
        <v>0</v>
      </c>
    </row>
    <row r="108" spans="1:4" x14ac:dyDescent="0.45">
      <c r="A108" t="s">
        <v>34</v>
      </c>
      <c r="B108">
        <v>2015</v>
      </c>
      <c r="C108" t="s">
        <v>73</v>
      </c>
      <c r="D108">
        <v>61.24</v>
      </c>
    </row>
    <row r="109" spans="1:4" x14ac:dyDescent="0.45">
      <c r="A109" t="s">
        <v>36</v>
      </c>
      <c r="B109">
        <v>2015</v>
      </c>
      <c r="C109" t="s">
        <v>73</v>
      </c>
      <c r="D109">
        <v>19.02</v>
      </c>
    </row>
    <row r="110" spans="1:4" x14ac:dyDescent="0.45">
      <c r="A110" t="s">
        <v>56</v>
      </c>
      <c r="B110">
        <v>2015</v>
      </c>
      <c r="C110" t="s">
        <v>73</v>
      </c>
      <c r="D110">
        <v>9.27</v>
      </c>
    </row>
    <row r="111" spans="1:4" x14ac:dyDescent="0.45">
      <c r="A111" t="s">
        <v>38</v>
      </c>
      <c r="B111">
        <v>2015</v>
      </c>
      <c r="C111" t="s">
        <v>73</v>
      </c>
      <c r="D111">
        <v>1.93</v>
      </c>
    </row>
    <row r="112" spans="1:4" x14ac:dyDescent="0.45">
      <c r="A112" t="s">
        <v>57</v>
      </c>
      <c r="B112">
        <v>2015</v>
      </c>
      <c r="C112" t="s">
        <v>73</v>
      </c>
      <c r="D112">
        <v>0.05</v>
      </c>
    </row>
    <row r="113" spans="1:4" x14ac:dyDescent="0.45">
      <c r="A113" t="s">
        <v>90</v>
      </c>
      <c r="B113">
        <v>2015</v>
      </c>
      <c r="C113" t="s">
        <v>73</v>
      </c>
      <c r="D113">
        <v>0.13</v>
      </c>
    </row>
    <row r="114" spans="1:4" x14ac:dyDescent="0.45">
      <c r="A114" t="s">
        <v>32</v>
      </c>
      <c r="B114">
        <v>2016</v>
      </c>
      <c r="C114" t="s">
        <v>73</v>
      </c>
      <c r="D114">
        <v>0</v>
      </c>
    </row>
    <row r="115" spans="1:4" x14ac:dyDescent="0.45">
      <c r="A115" t="s">
        <v>34</v>
      </c>
      <c r="B115">
        <v>2016</v>
      </c>
      <c r="C115" t="s">
        <v>73</v>
      </c>
      <c r="D115">
        <v>59.16</v>
      </c>
    </row>
    <row r="116" spans="1:4" x14ac:dyDescent="0.45">
      <c r="A116" t="s">
        <v>36</v>
      </c>
      <c r="B116">
        <v>2016</v>
      </c>
      <c r="C116" t="s">
        <v>73</v>
      </c>
      <c r="D116">
        <v>20.76</v>
      </c>
    </row>
    <row r="117" spans="1:4" x14ac:dyDescent="0.45">
      <c r="A117" t="s">
        <v>56</v>
      </c>
      <c r="B117">
        <v>2016</v>
      </c>
      <c r="C117" t="s">
        <v>73</v>
      </c>
      <c r="D117">
        <v>11.62</v>
      </c>
    </row>
    <row r="118" spans="1:4" x14ac:dyDescent="0.45">
      <c r="A118" t="s">
        <v>38</v>
      </c>
      <c r="B118">
        <v>2016</v>
      </c>
      <c r="C118" t="s">
        <v>73</v>
      </c>
      <c r="D118">
        <v>2.74</v>
      </c>
    </row>
    <row r="119" spans="1:4" x14ac:dyDescent="0.45">
      <c r="A119" t="s">
        <v>57</v>
      </c>
      <c r="B119">
        <v>2016</v>
      </c>
      <c r="C119" t="s">
        <v>73</v>
      </c>
      <c r="D119">
        <v>0.09</v>
      </c>
    </row>
    <row r="120" spans="1:4" x14ac:dyDescent="0.45">
      <c r="A120" t="s">
        <v>90</v>
      </c>
      <c r="B120">
        <v>2016</v>
      </c>
      <c r="C120" t="s">
        <v>73</v>
      </c>
      <c r="D120">
        <v>0.27</v>
      </c>
    </row>
    <row r="121" spans="1:4" x14ac:dyDescent="0.45">
      <c r="A121" t="s">
        <v>32</v>
      </c>
      <c r="B121">
        <v>2017</v>
      </c>
      <c r="C121" t="s">
        <v>73</v>
      </c>
      <c r="D121">
        <v>0</v>
      </c>
    </row>
    <row r="122" spans="1:4" x14ac:dyDescent="0.45">
      <c r="A122" t="s">
        <v>34</v>
      </c>
      <c r="B122">
        <v>2017</v>
      </c>
      <c r="C122" t="s">
        <v>73</v>
      </c>
      <c r="D122">
        <v>66.540000000000006</v>
      </c>
    </row>
    <row r="123" spans="1:4" x14ac:dyDescent="0.45">
      <c r="A123" t="s">
        <v>36</v>
      </c>
      <c r="B123">
        <v>2017</v>
      </c>
      <c r="C123" t="s">
        <v>73</v>
      </c>
      <c r="D123">
        <v>23.88</v>
      </c>
    </row>
    <row r="124" spans="1:4" x14ac:dyDescent="0.45">
      <c r="A124" t="s">
        <v>56</v>
      </c>
      <c r="B124">
        <v>2017</v>
      </c>
      <c r="C124" t="s">
        <v>73</v>
      </c>
      <c r="D124">
        <v>11.21</v>
      </c>
    </row>
    <row r="125" spans="1:4" x14ac:dyDescent="0.45">
      <c r="A125" t="s">
        <v>38</v>
      </c>
      <c r="B125">
        <v>2017</v>
      </c>
      <c r="C125" t="s">
        <v>73</v>
      </c>
      <c r="D125">
        <v>1.06</v>
      </c>
    </row>
    <row r="126" spans="1:4" x14ac:dyDescent="0.45">
      <c r="A126" t="s">
        <v>57</v>
      </c>
      <c r="B126">
        <v>2017</v>
      </c>
      <c r="C126" t="s">
        <v>73</v>
      </c>
      <c r="D126">
        <v>0.09</v>
      </c>
    </row>
    <row r="127" spans="1:4" x14ac:dyDescent="0.45">
      <c r="A127" t="s">
        <v>90</v>
      </c>
      <c r="B127">
        <v>2017</v>
      </c>
      <c r="C127" t="s">
        <v>73</v>
      </c>
      <c r="D127">
        <v>0.34</v>
      </c>
    </row>
    <row r="128" spans="1:4" x14ac:dyDescent="0.45">
      <c r="A128" t="s">
        <v>32</v>
      </c>
      <c r="B128">
        <v>2018</v>
      </c>
      <c r="C128" t="s">
        <v>73</v>
      </c>
      <c r="D128">
        <v>0</v>
      </c>
    </row>
    <row r="129" spans="1:4" x14ac:dyDescent="0.45">
      <c r="A129" t="s">
        <v>34</v>
      </c>
      <c r="B129">
        <v>2018</v>
      </c>
      <c r="C129" t="s">
        <v>73</v>
      </c>
      <c r="D129">
        <v>71.790000000000006</v>
      </c>
    </row>
    <row r="130" spans="1:4" x14ac:dyDescent="0.45">
      <c r="A130" t="s">
        <v>36</v>
      </c>
      <c r="B130">
        <v>2018</v>
      </c>
      <c r="C130" t="s">
        <v>73</v>
      </c>
      <c r="D130">
        <v>23.55</v>
      </c>
    </row>
    <row r="131" spans="1:4" x14ac:dyDescent="0.45">
      <c r="A131" t="s">
        <v>56</v>
      </c>
      <c r="B131">
        <v>2018</v>
      </c>
      <c r="C131" t="s">
        <v>73</v>
      </c>
      <c r="D131">
        <v>10.38</v>
      </c>
    </row>
    <row r="132" spans="1:4" x14ac:dyDescent="0.45">
      <c r="A132" t="s">
        <v>38</v>
      </c>
      <c r="B132">
        <v>2018</v>
      </c>
      <c r="C132" t="s">
        <v>73</v>
      </c>
      <c r="D132">
        <v>1.02</v>
      </c>
    </row>
    <row r="133" spans="1:4" x14ac:dyDescent="0.45">
      <c r="A133" t="s">
        <v>57</v>
      </c>
      <c r="B133">
        <v>2018</v>
      </c>
      <c r="C133" t="s">
        <v>73</v>
      </c>
      <c r="D133">
        <v>0.14000000000000001</v>
      </c>
    </row>
    <row r="134" spans="1:4" x14ac:dyDescent="0.45">
      <c r="A134" t="s">
        <v>90</v>
      </c>
      <c r="B134">
        <v>2018</v>
      </c>
      <c r="C134" t="s">
        <v>73</v>
      </c>
      <c r="D134">
        <v>0.39</v>
      </c>
    </row>
    <row r="135" spans="1:4" x14ac:dyDescent="0.45">
      <c r="A135" t="s">
        <v>32</v>
      </c>
      <c r="B135">
        <v>2019</v>
      </c>
      <c r="C135" t="s">
        <v>73</v>
      </c>
      <c r="D135">
        <v>0</v>
      </c>
    </row>
    <row r="136" spans="1:4" x14ac:dyDescent="0.45">
      <c r="A136" t="s">
        <v>34</v>
      </c>
      <c r="B136">
        <v>2019</v>
      </c>
      <c r="C136" t="s">
        <v>73</v>
      </c>
      <c r="D136">
        <v>71.05</v>
      </c>
    </row>
    <row r="137" spans="1:4" x14ac:dyDescent="0.45">
      <c r="A137" t="s">
        <v>36</v>
      </c>
      <c r="B137">
        <v>2019</v>
      </c>
      <c r="C137" t="s">
        <v>73</v>
      </c>
      <c r="D137">
        <v>23.46</v>
      </c>
    </row>
    <row r="138" spans="1:4" x14ac:dyDescent="0.45">
      <c r="A138" t="s">
        <v>56</v>
      </c>
      <c r="B138">
        <v>2019</v>
      </c>
      <c r="C138" t="s">
        <v>73</v>
      </c>
      <c r="D138">
        <v>9.99</v>
      </c>
    </row>
    <row r="139" spans="1:4" x14ac:dyDescent="0.45">
      <c r="A139" t="s">
        <v>38</v>
      </c>
      <c r="B139">
        <v>2019</v>
      </c>
      <c r="C139" t="s">
        <v>73</v>
      </c>
      <c r="D139">
        <v>0.87</v>
      </c>
    </row>
    <row r="140" spans="1:4" x14ac:dyDescent="0.45">
      <c r="A140" t="s">
        <v>57</v>
      </c>
      <c r="B140">
        <v>2019</v>
      </c>
      <c r="C140" t="s">
        <v>73</v>
      </c>
      <c r="D140">
        <v>0.39</v>
      </c>
    </row>
    <row r="141" spans="1:4" x14ac:dyDescent="0.45">
      <c r="A141" t="s">
        <v>90</v>
      </c>
      <c r="B141">
        <v>2019</v>
      </c>
      <c r="C141" t="s">
        <v>73</v>
      </c>
      <c r="D141">
        <v>0.71</v>
      </c>
    </row>
    <row r="142" spans="1:4" x14ac:dyDescent="0.45">
      <c r="A142" t="s">
        <v>32</v>
      </c>
      <c r="B142">
        <v>2020</v>
      </c>
      <c r="C142" t="s">
        <v>73</v>
      </c>
      <c r="D142">
        <v>0.01</v>
      </c>
    </row>
    <row r="143" spans="1:4" x14ac:dyDescent="0.45">
      <c r="A143" t="s">
        <v>34</v>
      </c>
      <c r="B143">
        <v>2020</v>
      </c>
      <c r="C143" t="s">
        <v>73</v>
      </c>
      <c r="D143">
        <v>69.180000000000007</v>
      </c>
    </row>
    <row r="144" spans="1:4" x14ac:dyDescent="0.45">
      <c r="A144" t="s">
        <v>36</v>
      </c>
      <c r="B144">
        <v>2020</v>
      </c>
      <c r="C144" t="s">
        <v>73</v>
      </c>
      <c r="D144">
        <v>26.62</v>
      </c>
    </row>
    <row r="145" spans="1:4" x14ac:dyDescent="0.45">
      <c r="A145" t="s">
        <v>56</v>
      </c>
      <c r="B145">
        <v>2020</v>
      </c>
      <c r="C145" t="s">
        <v>73</v>
      </c>
      <c r="D145">
        <v>9.66</v>
      </c>
    </row>
    <row r="146" spans="1:4" x14ac:dyDescent="0.45">
      <c r="A146" t="s">
        <v>38</v>
      </c>
      <c r="B146">
        <v>2020</v>
      </c>
      <c r="C146" t="s">
        <v>73</v>
      </c>
      <c r="D146">
        <v>0.89</v>
      </c>
    </row>
    <row r="147" spans="1:4" x14ac:dyDescent="0.45">
      <c r="A147" t="s">
        <v>57</v>
      </c>
      <c r="B147">
        <v>2020</v>
      </c>
      <c r="C147" t="s">
        <v>73</v>
      </c>
      <c r="D147">
        <v>1.24</v>
      </c>
    </row>
    <row r="148" spans="1:4" x14ac:dyDescent="0.45">
      <c r="A148" t="s">
        <v>90</v>
      </c>
      <c r="B148">
        <v>2020</v>
      </c>
      <c r="C148" t="s">
        <v>73</v>
      </c>
      <c r="D148">
        <v>1.03</v>
      </c>
    </row>
    <row r="149" spans="1:4" x14ac:dyDescent="0.45">
      <c r="A149" t="s">
        <v>32</v>
      </c>
      <c r="B149">
        <v>2021</v>
      </c>
      <c r="C149" t="s">
        <v>73</v>
      </c>
      <c r="D149">
        <v>0</v>
      </c>
    </row>
    <row r="150" spans="1:4" x14ac:dyDescent="0.45">
      <c r="A150" t="s">
        <v>34</v>
      </c>
      <c r="B150">
        <v>2021</v>
      </c>
      <c r="C150" t="s">
        <v>73</v>
      </c>
      <c r="D150">
        <v>67.98</v>
      </c>
    </row>
    <row r="151" spans="1:4" x14ac:dyDescent="0.45">
      <c r="A151" t="s">
        <v>36</v>
      </c>
      <c r="B151">
        <v>2021</v>
      </c>
      <c r="C151" t="s">
        <v>73</v>
      </c>
      <c r="D151">
        <v>30.76</v>
      </c>
    </row>
    <row r="152" spans="1:4" x14ac:dyDescent="0.45">
      <c r="A152" t="s">
        <v>56</v>
      </c>
      <c r="B152">
        <v>2021</v>
      </c>
      <c r="C152" t="s">
        <v>73</v>
      </c>
      <c r="D152">
        <v>9.2100000000000009</v>
      </c>
    </row>
    <row r="153" spans="1:4" x14ac:dyDescent="0.45">
      <c r="A153" t="s">
        <v>38</v>
      </c>
      <c r="B153">
        <v>2021</v>
      </c>
      <c r="C153" t="s">
        <v>73</v>
      </c>
      <c r="D153">
        <v>3.75</v>
      </c>
    </row>
    <row r="154" spans="1:4" x14ac:dyDescent="0.45">
      <c r="A154" t="s">
        <v>57</v>
      </c>
      <c r="B154">
        <v>2021</v>
      </c>
      <c r="C154" t="s">
        <v>73</v>
      </c>
      <c r="D154">
        <v>1.63</v>
      </c>
    </row>
    <row r="155" spans="1:4" x14ac:dyDescent="0.45">
      <c r="A155" t="s">
        <v>90</v>
      </c>
      <c r="B155">
        <v>2021</v>
      </c>
      <c r="C155" t="s">
        <v>73</v>
      </c>
      <c r="D155">
        <v>1.75</v>
      </c>
    </row>
    <row r="156" spans="1:4" x14ac:dyDescent="0.45">
      <c r="A156" t="s">
        <v>32</v>
      </c>
      <c r="B156">
        <v>2022</v>
      </c>
      <c r="C156" t="s">
        <v>73</v>
      </c>
      <c r="D156">
        <v>0</v>
      </c>
    </row>
    <row r="157" spans="1:4" x14ac:dyDescent="0.45">
      <c r="A157" t="s">
        <v>34</v>
      </c>
      <c r="B157">
        <v>2022</v>
      </c>
      <c r="C157" t="s">
        <v>73</v>
      </c>
      <c r="D157">
        <v>65.010000000000005</v>
      </c>
    </row>
    <row r="158" spans="1:4" x14ac:dyDescent="0.45">
      <c r="A158" t="s">
        <v>36</v>
      </c>
      <c r="B158">
        <v>2022</v>
      </c>
      <c r="C158" t="s">
        <v>73</v>
      </c>
      <c r="D158">
        <v>32.72</v>
      </c>
    </row>
    <row r="159" spans="1:4" x14ac:dyDescent="0.45">
      <c r="A159" t="s">
        <v>56</v>
      </c>
      <c r="B159">
        <v>2022</v>
      </c>
      <c r="C159" t="s">
        <v>73</v>
      </c>
      <c r="D159">
        <v>9.1999999999999993</v>
      </c>
    </row>
    <row r="160" spans="1:4" x14ac:dyDescent="0.45">
      <c r="A160" t="s">
        <v>38</v>
      </c>
      <c r="B160">
        <v>2022</v>
      </c>
      <c r="C160" t="s">
        <v>73</v>
      </c>
      <c r="D160">
        <v>2.44</v>
      </c>
    </row>
    <row r="161" spans="1:4" x14ac:dyDescent="0.45">
      <c r="A161" t="s">
        <v>57</v>
      </c>
      <c r="B161">
        <v>2022</v>
      </c>
      <c r="C161" t="s">
        <v>73</v>
      </c>
      <c r="D161">
        <v>1.77</v>
      </c>
    </row>
    <row r="162" spans="1:4" x14ac:dyDescent="0.45">
      <c r="A162" t="s">
        <v>90</v>
      </c>
      <c r="B162">
        <v>2022</v>
      </c>
      <c r="C162" t="s">
        <v>73</v>
      </c>
      <c r="D162">
        <v>2.31</v>
      </c>
    </row>
    <row r="163" spans="1:4" x14ac:dyDescent="0.45">
      <c r="A163" t="s">
        <v>32</v>
      </c>
      <c r="B163">
        <v>2023</v>
      </c>
      <c r="C163" t="s">
        <v>73</v>
      </c>
      <c r="D163">
        <v>0</v>
      </c>
    </row>
    <row r="164" spans="1:4" x14ac:dyDescent="0.45">
      <c r="A164" t="s">
        <v>34</v>
      </c>
      <c r="B164">
        <v>2023</v>
      </c>
      <c r="C164" t="s">
        <v>73</v>
      </c>
      <c r="D164">
        <v>63.9</v>
      </c>
    </row>
    <row r="165" spans="1:4" x14ac:dyDescent="0.45">
      <c r="A165" t="s">
        <v>36</v>
      </c>
      <c r="B165">
        <v>2023</v>
      </c>
      <c r="C165" t="s">
        <v>73</v>
      </c>
      <c r="D165">
        <v>32.270000000000003</v>
      </c>
    </row>
    <row r="166" spans="1:4" x14ac:dyDescent="0.45">
      <c r="A166" t="s">
        <v>56</v>
      </c>
      <c r="B166">
        <v>2023</v>
      </c>
      <c r="C166" t="s">
        <v>73</v>
      </c>
      <c r="D166">
        <v>8.7899999999999991</v>
      </c>
    </row>
    <row r="167" spans="1:4" x14ac:dyDescent="0.45">
      <c r="A167" t="s">
        <v>38</v>
      </c>
      <c r="B167">
        <v>2023</v>
      </c>
      <c r="C167" t="s">
        <v>73</v>
      </c>
      <c r="D167">
        <v>2.4</v>
      </c>
    </row>
    <row r="168" spans="1:4" x14ac:dyDescent="0.45">
      <c r="A168" t="s">
        <v>57</v>
      </c>
      <c r="B168">
        <v>2023</v>
      </c>
      <c r="C168" t="s">
        <v>73</v>
      </c>
      <c r="D168">
        <v>1.96</v>
      </c>
    </row>
    <row r="169" spans="1:4" x14ac:dyDescent="0.45">
      <c r="A169" t="s">
        <v>90</v>
      </c>
      <c r="B169">
        <v>2023</v>
      </c>
      <c r="C169" t="s">
        <v>73</v>
      </c>
      <c r="D169">
        <v>3.65</v>
      </c>
    </row>
    <row r="170" spans="1:4" x14ac:dyDescent="0.45">
      <c r="A170" t="s">
        <v>32</v>
      </c>
      <c r="B170">
        <v>2000</v>
      </c>
      <c r="C170" t="s">
        <v>74</v>
      </c>
      <c r="D170">
        <v>0</v>
      </c>
    </row>
    <row r="171" spans="1:4" x14ac:dyDescent="0.45">
      <c r="A171" t="s">
        <v>34</v>
      </c>
      <c r="B171">
        <v>2000</v>
      </c>
      <c r="C171" t="s">
        <v>74</v>
      </c>
      <c r="D171">
        <v>11.97</v>
      </c>
    </row>
    <row r="172" spans="1:4" x14ac:dyDescent="0.45">
      <c r="A172" t="s">
        <v>36</v>
      </c>
      <c r="B172">
        <v>2000</v>
      </c>
      <c r="C172" t="s">
        <v>74</v>
      </c>
      <c r="D172">
        <v>2.79</v>
      </c>
    </row>
    <row r="173" spans="1:4" x14ac:dyDescent="0.45">
      <c r="A173" t="s">
        <v>56</v>
      </c>
      <c r="B173">
        <v>2000</v>
      </c>
      <c r="C173" t="s">
        <v>74</v>
      </c>
      <c r="D173">
        <v>2.2599999999999998</v>
      </c>
    </row>
    <row r="174" spans="1:4" x14ac:dyDescent="0.45">
      <c r="A174" t="s">
        <v>38</v>
      </c>
      <c r="B174">
        <v>2000</v>
      </c>
      <c r="C174" t="s">
        <v>74</v>
      </c>
    </row>
    <row r="175" spans="1:4" x14ac:dyDescent="0.45">
      <c r="A175" t="s">
        <v>57</v>
      </c>
      <c r="B175">
        <v>2000</v>
      </c>
      <c r="C175" t="s">
        <v>74</v>
      </c>
      <c r="D175">
        <v>0</v>
      </c>
    </row>
    <row r="176" spans="1:4" x14ac:dyDescent="0.45">
      <c r="A176" t="s">
        <v>90</v>
      </c>
      <c r="B176">
        <v>2000</v>
      </c>
      <c r="C176" t="s">
        <v>74</v>
      </c>
      <c r="D176">
        <v>0</v>
      </c>
    </row>
    <row r="177" spans="1:4" x14ac:dyDescent="0.45">
      <c r="A177" t="s">
        <v>32</v>
      </c>
      <c r="B177">
        <v>2001</v>
      </c>
      <c r="C177" t="s">
        <v>74</v>
      </c>
      <c r="D177">
        <v>0</v>
      </c>
    </row>
    <row r="178" spans="1:4" x14ac:dyDescent="0.45">
      <c r="A178" t="s">
        <v>34</v>
      </c>
      <c r="B178">
        <v>2001</v>
      </c>
      <c r="C178" t="s">
        <v>74</v>
      </c>
      <c r="D178">
        <v>11.97</v>
      </c>
    </row>
    <row r="179" spans="1:4" x14ac:dyDescent="0.45">
      <c r="A179" t="s">
        <v>36</v>
      </c>
      <c r="B179">
        <v>2001</v>
      </c>
      <c r="C179" t="s">
        <v>74</v>
      </c>
      <c r="D179">
        <v>2.79</v>
      </c>
    </row>
    <row r="180" spans="1:4" x14ac:dyDescent="0.45">
      <c r="A180" t="s">
        <v>56</v>
      </c>
      <c r="B180">
        <v>2001</v>
      </c>
      <c r="C180" t="s">
        <v>74</v>
      </c>
      <c r="D180">
        <v>2.2599999999999998</v>
      </c>
    </row>
    <row r="181" spans="1:4" x14ac:dyDescent="0.45">
      <c r="A181" t="s">
        <v>38</v>
      </c>
      <c r="B181">
        <v>2001</v>
      </c>
      <c r="C181" t="s">
        <v>74</v>
      </c>
    </row>
    <row r="182" spans="1:4" x14ac:dyDescent="0.45">
      <c r="A182" t="s">
        <v>57</v>
      </c>
      <c r="B182">
        <v>2001</v>
      </c>
      <c r="C182" t="s">
        <v>74</v>
      </c>
      <c r="D182">
        <v>0</v>
      </c>
    </row>
    <row r="183" spans="1:4" x14ac:dyDescent="0.45">
      <c r="A183" t="s">
        <v>90</v>
      </c>
      <c r="B183">
        <v>2001</v>
      </c>
      <c r="C183" t="s">
        <v>74</v>
      </c>
      <c r="D183">
        <v>0</v>
      </c>
    </row>
    <row r="184" spans="1:4" x14ac:dyDescent="0.45">
      <c r="A184" t="s">
        <v>32</v>
      </c>
      <c r="B184">
        <v>2002</v>
      </c>
      <c r="C184" t="s">
        <v>74</v>
      </c>
      <c r="D184">
        <v>0</v>
      </c>
    </row>
    <row r="185" spans="1:4" x14ac:dyDescent="0.45">
      <c r="A185" t="s">
        <v>34</v>
      </c>
      <c r="B185">
        <v>2002</v>
      </c>
      <c r="C185" t="s">
        <v>74</v>
      </c>
      <c r="D185">
        <v>12</v>
      </c>
    </row>
    <row r="186" spans="1:4" x14ac:dyDescent="0.45">
      <c r="A186" t="s">
        <v>36</v>
      </c>
      <c r="B186">
        <v>2002</v>
      </c>
      <c r="C186" t="s">
        <v>74</v>
      </c>
      <c r="D186">
        <v>2.79</v>
      </c>
    </row>
    <row r="187" spans="1:4" x14ac:dyDescent="0.45">
      <c r="A187" t="s">
        <v>56</v>
      </c>
      <c r="B187">
        <v>2002</v>
      </c>
      <c r="C187" t="s">
        <v>74</v>
      </c>
      <c r="D187">
        <v>2.2599999999999998</v>
      </c>
    </row>
    <row r="188" spans="1:4" x14ac:dyDescent="0.45">
      <c r="A188" t="s">
        <v>38</v>
      </c>
      <c r="B188">
        <v>2002</v>
      </c>
      <c r="C188" t="s">
        <v>74</v>
      </c>
    </row>
    <row r="189" spans="1:4" x14ac:dyDescent="0.45">
      <c r="A189" t="s">
        <v>57</v>
      </c>
      <c r="B189">
        <v>2002</v>
      </c>
      <c r="C189" t="s">
        <v>74</v>
      </c>
      <c r="D189">
        <v>0</v>
      </c>
    </row>
    <row r="190" spans="1:4" x14ac:dyDescent="0.45">
      <c r="A190" t="s">
        <v>90</v>
      </c>
      <c r="B190">
        <v>2002</v>
      </c>
      <c r="C190" t="s">
        <v>74</v>
      </c>
      <c r="D190">
        <v>0</v>
      </c>
    </row>
    <row r="191" spans="1:4" x14ac:dyDescent="0.45">
      <c r="A191" t="s">
        <v>32</v>
      </c>
      <c r="B191">
        <v>2003</v>
      </c>
      <c r="C191" t="s">
        <v>74</v>
      </c>
      <c r="D191">
        <v>0</v>
      </c>
    </row>
    <row r="192" spans="1:4" x14ac:dyDescent="0.45">
      <c r="A192" t="s">
        <v>34</v>
      </c>
      <c r="B192">
        <v>2003</v>
      </c>
      <c r="C192" t="s">
        <v>74</v>
      </c>
      <c r="D192">
        <v>12</v>
      </c>
    </row>
    <row r="193" spans="1:4" x14ac:dyDescent="0.45">
      <c r="A193" t="s">
        <v>36</v>
      </c>
      <c r="B193">
        <v>2003</v>
      </c>
      <c r="C193" t="s">
        <v>74</v>
      </c>
      <c r="D193">
        <v>2.79</v>
      </c>
    </row>
    <row r="194" spans="1:4" x14ac:dyDescent="0.45">
      <c r="A194" t="s">
        <v>56</v>
      </c>
      <c r="B194">
        <v>2003</v>
      </c>
      <c r="C194" t="s">
        <v>74</v>
      </c>
      <c r="D194">
        <v>2.2599999999999998</v>
      </c>
    </row>
    <row r="195" spans="1:4" x14ac:dyDescent="0.45">
      <c r="A195" t="s">
        <v>38</v>
      </c>
      <c r="B195">
        <v>2003</v>
      </c>
      <c r="C195" t="s">
        <v>74</v>
      </c>
    </row>
    <row r="196" spans="1:4" x14ac:dyDescent="0.45">
      <c r="A196" t="s">
        <v>57</v>
      </c>
      <c r="B196">
        <v>2003</v>
      </c>
      <c r="C196" t="s">
        <v>74</v>
      </c>
      <c r="D196">
        <v>0</v>
      </c>
    </row>
    <row r="197" spans="1:4" x14ac:dyDescent="0.45">
      <c r="A197" t="s">
        <v>90</v>
      </c>
      <c r="B197">
        <v>2003</v>
      </c>
      <c r="C197" t="s">
        <v>74</v>
      </c>
      <c r="D197">
        <v>0</v>
      </c>
    </row>
    <row r="198" spans="1:4" x14ac:dyDescent="0.45">
      <c r="A198" t="s">
        <v>32</v>
      </c>
      <c r="B198">
        <v>2004</v>
      </c>
      <c r="C198" t="s">
        <v>74</v>
      </c>
      <c r="D198">
        <v>0</v>
      </c>
    </row>
    <row r="199" spans="1:4" x14ac:dyDescent="0.45">
      <c r="A199" t="s">
        <v>34</v>
      </c>
      <c r="B199">
        <v>2004</v>
      </c>
      <c r="C199" t="s">
        <v>74</v>
      </c>
      <c r="D199">
        <v>12</v>
      </c>
    </row>
    <row r="200" spans="1:4" x14ac:dyDescent="0.45">
      <c r="A200" t="s">
        <v>36</v>
      </c>
      <c r="B200">
        <v>2004</v>
      </c>
      <c r="C200" t="s">
        <v>74</v>
      </c>
      <c r="D200">
        <v>2.79</v>
      </c>
    </row>
    <row r="201" spans="1:4" x14ac:dyDescent="0.45">
      <c r="A201" t="s">
        <v>56</v>
      </c>
      <c r="B201">
        <v>2004</v>
      </c>
      <c r="C201" t="s">
        <v>74</v>
      </c>
      <c r="D201">
        <v>2.2599999999999998</v>
      </c>
    </row>
    <row r="202" spans="1:4" x14ac:dyDescent="0.45">
      <c r="A202" t="s">
        <v>38</v>
      </c>
      <c r="B202">
        <v>2004</v>
      </c>
      <c r="C202" t="s">
        <v>74</v>
      </c>
    </row>
    <row r="203" spans="1:4" x14ac:dyDescent="0.45">
      <c r="A203" t="s">
        <v>57</v>
      </c>
      <c r="B203">
        <v>2004</v>
      </c>
      <c r="C203" t="s">
        <v>74</v>
      </c>
      <c r="D203">
        <v>0</v>
      </c>
    </row>
    <row r="204" spans="1:4" x14ac:dyDescent="0.45">
      <c r="A204" t="s">
        <v>90</v>
      </c>
      <c r="B204">
        <v>2004</v>
      </c>
      <c r="C204" t="s">
        <v>74</v>
      </c>
      <c r="D204">
        <v>0</v>
      </c>
    </row>
    <row r="205" spans="1:4" x14ac:dyDescent="0.45">
      <c r="A205" t="s">
        <v>32</v>
      </c>
      <c r="B205">
        <v>2005</v>
      </c>
      <c r="C205" t="s">
        <v>74</v>
      </c>
      <c r="D205">
        <v>0</v>
      </c>
    </row>
    <row r="206" spans="1:4" x14ac:dyDescent="0.45">
      <c r="A206" t="s">
        <v>34</v>
      </c>
      <c r="B206">
        <v>2005</v>
      </c>
      <c r="C206" t="s">
        <v>74</v>
      </c>
      <c r="D206">
        <v>12</v>
      </c>
    </row>
    <row r="207" spans="1:4" x14ac:dyDescent="0.45">
      <c r="A207" t="s">
        <v>36</v>
      </c>
      <c r="B207">
        <v>2005</v>
      </c>
      <c r="C207" t="s">
        <v>74</v>
      </c>
      <c r="D207">
        <v>2.79</v>
      </c>
    </row>
    <row r="208" spans="1:4" x14ac:dyDescent="0.45">
      <c r="A208" t="s">
        <v>56</v>
      </c>
      <c r="B208">
        <v>2005</v>
      </c>
      <c r="C208" t="s">
        <v>74</v>
      </c>
      <c r="D208">
        <v>2.25</v>
      </c>
    </row>
    <row r="209" spans="1:4" x14ac:dyDescent="0.45">
      <c r="A209" t="s">
        <v>38</v>
      </c>
      <c r="B209">
        <v>2005</v>
      </c>
      <c r="C209" t="s">
        <v>74</v>
      </c>
    </row>
    <row r="210" spans="1:4" x14ac:dyDescent="0.45">
      <c r="A210" t="s">
        <v>57</v>
      </c>
      <c r="B210">
        <v>2005</v>
      </c>
      <c r="C210" t="s">
        <v>74</v>
      </c>
      <c r="D210">
        <v>0</v>
      </c>
    </row>
    <row r="211" spans="1:4" x14ac:dyDescent="0.45">
      <c r="A211" t="s">
        <v>90</v>
      </c>
      <c r="B211">
        <v>2005</v>
      </c>
      <c r="C211" t="s">
        <v>74</v>
      </c>
      <c r="D211">
        <v>0</v>
      </c>
    </row>
    <row r="212" spans="1:4" x14ac:dyDescent="0.45">
      <c r="A212" t="s">
        <v>32</v>
      </c>
      <c r="B212">
        <v>2006</v>
      </c>
      <c r="C212" t="s">
        <v>74</v>
      </c>
      <c r="D212">
        <v>0</v>
      </c>
    </row>
    <row r="213" spans="1:4" x14ac:dyDescent="0.45">
      <c r="A213" t="s">
        <v>34</v>
      </c>
      <c r="B213">
        <v>2006</v>
      </c>
      <c r="C213" t="s">
        <v>74</v>
      </c>
      <c r="D213">
        <v>12.12</v>
      </c>
    </row>
    <row r="214" spans="1:4" x14ac:dyDescent="0.45">
      <c r="A214" t="s">
        <v>36</v>
      </c>
      <c r="B214">
        <v>2006</v>
      </c>
      <c r="C214" t="s">
        <v>74</v>
      </c>
      <c r="D214">
        <v>2.79</v>
      </c>
    </row>
    <row r="215" spans="1:4" x14ac:dyDescent="0.45">
      <c r="A215" t="s">
        <v>56</v>
      </c>
      <c r="B215">
        <v>2006</v>
      </c>
      <c r="C215" t="s">
        <v>74</v>
      </c>
      <c r="D215">
        <v>2.25</v>
      </c>
    </row>
    <row r="216" spans="1:4" x14ac:dyDescent="0.45">
      <c r="A216" t="s">
        <v>38</v>
      </c>
      <c r="B216">
        <v>2006</v>
      </c>
      <c r="C216" t="s">
        <v>74</v>
      </c>
    </row>
    <row r="217" spans="1:4" x14ac:dyDescent="0.45">
      <c r="A217" t="s">
        <v>57</v>
      </c>
      <c r="B217">
        <v>2006</v>
      </c>
      <c r="C217" t="s">
        <v>74</v>
      </c>
      <c r="D217">
        <v>0</v>
      </c>
    </row>
    <row r="218" spans="1:4" x14ac:dyDescent="0.45">
      <c r="A218" t="s">
        <v>90</v>
      </c>
      <c r="B218">
        <v>2006</v>
      </c>
      <c r="C218" t="s">
        <v>74</v>
      </c>
      <c r="D218">
        <v>0</v>
      </c>
    </row>
    <row r="219" spans="1:4" x14ac:dyDescent="0.45">
      <c r="A219" t="s">
        <v>32</v>
      </c>
      <c r="B219">
        <v>2007</v>
      </c>
      <c r="C219" t="s">
        <v>74</v>
      </c>
      <c r="D219">
        <v>0</v>
      </c>
    </row>
    <row r="220" spans="1:4" x14ac:dyDescent="0.45">
      <c r="A220" t="s">
        <v>34</v>
      </c>
      <c r="B220">
        <v>2007</v>
      </c>
      <c r="C220" t="s">
        <v>74</v>
      </c>
      <c r="D220">
        <v>12.12</v>
      </c>
    </row>
    <row r="221" spans="1:4" x14ac:dyDescent="0.45">
      <c r="A221" t="s">
        <v>36</v>
      </c>
      <c r="B221">
        <v>2007</v>
      </c>
      <c r="C221" t="s">
        <v>74</v>
      </c>
      <c r="D221">
        <v>3.02</v>
      </c>
    </row>
    <row r="222" spans="1:4" x14ac:dyDescent="0.45">
      <c r="A222" t="s">
        <v>56</v>
      </c>
      <c r="B222">
        <v>2007</v>
      </c>
      <c r="C222" t="s">
        <v>74</v>
      </c>
      <c r="D222">
        <v>2.25</v>
      </c>
    </row>
    <row r="223" spans="1:4" x14ac:dyDescent="0.45">
      <c r="A223" t="s">
        <v>38</v>
      </c>
      <c r="B223">
        <v>2007</v>
      </c>
      <c r="C223" t="s">
        <v>74</v>
      </c>
    </row>
    <row r="224" spans="1:4" x14ac:dyDescent="0.45">
      <c r="A224" t="s">
        <v>57</v>
      </c>
      <c r="B224">
        <v>2007</v>
      </c>
      <c r="C224" t="s">
        <v>74</v>
      </c>
      <c r="D224">
        <v>0</v>
      </c>
    </row>
    <row r="225" spans="1:4" x14ac:dyDescent="0.45">
      <c r="A225" t="s">
        <v>90</v>
      </c>
      <c r="B225">
        <v>2007</v>
      </c>
      <c r="C225" t="s">
        <v>74</v>
      </c>
      <c r="D225">
        <v>0</v>
      </c>
    </row>
    <row r="226" spans="1:4" x14ac:dyDescent="0.45">
      <c r="A226" t="s">
        <v>32</v>
      </c>
      <c r="B226">
        <v>2008</v>
      </c>
      <c r="C226" t="s">
        <v>74</v>
      </c>
      <c r="D226">
        <v>0</v>
      </c>
    </row>
    <row r="227" spans="1:4" x14ac:dyDescent="0.45">
      <c r="A227" t="s">
        <v>34</v>
      </c>
      <c r="B227">
        <v>2008</v>
      </c>
      <c r="C227" t="s">
        <v>74</v>
      </c>
      <c r="D227">
        <v>12.12</v>
      </c>
    </row>
    <row r="228" spans="1:4" x14ac:dyDescent="0.45">
      <c r="A228" t="s">
        <v>36</v>
      </c>
      <c r="B228">
        <v>2008</v>
      </c>
      <c r="C228" t="s">
        <v>74</v>
      </c>
      <c r="D228">
        <v>3.27</v>
      </c>
    </row>
    <row r="229" spans="1:4" x14ac:dyDescent="0.45">
      <c r="A229" t="s">
        <v>56</v>
      </c>
      <c r="B229">
        <v>2008</v>
      </c>
      <c r="C229" t="s">
        <v>74</v>
      </c>
      <c r="D229">
        <v>2.2599999999999998</v>
      </c>
    </row>
    <row r="230" spans="1:4" x14ac:dyDescent="0.45">
      <c r="A230" t="s">
        <v>38</v>
      </c>
      <c r="B230">
        <v>2008</v>
      </c>
      <c r="C230" t="s">
        <v>74</v>
      </c>
    </row>
    <row r="231" spans="1:4" x14ac:dyDescent="0.45">
      <c r="A231" t="s">
        <v>57</v>
      </c>
      <c r="B231">
        <v>2008</v>
      </c>
      <c r="C231" t="s">
        <v>74</v>
      </c>
      <c r="D231">
        <v>0</v>
      </c>
    </row>
    <row r="232" spans="1:4" x14ac:dyDescent="0.45">
      <c r="A232" t="s">
        <v>90</v>
      </c>
      <c r="B232">
        <v>2008</v>
      </c>
      <c r="C232" t="s">
        <v>74</v>
      </c>
      <c r="D232">
        <v>0</v>
      </c>
    </row>
    <row r="233" spans="1:4" x14ac:dyDescent="0.45">
      <c r="A233" t="s">
        <v>32</v>
      </c>
      <c r="B233">
        <v>2009</v>
      </c>
      <c r="C233" t="s">
        <v>74</v>
      </c>
      <c r="D233">
        <v>0</v>
      </c>
    </row>
    <row r="234" spans="1:4" x14ac:dyDescent="0.45">
      <c r="A234" t="s">
        <v>34</v>
      </c>
      <c r="B234">
        <v>2009</v>
      </c>
      <c r="C234" t="s">
        <v>74</v>
      </c>
      <c r="D234">
        <v>12.17</v>
      </c>
    </row>
    <row r="235" spans="1:4" x14ac:dyDescent="0.45">
      <c r="A235" t="s">
        <v>36</v>
      </c>
      <c r="B235">
        <v>2009</v>
      </c>
      <c r="C235" t="s">
        <v>74</v>
      </c>
      <c r="D235">
        <v>3.27</v>
      </c>
    </row>
    <row r="236" spans="1:4" x14ac:dyDescent="0.45">
      <c r="A236" t="s">
        <v>56</v>
      </c>
      <c r="B236">
        <v>2009</v>
      </c>
      <c r="C236" t="s">
        <v>74</v>
      </c>
      <c r="D236">
        <v>2.27</v>
      </c>
    </row>
    <row r="237" spans="1:4" x14ac:dyDescent="0.45">
      <c r="A237" t="s">
        <v>38</v>
      </c>
      <c r="B237">
        <v>2009</v>
      </c>
      <c r="C237" t="s">
        <v>74</v>
      </c>
    </row>
    <row r="238" spans="1:4" x14ac:dyDescent="0.45">
      <c r="A238" t="s">
        <v>57</v>
      </c>
      <c r="B238">
        <v>2009</v>
      </c>
      <c r="C238" t="s">
        <v>74</v>
      </c>
      <c r="D238">
        <v>0</v>
      </c>
    </row>
    <row r="239" spans="1:4" x14ac:dyDescent="0.45">
      <c r="A239" t="s">
        <v>90</v>
      </c>
      <c r="B239">
        <v>2009</v>
      </c>
      <c r="C239" t="s">
        <v>74</v>
      </c>
      <c r="D239">
        <v>0</v>
      </c>
    </row>
    <row r="240" spans="1:4" x14ac:dyDescent="0.45">
      <c r="A240" t="s">
        <v>32</v>
      </c>
      <c r="B240">
        <v>2010</v>
      </c>
      <c r="C240" t="s">
        <v>74</v>
      </c>
      <c r="D240">
        <v>0</v>
      </c>
    </row>
    <row r="241" spans="1:4" x14ac:dyDescent="0.45">
      <c r="A241" t="s">
        <v>34</v>
      </c>
      <c r="B241">
        <v>2010</v>
      </c>
      <c r="C241" t="s">
        <v>74</v>
      </c>
      <c r="D241">
        <v>12.24</v>
      </c>
    </row>
    <row r="242" spans="1:4" x14ac:dyDescent="0.45">
      <c r="A242" t="s">
        <v>36</v>
      </c>
      <c r="B242">
        <v>2010</v>
      </c>
      <c r="C242" t="s">
        <v>74</v>
      </c>
      <c r="D242">
        <v>3.27</v>
      </c>
    </row>
    <row r="243" spans="1:4" x14ac:dyDescent="0.45">
      <c r="A243" t="s">
        <v>56</v>
      </c>
      <c r="B243">
        <v>2010</v>
      </c>
      <c r="C243" t="s">
        <v>74</v>
      </c>
      <c r="D243">
        <v>2.27</v>
      </c>
    </row>
    <row r="244" spans="1:4" x14ac:dyDescent="0.45">
      <c r="A244" t="s">
        <v>38</v>
      </c>
      <c r="B244">
        <v>2010</v>
      </c>
      <c r="C244" t="s">
        <v>74</v>
      </c>
    </row>
    <row r="245" spans="1:4" x14ac:dyDescent="0.45">
      <c r="A245" t="s">
        <v>57</v>
      </c>
      <c r="B245">
        <v>2010</v>
      </c>
      <c r="C245" t="s">
        <v>74</v>
      </c>
      <c r="D245">
        <v>0</v>
      </c>
    </row>
    <row r="246" spans="1:4" x14ac:dyDescent="0.45">
      <c r="A246" t="s">
        <v>90</v>
      </c>
      <c r="B246">
        <v>2010</v>
      </c>
      <c r="C246" t="s">
        <v>74</v>
      </c>
      <c r="D246">
        <v>0</v>
      </c>
    </row>
    <row r="247" spans="1:4" x14ac:dyDescent="0.45">
      <c r="A247" t="s">
        <v>32</v>
      </c>
      <c r="B247">
        <v>2011</v>
      </c>
      <c r="C247" t="s">
        <v>74</v>
      </c>
      <c r="D247">
        <v>0</v>
      </c>
    </row>
    <row r="248" spans="1:4" x14ac:dyDescent="0.45">
      <c r="A248" t="s">
        <v>34</v>
      </c>
      <c r="B248">
        <v>2011</v>
      </c>
      <c r="C248" t="s">
        <v>74</v>
      </c>
      <c r="D248">
        <v>12.24</v>
      </c>
    </row>
    <row r="249" spans="1:4" x14ac:dyDescent="0.45">
      <c r="A249" t="s">
        <v>36</v>
      </c>
      <c r="B249">
        <v>2011</v>
      </c>
      <c r="C249" t="s">
        <v>74</v>
      </c>
      <c r="D249">
        <v>3.27</v>
      </c>
    </row>
    <row r="250" spans="1:4" x14ac:dyDescent="0.45">
      <c r="A250" t="s">
        <v>56</v>
      </c>
      <c r="B250">
        <v>2011</v>
      </c>
      <c r="C250" t="s">
        <v>74</v>
      </c>
      <c r="D250">
        <v>2.27</v>
      </c>
    </row>
    <row r="251" spans="1:4" x14ac:dyDescent="0.45">
      <c r="A251" t="s">
        <v>38</v>
      </c>
      <c r="B251">
        <v>2011</v>
      </c>
      <c r="C251" t="s">
        <v>74</v>
      </c>
    </row>
    <row r="252" spans="1:4" x14ac:dyDescent="0.45">
      <c r="A252" t="s">
        <v>57</v>
      </c>
      <c r="B252">
        <v>2011</v>
      </c>
      <c r="C252" t="s">
        <v>74</v>
      </c>
      <c r="D252">
        <v>0</v>
      </c>
    </row>
    <row r="253" spans="1:4" x14ac:dyDescent="0.45">
      <c r="A253" t="s">
        <v>90</v>
      </c>
      <c r="B253">
        <v>2011</v>
      </c>
      <c r="C253" t="s">
        <v>74</v>
      </c>
      <c r="D253">
        <v>0</v>
      </c>
    </row>
    <row r="254" spans="1:4" x14ac:dyDescent="0.45">
      <c r="A254" t="s">
        <v>32</v>
      </c>
      <c r="B254">
        <v>2012</v>
      </c>
      <c r="C254" t="s">
        <v>74</v>
      </c>
      <c r="D254">
        <v>0</v>
      </c>
    </row>
    <row r="255" spans="1:4" x14ac:dyDescent="0.45">
      <c r="A255" t="s">
        <v>34</v>
      </c>
      <c r="B255">
        <v>2012</v>
      </c>
      <c r="C255" t="s">
        <v>74</v>
      </c>
      <c r="D255">
        <v>12.41</v>
      </c>
    </row>
    <row r="256" spans="1:4" x14ac:dyDescent="0.45">
      <c r="A256" t="s">
        <v>36</v>
      </c>
      <c r="B256">
        <v>2012</v>
      </c>
      <c r="C256" t="s">
        <v>74</v>
      </c>
      <c r="D256">
        <v>3.27</v>
      </c>
    </row>
    <row r="257" spans="1:4" x14ac:dyDescent="0.45">
      <c r="A257" t="s">
        <v>56</v>
      </c>
      <c r="B257">
        <v>2012</v>
      </c>
      <c r="C257" t="s">
        <v>74</v>
      </c>
      <c r="D257">
        <v>2.57</v>
      </c>
    </row>
    <row r="258" spans="1:4" x14ac:dyDescent="0.45">
      <c r="A258" t="s">
        <v>38</v>
      </c>
      <c r="B258">
        <v>2012</v>
      </c>
      <c r="C258" t="s">
        <v>74</v>
      </c>
    </row>
    <row r="259" spans="1:4" x14ac:dyDescent="0.45">
      <c r="A259" t="s">
        <v>57</v>
      </c>
      <c r="B259">
        <v>2012</v>
      </c>
      <c r="C259" t="s">
        <v>74</v>
      </c>
      <c r="D259">
        <v>0</v>
      </c>
    </row>
    <row r="260" spans="1:4" x14ac:dyDescent="0.45">
      <c r="A260" t="s">
        <v>90</v>
      </c>
      <c r="B260">
        <v>2012</v>
      </c>
      <c r="C260" t="s">
        <v>74</v>
      </c>
      <c r="D260">
        <v>0</v>
      </c>
    </row>
    <row r="261" spans="1:4" x14ac:dyDescent="0.45">
      <c r="A261" t="s">
        <v>32</v>
      </c>
      <c r="B261">
        <v>2013</v>
      </c>
      <c r="C261" t="s">
        <v>74</v>
      </c>
      <c r="D261">
        <v>0</v>
      </c>
    </row>
    <row r="262" spans="1:4" x14ac:dyDescent="0.45">
      <c r="A262" t="s">
        <v>34</v>
      </c>
      <c r="B262">
        <v>2013</v>
      </c>
      <c r="C262" t="s">
        <v>74</v>
      </c>
      <c r="D262">
        <v>12.57</v>
      </c>
    </row>
    <row r="263" spans="1:4" x14ac:dyDescent="0.45">
      <c r="A263" t="s">
        <v>36</v>
      </c>
      <c r="B263">
        <v>2013</v>
      </c>
      <c r="C263" t="s">
        <v>74</v>
      </c>
      <c r="D263">
        <v>3.27</v>
      </c>
    </row>
    <row r="264" spans="1:4" x14ac:dyDescent="0.45">
      <c r="A264" t="s">
        <v>56</v>
      </c>
      <c r="B264">
        <v>2013</v>
      </c>
      <c r="C264" t="s">
        <v>74</v>
      </c>
      <c r="D264">
        <v>2.59</v>
      </c>
    </row>
    <row r="265" spans="1:4" x14ac:dyDescent="0.45">
      <c r="A265" t="s">
        <v>38</v>
      </c>
      <c r="B265">
        <v>2013</v>
      </c>
      <c r="C265" t="s">
        <v>74</v>
      </c>
    </row>
    <row r="266" spans="1:4" x14ac:dyDescent="0.45">
      <c r="A266" t="s">
        <v>57</v>
      </c>
      <c r="B266">
        <v>2013</v>
      </c>
      <c r="C266" t="s">
        <v>74</v>
      </c>
      <c r="D266">
        <v>0</v>
      </c>
    </row>
    <row r="267" spans="1:4" x14ac:dyDescent="0.45">
      <c r="A267" t="s">
        <v>90</v>
      </c>
      <c r="B267">
        <v>2013</v>
      </c>
      <c r="C267" t="s">
        <v>74</v>
      </c>
      <c r="D267">
        <v>0</v>
      </c>
    </row>
    <row r="268" spans="1:4" x14ac:dyDescent="0.45">
      <c r="A268" t="s">
        <v>32</v>
      </c>
      <c r="B268">
        <v>2014</v>
      </c>
      <c r="C268" t="s">
        <v>74</v>
      </c>
      <c r="D268">
        <v>0</v>
      </c>
    </row>
    <row r="269" spans="1:4" x14ac:dyDescent="0.45">
      <c r="A269" t="s">
        <v>34</v>
      </c>
      <c r="B269">
        <v>2014</v>
      </c>
      <c r="C269" t="s">
        <v>74</v>
      </c>
      <c r="D269">
        <v>12.76</v>
      </c>
    </row>
    <row r="270" spans="1:4" x14ac:dyDescent="0.45">
      <c r="A270" t="s">
        <v>36</v>
      </c>
      <c r="B270">
        <v>2014</v>
      </c>
      <c r="C270" t="s">
        <v>74</v>
      </c>
      <c r="D270">
        <v>3.27</v>
      </c>
    </row>
    <row r="271" spans="1:4" x14ac:dyDescent="0.45">
      <c r="A271" t="s">
        <v>56</v>
      </c>
      <c r="B271">
        <v>2014</v>
      </c>
      <c r="C271" t="s">
        <v>74</v>
      </c>
      <c r="D271">
        <v>2.68</v>
      </c>
    </row>
    <row r="272" spans="1:4" x14ac:dyDescent="0.45">
      <c r="A272" t="s">
        <v>38</v>
      </c>
      <c r="B272">
        <v>2014</v>
      </c>
      <c r="C272" t="s">
        <v>74</v>
      </c>
    </row>
    <row r="273" spans="1:4" x14ac:dyDescent="0.45">
      <c r="A273" t="s">
        <v>57</v>
      </c>
      <c r="B273">
        <v>2014</v>
      </c>
      <c r="C273" t="s">
        <v>74</v>
      </c>
      <c r="D273">
        <v>0.01</v>
      </c>
    </row>
    <row r="274" spans="1:4" x14ac:dyDescent="0.45">
      <c r="A274" t="s">
        <v>90</v>
      </c>
      <c r="B274">
        <v>2014</v>
      </c>
      <c r="C274" t="s">
        <v>74</v>
      </c>
      <c r="D274">
        <v>0.05</v>
      </c>
    </row>
    <row r="275" spans="1:4" x14ac:dyDescent="0.45">
      <c r="A275" t="s">
        <v>32</v>
      </c>
      <c r="B275">
        <v>2015</v>
      </c>
      <c r="C275" t="s">
        <v>74</v>
      </c>
      <c r="D275">
        <v>0</v>
      </c>
    </row>
    <row r="276" spans="1:4" x14ac:dyDescent="0.45">
      <c r="A276" t="s">
        <v>34</v>
      </c>
      <c r="B276">
        <v>2015</v>
      </c>
      <c r="C276" t="s">
        <v>74</v>
      </c>
      <c r="D276">
        <v>13.3</v>
      </c>
    </row>
    <row r="277" spans="1:4" x14ac:dyDescent="0.45">
      <c r="A277" t="s">
        <v>36</v>
      </c>
      <c r="B277">
        <v>2015</v>
      </c>
      <c r="C277" t="s">
        <v>74</v>
      </c>
      <c r="D277">
        <v>3.37</v>
      </c>
    </row>
    <row r="278" spans="1:4" x14ac:dyDescent="0.45">
      <c r="A278" t="s">
        <v>56</v>
      </c>
      <c r="B278">
        <v>2015</v>
      </c>
      <c r="C278" t="s">
        <v>74</v>
      </c>
      <c r="D278">
        <v>2.68</v>
      </c>
    </row>
    <row r="279" spans="1:4" x14ac:dyDescent="0.45">
      <c r="A279" t="s">
        <v>38</v>
      </c>
      <c r="B279">
        <v>2015</v>
      </c>
      <c r="C279" t="s">
        <v>74</v>
      </c>
    </row>
    <row r="280" spans="1:4" x14ac:dyDescent="0.45">
      <c r="A280" t="s">
        <v>57</v>
      </c>
      <c r="B280">
        <v>2015</v>
      </c>
      <c r="C280" t="s">
        <v>74</v>
      </c>
      <c r="D280">
        <v>0.06</v>
      </c>
    </row>
    <row r="281" spans="1:4" x14ac:dyDescent="0.45">
      <c r="A281" t="s">
        <v>90</v>
      </c>
      <c r="B281">
        <v>2015</v>
      </c>
      <c r="C281" t="s">
        <v>74</v>
      </c>
      <c r="D281">
        <v>7.0000000000000007E-2</v>
      </c>
    </row>
    <row r="282" spans="1:4" x14ac:dyDescent="0.45">
      <c r="A282" t="s">
        <v>32</v>
      </c>
      <c r="B282">
        <v>2016</v>
      </c>
      <c r="C282" t="s">
        <v>74</v>
      </c>
      <c r="D282">
        <v>0</v>
      </c>
    </row>
    <row r="283" spans="1:4" x14ac:dyDescent="0.45">
      <c r="A283" t="s">
        <v>34</v>
      </c>
      <c r="B283">
        <v>2016</v>
      </c>
      <c r="C283" t="s">
        <v>74</v>
      </c>
      <c r="D283">
        <v>13.5</v>
      </c>
    </row>
    <row r="284" spans="1:4" x14ac:dyDescent="0.45">
      <c r="A284" t="s">
        <v>36</v>
      </c>
      <c r="B284">
        <v>2016</v>
      </c>
      <c r="C284" t="s">
        <v>74</v>
      </c>
      <c r="D284">
        <v>3.53</v>
      </c>
    </row>
    <row r="285" spans="1:4" x14ac:dyDescent="0.45">
      <c r="A285" t="s">
        <v>56</v>
      </c>
      <c r="B285">
        <v>2016</v>
      </c>
      <c r="C285" t="s">
        <v>74</v>
      </c>
      <c r="D285">
        <v>2.7</v>
      </c>
    </row>
    <row r="286" spans="1:4" x14ac:dyDescent="0.45">
      <c r="A286" t="s">
        <v>38</v>
      </c>
      <c r="B286">
        <v>2016</v>
      </c>
      <c r="C286" t="s">
        <v>74</v>
      </c>
    </row>
    <row r="287" spans="1:4" x14ac:dyDescent="0.45">
      <c r="A287" t="s">
        <v>57</v>
      </c>
      <c r="B287">
        <v>2016</v>
      </c>
      <c r="C287" t="s">
        <v>74</v>
      </c>
      <c r="D287">
        <v>0.06</v>
      </c>
    </row>
    <row r="288" spans="1:4" x14ac:dyDescent="0.45">
      <c r="A288" t="s">
        <v>90</v>
      </c>
      <c r="B288">
        <v>2016</v>
      </c>
      <c r="C288" t="s">
        <v>74</v>
      </c>
      <c r="D288">
        <v>0.1</v>
      </c>
    </row>
    <row r="289" spans="1:4" x14ac:dyDescent="0.45">
      <c r="A289" t="s">
        <v>32</v>
      </c>
      <c r="B289">
        <v>2017</v>
      </c>
      <c r="C289" t="s">
        <v>74</v>
      </c>
      <c r="D289">
        <v>0</v>
      </c>
    </row>
    <row r="290" spans="1:4" x14ac:dyDescent="0.45">
      <c r="A290" t="s">
        <v>34</v>
      </c>
      <c r="B290">
        <v>2017</v>
      </c>
      <c r="C290" t="s">
        <v>74</v>
      </c>
      <c r="D290">
        <v>13.35</v>
      </c>
    </row>
    <row r="291" spans="1:4" x14ac:dyDescent="0.45">
      <c r="A291" t="s">
        <v>36</v>
      </c>
      <c r="B291">
        <v>2017</v>
      </c>
      <c r="C291" t="s">
        <v>74</v>
      </c>
      <c r="D291">
        <v>3.71</v>
      </c>
    </row>
    <row r="292" spans="1:4" x14ac:dyDescent="0.45">
      <c r="A292" t="s">
        <v>56</v>
      </c>
      <c r="B292">
        <v>2017</v>
      </c>
      <c r="C292" t="s">
        <v>74</v>
      </c>
      <c r="D292">
        <v>2.73</v>
      </c>
    </row>
    <row r="293" spans="1:4" x14ac:dyDescent="0.45">
      <c r="A293" t="s">
        <v>38</v>
      </c>
      <c r="B293">
        <v>2017</v>
      </c>
      <c r="C293" t="s">
        <v>74</v>
      </c>
    </row>
    <row r="294" spans="1:4" x14ac:dyDescent="0.45">
      <c r="A294" t="s">
        <v>57</v>
      </c>
      <c r="B294">
        <v>2017</v>
      </c>
      <c r="C294" t="s">
        <v>74</v>
      </c>
      <c r="D294">
        <v>0.06</v>
      </c>
    </row>
    <row r="295" spans="1:4" x14ac:dyDescent="0.45">
      <c r="A295" t="s">
        <v>90</v>
      </c>
      <c r="B295">
        <v>2017</v>
      </c>
      <c r="C295" t="s">
        <v>74</v>
      </c>
      <c r="D295">
        <v>0.11</v>
      </c>
    </row>
    <row r="296" spans="1:4" x14ac:dyDescent="0.45">
      <c r="A296" t="s">
        <v>32</v>
      </c>
      <c r="B296">
        <v>2018</v>
      </c>
      <c r="C296" t="s">
        <v>74</v>
      </c>
      <c r="D296">
        <v>0</v>
      </c>
    </row>
    <row r="297" spans="1:4" x14ac:dyDescent="0.45">
      <c r="A297" t="s">
        <v>34</v>
      </c>
      <c r="B297">
        <v>2018</v>
      </c>
      <c r="C297" t="s">
        <v>74</v>
      </c>
      <c r="D297">
        <v>13.34</v>
      </c>
    </row>
    <row r="298" spans="1:4" x14ac:dyDescent="0.45">
      <c r="A298" t="s">
        <v>36</v>
      </c>
      <c r="B298">
        <v>2018</v>
      </c>
      <c r="C298" t="s">
        <v>74</v>
      </c>
      <c r="D298">
        <v>3.71</v>
      </c>
    </row>
    <row r="299" spans="1:4" x14ac:dyDescent="0.45">
      <c r="A299" t="s">
        <v>56</v>
      </c>
      <c r="B299">
        <v>2018</v>
      </c>
      <c r="C299" t="s">
        <v>74</v>
      </c>
      <c r="D299">
        <v>2.76</v>
      </c>
    </row>
    <row r="300" spans="1:4" x14ac:dyDescent="0.45">
      <c r="A300" t="s">
        <v>38</v>
      </c>
      <c r="B300">
        <v>2018</v>
      </c>
      <c r="C300" t="s">
        <v>74</v>
      </c>
    </row>
    <row r="301" spans="1:4" x14ac:dyDescent="0.45">
      <c r="A301" t="s">
        <v>57</v>
      </c>
      <c r="B301">
        <v>2018</v>
      </c>
      <c r="C301" t="s">
        <v>74</v>
      </c>
      <c r="D301">
        <v>0.21</v>
      </c>
    </row>
    <row r="302" spans="1:4" x14ac:dyDescent="0.45">
      <c r="A302" t="s">
        <v>90</v>
      </c>
      <c r="B302">
        <v>2018</v>
      </c>
      <c r="C302" t="s">
        <v>74</v>
      </c>
      <c r="D302">
        <v>0.12</v>
      </c>
    </row>
    <row r="303" spans="1:4" x14ac:dyDescent="0.45">
      <c r="A303" t="s">
        <v>32</v>
      </c>
      <c r="B303">
        <v>2019</v>
      </c>
      <c r="C303" t="s">
        <v>74</v>
      </c>
      <c r="D303">
        <v>0</v>
      </c>
    </row>
    <row r="304" spans="1:4" x14ac:dyDescent="0.45">
      <c r="A304" t="s">
        <v>34</v>
      </c>
      <c r="B304">
        <v>2019</v>
      </c>
      <c r="C304" t="s">
        <v>74</v>
      </c>
      <c r="D304">
        <v>13.47</v>
      </c>
    </row>
    <row r="305" spans="1:4" x14ac:dyDescent="0.45">
      <c r="A305" t="s">
        <v>36</v>
      </c>
      <c r="B305">
        <v>2019</v>
      </c>
      <c r="C305" t="s">
        <v>74</v>
      </c>
      <c r="D305">
        <v>4.0199999999999996</v>
      </c>
    </row>
    <row r="306" spans="1:4" x14ac:dyDescent="0.45">
      <c r="A306" t="s">
        <v>56</v>
      </c>
      <c r="B306">
        <v>2019</v>
      </c>
      <c r="C306" t="s">
        <v>74</v>
      </c>
      <c r="D306">
        <v>2.78</v>
      </c>
    </row>
    <row r="307" spans="1:4" x14ac:dyDescent="0.45">
      <c r="A307" t="s">
        <v>38</v>
      </c>
      <c r="B307">
        <v>2019</v>
      </c>
      <c r="C307" t="s">
        <v>74</v>
      </c>
    </row>
    <row r="308" spans="1:4" x14ac:dyDescent="0.45">
      <c r="A308" t="s">
        <v>57</v>
      </c>
      <c r="B308">
        <v>2019</v>
      </c>
      <c r="C308" t="s">
        <v>74</v>
      </c>
      <c r="D308">
        <v>0.54</v>
      </c>
    </row>
    <row r="309" spans="1:4" x14ac:dyDescent="0.45">
      <c r="A309" t="s">
        <v>90</v>
      </c>
      <c r="B309">
        <v>2019</v>
      </c>
      <c r="C309" t="s">
        <v>74</v>
      </c>
      <c r="D309">
        <v>0.28000000000000003</v>
      </c>
    </row>
    <row r="310" spans="1:4" x14ac:dyDescent="0.45">
      <c r="A310" t="s">
        <v>32</v>
      </c>
      <c r="B310">
        <v>2020</v>
      </c>
      <c r="C310" t="s">
        <v>74</v>
      </c>
      <c r="D310">
        <v>0.01</v>
      </c>
    </row>
    <row r="311" spans="1:4" x14ac:dyDescent="0.45">
      <c r="A311" t="s">
        <v>34</v>
      </c>
      <c r="B311">
        <v>2020</v>
      </c>
      <c r="C311" t="s">
        <v>74</v>
      </c>
      <c r="D311">
        <v>13.47</v>
      </c>
    </row>
    <row r="312" spans="1:4" x14ac:dyDescent="0.45">
      <c r="A312" t="s">
        <v>36</v>
      </c>
      <c r="B312">
        <v>2020</v>
      </c>
      <c r="C312" t="s">
        <v>74</v>
      </c>
      <c r="D312">
        <v>4.0199999999999996</v>
      </c>
    </row>
    <row r="313" spans="1:4" x14ac:dyDescent="0.45">
      <c r="A313" t="s">
        <v>56</v>
      </c>
      <c r="B313">
        <v>2020</v>
      </c>
      <c r="C313" t="s">
        <v>74</v>
      </c>
      <c r="D313">
        <v>2.78</v>
      </c>
    </row>
    <row r="314" spans="1:4" x14ac:dyDescent="0.45">
      <c r="A314" t="s">
        <v>38</v>
      </c>
      <c r="B314">
        <v>2020</v>
      </c>
      <c r="C314" t="s">
        <v>74</v>
      </c>
    </row>
    <row r="315" spans="1:4" x14ac:dyDescent="0.45">
      <c r="A315" t="s">
        <v>57</v>
      </c>
      <c r="B315">
        <v>2020</v>
      </c>
      <c r="C315" t="s">
        <v>74</v>
      </c>
      <c r="D315">
        <v>0.91</v>
      </c>
    </row>
    <row r="316" spans="1:4" x14ac:dyDescent="0.45">
      <c r="A316" t="s">
        <v>90</v>
      </c>
      <c r="B316">
        <v>2020</v>
      </c>
      <c r="C316" t="s">
        <v>74</v>
      </c>
      <c r="D316">
        <v>0.49</v>
      </c>
    </row>
    <row r="317" spans="1:4" x14ac:dyDescent="0.45">
      <c r="A317" t="s">
        <v>32</v>
      </c>
      <c r="B317">
        <v>2021</v>
      </c>
      <c r="C317" t="s">
        <v>74</v>
      </c>
      <c r="D317">
        <v>0.01</v>
      </c>
    </row>
    <row r="318" spans="1:4" x14ac:dyDescent="0.45">
      <c r="A318" t="s">
        <v>34</v>
      </c>
      <c r="B318">
        <v>2021</v>
      </c>
      <c r="C318" t="s">
        <v>74</v>
      </c>
      <c r="D318">
        <v>13.59</v>
      </c>
    </row>
    <row r="319" spans="1:4" x14ac:dyDescent="0.45">
      <c r="A319" t="s">
        <v>36</v>
      </c>
      <c r="B319">
        <v>2021</v>
      </c>
      <c r="C319" t="s">
        <v>74</v>
      </c>
      <c r="D319">
        <v>4.0199999999999996</v>
      </c>
    </row>
    <row r="320" spans="1:4" x14ac:dyDescent="0.45">
      <c r="A320" t="s">
        <v>56</v>
      </c>
      <c r="B320">
        <v>2021</v>
      </c>
      <c r="C320" t="s">
        <v>74</v>
      </c>
      <c r="D320">
        <v>2.81</v>
      </c>
    </row>
    <row r="321" spans="1:4" x14ac:dyDescent="0.45">
      <c r="A321" t="s">
        <v>38</v>
      </c>
      <c r="B321">
        <v>2021</v>
      </c>
      <c r="C321" t="s">
        <v>74</v>
      </c>
    </row>
    <row r="322" spans="1:4" x14ac:dyDescent="0.45">
      <c r="A322" t="s">
        <v>57</v>
      </c>
      <c r="B322">
        <v>2021</v>
      </c>
      <c r="C322" t="s">
        <v>74</v>
      </c>
      <c r="D322">
        <v>1.04</v>
      </c>
    </row>
    <row r="323" spans="1:4" x14ac:dyDescent="0.45">
      <c r="A323" t="s">
        <v>90</v>
      </c>
      <c r="B323">
        <v>2021</v>
      </c>
      <c r="C323" t="s">
        <v>74</v>
      </c>
      <c r="D323">
        <v>0.68</v>
      </c>
    </row>
    <row r="324" spans="1:4" x14ac:dyDescent="0.45">
      <c r="A324" t="s">
        <v>32</v>
      </c>
      <c r="B324">
        <v>2022</v>
      </c>
      <c r="C324" t="s">
        <v>74</v>
      </c>
      <c r="D324">
        <v>0.01</v>
      </c>
    </row>
    <row r="325" spans="1:4" x14ac:dyDescent="0.45">
      <c r="A325" t="s">
        <v>34</v>
      </c>
      <c r="B325">
        <v>2022</v>
      </c>
      <c r="C325" t="s">
        <v>74</v>
      </c>
      <c r="D325">
        <v>13.59</v>
      </c>
    </row>
    <row r="326" spans="1:4" x14ac:dyDescent="0.45">
      <c r="A326" t="s">
        <v>36</v>
      </c>
      <c r="B326">
        <v>2022</v>
      </c>
      <c r="C326" t="s">
        <v>74</v>
      </c>
      <c r="D326">
        <v>4.0199999999999996</v>
      </c>
    </row>
    <row r="327" spans="1:4" x14ac:dyDescent="0.45">
      <c r="A327" t="s">
        <v>56</v>
      </c>
      <c r="B327">
        <v>2022</v>
      </c>
      <c r="C327" t="s">
        <v>74</v>
      </c>
      <c r="D327">
        <v>2.81</v>
      </c>
    </row>
    <row r="328" spans="1:4" x14ac:dyDescent="0.45">
      <c r="A328" t="s">
        <v>38</v>
      </c>
      <c r="B328">
        <v>2022</v>
      </c>
      <c r="C328" t="s">
        <v>74</v>
      </c>
    </row>
    <row r="329" spans="1:4" x14ac:dyDescent="0.45">
      <c r="A329" t="s">
        <v>57</v>
      </c>
      <c r="B329">
        <v>2022</v>
      </c>
      <c r="C329" t="s">
        <v>74</v>
      </c>
      <c r="D329">
        <v>1.1499999999999999</v>
      </c>
    </row>
    <row r="330" spans="1:4" x14ac:dyDescent="0.45">
      <c r="A330" t="s">
        <v>90</v>
      </c>
      <c r="B330">
        <v>2022</v>
      </c>
      <c r="C330" t="s">
        <v>74</v>
      </c>
      <c r="D330">
        <v>1.1100000000000001</v>
      </c>
    </row>
    <row r="331" spans="1:4" x14ac:dyDescent="0.45">
      <c r="A331" t="s">
        <v>32</v>
      </c>
      <c r="B331">
        <v>2023</v>
      </c>
      <c r="C331" t="s">
        <v>74</v>
      </c>
      <c r="D331">
        <v>0.01</v>
      </c>
    </row>
    <row r="332" spans="1:4" x14ac:dyDescent="0.45">
      <c r="A332" t="s">
        <v>34</v>
      </c>
      <c r="B332">
        <v>2023</v>
      </c>
      <c r="C332" t="s">
        <v>74</v>
      </c>
      <c r="D332">
        <v>13.59</v>
      </c>
    </row>
    <row r="333" spans="1:4" x14ac:dyDescent="0.45">
      <c r="A333" t="s">
        <v>36</v>
      </c>
      <c r="B333">
        <v>2023</v>
      </c>
      <c r="C333" t="s">
        <v>74</v>
      </c>
      <c r="D333">
        <v>4.07</v>
      </c>
    </row>
    <row r="334" spans="1:4" x14ac:dyDescent="0.45">
      <c r="A334" t="s">
        <v>56</v>
      </c>
      <c r="B334">
        <v>2023</v>
      </c>
      <c r="C334" t="s">
        <v>74</v>
      </c>
      <c r="D334">
        <v>2.9</v>
      </c>
    </row>
    <row r="335" spans="1:4" x14ac:dyDescent="0.45">
      <c r="A335" t="s">
        <v>38</v>
      </c>
      <c r="B335">
        <v>2023</v>
      </c>
      <c r="C335" t="s">
        <v>74</v>
      </c>
    </row>
    <row r="336" spans="1:4" x14ac:dyDescent="0.45">
      <c r="A336" t="s">
        <v>57</v>
      </c>
      <c r="B336">
        <v>2023</v>
      </c>
      <c r="C336" t="s">
        <v>74</v>
      </c>
      <c r="D336">
        <v>1.31</v>
      </c>
    </row>
    <row r="337" spans="1:4" x14ac:dyDescent="0.45">
      <c r="A337" t="s">
        <v>90</v>
      </c>
      <c r="B337">
        <v>2023</v>
      </c>
      <c r="C337" t="s">
        <v>74</v>
      </c>
      <c r="D337">
        <v>1.44</v>
      </c>
    </row>
    <row r="338" spans="1:4" x14ac:dyDescent="0.45">
      <c r="A338" t="s">
        <v>32</v>
      </c>
      <c r="B338">
        <v>2000</v>
      </c>
      <c r="C338" t="s">
        <v>75</v>
      </c>
      <c r="D338">
        <v>0</v>
      </c>
    </row>
    <row r="339" spans="1:4" x14ac:dyDescent="0.45">
      <c r="A339" t="s">
        <v>34</v>
      </c>
      <c r="B339">
        <v>2000</v>
      </c>
      <c r="C339" t="s">
        <v>75</v>
      </c>
      <c r="D339">
        <v>32.909999999999997</v>
      </c>
    </row>
    <row r="340" spans="1:4" x14ac:dyDescent="0.45">
      <c r="A340" t="s">
        <v>36</v>
      </c>
      <c r="B340">
        <v>2000</v>
      </c>
      <c r="C340" t="s">
        <v>75</v>
      </c>
      <c r="D340">
        <v>5.48</v>
      </c>
    </row>
    <row r="341" spans="1:4" x14ac:dyDescent="0.45">
      <c r="A341" t="s">
        <v>56</v>
      </c>
      <c r="B341">
        <v>2000</v>
      </c>
      <c r="C341" t="s">
        <v>75</v>
      </c>
      <c r="D341">
        <v>0.18</v>
      </c>
    </row>
    <row r="342" spans="1:4" x14ac:dyDescent="0.45">
      <c r="A342" t="s">
        <v>38</v>
      </c>
      <c r="B342">
        <v>2000</v>
      </c>
      <c r="C342" t="s">
        <v>75</v>
      </c>
      <c r="D342">
        <v>1.77</v>
      </c>
    </row>
    <row r="343" spans="1:4" x14ac:dyDescent="0.45">
      <c r="A343" t="s">
        <v>57</v>
      </c>
      <c r="B343">
        <v>2000</v>
      </c>
      <c r="C343" t="s">
        <v>75</v>
      </c>
      <c r="D343">
        <v>0</v>
      </c>
    </row>
    <row r="344" spans="1:4" x14ac:dyDescent="0.45">
      <c r="A344" t="s">
        <v>90</v>
      </c>
      <c r="B344">
        <v>2000</v>
      </c>
      <c r="C344" t="s">
        <v>75</v>
      </c>
      <c r="D344">
        <v>0</v>
      </c>
    </row>
    <row r="345" spans="1:4" x14ac:dyDescent="0.45">
      <c r="A345" t="s">
        <v>32</v>
      </c>
      <c r="B345">
        <v>2001</v>
      </c>
      <c r="C345" t="s">
        <v>75</v>
      </c>
      <c r="D345">
        <v>0</v>
      </c>
    </row>
    <row r="346" spans="1:4" x14ac:dyDescent="0.45">
      <c r="A346" t="s">
        <v>34</v>
      </c>
      <c r="B346">
        <v>2001</v>
      </c>
      <c r="C346" t="s">
        <v>75</v>
      </c>
      <c r="D346">
        <v>35.82</v>
      </c>
    </row>
    <row r="347" spans="1:4" x14ac:dyDescent="0.45">
      <c r="A347" t="s">
        <v>36</v>
      </c>
      <c r="B347">
        <v>2001</v>
      </c>
      <c r="C347" t="s">
        <v>75</v>
      </c>
      <c r="D347">
        <v>5.85</v>
      </c>
    </row>
    <row r="348" spans="1:4" x14ac:dyDescent="0.45">
      <c r="A348" t="s">
        <v>56</v>
      </c>
      <c r="B348">
        <v>2001</v>
      </c>
      <c r="C348" t="s">
        <v>75</v>
      </c>
      <c r="D348">
        <v>0.19</v>
      </c>
    </row>
    <row r="349" spans="1:4" x14ac:dyDescent="0.45">
      <c r="A349" t="s">
        <v>38</v>
      </c>
      <c r="B349">
        <v>2001</v>
      </c>
      <c r="C349" t="s">
        <v>75</v>
      </c>
      <c r="D349">
        <v>1.53</v>
      </c>
    </row>
    <row r="350" spans="1:4" x14ac:dyDescent="0.45">
      <c r="A350" t="s">
        <v>57</v>
      </c>
      <c r="B350">
        <v>2001</v>
      </c>
      <c r="C350" t="s">
        <v>75</v>
      </c>
      <c r="D350">
        <v>0</v>
      </c>
    </row>
    <row r="351" spans="1:4" x14ac:dyDescent="0.45">
      <c r="A351" t="s">
        <v>90</v>
      </c>
      <c r="B351">
        <v>2001</v>
      </c>
      <c r="C351" t="s">
        <v>75</v>
      </c>
      <c r="D351">
        <v>0</v>
      </c>
    </row>
    <row r="352" spans="1:4" x14ac:dyDescent="0.45">
      <c r="A352" t="s">
        <v>32</v>
      </c>
      <c r="B352">
        <v>2002</v>
      </c>
      <c r="C352" t="s">
        <v>75</v>
      </c>
      <c r="D352">
        <v>0</v>
      </c>
    </row>
    <row r="353" spans="1:4" x14ac:dyDescent="0.45">
      <c r="A353" t="s">
        <v>34</v>
      </c>
      <c r="B353">
        <v>2002</v>
      </c>
      <c r="C353" t="s">
        <v>75</v>
      </c>
      <c r="D353">
        <v>36.799999999999997</v>
      </c>
    </row>
    <row r="354" spans="1:4" x14ac:dyDescent="0.45">
      <c r="A354" t="s">
        <v>36</v>
      </c>
      <c r="B354">
        <v>2002</v>
      </c>
      <c r="C354" t="s">
        <v>75</v>
      </c>
      <c r="D354">
        <v>6.19</v>
      </c>
    </row>
    <row r="355" spans="1:4" x14ac:dyDescent="0.45">
      <c r="A355" t="s">
        <v>56</v>
      </c>
      <c r="B355">
        <v>2002</v>
      </c>
      <c r="C355" t="s">
        <v>75</v>
      </c>
      <c r="D355">
        <v>0.21</v>
      </c>
    </row>
    <row r="356" spans="1:4" x14ac:dyDescent="0.45">
      <c r="A356" t="s">
        <v>38</v>
      </c>
      <c r="B356">
        <v>2002</v>
      </c>
      <c r="C356" t="s">
        <v>75</v>
      </c>
      <c r="D356">
        <v>2.02</v>
      </c>
    </row>
    <row r="357" spans="1:4" x14ac:dyDescent="0.45">
      <c r="A357" t="s">
        <v>57</v>
      </c>
      <c r="B357">
        <v>2002</v>
      </c>
      <c r="C357" t="s">
        <v>75</v>
      </c>
      <c r="D357">
        <v>0</v>
      </c>
    </row>
    <row r="358" spans="1:4" x14ac:dyDescent="0.45">
      <c r="A358" t="s">
        <v>90</v>
      </c>
      <c r="B358">
        <v>2002</v>
      </c>
      <c r="C358" t="s">
        <v>75</v>
      </c>
      <c r="D358">
        <v>0</v>
      </c>
    </row>
    <row r="359" spans="1:4" x14ac:dyDescent="0.45">
      <c r="A359" t="s">
        <v>32</v>
      </c>
      <c r="B359">
        <v>2003</v>
      </c>
      <c r="C359" t="s">
        <v>75</v>
      </c>
      <c r="D359">
        <v>0</v>
      </c>
    </row>
    <row r="360" spans="1:4" x14ac:dyDescent="0.45">
      <c r="A360" t="s">
        <v>34</v>
      </c>
      <c r="B360">
        <v>2003</v>
      </c>
      <c r="C360" t="s">
        <v>75</v>
      </c>
      <c r="D360">
        <v>42.02</v>
      </c>
    </row>
    <row r="361" spans="1:4" x14ac:dyDescent="0.45">
      <c r="A361" t="s">
        <v>36</v>
      </c>
      <c r="B361">
        <v>2003</v>
      </c>
      <c r="C361" t="s">
        <v>75</v>
      </c>
      <c r="D361">
        <v>6.77</v>
      </c>
    </row>
    <row r="362" spans="1:4" x14ac:dyDescent="0.45">
      <c r="A362" t="s">
        <v>56</v>
      </c>
      <c r="B362">
        <v>2003</v>
      </c>
      <c r="C362" t="s">
        <v>75</v>
      </c>
      <c r="D362">
        <v>0.2</v>
      </c>
    </row>
    <row r="363" spans="1:4" x14ac:dyDescent="0.45">
      <c r="A363" t="s">
        <v>38</v>
      </c>
      <c r="B363">
        <v>2003</v>
      </c>
      <c r="C363" t="s">
        <v>75</v>
      </c>
      <c r="D363">
        <v>1.7</v>
      </c>
    </row>
    <row r="364" spans="1:4" x14ac:dyDescent="0.45">
      <c r="A364" t="s">
        <v>57</v>
      </c>
      <c r="B364">
        <v>2003</v>
      </c>
      <c r="C364" t="s">
        <v>75</v>
      </c>
      <c r="D364">
        <v>0</v>
      </c>
    </row>
    <row r="365" spans="1:4" x14ac:dyDescent="0.45">
      <c r="A365" t="s">
        <v>90</v>
      </c>
      <c r="B365">
        <v>2003</v>
      </c>
      <c r="C365" t="s">
        <v>75</v>
      </c>
      <c r="D365">
        <v>0</v>
      </c>
    </row>
    <row r="366" spans="1:4" x14ac:dyDescent="0.45">
      <c r="A366" t="s">
        <v>32</v>
      </c>
      <c r="B366">
        <v>2004</v>
      </c>
      <c r="C366" t="s">
        <v>75</v>
      </c>
      <c r="D366">
        <v>0</v>
      </c>
    </row>
    <row r="367" spans="1:4" x14ac:dyDescent="0.45">
      <c r="A367" t="s">
        <v>34</v>
      </c>
      <c r="B367">
        <v>2004</v>
      </c>
      <c r="C367" t="s">
        <v>75</v>
      </c>
      <c r="D367">
        <v>46.35</v>
      </c>
    </row>
    <row r="368" spans="1:4" x14ac:dyDescent="0.45">
      <c r="A368" t="s">
        <v>36</v>
      </c>
      <c r="B368">
        <v>2004</v>
      </c>
      <c r="C368" t="s">
        <v>75</v>
      </c>
      <c r="D368">
        <v>7.1</v>
      </c>
    </row>
    <row r="369" spans="1:4" x14ac:dyDescent="0.45">
      <c r="A369" t="s">
        <v>56</v>
      </c>
      <c r="B369">
        <v>2004</v>
      </c>
      <c r="C369" t="s">
        <v>75</v>
      </c>
      <c r="D369">
        <v>0.19</v>
      </c>
    </row>
    <row r="370" spans="1:4" x14ac:dyDescent="0.45">
      <c r="A370" t="s">
        <v>38</v>
      </c>
      <c r="B370">
        <v>2004</v>
      </c>
      <c r="C370" t="s">
        <v>75</v>
      </c>
      <c r="D370">
        <v>0.78</v>
      </c>
    </row>
    <row r="371" spans="1:4" x14ac:dyDescent="0.45">
      <c r="A371" t="s">
        <v>57</v>
      </c>
      <c r="B371">
        <v>2004</v>
      </c>
      <c r="C371" t="s">
        <v>75</v>
      </c>
      <c r="D371">
        <v>0</v>
      </c>
    </row>
    <row r="372" spans="1:4" x14ac:dyDescent="0.45">
      <c r="A372" t="s">
        <v>90</v>
      </c>
      <c r="B372">
        <v>2004</v>
      </c>
      <c r="C372" t="s">
        <v>75</v>
      </c>
      <c r="D372">
        <v>0</v>
      </c>
    </row>
    <row r="373" spans="1:4" x14ac:dyDescent="0.45">
      <c r="A373" t="s">
        <v>32</v>
      </c>
      <c r="B373">
        <v>2005</v>
      </c>
      <c r="C373" t="s">
        <v>75</v>
      </c>
      <c r="D373">
        <v>0</v>
      </c>
    </row>
    <row r="374" spans="1:4" x14ac:dyDescent="0.45">
      <c r="A374" t="s">
        <v>34</v>
      </c>
      <c r="B374">
        <v>2005</v>
      </c>
      <c r="C374" t="s">
        <v>75</v>
      </c>
      <c r="D374">
        <v>45.99</v>
      </c>
    </row>
    <row r="375" spans="1:4" x14ac:dyDescent="0.45">
      <c r="A375" t="s">
        <v>36</v>
      </c>
      <c r="B375">
        <v>2005</v>
      </c>
      <c r="C375" t="s">
        <v>75</v>
      </c>
      <c r="D375">
        <v>7.21</v>
      </c>
    </row>
    <row r="376" spans="1:4" x14ac:dyDescent="0.45">
      <c r="A376" t="s">
        <v>56</v>
      </c>
      <c r="B376">
        <v>2005</v>
      </c>
      <c r="C376" t="s">
        <v>75</v>
      </c>
      <c r="D376">
        <v>0.19</v>
      </c>
    </row>
    <row r="377" spans="1:4" x14ac:dyDescent="0.45">
      <c r="A377" t="s">
        <v>38</v>
      </c>
      <c r="B377">
        <v>2005</v>
      </c>
      <c r="C377" t="s">
        <v>75</v>
      </c>
      <c r="D377">
        <v>1.73</v>
      </c>
    </row>
    <row r="378" spans="1:4" x14ac:dyDescent="0.45">
      <c r="A378" t="s">
        <v>57</v>
      </c>
      <c r="B378">
        <v>2005</v>
      </c>
      <c r="C378" t="s">
        <v>75</v>
      </c>
      <c r="D378">
        <v>0</v>
      </c>
    </row>
    <row r="379" spans="1:4" x14ac:dyDescent="0.45">
      <c r="A379" t="s">
        <v>90</v>
      </c>
      <c r="B379">
        <v>2005</v>
      </c>
      <c r="C379" t="s">
        <v>75</v>
      </c>
      <c r="D379">
        <v>0</v>
      </c>
    </row>
    <row r="380" spans="1:4" x14ac:dyDescent="0.45">
      <c r="A380" t="s">
        <v>32</v>
      </c>
      <c r="B380">
        <v>2006</v>
      </c>
      <c r="C380" t="s">
        <v>75</v>
      </c>
      <c r="D380">
        <v>0</v>
      </c>
    </row>
    <row r="381" spans="1:4" x14ac:dyDescent="0.45">
      <c r="A381" t="s">
        <v>34</v>
      </c>
      <c r="B381">
        <v>2006</v>
      </c>
      <c r="C381" t="s">
        <v>75</v>
      </c>
      <c r="D381">
        <v>45.22</v>
      </c>
    </row>
    <row r="382" spans="1:4" x14ac:dyDescent="0.45">
      <c r="A382" t="s">
        <v>36</v>
      </c>
      <c r="B382">
        <v>2006</v>
      </c>
      <c r="C382" t="s">
        <v>75</v>
      </c>
      <c r="D382">
        <v>7.94</v>
      </c>
    </row>
    <row r="383" spans="1:4" x14ac:dyDescent="0.45">
      <c r="A383" t="s">
        <v>56</v>
      </c>
      <c r="B383">
        <v>2006</v>
      </c>
      <c r="C383" t="s">
        <v>75</v>
      </c>
      <c r="D383">
        <v>0.18</v>
      </c>
    </row>
    <row r="384" spans="1:4" x14ac:dyDescent="0.45">
      <c r="A384" t="s">
        <v>38</v>
      </c>
      <c r="B384">
        <v>2006</v>
      </c>
      <c r="C384" t="s">
        <v>75</v>
      </c>
      <c r="D384">
        <v>4.32</v>
      </c>
    </row>
    <row r="385" spans="1:4" x14ac:dyDescent="0.45">
      <c r="A385" t="s">
        <v>57</v>
      </c>
      <c r="B385">
        <v>2006</v>
      </c>
      <c r="C385" t="s">
        <v>75</v>
      </c>
      <c r="D385">
        <v>0</v>
      </c>
    </row>
    <row r="386" spans="1:4" x14ac:dyDescent="0.45">
      <c r="A386" t="s">
        <v>90</v>
      </c>
      <c r="B386">
        <v>2006</v>
      </c>
      <c r="C386" t="s">
        <v>75</v>
      </c>
      <c r="D386">
        <v>0</v>
      </c>
    </row>
    <row r="387" spans="1:4" x14ac:dyDescent="0.45">
      <c r="A387" t="s">
        <v>32</v>
      </c>
      <c r="B387">
        <v>2007</v>
      </c>
      <c r="C387" t="s">
        <v>75</v>
      </c>
      <c r="D387">
        <v>0</v>
      </c>
    </row>
    <row r="388" spans="1:4" x14ac:dyDescent="0.45">
      <c r="A388" t="s">
        <v>34</v>
      </c>
      <c r="B388">
        <v>2007</v>
      </c>
      <c r="C388" t="s">
        <v>75</v>
      </c>
      <c r="D388">
        <v>51.59</v>
      </c>
    </row>
    <row r="389" spans="1:4" x14ac:dyDescent="0.45">
      <c r="A389" t="s">
        <v>36</v>
      </c>
      <c r="B389">
        <v>2007</v>
      </c>
      <c r="C389" t="s">
        <v>75</v>
      </c>
      <c r="D389">
        <v>5.01</v>
      </c>
    </row>
    <row r="390" spans="1:4" x14ac:dyDescent="0.45">
      <c r="A390" t="s">
        <v>56</v>
      </c>
      <c r="B390">
        <v>2007</v>
      </c>
      <c r="C390" t="s">
        <v>75</v>
      </c>
      <c r="D390">
        <v>0.19</v>
      </c>
    </row>
    <row r="391" spans="1:4" x14ac:dyDescent="0.45">
      <c r="A391" t="s">
        <v>38</v>
      </c>
      <c r="B391">
        <v>2007</v>
      </c>
      <c r="C391" t="s">
        <v>75</v>
      </c>
      <c r="D391">
        <v>4.7</v>
      </c>
    </row>
    <row r="392" spans="1:4" x14ac:dyDescent="0.45">
      <c r="A392" t="s">
        <v>57</v>
      </c>
      <c r="B392">
        <v>2007</v>
      </c>
      <c r="C392" t="s">
        <v>75</v>
      </c>
      <c r="D392">
        <v>0</v>
      </c>
    </row>
    <row r="393" spans="1:4" x14ac:dyDescent="0.45">
      <c r="A393" t="s">
        <v>90</v>
      </c>
      <c r="B393">
        <v>2007</v>
      </c>
      <c r="C393" t="s">
        <v>75</v>
      </c>
      <c r="D393">
        <v>0</v>
      </c>
    </row>
    <row r="394" spans="1:4" x14ac:dyDescent="0.45">
      <c r="A394" t="s">
        <v>32</v>
      </c>
      <c r="B394">
        <v>2008</v>
      </c>
      <c r="C394" t="s">
        <v>75</v>
      </c>
      <c r="D394">
        <v>0</v>
      </c>
    </row>
    <row r="395" spans="1:4" x14ac:dyDescent="0.45">
      <c r="A395" t="s">
        <v>34</v>
      </c>
      <c r="B395">
        <v>2008</v>
      </c>
      <c r="C395" t="s">
        <v>75</v>
      </c>
      <c r="D395">
        <v>56.5</v>
      </c>
    </row>
    <row r="396" spans="1:4" x14ac:dyDescent="0.45">
      <c r="A396" t="s">
        <v>36</v>
      </c>
      <c r="B396">
        <v>2008</v>
      </c>
      <c r="C396" t="s">
        <v>75</v>
      </c>
      <c r="D396">
        <v>8.15</v>
      </c>
    </row>
    <row r="397" spans="1:4" x14ac:dyDescent="0.45">
      <c r="A397" t="s">
        <v>56</v>
      </c>
      <c r="B397">
        <v>2008</v>
      </c>
      <c r="C397" t="s">
        <v>75</v>
      </c>
      <c r="D397">
        <v>0.18</v>
      </c>
    </row>
    <row r="398" spans="1:4" x14ac:dyDescent="0.45">
      <c r="A398" t="s">
        <v>38</v>
      </c>
      <c r="B398">
        <v>2008</v>
      </c>
      <c r="C398" t="s">
        <v>75</v>
      </c>
      <c r="D398">
        <v>2.0299999999999998</v>
      </c>
    </row>
    <row r="399" spans="1:4" x14ac:dyDescent="0.45">
      <c r="A399" t="s">
        <v>57</v>
      </c>
      <c r="B399">
        <v>2008</v>
      </c>
      <c r="C399" t="s">
        <v>75</v>
      </c>
      <c r="D399">
        <v>0</v>
      </c>
    </row>
    <row r="400" spans="1:4" x14ac:dyDescent="0.45">
      <c r="A400" t="s">
        <v>90</v>
      </c>
      <c r="B400">
        <v>2008</v>
      </c>
      <c r="C400" t="s">
        <v>75</v>
      </c>
      <c r="D400">
        <v>0</v>
      </c>
    </row>
    <row r="401" spans="1:4" x14ac:dyDescent="0.45">
      <c r="A401" t="s">
        <v>32</v>
      </c>
      <c r="B401">
        <v>2009</v>
      </c>
      <c r="C401" t="s">
        <v>75</v>
      </c>
      <c r="D401">
        <v>0</v>
      </c>
    </row>
    <row r="402" spans="1:4" x14ac:dyDescent="0.45">
      <c r="A402" t="s">
        <v>34</v>
      </c>
      <c r="B402">
        <v>2009</v>
      </c>
      <c r="C402" t="s">
        <v>75</v>
      </c>
      <c r="D402">
        <v>53.3</v>
      </c>
    </row>
    <row r="403" spans="1:4" x14ac:dyDescent="0.45">
      <c r="A403" t="s">
        <v>36</v>
      </c>
      <c r="B403">
        <v>2009</v>
      </c>
      <c r="C403" t="s">
        <v>75</v>
      </c>
      <c r="D403">
        <v>12.77</v>
      </c>
    </row>
    <row r="404" spans="1:4" x14ac:dyDescent="0.45">
      <c r="A404" t="s">
        <v>56</v>
      </c>
      <c r="B404">
        <v>2009</v>
      </c>
      <c r="C404" t="s">
        <v>75</v>
      </c>
      <c r="D404">
        <v>0.16</v>
      </c>
    </row>
    <row r="405" spans="1:4" x14ac:dyDescent="0.45">
      <c r="A405" t="s">
        <v>38</v>
      </c>
      <c r="B405">
        <v>2009</v>
      </c>
      <c r="C405" t="s">
        <v>75</v>
      </c>
      <c r="D405">
        <v>0.57999999999999996</v>
      </c>
    </row>
    <row r="406" spans="1:4" x14ac:dyDescent="0.45">
      <c r="A406" t="s">
        <v>57</v>
      </c>
      <c r="B406">
        <v>2009</v>
      </c>
      <c r="C406" t="s">
        <v>75</v>
      </c>
      <c r="D406">
        <v>0</v>
      </c>
    </row>
    <row r="407" spans="1:4" x14ac:dyDescent="0.45">
      <c r="A407" t="s">
        <v>90</v>
      </c>
      <c r="B407">
        <v>2009</v>
      </c>
      <c r="C407" t="s">
        <v>75</v>
      </c>
      <c r="D407">
        <v>0</v>
      </c>
    </row>
    <row r="408" spans="1:4" x14ac:dyDescent="0.45">
      <c r="A408" t="s">
        <v>32</v>
      </c>
      <c r="B408">
        <v>2010</v>
      </c>
      <c r="C408" t="s">
        <v>75</v>
      </c>
      <c r="D408">
        <v>0</v>
      </c>
    </row>
    <row r="409" spans="1:4" x14ac:dyDescent="0.45">
      <c r="A409" t="s">
        <v>34</v>
      </c>
      <c r="B409">
        <v>2010</v>
      </c>
      <c r="C409" t="s">
        <v>75</v>
      </c>
      <c r="D409">
        <v>61.15</v>
      </c>
    </row>
    <row r="410" spans="1:4" x14ac:dyDescent="0.45">
      <c r="A410" t="s">
        <v>36</v>
      </c>
      <c r="B410">
        <v>2010</v>
      </c>
      <c r="C410" t="s">
        <v>75</v>
      </c>
      <c r="D410">
        <v>7.3</v>
      </c>
    </row>
    <row r="411" spans="1:4" x14ac:dyDescent="0.45">
      <c r="A411" t="s">
        <v>56</v>
      </c>
      <c r="B411">
        <v>2010</v>
      </c>
      <c r="C411" t="s">
        <v>75</v>
      </c>
      <c r="D411">
        <v>0.19</v>
      </c>
    </row>
    <row r="412" spans="1:4" x14ac:dyDescent="0.45">
      <c r="A412" t="s">
        <v>38</v>
      </c>
      <c r="B412">
        <v>2010</v>
      </c>
      <c r="C412" t="s">
        <v>75</v>
      </c>
      <c r="D412">
        <v>0.41</v>
      </c>
    </row>
    <row r="413" spans="1:4" x14ac:dyDescent="0.45">
      <c r="A413" t="s">
        <v>57</v>
      </c>
      <c r="B413">
        <v>2010</v>
      </c>
      <c r="C413" t="s">
        <v>75</v>
      </c>
      <c r="D413">
        <v>0</v>
      </c>
    </row>
    <row r="414" spans="1:4" x14ac:dyDescent="0.45">
      <c r="A414" t="s">
        <v>90</v>
      </c>
      <c r="B414">
        <v>2010</v>
      </c>
      <c r="C414" t="s">
        <v>75</v>
      </c>
      <c r="D414">
        <v>0</v>
      </c>
    </row>
    <row r="415" spans="1:4" x14ac:dyDescent="0.45">
      <c r="A415" t="s">
        <v>32</v>
      </c>
      <c r="B415">
        <v>2011</v>
      </c>
      <c r="C415" t="s">
        <v>75</v>
      </c>
      <c r="D415">
        <v>0</v>
      </c>
    </row>
    <row r="416" spans="1:4" x14ac:dyDescent="0.45">
      <c r="A416" t="s">
        <v>34</v>
      </c>
      <c r="B416">
        <v>2011</v>
      </c>
      <c r="C416" t="s">
        <v>75</v>
      </c>
      <c r="D416">
        <v>64.42</v>
      </c>
    </row>
    <row r="417" spans="1:4" x14ac:dyDescent="0.45">
      <c r="A417" t="s">
        <v>36</v>
      </c>
      <c r="B417">
        <v>2011</v>
      </c>
      <c r="C417" t="s">
        <v>75</v>
      </c>
      <c r="D417">
        <v>7.88</v>
      </c>
    </row>
    <row r="418" spans="1:4" x14ac:dyDescent="0.45">
      <c r="A418" t="s">
        <v>56</v>
      </c>
      <c r="B418">
        <v>2011</v>
      </c>
      <c r="C418" t="s">
        <v>75</v>
      </c>
      <c r="D418">
        <v>0.19</v>
      </c>
    </row>
    <row r="419" spans="1:4" x14ac:dyDescent="0.45">
      <c r="A419" t="s">
        <v>38</v>
      </c>
      <c r="B419">
        <v>2011</v>
      </c>
      <c r="C419" t="s">
        <v>75</v>
      </c>
      <c r="D419">
        <v>0.36</v>
      </c>
    </row>
    <row r="420" spans="1:4" x14ac:dyDescent="0.45">
      <c r="A420" t="s">
        <v>57</v>
      </c>
      <c r="B420">
        <v>2011</v>
      </c>
      <c r="C420" t="s">
        <v>75</v>
      </c>
      <c r="D420">
        <v>0</v>
      </c>
    </row>
    <row r="421" spans="1:4" x14ac:dyDescent="0.45">
      <c r="A421" t="s">
        <v>90</v>
      </c>
      <c r="B421">
        <v>2011</v>
      </c>
      <c r="C421" t="s">
        <v>75</v>
      </c>
      <c r="D421">
        <v>0</v>
      </c>
    </row>
    <row r="422" spans="1:4" x14ac:dyDescent="0.45">
      <c r="A422" t="s">
        <v>32</v>
      </c>
      <c r="B422">
        <v>2012</v>
      </c>
      <c r="C422" t="s">
        <v>75</v>
      </c>
      <c r="D422">
        <v>0</v>
      </c>
    </row>
    <row r="423" spans="1:4" x14ac:dyDescent="0.45">
      <c r="A423" t="s">
        <v>34</v>
      </c>
      <c r="B423">
        <v>2012</v>
      </c>
      <c r="C423" t="s">
        <v>75</v>
      </c>
      <c r="D423">
        <v>62.07</v>
      </c>
    </row>
    <row r="424" spans="1:4" x14ac:dyDescent="0.45">
      <c r="A424" t="s">
        <v>36</v>
      </c>
      <c r="B424">
        <v>2012</v>
      </c>
      <c r="C424" t="s">
        <v>75</v>
      </c>
      <c r="D424">
        <v>14.52</v>
      </c>
    </row>
    <row r="425" spans="1:4" x14ac:dyDescent="0.45">
      <c r="A425" t="s">
        <v>56</v>
      </c>
      <c r="B425">
        <v>2012</v>
      </c>
      <c r="C425" t="s">
        <v>75</v>
      </c>
      <c r="D425">
        <v>0.18</v>
      </c>
    </row>
    <row r="426" spans="1:4" x14ac:dyDescent="0.45">
      <c r="A426" t="s">
        <v>38</v>
      </c>
      <c r="B426">
        <v>2012</v>
      </c>
      <c r="C426" t="s">
        <v>75</v>
      </c>
      <c r="D426">
        <v>0.47</v>
      </c>
    </row>
    <row r="427" spans="1:4" x14ac:dyDescent="0.45">
      <c r="A427" t="s">
        <v>57</v>
      </c>
      <c r="B427">
        <v>2012</v>
      </c>
      <c r="C427" t="s">
        <v>75</v>
      </c>
      <c r="D427">
        <v>0</v>
      </c>
    </row>
    <row r="428" spans="1:4" x14ac:dyDescent="0.45">
      <c r="A428" t="s">
        <v>90</v>
      </c>
      <c r="B428">
        <v>2012</v>
      </c>
      <c r="C428" t="s">
        <v>75</v>
      </c>
      <c r="D428">
        <v>0</v>
      </c>
    </row>
    <row r="429" spans="1:4" x14ac:dyDescent="0.45">
      <c r="A429" t="s">
        <v>32</v>
      </c>
      <c r="B429">
        <v>2013</v>
      </c>
      <c r="C429" t="s">
        <v>75</v>
      </c>
      <c r="D429">
        <v>0</v>
      </c>
    </row>
    <row r="430" spans="1:4" x14ac:dyDescent="0.45">
      <c r="A430" t="s">
        <v>34</v>
      </c>
      <c r="B430">
        <v>2013</v>
      </c>
      <c r="C430" t="s">
        <v>75</v>
      </c>
      <c r="D430">
        <v>63.37</v>
      </c>
    </row>
    <row r="431" spans="1:4" x14ac:dyDescent="0.45">
      <c r="A431" t="s">
        <v>36</v>
      </c>
      <c r="B431">
        <v>2013</v>
      </c>
      <c r="C431" t="s">
        <v>75</v>
      </c>
      <c r="D431">
        <v>15.23</v>
      </c>
    </row>
    <row r="432" spans="1:4" x14ac:dyDescent="0.45">
      <c r="A432" t="s">
        <v>56</v>
      </c>
      <c r="B432">
        <v>2013</v>
      </c>
      <c r="C432" t="s">
        <v>75</v>
      </c>
      <c r="D432">
        <v>0.18</v>
      </c>
    </row>
    <row r="433" spans="1:4" x14ac:dyDescent="0.45">
      <c r="A433" t="s">
        <v>38</v>
      </c>
      <c r="B433">
        <v>2013</v>
      </c>
      <c r="C433" t="s">
        <v>75</v>
      </c>
      <c r="D433">
        <v>0.36</v>
      </c>
    </row>
    <row r="434" spans="1:4" x14ac:dyDescent="0.45">
      <c r="A434" t="s">
        <v>57</v>
      </c>
      <c r="B434">
        <v>2013</v>
      </c>
      <c r="C434" t="s">
        <v>75</v>
      </c>
      <c r="D434">
        <v>0</v>
      </c>
    </row>
    <row r="435" spans="1:4" x14ac:dyDescent="0.45">
      <c r="A435" t="s">
        <v>90</v>
      </c>
      <c r="B435">
        <v>2013</v>
      </c>
      <c r="C435" t="s">
        <v>75</v>
      </c>
      <c r="D435">
        <v>0</v>
      </c>
    </row>
    <row r="436" spans="1:4" x14ac:dyDescent="0.45">
      <c r="A436" t="s">
        <v>32</v>
      </c>
      <c r="B436">
        <v>2014</v>
      </c>
      <c r="C436" t="s">
        <v>75</v>
      </c>
      <c r="D436">
        <v>0</v>
      </c>
    </row>
    <row r="437" spans="1:4" x14ac:dyDescent="0.45">
      <c r="A437" t="s">
        <v>34</v>
      </c>
      <c r="B437">
        <v>2014</v>
      </c>
      <c r="C437" t="s">
        <v>75</v>
      </c>
      <c r="D437">
        <v>59.45</v>
      </c>
    </row>
    <row r="438" spans="1:4" x14ac:dyDescent="0.45">
      <c r="A438" t="s">
        <v>36</v>
      </c>
      <c r="B438">
        <v>2014</v>
      </c>
      <c r="C438" t="s">
        <v>75</v>
      </c>
      <c r="D438">
        <v>20.09</v>
      </c>
    </row>
    <row r="439" spans="1:4" x14ac:dyDescent="0.45">
      <c r="A439" t="s">
        <v>56</v>
      </c>
      <c r="B439">
        <v>2014</v>
      </c>
      <c r="C439" t="s">
        <v>75</v>
      </c>
      <c r="D439">
        <v>0.2</v>
      </c>
    </row>
    <row r="440" spans="1:4" x14ac:dyDescent="0.45">
      <c r="A440" t="s">
        <v>38</v>
      </c>
      <c r="B440">
        <v>2014</v>
      </c>
      <c r="C440" t="s">
        <v>75</v>
      </c>
      <c r="D440">
        <v>0.93</v>
      </c>
    </row>
    <row r="441" spans="1:4" x14ac:dyDescent="0.45">
      <c r="A441" t="s">
        <v>57</v>
      </c>
      <c r="B441">
        <v>2014</v>
      </c>
      <c r="C441" t="s">
        <v>75</v>
      </c>
      <c r="D441">
        <v>0</v>
      </c>
    </row>
    <row r="442" spans="1:4" x14ac:dyDescent="0.45">
      <c r="A442" t="s">
        <v>90</v>
      </c>
      <c r="B442">
        <v>2014</v>
      </c>
      <c r="C442" t="s">
        <v>75</v>
      </c>
      <c r="D442">
        <v>0</v>
      </c>
    </row>
    <row r="443" spans="1:4" x14ac:dyDescent="0.45">
      <c r="A443" t="s">
        <v>32</v>
      </c>
      <c r="B443">
        <v>2015</v>
      </c>
      <c r="C443" t="s">
        <v>75</v>
      </c>
      <c r="D443">
        <v>0</v>
      </c>
    </row>
    <row r="444" spans="1:4" x14ac:dyDescent="0.45">
      <c r="A444" t="s">
        <v>34</v>
      </c>
      <c r="B444">
        <v>2015</v>
      </c>
      <c r="C444" t="s">
        <v>75</v>
      </c>
      <c r="D444">
        <v>56.34</v>
      </c>
    </row>
    <row r="445" spans="1:4" x14ac:dyDescent="0.45">
      <c r="A445" t="s">
        <v>36</v>
      </c>
      <c r="B445">
        <v>2015</v>
      </c>
      <c r="C445" t="s">
        <v>75</v>
      </c>
      <c r="D445">
        <v>18.88</v>
      </c>
    </row>
    <row r="446" spans="1:4" x14ac:dyDescent="0.45">
      <c r="A446" t="s">
        <v>56</v>
      </c>
      <c r="B446">
        <v>2015</v>
      </c>
      <c r="C446" t="s">
        <v>75</v>
      </c>
      <c r="D446">
        <v>0.22</v>
      </c>
    </row>
    <row r="447" spans="1:4" x14ac:dyDescent="0.45">
      <c r="A447" t="s">
        <v>38</v>
      </c>
      <c r="B447">
        <v>2015</v>
      </c>
      <c r="C447" t="s">
        <v>75</v>
      </c>
      <c r="D447">
        <v>1.27</v>
      </c>
    </row>
    <row r="448" spans="1:4" x14ac:dyDescent="0.45">
      <c r="A448" t="s">
        <v>57</v>
      </c>
      <c r="B448">
        <v>2015</v>
      </c>
      <c r="C448" t="s">
        <v>75</v>
      </c>
      <c r="D448">
        <v>0</v>
      </c>
    </row>
    <row r="449" spans="1:4" x14ac:dyDescent="0.45">
      <c r="A449" t="s">
        <v>90</v>
      </c>
      <c r="B449">
        <v>2015</v>
      </c>
      <c r="C449" t="s">
        <v>75</v>
      </c>
      <c r="D449">
        <v>0</v>
      </c>
    </row>
    <row r="450" spans="1:4" x14ac:dyDescent="0.45">
      <c r="A450" t="s">
        <v>32</v>
      </c>
      <c r="B450">
        <v>2016</v>
      </c>
      <c r="C450" t="s">
        <v>75</v>
      </c>
      <c r="D450">
        <v>0</v>
      </c>
    </row>
    <row r="451" spans="1:4" x14ac:dyDescent="0.45">
      <c r="A451" t="s">
        <v>34</v>
      </c>
      <c r="B451">
        <v>2016</v>
      </c>
      <c r="C451" t="s">
        <v>75</v>
      </c>
      <c r="D451">
        <v>54.49</v>
      </c>
    </row>
    <row r="452" spans="1:4" x14ac:dyDescent="0.45">
      <c r="A452" t="s">
        <v>36</v>
      </c>
      <c r="B452">
        <v>2016</v>
      </c>
      <c r="C452" t="s">
        <v>75</v>
      </c>
      <c r="D452">
        <v>20.61</v>
      </c>
    </row>
    <row r="453" spans="1:4" x14ac:dyDescent="0.45">
      <c r="A453" t="s">
        <v>56</v>
      </c>
      <c r="B453">
        <v>2016</v>
      </c>
      <c r="C453" t="s">
        <v>75</v>
      </c>
      <c r="D453">
        <v>0.28000000000000003</v>
      </c>
    </row>
    <row r="454" spans="1:4" x14ac:dyDescent="0.45">
      <c r="A454" t="s">
        <v>38</v>
      </c>
      <c r="B454">
        <v>2016</v>
      </c>
      <c r="C454" t="s">
        <v>75</v>
      </c>
      <c r="D454">
        <v>1.8</v>
      </c>
    </row>
    <row r="455" spans="1:4" x14ac:dyDescent="0.45">
      <c r="A455" t="s">
        <v>57</v>
      </c>
      <c r="B455">
        <v>2016</v>
      </c>
      <c r="C455" t="s">
        <v>75</v>
      </c>
      <c r="D455">
        <v>0</v>
      </c>
    </row>
    <row r="456" spans="1:4" x14ac:dyDescent="0.45">
      <c r="A456" t="s">
        <v>90</v>
      </c>
      <c r="B456">
        <v>2016</v>
      </c>
      <c r="C456" t="s">
        <v>75</v>
      </c>
      <c r="D456">
        <v>0</v>
      </c>
    </row>
    <row r="457" spans="1:4" x14ac:dyDescent="0.45">
      <c r="A457" t="s">
        <v>32</v>
      </c>
      <c r="B457">
        <v>2017</v>
      </c>
      <c r="C457" t="s">
        <v>75</v>
      </c>
      <c r="D457">
        <v>0</v>
      </c>
    </row>
    <row r="458" spans="1:4" x14ac:dyDescent="0.45">
      <c r="A458" t="s">
        <v>34</v>
      </c>
      <c r="B458">
        <v>2017</v>
      </c>
      <c r="C458" t="s">
        <v>75</v>
      </c>
      <c r="D458">
        <v>61.29</v>
      </c>
    </row>
    <row r="459" spans="1:4" x14ac:dyDescent="0.45">
      <c r="A459" t="s">
        <v>36</v>
      </c>
      <c r="B459">
        <v>2017</v>
      </c>
      <c r="C459" t="s">
        <v>75</v>
      </c>
      <c r="D459">
        <v>23.71</v>
      </c>
    </row>
    <row r="460" spans="1:4" x14ac:dyDescent="0.45">
      <c r="A460" t="s">
        <v>56</v>
      </c>
      <c r="B460">
        <v>2017</v>
      </c>
      <c r="C460" t="s">
        <v>75</v>
      </c>
      <c r="D460">
        <v>0.27</v>
      </c>
    </row>
    <row r="461" spans="1:4" x14ac:dyDescent="0.45">
      <c r="A461" t="s">
        <v>38</v>
      </c>
      <c r="B461">
        <v>2017</v>
      </c>
      <c r="C461" t="s">
        <v>75</v>
      </c>
      <c r="D461">
        <v>0.7</v>
      </c>
    </row>
    <row r="462" spans="1:4" x14ac:dyDescent="0.45">
      <c r="A462" t="s">
        <v>57</v>
      </c>
      <c r="B462">
        <v>2017</v>
      </c>
      <c r="C462" t="s">
        <v>75</v>
      </c>
      <c r="D462">
        <v>0</v>
      </c>
    </row>
    <row r="463" spans="1:4" x14ac:dyDescent="0.45">
      <c r="A463" t="s">
        <v>90</v>
      </c>
      <c r="B463">
        <v>2017</v>
      </c>
      <c r="C463" t="s">
        <v>75</v>
      </c>
      <c r="D463">
        <v>0</v>
      </c>
    </row>
    <row r="464" spans="1:4" x14ac:dyDescent="0.45">
      <c r="A464" t="s">
        <v>32</v>
      </c>
      <c r="B464">
        <v>2018</v>
      </c>
      <c r="C464" t="s">
        <v>75</v>
      </c>
      <c r="D464">
        <v>0</v>
      </c>
    </row>
    <row r="465" spans="1:4" x14ac:dyDescent="0.45">
      <c r="A465" t="s">
        <v>34</v>
      </c>
      <c r="B465">
        <v>2018</v>
      </c>
      <c r="C465" t="s">
        <v>75</v>
      </c>
      <c r="D465">
        <v>66.11</v>
      </c>
    </row>
    <row r="466" spans="1:4" x14ac:dyDescent="0.45">
      <c r="A466" t="s">
        <v>36</v>
      </c>
      <c r="B466">
        <v>2018</v>
      </c>
      <c r="C466" t="s">
        <v>75</v>
      </c>
      <c r="D466">
        <v>23.38</v>
      </c>
    </row>
    <row r="467" spans="1:4" x14ac:dyDescent="0.45">
      <c r="A467" t="s">
        <v>56</v>
      </c>
      <c r="B467">
        <v>2018</v>
      </c>
      <c r="C467" t="s">
        <v>75</v>
      </c>
      <c r="D467">
        <v>0.25</v>
      </c>
    </row>
    <row r="468" spans="1:4" x14ac:dyDescent="0.45">
      <c r="A468" t="s">
        <v>38</v>
      </c>
      <c r="B468">
        <v>2018</v>
      </c>
      <c r="C468" t="s">
        <v>75</v>
      </c>
      <c r="D468">
        <v>0.67</v>
      </c>
    </row>
    <row r="469" spans="1:4" x14ac:dyDescent="0.45">
      <c r="A469" t="s">
        <v>57</v>
      </c>
      <c r="B469">
        <v>2018</v>
      </c>
      <c r="C469" t="s">
        <v>75</v>
      </c>
      <c r="D469">
        <v>0.01</v>
      </c>
    </row>
    <row r="470" spans="1:4" x14ac:dyDescent="0.45">
      <c r="A470" t="s">
        <v>90</v>
      </c>
      <c r="B470">
        <v>2018</v>
      </c>
      <c r="C470" t="s">
        <v>75</v>
      </c>
      <c r="D470">
        <v>0</v>
      </c>
    </row>
    <row r="471" spans="1:4" x14ac:dyDescent="0.45">
      <c r="A471" t="s">
        <v>32</v>
      </c>
      <c r="B471">
        <v>2019</v>
      </c>
      <c r="C471" t="s">
        <v>75</v>
      </c>
      <c r="D471">
        <v>0</v>
      </c>
    </row>
    <row r="472" spans="1:4" x14ac:dyDescent="0.45">
      <c r="A472" t="s">
        <v>34</v>
      </c>
      <c r="B472">
        <v>2019</v>
      </c>
      <c r="C472" t="s">
        <v>75</v>
      </c>
      <c r="D472">
        <v>65.44</v>
      </c>
    </row>
    <row r="473" spans="1:4" x14ac:dyDescent="0.45">
      <c r="A473" t="s">
        <v>36</v>
      </c>
      <c r="B473">
        <v>2019</v>
      </c>
      <c r="C473" t="s">
        <v>75</v>
      </c>
      <c r="D473">
        <v>23.29</v>
      </c>
    </row>
    <row r="474" spans="1:4" x14ac:dyDescent="0.45">
      <c r="A474" t="s">
        <v>56</v>
      </c>
      <c r="B474">
        <v>2019</v>
      </c>
      <c r="C474" t="s">
        <v>75</v>
      </c>
      <c r="D474">
        <v>0.24</v>
      </c>
    </row>
    <row r="475" spans="1:4" x14ac:dyDescent="0.45">
      <c r="A475" t="s">
        <v>38</v>
      </c>
      <c r="B475">
        <v>2019</v>
      </c>
      <c r="C475" t="s">
        <v>75</v>
      </c>
      <c r="D475">
        <v>0.56999999999999995</v>
      </c>
    </row>
    <row r="476" spans="1:4" x14ac:dyDescent="0.45">
      <c r="A476" t="s">
        <v>57</v>
      </c>
      <c r="B476">
        <v>2019</v>
      </c>
      <c r="C476" t="s">
        <v>75</v>
      </c>
      <c r="D476">
        <v>0.02</v>
      </c>
    </row>
    <row r="477" spans="1:4" x14ac:dyDescent="0.45">
      <c r="A477" t="s">
        <v>90</v>
      </c>
      <c r="B477">
        <v>2019</v>
      </c>
      <c r="C477" t="s">
        <v>75</v>
      </c>
      <c r="D477">
        <v>0.01</v>
      </c>
    </row>
    <row r="478" spans="1:4" x14ac:dyDescent="0.45">
      <c r="A478" t="s">
        <v>32</v>
      </c>
      <c r="B478">
        <v>2020</v>
      </c>
      <c r="C478" t="s">
        <v>75</v>
      </c>
      <c r="D478">
        <v>0</v>
      </c>
    </row>
    <row r="479" spans="1:4" x14ac:dyDescent="0.45">
      <c r="A479" t="s">
        <v>34</v>
      </c>
      <c r="B479">
        <v>2020</v>
      </c>
      <c r="C479" t="s">
        <v>75</v>
      </c>
      <c r="D479">
        <v>63.73</v>
      </c>
    </row>
    <row r="480" spans="1:4" x14ac:dyDescent="0.45">
      <c r="A480" t="s">
        <v>36</v>
      </c>
      <c r="B480">
        <v>2020</v>
      </c>
      <c r="C480" t="s">
        <v>75</v>
      </c>
      <c r="D480">
        <v>26.43</v>
      </c>
    </row>
    <row r="481" spans="1:4" x14ac:dyDescent="0.45">
      <c r="A481" t="s">
        <v>56</v>
      </c>
      <c r="B481">
        <v>2020</v>
      </c>
      <c r="C481" t="s">
        <v>75</v>
      </c>
      <c r="D481">
        <v>0.23</v>
      </c>
    </row>
    <row r="482" spans="1:4" x14ac:dyDescent="0.45">
      <c r="A482" t="s">
        <v>38</v>
      </c>
      <c r="B482">
        <v>2020</v>
      </c>
      <c r="C482" t="s">
        <v>75</v>
      </c>
      <c r="D482">
        <v>0.59</v>
      </c>
    </row>
    <row r="483" spans="1:4" x14ac:dyDescent="0.45">
      <c r="A483" t="s">
        <v>57</v>
      </c>
      <c r="B483">
        <v>2020</v>
      </c>
      <c r="C483" t="s">
        <v>75</v>
      </c>
      <c r="D483">
        <v>0.06</v>
      </c>
    </row>
    <row r="484" spans="1:4" x14ac:dyDescent="0.45">
      <c r="A484" t="s">
        <v>90</v>
      </c>
      <c r="B484">
        <v>2020</v>
      </c>
      <c r="C484" t="s">
        <v>75</v>
      </c>
      <c r="D484">
        <v>0.01</v>
      </c>
    </row>
    <row r="485" spans="1:4" x14ac:dyDescent="0.45">
      <c r="A485" t="s">
        <v>32</v>
      </c>
      <c r="B485">
        <v>2021</v>
      </c>
      <c r="C485" t="s">
        <v>75</v>
      </c>
      <c r="D485">
        <v>0</v>
      </c>
    </row>
    <row r="486" spans="1:4" x14ac:dyDescent="0.45">
      <c r="A486" t="s">
        <v>34</v>
      </c>
      <c r="B486">
        <v>2021</v>
      </c>
      <c r="C486" t="s">
        <v>75</v>
      </c>
      <c r="D486">
        <v>62.63</v>
      </c>
    </row>
    <row r="487" spans="1:4" x14ac:dyDescent="0.45">
      <c r="A487" t="s">
        <v>36</v>
      </c>
      <c r="B487">
        <v>2021</v>
      </c>
      <c r="C487" t="s">
        <v>75</v>
      </c>
      <c r="D487">
        <v>30.54</v>
      </c>
    </row>
    <row r="488" spans="1:4" x14ac:dyDescent="0.45">
      <c r="A488" t="s">
        <v>56</v>
      </c>
      <c r="B488">
        <v>2021</v>
      </c>
      <c r="C488" t="s">
        <v>75</v>
      </c>
      <c r="D488">
        <v>0.22</v>
      </c>
    </row>
    <row r="489" spans="1:4" x14ac:dyDescent="0.45">
      <c r="A489" t="s">
        <v>38</v>
      </c>
      <c r="B489">
        <v>2021</v>
      </c>
      <c r="C489" t="s">
        <v>75</v>
      </c>
      <c r="D489">
        <v>2.4700000000000002</v>
      </c>
    </row>
    <row r="490" spans="1:4" x14ac:dyDescent="0.45">
      <c r="A490" t="s">
        <v>57</v>
      </c>
      <c r="B490">
        <v>2021</v>
      </c>
      <c r="C490" t="s">
        <v>75</v>
      </c>
      <c r="D490">
        <v>0.08</v>
      </c>
    </row>
    <row r="491" spans="1:4" x14ac:dyDescent="0.45">
      <c r="A491" t="s">
        <v>90</v>
      </c>
      <c r="B491">
        <v>2021</v>
      </c>
      <c r="C491" t="s">
        <v>75</v>
      </c>
      <c r="D491">
        <v>0.02</v>
      </c>
    </row>
    <row r="492" spans="1:4" x14ac:dyDescent="0.45">
      <c r="A492" t="s">
        <v>32</v>
      </c>
      <c r="B492">
        <v>2022</v>
      </c>
      <c r="C492" t="s">
        <v>75</v>
      </c>
      <c r="D492">
        <v>0</v>
      </c>
    </row>
    <row r="493" spans="1:4" x14ac:dyDescent="0.45">
      <c r="A493" t="s">
        <v>34</v>
      </c>
      <c r="B493">
        <v>2022</v>
      </c>
      <c r="C493" t="s">
        <v>75</v>
      </c>
      <c r="D493">
        <v>59.91</v>
      </c>
    </row>
    <row r="494" spans="1:4" x14ac:dyDescent="0.45">
      <c r="A494" t="s">
        <v>36</v>
      </c>
      <c r="B494">
        <v>2022</v>
      </c>
      <c r="C494" t="s">
        <v>75</v>
      </c>
      <c r="D494">
        <v>32.49</v>
      </c>
    </row>
    <row r="495" spans="1:4" x14ac:dyDescent="0.45">
      <c r="A495" t="s">
        <v>56</v>
      </c>
      <c r="B495">
        <v>2022</v>
      </c>
      <c r="C495" t="s">
        <v>75</v>
      </c>
      <c r="D495">
        <v>0.22</v>
      </c>
    </row>
    <row r="496" spans="1:4" x14ac:dyDescent="0.45">
      <c r="A496" t="s">
        <v>38</v>
      </c>
      <c r="B496">
        <v>2022</v>
      </c>
      <c r="C496" t="s">
        <v>75</v>
      </c>
      <c r="D496">
        <v>1.61</v>
      </c>
    </row>
    <row r="497" spans="1:4" x14ac:dyDescent="0.45">
      <c r="A497" t="s">
        <v>57</v>
      </c>
      <c r="B497">
        <v>2022</v>
      </c>
      <c r="C497" t="s">
        <v>75</v>
      </c>
      <c r="D497">
        <v>0.08</v>
      </c>
    </row>
    <row r="498" spans="1:4" x14ac:dyDescent="0.45">
      <c r="A498" t="s">
        <v>90</v>
      </c>
      <c r="B498">
        <v>2022</v>
      </c>
      <c r="C498" t="s">
        <v>75</v>
      </c>
      <c r="D498">
        <v>0.03</v>
      </c>
    </row>
    <row r="499" spans="1:4" x14ac:dyDescent="0.45">
      <c r="A499" t="s">
        <v>32</v>
      </c>
      <c r="B499">
        <v>2023</v>
      </c>
      <c r="C499" t="s">
        <v>75</v>
      </c>
      <c r="D499">
        <v>0</v>
      </c>
    </row>
    <row r="500" spans="1:4" x14ac:dyDescent="0.45">
      <c r="A500" t="s">
        <v>34</v>
      </c>
      <c r="B500">
        <v>2023</v>
      </c>
      <c r="C500" t="s">
        <v>75</v>
      </c>
      <c r="D500">
        <v>58.89</v>
      </c>
    </row>
    <row r="501" spans="1:4" x14ac:dyDescent="0.45">
      <c r="A501" t="s">
        <v>36</v>
      </c>
      <c r="B501">
        <v>2023</v>
      </c>
      <c r="C501" t="s">
        <v>75</v>
      </c>
      <c r="D501">
        <v>32.04</v>
      </c>
    </row>
    <row r="502" spans="1:4" x14ac:dyDescent="0.45">
      <c r="A502" t="s">
        <v>56</v>
      </c>
      <c r="B502">
        <v>2023</v>
      </c>
      <c r="C502" t="s">
        <v>75</v>
      </c>
      <c r="D502">
        <v>0.21</v>
      </c>
    </row>
    <row r="503" spans="1:4" x14ac:dyDescent="0.45">
      <c r="A503" t="s">
        <v>38</v>
      </c>
      <c r="B503">
        <v>2023</v>
      </c>
      <c r="C503" t="s">
        <v>75</v>
      </c>
      <c r="D503">
        <v>1.58</v>
      </c>
    </row>
    <row r="504" spans="1:4" x14ac:dyDescent="0.45">
      <c r="A504" t="s">
        <v>57</v>
      </c>
      <c r="B504">
        <v>2023</v>
      </c>
      <c r="C504" t="s">
        <v>75</v>
      </c>
      <c r="D504">
        <v>0.09</v>
      </c>
    </row>
    <row r="505" spans="1:4" x14ac:dyDescent="0.45">
      <c r="A505" t="s">
        <v>90</v>
      </c>
      <c r="B505">
        <v>2023</v>
      </c>
      <c r="C505" t="s">
        <v>75</v>
      </c>
      <c r="D505">
        <v>0.04</v>
      </c>
    </row>
    <row r="506" spans="1:4" x14ac:dyDescent="0.45">
      <c r="A506" t="s">
        <v>58</v>
      </c>
      <c r="B506">
        <v>2000</v>
      </c>
      <c r="C506" t="s">
        <v>73</v>
      </c>
      <c r="D506">
        <v>0.1</v>
      </c>
    </row>
    <row r="507" spans="1:4" x14ac:dyDescent="0.45">
      <c r="A507" t="s">
        <v>59</v>
      </c>
      <c r="B507">
        <v>2000</v>
      </c>
      <c r="C507" t="s">
        <v>73</v>
      </c>
      <c r="D507">
        <v>3.1</v>
      </c>
    </row>
    <row r="508" spans="1:4" x14ac:dyDescent="0.45">
      <c r="A508" t="s">
        <v>58</v>
      </c>
      <c r="B508">
        <v>2001</v>
      </c>
      <c r="C508" t="s">
        <v>73</v>
      </c>
      <c r="D508">
        <v>1.6</v>
      </c>
    </row>
    <row r="509" spans="1:4" x14ac:dyDescent="0.45">
      <c r="A509" t="s">
        <v>59</v>
      </c>
      <c r="B509">
        <v>2001</v>
      </c>
      <c r="C509" t="s">
        <v>73</v>
      </c>
      <c r="D509">
        <v>3.4</v>
      </c>
    </row>
    <row r="510" spans="1:4" x14ac:dyDescent="0.45">
      <c r="A510" t="s">
        <v>58</v>
      </c>
      <c r="B510">
        <v>2002</v>
      </c>
      <c r="C510" t="s">
        <v>73</v>
      </c>
      <c r="D510">
        <v>2</v>
      </c>
    </row>
    <row r="511" spans="1:4" x14ac:dyDescent="0.45">
      <c r="A511" t="s">
        <v>59</v>
      </c>
      <c r="B511">
        <v>2002</v>
      </c>
      <c r="C511" t="s">
        <v>73</v>
      </c>
      <c r="D511">
        <v>3.6</v>
      </c>
    </row>
    <row r="512" spans="1:4" x14ac:dyDescent="0.45">
      <c r="A512" t="s">
        <v>58</v>
      </c>
      <c r="B512">
        <v>2003</v>
      </c>
      <c r="C512" t="s">
        <v>73</v>
      </c>
      <c r="D512">
        <v>5</v>
      </c>
    </row>
    <row r="513" spans="1:4" x14ac:dyDescent="0.45">
      <c r="A513" t="s">
        <v>59</v>
      </c>
      <c r="B513">
        <v>2003</v>
      </c>
      <c r="C513" t="s">
        <v>73</v>
      </c>
      <c r="D513">
        <v>3.5</v>
      </c>
    </row>
    <row r="514" spans="1:4" x14ac:dyDescent="0.45">
      <c r="A514" t="s">
        <v>58</v>
      </c>
      <c r="B514">
        <v>2004</v>
      </c>
      <c r="C514" t="s">
        <v>73</v>
      </c>
      <c r="D514">
        <v>7.4</v>
      </c>
    </row>
    <row r="515" spans="1:4" x14ac:dyDescent="0.45">
      <c r="A515" t="s">
        <v>59</v>
      </c>
      <c r="B515">
        <v>2004</v>
      </c>
      <c r="C515" t="s">
        <v>73</v>
      </c>
      <c r="D515">
        <v>5.2</v>
      </c>
    </row>
    <row r="516" spans="1:4" x14ac:dyDescent="0.45">
      <c r="A516" t="s">
        <v>58</v>
      </c>
      <c r="B516">
        <v>2005</v>
      </c>
      <c r="C516" t="s">
        <v>73</v>
      </c>
      <c r="D516">
        <v>4</v>
      </c>
    </row>
    <row r="517" spans="1:4" x14ac:dyDescent="0.45">
      <c r="A517" t="s">
        <v>59</v>
      </c>
      <c r="B517">
        <v>2005</v>
      </c>
      <c r="C517" t="s">
        <v>73</v>
      </c>
      <c r="D517">
        <v>4.5999999999999996</v>
      </c>
    </row>
    <row r="518" spans="1:4" x14ac:dyDescent="0.45">
      <c r="A518" t="s">
        <v>58</v>
      </c>
      <c r="B518">
        <v>2006</v>
      </c>
      <c r="C518" t="s">
        <v>73</v>
      </c>
      <c r="D518">
        <v>3.3</v>
      </c>
    </row>
    <row r="519" spans="1:4" x14ac:dyDescent="0.45">
      <c r="A519" t="s">
        <v>59</v>
      </c>
      <c r="B519">
        <v>2006</v>
      </c>
      <c r="C519" t="s">
        <v>73</v>
      </c>
      <c r="D519">
        <v>4.2</v>
      </c>
    </row>
    <row r="520" spans="1:4" x14ac:dyDescent="0.45">
      <c r="A520" t="s">
        <v>58</v>
      </c>
      <c r="B520">
        <v>2007</v>
      </c>
      <c r="C520" t="s">
        <v>73</v>
      </c>
      <c r="D520">
        <v>3.6</v>
      </c>
    </row>
    <row r="521" spans="1:4" x14ac:dyDescent="0.45">
      <c r="A521" t="s">
        <v>59</v>
      </c>
      <c r="B521">
        <v>2007</v>
      </c>
      <c r="C521" t="s">
        <v>73</v>
      </c>
      <c r="D521">
        <v>3.3</v>
      </c>
    </row>
    <row r="522" spans="1:4" x14ac:dyDescent="0.45">
      <c r="A522" t="s">
        <v>58</v>
      </c>
      <c r="B522">
        <v>2008</v>
      </c>
      <c r="C522" t="s">
        <v>73</v>
      </c>
      <c r="D522">
        <v>2.5</v>
      </c>
    </row>
    <row r="523" spans="1:4" x14ac:dyDescent="0.45">
      <c r="A523" t="s">
        <v>59</v>
      </c>
      <c r="B523">
        <v>2008</v>
      </c>
      <c r="C523" t="s">
        <v>73</v>
      </c>
      <c r="D523">
        <v>2.8</v>
      </c>
    </row>
    <row r="524" spans="1:4" x14ac:dyDescent="0.45">
      <c r="A524" t="s">
        <v>58</v>
      </c>
      <c r="B524">
        <v>2009</v>
      </c>
      <c r="C524" t="s">
        <v>73</v>
      </c>
      <c r="D524">
        <v>2.4</v>
      </c>
    </row>
    <row r="525" spans="1:4" x14ac:dyDescent="0.45">
      <c r="A525" t="s">
        <v>59</v>
      </c>
      <c r="B525">
        <v>2009</v>
      </c>
      <c r="C525" t="s">
        <v>73</v>
      </c>
      <c r="D525">
        <v>1.7</v>
      </c>
    </row>
    <row r="526" spans="1:4" x14ac:dyDescent="0.45">
      <c r="A526" t="s">
        <v>58</v>
      </c>
      <c r="B526">
        <v>2010</v>
      </c>
      <c r="C526" t="s">
        <v>73</v>
      </c>
      <c r="D526">
        <v>1.6</v>
      </c>
    </row>
    <row r="527" spans="1:4" x14ac:dyDescent="0.45">
      <c r="A527" t="s">
        <v>59</v>
      </c>
      <c r="B527">
        <v>2010</v>
      </c>
      <c r="C527" t="s">
        <v>73</v>
      </c>
      <c r="D527">
        <v>2.1</v>
      </c>
    </row>
    <row r="528" spans="1:4" x14ac:dyDescent="0.45">
      <c r="A528" t="s">
        <v>58</v>
      </c>
      <c r="B528">
        <v>2011</v>
      </c>
      <c r="C528" t="s">
        <v>73</v>
      </c>
      <c r="D528">
        <v>1.8</v>
      </c>
    </row>
    <row r="529" spans="1:4" x14ac:dyDescent="0.45">
      <c r="A529" t="s">
        <v>59</v>
      </c>
      <c r="B529">
        <v>2011</v>
      </c>
      <c r="C529" t="s">
        <v>73</v>
      </c>
      <c r="D529">
        <v>3.4</v>
      </c>
    </row>
    <row r="530" spans="1:4" x14ac:dyDescent="0.45">
      <c r="A530" t="s">
        <v>58</v>
      </c>
      <c r="B530">
        <v>2012</v>
      </c>
      <c r="C530" t="s">
        <v>73</v>
      </c>
      <c r="D530">
        <v>2.9</v>
      </c>
    </row>
    <row r="531" spans="1:4" x14ac:dyDescent="0.45">
      <c r="A531" t="s">
        <v>59</v>
      </c>
      <c r="B531">
        <v>2012</v>
      </c>
      <c r="C531" t="s">
        <v>73</v>
      </c>
      <c r="D531">
        <v>4.3</v>
      </c>
    </row>
    <row r="532" spans="1:4" x14ac:dyDescent="0.45">
      <c r="A532" t="s">
        <v>58</v>
      </c>
      <c r="B532">
        <v>2013</v>
      </c>
      <c r="C532" t="s">
        <v>73</v>
      </c>
      <c r="D532">
        <v>3</v>
      </c>
    </row>
    <row r="533" spans="1:4" x14ac:dyDescent="0.45">
      <c r="A533" t="s">
        <v>59</v>
      </c>
      <c r="B533">
        <v>2013</v>
      </c>
      <c r="C533" t="s">
        <v>73</v>
      </c>
      <c r="D533">
        <v>2.1</v>
      </c>
    </row>
    <row r="534" spans="1:4" x14ac:dyDescent="0.45">
      <c r="A534" t="s">
        <v>58</v>
      </c>
      <c r="B534">
        <v>2014</v>
      </c>
      <c r="C534" t="s">
        <v>73</v>
      </c>
      <c r="D534">
        <v>2.9</v>
      </c>
    </row>
    <row r="535" spans="1:4" x14ac:dyDescent="0.45">
      <c r="A535" t="s">
        <v>59</v>
      </c>
      <c r="B535">
        <v>2014</v>
      </c>
      <c r="C535" t="s">
        <v>73</v>
      </c>
      <c r="D535">
        <v>1.7</v>
      </c>
    </row>
    <row r="536" spans="1:4" x14ac:dyDescent="0.45">
      <c r="A536" t="s">
        <v>58</v>
      </c>
      <c r="B536">
        <v>2015</v>
      </c>
      <c r="C536" t="s">
        <v>73</v>
      </c>
      <c r="D536">
        <v>1.6</v>
      </c>
    </row>
    <row r="537" spans="1:4" x14ac:dyDescent="0.45">
      <c r="A537" t="s">
        <v>59</v>
      </c>
      <c r="B537">
        <v>2015</v>
      </c>
      <c r="C537" t="s">
        <v>73</v>
      </c>
      <c r="D537">
        <v>1.6</v>
      </c>
    </row>
    <row r="538" spans="1:4" x14ac:dyDescent="0.45">
      <c r="A538" t="s">
        <v>58</v>
      </c>
      <c r="B538">
        <v>2016</v>
      </c>
      <c r="C538" t="s">
        <v>73</v>
      </c>
      <c r="D538">
        <v>2.6</v>
      </c>
    </row>
    <row r="539" spans="1:4" x14ac:dyDescent="0.45">
      <c r="A539" t="s">
        <v>59</v>
      </c>
      <c r="B539">
        <v>2016</v>
      </c>
      <c r="C539" t="s">
        <v>73</v>
      </c>
      <c r="D539">
        <v>1.3</v>
      </c>
    </row>
    <row r="540" spans="1:4" x14ac:dyDescent="0.45">
      <c r="A540" t="s">
        <v>58</v>
      </c>
      <c r="B540">
        <v>2017</v>
      </c>
      <c r="C540" t="s">
        <v>73</v>
      </c>
      <c r="D540">
        <v>5.7</v>
      </c>
    </row>
    <row r="541" spans="1:4" x14ac:dyDescent="0.45">
      <c r="A541" t="s">
        <v>59</v>
      </c>
      <c r="B541">
        <v>2017</v>
      </c>
      <c r="C541" t="s">
        <v>73</v>
      </c>
      <c r="D541">
        <v>1.3</v>
      </c>
    </row>
    <row r="542" spans="1:4" x14ac:dyDescent="0.45">
      <c r="A542" t="s">
        <v>58</v>
      </c>
      <c r="B542">
        <v>2018</v>
      </c>
      <c r="C542" t="s">
        <v>73</v>
      </c>
      <c r="D542">
        <v>5</v>
      </c>
    </row>
    <row r="543" spans="1:4" x14ac:dyDescent="0.45">
      <c r="A543" t="s">
        <v>59</v>
      </c>
      <c r="B543">
        <v>2018</v>
      </c>
      <c r="C543" t="s">
        <v>73</v>
      </c>
      <c r="D543">
        <v>1.6</v>
      </c>
    </row>
    <row r="544" spans="1:4" x14ac:dyDescent="0.45">
      <c r="A544" t="s">
        <v>58</v>
      </c>
      <c r="B544">
        <v>2019</v>
      </c>
      <c r="C544" t="s">
        <v>73</v>
      </c>
      <c r="D544">
        <v>2.4</v>
      </c>
    </row>
    <row r="545" spans="1:4" x14ac:dyDescent="0.45">
      <c r="A545" t="s">
        <v>59</v>
      </c>
      <c r="B545">
        <v>2019</v>
      </c>
      <c r="C545" t="s">
        <v>73</v>
      </c>
      <c r="D545">
        <v>1.9</v>
      </c>
    </row>
    <row r="546" spans="1:4" x14ac:dyDescent="0.45">
      <c r="A546" t="s">
        <v>58</v>
      </c>
      <c r="B546">
        <v>2020</v>
      </c>
      <c r="C546" t="s">
        <v>73</v>
      </c>
      <c r="D546">
        <v>2.2999999999999998</v>
      </c>
    </row>
    <row r="547" spans="1:4" x14ac:dyDescent="0.45">
      <c r="A547" t="s">
        <v>59</v>
      </c>
      <c r="B547">
        <v>2020</v>
      </c>
      <c r="C547" t="s">
        <v>73</v>
      </c>
      <c r="D547">
        <v>1.6</v>
      </c>
    </row>
    <row r="548" spans="1:4" x14ac:dyDescent="0.45">
      <c r="A548" t="s">
        <v>58</v>
      </c>
      <c r="B548">
        <v>2021</v>
      </c>
      <c r="C548" t="s">
        <v>73</v>
      </c>
      <c r="D548">
        <v>2.6</v>
      </c>
    </row>
    <row r="549" spans="1:4" x14ac:dyDescent="0.45">
      <c r="A549" t="s">
        <v>59</v>
      </c>
      <c r="B549">
        <v>2021</v>
      </c>
      <c r="C549" t="s">
        <v>73</v>
      </c>
      <c r="D549">
        <v>2.1</v>
      </c>
    </row>
    <row r="550" spans="1:4" x14ac:dyDescent="0.45">
      <c r="A550" t="s">
        <v>58</v>
      </c>
      <c r="B550">
        <v>2022</v>
      </c>
      <c r="C550" t="s">
        <v>73</v>
      </c>
      <c r="D550">
        <v>2.2000000000000002</v>
      </c>
    </row>
    <row r="551" spans="1:4" x14ac:dyDescent="0.45">
      <c r="A551" t="s">
        <v>59</v>
      </c>
      <c r="B551">
        <v>2022</v>
      </c>
      <c r="C551" t="s">
        <v>73</v>
      </c>
      <c r="D551">
        <v>3.7</v>
      </c>
    </row>
    <row r="552" spans="1:4" x14ac:dyDescent="0.45">
      <c r="A552" t="s">
        <v>58</v>
      </c>
      <c r="B552">
        <v>2023</v>
      </c>
      <c r="C552" t="s">
        <v>73</v>
      </c>
      <c r="D552">
        <v>2.7</v>
      </c>
    </row>
    <row r="553" spans="1:4" x14ac:dyDescent="0.45">
      <c r="A553" t="s">
        <v>59</v>
      </c>
      <c r="B553">
        <v>2023</v>
      </c>
      <c r="C553" t="s">
        <v>73</v>
      </c>
      <c r="D553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65</v>
      </c>
      <c r="G1" t="s">
        <v>22</v>
      </c>
      <c r="H1" t="s">
        <v>8</v>
      </c>
      <c r="I1" t="s">
        <v>61</v>
      </c>
      <c r="J1" t="s">
        <v>62</v>
      </c>
      <c r="K1" t="s">
        <v>66</v>
      </c>
      <c r="L1" t="s">
        <v>67</v>
      </c>
    </row>
    <row r="2" spans="1:12" x14ac:dyDescent="0.45">
      <c r="A2" t="s">
        <v>23</v>
      </c>
      <c r="B2" t="s">
        <v>3</v>
      </c>
      <c r="C2" t="s">
        <v>83</v>
      </c>
      <c r="D2" t="s">
        <v>68</v>
      </c>
      <c r="E2" t="s">
        <v>69</v>
      </c>
      <c r="F2" t="s">
        <v>52</v>
      </c>
      <c r="G2" t="s">
        <v>70</v>
      </c>
      <c r="H2" t="s">
        <v>88</v>
      </c>
      <c r="I2">
        <v>2020</v>
      </c>
      <c r="J2">
        <v>31.217400000000001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83</v>
      </c>
      <c r="D3" t="s">
        <v>68</v>
      </c>
      <c r="E3" t="s">
        <v>69</v>
      </c>
      <c r="F3" t="s">
        <v>52</v>
      </c>
      <c r="G3" t="s">
        <v>70</v>
      </c>
      <c r="H3" t="s">
        <v>88</v>
      </c>
      <c r="I3">
        <v>2025</v>
      </c>
      <c r="J3">
        <v>35.165399999999998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83</v>
      </c>
      <c r="D4" t="s">
        <v>68</v>
      </c>
      <c r="E4" t="s">
        <v>69</v>
      </c>
      <c r="F4" t="s">
        <v>52</v>
      </c>
      <c r="G4" t="s">
        <v>70</v>
      </c>
      <c r="H4" t="s">
        <v>88</v>
      </c>
      <c r="I4">
        <v>2030</v>
      </c>
      <c r="J4">
        <v>9.3718000000000004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83</v>
      </c>
      <c r="D5" t="s">
        <v>68</v>
      </c>
      <c r="E5" t="s">
        <v>69</v>
      </c>
      <c r="F5" t="s">
        <v>52</v>
      </c>
      <c r="G5" t="s">
        <v>70</v>
      </c>
      <c r="H5" t="s">
        <v>88</v>
      </c>
      <c r="I5">
        <v>2035</v>
      </c>
      <c r="J5">
        <v>2.4628000000000001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83</v>
      </c>
      <c r="D6" t="s">
        <v>68</v>
      </c>
      <c r="E6" t="s">
        <v>69</v>
      </c>
      <c r="F6" t="s">
        <v>52</v>
      </c>
      <c r="G6" t="s">
        <v>70</v>
      </c>
      <c r="H6" t="s">
        <v>88</v>
      </c>
      <c r="I6">
        <v>2040</v>
      </c>
      <c r="J6">
        <v>1.3724000000000001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83</v>
      </c>
      <c r="D7" t="s">
        <v>68</v>
      </c>
      <c r="E7" t="s">
        <v>69</v>
      </c>
      <c r="F7" t="s">
        <v>52</v>
      </c>
      <c r="G7" t="s">
        <v>70</v>
      </c>
      <c r="H7" t="s">
        <v>88</v>
      </c>
      <c r="I7">
        <v>2045</v>
      </c>
      <c r="J7">
        <v>0.99639999999999995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83</v>
      </c>
      <c r="D8" t="s">
        <v>68</v>
      </c>
      <c r="E8" t="s">
        <v>69</v>
      </c>
      <c r="F8" t="s">
        <v>52</v>
      </c>
      <c r="G8" t="s">
        <v>70</v>
      </c>
      <c r="H8" t="s">
        <v>88</v>
      </c>
      <c r="I8">
        <v>2050</v>
      </c>
      <c r="J8">
        <v>5.6399999999999992E-2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83</v>
      </c>
      <c r="D9" t="s">
        <v>68</v>
      </c>
      <c r="E9" t="s">
        <v>69</v>
      </c>
      <c r="F9" t="s">
        <v>52</v>
      </c>
      <c r="G9" t="s">
        <v>70</v>
      </c>
      <c r="H9" t="s">
        <v>88</v>
      </c>
      <c r="I9">
        <v>2020</v>
      </c>
      <c r="J9">
        <v>31.678000000000001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83</v>
      </c>
      <c r="D10" t="s">
        <v>68</v>
      </c>
      <c r="E10" t="s">
        <v>69</v>
      </c>
      <c r="F10" t="s">
        <v>52</v>
      </c>
      <c r="G10" t="s">
        <v>70</v>
      </c>
      <c r="H10" t="s">
        <v>88</v>
      </c>
      <c r="I10">
        <v>2025</v>
      </c>
      <c r="J10">
        <v>29.920200000000001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83</v>
      </c>
      <c r="D11" t="s">
        <v>68</v>
      </c>
      <c r="E11" t="s">
        <v>69</v>
      </c>
      <c r="F11" t="s">
        <v>52</v>
      </c>
      <c r="G11" t="s">
        <v>70</v>
      </c>
      <c r="H11" t="s">
        <v>88</v>
      </c>
      <c r="I11">
        <v>2030</v>
      </c>
      <c r="J11">
        <v>28.933200000000003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83</v>
      </c>
      <c r="D12" t="s">
        <v>68</v>
      </c>
      <c r="E12" t="s">
        <v>69</v>
      </c>
      <c r="F12" t="s">
        <v>52</v>
      </c>
      <c r="G12" t="s">
        <v>70</v>
      </c>
      <c r="H12" t="s">
        <v>88</v>
      </c>
      <c r="I12">
        <v>2035</v>
      </c>
      <c r="J12">
        <v>22.287400000000002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83</v>
      </c>
      <c r="D13" t="s">
        <v>68</v>
      </c>
      <c r="E13" t="s">
        <v>69</v>
      </c>
      <c r="F13" t="s">
        <v>52</v>
      </c>
      <c r="G13" t="s">
        <v>70</v>
      </c>
      <c r="H13" t="s">
        <v>88</v>
      </c>
      <c r="I13">
        <v>2040</v>
      </c>
      <c r="J13">
        <v>12.22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83</v>
      </c>
      <c r="D14" t="s">
        <v>68</v>
      </c>
      <c r="E14" t="s">
        <v>69</v>
      </c>
      <c r="F14" t="s">
        <v>52</v>
      </c>
      <c r="G14" t="s">
        <v>70</v>
      </c>
      <c r="H14" t="s">
        <v>88</v>
      </c>
      <c r="I14">
        <v>2045</v>
      </c>
      <c r="J14">
        <v>2.5379999999999998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83</v>
      </c>
      <c r="D15" t="s">
        <v>68</v>
      </c>
      <c r="E15" t="s">
        <v>69</v>
      </c>
      <c r="F15" t="s">
        <v>52</v>
      </c>
      <c r="G15" t="s">
        <v>70</v>
      </c>
      <c r="H15" t="s">
        <v>88</v>
      </c>
      <c r="I15">
        <v>2050</v>
      </c>
      <c r="J15">
        <v>1.786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83</v>
      </c>
      <c r="D16" t="s">
        <v>68</v>
      </c>
      <c r="E16" t="s">
        <v>69</v>
      </c>
      <c r="F16" t="s">
        <v>52</v>
      </c>
      <c r="G16" t="s">
        <v>70</v>
      </c>
      <c r="H16" t="s">
        <v>88</v>
      </c>
      <c r="I16">
        <v>2020</v>
      </c>
      <c r="J16">
        <v>31.772000000000002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83</v>
      </c>
      <c r="D17" t="s">
        <v>68</v>
      </c>
      <c r="E17" t="s">
        <v>69</v>
      </c>
      <c r="F17" t="s">
        <v>52</v>
      </c>
      <c r="G17" t="s">
        <v>70</v>
      </c>
      <c r="H17" t="s">
        <v>88</v>
      </c>
      <c r="I17">
        <v>2025</v>
      </c>
      <c r="J17">
        <v>30.108199999999997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83</v>
      </c>
      <c r="D18" t="s">
        <v>68</v>
      </c>
      <c r="E18" t="s">
        <v>69</v>
      </c>
      <c r="F18" t="s">
        <v>52</v>
      </c>
      <c r="G18" t="s">
        <v>70</v>
      </c>
      <c r="H18" t="s">
        <v>88</v>
      </c>
      <c r="I18">
        <v>2030</v>
      </c>
      <c r="J18">
        <v>29.168200000000002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83</v>
      </c>
      <c r="D19" t="s">
        <v>68</v>
      </c>
      <c r="E19" t="s">
        <v>69</v>
      </c>
      <c r="F19" t="s">
        <v>52</v>
      </c>
      <c r="G19" t="s">
        <v>70</v>
      </c>
      <c r="H19" t="s">
        <v>88</v>
      </c>
      <c r="I19">
        <v>2035</v>
      </c>
      <c r="J19">
        <v>3.149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83</v>
      </c>
      <c r="D20" t="s">
        <v>68</v>
      </c>
      <c r="E20" t="s">
        <v>69</v>
      </c>
      <c r="F20" t="s">
        <v>52</v>
      </c>
      <c r="G20" t="s">
        <v>70</v>
      </c>
      <c r="H20" t="s">
        <v>88</v>
      </c>
      <c r="I20">
        <v>2040</v>
      </c>
      <c r="J20">
        <v>1.1656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83</v>
      </c>
      <c r="D21" t="s">
        <v>68</v>
      </c>
      <c r="E21" t="s">
        <v>69</v>
      </c>
      <c r="F21" t="s">
        <v>52</v>
      </c>
      <c r="G21" t="s">
        <v>70</v>
      </c>
      <c r="H21" t="s">
        <v>88</v>
      </c>
      <c r="I21">
        <v>2045</v>
      </c>
      <c r="J21">
        <v>0.89300000000000002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83</v>
      </c>
      <c r="D22" t="s">
        <v>68</v>
      </c>
      <c r="E22" t="s">
        <v>69</v>
      </c>
      <c r="F22" t="s">
        <v>52</v>
      </c>
      <c r="G22" t="s">
        <v>70</v>
      </c>
      <c r="H22" t="s">
        <v>88</v>
      </c>
      <c r="I22">
        <v>2050</v>
      </c>
      <c r="J22">
        <v>8.4599999999999995E-2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83</v>
      </c>
      <c r="D23" t="s">
        <v>68</v>
      </c>
      <c r="E23" t="s">
        <v>69</v>
      </c>
      <c r="F23" t="s">
        <v>52</v>
      </c>
      <c r="G23" t="s">
        <v>70</v>
      </c>
      <c r="H23" t="s">
        <v>88</v>
      </c>
      <c r="I23">
        <v>2020</v>
      </c>
      <c r="J23">
        <v>31.527599999999996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83</v>
      </c>
      <c r="D24" t="s">
        <v>68</v>
      </c>
      <c r="E24" t="s">
        <v>69</v>
      </c>
      <c r="F24" t="s">
        <v>52</v>
      </c>
      <c r="G24" t="s">
        <v>70</v>
      </c>
      <c r="H24" t="s">
        <v>88</v>
      </c>
      <c r="I24">
        <v>2025</v>
      </c>
      <c r="J24">
        <v>29.751000000000001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83</v>
      </c>
      <c r="D25" t="s">
        <v>68</v>
      </c>
      <c r="E25" t="s">
        <v>69</v>
      </c>
      <c r="F25" t="s">
        <v>52</v>
      </c>
      <c r="G25" t="s">
        <v>70</v>
      </c>
      <c r="H25" t="s">
        <v>88</v>
      </c>
      <c r="I25">
        <v>2030</v>
      </c>
      <c r="J25">
        <v>29.111799999999999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83</v>
      </c>
      <c r="D26" t="s">
        <v>68</v>
      </c>
      <c r="E26" t="s">
        <v>69</v>
      </c>
      <c r="F26" t="s">
        <v>52</v>
      </c>
      <c r="G26" t="s">
        <v>70</v>
      </c>
      <c r="H26" t="s">
        <v>88</v>
      </c>
      <c r="I26">
        <v>2035</v>
      </c>
      <c r="J26">
        <v>16.412400000000002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83</v>
      </c>
      <c r="D27" t="s">
        <v>68</v>
      </c>
      <c r="E27" t="s">
        <v>69</v>
      </c>
      <c r="F27" t="s">
        <v>52</v>
      </c>
      <c r="G27" t="s">
        <v>70</v>
      </c>
      <c r="H27" t="s">
        <v>88</v>
      </c>
      <c r="I27">
        <v>2040</v>
      </c>
      <c r="J27">
        <v>4.7469999999999999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83</v>
      </c>
      <c r="D28" t="s">
        <v>68</v>
      </c>
      <c r="E28" t="s">
        <v>69</v>
      </c>
      <c r="F28" t="s">
        <v>52</v>
      </c>
      <c r="G28" t="s">
        <v>70</v>
      </c>
      <c r="H28" t="s">
        <v>88</v>
      </c>
      <c r="I28">
        <v>2045</v>
      </c>
      <c r="J28">
        <v>1.8706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83</v>
      </c>
      <c r="D29" t="s">
        <v>68</v>
      </c>
      <c r="E29" t="s">
        <v>69</v>
      </c>
      <c r="F29" t="s">
        <v>52</v>
      </c>
      <c r="G29" t="s">
        <v>70</v>
      </c>
      <c r="H29" t="s">
        <v>88</v>
      </c>
      <c r="I29">
        <v>2050</v>
      </c>
      <c r="J29">
        <v>0.26319999999999999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83</v>
      </c>
      <c r="D30" t="s">
        <v>68</v>
      </c>
      <c r="E30" t="s">
        <v>69</v>
      </c>
      <c r="F30" t="s">
        <v>52</v>
      </c>
      <c r="G30" t="s">
        <v>70</v>
      </c>
      <c r="H30" t="s">
        <v>88</v>
      </c>
      <c r="I30">
        <v>2020</v>
      </c>
      <c r="J30">
        <v>31.292599999999997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83</v>
      </c>
      <c r="D31" t="s">
        <v>68</v>
      </c>
      <c r="E31" t="s">
        <v>69</v>
      </c>
      <c r="F31" t="s">
        <v>52</v>
      </c>
      <c r="G31" t="s">
        <v>70</v>
      </c>
      <c r="H31" t="s">
        <v>88</v>
      </c>
      <c r="I31">
        <v>2025</v>
      </c>
      <c r="J31">
        <v>35.043199999999999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83</v>
      </c>
      <c r="D32" t="s">
        <v>68</v>
      </c>
      <c r="E32" t="s">
        <v>69</v>
      </c>
      <c r="F32" t="s">
        <v>52</v>
      </c>
      <c r="G32" t="s">
        <v>70</v>
      </c>
      <c r="H32" t="s">
        <v>88</v>
      </c>
      <c r="I32">
        <v>2030</v>
      </c>
      <c r="J32">
        <v>1.5697999999999999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83</v>
      </c>
      <c r="D33" t="s">
        <v>68</v>
      </c>
      <c r="E33" t="s">
        <v>69</v>
      </c>
      <c r="F33" t="s">
        <v>52</v>
      </c>
      <c r="G33" t="s">
        <v>70</v>
      </c>
      <c r="H33" t="s">
        <v>88</v>
      </c>
      <c r="I33">
        <v>2035</v>
      </c>
      <c r="J33">
        <v>0.3196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83</v>
      </c>
      <c r="D34" t="s">
        <v>68</v>
      </c>
      <c r="E34" t="s">
        <v>69</v>
      </c>
      <c r="F34" t="s">
        <v>52</v>
      </c>
      <c r="G34" t="s">
        <v>70</v>
      </c>
      <c r="H34" t="s">
        <v>88</v>
      </c>
      <c r="I34">
        <v>2040</v>
      </c>
      <c r="J34">
        <v>0.20680000000000001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83</v>
      </c>
      <c r="D35" t="s">
        <v>68</v>
      </c>
      <c r="E35" t="s">
        <v>69</v>
      </c>
      <c r="F35" t="s">
        <v>52</v>
      </c>
      <c r="G35" t="s">
        <v>70</v>
      </c>
      <c r="H35" t="s">
        <v>88</v>
      </c>
      <c r="I35">
        <v>2045</v>
      </c>
      <c r="J35">
        <v>0.188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83</v>
      </c>
      <c r="D36" t="s">
        <v>68</v>
      </c>
      <c r="E36" t="s">
        <v>69</v>
      </c>
      <c r="F36" t="s">
        <v>52</v>
      </c>
      <c r="G36" t="s">
        <v>70</v>
      </c>
      <c r="H36" t="s">
        <v>88</v>
      </c>
      <c r="I36">
        <v>2050</v>
      </c>
      <c r="J36">
        <v>8.4599999999999995E-2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83</v>
      </c>
      <c r="D37" t="s">
        <v>68</v>
      </c>
      <c r="E37" t="s">
        <v>69</v>
      </c>
      <c r="F37" t="s">
        <v>52</v>
      </c>
      <c r="G37" t="s">
        <v>70</v>
      </c>
      <c r="H37" t="s">
        <v>88</v>
      </c>
      <c r="I37">
        <v>2020</v>
      </c>
      <c r="J37">
        <v>31.6968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83</v>
      </c>
      <c r="D38" t="s">
        <v>68</v>
      </c>
      <c r="E38" t="s">
        <v>69</v>
      </c>
      <c r="F38" t="s">
        <v>52</v>
      </c>
      <c r="G38" t="s">
        <v>70</v>
      </c>
      <c r="H38" t="s">
        <v>88</v>
      </c>
      <c r="I38">
        <v>2025</v>
      </c>
      <c r="J38">
        <v>35.381599999999999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83</v>
      </c>
      <c r="D39" t="s">
        <v>68</v>
      </c>
      <c r="E39" t="s">
        <v>69</v>
      </c>
      <c r="F39" t="s">
        <v>52</v>
      </c>
      <c r="G39" t="s">
        <v>70</v>
      </c>
      <c r="H39" t="s">
        <v>88</v>
      </c>
      <c r="I39">
        <v>2030</v>
      </c>
      <c r="J39">
        <v>29.327999999999999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83</v>
      </c>
      <c r="D40" t="s">
        <v>68</v>
      </c>
      <c r="E40" t="s">
        <v>69</v>
      </c>
      <c r="F40" t="s">
        <v>52</v>
      </c>
      <c r="G40" t="s">
        <v>70</v>
      </c>
      <c r="H40" t="s">
        <v>88</v>
      </c>
      <c r="I40">
        <v>2035</v>
      </c>
      <c r="J40">
        <v>23.415399999999998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83</v>
      </c>
      <c r="D41" t="s">
        <v>68</v>
      </c>
      <c r="E41" t="s">
        <v>69</v>
      </c>
      <c r="F41" t="s">
        <v>52</v>
      </c>
      <c r="G41" t="s">
        <v>70</v>
      </c>
      <c r="H41" t="s">
        <v>88</v>
      </c>
      <c r="I41">
        <v>2040</v>
      </c>
      <c r="J41">
        <v>6.9465999999999992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83</v>
      </c>
      <c r="D42" t="s">
        <v>68</v>
      </c>
      <c r="E42" t="s">
        <v>69</v>
      </c>
      <c r="F42" t="s">
        <v>52</v>
      </c>
      <c r="G42" t="s">
        <v>70</v>
      </c>
      <c r="H42" t="s">
        <v>88</v>
      </c>
      <c r="I42">
        <v>2045</v>
      </c>
      <c r="J42">
        <v>1.8612000000000002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83</v>
      </c>
      <c r="D43" t="s">
        <v>68</v>
      </c>
      <c r="E43" t="s">
        <v>69</v>
      </c>
      <c r="F43" t="s">
        <v>52</v>
      </c>
      <c r="G43" t="s">
        <v>70</v>
      </c>
      <c r="H43" t="s">
        <v>88</v>
      </c>
      <c r="I43">
        <v>2050</v>
      </c>
      <c r="J43">
        <v>1.3253999999999999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83</v>
      </c>
      <c r="D44" t="s">
        <v>68</v>
      </c>
      <c r="E44" t="s">
        <v>69</v>
      </c>
      <c r="F44" t="s">
        <v>52</v>
      </c>
      <c r="G44" t="s">
        <v>70</v>
      </c>
      <c r="H44" t="s">
        <v>88</v>
      </c>
      <c r="I44">
        <v>2020</v>
      </c>
      <c r="J44">
        <v>31.151599999999998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83</v>
      </c>
      <c r="D45" t="s">
        <v>68</v>
      </c>
      <c r="E45" t="s">
        <v>69</v>
      </c>
      <c r="F45" t="s">
        <v>52</v>
      </c>
      <c r="G45" t="s">
        <v>70</v>
      </c>
      <c r="H45" t="s">
        <v>88</v>
      </c>
      <c r="I45">
        <v>2025</v>
      </c>
      <c r="J45">
        <v>34.874000000000002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83</v>
      </c>
      <c r="D46" t="s">
        <v>68</v>
      </c>
      <c r="E46" t="s">
        <v>69</v>
      </c>
      <c r="F46" t="s">
        <v>52</v>
      </c>
      <c r="G46" t="s">
        <v>70</v>
      </c>
      <c r="H46" t="s">
        <v>88</v>
      </c>
      <c r="I46">
        <v>2030</v>
      </c>
      <c r="J46">
        <v>1.4946000000000002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83</v>
      </c>
      <c r="D47" t="s">
        <v>68</v>
      </c>
      <c r="E47" t="s">
        <v>69</v>
      </c>
      <c r="F47" t="s">
        <v>52</v>
      </c>
      <c r="G47" t="s">
        <v>70</v>
      </c>
      <c r="H47" t="s">
        <v>88</v>
      </c>
      <c r="I47">
        <v>2035</v>
      </c>
      <c r="J47">
        <v>0.3196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83</v>
      </c>
      <c r="D48" t="s">
        <v>68</v>
      </c>
      <c r="E48" t="s">
        <v>69</v>
      </c>
      <c r="F48" t="s">
        <v>52</v>
      </c>
      <c r="G48" t="s">
        <v>70</v>
      </c>
      <c r="H48" t="s">
        <v>88</v>
      </c>
      <c r="I48">
        <v>2040</v>
      </c>
      <c r="J48">
        <v>0.43240000000000001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83</v>
      </c>
      <c r="D49" t="s">
        <v>68</v>
      </c>
      <c r="E49" t="s">
        <v>69</v>
      </c>
      <c r="F49" t="s">
        <v>52</v>
      </c>
      <c r="G49" t="s">
        <v>70</v>
      </c>
      <c r="H49" t="s">
        <v>88</v>
      </c>
      <c r="I49">
        <v>2045</v>
      </c>
      <c r="J49">
        <v>0.11279999999999998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83</v>
      </c>
      <c r="D50" t="s">
        <v>68</v>
      </c>
      <c r="E50" t="s">
        <v>69</v>
      </c>
      <c r="F50" t="s">
        <v>52</v>
      </c>
      <c r="G50" t="s">
        <v>70</v>
      </c>
      <c r="H50" t="s">
        <v>88</v>
      </c>
      <c r="I50">
        <v>2050</v>
      </c>
      <c r="J50">
        <v>7.5200000000000003E-2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83</v>
      </c>
      <c r="D51" t="s">
        <v>68</v>
      </c>
      <c r="E51" t="s">
        <v>69</v>
      </c>
      <c r="F51" t="s">
        <v>53</v>
      </c>
      <c r="G51" t="s">
        <v>70</v>
      </c>
      <c r="H51" t="s">
        <v>88</v>
      </c>
      <c r="I51">
        <v>2020</v>
      </c>
      <c r="J51">
        <v>2.629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83</v>
      </c>
      <c r="D52" t="s">
        <v>68</v>
      </c>
      <c r="E52" t="s">
        <v>69</v>
      </c>
      <c r="F52" t="s">
        <v>53</v>
      </c>
      <c r="G52" t="s">
        <v>70</v>
      </c>
      <c r="H52" t="s">
        <v>88</v>
      </c>
      <c r="I52">
        <v>2025</v>
      </c>
      <c r="J52">
        <v>5.1755000000000004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83</v>
      </c>
      <c r="D53" t="s">
        <v>68</v>
      </c>
      <c r="E53" t="s">
        <v>69</v>
      </c>
      <c r="F53" t="s">
        <v>53</v>
      </c>
      <c r="G53" t="s">
        <v>70</v>
      </c>
      <c r="H53" t="s">
        <v>88</v>
      </c>
      <c r="I53">
        <v>2030</v>
      </c>
      <c r="J53">
        <v>6.16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83</v>
      </c>
      <c r="D54" t="s">
        <v>68</v>
      </c>
      <c r="E54" t="s">
        <v>69</v>
      </c>
      <c r="F54" t="s">
        <v>53</v>
      </c>
      <c r="G54" t="s">
        <v>70</v>
      </c>
      <c r="H54" t="s">
        <v>88</v>
      </c>
      <c r="I54">
        <v>2035</v>
      </c>
      <c r="J54">
        <v>5.1920000000000002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83</v>
      </c>
      <c r="D55" t="s">
        <v>68</v>
      </c>
      <c r="E55" t="s">
        <v>69</v>
      </c>
      <c r="F55" t="s">
        <v>53</v>
      </c>
      <c r="G55" t="s">
        <v>70</v>
      </c>
      <c r="H55" t="s">
        <v>88</v>
      </c>
      <c r="I55">
        <v>2040</v>
      </c>
      <c r="J55">
        <v>7.4744999999999999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83</v>
      </c>
      <c r="D56" t="s">
        <v>68</v>
      </c>
      <c r="E56" t="s">
        <v>69</v>
      </c>
      <c r="F56" t="s">
        <v>53</v>
      </c>
      <c r="G56" t="s">
        <v>70</v>
      </c>
      <c r="H56" t="s">
        <v>88</v>
      </c>
      <c r="I56">
        <v>2045</v>
      </c>
      <c r="J56">
        <v>7.5734999999999992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83</v>
      </c>
      <c r="D57" t="s">
        <v>68</v>
      </c>
      <c r="E57" t="s">
        <v>69</v>
      </c>
      <c r="F57" t="s">
        <v>53</v>
      </c>
      <c r="G57" t="s">
        <v>70</v>
      </c>
      <c r="H57" t="s">
        <v>88</v>
      </c>
      <c r="I57">
        <v>2050</v>
      </c>
      <c r="J57">
        <v>7.1335000000000006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83</v>
      </c>
      <c r="D58" t="s">
        <v>68</v>
      </c>
      <c r="E58" t="s">
        <v>69</v>
      </c>
      <c r="F58" t="s">
        <v>53</v>
      </c>
      <c r="G58" t="s">
        <v>70</v>
      </c>
      <c r="H58" t="s">
        <v>88</v>
      </c>
      <c r="I58">
        <v>2020</v>
      </c>
      <c r="J58">
        <v>2.6180000000000003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83</v>
      </c>
      <c r="D59" t="s">
        <v>68</v>
      </c>
      <c r="E59" t="s">
        <v>69</v>
      </c>
      <c r="F59" t="s">
        <v>53</v>
      </c>
      <c r="G59" t="s">
        <v>70</v>
      </c>
      <c r="H59" t="s">
        <v>88</v>
      </c>
      <c r="I59">
        <v>2025</v>
      </c>
      <c r="J59">
        <v>4.1909999999999998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83</v>
      </c>
      <c r="D60" t="s">
        <v>68</v>
      </c>
      <c r="E60" t="s">
        <v>69</v>
      </c>
      <c r="F60" t="s">
        <v>53</v>
      </c>
      <c r="G60" t="s">
        <v>70</v>
      </c>
      <c r="H60" t="s">
        <v>88</v>
      </c>
      <c r="I60">
        <v>2030</v>
      </c>
      <c r="J60">
        <v>7.9805000000000001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83</v>
      </c>
      <c r="D61" t="s">
        <v>68</v>
      </c>
      <c r="E61" t="s">
        <v>69</v>
      </c>
      <c r="F61" t="s">
        <v>53</v>
      </c>
      <c r="G61" t="s">
        <v>70</v>
      </c>
      <c r="H61" t="s">
        <v>88</v>
      </c>
      <c r="I61">
        <v>2035</v>
      </c>
      <c r="J61">
        <v>17.094000000000001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83</v>
      </c>
      <c r="D62" t="s">
        <v>68</v>
      </c>
      <c r="E62" t="s">
        <v>69</v>
      </c>
      <c r="F62" t="s">
        <v>53</v>
      </c>
      <c r="G62" t="s">
        <v>70</v>
      </c>
      <c r="H62" t="s">
        <v>88</v>
      </c>
      <c r="I62">
        <v>2040</v>
      </c>
      <c r="J62">
        <v>21.626000000000001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83</v>
      </c>
      <c r="D63" t="s">
        <v>68</v>
      </c>
      <c r="E63" t="s">
        <v>69</v>
      </c>
      <c r="F63" t="s">
        <v>53</v>
      </c>
      <c r="G63" t="s">
        <v>70</v>
      </c>
      <c r="H63" t="s">
        <v>88</v>
      </c>
      <c r="I63">
        <v>2045</v>
      </c>
      <c r="J63">
        <v>14.184500000000002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83</v>
      </c>
      <c r="D64" t="s">
        <v>68</v>
      </c>
      <c r="E64" t="s">
        <v>69</v>
      </c>
      <c r="F64" t="s">
        <v>53</v>
      </c>
      <c r="G64" t="s">
        <v>70</v>
      </c>
      <c r="H64" t="s">
        <v>88</v>
      </c>
      <c r="I64">
        <v>2050</v>
      </c>
      <c r="J64">
        <v>18.3095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83</v>
      </c>
      <c r="D65" t="s">
        <v>68</v>
      </c>
      <c r="E65" t="s">
        <v>69</v>
      </c>
      <c r="F65" t="s">
        <v>53</v>
      </c>
      <c r="G65" t="s">
        <v>70</v>
      </c>
      <c r="H65" t="s">
        <v>88</v>
      </c>
      <c r="I65">
        <v>2020</v>
      </c>
      <c r="J65">
        <v>2.5960000000000001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83</v>
      </c>
      <c r="D66" t="s">
        <v>68</v>
      </c>
      <c r="E66" t="s">
        <v>69</v>
      </c>
      <c r="F66" t="s">
        <v>53</v>
      </c>
      <c r="G66" t="s">
        <v>70</v>
      </c>
      <c r="H66" t="s">
        <v>88</v>
      </c>
      <c r="I66">
        <v>2025</v>
      </c>
      <c r="J66">
        <v>4.1415000000000006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83</v>
      </c>
      <c r="D67" t="s">
        <v>68</v>
      </c>
      <c r="E67" t="s">
        <v>69</v>
      </c>
      <c r="F67" t="s">
        <v>53</v>
      </c>
      <c r="G67" t="s">
        <v>70</v>
      </c>
      <c r="H67" t="s">
        <v>88</v>
      </c>
      <c r="I67">
        <v>2030</v>
      </c>
      <c r="J67">
        <v>7.8924999999999992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83</v>
      </c>
      <c r="D68" t="s">
        <v>68</v>
      </c>
      <c r="E68" t="s">
        <v>69</v>
      </c>
      <c r="F68" t="s">
        <v>53</v>
      </c>
      <c r="G68" t="s">
        <v>70</v>
      </c>
      <c r="H68" t="s">
        <v>88</v>
      </c>
      <c r="I68">
        <v>2035</v>
      </c>
      <c r="J68">
        <v>5.5440000000000005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83</v>
      </c>
      <c r="D69" t="s">
        <v>68</v>
      </c>
      <c r="E69" t="s">
        <v>69</v>
      </c>
      <c r="F69" t="s">
        <v>53</v>
      </c>
      <c r="G69" t="s">
        <v>70</v>
      </c>
      <c r="H69" t="s">
        <v>88</v>
      </c>
      <c r="I69">
        <v>2040</v>
      </c>
      <c r="J69">
        <v>2.9755000000000003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83</v>
      </c>
      <c r="D70" t="s">
        <v>68</v>
      </c>
      <c r="E70" t="s">
        <v>69</v>
      </c>
      <c r="F70" t="s">
        <v>53</v>
      </c>
      <c r="G70" t="s">
        <v>70</v>
      </c>
      <c r="H70" t="s">
        <v>88</v>
      </c>
      <c r="I70">
        <v>2045</v>
      </c>
      <c r="J70">
        <v>2.6234999999999999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83</v>
      </c>
      <c r="D71" t="s">
        <v>68</v>
      </c>
      <c r="E71" t="s">
        <v>69</v>
      </c>
      <c r="F71" t="s">
        <v>53</v>
      </c>
      <c r="G71" t="s">
        <v>70</v>
      </c>
      <c r="H71" t="s">
        <v>88</v>
      </c>
      <c r="I71">
        <v>2050</v>
      </c>
      <c r="J71">
        <v>1.8150000000000002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83</v>
      </c>
      <c r="D72" t="s">
        <v>68</v>
      </c>
      <c r="E72" t="s">
        <v>69</v>
      </c>
      <c r="F72" t="s">
        <v>53</v>
      </c>
      <c r="G72" t="s">
        <v>70</v>
      </c>
      <c r="H72" t="s">
        <v>88</v>
      </c>
      <c r="I72">
        <v>2020</v>
      </c>
      <c r="J72">
        <v>2.5960000000000001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83</v>
      </c>
      <c r="D73" t="s">
        <v>68</v>
      </c>
      <c r="E73" t="s">
        <v>69</v>
      </c>
      <c r="F73" t="s">
        <v>53</v>
      </c>
      <c r="G73" t="s">
        <v>70</v>
      </c>
      <c r="H73" t="s">
        <v>88</v>
      </c>
      <c r="I73">
        <v>2025</v>
      </c>
      <c r="J73">
        <v>4.125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83</v>
      </c>
      <c r="D74" t="s">
        <v>68</v>
      </c>
      <c r="E74" t="s">
        <v>69</v>
      </c>
      <c r="F74" t="s">
        <v>53</v>
      </c>
      <c r="G74" t="s">
        <v>70</v>
      </c>
      <c r="H74" t="s">
        <v>88</v>
      </c>
      <c r="I74">
        <v>2030</v>
      </c>
      <c r="J74">
        <v>7.931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83</v>
      </c>
      <c r="D75" t="s">
        <v>68</v>
      </c>
      <c r="E75" t="s">
        <v>69</v>
      </c>
      <c r="F75" t="s">
        <v>53</v>
      </c>
      <c r="G75" t="s">
        <v>70</v>
      </c>
      <c r="H75" t="s">
        <v>88</v>
      </c>
      <c r="I75">
        <v>2035</v>
      </c>
      <c r="J75">
        <v>13.870999999999999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83</v>
      </c>
      <c r="D76" t="s">
        <v>68</v>
      </c>
      <c r="E76" t="s">
        <v>69</v>
      </c>
      <c r="F76" t="s">
        <v>53</v>
      </c>
      <c r="G76" t="s">
        <v>70</v>
      </c>
      <c r="H76" t="s">
        <v>88</v>
      </c>
      <c r="I76">
        <v>2040</v>
      </c>
      <c r="J76">
        <v>9.9934999999999992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83</v>
      </c>
      <c r="D77" t="s">
        <v>68</v>
      </c>
      <c r="E77" t="s">
        <v>69</v>
      </c>
      <c r="F77" t="s">
        <v>53</v>
      </c>
      <c r="G77" t="s">
        <v>70</v>
      </c>
      <c r="H77" t="s">
        <v>88</v>
      </c>
      <c r="I77">
        <v>2045</v>
      </c>
      <c r="J77">
        <v>10.351000000000001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83</v>
      </c>
      <c r="D78" t="s">
        <v>68</v>
      </c>
      <c r="E78" t="s">
        <v>69</v>
      </c>
      <c r="F78" t="s">
        <v>53</v>
      </c>
      <c r="G78" t="s">
        <v>70</v>
      </c>
      <c r="H78" t="s">
        <v>88</v>
      </c>
      <c r="I78">
        <v>2050</v>
      </c>
      <c r="J78">
        <v>6.8035000000000005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83</v>
      </c>
      <c r="D79" t="s">
        <v>68</v>
      </c>
      <c r="E79" t="s">
        <v>69</v>
      </c>
      <c r="F79" t="s">
        <v>53</v>
      </c>
      <c r="G79" t="s">
        <v>70</v>
      </c>
      <c r="H79" t="s">
        <v>88</v>
      </c>
      <c r="I79">
        <v>2020</v>
      </c>
      <c r="J79">
        <v>2.6565000000000003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83</v>
      </c>
      <c r="D80" t="s">
        <v>68</v>
      </c>
      <c r="E80" t="s">
        <v>69</v>
      </c>
      <c r="F80" t="s">
        <v>53</v>
      </c>
      <c r="G80" t="s">
        <v>70</v>
      </c>
      <c r="H80" t="s">
        <v>88</v>
      </c>
      <c r="I80">
        <v>2025</v>
      </c>
      <c r="J80">
        <v>5.1864999999999997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83</v>
      </c>
      <c r="D81" t="s">
        <v>68</v>
      </c>
      <c r="E81" t="s">
        <v>69</v>
      </c>
      <c r="F81" t="s">
        <v>53</v>
      </c>
      <c r="G81" t="s">
        <v>70</v>
      </c>
      <c r="H81" t="s">
        <v>88</v>
      </c>
      <c r="I81">
        <v>2030</v>
      </c>
      <c r="J81">
        <v>3.5914999999999999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83</v>
      </c>
      <c r="D82" t="s">
        <v>68</v>
      </c>
      <c r="E82" t="s">
        <v>69</v>
      </c>
      <c r="F82" t="s">
        <v>53</v>
      </c>
      <c r="G82" t="s">
        <v>70</v>
      </c>
      <c r="H82" t="s">
        <v>88</v>
      </c>
      <c r="I82">
        <v>2035</v>
      </c>
      <c r="J82">
        <v>0.5665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83</v>
      </c>
      <c r="D83" t="s">
        <v>68</v>
      </c>
      <c r="E83" t="s">
        <v>69</v>
      </c>
      <c r="F83" t="s">
        <v>53</v>
      </c>
      <c r="G83" t="s">
        <v>70</v>
      </c>
      <c r="H83" t="s">
        <v>88</v>
      </c>
      <c r="I83">
        <v>2040</v>
      </c>
      <c r="J83">
        <v>1.2870000000000001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83</v>
      </c>
      <c r="D84" t="s">
        <v>68</v>
      </c>
      <c r="E84" t="s">
        <v>69</v>
      </c>
      <c r="F84" t="s">
        <v>53</v>
      </c>
      <c r="G84" t="s">
        <v>70</v>
      </c>
      <c r="H84" t="s">
        <v>88</v>
      </c>
      <c r="I84">
        <v>2045</v>
      </c>
      <c r="J84">
        <v>1.298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83</v>
      </c>
      <c r="D85" t="s">
        <v>68</v>
      </c>
      <c r="E85" t="s">
        <v>69</v>
      </c>
      <c r="F85" t="s">
        <v>53</v>
      </c>
      <c r="G85" t="s">
        <v>70</v>
      </c>
      <c r="H85" t="s">
        <v>88</v>
      </c>
      <c r="I85">
        <v>2050</v>
      </c>
      <c r="J85">
        <v>0.98449999999999993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83</v>
      </c>
      <c r="D86" t="s">
        <v>68</v>
      </c>
      <c r="E86" t="s">
        <v>69</v>
      </c>
      <c r="F86" t="s">
        <v>53</v>
      </c>
      <c r="G86" t="s">
        <v>70</v>
      </c>
      <c r="H86" t="s">
        <v>88</v>
      </c>
      <c r="I86">
        <v>2020</v>
      </c>
      <c r="J86">
        <v>2.64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83</v>
      </c>
      <c r="D87" t="s">
        <v>68</v>
      </c>
      <c r="E87" t="s">
        <v>69</v>
      </c>
      <c r="F87" t="s">
        <v>53</v>
      </c>
      <c r="G87" t="s">
        <v>70</v>
      </c>
      <c r="H87" t="s">
        <v>88</v>
      </c>
      <c r="I87">
        <v>2025</v>
      </c>
      <c r="J87">
        <v>5.181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83</v>
      </c>
      <c r="D88" t="s">
        <v>68</v>
      </c>
      <c r="E88" t="s">
        <v>69</v>
      </c>
      <c r="F88" t="s">
        <v>53</v>
      </c>
      <c r="G88" t="s">
        <v>70</v>
      </c>
      <c r="H88" t="s">
        <v>88</v>
      </c>
      <c r="I88">
        <v>2030</v>
      </c>
      <c r="J88">
        <v>8.8879999999999999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83</v>
      </c>
      <c r="D89" t="s">
        <v>68</v>
      </c>
      <c r="E89" t="s">
        <v>69</v>
      </c>
      <c r="F89" t="s">
        <v>53</v>
      </c>
      <c r="G89" t="s">
        <v>70</v>
      </c>
      <c r="H89" t="s">
        <v>88</v>
      </c>
      <c r="I89">
        <v>2035</v>
      </c>
      <c r="J89">
        <v>17.126999999999999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83</v>
      </c>
      <c r="D90" t="s">
        <v>68</v>
      </c>
      <c r="E90" t="s">
        <v>69</v>
      </c>
      <c r="F90" t="s">
        <v>53</v>
      </c>
      <c r="G90" t="s">
        <v>70</v>
      </c>
      <c r="H90" t="s">
        <v>88</v>
      </c>
      <c r="I90">
        <v>2040</v>
      </c>
      <c r="J90">
        <v>13.6675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83</v>
      </c>
      <c r="D91" t="s">
        <v>68</v>
      </c>
      <c r="E91" t="s">
        <v>69</v>
      </c>
      <c r="F91" t="s">
        <v>53</v>
      </c>
      <c r="G91" t="s">
        <v>70</v>
      </c>
      <c r="H91" t="s">
        <v>88</v>
      </c>
      <c r="I91">
        <v>2045</v>
      </c>
      <c r="J91">
        <v>11.1595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83</v>
      </c>
      <c r="D92" t="s">
        <v>68</v>
      </c>
      <c r="E92" t="s">
        <v>69</v>
      </c>
      <c r="F92" t="s">
        <v>53</v>
      </c>
      <c r="G92" t="s">
        <v>70</v>
      </c>
      <c r="H92" t="s">
        <v>88</v>
      </c>
      <c r="I92">
        <v>2050</v>
      </c>
      <c r="J92">
        <v>12.314499999999999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83</v>
      </c>
      <c r="D93" t="s">
        <v>68</v>
      </c>
      <c r="E93" t="s">
        <v>69</v>
      </c>
      <c r="F93" t="s">
        <v>53</v>
      </c>
      <c r="G93" t="s">
        <v>70</v>
      </c>
      <c r="H93" t="s">
        <v>88</v>
      </c>
      <c r="I93">
        <v>2020</v>
      </c>
      <c r="J93">
        <v>2.673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83</v>
      </c>
      <c r="D94" t="s">
        <v>68</v>
      </c>
      <c r="E94" t="s">
        <v>69</v>
      </c>
      <c r="F94" t="s">
        <v>53</v>
      </c>
      <c r="G94" t="s">
        <v>70</v>
      </c>
      <c r="H94" t="s">
        <v>88</v>
      </c>
      <c r="I94">
        <v>2025</v>
      </c>
      <c r="J94">
        <v>5.2690000000000001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83</v>
      </c>
      <c r="D95" t="s">
        <v>68</v>
      </c>
      <c r="E95" t="s">
        <v>69</v>
      </c>
      <c r="F95" t="s">
        <v>53</v>
      </c>
      <c r="G95" t="s">
        <v>70</v>
      </c>
      <c r="H95" t="s">
        <v>88</v>
      </c>
      <c r="I95">
        <v>2030</v>
      </c>
      <c r="J95">
        <v>5.7255000000000003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83</v>
      </c>
      <c r="D96" t="s">
        <v>68</v>
      </c>
      <c r="E96" t="s">
        <v>69</v>
      </c>
      <c r="F96" t="s">
        <v>53</v>
      </c>
      <c r="G96" t="s">
        <v>70</v>
      </c>
      <c r="H96" t="s">
        <v>88</v>
      </c>
      <c r="I96">
        <v>2035</v>
      </c>
      <c r="J96">
        <v>0.81400000000000006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83</v>
      </c>
      <c r="D97" t="s">
        <v>68</v>
      </c>
      <c r="E97" t="s">
        <v>69</v>
      </c>
      <c r="F97" t="s">
        <v>53</v>
      </c>
      <c r="G97" t="s">
        <v>70</v>
      </c>
      <c r="H97" t="s">
        <v>88</v>
      </c>
      <c r="I97">
        <v>2040</v>
      </c>
      <c r="J97">
        <v>1.7985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83</v>
      </c>
      <c r="D98" t="s">
        <v>68</v>
      </c>
      <c r="E98" t="s">
        <v>69</v>
      </c>
      <c r="F98" t="s">
        <v>53</v>
      </c>
      <c r="G98" t="s">
        <v>70</v>
      </c>
      <c r="H98" t="s">
        <v>88</v>
      </c>
      <c r="I98">
        <v>2045</v>
      </c>
      <c r="J98">
        <v>0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83</v>
      </c>
      <c r="D99" t="s">
        <v>68</v>
      </c>
      <c r="E99" t="s">
        <v>69</v>
      </c>
      <c r="F99" t="s">
        <v>53</v>
      </c>
      <c r="G99" t="s">
        <v>70</v>
      </c>
      <c r="H99" t="s">
        <v>88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83</v>
      </c>
      <c r="D100" t="s">
        <v>68</v>
      </c>
      <c r="E100" t="s">
        <v>69</v>
      </c>
      <c r="F100" t="s">
        <v>54</v>
      </c>
      <c r="G100" t="s">
        <v>70</v>
      </c>
      <c r="H100" t="s">
        <v>88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83</v>
      </c>
      <c r="D101" t="s">
        <v>68</v>
      </c>
      <c r="E101" t="s">
        <v>69</v>
      </c>
      <c r="F101" t="s">
        <v>54</v>
      </c>
      <c r="G101" t="s">
        <v>70</v>
      </c>
      <c r="H101" t="s">
        <v>88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83</v>
      </c>
      <c r="D102" t="s">
        <v>68</v>
      </c>
      <c r="E102" t="s">
        <v>69</v>
      </c>
      <c r="F102" t="s">
        <v>54</v>
      </c>
      <c r="G102" t="s">
        <v>70</v>
      </c>
      <c r="H102" t="s">
        <v>88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83</v>
      </c>
      <c r="D103" t="s">
        <v>68</v>
      </c>
      <c r="E103" t="s">
        <v>69</v>
      </c>
      <c r="F103" t="s">
        <v>54</v>
      </c>
      <c r="G103" t="s">
        <v>70</v>
      </c>
      <c r="H103" t="s">
        <v>88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83</v>
      </c>
      <c r="D104" t="s">
        <v>68</v>
      </c>
      <c r="E104" t="s">
        <v>69</v>
      </c>
      <c r="F104" t="s">
        <v>54</v>
      </c>
      <c r="G104" t="s">
        <v>70</v>
      </c>
      <c r="H104" t="s">
        <v>88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83</v>
      </c>
      <c r="D105" t="s">
        <v>68</v>
      </c>
      <c r="E105" t="s">
        <v>69</v>
      </c>
      <c r="F105" t="s">
        <v>54</v>
      </c>
      <c r="G105" t="s">
        <v>70</v>
      </c>
      <c r="H105" t="s">
        <v>88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83</v>
      </c>
      <c r="D106" t="s">
        <v>68</v>
      </c>
      <c r="E106" t="s">
        <v>69</v>
      </c>
      <c r="F106" t="s">
        <v>54</v>
      </c>
      <c r="G106" t="s">
        <v>70</v>
      </c>
      <c r="H106" t="s">
        <v>88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83</v>
      </c>
      <c r="D107" t="s">
        <v>68</v>
      </c>
      <c r="E107" t="s">
        <v>69</v>
      </c>
      <c r="F107" t="s">
        <v>54</v>
      </c>
      <c r="G107" t="s">
        <v>70</v>
      </c>
      <c r="H107" t="s">
        <v>88</v>
      </c>
      <c r="I107">
        <v>2020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83</v>
      </c>
      <c r="D108" t="s">
        <v>68</v>
      </c>
      <c r="E108" t="s">
        <v>69</v>
      </c>
      <c r="F108" t="s">
        <v>54</v>
      </c>
      <c r="G108" t="s">
        <v>70</v>
      </c>
      <c r="H108" t="s">
        <v>88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83</v>
      </c>
      <c r="D109" t="s">
        <v>68</v>
      </c>
      <c r="E109" t="s">
        <v>69</v>
      </c>
      <c r="F109" t="s">
        <v>54</v>
      </c>
      <c r="G109" t="s">
        <v>70</v>
      </c>
      <c r="H109" t="s">
        <v>88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83</v>
      </c>
      <c r="D110" t="s">
        <v>68</v>
      </c>
      <c r="E110" t="s">
        <v>69</v>
      </c>
      <c r="F110" t="s">
        <v>54</v>
      </c>
      <c r="G110" t="s">
        <v>70</v>
      </c>
      <c r="H110" t="s">
        <v>88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83</v>
      </c>
      <c r="D111" t="s">
        <v>68</v>
      </c>
      <c r="E111" t="s">
        <v>69</v>
      </c>
      <c r="F111" t="s">
        <v>54</v>
      </c>
      <c r="G111" t="s">
        <v>70</v>
      </c>
      <c r="H111" t="s">
        <v>88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83</v>
      </c>
      <c r="D112" t="s">
        <v>68</v>
      </c>
      <c r="E112" t="s">
        <v>69</v>
      </c>
      <c r="F112" t="s">
        <v>54</v>
      </c>
      <c r="G112" t="s">
        <v>70</v>
      </c>
      <c r="H112" t="s">
        <v>88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83</v>
      </c>
      <c r="D113" t="s">
        <v>68</v>
      </c>
      <c r="E113" t="s">
        <v>69</v>
      </c>
      <c r="F113" t="s">
        <v>54</v>
      </c>
      <c r="G113" t="s">
        <v>70</v>
      </c>
      <c r="H113" t="s">
        <v>88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83</v>
      </c>
      <c r="D114" t="s">
        <v>68</v>
      </c>
      <c r="E114" t="s">
        <v>69</v>
      </c>
      <c r="F114" t="s">
        <v>54</v>
      </c>
      <c r="G114" t="s">
        <v>70</v>
      </c>
      <c r="H114" t="s">
        <v>88</v>
      </c>
      <c r="I114">
        <v>2020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83</v>
      </c>
      <c r="D115" t="s">
        <v>68</v>
      </c>
      <c r="E115" t="s">
        <v>69</v>
      </c>
      <c r="F115" t="s">
        <v>54</v>
      </c>
      <c r="G115" t="s">
        <v>70</v>
      </c>
      <c r="H115" t="s">
        <v>88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83</v>
      </c>
      <c r="D116" t="s">
        <v>68</v>
      </c>
      <c r="E116" t="s">
        <v>69</v>
      </c>
      <c r="F116" t="s">
        <v>54</v>
      </c>
      <c r="G116" t="s">
        <v>70</v>
      </c>
      <c r="H116" t="s">
        <v>88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83</v>
      </c>
      <c r="D117" t="s">
        <v>68</v>
      </c>
      <c r="E117" t="s">
        <v>69</v>
      </c>
      <c r="F117" t="s">
        <v>54</v>
      </c>
      <c r="G117" t="s">
        <v>70</v>
      </c>
      <c r="H117" t="s">
        <v>88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83</v>
      </c>
      <c r="D118" t="s">
        <v>68</v>
      </c>
      <c r="E118" t="s">
        <v>69</v>
      </c>
      <c r="F118" t="s">
        <v>54</v>
      </c>
      <c r="G118" t="s">
        <v>70</v>
      </c>
      <c r="H118" t="s">
        <v>88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83</v>
      </c>
      <c r="D119" t="s">
        <v>68</v>
      </c>
      <c r="E119" t="s">
        <v>69</v>
      </c>
      <c r="F119" t="s">
        <v>54</v>
      </c>
      <c r="G119" t="s">
        <v>70</v>
      </c>
      <c r="H119" t="s">
        <v>88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83</v>
      </c>
      <c r="D120" t="s">
        <v>68</v>
      </c>
      <c r="E120" t="s">
        <v>69</v>
      </c>
      <c r="F120" t="s">
        <v>54</v>
      </c>
      <c r="G120" t="s">
        <v>70</v>
      </c>
      <c r="H120" t="s">
        <v>88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83</v>
      </c>
      <c r="D121" t="s">
        <v>68</v>
      </c>
      <c r="E121" t="s">
        <v>69</v>
      </c>
      <c r="F121" t="s">
        <v>54</v>
      </c>
      <c r="G121" t="s">
        <v>70</v>
      </c>
      <c r="H121" t="s">
        <v>88</v>
      </c>
      <c r="I121">
        <v>2020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83</v>
      </c>
      <c r="D122" t="s">
        <v>68</v>
      </c>
      <c r="E122" t="s">
        <v>69</v>
      </c>
      <c r="F122" t="s">
        <v>54</v>
      </c>
      <c r="G122" t="s">
        <v>70</v>
      </c>
      <c r="H122" t="s">
        <v>88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83</v>
      </c>
      <c r="D123" t="s">
        <v>68</v>
      </c>
      <c r="E123" t="s">
        <v>69</v>
      </c>
      <c r="F123" t="s">
        <v>54</v>
      </c>
      <c r="G123" t="s">
        <v>70</v>
      </c>
      <c r="H123" t="s">
        <v>88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83</v>
      </c>
      <c r="D124" t="s">
        <v>68</v>
      </c>
      <c r="E124" t="s">
        <v>69</v>
      </c>
      <c r="F124" t="s">
        <v>54</v>
      </c>
      <c r="G124" t="s">
        <v>70</v>
      </c>
      <c r="H124" t="s">
        <v>88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83</v>
      </c>
      <c r="D125" t="s">
        <v>68</v>
      </c>
      <c r="E125" t="s">
        <v>69</v>
      </c>
      <c r="F125" t="s">
        <v>54</v>
      </c>
      <c r="G125" t="s">
        <v>70</v>
      </c>
      <c r="H125" t="s">
        <v>88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83</v>
      </c>
      <c r="D126" t="s">
        <v>68</v>
      </c>
      <c r="E126" t="s">
        <v>69</v>
      </c>
      <c r="F126" t="s">
        <v>54</v>
      </c>
      <c r="G126" t="s">
        <v>70</v>
      </c>
      <c r="H126" t="s">
        <v>88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83</v>
      </c>
      <c r="D127" t="s">
        <v>68</v>
      </c>
      <c r="E127" t="s">
        <v>69</v>
      </c>
      <c r="F127" t="s">
        <v>54</v>
      </c>
      <c r="G127" t="s">
        <v>70</v>
      </c>
      <c r="H127" t="s">
        <v>88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83</v>
      </c>
      <c r="D128" t="s">
        <v>68</v>
      </c>
      <c r="E128" t="s">
        <v>69</v>
      </c>
      <c r="F128" t="s">
        <v>54</v>
      </c>
      <c r="G128" t="s">
        <v>70</v>
      </c>
      <c r="H128" t="s">
        <v>88</v>
      </c>
      <c r="I128">
        <v>2020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83</v>
      </c>
      <c r="D129" t="s">
        <v>68</v>
      </c>
      <c r="E129" t="s">
        <v>69</v>
      </c>
      <c r="F129" t="s">
        <v>54</v>
      </c>
      <c r="G129" t="s">
        <v>70</v>
      </c>
      <c r="H129" t="s">
        <v>88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83</v>
      </c>
      <c r="D130" t="s">
        <v>68</v>
      </c>
      <c r="E130" t="s">
        <v>69</v>
      </c>
      <c r="F130" t="s">
        <v>54</v>
      </c>
      <c r="G130" t="s">
        <v>70</v>
      </c>
      <c r="H130" t="s">
        <v>88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83</v>
      </c>
      <c r="D131" t="s">
        <v>68</v>
      </c>
      <c r="E131" t="s">
        <v>69</v>
      </c>
      <c r="F131" t="s">
        <v>54</v>
      </c>
      <c r="G131" t="s">
        <v>70</v>
      </c>
      <c r="H131" t="s">
        <v>88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83</v>
      </c>
      <c r="D132" t="s">
        <v>68</v>
      </c>
      <c r="E132" t="s">
        <v>69</v>
      </c>
      <c r="F132" t="s">
        <v>54</v>
      </c>
      <c r="G132" t="s">
        <v>70</v>
      </c>
      <c r="H132" t="s">
        <v>88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83</v>
      </c>
      <c r="D133" t="s">
        <v>68</v>
      </c>
      <c r="E133" t="s">
        <v>69</v>
      </c>
      <c r="F133" t="s">
        <v>54</v>
      </c>
      <c r="G133" t="s">
        <v>70</v>
      </c>
      <c r="H133" t="s">
        <v>88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83</v>
      </c>
      <c r="D134" t="s">
        <v>68</v>
      </c>
      <c r="E134" t="s">
        <v>69</v>
      </c>
      <c r="F134" t="s">
        <v>54</v>
      </c>
      <c r="G134" t="s">
        <v>70</v>
      </c>
      <c r="H134" t="s">
        <v>88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83</v>
      </c>
      <c r="D135" t="s">
        <v>68</v>
      </c>
      <c r="E135" t="s">
        <v>69</v>
      </c>
      <c r="F135" t="s">
        <v>54</v>
      </c>
      <c r="G135" t="s">
        <v>70</v>
      </c>
      <c r="H135" t="s">
        <v>88</v>
      </c>
      <c r="I135">
        <v>2020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83</v>
      </c>
      <c r="D136" t="s">
        <v>68</v>
      </c>
      <c r="E136" t="s">
        <v>69</v>
      </c>
      <c r="F136" t="s">
        <v>54</v>
      </c>
      <c r="G136" t="s">
        <v>70</v>
      </c>
      <c r="H136" t="s">
        <v>88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83</v>
      </c>
      <c r="D137" t="s">
        <v>68</v>
      </c>
      <c r="E137" t="s">
        <v>69</v>
      </c>
      <c r="F137" t="s">
        <v>54</v>
      </c>
      <c r="G137" t="s">
        <v>70</v>
      </c>
      <c r="H137" t="s">
        <v>88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83</v>
      </c>
      <c r="D138" t="s">
        <v>68</v>
      </c>
      <c r="E138" t="s">
        <v>69</v>
      </c>
      <c r="F138" t="s">
        <v>54</v>
      </c>
      <c r="G138" t="s">
        <v>70</v>
      </c>
      <c r="H138" t="s">
        <v>88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83</v>
      </c>
      <c r="D139" t="s">
        <v>68</v>
      </c>
      <c r="E139" t="s">
        <v>69</v>
      </c>
      <c r="F139" t="s">
        <v>54</v>
      </c>
      <c r="G139" t="s">
        <v>70</v>
      </c>
      <c r="H139" t="s">
        <v>88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83</v>
      </c>
      <c r="D140" t="s">
        <v>68</v>
      </c>
      <c r="E140" t="s">
        <v>69</v>
      </c>
      <c r="F140" t="s">
        <v>54</v>
      </c>
      <c r="G140" t="s">
        <v>70</v>
      </c>
      <c r="H140" t="s">
        <v>88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83</v>
      </c>
      <c r="D141" t="s">
        <v>68</v>
      </c>
      <c r="E141" t="s">
        <v>69</v>
      </c>
      <c r="F141" t="s">
        <v>54</v>
      </c>
      <c r="G141" t="s">
        <v>70</v>
      </c>
      <c r="H141" t="s">
        <v>88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83</v>
      </c>
      <c r="D142" t="s">
        <v>68</v>
      </c>
      <c r="E142" t="s">
        <v>69</v>
      </c>
      <c r="F142" t="s">
        <v>54</v>
      </c>
      <c r="G142" t="s">
        <v>70</v>
      </c>
      <c r="H142" t="s">
        <v>88</v>
      </c>
      <c r="I142">
        <v>2020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83</v>
      </c>
      <c r="D143" t="s">
        <v>68</v>
      </c>
      <c r="E143" t="s">
        <v>69</v>
      </c>
      <c r="F143" t="s">
        <v>54</v>
      </c>
      <c r="G143" t="s">
        <v>70</v>
      </c>
      <c r="H143" t="s">
        <v>88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83</v>
      </c>
      <c r="D144" t="s">
        <v>68</v>
      </c>
      <c r="E144" t="s">
        <v>69</v>
      </c>
      <c r="F144" t="s">
        <v>54</v>
      </c>
      <c r="G144" t="s">
        <v>70</v>
      </c>
      <c r="H144" t="s">
        <v>88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83</v>
      </c>
      <c r="D145" t="s">
        <v>68</v>
      </c>
      <c r="E145" t="s">
        <v>69</v>
      </c>
      <c r="F145" t="s">
        <v>54</v>
      </c>
      <c r="G145" t="s">
        <v>70</v>
      </c>
      <c r="H145" t="s">
        <v>88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83</v>
      </c>
      <c r="D146" t="s">
        <v>68</v>
      </c>
      <c r="E146" t="s">
        <v>69</v>
      </c>
      <c r="F146" t="s">
        <v>54</v>
      </c>
      <c r="G146" t="s">
        <v>70</v>
      </c>
      <c r="H146" t="s">
        <v>88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83</v>
      </c>
      <c r="D147" t="s">
        <v>68</v>
      </c>
      <c r="E147" t="s">
        <v>69</v>
      </c>
      <c r="F147" t="s">
        <v>54</v>
      </c>
      <c r="G147" t="s">
        <v>70</v>
      </c>
      <c r="H147" t="s">
        <v>88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83</v>
      </c>
      <c r="D148" t="s">
        <v>68</v>
      </c>
      <c r="E148" t="s">
        <v>69</v>
      </c>
      <c r="F148" t="s">
        <v>54</v>
      </c>
      <c r="G148" t="s">
        <v>70</v>
      </c>
      <c r="H148" t="s">
        <v>88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89</v>
      </c>
      <c r="B149" t="s">
        <v>3</v>
      </c>
      <c r="C149" t="s">
        <v>83</v>
      </c>
      <c r="D149" t="s">
        <v>45</v>
      </c>
      <c r="E149" t="s">
        <v>46</v>
      </c>
      <c r="F149" t="s">
        <v>45</v>
      </c>
      <c r="G149" t="s">
        <v>47</v>
      </c>
      <c r="H149" t="s">
        <v>88</v>
      </c>
      <c r="I149">
        <v>2020</v>
      </c>
      <c r="J149">
        <v>0</v>
      </c>
      <c r="K149" t="s">
        <v>45</v>
      </c>
    </row>
    <row r="150" spans="1:12" x14ac:dyDescent="0.45">
      <c r="A150" t="s">
        <v>89</v>
      </c>
      <c r="B150" t="s">
        <v>3</v>
      </c>
      <c r="C150" t="s">
        <v>83</v>
      </c>
      <c r="D150" t="s">
        <v>45</v>
      </c>
      <c r="E150" t="s">
        <v>46</v>
      </c>
      <c r="F150" t="s">
        <v>45</v>
      </c>
      <c r="G150" t="s">
        <v>47</v>
      </c>
      <c r="H150" t="s">
        <v>88</v>
      </c>
      <c r="I150">
        <v>2025</v>
      </c>
      <c r="J150">
        <v>0</v>
      </c>
      <c r="K150" t="s">
        <v>45</v>
      </c>
    </row>
    <row r="151" spans="1:12" x14ac:dyDescent="0.45">
      <c r="A151" t="s">
        <v>89</v>
      </c>
      <c r="B151" t="s">
        <v>3</v>
      </c>
      <c r="C151" t="s">
        <v>83</v>
      </c>
      <c r="D151" t="s">
        <v>45</v>
      </c>
      <c r="E151" t="s">
        <v>46</v>
      </c>
      <c r="F151" t="s">
        <v>45</v>
      </c>
      <c r="G151" t="s">
        <v>47</v>
      </c>
      <c r="H151" t="s">
        <v>88</v>
      </c>
      <c r="I151">
        <v>2030</v>
      </c>
      <c r="J151">
        <v>1.1478000000000002</v>
      </c>
      <c r="K151" t="s">
        <v>45</v>
      </c>
    </row>
    <row r="152" spans="1:12" x14ac:dyDescent="0.45">
      <c r="A152" t="s">
        <v>89</v>
      </c>
      <c r="B152" t="s">
        <v>3</v>
      </c>
      <c r="C152" t="s">
        <v>83</v>
      </c>
      <c r="D152" t="s">
        <v>45</v>
      </c>
      <c r="E152" t="s">
        <v>46</v>
      </c>
      <c r="F152" t="s">
        <v>45</v>
      </c>
      <c r="G152" t="s">
        <v>47</v>
      </c>
      <c r="H152" t="s">
        <v>88</v>
      </c>
      <c r="I152">
        <v>2035</v>
      </c>
      <c r="J152">
        <v>5.2509499999999996</v>
      </c>
      <c r="K152" t="s">
        <v>45</v>
      </c>
    </row>
    <row r="153" spans="1:12" x14ac:dyDescent="0.45">
      <c r="A153" t="s">
        <v>89</v>
      </c>
      <c r="B153" t="s">
        <v>3</v>
      </c>
      <c r="C153" t="s">
        <v>83</v>
      </c>
      <c r="D153" t="s">
        <v>45</v>
      </c>
      <c r="E153" t="s">
        <v>46</v>
      </c>
      <c r="F153" t="s">
        <v>45</v>
      </c>
      <c r="G153" t="s">
        <v>47</v>
      </c>
      <c r="H153" t="s">
        <v>88</v>
      </c>
      <c r="I153">
        <v>2040</v>
      </c>
      <c r="J153">
        <v>12.12645</v>
      </c>
      <c r="K153" t="s">
        <v>45</v>
      </c>
    </row>
    <row r="154" spans="1:12" x14ac:dyDescent="0.45">
      <c r="A154" t="s">
        <v>89</v>
      </c>
      <c r="B154" t="s">
        <v>3</v>
      </c>
      <c r="C154" t="s">
        <v>83</v>
      </c>
      <c r="D154" t="s">
        <v>45</v>
      </c>
      <c r="E154" t="s">
        <v>46</v>
      </c>
      <c r="F154" t="s">
        <v>45</v>
      </c>
      <c r="G154" t="s">
        <v>47</v>
      </c>
      <c r="H154" t="s">
        <v>88</v>
      </c>
      <c r="I154">
        <v>2045</v>
      </c>
      <c r="J154">
        <v>15.86805</v>
      </c>
      <c r="K154" t="s">
        <v>45</v>
      </c>
    </row>
    <row r="155" spans="1:12" x14ac:dyDescent="0.45">
      <c r="A155" t="s">
        <v>89</v>
      </c>
      <c r="B155" t="s">
        <v>3</v>
      </c>
      <c r="C155" t="s">
        <v>83</v>
      </c>
      <c r="D155" t="s">
        <v>45</v>
      </c>
      <c r="E155" t="s">
        <v>46</v>
      </c>
      <c r="F155" t="s">
        <v>45</v>
      </c>
      <c r="G155" t="s">
        <v>47</v>
      </c>
      <c r="H155" t="s">
        <v>88</v>
      </c>
      <c r="I155">
        <v>2050</v>
      </c>
      <c r="J155">
        <v>21.127949999999998</v>
      </c>
      <c r="K155" t="s">
        <v>45</v>
      </c>
    </row>
    <row r="156" spans="1:12" x14ac:dyDescent="0.45">
      <c r="A156" t="s">
        <v>89</v>
      </c>
      <c r="B156" t="s">
        <v>3</v>
      </c>
      <c r="C156" t="s">
        <v>83</v>
      </c>
      <c r="D156" t="s">
        <v>45</v>
      </c>
      <c r="E156" t="s">
        <v>46</v>
      </c>
      <c r="F156" t="s">
        <v>45</v>
      </c>
      <c r="G156" t="s">
        <v>47</v>
      </c>
      <c r="H156" t="s">
        <v>88</v>
      </c>
      <c r="I156">
        <v>2055</v>
      </c>
      <c r="J156">
        <v>17.565849999999998</v>
      </c>
      <c r="K156" t="s">
        <v>45</v>
      </c>
    </row>
    <row r="157" spans="1:12" x14ac:dyDescent="0.45">
      <c r="A157" t="s">
        <v>89</v>
      </c>
      <c r="B157" t="s">
        <v>3</v>
      </c>
      <c r="C157" t="s">
        <v>83</v>
      </c>
      <c r="D157" t="s">
        <v>45</v>
      </c>
      <c r="E157" t="s">
        <v>46</v>
      </c>
      <c r="F157" t="s">
        <v>45</v>
      </c>
      <c r="G157" t="s">
        <v>47</v>
      </c>
      <c r="H157" t="s">
        <v>88</v>
      </c>
      <c r="I157">
        <v>2060</v>
      </c>
      <c r="J157">
        <v>14.373750000000001</v>
      </c>
      <c r="K157" t="s">
        <v>45</v>
      </c>
    </row>
    <row r="158" spans="1:12" x14ac:dyDescent="0.45">
      <c r="A158" t="s">
        <v>89</v>
      </c>
      <c r="B158" t="s">
        <v>3</v>
      </c>
      <c r="C158" t="s">
        <v>83</v>
      </c>
      <c r="D158" t="s">
        <v>45</v>
      </c>
      <c r="E158" t="s">
        <v>46</v>
      </c>
      <c r="F158" t="s">
        <v>45</v>
      </c>
      <c r="G158" t="s">
        <v>47</v>
      </c>
      <c r="H158" t="s">
        <v>88</v>
      </c>
      <c r="I158">
        <v>2065</v>
      </c>
      <c r="J158">
        <v>12.151399999999999</v>
      </c>
      <c r="K158" t="s">
        <v>45</v>
      </c>
    </row>
    <row r="159" spans="1:12" x14ac:dyDescent="0.45">
      <c r="A159" t="s">
        <v>89</v>
      </c>
      <c r="B159" t="s">
        <v>3</v>
      </c>
      <c r="C159" t="s">
        <v>83</v>
      </c>
      <c r="D159" t="s">
        <v>45</v>
      </c>
      <c r="E159" t="s">
        <v>46</v>
      </c>
      <c r="F159" t="s">
        <v>45</v>
      </c>
      <c r="G159" t="s">
        <v>47</v>
      </c>
      <c r="H159" t="s">
        <v>88</v>
      </c>
      <c r="I159">
        <v>2070</v>
      </c>
      <c r="J159">
        <v>9.7417499999999997</v>
      </c>
      <c r="K159" t="s">
        <v>45</v>
      </c>
    </row>
    <row r="160" spans="1:12" x14ac:dyDescent="0.45">
      <c r="A160" t="s">
        <v>89</v>
      </c>
      <c r="B160" t="s">
        <v>3</v>
      </c>
      <c r="C160" t="s">
        <v>83</v>
      </c>
      <c r="D160" t="s">
        <v>45</v>
      </c>
      <c r="E160" t="s">
        <v>46</v>
      </c>
      <c r="F160" t="s">
        <v>45</v>
      </c>
      <c r="G160" t="s">
        <v>47</v>
      </c>
      <c r="H160" t="s">
        <v>88</v>
      </c>
      <c r="I160">
        <v>2075</v>
      </c>
      <c r="J160">
        <v>7.4093499999999999</v>
      </c>
      <c r="K160" t="s">
        <v>45</v>
      </c>
    </row>
    <row r="161" spans="1:11" x14ac:dyDescent="0.45">
      <c r="A161" t="s">
        <v>89</v>
      </c>
      <c r="B161" t="s">
        <v>3</v>
      </c>
      <c r="C161" t="s">
        <v>83</v>
      </c>
      <c r="D161" t="s">
        <v>45</v>
      </c>
      <c r="E161" t="s">
        <v>46</v>
      </c>
      <c r="F161" t="s">
        <v>45</v>
      </c>
      <c r="G161" t="s">
        <v>47</v>
      </c>
      <c r="H161" t="s">
        <v>88</v>
      </c>
      <c r="I161">
        <v>2080</v>
      </c>
      <c r="J161">
        <v>4.7630999999999997</v>
      </c>
      <c r="K161" t="s">
        <v>45</v>
      </c>
    </row>
    <row r="162" spans="1:11" x14ac:dyDescent="0.45">
      <c r="A162" t="s">
        <v>89</v>
      </c>
      <c r="B162" t="s">
        <v>3</v>
      </c>
      <c r="C162" t="s">
        <v>83</v>
      </c>
      <c r="D162" t="s">
        <v>45</v>
      </c>
      <c r="E162" t="s">
        <v>46</v>
      </c>
      <c r="F162" t="s">
        <v>45</v>
      </c>
      <c r="G162" t="s">
        <v>47</v>
      </c>
      <c r="H162" t="s">
        <v>88</v>
      </c>
      <c r="I162">
        <v>2085</v>
      </c>
      <c r="J162">
        <v>3.3520500000000002</v>
      </c>
      <c r="K162" t="s">
        <v>45</v>
      </c>
    </row>
    <row r="163" spans="1:11" x14ac:dyDescent="0.45">
      <c r="A163" t="s">
        <v>89</v>
      </c>
      <c r="B163" t="s">
        <v>3</v>
      </c>
      <c r="C163" t="s">
        <v>83</v>
      </c>
      <c r="D163" t="s">
        <v>45</v>
      </c>
      <c r="E163" t="s">
        <v>46</v>
      </c>
      <c r="F163" t="s">
        <v>45</v>
      </c>
      <c r="G163" t="s">
        <v>47</v>
      </c>
      <c r="H163" t="s">
        <v>88</v>
      </c>
      <c r="I163">
        <v>2090</v>
      </c>
      <c r="J163">
        <v>1.7412000000000001</v>
      </c>
      <c r="K163" t="s">
        <v>45</v>
      </c>
    </row>
    <row r="164" spans="1:11" x14ac:dyDescent="0.45">
      <c r="A164" t="s">
        <v>89</v>
      </c>
      <c r="B164" t="s">
        <v>3</v>
      </c>
      <c r="C164" t="s">
        <v>83</v>
      </c>
      <c r="D164" t="s">
        <v>45</v>
      </c>
      <c r="E164" t="s">
        <v>46</v>
      </c>
      <c r="F164" t="s">
        <v>45</v>
      </c>
      <c r="G164" t="s">
        <v>47</v>
      </c>
      <c r="H164" t="s">
        <v>88</v>
      </c>
      <c r="I164">
        <v>2095</v>
      </c>
      <c r="J164">
        <v>1.1732</v>
      </c>
      <c r="K164" t="s">
        <v>45</v>
      </c>
    </row>
    <row r="165" spans="1:11" x14ac:dyDescent="0.45">
      <c r="A165" t="s">
        <v>89</v>
      </c>
      <c r="B165" t="s">
        <v>3</v>
      </c>
      <c r="C165" t="s">
        <v>83</v>
      </c>
      <c r="D165" t="s">
        <v>45</v>
      </c>
      <c r="E165" t="s">
        <v>46</v>
      </c>
      <c r="F165" t="s">
        <v>45</v>
      </c>
      <c r="G165" t="s">
        <v>47</v>
      </c>
      <c r="H165" t="s">
        <v>88</v>
      </c>
      <c r="I165">
        <v>2100</v>
      </c>
      <c r="J165">
        <v>0.52834999999999999</v>
      </c>
      <c r="K165" t="s">
        <v>45</v>
      </c>
    </row>
    <row r="166" spans="1:11" x14ac:dyDescent="0.45">
      <c r="A166" t="s">
        <v>89</v>
      </c>
      <c r="B166" t="s">
        <v>4</v>
      </c>
      <c r="C166" t="s">
        <v>83</v>
      </c>
      <c r="D166" t="s">
        <v>45</v>
      </c>
      <c r="E166" t="s">
        <v>46</v>
      </c>
      <c r="F166" t="s">
        <v>45</v>
      </c>
      <c r="G166" t="s">
        <v>47</v>
      </c>
      <c r="H166" t="s">
        <v>88</v>
      </c>
      <c r="I166">
        <v>2020</v>
      </c>
      <c r="J166">
        <v>0</v>
      </c>
      <c r="K166" t="s">
        <v>45</v>
      </c>
    </row>
    <row r="167" spans="1:11" x14ac:dyDescent="0.45">
      <c r="A167" t="s">
        <v>89</v>
      </c>
      <c r="B167" t="s">
        <v>4</v>
      </c>
      <c r="C167" t="s">
        <v>83</v>
      </c>
      <c r="D167" t="s">
        <v>45</v>
      </c>
      <c r="E167" t="s">
        <v>46</v>
      </c>
      <c r="F167" t="s">
        <v>45</v>
      </c>
      <c r="G167" t="s">
        <v>47</v>
      </c>
      <c r="H167" t="s">
        <v>88</v>
      </c>
      <c r="I167">
        <v>2025</v>
      </c>
      <c r="J167">
        <v>0</v>
      </c>
      <c r="K167" t="s">
        <v>45</v>
      </c>
    </row>
    <row r="168" spans="1:11" x14ac:dyDescent="0.45">
      <c r="A168" t="s">
        <v>89</v>
      </c>
      <c r="B168" t="s">
        <v>4</v>
      </c>
      <c r="C168" t="s">
        <v>83</v>
      </c>
      <c r="D168" t="s">
        <v>45</v>
      </c>
      <c r="E168" t="s">
        <v>46</v>
      </c>
      <c r="F168" t="s">
        <v>45</v>
      </c>
      <c r="G168" t="s">
        <v>47</v>
      </c>
      <c r="H168" t="s">
        <v>88</v>
      </c>
      <c r="I168">
        <v>2030</v>
      </c>
      <c r="J168">
        <v>0</v>
      </c>
      <c r="K168" t="s">
        <v>45</v>
      </c>
    </row>
    <row r="169" spans="1:11" x14ac:dyDescent="0.45">
      <c r="A169" t="s">
        <v>89</v>
      </c>
      <c r="B169" t="s">
        <v>4</v>
      </c>
      <c r="C169" t="s">
        <v>83</v>
      </c>
      <c r="D169" t="s">
        <v>45</v>
      </c>
      <c r="E169" t="s">
        <v>46</v>
      </c>
      <c r="F169" t="s">
        <v>45</v>
      </c>
      <c r="G169" t="s">
        <v>47</v>
      </c>
      <c r="H169" t="s">
        <v>88</v>
      </c>
      <c r="I169">
        <v>2035</v>
      </c>
      <c r="J169">
        <v>0</v>
      </c>
      <c r="K169" t="s">
        <v>45</v>
      </c>
    </row>
    <row r="170" spans="1:11" x14ac:dyDescent="0.45">
      <c r="A170" t="s">
        <v>89</v>
      </c>
      <c r="B170" t="s">
        <v>4</v>
      </c>
      <c r="C170" t="s">
        <v>83</v>
      </c>
      <c r="D170" t="s">
        <v>45</v>
      </c>
      <c r="E170" t="s">
        <v>46</v>
      </c>
      <c r="F170" t="s">
        <v>45</v>
      </c>
      <c r="G170" t="s">
        <v>47</v>
      </c>
      <c r="H170" t="s">
        <v>88</v>
      </c>
      <c r="I170">
        <v>2040</v>
      </c>
      <c r="J170">
        <v>0</v>
      </c>
      <c r="K170" t="s">
        <v>45</v>
      </c>
    </row>
    <row r="171" spans="1:11" x14ac:dyDescent="0.45">
      <c r="A171" t="s">
        <v>89</v>
      </c>
      <c r="B171" t="s">
        <v>4</v>
      </c>
      <c r="C171" t="s">
        <v>83</v>
      </c>
      <c r="D171" t="s">
        <v>45</v>
      </c>
      <c r="E171" t="s">
        <v>46</v>
      </c>
      <c r="F171" t="s">
        <v>45</v>
      </c>
      <c r="G171" t="s">
        <v>47</v>
      </c>
      <c r="H171" t="s">
        <v>88</v>
      </c>
      <c r="I171">
        <v>2045</v>
      </c>
      <c r="J171">
        <v>0</v>
      </c>
      <c r="K171" t="s">
        <v>45</v>
      </c>
    </row>
    <row r="172" spans="1:11" x14ac:dyDescent="0.45">
      <c r="A172" t="s">
        <v>89</v>
      </c>
      <c r="B172" t="s">
        <v>4</v>
      </c>
      <c r="C172" t="s">
        <v>83</v>
      </c>
      <c r="D172" t="s">
        <v>45</v>
      </c>
      <c r="E172" t="s">
        <v>46</v>
      </c>
      <c r="F172" t="s">
        <v>45</v>
      </c>
      <c r="G172" t="s">
        <v>47</v>
      </c>
      <c r="H172" t="s">
        <v>88</v>
      </c>
      <c r="I172">
        <v>2050</v>
      </c>
      <c r="J172">
        <v>0</v>
      </c>
      <c r="K172" t="s">
        <v>45</v>
      </c>
    </row>
    <row r="173" spans="1:11" x14ac:dyDescent="0.45">
      <c r="A173" t="s">
        <v>89</v>
      </c>
      <c r="B173" t="s">
        <v>4</v>
      </c>
      <c r="C173" t="s">
        <v>83</v>
      </c>
      <c r="D173" t="s">
        <v>45</v>
      </c>
      <c r="E173" t="s">
        <v>46</v>
      </c>
      <c r="F173" t="s">
        <v>45</v>
      </c>
      <c r="G173" t="s">
        <v>47</v>
      </c>
      <c r="H173" t="s">
        <v>88</v>
      </c>
      <c r="I173">
        <v>2055</v>
      </c>
      <c r="J173">
        <v>0</v>
      </c>
      <c r="K173" t="s">
        <v>45</v>
      </c>
    </row>
    <row r="174" spans="1:11" x14ac:dyDescent="0.45">
      <c r="A174" t="s">
        <v>89</v>
      </c>
      <c r="B174" t="s">
        <v>4</v>
      </c>
      <c r="C174" t="s">
        <v>83</v>
      </c>
      <c r="D174" t="s">
        <v>45</v>
      </c>
      <c r="E174" t="s">
        <v>46</v>
      </c>
      <c r="F174" t="s">
        <v>45</v>
      </c>
      <c r="G174" t="s">
        <v>47</v>
      </c>
      <c r="H174" t="s">
        <v>88</v>
      </c>
      <c r="I174">
        <v>2060</v>
      </c>
      <c r="J174">
        <v>0</v>
      </c>
      <c r="K174" t="s">
        <v>45</v>
      </c>
    </row>
    <row r="175" spans="1:11" x14ac:dyDescent="0.45">
      <c r="A175" t="s">
        <v>89</v>
      </c>
      <c r="B175" t="s">
        <v>4</v>
      </c>
      <c r="C175" t="s">
        <v>83</v>
      </c>
      <c r="D175" t="s">
        <v>45</v>
      </c>
      <c r="E175" t="s">
        <v>46</v>
      </c>
      <c r="F175" t="s">
        <v>45</v>
      </c>
      <c r="G175" t="s">
        <v>47</v>
      </c>
      <c r="H175" t="s">
        <v>88</v>
      </c>
      <c r="I175">
        <v>2065</v>
      </c>
      <c r="J175">
        <v>0</v>
      </c>
      <c r="K175" t="s">
        <v>45</v>
      </c>
    </row>
    <row r="176" spans="1:11" x14ac:dyDescent="0.45">
      <c r="A176" t="s">
        <v>89</v>
      </c>
      <c r="B176" t="s">
        <v>4</v>
      </c>
      <c r="C176" t="s">
        <v>83</v>
      </c>
      <c r="D176" t="s">
        <v>45</v>
      </c>
      <c r="E176" t="s">
        <v>46</v>
      </c>
      <c r="F176" t="s">
        <v>45</v>
      </c>
      <c r="G176" t="s">
        <v>47</v>
      </c>
      <c r="H176" t="s">
        <v>88</v>
      </c>
      <c r="I176">
        <v>2070</v>
      </c>
      <c r="J176">
        <v>0</v>
      </c>
      <c r="K176" t="s">
        <v>45</v>
      </c>
    </row>
    <row r="177" spans="1:11" x14ac:dyDescent="0.45">
      <c r="A177" t="s">
        <v>89</v>
      </c>
      <c r="B177" t="s">
        <v>4</v>
      </c>
      <c r="C177" t="s">
        <v>83</v>
      </c>
      <c r="D177" t="s">
        <v>45</v>
      </c>
      <c r="E177" t="s">
        <v>46</v>
      </c>
      <c r="F177" t="s">
        <v>45</v>
      </c>
      <c r="G177" t="s">
        <v>47</v>
      </c>
      <c r="H177" t="s">
        <v>88</v>
      </c>
      <c r="I177">
        <v>2075</v>
      </c>
      <c r="J177">
        <v>0</v>
      </c>
      <c r="K177" t="s">
        <v>45</v>
      </c>
    </row>
    <row r="178" spans="1:11" x14ac:dyDescent="0.45">
      <c r="A178" t="s">
        <v>89</v>
      </c>
      <c r="B178" t="s">
        <v>4</v>
      </c>
      <c r="C178" t="s">
        <v>83</v>
      </c>
      <c r="D178" t="s">
        <v>45</v>
      </c>
      <c r="E178" t="s">
        <v>46</v>
      </c>
      <c r="F178" t="s">
        <v>45</v>
      </c>
      <c r="G178" t="s">
        <v>47</v>
      </c>
      <c r="H178" t="s">
        <v>88</v>
      </c>
      <c r="I178">
        <v>2080</v>
      </c>
      <c r="J178">
        <v>0</v>
      </c>
      <c r="K178" t="s">
        <v>45</v>
      </c>
    </row>
    <row r="179" spans="1:11" x14ac:dyDescent="0.45">
      <c r="A179" t="s">
        <v>89</v>
      </c>
      <c r="B179" t="s">
        <v>4</v>
      </c>
      <c r="C179" t="s">
        <v>83</v>
      </c>
      <c r="D179" t="s">
        <v>45</v>
      </c>
      <c r="E179" t="s">
        <v>46</v>
      </c>
      <c r="F179" t="s">
        <v>45</v>
      </c>
      <c r="G179" t="s">
        <v>47</v>
      </c>
      <c r="H179" t="s">
        <v>88</v>
      </c>
      <c r="I179">
        <v>2085</v>
      </c>
      <c r="J179">
        <v>0</v>
      </c>
      <c r="K179" t="s">
        <v>45</v>
      </c>
    </row>
    <row r="180" spans="1:11" x14ac:dyDescent="0.45">
      <c r="A180" t="s">
        <v>89</v>
      </c>
      <c r="B180" t="s">
        <v>4</v>
      </c>
      <c r="C180" t="s">
        <v>83</v>
      </c>
      <c r="D180" t="s">
        <v>45</v>
      </c>
      <c r="E180" t="s">
        <v>46</v>
      </c>
      <c r="F180" t="s">
        <v>45</v>
      </c>
      <c r="G180" t="s">
        <v>47</v>
      </c>
      <c r="H180" t="s">
        <v>88</v>
      </c>
      <c r="I180">
        <v>2090</v>
      </c>
      <c r="J180">
        <v>0</v>
      </c>
      <c r="K180" t="s">
        <v>45</v>
      </c>
    </row>
    <row r="181" spans="1:11" x14ac:dyDescent="0.45">
      <c r="A181" t="s">
        <v>89</v>
      </c>
      <c r="B181" t="s">
        <v>4</v>
      </c>
      <c r="C181" t="s">
        <v>83</v>
      </c>
      <c r="D181" t="s">
        <v>45</v>
      </c>
      <c r="E181" t="s">
        <v>46</v>
      </c>
      <c r="F181" t="s">
        <v>45</v>
      </c>
      <c r="G181" t="s">
        <v>47</v>
      </c>
      <c r="H181" t="s">
        <v>88</v>
      </c>
      <c r="I181">
        <v>2095</v>
      </c>
      <c r="J181">
        <v>0</v>
      </c>
      <c r="K181" t="s">
        <v>45</v>
      </c>
    </row>
    <row r="182" spans="1:11" x14ac:dyDescent="0.45">
      <c r="A182" t="s">
        <v>89</v>
      </c>
      <c r="B182" t="s">
        <v>4</v>
      </c>
      <c r="C182" t="s">
        <v>83</v>
      </c>
      <c r="D182" t="s">
        <v>45</v>
      </c>
      <c r="E182" t="s">
        <v>46</v>
      </c>
      <c r="F182" t="s">
        <v>45</v>
      </c>
      <c r="G182" t="s">
        <v>47</v>
      </c>
      <c r="H182" t="s">
        <v>88</v>
      </c>
      <c r="I182">
        <v>2100</v>
      </c>
      <c r="J182">
        <v>0</v>
      </c>
      <c r="K182" t="s">
        <v>45</v>
      </c>
    </row>
    <row r="183" spans="1:11" x14ac:dyDescent="0.45">
      <c r="A183" t="s">
        <v>89</v>
      </c>
      <c r="B183" t="s">
        <v>0</v>
      </c>
      <c r="C183" t="s">
        <v>83</v>
      </c>
      <c r="D183" t="s">
        <v>45</v>
      </c>
      <c r="E183" t="s">
        <v>46</v>
      </c>
      <c r="F183" t="s">
        <v>45</v>
      </c>
      <c r="G183" t="s">
        <v>47</v>
      </c>
      <c r="H183" t="s">
        <v>88</v>
      </c>
      <c r="I183">
        <v>2020</v>
      </c>
      <c r="J183">
        <v>0</v>
      </c>
      <c r="K183" t="s">
        <v>45</v>
      </c>
    </row>
    <row r="184" spans="1:11" x14ac:dyDescent="0.45">
      <c r="A184" t="s">
        <v>89</v>
      </c>
      <c r="B184" t="s">
        <v>0</v>
      </c>
      <c r="C184" t="s">
        <v>83</v>
      </c>
      <c r="D184" t="s">
        <v>45</v>
      </c>
      <c r="E184" t="s">
        <v>46</v>
      </c>
      <c r="F184" t="s">
        <v>45</v>
      </c>
      <c r="G184" t="s">
        <v>47</v>
      </c>
      <c r="H184" t="s">
        <v>88</v>
      </c>
      <c r="I184">
        <v>2025</v>
      </c>
      <c r="J184">
        <v>0</v>
      </c>
      <c r="K184" t="s">
        <v>45</v>
      </c>
    </row>
    <row r="185" spans="1:11" x14ac:dyDescent="0.45">
      <c r="A185" t="s">
        <v>89</v>
      </c>
      <c r="B185" t="s">
        <v>0</v>
      </c>
      <c r="C185" t="s">
        <v>83</v>
      </c>
      <c r="D185" t="s">
        <v>45</v>
      </c>
      <c r="E185" t="s">
        <v>46</v>
      </c>
      <c r="F185" t="s">
        <v>45</v>
      </c>
      <c r="G185" t="s">
        <v>47</v>
      </c>
      <c r="H185" t="s">
        <v>88</v>
      </c>
      <c r="I185">
        <v>2030</v>
      </c>
      <c r="J185">
        <v>0</v>
      </c>
      <c r="K185" t="s">
        <v>45</v>
      </c>
    </row>
    <row r="186" spans="1:11" x14ac:dyDescent="0.45">
      <c r="A186" t="s">
        <v>89</v>
      </c>
      <c r="B186" t="s">
        <v>0</v>
      </c>
      <c r="C186" t="s">
        <v>83</v>
      </c>
      <c r="D186" t="s">
        <v>45</v>
      </c>
      <c r="E186" t="s">
        <v>46</v>
      </c>
      <c r="F186" t="s">
        <v>45</v>
      </c>
      <c r="G186" t="s">
        <v>47</v>
      </c>
      <c r="H186" t="s">
        <v>88</v>
      </c>
      <c r="I186">
        <v>2035</v>
      </c>
      <c r="J186">
        <v>1.3100000000000001E-2</v>
      </c>
      <c r="K186" t="s">
        <v>45</v>
      </c>
    </row>
    <row r="187" spans="1:11" x14ac:dyDescent="0.45">
      <c r="A187" t="s">
        <v>89</v>
      </c>
      <c r="B187" t="s">
        <v>0</v>
      </c>
      <c r="C187" t="s">
        <v>83</v>
      </c>
      <c r="D187" t="s">
        <v>45</v>
      </c>
      <c r="E187" t="s">
        <v>46</v>
      </c>
      <c r="F187" t="s">
        <v>45</v>
      </c>
      <c r="G187" t="s">
        <v>47</v>
      </c>
      <c r="H187" t="s">
        <v>88</v>
      </c>
      <c r="I187">
        <v>2040</v>
      </c>
      <c r="J187">
        <v>7.8008500000000005</v>
      </c>
      <c r="K187" t="s">
        <v>45</v>
      </c>
    </row>
    <row r="188" spans="1:11" x14ac:dyDescent="0.45">
      <c r="A188" t="s">
        <v>89</v>
      </c>
      <c r="B188" t="s">
        <v>0</v>
      </c>
      <c r="C188" t="s">
        <v>83</v>
      </c>
      <c r="D188" t="s">
        <v>45</v>
      </c>
      <c r="E188" t="s">
        <v>46</v>
      </c>
      <c r="F188" t="s">
        <v>45</v>
      </c>
      <c r="G188" t="s">
        <v>47</v>
      </c>
      <c r="H188" t="s">
        <v>88</v>
      </c>
      <c r="I188">
        <v>2045</v>
      </c>
      <c r="J188">
        <v>17.373899999999999</v>
      </c>
      <c r="K188" t="s">
        <v>45</v>
      </c>
    </row>
    <row r="189" spans="1:11" x14ac:dyDescent="0.45">
      <c r="A189" t="s">
        <v>89</v>
      </c>
      <c r="B189" t="s">
        <v>0</v>
      </c>
      <c r="C189" t="s">
        <v>83</v>
      </c>
      <c r="D189" t="s">
        <v>45</v>
      </c>
      <c r="E189" t="s">
        <v>46</v>
      </c>
      <c r="F189" t="s">
        <v>45</v>
      </c>
      <c r="G189" t="s">
        <v>47</v>
      </c>
      <c r="H189" t="s">
        <v>88</v>
      </c>
      <c r="I189">
        <v>2050</v>
      </c>
      <c r="J189">
        <v>16.5488</v>
      </c>
      <c r="K189" t="s">
        <v>45</v>
      </c>
    </row>
    <row r="190" spans="1:11" x14ac:dyDescent="0.45">
      <c r="A190" t="s">
        <v>89</v>
      </c>
      <c r="B190" t="s">
        <v>0</v>
      </c>
      <c r="C190" t="s">
        <v>83</v>
      </c>
      <c r="D190" t="s">
        <v>45</v>
      </c>
      <c r="E190" t="s">
        <v>46</v>
      </c>
      <c r="F190" t="s">
        <v>45</v>
      </c>
      <c r="G190" t="s">
        <v>47</v>
      </c>
      <c r="H190" t="s">
        <v>88</v>
      </c>
      <c r="I190">
        <v>2055</v>
      </c>
      <c r="J190">
        <v>16.734749999999998</v>
      </c>
      <c r="K190" t="s">
        <v>45</v>
      </c>
    </row>
    <row r="191" spans="1:11" x14ac:dyDescent="0.45">
      <c r="A191" t="s">
        <v>89</v>
      </c>
      <c r="B191" t="s">
        <v>0</v>
      </c>
      <c r="C191" t="s">
        <v>83</v>
      </c>
      <c r="D191" t="s">
        <v>45</v>
      </c>
      <c r="E191" t="s">
        <v>46</v>
      </c>
      <c r="F191" t="s">
        <v>45</v>
      </c>
      <c r="G191" t="s">
        <v>47</v>
      </c>
      <c r="H191" t="s">
        <v>88</v>
      </c>
      <c r="I191">
        <v>2060</v>
      </c>
      <c r="J191">
        <v>11.83065</v>
      </c>
      <c r="K191" t="s">
        <v>45</v>
      </c>
    </row>
    <row r="192" spans="1:11" x14ac:dyDescent="0.45">
      <c r="A192" t="s">
        <v>89</v>
      </c>
      <c r="B192" t="s">
        <v>0</v>
      </c>
      <c r="C192" t="s">
        <v>83</v>
      </c>
      <c r="D192" t="s">
        <v>45</v>
      </c>
      <c r="E192" t="s">
        <v>46</v>
      </c>
      <c r="F192" t="s">
        <v>45</v>
      </c>
      <c r="G192" t="s">
        <v>47</v>
      </c>
      <c r="H192" t="s">
        <v>88</v>
      </c>
      <c r="I192">
        <v>2065</v>
      </c>
      <c r="J192">
        <v>10.4878</v>
      </c>
      <c r="K192" t="s">
        <v>45</v>
      </c>
    </row>
    <row r="193" spans="1:11" x14ac:dyDescent="0.45">
      <c r="A193" t="s">
        <v>89</v>
      </c>
      <c r="B193" t="s">
        <v>0</v>
      </c>
      <c r="C193" t="s">
        <v>83</v>
      </c>
      <c r="D193" t="s">
        <v>45</v>
      </c>
      <c r="E193" t="s">
        <v>46</v>
      </c>
      <c r="F193" t="s">
        <v>45</v>
      </c>
      <c r="G193" t="s">
        <v>47</v>
      </c>
      <c r="H193" t="s">
        <v>88</v>
      </c>
      <c r="I193">
        <v>2070</v>
      </c>
      <c r="J193">
        <v>9.3431499999999996</v>
      </c>
      <c r="K193" t="s">
        <v>45</v>
      </c>
    </row>
    <row r="194" spans="1:11" x14ac:dyDescent="0.45">
      <c r="A194" t="s">
        <v>89</v>
      </c>
      <c r="B194" t="s">
        <v>0</v>
      </c>
      <c r="C194" t="s">
        <v>83</v>
      </c>
      <c r="D194" t="s">
        <v>45</v>
      </c>
      <c r="E194" t="s">
        <v>46</v>
      </c>
      <c r="F194" t="s">
        <v>45</v>
      </c>
      <c r="G194" t="s">
        <v>47</v>
      </c>
      <c r="H194" t="s">
        <v>88</v>
      </c>
      <c r="I194">
        <v>2075</v>
      </c>
      <c r="J194">
        <v>9.4589999999999996</v>
      </c>
      <c r="K194" t="s">
        <v>45</v>
      </c>
    </row>
    <row r="195" spans="1:11" x14ac:dyDescent="0.45">
      <c r="A195" t="s">
        <v>89</v>
      </c>
      <c r="B195" t="s">
        <v>0</v>
      </c>
      <c r="C195" t="s">
        <v>83</v>
      </c>
      <c r="D195" t="s">
        <v>45</v>
      </c>
      <c r="E195" t="s">
        <v>46</v>
      </c>
      <c r="F195" t="s">
        <v>45</v>
      </c>
      <c r="G195" t="s">
        <v>47</v>
      </c>
      <c r="H195" t="s">
        <v>88</v>
      </c>
      <c r="I195">
        <v>2080</v>
      </c>
      <c r="J195">
        <v>9.4704499999999996</v>
      </c>
      <c r="K195" t="s">
        <v>45</v>
      </c>
    </row>
    <row r="196" spans="1:11" x14ac:dyDescent="0.45">
      <c r="A196" t="s">
        <v>89</v>
      </c>
      <c r="B196" t="s">
        <v>0</v>
      </c>
      <c r="C196" t="s">
        <v>83</v>
      </c>
      <c r="D196" t="s">
        <v>45</v>
      </c>
      <c r="E196" t="s">
        <v>46</v>
      </c>
      <c r="F196" t="s">
        <v>45</v>
      </c>
      <c r="G196" t="s">
        <v>47</v>
      </c>
      <c r="H196" t="s">
        <v>88</v>
      </c>
      <c r="I196">
        <v>2085</v>
      </c>
      <c r="J196">
        <v>8.3334499999999991</v>
      </c>
      <c r="K196" t="s">
        <v>45</v>
      </c>
    </row>
    <row r="197" spans="1:11" x14ac:dyDescent="0.45">
      <c r="A197" t="s">
        <v>89</v>
      </c>
      <c r="B197" t="s">
        <v>0</v>
      </c>
      <c r="C197" t="s">
        <v>83</v>
      </c>
      <c r="D197" t="s">
        <v>45</v>
      </c>
      <c r="E197" t="s">
        <v>46</v>
      </c>
      <c r="F197" t="s">
        <v>45</v>
      </c>
      <c r="G197" t="s">
        <v>47</v>
      </c>
      <c r="H197" t="s">
        <v>88</v>
      </c>
      <c r="I197">
        <v>2090</v>
      </c>
      <c r="J197">
        <v>6.8994</v>
      </c>
      <c r="K197" t="s">
        <v>45</v>
      </c>
    </row>
    <row r="198" spans="1:11" x14ac:dyDescent="0.45">
      <c r="A198" t="s">
        <v>89</v>
      </c>
      <c r="B198" t="s">
        <v>0</v>
      </c>
      <c r="C198" t="s">
        <v>83</v>
      </c>
      <c r="D198" t="s">
        <v>45</v>
      </c>
      <c r="E198" t="s">
        <v>46</v>
      </c>
      <c r="F198" t="s">
        <v>45</v>
      </c>
      <c r="G198" t="s">
        <v>47</v>
      </c>
      <c r="H198" t="s">
        <v>88</v>
      </c>
      <c r="I198">
        <v>2095</v>
      </c>
      <c r="J198">
        <v>6.1765499999999998</v>
      </c>
      <c r="K198" t="s">
        <v>45</v>
      </c>
    </row>
    <row r="199" spans="1:11" x14ac:dyDescent="0.45">
      <c r="A199" t="s">
        <v>89</v>
      </c>
      <c r="B199" t="s">
        <v>0</v>
      </c>
      <c r="C199" t="s">
        <v>83</v>
      </c>
      <c r="D199" t="s">
        <v>45</v>
      </c>
      <c r="E199" t="s">
        <v>46</v>
      </c>
      <c r="F199" t="s">
        <v>45</v>
      </c>
      <c r="G199" t="s">
        <v>47</v>
      </c>
      <c r="H199" t="s">
        <v>88</v>
      </c>
      <c r="I199">
        <v>2100</v>
      </c>
      <c r="J199">
        <v>4.9688499999999998</v>
      </c>
      <c r="K199" t="s">
        <v>45</v>
      </c>
    </row>
    <row r="200" spans="1:11" x14ac:dyDescent="0.45">
      <c r="A200" t="s">
        <v>89</v>
      </c>
      <c r="B200" t="s">
        <v>6</v>
      </c>
      <c r="C200" t="s">
        <v>83</v>
      </c>
      <c r="D200" t="s">
        <v>45</v>
      </c>
      <c r="E200" t="s">
        <v>46</v>
      </c>
      <c r="F200" t="s">
        <v>45</v>
      </c>
      <c r="G200" t="s">
        <v>47</v>
      </c>
      <c r="H200" t="s">
        <v>88</v>
      </c>
      <c r="I200">
        <v>2020</v>
      </c>
      <c r="J200">
        <v>0</v>
      </c>
      <c r="K200" t="s">
        <v>45</v>
      </c>
    </row>
    <row r="201" spans="1:11" x14ac:dyDescent="0.45">
      <c r="A201" t="s">
        <v>89</v>
      </c>
      <c r="B201" t="s">
        <v>6</v>
      </c>
      <c r="C201" t="s">
        <v>83</v>
      </c>
      <c r="D201" t="s">
        <v>45</v>
      </c>
      <c r="E201" t="s">
        <v>46</v>
      </c>
      <c r="F201" t="s">
        <v>45</v>
      </c>
      <c r="G201" t="s">
        <v>47</v>
      </c>
      <c r="H201" t="s">
        <v>88</v>
      </c>
      <c r="I201">
        <v>2025</v>
      </c>
      <c r="J201">
        <v>0</v>
      </c>
      <c r="K201" t="s">
        <v>45</v>
      </c>
    </row>
    <row r="202" spans="1:11" x14ac:dyDescent="0.45">
      <c r="A202" t="s">
        <v>89</v>
      </c>
      <c r="B202" t="s">
        <v>6</v>
      </c>
      <c r="C202" t="s">
        <v>83</v>
      </c>
      <c r="D202" t="s">
        <v>45</v>
      </c>
      <c r="E202" t="s">
        <v>46</v>
      </c>
      <c r="F202" t="s">
        <v>45</v>
      </c>
      <c r="G202" t="s">
        <v>47</v>
      </c>
      <c r="H202" t="s">
        <v>88</v>
      </c>
      <c r="I202">
        <v>2030</v>
      </c>
      <c r="J202">
        <v>0</v>
      </c>
      <c r="K202" t="s">
        <v>45</v>
      </c>
    </row>
    <row r="203" spans="1:11" x14ac:dyDescent="0.45">
      <c r="A203" t="s">
        <v>89</v>
      </c>
      <c r="B203" t="s">
        <v>6</v>
      </c>
      <c r="C203" t="s">
        <v>83</v>
      </c>
      <c r="D203" t="s">
        <v>45</v>
      </c>
      <c r="E203" t="s">
        <v>46</v>
      </c>
      <c r="F203" t="s">
        <v>45</v>
      </c>
      <c r="G203" t="s">
        <v>47</v>
      </c>
      <c r="H203" t="s">
        <v>88</v>
      </c>
      <c r="I203">
        <v>2035</v>
      </c>
      <c r="J203">
        <v>1.84E-2</v>
      </c>
      <c r="K203" t="s">
        <v>45</v>
      </c>
    </row>
    <row r="204" spans="1:11" x14ac:dyDescent="0.45">
      <c r="A204" t="s">
        <v>89</v>
      </c>
      <c r="B204" t="s">
        <v>6</v>
      </c>
      <c r="C204" t="s">
        <v>83</v>
      </c>
      <c r="D204" t="s">
        <v>45</v>
      </c>
      <c r="E204" t="s">
        <v>46</v>
      </c>
      <c r="F204" t="s">
        <v>45</v>
      </c>
      <c r="G204" t="s">
        <v>47</v>
      </c>
      <c r="H204" t="s">
        <v>88</v>
      </c>
      <c r="I204">
        <v>2040</v>
      </c>
      <c r="J204">
        <v>0.84845000000000004</v>
      </c>
      <c r="K204" t="s">
        <v>45</v>
      </c>
    </row>
    <row r="205" spans="1:11" x14ac:dyDescent="0.45">
      <c r="A205" t="s">
        <v>89</v>
      </c>
      <c r="B205" t="s">
        <v>6</v>
      </c>
      <c r="C205" t="s">
        <v>83</v>
      </c>
      <c r="D205" t="s">
        <v>45</v>
      </c>
      <c r="E205" t="s">
        <v>46</v>
      </c>
      <c r="F205" t="s">
        <v>45</v>
      </c>
      <c r="G205" t="s">
        <v>47</v>
      </c>
      <c r="H205" t="s">
        <v>88</v>
      </c>
      <c r="I205">
        <v>2045</v>
      </c>
      <c r="J205">
        <v>2.0502000000000002</v>
      </c>
      <c r="K205" t="s">
        <v>45</v>
      </c>
    </row>
    <row r="206" spans="1:11" x14ac:dyDescent="0.45">
      <c r="A206" t="s">
        <v>89</v>
      </c>
      <c r="B206" t="s">
        <v>6</v>
      </c>
      <c r="C206" t="s">
        <v>83</v>
      </c>
      <c r="D206" t="s">
        <v>45</v>
      </c>
      <c r="E206" t="s">
        <v>46</v>
      </c>
      <c r="F206" t="s">
        <v>45</v>
      </c>
      <c r="G206" t="s">
        <v>47</v>
      </c>
      <c r="H206" t="s">
        <v>88</v>
      </c>
      <c r="I206">
        <v>2050</v>
      </c>
      <c r="J206">
        <v>6.1987500000000004</v>
      </c>
      <c r="K206" t="s">
        <v>45</v>
      </c>
    </row>
    <row r="207" spans="1:11" x14ac:dyDescent="0.45">
      <c r="A207" t="s">
        <v>89</v>
      </c>
      <c r="B207" t="s">
        <v>6</v>
      </c>
      <c r="C207" t="s">
        <v>83</v>
      </c>
      <c r="D207" t="s">
        <v>45</v>
      </c>
      <c r="E207" t="s">
        <v>46</v>
      </c>
      <c r="F207" t="s">
        <v>45</v>
      </c>
      <c r="G207" t="s">
        <v>47</v>
      </c>
      <c r="H207" t="s">
        <v>88</v>
      </c>
      <c r="I207">
        <v>2055</v>
      </c>
      <c r="J207">
        <v>8.9823500000000003</v>
      </c>
      <c r="K207" t="s">
        <v>45</v>
      </c>
    </row>
    <row r="208" spans="1:11" x14ac:dyDescent="0.45">
      <c r="A208" t="s">
        <v>89</v>
      </c>
      <c r="B208" t="s">
        <v>6</v>
      </c>
      <c r="C208" t="s">
        <v>83</v>
      </c>
      <c r="D208" t="s">
        <v>45</v>
      </c>
      <c r="E208" t="s">
        <v>46</v>
      </c>
      <c r="F208" t="s">
        <v>45</v>
      </c>
      <c r="G208" t="s">
        <v>47</v>
      </c>
      <c r="H208" t="s">
        <v>88</v>
      </c>
      <c r="I208">
        <v>2060</v>
      </c>
      <c r="J208">
        <v>10.6144</v>
      </c>
      <c r="K208" t="s">
        <v>45</v>
      </c>
    </row>
    <row r="209" spans="1:11" x14ac:dyDescent="0.45">
      <c r="A209" t="s">
        <v>89</v>
      </c>
      <c r="B209" t="s">
        <v>6</v>
      </c>
      <c r="C209" t="s">
        <v>83</v>
      </c>
      <c r="D209" t="s">
        <v>45</v>
      </c>
      <c r="E209" t="s">
        <v>46</v>
      </c>
      <c r="F209" t="s">
        <v>45</v>
      </c>
      <c r="G209" t="s">
        <v>47</v>
      </c>
      <c r="H209" t="s">
        <v>88</v>
      </c>
      <c r="I209">
        <v>2065</v>
      </c>
      <c r="J209">
        <v>10.0305</v>
      </c>
      <c r="K209" t="s">
        <v>45</v>
      </c>
    </row>
    <row r="210" spans="1:11" x14ac:dyDescent="0.45">
      <c r="A210" t="s">
        <v>89</v>
      </c>
      <c r="B210" t="s">
        <v>6</v>
      </c>
      <c r="C210" t="s">
        <v>83</v>
      </c>
      <c r="D210" t="s">
        <v>45</v>
      </c>
      <c r="E210" t="s">
        <v>46</v>
      </c>
      <c r="F210" t="s">
        <v>45</v>
      </c>
      <c r="G210" t="s">
        <v>47</v>
      </c>
      <c r="H210" t="s">
        <v>88</v>
      </c>
      <c r="I210">
        <v>2070</v>
      </c>
      <c r="J210">
        <v>9.2659000000000002</v>
      </c>
      <c r="K210" t="s">
        <v>45</v>
      </c>
    </row>
    <row r="211" spans="1:11" x14ac:dyDescent="0.45">
      <c r="A211" t="s">
        <v>89</v>
      </c>
      <c r="B211" t="s">
        <v>6</v>
      </c>
      <c r="C211" t="s">
        <v>83</v>
      </c>
      <c r="D211" t="s">
        <v>45</v>
      </c>
      <c r="E211" t="s">
        <v>46</v>
      </c>
      <c r="F211" t="s">
        <v>45</v>
      </c>
      <c r="G211" t="s">
        <v>47</v>
      </c>
      <c r="H211" t="s">
        <v>88</v>
      </c>
      <c r="I211">
        <v>2075</v>
      </c>
      <c r="J211">
        <v>8.0246999999999993</v>
      </c>
      <c r="K211" t="s">
        <v>45</v>
      </c>
    </row>
    <row r="212" spans="1:11" x14ac:dyDescent="0.45">
      <c r="A212" t="s">
        <v>89</v>
      </c>
      <c r="B212" t="s">
        <v>6</v>
      </c>
      <c r="C212" t="s">
        <v>83</v>
      </c>
      <c r="D212" t="s">
        <v>45</v>
      </c>
      <c r="E212" t="s">
        <v>46</v>
      </c>
      <c r="F212" t="s">
        <v>45</v>
      </c>
      <c r="G212" t="s">
        <v>47</v>
      </c>
      <c r="H212" t="s">
        <v>88</v>
      </c>
      <c r="I212">
        <v>2080</v>
      </c>
      <c r="J212">
        <v>6.56785</v>
      </c>
      <c r="K212" t="s">
        <v>45</v>
      </c>
    </row>
    <row r="213" spans="1:11" x14ac:dyDescent="0.45">
      <c r="A213" t="s">
        <v>89</v>
      </c>
      <c r="B213" t="s">
        <v>6</v>
      </c>
      <c r="C213" t="s">
        <v>83</v>
      </c>
      <c r="D213" t="s">
        <v>45</v>
      </c>
      <c r="E213" t="s">
        <v>46</v>
      </c>
      <c r="F213" t="s">
        <v>45</v>
      </c>
      <c r="G213" t="s">
        <v>47</v>
      </c>
      <c r="H213" t="s">
        <v>88</v>
      </c>
      <c r="I213">
        <v>2085</v>
      </c>
      <c r="J213">
        <v>4.9679500000000001</v>
      </c>
      <c r="K213" t="s">
        <v>45</v>
      </c>
    </row>
    <row r="214" spans="1:11" x14ac:dyDescent="0.45">
      <c r="A214" t="s">
        <v>89</v>
      </c>
      <c r="B214" t="s">
        <v>6</v>
      </c>
      <c r="C214" t="s">
        <v>83</v>
      </c>
      <c r="D214" t="s">
        <v>45</v>
      </c>
      <c r="E214" t="s">
        <v>46</v>
      </c>
      <c r="F214" t="s">
        <v>45</v>
      </c>
      <c r="G214" t="s">
        <v>47</v>
      </c>
      <c r="H214" t="s">
        <v>88</v>
      </c>
      <c r="I214">
        <v>2090</v>
      </c>
      <c r="J214">
        <v>3.2684500000000001</v>
      </c>
      <c r="K214" t="s">
        <v>45</v>
      </c>
    </row>
    <row r="215" spans="1:11" x14ac:dyDescent="0.45">
      <c r="A215" t="s">
        <v>89</v>
      </c>
      <c r="B215" t="s">
        <v>6</v>
      </c>
      <c r="C215" t="s">
        <v>83</v>
      </c>
      <c r="D215" t="s">
        <v>45</v>
      </c>
      <c r="E215" t="s">
        <v>46</v>
      </c>
      <c r="F215" t="s">
        <v>45</v>
      </c>
      <c r="G215" t="s">
        <v>47</v>
      </c>
      <c r="H215" t="s">
        <v>88</v>
      </c>
      <c r="I215">
        <v>2095</v>
      </c>
      <c r="J215">
        <v>2.2157</v>
      </c>
      <c r="K215" t="s">
        <v>45</v>
      </c>
    </row>
    <row r="216" spans="1:11" x14ac:dyDescent="0.45">
      <c r="A216" t="s">
        <v>89</v>
      </c>
      <c r="B216" t="s">
        <v>6</v>
      </c>
      <c r="C216" t="s">
        <v>83</v>
      </c>
      <c r="D216" t="s">
        <v>45</v>
      </c>
      <c r="E216" t="s">
        <v>46</v>
      </c>
      <c r="F216" t="s">
        <v>45</v>
      </c>
      <c r="G216" t="s">
        <v>47</v>
      </c>
      <c r="H216" t="s">
        <v>88</v>
      </c>
      <c r="I216">
        <v>2100</v>
      </c>
      <c r="J216">
        <v>1.00115</v>
      </c>
      <c r="K216" t="s">
        <v>45</v>
      </c>
    </row>
    <row r="217" spans="1:11" x14ac:dyDescent="0.45">
      <c r="A217" t="s">
        <v>89</v>
      </c>
      <c r="B217" t="s">
        <v>5</v>
      </c>
      <c r="C217" t="s">
        <v>83</v>
      </c>
      <c r="D217" t="s">
        <v>45</v>
      </c>
      <c r="E217" t="s">
        <v>46</v>
      </c>
      <c r="F217" t="s">
        <v>45</v>
      </c>
      <c r="G217" t="s">
        <v>47</v>
      </c>
      <c r="H217" t="s">
        <v>88</v>
      </c>
      <c r="I217">
        <v>2020</v>
      </c>
      <c r="J217">
        <v>0</v>
      </c>
      <c r="K217" t="s">
        <v>45</v>
      </c>
    </row>
    <row r="218" spans="1:11" x14ac:dyDescent="0.45">
      <c r="A218" t="s">
        <v>89</v>
      </c>
      <c r="B218" t="s">
        <v>5</v>
      </c>
      <c r="C218" t="s">
        <v>83</v>
      </c>
      <c r="D218" t="s">
        <v>45</v>
      </c>
      <c r="E218" t="s">
        <v>46</v>
      </c>
      <c r="F218" t="s">
        <v>45</v>
      </c>
      <c r="G218" t="s">
        <v>47</v>
      </c>
      <c r="H218" t="s">
        <v>88</v>
      </c>
      <c r="I218">
        <v>2025</v>
      </c>
      <c r="J218">
        <v>0</v>
      </c>
      <c r="K218" t="s">
        <v>45</v>
      </c>
    </row>
    <row r="219" spans="1:11" x14ac:dyDescent="0.45">
      <c r="A219" t="s">
        <v>89</v>
      </c>
      <c r="B219" t="s">
        <v>5</v>
      </c>
      <c r="C219" t="s">
        <v>83</v>
      </c>
      <c r="D219" t="s">
        <v>45</v>
      </c>
      <c r="E219" t="s">
        <v>46</v>
      </c>
      <c r="F219" t="s">
        <v>45</v>
      </c>
      <c r="G219" t="s">
        <v>47</v>
      </c>
      <c r="H219" t="s">
        <v>88</v>
      </c>
      <c r="I219">
        <v>2030</v>
      </c>
      <c r="J219">
        <v>5.8370499999999996</v>
      </c>
      <c r="K219" t="s">
        <v>45</v>
      </c>
    </row>
    <row r="220" spans="1:11" x14ac:dyDescent="0.45">
      <c r="A220" t="s">
        <v>89</v>
      </c>
      <c r="B220" t="s">
        <v>5</v>
      </c>
      <c r="C220" t="s">
        <v>83</v>
      </c>
      <c r="D220" t="s">
        <v>45</v>
      </c>
      <c r="E220" t="s">
        <v>46</v>
      </c>
      <c r="F220" t="s">
        <v>45</v>
      </c>
      <c r="G220" t="s">
        <v>47</v>
      </c>
      <c r="H220" t="s">
        <v>88</v>
      </c>
      <c r="I220">
        <v>2035</v>
      </c>
      <c r="J220">
        <v>16.204249999999998</v>
      </c>
      <c r="K220" t="s">
        <v>45</v>
      </c>
    </row>
    <row r="221" spans="1:11" x14ac:dyDescent="0.45">
      <c r="A221" t="s">
        <v>89</v>
      </c>
      <c r="B221" t="s">
        <v>5</v>
      </c>
      <c r="C221" t="s">
        <v>83</v>
      </c>
      <c r="D221" t="s">
        <v>45</v>
      </c>
      <c r="E221" t="s">
        <v>46</v>
      </c>
      <c r="F221" t="s">
        <v>45</v>
      </c>
      <c r="G221" t="s">
        <v>47</v>
      </c>
      <c r="H221" t="s">
        <v>88</v>
      </c>
      <c r="I221">
        <v>2040</v>
      </c>
      <c r="J221">
        <v>14.6655</v>
      </c>
      <c r="K221" t="s">
        <v>45</v>
      </c>
    </row>
    <row r="222" spans="1:11" x14ac:dyDescent="0.45">
      <c r="A222" t="s">
        <v>89</v>
      </c>
      <c r="B222" t="s">
        <v>5</v>
      </c>
      <c r="C222" t="s">
        <v>83</v>
      </c>
      <c r="D222" t="s">
        <v>45</v>
      </c>
      <c r="E222" t="s">
        <v>46</v>
      </c>
      <c r="F222" t="s">
        <v>45</v>
      </c>
      <c r="G222" t="s">
        <v>47</v>
      </c>
      <c r="H222" t="s">
        <v>88</v>
      </c>
      <c r="I222">
        <v>2045</v>
      </c>
      <c r="J222">
        <v>8.0388999999999999</v>
      </c>
      <c r="K222" t="s">
        <v>45</v>
      </c>
    </row>
    <row r="223" spans="1:11" x14ac:dyDescent="0.45">
      <c r="A223" t="s">
        <v>89</v>
      </c>
      <c r="B223" t="s">
        <v>5</v>
      </c>
      <c r="C223" t="s">
        <v>83</v>
      </c>
      <c r="D223" t="s">
        <v>45</v>
      </c>
      <c r="E223" t="s">
        <v>46</v>
      </c>
      <c r="F223" t="s">
        <v>45</v>
      </c>
      <c r="G223" t="s">
        <v>47</v>
      </c>
      <c r="H223" t="s">
        <v>88</v>
      </c>
      <c r="I223">
        <v>2050</v>
      </c>
      <c r="J223">
        <v>8.0415500000000009</v>
      </c>
      <c r="K223" t="s">
        <v>45</v>
      </c>
    </row>
    <row r="224" spans="1:11" x14ac:dyDescent="0.45">
      <c r="A224" t="s">
        <v>89</v>
      </c>
      <c r="B224" t="s">
        <v>5</v>
      </c>
      <c r="C224" t="s">
        <v>83</v>
      </c>
      <c r="D224" t="s">
        <v>45</v>
      </c>
      <c r="E224" t="s">
        <v>46</v>
      </c>
      <c r="F224" t="s">
        <v>45</v>
      </c>
      <c r="G224" t="s">
        <v>47</v>
      </c>
      <c r="H224" t="s">
        <v>88</v>
      </c>
      <c r="I224">
        <v>2055</v>
      </c>
      <c r="J224">
        <v>8.7058999999999997</v>
      </c>
      <c r="K224" t="s">
        <v>45</v>
      </c>
    </row>
    <row r="225" spans="1:11" x14ac:dyDescent="0.45">
      <c r="A225" t="s">
        <v>89</v>
      </c>
      <c r="B225" t="s">
        <v>5</v>
      </c>
      <c r="C225" t="s">
        <v>83</v>
      </c>
      <c r="D225" t="s">
        <v>45</v>
      </c>
      <c r="E225" t="s">
        <v>46</v>
      </c>
      <c r="F225" t="s">
        <v>45</v>
      </c>
      <c r="G225" t="s">
        <v>47</v>
      </c>
      <c r="H225" t="s">
        <v>88</v>
      </c>
      <c r="I225">
        <v>2060</v>
      </c>
      <c r="J225">
        <v>9.9533500000000004</v>
      </c>
      <c r="K225" t="s">
        <v>45</v>
      </c>
    </row>
    <row r="226" spans="1:11" x14ac:dyDescent="0.45">
      <c r="A226" t="s">
        <v>89</v>
      </c>
      <c r="B226" t="s">
        <v>5</v>
      </c>
      <c r="C226" t="s">
        <v>83</v>
      </c>
      <c r="D226" t="s">
        <v>45</v>
      </c>
      <c r="E226" t="s">
        <v>46</v>
      </c>
      <c r="F226" t="s">
        <v>45</v>
      </c>
      <c r="G226" t="s">
        <v>47</v>
      </c>
      <c r="H226" t="s">
        <v>88</v>
      </c>
      <c r="I226">
        <v>2065</v>
      </c>
      <c r="J226">
        <v>10.9657</v>
      </c>
      <c r="K226" t="s">
        <v>45</v>
      </c>
    </row>
    <row r="227" spans="1:11" x14ac:dyDescent="0.45">
      <c r="A227" t="s">
        <v>89</v>
      </c>
      <c r="B227" t="s">
        <v>5</v>
      </c>
      <c r="C227" t="s">
        <v>83</v>
      </c>
      <c r="D227" t="s">
        <v>45</v>
      </c>
      <c r="E227" t="s">
        <v>46</v>
      </c>
      <c r="F227" t="s">
        <v>45</v>
      </c>
      <c r="G227" t="s">
        <v>47</v>
      </c>
      <c r="H227" t="s">
        <v>88</v>
      </c>
      <c r="I227">
        <v>2070</v>
      </c>
      <c r="J227">
        <v>11.98475</v>
      </c>
      <c r="K227" t="s">
        <v>45</v>
      </c>
    </row>
    <row r="228" spans="1:11" x14ac:dyDescent="0.45">
      <c r="A228" t="s">
        <v>89</v>
      </c>
      <c r="B228" t="s">
        <v>5</v>
      </c>
      <c r="C228" t="s">
        <v>83</v>
      </c>
      <c r="D228" t="s">
        <v>45</v>
      </c>
      <c r="E228" t="s">
        <v>46</v>
      </c>
      <c r="F228" t="s">
        <v>45</v>
      </c>
      <c r="G228" t="s">
        <v>47</v>
      </c>
      <c r="H228" t="s">
        <v>88</v>
      </c>
      <c r="I228">
        <v>2075</v>
      </c>
      <c r="J228">
        <v>13.078150000000001</v>
      </c>
      <c r="K228" t="s">
        <v>45</v>
      </c>
    </row>
    <row r="229" spans="1:11" x14ac:dyDescent="0.45">
      <c r="A229" t="s">
        <v>89</v>
      </c>
      <c r="B229" t="s">
        <v>5</v>
      </c>
      <c r="C229" t="s">
        <v>83</v>
      </c>
      <c r="D229" t="s">
        <v>45</v>
      </c>
      <c r="E229" t="s">
        <v>46</v>
      </c>
      <c r="F229" t="s">
        <v>45</v>
      </c>
      <c r="G229" t="s">
        <v>47</v>
      </c>
      <c r="H229" t="s">
        <v>88</v>
      </c>
      <c r="I229">
        <v>2080</v>
      </c>
      <c r="J229">
        <v>14.1761</v>
      </c>
      <c r="K229" t="s">
        <v>45</v>
      </c>
    </row>
    <row r="230" spans="1:11" x14ac:dyDescent="0.45">
      <c r="A230" t="s">
        <v>89</v>
      </c>
      <c r="B230" t="s">
        <v>5</v>
      </c>
      <c r="C230" t="s">
        <v>83</v>
      </c>
      <c r="D230" t="s">
        <v>45</v>
      </c>
      <c r="E230" t="s">
        <v>46</v>
      </c>
      <c r="F230" t="s">
        <v>45</v>
      </c>
      <c r="G230" t="s">
        <v>47</v>
      </c>
      <c r="H230" t="s">
        <v>88</v>
      </c>
      <c r="I230">
        <v>2085</v>
      </c>
      <c r="J230">
        <v>15.082050000000001</v>
      </c>
      <c r="K230" t="s">
        <v>45</v>
      </c>
    </row>
    <row r="231" spans="1:11" x14ac:dyDescent="0.45">
      <c r="A231" t="s">
        <v>89</v>
      </c>
      <c r="B231" t="s">
        <v>5</v>
      </c>
      <c r="C231" t="s">
        <v>83</v>
      </c>
      <c r="D231" t="s">
        <v>45</v>
      </c>
      <c r="E231" t="s">
        <v>46</v>
      </c>
      <c r="F231" t="s">
        <v>45</v>
      </c>
      <c r="G231" t="s">
        <v>47</v>
      </c>
      <c r="H231" t="s">
        <v>88</v>
      </c>
      <c r="I231">
        <v>2090</v>
      </c>
      <c r="J231">
        <v>16.164149999999999</v>
      </c>
      <c r="K231" t="s">
        <v>45</v>
      </c>
    </row>
    <row r="232" spans="1:11" x14ac:dyDescent="0.45">
      <c r="A232" t="s">
        <v>89</v>
      </c>
      <c r="B232" t="s">
        <v>5</v>
      </c>
      <c r="C232" t="s">
        <v>83</v>
      </c>
      <c r="D232" t="s">
        <v>45</v>
      </c>
      <c r="E232" t="s">
        <v>46</v>
      </c>
      <c r="F232" t="s">
        <v>45</v>
      </c>
      <c r="G232" t="s">
        <v>47</v>
      </c>
      <c r="H232" t="s">
        <v>88</v>
      </c>
      <c r="I232">
        <v>2095</v>
      </c>
      <c r="J232">
        <v>15.954750000000001</v>
      </c>
      <c r="K232" t="s">
        <v>45</v>
      </c>
    </row>
    <row r="233" spans="1:11" x14ac:dyDescent="0.45">
      <c r="A233" t="s">
        <v>89</v>
      </c>
      <c r="B233" t="s">
        <v>5</v>
      </c>
      <c r="C233" t="s">
        <v>83</v>
      </c>
      <c r="D233" t="s">
        <v>45</v>
      </c>
      <c r="E233" t="s">
        <v>46</v>
      </c>
      <c r="F233" t="s">
        <v>45</v>
      </c>
      <c r="G233" t="s">
        <v>47</v>
      </c>
      <c r="H233" t="s">
        <v>88</v>
      </c>
      <c r="I233">
        <v>2100</v>
      </c>
      <c r="J233">
        <v>15.428349999999998</v>
      </c>
      <c r="K233" t="s">
        <v>45</v>
      </c>
    </row>
    <row r="234" spans="1:11" x14ac:dyDescent="0.45">
      <c r="A234" t="s">
        <v>89</v>
      </c>
      <c r="B234" t="s">
        <v>2</v>
      </c>
      <c r="C234" t="s">
        <v>83</v>
      </c>
      <c r="D234" t="s">
        <v>45</v>
      </c>
      <c r="E234" t="s">
        <v>46</v>
      </c>
      <c r="F234" t="s">
        <v>45</v>
      </c>
      <c r="G234" t="s">
        <v>47</v>
      </c>
      <c r="H234" t="s">
        <v>88</v>
      </c>
      <c r="I234">
        <v>2020</v>
      </c>
      <c r="J234">
        <v>0</v>
      </c>
      <c r="K234" t="s">
        <v>45</v>
      </c>
    </row>
    <row r="235" spans="1:11" x14ac:dyDescent="0.45">
      <c r="A235" t="s">
        <v>89</v>
      </c>
      <c r="B235" t="s">
        <v>2</v>
      </c>
      <c r="C235" t="s">
        <v>83</v>
      </c>
      <c r="D235" t="s">
        <v>45</v>
      </c>
      <c r="E235" t="s">
        <v>46</v>
      </c>
      <c r="F235" t="s">
        <v>45</v>
      </c>
      <c r="G235" t="s">
        <v>47</v>
      </c>
      <c r="H235" t="s">
        <v>88</v>
      </c>
      <c r="I235">
        <v>2025</v>
      </c>
      <c r="J235">
        <v>0</v>
      </c>
      <c r="K235" t="s">
        <v>45</v>
      </c>
    </row>
    <row r="236" spans="1:11" x14ac:dyDescent="0.45">
      <c r="A236" t="s">
        <v>89</v>
      </c>
      <c r="B236" t="s">
        <v>2</v>
      </c>
      <c r="C236" t="s">
        <v>83</v>
      </c>
      <c r="D236" t="s">
        <v>45</v>
      </c>
      <c r="E236" t="s">
        <v>46</v>
      </c>
      <c r="F236" t="s">
        <v>45</v>
      </c>
      <c r="G236" t="s">
        <v>47</v>
      </c>
      <c r="H236" t="s">
        <v>88</v>
      </c>
      <c r="I236">
        <v>2030</v>
      </c>
      <c r="J236">
        <v>0</v>
      </c>
      <c r="K236" t="s">
        <v>45</v>
      </c>
    </row>
    <row r="237" spans="1:11" x14ac:dyDescent="0.45">
      <c r="A237" t="s">
        <v>89</v>
      </c>
      <c r="B237" t="s">
        <v>2</v>
      </c>
      <c r="C237" t="s">
        <v>83</v>
      </c>
      <c r="D237" t="s">
        <v>45</v>
      </c>
      <c r="E237" t="s">
        <v>46</v>
      </c>
      <c r="F237" t="s">
        <v>45</v>
      </c>
      <c r="G237" t="s">
        <v>47</v>
      </c>
      <c r="H237" t="s">
        <v>88</v>
      </c>
      <c r="I237">
        <v>2035</v>
      </c>
      <c r="J237">
        <v>1.9499999999999999E-3</v>
      </c>
      <c r="K237" t="s">
        <v>45</v>
      </c>
    </row>
    <row r="238" spans="1:11" x14ac:dyDescent="0.45">
      <c r="A238" t="s">
        <v>89</v>
      </c>
      <c r="B238" t="s">
        <v>2</v>
      </c>
      <c r="C238" t="s">
        <v>83</v>
      </c>
      <c r="D238" t="s">
        <v>45</v>
      </c>
      <c r="E238" t="s">
        <v>46</v>
      </c>
      <c r="F238" t="s">
        <v>45</v>
      </c>
      <c r="G238" t="s">
        <v>47</v>
      </c>
      <c r="H238" t="s">
        <v>88</v>
      </c>
      <c r="I238">
        <v>2040</v>
      </c>
      <c r="J238">
        <v>9.75E-3</v>
      </c>
      <c r="K238" t="s">
        <v>45</v>
      </c>
    </row>
    <row r="239" spans="1:11" x14ac:dyDescent="0.45">
      <c r="A239" t="s">
        <v>89</v>
      </c>
      <c r="B239" t="s">
        <v>2</v>
      </c>
      <c r="C239" t="s">
        <v>83</v>
      </c>
      <c r="D239" t="s">
        <v>45</v>
      </c>
      <c r="E239" t="s">
        <v>46</v>
      </c>
      <c r="F239" t="s">
        <v>45</v>
      </c>
      <c r="G239" t="s">
        <v>47</v>
      </c>
      <c r="H239" t="s">
        <v>88</v>
      </c>
      <c r="I239">
        <v>2045</v>
      </c>
      <c r="J239">
        <v>2.7700000000000002E-2</v>
      </c>
      <c r="K239" t="s">
        <v>45</v>
      </c>
    </row>
    <row r="240" spans="1:11" x14ac:dyDescent="0.45">
      <c r="A240" t="s">
        <v>89</v>
      </c>
      <c r="B240" t="s">
        <v>2</v>
      </c>
      <c r="C240" t="s">
        <v>83</v>
      </c>
      <c r="D240" t="s">
        <v>45</v>
      </c>
      <c r="E240" t="s">
        <v>46</v>
      </c>
      <c r="F240" t="s">
        <v>45</v>
      </c>
      <c r="G240" t="s">
        <v>47</v>
      </c>
      <c r="H240" t="s">
        <v>88</v>
      </c>
      <c r="I240">
        <v>2050</v>
      </c>
      <c r="J240">
        <v>3.075E-2</v>
      </c>
      <c r="K240" t="s">
        <v>45</v>
      </c>
    </row>
    <row r="241" spans="1:11" x14ac:dyDescent="0.45">
      <c r="A241" t="s">
        <v>89</v>
      </c>
      <c r="B241" t="s">
        <v>2</v>
      </c>
      <c r="C241" t="s">
        <v>83</v>
      </c>
      <c r="D241" t="s">
        <v>45</v>
      </c>
      <c r="E241" t="s">
        <v>46</v>
      </c>
      <c r="F241" t="s">
        <v>45</v>
      </c>
      <c r="G241" t="s">
        <v>47</v>
      </c>
      <c r="H241" t="s">
        <v>88</v>
      </c>
      <c r="I241">
        <v>2055</v>
      </c>
      <c r="J241">
        <v>3.7900000000000003E-2</v>
      </c>
      <c r="K241" t="s">
        <v>45</v>
      </c>
    </row>
    <row r="242" spans="1:11" x14ac:dyDescent="0.45">
      <c r="A242" t="s">
        <v>89</v>
      </c>
      <c r="B242" t="s">
        <v>2</v>
      </c>
      <c r="C242" t="s">
        <v>83</v>
      </c>
      <c r="D242" t="s">
        <v>45</v>
      </c>
      <c r="E242" t="s">
        <v>46</v>
      </c>
      <c r="F242" t="s">
        <v>45</v>
      </c>
      <c r="G242" t="s">
        <v>47</v>
      </c>
      <c r="H242" t="s">
        <v>88</v>
      </c>
      <c r="I242">
        <v>2060</v>
      </c>
      <c r="J242">
        <v>4.1349999999999998E-2</v>
      </c>
      <c r="K242" t="s">
        <v>45</v>
      </c>
    </row>
    <row r="243" spans="1:11" x14ac:dyDescent="0.45">
      <c r="A243" t="s">
        <v>89</v>
      </c>
      <c r="B243" t="s">
        <v>2</v>
      </c>
      <c r="C243" t="s">
        <v>83</v>
      </c>
      <c r="D243" t="s">
        <v>45</v>
      </c>
      <c r="E243" t="s">
        <v>46</v>
      </c>
      <c r="F243" t="s">
        <v>45</v>
      </c>
      <c r="G243" t="s">
        <v>47</v>
      </c>
      <c r="H243" t="s">
        <v>88</v>
      </c>
      <c r="I243">
        <v>2065</v>
      </c>
      <c r="J243">
        <v>9.2099999999999987E-2</v>
      </c>
      <c r="K243" t="s">
        <v>45</v>
      </c>
    </row>
    <row r="244" spans="1:11" x14ac:dyDescent="0.45">
      <c r="A244" t="s">
        <v>89</v>
      </c>
      <c r="B244" t="s">
        <v>2</v>
      </c>
      <c r="C244" t="s">
        <v>83</v>
      </c>
      <c r="D244" t="s">
        <v>45</v>
      </c>
      <c r="E244" t="s">
        <v>46</v>
      </c>
      <c r="F244" t="s">
        <v>45</v>
      </c>
      <c r="G244" t="s">
        <v>47</v>
      </c>
      <c r="H244" t="s">
        <v>88</v>
      </c>
      <c r="I244">
        <v>2070</v>
      </c>
      <c r="J244">
        <v>0.13935</v>
      </c>
      <c r="K244" t="s">
        <v>45</v>
      </c>
    </row>
    <row r="245" spans="1:11" x14ac:dyDescent="0.45">
      <c r="A245" t="s">
        <v>89</v>
      </c>
      <c r="B245" t="s">
        <v>2</v>
      </c>
      <c r="C245" t="s">
        <v>83</v>
      </c>
      <c r="D245" t="s">
        <v>45</v>
      </c>
      <c r="E245" t="s">
        <v>46</v>
      </c>
      <c r="F245" t="s">
        <v>45</v>
      </c>
      <c r="G245" t="s">
        <v>47</v>
      </c>
      <c r="H245" t="s">
        <v>88</v>
      </c>
      <c r="I245">
        <v>2075</v>
      </c>
      <c r="J245">
        <v>9.7849999999999993E-2</v>
      </c>
      <c r="K245" t="s">
        <v>45</v>
      </c>
    </row>
    <row r="246" spans="1:11" x14ac:dyDescent="0.45">
      <c r="A246" t="s">
        <v>89</v>
      </c>
      <c r="B246" t="s">
        <v>2</v>
      </c>
      <c r="C246" t="s">
        <v>83</v>
      </c>
      <c r="D246" t="s">
        <v>45</v>
      </c>
      <c r="E246" t="s">
        <v>46</v>
      </c>
      <c r="F246" t="s">
        <v>45</v>
      </c>
      <c r="G246" t="s">
        <v>47</v>
      </c>
      <c r="H246" t="s">
        <v>88</v>
      </c>
      <c r="I246">
        <v>2080</v>
      </c>
      <c r="J246">
        <v>7.0250000000000007E-2</v>
      </c>
      <c r="K246" t="s">
        <v>45</v>
      </c>
    </row>
    <row r="247" spans="1:11" x14ac:dyDescent="0.45">
      <c r="A247" t="s">
        <v>89</v>
      </c>
      <c r="B247" t="s">
        <v>2</v>
      </c>
      <c r="C247" t="s">
        <v>83</v>
      </c>
      <c r="D247" t="s">
        <v>45</v>
      </c>
      <c r="E247" t="s">
        <v>46</v>
      </c>
      <c r="F247" t="s">
        <v>45</v>
      </c>
      <c r="G247" t="s">
        <v>47</v>
      </c>
      <c r="H247" t="s">
        <v>88</v>
      </c>
      <c r="I247">
        <v>2085</v>
      </c>
      <c r="J247">
        <v>4.1149999999999999E-2</v>
      </c>
      <c r="K247" t="s">
        <v>45</v>
      </c>
    </row>
    <row r="248" spans="1:11" x14ac:dyDescent="0.45">
      <c r="A248" t="s">
        <v>89</v>
      </c>
      <c r="B248" t="s">
        <v>2</v>
      </c>
      <c r="C248" t="s">
        <v>83</v>
      </c>
      <c r="D248" t="s">
        <v>45</v>
      </c>
      <c r="E248" t="s">
        <v>46</v>
      </c>
      <c r="F248" t="s">
        <v>45</v>
      </c>
      <c r="G248" t="s">
        <v>47</v>
      </c>
      <c r="H248" t="s">
        <v>88</v>
      </c>
      <c r="I248">
        <v>2090</v>
      </c>
      <c r="J248">
        <v>1.285E-2</v>
      </c>
      <c r="K248" t="s">
        <v>45</v>
      </c>
    </row>
    <row r="249" spans="1:11" x14ac:dyDescent="0.45">
      <c r="A249" t="s">
        <v>89</v>
      </c>
      <c r="B249" t="s">
        <v>2</v>
      </c>
      <c r="C249" t="s">
        <v>83</v>
      </c>
      <c r="D249" t="s">
        <v>45</v>
      </c>
      <c r="E249" t="s">
        <v>46</v>
      </c>
      <c r="F249" t="s">
        <v>45</v>
      </c>
      <c r="G249" t="s">
        <v>47</v>
      </c>
      <c r="H249" t="s">
        <v>88</v>
      </c>
      <c r="I249">
        <v>2095</v>
      </c>
      <c r="J249">
        <v>6.5000000000000006E-3</v>
      </c>
      <c r="K249" t="s">
        <v>45</v>
      </c>
    </row>
    <row r="250" spans="1:11" x14ac:dyDescent="0.45">
      <c r="A250" t="s">
        <v>89</v>
      </c>
      <c r="B250" t="s">
        <v>2</v>
      </c>
      <c r="C250" t="s">
        <v>83</v>
      </c>
      <c r="D250" t="s">
        <v>45</v>
      </c>
      <c r="E250" t="s">
        <v>46</v>
      </c>
      <c r="F250" t="s">
        <v>45</v>
      </c>
      <c r="G250" t="s">
        <v>47</v>
      </c>
      <c r="H250" t="s">
        <v>88</v>
      </c>
      <c r="I250">
        <v>2100</v>
      </c>
      <c r="J250">
        <v>0</v>
      </c>
      <c r="K250" t="s">
        <v>45</v>
      </c>
    </row>
    <row r="251" spans="1:11" x14ac:dyDescent="0.45">
      <c r="A251" t="s">
        <v>89</v>
      </c>
      <c r="B251" t="s">
        <v>1</v>
      </c>
      <c r="C251" t="s">
        <v>83</v>
      </c>
      <c r="D251" t="s">
        <v>45</v>
      </c>
      <c r="E251" t="s">
        <v>46</v>
      </c>
      <c r="F251" t="s">
        <v>45</v>
      </c>
      <c r="G251" t="s">
        <v>47</v>
      </c>
      <c r="H251" t="s">
        <v>88</v>
      </c>
      <c r="I251">
        <v>2020</v>
      </c>
      <c r="J251">
        <v>0</v>
      </c>
      <c r="K251" t="s">
        <v>45</v>
      </c>
    </row>
    <row r="252" spans="1:11" x14ac:dyDescent="0.45">
      <c r="A252" t="s">
        <v>89</v>
      </c>
      <c r="B252" t="s">
        <v>1</v>
      </c>
      <c r="C252" t="s">
        <v>83</v>
      </c>
      <c r="D252" t="s">
        <v>45</v>
      </c>
      <c r="E252" t="s">
        <v>46</v>
      </c>
      <c r="F252" t="s">
        <v>45</v>
      </c>
      <c r="G252" t="s">
        <v>47</v>
      </c>
      <c r="H252" t="s">
        <v>88</v>
      </c>
      <c r="I252">
        <v>2025</v>
      </c>
      <c r="J252">
        <v>0</v>
      </c>
      <c r="K252" t="s">
        <v>45</v>
      </c>
    </row>
    <row r="253" spans="1:11" x14ac:dyDescent="0.45">
      <c r="A253" t="s">
        <v>89</v>
      </c>
      <c r="B253" t="s">
        <v>1</v>
      </c>
      <c r="C253" t="s">
        <v>83</v>
      </c>
      <c r="D253" t="s">
        <v>45</v>
      </c>
      <c r="E253" t="s">
        <v>46</v>
      </c>
      <c r="F253" t="s">
        <v>45</v>
      </c>
      <c r="G253" t="s">
        <v>47</v>
      </c>
      <c r="H253" t="s">
        <v>88</v>
      </c>
      <c r="I253">
        <v>2030</v>
      </c>
      <c r="J253">
        <v>2.1985999999999999</v>
      </c>
      <c r="K253" t="s">
        <v>45</v>
      </c>
    </row>
    <row r="254" spans="1:11" x14ac:dyDescent="0.45">
      <c r="A254" t="s">
        <v>89</v>
      </c>
      <c r="B254" t="s">
        <v>1</v>
      </c>
      <c r="C254" t="s">
        <v>83</v>
      </c>
      <c r="D254" t="s">
        <v>45</v>
      </c>
      <c r="E254" t="s">
        <v>46</v>
      </c>
      <c r="F254" t="s">
        <v>45</v>
      </c>
      <c r="G254" t="s">
        <v>47</v>
      </c>
      <c r="H254" t="s">
        <v>88</v>
      </c>
      <c r="I254">
        <v>2035</v>
      </c>
      <c r="J254">
        <v>10.0617</v>
      </c>
      <c r="K254" t="s">
        <v>45</v>
      </c>
    </row>
    <row r="255" spans="1:11" x14ac:dyDescent="0.45">
      <c r="A255" t="s">
        <v>89</v>
      </c>
      <c r="B255" t="s">
        <v>1</v>
      </c>
      <c r="C255" t="s">
        <v>83</v>
      </c>
      <c r="D255" t="s">
        <v>45</v>
      </c>
      <c r="E255" t="s">
        <v>46</v>
      </c>
      <c r="F255" t="s">
        <v>45</v>
      </c>
      <c r="G255" t="s">
        <v>47</v>
      </c>
      <c r="H255" t="s">
        <v>88</v>
      </c>
      <c r="I255">
        <v>2040</v>
      </c>
      <c r="J255">
        <v>8.558250000000001</v>
      </c>
      <c r="K255" t="s">
        <v>45</v>
      </c>
    </row>
    <row r="256" spans="1:11" x14ac:dyDescent="0.45">
      <c r="A256" t="s">
        <v>89</v>
      </c>
      <c r="B256" t="s">
        <v>1</v>
      </c>
      <c r="C256" t="s">
        <v>83</v>
      </c>
      <c r="D256" t="s">
        <v>45</v>
      </c>
      <c r="E256" t="s">
        <v>46</v>
      </c>
      <c r="F256" t="s">
        <v>45</v>
      </c>
      <c r="G256" t="s">
        <v>47</v>
      </c>
      <c r="H256" t="s">
        <v>88</v>
      </c>
      <c r="I256">
        <v>2045</v>
      </c>
      <c r="J256">
        <v>8.2617499999999993</v>
      </c>
      <c r="K256" t="s">
        <v>45</v>
      </c>
    </row>
    <row r="257" spans="1:11" x14ac:dyDescent="0.45">
      <c r="A257" t="s">
        <v>89</v>
      </c>
      <c r="B257" t="s">
        <v>1</v>
      </c>
      <c r="C257" t="s">
        <v>83</v>
      </c>
      <c r="D257" t="s">
        <v>45</v>
      </c>
      <c r="E257" t="s">
        <v>46</v>
      </c>
      <c r="F257" t="s">
        <v>45</v>
      </c>
      <c r="G257" t="s">
        <v>47</v>
      </c>
      <c r="H257" t="s">
        <v>88</v>
      </c>
      <c r="I257">
        <v>2050</v>
      </c>
      <c r="J257">
        <v>9.8480999999999987</v>
      </c>
      <c r="K257" t="s">
        <v>45</v>
      </c>
    </row>
    <row r="258" spans="1:11" x14ac:dyDescent="0.45">
      <c r="A258" t="s">
        <v>89</v>
      </c>
      <c r="B258" t="s">
        <v>1</v>
      </c>
      <c r="C258" t="s">
        <v>83</v>
      </c>
      <c r="D258" t="s">
        <v>45</v>
      </c>
      <c r="E258" t="s">
        <v>46</v>
      </c>
      <c r="F258" t="s">
        <v>45</v>
      </c>
      <c r="G258" t="s">
        <v>47</v>
      </c>
      <c r="H258" t="s">
        <v>88</v>
      </c>
      <c r="I258">
        <v>2055</v>
      </c>
      <c r="J258">
        <v>11.899650000000001</v>
      </c>
      <c r="K258" t="s">
        <v>45</v>
      </c>
    </row>
    <row r="259" spans="1:11" x14ac:dyDescent="0.45">
      <c r="A259" t="s">
        <v>89</v>
      </c>
      <c r="B259" t="s">
        <v>1</v>
      </c>
      <c r="C259" t="s">
        <v>83</v>
      </c>
      <c r="D259" t="s">
        <v>45</v>
      </c>
      <c r="E259" t="s">
        <v>46</v>
      </c>
      <c r="F259" t="s">
        <v>45</v>
      </c>
      <c r="G259" t="s">
        <v>47</v>
      </c>
      <c r="H259" t="s">
        <v>88</v>
      </c>
      <c r="I259">
        <v>2060</v>
      </c>
      <c r="J259">
        <v>12.89345</v>
      </c>
      <c r="K259" t="s">
        <v>45</v>
      </c>
    </row>
    <row r="260" spans="1:11" x14ac:dyDescent="0.45">
      <c r="A260" t="s">
        <v>89</v>
      </c>
      <c r="B260" t="s">
        <v>1</v>
      </c>
      <c r="C260" t="s">
        <v>83</v>
      </c>
      <c r="D260" t="s">
        <v>45</v>
      </c>
      <c r="E260" t="s">
        <v>46</v>
      </c>
      <c r="F260" t="s">
        <v>45</v>
      </c>
      <c r="G260" t="s">
        <v>47</v>
      </c>
      <c r="H260" t="s">
        <v>88</v>
      </c>
      <c r="I260">
        <v>2065</v>
      </c>
      <c r="J260">
        <v>13.8978</v>
      </c>
      <c r="K260" t="s">
        <v>45</v>
      </c>
    </row>
    <row r="261" spans="1:11" x14ac:dyDescent="0.45">
      <c r="A261" t="s">
        <v>89</v>
      </c>
      <c r="B261" t="s">
        <v>1</v>
      </c>
      <c r="C261" t="s">
        <v>83</v>
      </c>
      <c r="D261" t="s">
        <v>45</v>
      </c>
      <c r="E261" t="s">
        <v>46</v>
      </c>
      <c r="F261" t="s">
        <v>45</v>
      </c>
      <c r="G261" t="s">
        <v>47</v>
      </c>
      <c r="H261" t="s">
        <v>88</v>
      </c>
      <c r="I261">
        <v>2070</v>
      </c>
      <c r="J261">
        <v>14.847750000000001</v>
      </c>
      <c r="K261" t="s">
        <v>45</v>
      </c>
    </row>
    <row r="262" spans="1:11" x14ac:dyDescent="0.45">
      <c r="A262" t="s">
        <v>89</v>
      </c>
      <c r="B262" t="s">
        <v>1</v>
      </c>
      <c r="C262" t="s">
        <v>83</v>
      </c>
      <c r="D262" t="s">
        <v>45</v>
      </c>
      <c r="E262" t="s">
        <v>46</v>
      </c>
      <c r="F262" t="s">
        <v>45</v>
      </c>
      <c r="G262" t="s">
        <v>47</v>
      </c>
      <c r="H262" t="s">
        <v>88</v>
      </c>
      <c r="I262">
        <v>2075</v>
      </c>
      <c r="J262">
        <v>15.4369</v>
      </c>
      <c r="K262" t="s">
        <v>45</v>
      </c>
    </row>
    <row r="263" spans="1:11" x14ac:dyDescent="0.45">
      <c r="A263" t="s">
        <v>89</v>
      </c>
      <c r="B263" t="s">
        <v>1</v>
      </c>
      <c r="C263" t="s">
        <v>83</v>
      </c>
      <c r="D263" t="s">
        <v>45</v>
      </c>
      <c r="E263" t="s">
        <v>46</v>
      </c>
      <c r="F263" t="s">
        <v>45</v>
      </c>
      <c r="G263" t="s">
        <v>47</v>
      </c>
      <c r="H263" t="s">
        <v>88</v>
      </c>
      <c r="I263">
        <v>2080</v>
      </c>
      <c r="J263">
        <v>19.168500000000002</v>
      </c>
      <c r="K263" t="s">
        <v>45</v>
      </c>
    </row>
    <row r="264" spans="1:11" x14ac:dyDescent="0.45">
      <c r="A264" t="s">
        <v>89</v>
      </c>
      <c r="B264" t="s">
        <v>1</v>
      </c>
      <c r="C264" t="s">
        <v>83</v>
      </c>
      <c r="D264" t="s">
        <v>45</v>
      </c>
      <c r="E264" t="s">
        <v>46</v>
      </c>
      <c r="F264" t="s">
        <v>45</v>
      </c>
      <c r="G264" t="s">
        <v>47</v>
      </c>
      <c r="H264" t="s">
        <v>88</v>
      </c>
      <c r="I264">
        <v>2085</v>
      </c>
      <c r="J264">
        <v>16.6008</v>
      </c>
      <c r="K264" t="s">
        <v>45</v>
      </c>
    </row>
    <row r="265" spans="1:11" x14ac:dyDescent="0.45">
      <c r="A265" t="s">
        <v>89</v>
      </c>
      <c r="B265" t="s">
        <v>1</v>
      </c>
      <c r="C265" t="s">
        <v>83</v>
      </c>
      <c r="D265" t="s">
        <v>45</v>
      </c>
      <c r="E265" t="s">
        <v>46</v>
      </c>
      <c r="F265" t="s">
        <v>45</v>
      </c>
      <c r="G265" t="s">
        <v>47</v>
      </c>
      <c r="H265" t="s">
        <v>88</v>
      </c>
      <c r="I265">
        <v>2090</v>
      </c>
      <c r="J265">
        <v>13.57705</v>
      </c>
      <c r="K265" t="s">
        <v>45</v>
      </c>
    </row>
    <row r="266" spans="1:11" x14ac:dyDescent="0.45">
      <c r="A266" t="s">
        <v>89</v>
      </c>
      <c r="B266" t="s">
        <v>1</v>
      </c>
      <c r="C266" t="s">
        <v>83</v>
      </c>
      <c r="D266" t="s">
        <v>45</v>
      </c>
      <c r="E266" t="s">
        <v>46</v>
      </c>
      <c r="F266" t="s">
        <v>45</v>
      </c>
      <c r="G266" t="s">
        <v>47</v>
      </c>
      <c r="H266" t="s">
        <v>88</v>
      </c>
      <c r="I266">
        <v>2095</v>
      </c>
      <c r="J266">
        <v>11.8352</v>
      </c>
      <c r="K266" t="s">
        <v>45</v>
      </c>
    </row>
    <row r="267" spans="1:11" x14ac:dyDescent="0.45">
      <c r="A267" t="s">
        <v>89</v>
      </c>
      <c r="B267" t="s">
        <v>1</v>
      </c>
      <c r="C267" t="s">
        <v>83</v>
      </c>
      <c r="D267" t="s">
        <v>45</v>
      </c>
      <c r="E267" t="s">
        <v>46</v>
      </c>
      <c r="F267" t="s">
        <v>45</v>
      </c>
      <c r="G267" t="s">
        <v>47</v>
      </c>
      <c r="H267" t="s">
        <v>88</v>
      </c>
      <c r="I267">
        <v>2100</v>
      </c>
      <c r="J267">
        <v>9.629999999999999</v>
      </c>
      <c r="K267" t="s">
        <v>45</v>
      </c>
    </row>
    <row r="268" spans="1:11" x14ac:dyDescent="0.45">
      <c r="A268" t="s">
        <v>89</v>
      </c>
      <c r="B268" t="s">
        <v>3</v>
      </c>
      <c r="C268" t="s">
        <v>83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375.93684999999999</v>
      </c>
      <c r="K268" t="s">
        <v>48</v>
      </c>
    </row>
    <row r="269" spans="1:11" x14ac:dyDescent="0.45">
      <c r="A269" t="s">
        <v>89</v>
      </c>
      <c r="B269" t="s">
        <v>3</v>
      </c>
      <c r="C269" t="s">
        <v>83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391.32100000000003</v>
      </c>
      <c r="K269" t="s">
        <v>48</v>
      </c>
    </row>
    <row r="270" spans="1:11" x14ac:dyDescent="0.45">
      <c r="A270" t="s">
        <v>89</v>
      </c>
      <c r="B270" t="s">
        <v>3</v>
      </c>
      <c r="C270" t="s">
        <v>83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332.87615000000005</v>
      </c>
      <c r="K270" t="s">
        <v>48</v>
      </c>
    </row>
    <row r="271" spans="1:11" x14ac:dyDescent="0.45">
      <c r="A271" t="s">
        <v>89</v>
      </c>
      <c r="B271" t="s">
        <v>3</v>
      </c>
      <c r="C271" t="s">
        <v>83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237.98424999999997</v>
      </c>
      <c r="K271" t="s">
        <v>48</v>
      </c>
    </row>
    <row r="272" spans="1:11" x14ac:dyDescent="0.45">
      <c r="A272" t="s">
        <v>89</v>
      </c>
      <c r="B272" t="s">
        <v>3</v>
      </c>
      <c r="C272" t="s">
        <v>83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179.16435000000001</v>
      </c>
      <c r="K272" t="s">
        <v>48</v>
      </c>
    </row>
    <row r="273" spans="1:11" x14ac:dyDescent="0.45">
      <c r="A273" t="s">
        <v>89</v>
      </c>
      <c r="B273" t="s">
        <v>3</v>
      </c>
      <c r="C273" t="s">
        <v>83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130.494</v>
      </c>
      <c r="K273" t="s">
        <v>48</v>
      </c>
    </row>
    <row r="274" spans="1:11" x14ac:dyDescent="0.45">
      <c r="A274" t="s">
        <v>89</v>
      </c>
      <c r="B274" t="s">
        <v>3</v>
      </c>
      <c r="C274" t="s">
        <v>83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101.3801</v>
      </c>
      <c r="K274" t="s">
        <v>48</v>
      </c>
    </row>
    <row r="275" spans="1:11" x14ac:dyDescent="0.45">
      <c r="A275" t="s">
        <v>89</v>
      </c>
      <c r="B275" t="s">
        <v>3</v>
      </c>
      <c r="C275" t="s">
        <v>83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90.464950000000002</v>
      </c>
      <c r="K275" t="s">
        <v>48</v>
      </c>
    </row>
    <row r="276" spans="1:11" x14ac:dyDescent="0.45">
      <c r="A276" t="s">
        <v>89</v>
      </c>
      <c r="B276" t="s">
        <v>3</v>
      </c>
      <c r="C276" t="s">
        <v>83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85.389450000000011</v>
      </c>
      <c r="K276" t="s">
        <v>48</v>
      </c>
    </row>
    <row r="277" spans="1:11" x14ac:dyDescent="0.45">
      <c r="A277" t="s">
        <v>89</v>
      </c>
      <c r="B277" t="s">
        <v>3</v>
      </c>
      <c r="C277" t="s">
        <v>83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79.378799999999998</v>
      </c>
      <c r="K277" t="s">
        <v>48</v>
      </c>
    </row>
    <row r="278" spans="1:11" x14ac:dyDescent="0.45">
      <c r="A278" t="s">
        <v>89</v>
      </c>
      <c r="B278" t="s">
        <v>3</v>
      </c>
      <c r="C278" t="s">
        <v>83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73.130200000000002</v>
      </c>
      <c r="K278" t="s">
        <v>48</v>
      </c>
    </row>
    <row r="279" spans="1:11" x14ac:dyDescent="0.45">
      <c r="A279" t="s">
        <v>89</v>
      </c>
      <c r="B279" t="s">
        <v>3</v>
      </c>
      <c r="C279" t="s">
        <v>83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67.488349999999997</v>
      </c>
      <c r="K279" t="s">
        <v>48</v>
      </c>
    </row>
    <row r="280" spans="1:11" x14ac:dyDescent="0.45">
      <c r="A280" t="s">
        <v>89</v>
      </c>
      <c r="B280" t="s">
        <v>3</v>
      </c>
      <c r="C280" t="s">
        <v>83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61.499499999999998</v>
      </c>
      <c r="K280" t="s">
        <v>48</v>
      </c>
    </row>
    <row r="281" spans="1:11" x14ac:dyDescent="0.45">
      <c r="A281" t="s">
        <v>89</v>
      </c>
      <c r="B281" t="s">
        <v>3</v>
      </c>
      <c r="C281" t="s">
        <v>83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62.807950000000005</v>
      </c>
      <c r="K281" t="s">
        <v>48</v>
      </c>
    </row>
    <row r="282" spans="1:11" x14ac:dyDescent="0.45">
      <c r="A282" t="s">
        <v>89</v>
      </c>
      <c r="B282" t="s">
        <v>3</v>
      </c>
      <c r="C282" t="s">
        <v>83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64.46135000000001</v>
      </c>
      <c r="K282" t="s">
        <v>48</v>
      </c>
    </row>
    <row r="283" spans="1:11" x14ac:dyDescent="0.45">
      <c r="A283" t="s">
        <v>89</v>
      </c>
      <c r="B283" t="s">
        <v>3</v>
      </c>
      <c r="C283" t="s">
        <v>83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52.93365</v>
      </c>
      <c r="K283" t="s">
        <v>48</v>
      </c>
    </row>
    <row r="284" spans="1:11" x14ac:dyDescent="0.45">
      <c r="A284" t="s">
        <v>89</v>
      </c>
      <c r="B284" t="s">
        <v>3</v>
      </c>
      <c r="C284" t="s">
        <v>83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41.551549999999999</v>
      </c>
      <c r="K284" t="s">
        <v>48</v>
      </c>
    </row>
    <row r="285" spans="1:11" x14ac:dyDescent="0.45">
      <c r="A285" t="s">
        <v>89</v>
      </c>
      <c r="B285" t="s">
        <v>4</v>
      </c>
      <c r="C285" t="s">
        <v>83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374.54984999999999</v>
      </c>
      <c r="K285" t="s">
        <v>48</v>
      </c>
    </row>
    <row r="286" spans="1:11" x14ac:dyDescent="0.45">
      <c r="A286" t="s">
        <v>89</v>
      </c>
      <c r="B286" t="s">
        <v>4</v>
      </c>
      <c r="C286" t="s">
        <v>83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396.47669999999999</v>
      </c>
      <c r="K286" t="s">
        <v>48</v>
      </c>
    </row>
    <row r="287" spans="1:11" x14ac:dyDescent="0.45">
      <c r="A287" t="s">
        <v>89</v>
      </c>
      <c r="B287" t="s">
        <v>4</v>
      </c>
      <c r="C287" t="s">
        <v>83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400.13875000000002</v>
      </c>
      <c r="K287" t="s">
        <v>48</v>
      </c>
    </row>
    <row r="288" spans="1:11" x14ac:dyDescent="0.45">
      <c r="A288" t="s">
        <v>89</v>
      </c>
      <c r="B288" t="s">
        <v>4</v>
      </c>
      <c r="C288" t="s">
        <v>83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404.14355</v>
      </c>
      <c r="K288" t="s">
        <v>48</v>
      </c>
    </row>
    <row r="289" spans="1:11" x14ac:dyDescent="0.45">
      <c r="A289" t="s">
        <v>89</v>
      </c>
      <c r="B289" t="s">
        <v>4</v>
      </c>
      <c r="C289" t="s">
        <v>83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400.68214999999998</v>
      </c>
      <c r="K289" t="s">
        <v>48</v>
      </c>
    </row>
    <row r="290" spans="1:11" x14ac:dyDescent="0.45">
      <c r="A290" t="s">
        <v>89</v>
      </c>
      <c r="B290" t="s">
        <v>4</v>
      </c>
      <c r="C290" t="s">
        <v>83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380.54390000000001</v>
      </c>
      <c r="K290" t="s">
        <v>48</v>
      </c>
    </row>
    <row r="291" spans="1:11" x14ac:dyDescent="0.45">
      <c r="A291" t="s">
        <v>89</v>
      </c>
      <c r="B291" t="s">
        <v>4</v>
      </c>
      <c r="C291" t="s">
        <v>83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367.74565000000001</v>
      </c>
      <c r="K291" t="s">
        <v>48</v>
      </c>
    </row>
    <row r="292" spans="1:11" x14ac:dyDescent="0.45">
      <c r="A292" t="s">
        <v>89</v>
      </c>
      <c r="B292" t="s">
        <v>4</v>
      </c>
      <c r="C292" t="s">
        <v>83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367.77735000000001</v>
      </c>
      <c r="K292" t="s">
        <v>48</v>
      </c>
    </row>
    <row r="293" spans="1:11" x14ac:dyDescent="0.45">
      <c r="A293" t="s">
        <v>89</v>
      </c>
      <c r="B293" t="s">
        <v>4</v>
      </c>
      <c r="C293" t="s">
        <v>83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369.91390000000001</v>
      </c>
      <c r="K293" t="s">
        <v>48</v>
      </c>
    </row>
    <row r="294" spans="1:11" x14ac:dyDescent="0.45">
      <c r="A294" t="s">
        <v>89</v>
      </c>
      <c r="B294" t="s">
        <v>4</v>
      </c>
      <c r="C294" t="s">
        <v>83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364.64665000000002</v>
      </c>
      <c r="K294" t="s">
        <v>48</v>
      </c>
    </row>
    <row r="295" spans="1:11" x14ac:dyDescent="0.45">
      <c r="A295" t="s">
        <v>89</v>
      </c>
      <c r="B295" t="s">
        <v>4</v>
      </c>
      <c r="C295" t="s">
        <v>83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364.30579999999998</v>
      </c>
      <c r="K295" t="s">
        <v>48</v>
      </c>
    </row>
    <row r="296" spans="1:11" x14ac:dyDescent="0.45">
      <c r="A296" t="s">
        <v>89</v>
      </c>
      <c r="B296" t="s">
        <v>4</v>
      </c>
      <c r="C296" t="s">
        <v>83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359.88749999999999</v>
      </c>
      <c r="K296" t="s">
        <v>48</v>
      </c>
    </row>
    <row r="297" spans="1:11" x14ac:dyDescent="0.45">
      <c r="A297" t="s">
        <v>89</v>
      </c>
      <c r="B297" t="s">
        <v>4</v>
      </c>
      <c r="C297" t="s">
        <v>83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356.19550000000004</v>
      </c>
      <c r="K297" t="s">
        <v>48</v>
      </c>
    </row>
    <row r="298" spans="1:11" x14ac:dyDescent="0.45">
      <c r="A298" t="s">
        <v>89</v>
      </c>
      <c r="B298" t="s">
        <v>4</v>
      </c>
      <c r="C298" t="s">
        <v>83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346.26445000000001</v>
      </c>
      <c r="K298" t="s">
        <v>48</v>
      </c>
    </row>
    <row r="299" spans="1:11" x14ac:dyDescent="0.45">
      <c r="A299" t="s">
        <v>89</v>
      </c>
      <c r="B299" t="s">
        <v>4</v>
      </c>
      <c r="C299" t="s">
        <v>83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338.76895000000002</v>
      </c>
      <c r="K299" t="s">
        <v>48</v>
      </c>
    </row>
    <row r="300" spans="1:11" x14ac:dyDescent="0.45">
      <c r="A300" t="s">
        <v>89</v>
      </c>
      <c r="B300" t="s">
        <v>4</v>
      </c>
      <c r="C300" t="s">
        <v>83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306.03859999999997</v>
      </c>
      <c r="K300" t="s">
        <v>48</v>
      </c>
    </row>
    <row r="301" spans="1:11" x14ac:dyDescent="0.45">
      <c r="A301" t="s">
        <v>89</v>
      </c>
      <c r="B301" t="s">
        <v>4</v>
      </c>
      <c r="C301" t="s">
        <v>83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272.7919</v>
      </c>
      <c r="K301" t="s">
        <v>48</v>
      </c>
    </row>
    <row r="302" spans="1:11" x14ac:dyDescent="0.45">
      <c r="A302" t="s">
        <v>89</v>
      </c>
      <c r="B302" t="s">
        <v>0</v>
      </c>
      <c r="C302" t="s">
        <v>83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375.30314999999996</v>
      </c>
      <c r="K302" t="s">
        <v>48</v>
      </c>
    </row>
    <row r="303" spans="1:11" x14ac:dyDescent="0.45">
      <c r="A303" t="s">
        <v>89</v>
      </c>
      <c r="B303" t="s">
        <v>0</v>
      </c>
      <c r="C303" t="s">
        <v>83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399.5573</v>
      </c>
      <c r="K303" t="s">
        <v>48</v>
      </c>
    </row>
    <row r="304" spans="1:11" x14ac:dyDescent="0.45">
      <c r="A304" t="s">
        <v>89</v>
      </c>
      <c r="B304" t="s">
        <v>0</v>
      </c>
      <c r="C304" t="s">
        <v>83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405.50194999999997</v>
      </c>
      <c r="K304" t="s">
        <v>48</v>
      </c>
    </row>
    <row r="305" spans="1:11" x14ac:dyDescent="0.45">
      <c r="A305" t="s">
        <v>89</v>
      </c>
      <c r="B305" t="s">
        <v>0</v>
      </c>
      <c r="C305" t="s">
        <v>83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357.8107</v>
      </c>
      <c r="K305" t="s">
        <v>48</v>
      </c>
    </row>
    <row r="306" spans="1:11" x14ac:dyDescent="0.45">
      <c r="A306" t="s">
        <v>89</v>
      </c>
      <c r="B306" t="s">
        <v>0</v>
      </c>
      <c r="C306" t="s">
        <v>83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189.73899999999998</v>
      </c>
      <c r="K306" t="s">
        <v>48</v>
      </c>
    </row>
    <row r="307" spans="1:11" x14ac:dyDescent="0.45">
      <c r="A307" t="s">
        <v>89</v>
      </c>
      <c r="B307" t="s">
        <v>0</v>
      </c>
      <c r="C307" t="s">
        <v>83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84.229700000000008</v>
      </c>
      <c r="K307" t="s">
        <v>48</v>
      </c>
    </row>
    <row r="308" spans="1:11" x14ac:dyDescent="0.45">
      <c r="A308" t="s">
        <v>89</v>
      </c>
      <c r="B308" t="s">
        <v>0</v>
      </c>
      <c r="C308" t="s">
        <v>83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50.099049999999998</v>
      </c>
      <c r="K308" t="s">
        <v>48</v>
      </c>
    </row>
    <row r="309" spans="1:11" x14ac:dyDescent="0.45">
      <c r="A309" t="s">
        <v>89</v>
      </c>
      <c r="B309" t="s">
        <v>0</v>
      </c>
      <c r="C309" t="s">
        <v>83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26.436450000000001</v>
      </c>
      <c r="K309" t="s">
        <v>48</v>
      </c>
    </row>
    <row r="310" spans="1:11" x14ac:dyDescent="0.45">
      <c r="A310" t="s">
        <v>89</v>
      </c>
      <c r="B310" t="s">
        <v>0</v>
      </c>
      <c r="C310" t="s">
        <v>83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2.9882</v>
      </c>
      <c r="K310" t="s">
        <v>48</v>
      </c>
    </row>
    <row r="311" spans="1:11" x14ac:dyDescent="0.45">
      <c r="A311" t="s">
        <v>89</v>
      </c>
      <c r="B311" t="s">
        <v>0</v>
      </c>
      <c r="C311" t="s">
        <v>83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-5.7807000000000004</v>
      </c>
      <c r="K311" t="s">
        <v>48</v>
      </c>
    </row>
    <row r="312" spans="1:11" x14ac:dyDescent="0.45">
      <c r="A312" t="s">
        <v>89</v>
      </c>
      <c r="B312" t="s">
        <v>0</v>
      </c>
      <c r="C312" t="s">
        <v>83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-15.183800000000002</v>
      </c>
      <c r="K312" t="s">
        <v>48</v>
      </c>
    </row>
    <row r="313" spans="1:11" x14ac:dyDescent="0.45">
      <c r="A313" t="s">
        <v>89</v>
      </c>
      <c r="B313" t="s">
        <v>0</v>
      </c>
      <c r="C313" t="s">
        <v>83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-17.33175</v>
      </c>
      <c r="K313" t="s">
        <v>48</v>
      </c>
    </row>
    <row r="314" spans="1:11" x14ac:dyDescent="0.45">
      <c r="A314" t="s">
        <v>89</v>
      </c>
      <c r="B314" t="s">
        <v>0</v>
      </c>
      <c r="C314" t="s">
        <v>83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-20.151949999999999</v>
      </c>
      <c r="K314" t="s">
        <v>48</v>
      </c>
    </row>
    <row r="315" spans="1:11" x14ac:dyDescent="0.45">
      <c r="A315" t="s">
        <v>89</v>
      </c>
      <c r="B315" t="s">
        <v>0</v>
      </c>
      <c r="C315" t="s">
        <v>83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-11.21705</v>
      </c>
      <c r="K315" t="s">
        <v>48</v>
      </c>
    </row>
    <row r="316" spans="1:11" x14ac:dyDescent="0.45">
      <c r="A316" t="s">
        <v>89</v>
      </c>
      <c r="B316" t="s">
        <v>0</v>
      </c>
      <c r="C316" t="s">
        <v>83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-2.0856499999999998</v>
      </c>
      <c r="K316" t="s">
        <v>48</v>
      </c>
    </row>
    <row r="317" spans="1:11" x14ac:dyDescent="0.45">
      <c r="A317" t="s">
        <v>89</v>
      </c>
      <c r="B317" t="s">
        <v>0</v>
      </c>
      <c r="C317" t="s">
        <v>83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-2.1274999999999999</v>
      </c>
      <c r="K317" t="s">
        <v>48</v>
      </c>
    </row>
    <row r="318" spans="1:11" x14ac:dyDescent="0.45">
      <c r="A318" t="s">
        <v>89</v>
      </c>
      <c r="B318" t="s">
        <v>0</v>
      </c>
      <c r="C318" t="s">
        <v>83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-1.5227499999999998</v>
      </c>
      <c r="K318" t="s">
        <v>48</v>
      </c>
    </row>
    <row r="319" spans="1:11" x14ac:dyDescent="0.45">
      <c r="A319" t="s">
        <v>89</v>
      </c>
      <c r="B319" t="s">
        <v>6</v>
      </c>
      <c r="C319" t="s">
        <v>83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376.0059</v>
      </c>
      <c r="K319" t="s">
        <v>48</v>
      </c>
    </row>
    <row r="320" spans="1:11" x14ac:dyDescent="0.45">
      <c r="A320" t="s">
        <v>89</v>
      </c>
      <c r="B320" t="s">
        <v>6</v>
      </c>
      <c r="C320" t="s">
        <v>83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401.35900000000004</v>
      </c>
      <c r="K320" t="s">
        <v>48</v>
      </c>
    </row>
    <row r="321" spans="1:11" x14ac:dyDescent="0.45">
      <c r="A321" t="s">
        <v>89</v>
      </c>
      <c r="B321" t="s">
        <v>6</v>
      </c>
      <c r="C321" t="s">
        <v>83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410.17629999999997</v>
      </c>
      <c r="K321" t="s">
        <v>48</v>
      </c>
    </row>
    <row r="322" spans="1:11" x14ac:dyDescent="0.45">
      <c r="A322" t="s">
        <v>89</v>
      </c>
      <c r="B322" t="s">
        <v>6</v>
      </c>
      <c r="C322" t="s">
        <v>83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378.64695</v>
      </c>
      <c r="K322" t="s">
        <v>48</v>
      </c>
    </row>
    <row r="323" spans="1:11" x14ac:dyDescent="0.45">
      <c r="A323" t="s">
        <v>89</v>
      </c>
      <c r="B323" t="s">
        <v>6</v>
      </c>
      <c r="C323" t="s">
        <v>83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285.96479999999997</v>
      </c>
      <c r="K323" t="s">
        <v>48</v>
      </c>
    </row>
    <row r="324" spans="1:11" x14ac:dyDescent="0.45">
      <c r="A324" t="s">
        <v>89</v>
      </c>
      <c r="B324" t="s">
        <v>6</v>
      </c>
      <c r="C324" t="s">
        <v>83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163.88509999999999</v>
      </c>
      <c r="K324" t="s">
        <v>48</v>
      </c>
    </row>
    <row r="325" spans="1:11" x14ac:dyDescent="0.45">
      <c r="A325" t="s">
        <v>89</v>
      </c>
      <c r="B325" t="s">
        <v>6</v>
      </c>
      <c r="C325" t="s">
        <v>83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116.55420000000001</v>
      </c>
      <c r="K325" t="s">
        <v>48</v>
      </c>
    </row>
    <row r="326" spans="1:11" x14ac:dyDescent="0.45">
      <c r="A326" t="s">
        <v>89</v>
      </c>
      <c r="B326" t="s">
        <v>6</v>
      </c>
      <c r="C326" t="s">
        <v>83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83.504249999999999</v>
      </c>
      <c r="K326" t="s">
        <v>48</v>
      </c>
    </row>
    <row r="327" spans="1:11" x14ac:dyDescent="0.45">
      <c r="A327" t="s">
        <v>89</v>
      </c>
      <c r="B327" t="s">
        <v>6</v>
      </c>
      <c r="C327" t="s">
        <v>83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73.757300000000001</v>
      </c>
      <c r="K327" t="s">
        <v>48</v>
      </c>
    </row>
    <row r="328" spans="1:11" x14ac:dyDescent="0.45">
      <c r="A328" t="s">
        <v>89</v>
      </c>
      <c r="B328" t="s">
        <v>6</v>
      </c>
      <c r="C328" t="s">
        <v>83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71.183099999999996</v>
      </c>
      <c r="K328" t="s">
        <v>48</v>
      </c>
    </row>
    <row r="329" spans="1:11" x14ac:dyDescent="0.45">
      <c r="A329" t="s">
        <v>89</v>
      </c>
      <c r="B329" t="s">
        <v>6</v>
      </c>
      <c r="C329" t="s">
        <v>83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67.98415</v>
      </c>
      <c r="K329" t="s">
        <v>48</v>
      </c>
    </row>
    <row r="330" spans="1:11" x14ac:dyDescent="0.45">
      <c r="A330" t="s">
        <v>89</v>
      </c>
      <c r="B330" t="s">
        <v>6</v>
      </c>
      <c r="C330" t="s">
        <v>83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65.669849999999997</v>
      </c>
      <c r="K330" t="s">
        <v>48</v>
      </c>
    </row>
    <row r="331" spans="1:11" x14ac:dyDescent="0.45">
      <c r="A331" t="s">
        <v>89</v>
      </c>
      <c r="B331" t="s">
        <v>6</v>
      </c>
      <c r="C331" t="s">
        <v>83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63.092299999999994</v>
      </c>
      <c r="K331" t="s">
        <v>48</v>
      </c>
    </row>
    <row r="332" spans="1:11" x14ac:dyDescent="0.45">
      <c r="A332" t="s">
        <v>89</v>
      </c>
      <c r="B332" t="s">
        <v>6</v>
      </c>
      <c r="C332" t="s">
        <v>83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64.927949999999996</v>
      </c>
      <c r="K332" t="s">
        <v>48</v>
      </c>
    </row>
    <row r="333" spans="1:11" x14ac:dyDescent="0.45">
      <c r="A333" t="s">
        <v>89</v>
      </c>
      <c r="B333" t="s">
        <v>6</v>
      </c>
      <c r="C333" t="s">
        <v>83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66.899450000000002</v>
      </c>
      <c r="K333" t="s">
        <v>48</v>
      </c>
    </row>
    <row r="334" spans="1:11" x14ac:dyDescent="0.45">
      <c r="A334" t="s">
        <v>89</v>
      </c>
      <c r="B334" t="s">
        <v>6</v>
      </c>
      <c r="C334" t="s">
        <v>83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56.645700000000005</v>
      </c>
      <c r="K334" t="s">
        <v>48</v>
      </c>
    </row>
    <row r="335" spans="1:11" x14ac:dyDescent="0.45">
      <c r="A335" t="s">
        <v>89</v>
      </c>
      <c r="B335" t="s">
        <v>6</v>
      </c>
      <c r="C335" t="s">
        <v>83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46.500749999999996</v>
      </c>
      <c r="K335" t="s">
        <v>48</v>
      </c>
    </row>
    <row r="336" spans="1:11" x14ac:dyDescent="0.45">
      <c r="A336" t="s">
        <v>89</v>
      </c>
      <c r="B336" t="s">
        <v>5</v>
      </c>
      <c r="C336" t="s">
        <v>83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377.88434999999998</v>
      </c>
      <c r="K336" t="s">
        <v>48</v>
      </c>
    </row>
    <row r="337" spans="1:11" x14ac:dyDescent="0.45">
      <c r="A337" t="s">
        <v>89</v>
      </c>
      <c r="B337" t="s">
        <v>5</v>
      </c>
      <c r="C337" t="s">
        <v>83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383.38544999999999</v>
      </c>
      <c r="K337" t="s">
        <v>48</v>
      </c>
    </row>
    <row r="338" spans="1:11" x14ac:dyDescent="0.45">
      <c r="A338" t="s">
        <v>89</v>
      </c>
      <c r="B338" t="s">
        <v>5</v>
      </c>
      <c r="C338" t="s">
        <v>83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274.53874999999999</v>
      </c>
      <c r="K338" t="s">
        <v>48</v>
      </c>
    </row>
    <row r="339" spans="1:11" x14ac:dyDescent="0.45">
      <c r="A339" t="s">
        <v>89</v>
      </c>
      <c r="B339" t="s">
        <v>5</v>
      </c>
      <c r="C339" t="s">
        <v>83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141.31729999999999</v>
      </c>
      <c r="K339" t="s">
        <v>48</v>
      </c>
    </row>
    <row r="340" spans="1:11" x14ac:dyDescent="0.45">
      <c r="A340" t="s">
        <v>89</v>
      </c>
      <c r="B340" t="s">
        <v>5</v>
      </c>
      <c r="C340" t="s">
        <v>83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80.706699999999998</v>
      </c>
      <c r="K340" t="s">
        <v>48</v>
      </c>
    </row>
    <row r="341" spans="1:11" x14ac:dyDescent="0.45">
      <c r="A341" t="s">
        <v>89</v>
      </c>
      <c r="B341" t="s">
        <v>5</v>
      </c>
      <c r="C341" t="s">
        <v>83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51.701300000000003</v>
      </c>
      <c r="K341" t="s">
        <v>48</v>
      </c>
    </row>
    <row r="342" spans="1:11" x14ac:dyDescent="0.45">
      <c r="A342" t="s">
        <v>89</v>
      </c>
      <c r="B342" t="s">
        <v>5</v>
      </c>
      <c r="C342" t="s">
        <v>83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43.103300000000004</v>
      </c>
      <c r="K342" t="s">
        <v>48</v>
      </c>
    </row>
    <row r="343" spans="1:11" x14ac:dyDescent="0.45">
      <c r="A343" t="s">
        <v>89</v>
      </c>
      <c r="B343" t="s">
        <v>5</v>
      </c>
      <c r="C343" t="s">
        <v>83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35.835750000000004</v>
      </c>
      <c r="K343" t="s">
        <v>48</v>
      </c>
    </row>
    <row r="344" spans="1:11" x14ac:dyDescent="0.45">
      <c r="A344" t="s">
        <v>89</v>
      </c>
      <c r="B344" t="s">
        <v>5</v>
      </c>
      <c r="C344" t="s">
        <v>83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26.807099999999998</v>
      </c>
      <c r="K344" t="s">
        <v>48</v>
      </c>
    </row>
    <row r="345" spans="1:11" x14ac:dyDescent="0.45">
      <c r="A345" t="s">
        <v>89</v>
      </c>
      <c r="B345" t="s">
        <v>5</v>
      </c>
      <c r="C345" t="s">
        <v>83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19.049599999999998</v>
      </c>
      <c r="K345" t="s">
        <v>48</v>
      </c>
    </row>
    <row r="346" spans="1:11" x14ac:dyDescent="0.45">
      <c r="A346" t="s">
        <v>89</v>
      </c>
      <c r="B346" t="s">
        <v>5</v>
      </c>
      <c r="C346" t="s">
        <v>83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11.05245</v>
      </c>
      <c r="K346" t="s">
        <v>48</v>
      </c>
    </row>
    <row r="347" spans="1:11" x14ac:dyDescent="0.45">
      <c r="A347" t="s">
        <v>89</v>
      </c>
      <c r="B347" t="s">
        <v>5</v>
      </c>
      <c r="C347" t="s">
        <v>83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7.4175000000000004</v>
      </c>
      <c r="K347" t="s">
        <v>48</v>
      </c>
    </row>
    <row r="348" spans="1:11" x14ac:dyDescent="0.45">
      <c r="A348" t="s">
        <v>89</v>
      </c>
      <c r="B348" t="s">
        <v>5</v>
      </c>
      <c r="C348" t="s">
        <v>83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3.6997999999999998</v>
      </c>
      <c r="K348" t="s">
        <v>48</v>
      </c>
    </row>
    <row r="349" spans="1:11" x14ac:dyDescent="0.45">
      <c r="A349" t="s">
        <v>89</v>
      </c>
      <c r="B349" t="s">
        <v>5</v>
      </c>
      <c r="C349" t="s">
        <v>83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6.8015499999999998</v>
      </c>
      <c r="K349" t="s">
        <v>48</v>
      </c>
    </row>
    <row r="350" spans="1:11" x14ac:dyDescent="0.45">
      <c r="A350" t="s">
        <v>89</v>
      </c>
      <c r="B350" t="s">
        <v>5</v>
      </c>
      <c r="C350" t="s">
        <v>83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10.25385</v>
      </c>
      <c r="K350" t="s">
        <v>48</v>
      </c>
    </row>
    <row r="351" spans="1:11" x14ac:dyDescent="0.45">
      <c r="A351" t="s">
        <v>89</v>
      </c>
      <c r="B351" t="s">
        <v>5</v>
      </c>
      <c r="C351" t="s">
        <v>83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6.87805</v>
      </c>
      <c r="K351" t="s">
        <v>48</v>
      </c>
    </row>
    <row r="352" spans="1:11" x14ac:dyDescent="0.45">
      <c r="A352" t="s">
        <v>89</v>
      </c>
      <c r="B352" t="s">
        <v>5</v>
      </c>
      <c r="C352" t="s">
        <v>83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3.4948499999999996</v>
      </c>
      <c r="K352" t="s">
        <v>48</v>
      </c>
    </row>
    <row r="353" spans="1:11" x14ac:dyDescent="0.45">
      <c r="A353" t="s">
        <v>89</v>
      </c>
      <c r="B353" t="s">
        <v>2</v>
      </c>
      <c r="C353" t="s">
        <v>83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375.89089999999999</v>
      </c>
      <c r="K353" t="s">
        <v>48</v>
      </c>
    </row>
    <row r="354" spans="1:11" x14ac:dyDescent="0.45">
      <c r="A354" t="s">
        <v>89</v>
      </c>
      <c r="B354" t="s">
        <v>2</v>
      </c>
      <c r="C354" t="s">
        <v>83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400.14249999999998</v>
      </c>
      <c r="K354" t="s">
        <v>48</v>
      </c>
    </row>
    <row r="355" spans="1:11" x14ac:dyDescent="0.45">
      <c r="A355" t="s">
        <v>89</v>
      </c>
      <c r="B355" t="s">
        <v>2</v>
      </c>
      <c r="C355" t="s">
        <v>83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393.00914999999998</v>
      </c>
      <c r="K355" t="s">
        <v>48</v>
      </c>
    </row>
    <row r="356" spans="1:11" x14ac:dyDescent="0.45">
      <c r="A356" t="s">
        <v>89</v>
      </c>
      <c r="B356" t="s">
        <v>2</v>
      </c>
      <c r="C356" t="s">
        <v>83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366.63594999999998</v>
      </c>
      <c r="K356" t="s">
        <v>48</v>
      </c>
    </row>
    <row r="357" spans="1:11" x14ac:dyDescent="0.45">
      <c r="A357" t="s">
        <v>89</v>
      </c>
      <c r="B357" t="s">
        <v>2</v>
      </c>
      <c r="C357" t="s">
        <v>83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323.5247</v>
      </c>
      <c r="K357" t="s">
        <v>48</v>
      </c>
    </row>
    <row r="358" spans="1:11" x14ac:dyDescent="0.45">
      <c r="A358" t="s">
        <v>89</v>
      </c>
      <c r="B358" t="s">
        <v>2</v>
      </c>
      <c r="C358" t="s">
        <v>83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269.88130000000001</v>
      </c>
      <c r="K358" t="s">
        <v>48</v>
      </c>
    </row>
    <row r="359" spans="1:11" x14ac:dyDescent="0.45">
      <c r="A359" t="s">
        <v>89</v>
      </c>
      <c r="B359" t="s">
        <v>2</v>
      </c>
      <c r="C359" t="s">
        <v>83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231.60019999999997</v>
      </c>
      <c r="K359" t="s">
        <v>48</v>
      </c>
    </row>
    <row r="360" spans="1:11" x14ac:dyDescent="0.45">
      <c r="A360" t="s">
        <v>89</v>
      </c>
      <c r="B360" t="s">
        <v>2</v>
      </c>
      <c r="C360" t="s">
        <v>83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207.8733</v>
      </c>
      <c r="K360" t="s">
        <v>48</v>
      </c>
    </row>
    <row r="361" spans="1:11" x14ac:dyDescent="0.45">
      <c r="A361" t="s">
        <v>89</v>
      </c>
      <c r="B361" t="s">
        <v>2</v>
      </c>
      <c r="C361" t="s">
        <v>83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186.7276</v>
      </c>
      <c r="K361" t="s">
        <v>48</v>
      </c>
    </row>
    <row r="362" spans="1:11" x14ac:dyDescent="0.45">
      <c r="A362" t="s">
        <v>89</v>
      </c>
      <c r="B362" t="s">
        <v>2</v>
      </c>
      <c r="C362" t="s">
        <v>83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173.87689999999998</v>
      </c>
      <c r="K362" t="s">
        <v>48</v>
      </c>
    </row>
    <row r="363" spans="1:11" x14ac:dyDescent="0.45">
      <c r="A363" t="s">
        <v>89</v>
      </c>
      <c r="B363" t="s">
        <v>2</v>
      </c>
      <c r="C363" t="s">
        <v>83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159.56555</v>
      </c>
      <c r="K363" t="s">
        <v>48</v>
      </c>
    </row>
    <row r="364" spans="1:11" x14ac:dyDescent="0.45">
      <c r="A364" t="s">
        <v>89</v>
      </c>
      <c r="B364" t="s">
        <v>2</v>
      </c>
      <c r="C364" t="s">
        <v>83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150.91160000000002</v>
      </c>
      <c r="K364" t="s">
        <v>48</v>
      </c>
    </row>
    <row r="365" spans="1:11" x14ac:dyDescent="0.45">
      <c r="A365" t="s">
        <v>89</v>
      </c>
      <c r="B365" t="s">
        <v>2</v>
      </c>
      <c r="C365" t="s">
        <v>83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141.6782</v>
      </c>
      <c r="K365" t="s">
        <v>48</v>
      </c>
    </row>
    <row r="366" spans="1:11" x14ac:dyDescent="0.45">
      <c r="A366" t="s">
        <v>89</v>
      </c>
      <c r="B366" t="s">
        <v>2</v>
      </c>
      <c r="C366" t="s">
        <v>83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137.5668</v>
      </c>
      <c r="K366" t="s">
        <v>48</v>
      </c>
    </row>
    <row r="367" spans="1:11" x14ac:dyDescent="0.45">
      <c r="A367" t="s">
        <v>89</v>
      </c>
      <c r="B367" t="s">
        <v>2</v>
      </c>
      <c r="C367" t="s">
        <v>83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135.16040000000001</v>
      </c>
      <c r="K367" t="s">
        <v>48</v>
      </c>
    </row>
    <row r="368" spans="1:11" x14ac:dyDescent="0.45">
      <c r="A368" t="s">
        <v>89</v>
      </c>
      <c r="B368" t="s">
        <v>2</v>
      </c>
      <c r="C368" t="s">
        <v>83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125.3784</v>
      </c>
      <c r="K368" t="s">
        <v>48</v>
      </c>
    </row>
    <row r="369" spans="1:11" x14ac:dyDescent="0.45">
      <c r="A369" t="s">
        <v>89</v>
      </c>
      <c r="B369" t="s">
        <v>2</v>
      </c>
      <c r="C369" t="s">
        <v>83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115.78360000000001</v>
      </c>
      <c r="K369" t="s">
        <v>48</v>
      </c>
    </row>
    <row r="370" spans="1:11" x14ac:dyDescent="0.45">
      <c r="A370" t="s">
        <v>89</v>
      </c>
      <c r="B370" t="s">
        <v>1</v>
      </c>
      <c r="C370" t="s">
        <v>83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375.32695000000001</v>
      </c>
      <c r="K370" t="s">
        <v>48</v>
      </c>
    </row>
    <row r="371" spans="1:11" x14ac:dyDescent="0.45">
      <c r="A371" t="s">
        <v>89</v>
      </c>
      <c r="B371" t="s">
        <v>1</v>
      </c>
      <c r="C371" t="s">
        <v>83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384.84320000000002</v>
      </c>
      <c r="K371" t="s">
        <v>48</v>
      </c>
    </row>
    <row r="372" spans="1:11" x14ac:dyDescent="0.45">
      <c r="A372" t="s">
        <v>89</v>
      </c>
      <c r="B372" t="s">
        <v>1</v>
      </c>
      <c r="C372" t="s">
        <v>83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276.43090000000001</v>
      </c>
      <c r="K372" t="s">
        <v>48</v>
      </c>
    </row>
    <row r="373" spans="1:11" x14ac:dyDescent="0.45">
      <c r="A373" t="s">
        <v>89</v>
      </c>
      <c r="B373" t="s">
        <v>1</v>
      </c>
      <c r="C373" t="s">
        <v>83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134.57415</v>
      </c>
      <c r="K373" t="s">
        <v>48</v>
      </c>
    </row>
    <row r="374" spans="1:11" x14ac:dyDescent="0.45">
      <c r="A374" t="s">
        <v>89</v>
      </c>
      <c r="B374" t="s">
        <v>1</v>
      </c>
      <c r="C374" t="s">
        <v>83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81.838449999999995</v>
      </c>
      <c r="K374" t="s">
        <v>48</v>
      </c>
    </row>
    <row r="375" spans="1:11" x14ac:dyDescent="0.45">
      <c r="A375" t="s">
        <v>89</v>
      </c>
      <c r="B375" t="s">
        <v>1</v>
      </c>
      <c r="C375" t="s">
        <v>83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49.604300000000002</v>
      </c>
      <c r="K375" t="s">
        <v>48</v>
      </c>
    </row>
    <row r="376" spans="1:11" x14ac:dyDescent="0.45">
      <c r="A376" t="s">
        <v>89</v>
      </c>
      <c r="B376" t="s">
        <v>1</v>
      </c>
      <c r="C376" t="s">
        <v>83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31.793900000000001</v>
      </c>
      <c r="K376" t="s">
        <v>48</v>
      </c>
    </row>
    <row r="377" spans="1:11" x14ac:dyDescent="0.45">
      <c r="A377" t="s">
        <v>89</v>
      </c>
      <c r="B377" t="s">
        <v>1</v>
      </c>
      <c r="C377" t="s">
        <v>83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26.1709</v>
      </c>
      <c r="K377" t="s">
        <v>48</v>
      </c>
    </row>
    <row r="378" spans="1:11" x14ac:dyDescent="0.45">
      <c r="A378" t="s">
        <v>89</v>
      </c>
      <c r="B378" t="s">
        <v>1</v>
      </c>
      <c r="C378" t="s">
        <v>83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17.695149999999998</v>
      </c>
      <c r="K378" t="s">
        <v>48</v>
      </c>
    </row>
    <row r="379" spans="1:11" x14ac:dyDescent="0.45">
      <c r="A379" t="s">
        <v>89</v>
      </c>
      <c r="B379" t="s">
        <v>1</v>
      </c>
      <c r="C379" t="s">
        <v>83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14.447900000000001</v>
      </c>
      <c r="K379" t="s">
        <v>48</v>
      </c>
    </row>
    <row r="380" spans="1:11" x14ac:dyDescent="0.45">
      <c r="A380" t="s">
        <v>89</v>
      </c>
      <c r="B380" t="s">
        <v>1</v>
      </c>
      <c r="C380" t="s">
        <v>83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11.1837</v>
      </c>
      <c r="K380" t="s">
        <v>48</v>
      </c>
    </row>
    <row r="381" spans="1:11" x14ac:dyDescent="0.45">
      <c r="A381" t="s">
        <v>89</v>
      </c>
      <c r="B381" t="s">
        <v>1</v>
      </c>
      <c r="C381" t="s">
        <v>83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14.2592</v>
      </c>
      <c r="K381" t="s">
        <v>48</v>
      </c>
    </row>
    <row r="382" spans="1:11" x14ac:dyDescent="0.45">
      <c r="A382" t="s">
        <v>89</v>
      </c>
      <c r="B382" t="s">
        <v>1</v>
      </c>
      <c r="C382" t="s">
        <v>83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17.47785</v>
      </c>
      <c r="K382" t="s">
        <v>48</v>
      </c>
    </row>
    <row r="383" spans="1:11" x14ac:dyDescent="0.45">
      <c r="A383" t="s">
        <v>89</v>
      </c>
      <c r="B383" t="s">
        <v>1</v>
      </c>
      <c r="C383" t="s">
        <v>83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24.846150000000002</v>
      </c>
      <c r="K383" t="s">
        <v>48</v>
      </c>
    </row>
    <row r="384" spans="1:11" x14ac:dyDescent="0.45">
      <c r="A384" t="s">
        <v>89</v>
      </c>
      <c r="B384" t="s">
        <v>1</v>
      </c>
      <c r="C384" t="s">
        <v>83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32.564800000000005</v>
      </c>
      <c r="K384" t="s">
        <v>48</v>
      </c>
    </row>
    <row r="385" spans="1:11" x14ac:dyDescent="0.45">
      <c r="A385" t="s">
        <v>89</v>
      </c>
      <c r="B385" t="s">
        <v>1</v>
      </c>
      <c r="C385" t="s">
        <v>83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31.212049999999998</v>
      </c>
      <c r="K385" t="s">
        <v>48</v>
      </c>
    </row>
    <row r="386" spans="1:11" x14ac:dyDescent="0.45">
      <c r="A386" t="s">
        <v>89</v>
      </c>
      <c r="B386" t="s">
        <v>1</v>
      </c>
      <c r="C386" t="s">
        <v>83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30.028849999999998</v>
      </c>
      <c r="K386" t="s">
        <v>48</v>
      </c>
    </row>
    <row r="387" spans="1:11" x14ac:dyDescent="0.45">
      <c r="A387" t="s">
        <v>89</v>
      </c>
      <c r="B387" t="s">
        <v>3</v>
      </c>
      <c r="C387" t="s">
        <v>83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334.18835000000001</v>
      </c>
      <c r="K387" t="s">
        <v>51</v>
      </c>
    </row>
    <row r="388" spans="1:11" x14ac:dyDescent="0.45">
      <c r="A388" t="s">
        <v>89</v>
      </c>
      <c r="B388" t="s">
        <v>3</v>
      </c>
      <c r="C388" t="s">
        <v>83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331.81240000000003</v>
      </c>
      <c r="K388" t="s">
        <v>51</v>
      </c>
    </row>
    <row r="389" spans="1:11" x14ac:dyDescent="0.45">
      <c r="A389" t="s">
        <v>89</v>
      </c>
      <c r="B389" t="s">
        <v>3</v>
      </c>
      <c r="C389" t="s">
        <v>83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266.69619999999998</v>
      </c>
      <c r="K389" t="s">
        <v>51</v>
      </c>
    </row>
    <row r="390" spans="1:11" x14ac:dyDescent="0.45">
      <c r="A390" t="s">
        <v>89</v>
      </c>
      <c r="B390" t="s">
        <v>3</v>
      </c>
      <c r="C390" t="s">
        <v>83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180.49055000000001</v>
      </c>
      <c r="K390" t="s">
        <v>51</v>
      </c>
    </row>
    <row r="391" spans="1:11" x14ac:dyDescent="0.45">
      <c r="A391" t="s">
        <v>89</v>
      </c>
      <c r="B391" t="s">
        <v>3</v>
      </c>
      <c r="C391" t="s">
        <v>83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125.61234999999999</v>
      </c>
      <c r="K391" t="s">
        <v>51</v>
      </c>
    </row>
    <row r="392" spans="1:11" x14ac:dyDescent="0.45">
      <c r="A392" t="s">
        <v>89</v>
      </c>
      <c r="B392" t="s">
        <v>3</v>
      </c>
      <c r="C392" t="s">
        <v>83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84.968350000000001</v>
      </c>
      <c r="K392" t="s">
        <v>51</v>
      </c>
    </row>
    <row r="393" spans="1:11" x14ac:dyDescent="0.45">
      <c r="A393" t="s">
        <v>89</v>
      </c>
      <c r="B393" t="s">
        <v>3</v>
      </c>
      <c r="C393" t="s">
        <v>83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55.309049999999999</v>
      </c>
      <c r="K393" t="s">
        <v>51</v>
      </c>
    </row>
    <row r="394" spans="1:11" x14ac:dyDescent="0.45">
      <c r="A394" t="s">
        <v>89</v>
      </c>
      <c r="B394" t="s">
        <v>3</v>
      </c>
      <c r="C394" t="s">
        <v>83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41.615400000000001</v>
      </c>
      <c r="K394" t="s">
        <v>51</v>
      </c>
    </row>
    <row r="395" spans="1:11" x14ac:dyDescent="0.45">
      <c r="A395" t="s">
        <v>89</v>
      </c>
      <c r="B395" t="s">
        <v>3</v>
      </c>
      <c r="C395" t="s">
        <v>83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32.692499999999995</v>
      </c>
      <c r="K395" t="s">
        <v>51</v>
      </c>
    </row>
    <row r="396" spans="1:11" x14ac:dyDescent="0.45">
      <c r="A396" t="s">
        <v>89</v>
      </c>
      <c r="B396" t="s">
        <v>3</v>
      </c>
      <c r="C396" t="s">
        <v>83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26.76905</v>
      </c>
      <c r="K396" t="s">
        <v>51</v>
      </c>
    </row>
    <row r="397" spans="1:11" x14ac:dyDescent="0.45">
      <c r="A397" t="s">
        <v>89</v>
      </c>
      <c r="B397" t="s">
        <v>3</v>
      </c>
      <c r="C397" t="s">
        <v>83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20.611699999999999</v>
      </c>
      <c r="K397" t="s">
        <v>51</v>
      </c>
    </row>
    <row r="398" spans="1:11" x14ac:dyDescent="0.45">
      <c r="A398" t="s">
        <v>89</v>
      </c>
      <c r="B398" t="s">
        <v>3</v>
      </c>
      <c r="C398" t="s">
        <v>83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16.067700000000002</v>
      </c>
      <c r="K398" t="s">
        <v>51</v>
      </c>
    </row>
    <row r="399" spans="1:11" x14ac:dyDescent="0.45">
      <c r="A399" t="s">
        <v>89</v>
      </c>
      <c r="B399" t="s">
        <v>3</v>
      </c>
      <c r="C399" t="s">
        <v>83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11.187049999999999</v>
      </c>
      <c r="K399" t="s">
        <v>51</v>
      </c>
    </row>
    <row r="400" spans="1:11" x14ac:dyDescent="0.45">
      <c r="A400" t="s">
        <v>89</v>
      </c>
      <c r="B400" t="s">
        <v>3</v>
      </c>
      <c r="C400" t="s">
        <v>83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10.2849</v>
      </c>
      <c r="K400" t="s">
        <v>51</v>
      </c>
    </row>
    <row r="401" spans="1:11" x14ac:dyDescent="0.45">
      <c r="A401" t="s">
        <v>89</v>
      </c>
      <c r="B401" t="s">
        <v>3</v>
      </c>
      <c r="C401" t="s">
        <v>83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9.7270000000000003</v>
      </c>
      <c r="K401" t="s">
        <v>51</v>
      </c>
    </row>
    <row r="402" spans="1:11" x14ac:dyDescent="0.45">
      <c r="A402" t="s">
        <v>89</v>
      </c>
      <c r="B402" t="s">
        <v>3</v>
      </c>
      <c r="C402" t="s">
        <v>83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8.1333000000000002</v>
      </c>
      <c r="K402" t="s">
        <v>51</v>
      </c>
    </row>
    <row r="403" spans="1:11" x14ac:dyDescent="0.45">
      <c r="A403" t="s">
        <v>89</v>
      </c>
      <c r="B403" t="s">
        <v>3</v>
      </c>
      <c r="C403" t="s">
        <v>83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6.6722999999999999</v>
      </c>
      <c r="K403" t="s">
        <v>51</v>
      </c>
    </row>
    <row r="404" spans="1:11" x14ac:dyDescent="0.45">
      <c r="A404" t="s">
        <v>89</v>
      </c>
      <c r="B404" t="s">
        <v>4</v>
      </c>
      <c r="C404" t="s">
        <v>83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332.7457</v>
      </c>
      <c r="K404" t="s">
        <v>51</v>
      </c>
    </row>
    <row r="405" spans="1:11" x14ac:dyDescent="0.45">
      <c r="A405" t="s">
        <v>89</v>
      </c>
      <c r="B405" t="s">
        <v>4</v>
      </c>
      <c r="C405" t="s">
        <v>83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335.89654999999999</v>
      </c>
      <c r="K405" t="s">
        <v>51</v>
      </c>
    </row>
    <row r="406" spans="1:11" x14ac:dyDescent="0.45">
      <c r="A406" t="s">
        <v>89</v>
      </c>
      <c r="B406" t="s">
        <v>4</v>
      </c>
      <c r="C406" t="s">
        <v>83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334.16829999999999</v>
      </c>
      <c r="K406" t="s">
        <v>51</v>
      </c>
    </row>
    <row r="407" spans="1:11" x14ac:dyDescent="0.45">
      <c r="A407" t="s">
        <v>89</v>
      </c>
      <c r="B407" t="s">
        <v>4</v>
      </c>
      <c r="C407" t="s">
        <v>83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334.74009999999998</v>
      </c>
      <c r="K407" t="s">
        <v>51</v>
      </c>
    </row>
    <row r="408" spans="1:11" x14ac:dyDescent="0.45">
      <c r="A408" t="s">
        <v>89</v>
      </c>
      <c r="B408" t="s">
        <v>4</v>
      </c>
      <c r="C408" t="s">
        <v>83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330.35080000000005</v>
      </c>
      <c r="K408" t="s">
        <v>51</v>
      </c>
    </row>
    <row r="409" spans="1:11" x14ac:dyDescent="0.45">
      <c r="A409" t="s">
        <v>89</v>
      </c>
      <c r="B409" t="s">
        <v>4</v>
      </c>
      <c r="C409" t="s">
        <v>83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308.08079999999995</v>
      </c>
      <c r="K409" t="s">
        <v>51</v>
      </c>
    </row>
    <row r="410" spans="1:11" x14ac:dyDescent="0.45">
      <c r="A410" t="s">
        <v>89</v>
      </c>
      <c r="B410" t="s">
        <v>4</v>
      </c>
      <c r="C410" t="s">
        <v>83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295.52699999999999</v>
      </c>
      <c r="K410" t="s">
        <v>51</v>
      </c>
    </row>
    <row r="411" spans="1:11" x14ac:dyDescent="0.45">
      <c r="A411" t="s">
        <v>89</v>
      </c>
      <c r="B411" t="s">
        <v>4</v>
      </c>
      <c r="C411" t="s">
        <v>83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295.15105</v>
      </c>
      <c r="K411" t="s">
        <v>51</v>
      </c>
    </row>
    <row r="412" spans="1:11" x14ac:dyDescent="0.45">
      <c r="A412" t="s">
        <v>89</v>
      </c>
      <c r="B412" t="s">
        <v>4</v>
      </c>
      <c r="C412" t="s">
        <v>83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297.48309999999998</v>
      </c>
      <c r="K412" t="s">
        <v>51</v>
      </c>
    </row>
    <row r="413" spans="1:11" x14ac:dyDescent="0.45">
      <c r="A413" t="s">
        <v>89</v>
      </c>
      <c r="B413" t="s">
        <v>4</v>
      </c>
      <c r="C413" t="s">
        <v>83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292.85770000000002</v>
      </c>
      <c r="K413" t="s">
        <v>51</v>
      </c>
    </row>
    <row r="414" spans="1:11" x14ac:dyDescent="0.45">
      <c r="A414" t="s">
        <v>89</v>
      </c>
      <c r="B414" t="s">
        <v>4</v>
      </c>
      <c r="C414" t="s">
        <v>83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293.16579999999999</v>
      </c>
      <c r="K414" t="s">
        <v>51</v>
      </c>
    </row>
    <row r="415" spans="1:11" x14ac:dyDescent="0.45">
      <c r="A415" t="s">
        <v>89</v>
      </c>
      <c r="B415" t="s">
        <v>4</v>
      </c>
      <c r="C415" t="s">
        <v>83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289.30100000000004</v>
      </c>
      <c r="K415" t="s">
        <v>51</v>
      </c>
    </row>
    <row r="416" spans="1:11" x14ac:dyDescent="0.45">
      <c r="A416" t="s">
        <v>89</v>
      </c>
      <c r="B416" t="s">
        <v>4</v>
      </c>
      <c r="C416" t="s">
        <v>83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286.16250000000002</v>
      </c>
      <c r="K416" t="s">
        <v>51</v>
      </c>
    </row>
    <row r="417" spans="1:11" x14ac:dyDescent="0.45">
      <c r="A417" t="s">
        <v>89</v>
      </c>
      <c r="B417" t="s">
        <v>4</v>
      </c>
      <c r="C417" t="s">
        <v>83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270.00215000000003</v>
      </c>
      <c r="K417" t="s">
        <v>51</v>
      </c>
    </row>
    <row r="418" spans="1:11" x14ac:dyDescent="0.45">
      <c r="A418" t="s">
        <v>89</v>
      </c>
      <c r="B418" t="s">
        <v>4</v>
      </c>
      <c r="C418" t="s">
        <v>83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256.24709999999999</v>
      </c>
      <c r="K418" t="s">
        <v>51</v>
      </c>
    </row>
    <row r="419" spans="1:11" x14ac:dyDescent="0.45">
      <c r="A419" t="s">
        <v>89</v>
      </c>
      <c r="B419" t="s">
        <v>4</v>
      </c>
      <c r="C419" t="s">
        <v>83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228.57945000000001</v>
      </c>
      <c r="K419" t="s">
        <v>51</v>
      </c>
    </row>
    <row r="420" spans="1:11" x14ac:dyDescent="0.45">
      <c r="A420" t="s">
        <v>89</v>
      </c>
      <c r="B420" t="s">
        <v>4</v>
      </c>
      <c r="C420" t="s">
        <v>83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200.39859999999999</v>
      </c>
      <c r="K420" t="s">
        <v>51</v>
      </c>
    </row>
    <row r="421" spans="1:11" x14ac:dyDescent="0.45">
      <c r="A421" t="s">
        <v>89</v>
      </c>
      <c r="B421" t="s">
        <v>0</v>
      </c>
      <c r="C421" t="s">
        <v>83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333.48394999999999</v>
      </c>
      <c r="K421" t="s">
        <v>51</v>
      </c>
    </row>
    <row r="422" spans="1:11" x14ac:dyDescent="0.45">
      <c r="A422" t="s">
        <v>89</v>
      </c>
      <c r="B422" t="s">
        <v>0</v>
      </c>
      <c r="C422" t="s">
        <v>83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337.90319999999997</v>
      </c>
      <c r="K422" t="s">
        <v>51</v>
      </c>
    </row>
    <row r="423" spans="1:11" x14ac:dyDescent="0.45">
      <c r="A423" t="s">
        <v>89</v>
      </c>
      <c r="B423" t="s">
        <v>0</v>
      </c>
      <c r="C423" t="s">
        <v>83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337.60424999999998</v>
      </c>
      <c r="K423" t="s">
        <v>51</v>
      </c>
    </row>
    <row r="424" spans="1:11" x14ac:dyDescent="0.45">
      <c r="A424" t="s">
        <v>89</v>
      </c>
      <c r="B424" t="s">
        <v>0</v>
      </c>
      <c r="C424" t="s">
        <v>83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313.61839999999995</v>
      </c>
      <c r="K424" t="s">
        <v>51</v>
      </c>
    </row>
    <row r="425" spans="1:11" x14ac:dyDescent="0.45">
      <c r="A425" t="s">
        <v>89</v>
      </c>
      <c r="B425" t="s">
        <v>0</v>
      </c>
      <c r="C425" t="s">
        <v>83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151.46035000000001</v>
      </c>
      <c r="K425" t="s">
        <v>51</v>
      </c>
    </row>
    <row r="426" spans="1:11" x14ac:dyDescent="0.45">
      <c r="A426" t="s">
        <v>89</v>
      </c>
      <c r="B426" t="s">
        <v>0</v>
      </c>
      <c r="C426" t="s">
        <v>83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48.576949999999997</v>
      </c>
      <c r="K426" t="s">
        <v>51</v>
      </c>
    </row>
    <row r="427" spans="1:11" x14ac:dyDescent="0.45">
      <c r="A427" t="s">
        <v>89</v>
      </c>
      <c r="B427" t="s">
        <v>0</v>
      </c>
      <c r="C427" t="s">
        <v>83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21.759450000000001</v>
      </c>
      <c r="K427" t="s">
        <v>51</v>
      </c>
    </row>
    <row r="428" spans="1:11" x14ac:dyDescent="0.45">
      <c r="A428" t="s">
        <v>89</v>
      </c>
      <c r="B428" t="s">
        <v>0</v>
      </c>
      <c r="C428" t="s">
        <v>83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11.9993</v>
      </c>
      <c r="K428" t="s">
        <v>51</v>
      </c>
    </row>
    <row r="429" spans="1:11" x14ac:dyDescent="0.45">
      <c r="A429" t="s">
        <v>89</v>
      </c>
      <c r="B429" t="s">
        <v>0</v>
      </c>
      <c r="C429" t="s">
        <v>83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3.3033000000000001</v>
      </c>
      <c r="K429" t="s">
        <v>51</v>
      </c>
    </row>
    <row r="430" spans="1:11" x14ac:dyDescent="0.45">
      <c r="A430" t="s">
        <v>89</v>
      </c>
      <c r="B430" t="s">
        <v>0</v>
      </c>
      <c r="C430" t="s">
        <v>83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-1.6747999999999998</v>
      </c>
      <c r="K430" t="s">
        <v>51</v>
      </c>
    </row>
    <row r="431" spans="1:11" x14ac:dyDescent="0.45">
      <c r="A431" t="s">
        <v>89</v>
      </c>
      <c r="B431" t="s">
        <v>0</v>
      </c>
      <c r="C431" t="s">
        <v>83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-7.28505</v>
      </c>
      <c r="K431" t="s">
        <v>51</v>
      </c>
    </row>
    <row r="432" spans="1:11" x14ac:dyDescent="0.45">
      <c r="A432" t="s">
        <v>89</v>
      </c>
      <c r="B432" t="s">
        <v>0</v>
      </c>
      <c r="C432" t="s">
        <v>83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-9.7642999999999986</v>
      </c>
      <c r="K432" t="s">
        <v>51</v>
      </c>
    </row>
    <row r="433" spans="1:11" x14ac:dyDescent="0.45">
      <c r="A433" t="s">
        <v>89</v>
      </c>
      <c r="B433" t="s">
        <v>0</v>
      </c>
      <c r="C433" t="s">
        <v>83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-12.9115</v>
      </c>
      <c r="K433" t="s">
        <v>51</v>
      </c>
    </row>
    <row r="434" spans="1:11" x14ac:dyDescent="0.45">
      <c r="A434" t="s">
        <v>89</v>
      </c>
      <c r="B434" t="s">
        <v>0</v>
      </c>
      <c r="C434" t="s">
        <v>83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-12.26905</v>
      </c>
      <c r="K434" t="s">
        <v>51</v>
      </c>
    </row>
    <row r="435" spans="1:11" x14ac:dyDescent="0.45">
      <c r="A435" t="s">
        <v>89</v>
      </c>
      <c r="B435" t="s">
        <v>0</v>
      </c>
      <c r="C435" t="s">
        <v>83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-11.446149999999999</v>
      </c>
      <c r="K435" t="s">
        <v>51</v>
      </c>
    </row>
    <row r="436" spans="1:11" x14ac:dyDescent="0.45">
      <c r="A436" t="s">
        <v>89</v>
      </c>
      <c r="B436" t="s">
        <v>0</v>
      </c>
      <c r="C436" t="s">
        <v>83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-9.6525999999999996</v>
      </c>
      <c r="K436" t="s">
        <v>51</v>
      </c>
    </row>
    <row r="437" spans="1:11" x14ac:dyDescent="0.45">
      <c r="A437" t="s">
        <v>89</v>
      </c>
      <c r="B437" t="s">
        <v>0</v>
      </c>
      <c r="C437" t="s">
        <v>83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-7.2163500000000003</v>
      </c>
      <c r="K437" t="s">
        <v>51</v>
      </c>
    </row>
    <row r="438" spans="1:11" x14ac:dyDescent="0.45">
      <c r="A438" t="s">
        <v>89</v>
      </c>
      <c r="B438" t="s">
        <v>6</v>
      </c>
      <c r="C438" t="s">
        <v>83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334.25540000000001</v>
      </c>
      <c r="K438" t="s">
        <v>51</v>
      </c>
    </row>
    <row r="439" spans="1:11" x14ac:dyDescent="0.45">
      <c r="A439" t="s">
        <v>89</v>
      </c>
      <c r="B439" t="s">
        <v>6</v>
      </c>
      <c r="C439" t="s">
        <v>83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339.75880000000001</v>
      </c>
      <c r="K439" t="s">
        <v>51</v>
      </c>
    </row>
    <row r="440" spans="1:11" x14ac:dyDescent="0.45">
      <c r="A440" t="s">
        <v>89</v>
      </c>
      <c r="B440" t="s">
        <v>6</v>
      </c>
      <c r="C440" t="s">
        <v>83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342.63345000000004</v>
      </c>
      <c r="K440" t="s">
        <v>51</v>
      </c>
    </row>
    <row r="441" spans="1:11" x14ac:dyDescent="0.45">
      <c r="A441" t="s">
        <v>89</v>
      </c>
      <c r="B441" t="s">
        <v>6</v>
      </c>
      <c r="C441" t="s">
        <v>83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331.76585</v>
      </c>
      <c r="K441" t="s">
        <v>51</v>
      </c>
    </row>
    <row r="442" spans="1:11" x14ac:dyDescent="0.45">
      <c r="A442" t="s">
        <v>89</v>
      </c>
      <c r="B442" t="s">
        <v>6</v>
      </c>
      <c r="C442" t="s">
        <v>83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242.39075</v>
      </c>
      <c r="K442" t="s">
        <v>51</v>
      </c>
    </row>
    <row r="443" spans="1:11" x14ac:dyDescent="0.45">
      <c r="A443" t="s">
        <v>89</v>
      </c>
      <c r="B443" t="s">
        <v>6</v>
      </c>
      <c r="C443" t="s">
        <v>83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140.33465000000001</v>
      </c>
      <c r="K443" t="s">
        <v>51</v>
      </c>
    </row>
    <row r="444" spans="1:11" x14ac:dyDescent="0.45">
      <c r="A444" t="s">
        <v>89</v>
      </c>
      <c r="B444" t="s">
        <v>6</v>
      </c>
      <c r="C444" t="s">
        <v>83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73.844400000000007</v>
      </c>
      <c r="K444" t="s">
        <v>51</v>
      </c>
    </row>
    <row r="445" spans="1:11" x14ac:dyDescent="0.45">
      <c r="A445" t="s">
        <v>89</v>
      </c>
      <c r="B445" t="s">
        <v>6</v>
      </c>
      <c r="C445" t="s">
        <v>83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43.731899999999996</v>
      </c>
      <c r="K445" t="s">
        <v>51</v>
      </c>
    </row>
    <row r="446" spans="1:11" x14ac:dyDescent="0.45">
      <c r="A446" t="s">
        <v>89</v>
      </c>
      <c r="B446" t="s">
        <v>6</v>
      </c>
      <c r="C446" t="s">
        <v>83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31.7577</v>
      </c>
      <c r="K446" t="s">
        <v>51</v>
      </c>
    </row>
    <row r="447" spans="1:11" x14ac:dyDescent="0.45">
      <c r="A447" t="s">
        <v>89</v>
      </c>
      <c r="B447" t="s">
        <v>6</v>
      </c>
      <c r="C447" t="s">
        <v>83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26.642499999999998</v>
      </c>
      <c r="K447" t="s">
        <v>51</v>
      </c>
    </row>
    <row r="448" spans="1:11" x14ac:dyDescent="0.45">
      <c r="A448" t="s">
        <v>89</v>
      </c>
      <c r="B448" t="s">
        <v>6</v>
      </c>
      <c r="C448" t="s">
        <v>83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20.922350000000002</v>
      </c>
      <c r="K448" t="s">
        <v>51</v>
      </c>
    </row>
    <row r="449" spans="1:11" x14ac:dyDescent="0.45">
      <c r="A449" t="s">
        <v>89</v>
      </c>
      <c r="B449" t="s">
        <v>6</v>
      </c>
      <c r="C449" t="s">
        <v>83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19.193750000000001</v>
      </c>
      <c r="K449" t="s">
        <v>51</v>
      </c>
    </row>
    <row r="450" spans="1:11" x14ac:dyDescent="0.45">
      <c r="A450" t="s">
        <v>89</v>
      </c>
      <c r="B450" t="s">
        <v>6</v>
      </c>
      <c r="C450" t="s">
        <v>83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17.208300000000001</v>
      </c>
      <c r="K450" t="s">
        <v>51</v>
      </c>
    </row>
    <row r="451" spans="1:11" x14ac:dyDescent="0.45">
      <c r="A451" t="s">
        <v>89</v>
      </c>
      <c r="B451" t="s">
        <v>6</v>
      </c>
      <c r="C451" t="s">
        <v>83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15.4848</v>
      </c>
      <c r="K451" t="s">
        <v>51</v>
      </c>
    </row>
    <row r="452" spans="1:11" x14ac:dyDescent="0.45">
      <c r="A452" t="s">
        <v>89</v>
      </c>
      <c r="B452" t="s">
        <v>6</v>
      </c>
      <c r="C452" t="s">
        <v>83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13.892099999999999</v>
      </c>
      <c r="K452" t="s">
        <v>51</v>
      </c>
    </row>
    <row r="453" spans="1:11" x14ac:dyDescent="0.45">
      <c r="A453" t="s">
        <v>89</v>
      </c>
      <c r="B453" t="s">
        <v>6</v>
      </c>
      <c r="C453" t="s">
        <v>83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13.655100000000001</v>
      </c>
      <c r="K453" t="s">
        <v>51</v>
      </c>
    </row>
    <row r="454" spans="1:11" x14ac:dyDescent="0.45">
      <c r="A454" t="s">
        <v>89</v>
      </c>
      <c r="B454" t="s">
        <v>6</v>
      </c>
      <c r="C454" t="s">
        <v>83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13.51745</v>
      </c>
      <c r="K454" t="s">
        <v>51</v>
      </c>
    </row>
    <row r="455" spans="1:11" x14ac:dyDescent="0.45">
      <c r="A455" t="s">
        <v>89</v>
      </c>
      <c r="B455" t="s">
        <v>5</v>
      </c>
      <c r="C455" t="s">
        <v>83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336.10915</v>
      </c>
      <c r="K455" t="s">
        <v>51</v>
      </c>
    </row>
    <row r="456" spans="1:11" x14ac:dyDescent="0.45">
      <c r="A456" t="s">
        <v>89</v>
      </c>
      <c r="B456" t="s">
        <v>5</v>
      </c>
      <c r="C456" t="s">
        <v>83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331.66645</v>
      </c>
      <c r="K456" t="s">
        <v>51</v>
      </c>
    </row>
    <row r="457" spans="1:11" x14ac:dyDescent="0.45">
      <c r="A457" t="s">
        <v>89</v>
      </c>
      <c r="B457" t="s">
        <v>5</v>
      </c>
      <c r="C457" t="s">
        <v>83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222.54825</v>
      </c>
      <c r="K457" t="s">
        <v>51</v>
      </c>
    </row>
    <row r="458" spans="1:11" x14ac:dyDescent="0.45">
      <c r="A458" t="s">
        <v>89</v>
      </c>
      <c r="B458" t="s">
        <v>5</v>
      </c>
      <c r="C458" t="s">
        <v>83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105.5269</v>
      </c>
      <c r="K458" t="s">
        <v>51</v>
      </c>
    </row>
    <row r="459" spans="1:11" x14ac:dyDescent="0.45">
      <c r="A459" t="s">
        <v>89</v>
      </c>
      <c r="B459" t="s">
        <v>5</v>
      </c>
      <c r="C459" t="s">
        <v>83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42.728399999999993</v>
      </c>
      <c r="K459" t="s">
        <v>51</v>
      </c>
    </row>
    <row r="460" spans="1:11" x14ac:dyDescent="0.45">
      <c r="A460" t="s">
        <v>89</v>
      </c>
      <c r="B460" t="s">
        <v>5</v>
      </c>
      <c r="C460" t="s">
        <v>83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12.6013</v>
      </c>
      <c r="K460" t="s">
        <v>51</v>
      </c>
    </row>
    <row r="461" spans="1:11" x14ac:dyDescent="0.45">
      <c r="A461" t="s">
        <v>89</v>
      </c>
      <c r="B461" t="s">
        <v>5</v>
      </c>
      <c r="C461" t="s">
        <v>83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7.8630499999999994</v>
      </c>
      <c r="K461" t="s">
        <v>51</v>
      </c>
    </row>
    <row r="462" spans="1:11" x14ac:dyDescent="0.45">
      <c r="A462" t="s">
        <v>89</v>
      </c>
      <c r="B462" t="s">
        <v>5</v>
      </c>
      <c r="C462" t="s">
        <v>83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5.3667499999999997</v>
      </c>
      <c r="K462" t="s">
        <v>51</v>
      </c>
    </row>
    <row r="463" spans="1:11" x14ac:dyDescent="0.45">
      <c r="A463" t="s">
        <v>89</v>
      </c>
      <c r="B463" t="s">
        <v>5</v>
      </c>
      <c r="C463" t="s">
        <v>83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4.3709500000000006</v>
      </c>
      <c r="K463" t="s">
        <v>51</v>
      </c>
    </row>
    <row r="464" spans="1:11" x14ac:dyDescent="0.45">
      <c r="A464" t="s">
        <v>89</v>
      </c>
      <c r="B464" t="s">
        <v>5</v>
      </c>
      <c r="C464" t="s">
        <v>83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3.4849000000000001</v>
      </c>
      <c r="K464" t="s">
        <v>51</v>
      </c>
    </row>
    <row r="465" spans="1:11" x14ac:dyDescent="0.45">
      <c r="A465" t="s">
        <v>89</v>
      </c>
      <c r="B465" t="s">
        <v>5</v>
      </c>
      <c r="C465" t="s">
        <v>83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2.3829000000000002</v>
      </c>
      <c r="K465" t="s">
        <v>51</v>
      </c>
    </row>
    <row r="466" spans="1:11" x14ac:dyDescent="0.45">
      <c r="A466" t="s">
        <v>89</v>
      </c>
      <c r="B466" t="s">
        <v>5</v>
      </c>
      <c r="C466" t="s">
        <v>83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1.3908499999999999</v>
      </c>
      <c r="K466" t="s">
        <v>51</v>
      </c>
    </row>
    <row r="467" spans="1:11" x14ac:dyDescent="0.45">
      <c r="A467" t="s">
        <v>89</v>
      </c>
      <c r="B467" t="s">
        <v>5</v>
      </c>
      <c r="C467" t="s">
        <v>83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0.31785000000000002</v>
      </c>
      <c r="K467" t="s">
        <v>51</v>
      </c>
    </row>
    <row r="468" spans="1:11" x14ac:dyDescent="0.45">
      <c r="A468" t="s">
        <v>89</v>
      </c>
      <c r="B468" t="s">
        <v>5</v>
      </c>
      <c r="C468" t="s">
        <v>83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-3.9399999999999991E-2</v>
      </c>
      <c r="K468" t="s">
        <v>51</v>
      </c>
    </row>
    <row r="469" spans="1:11" x14ac:dyDescent="0.45">
      <c r="A469" t="s">
        <v>89</v>
      </c>
      <c r="B469" t="s">
        <v>5</v>
      </c>
      <c r="C469" t="s">
        <v>83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-8.5599999999999982E-2</v>
      </c>
      <c r="K469" t="s">
        <v>51</v>
      </c>
    </row>
    <row r="470" spans="1:11" x14ac:dyDescent="0.45">
      <c r="A470" t="s">
        <v>89</v>
      </c>
      <c r="B470" t="s">
        <v>5</v>
      </c>
      <c r="C470" t="s">
        <v>83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-1.23245</v>
      </c>
      <c r="K470" t="s">
        <v>51</v>
      </c>
    </row>
    <row r="471" spans="1:11" x14ac:dyDescent="0.45">
      <c r="A471" t="s">
        <v>89</v>
      </c>
      <c r="B471" t="s">
        <v>5</v>
      </c>
      <c r="C471" t="s">
        <v>83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-2.3931</v>
      </c>
      <c r="K471" t="s">
        <v>51</v>
      </c>
    </row>
    <row r="472" spans="1:11" x14ac:dyDescent="0.45">
      <c r="A472" t="s">
        <v>89</v>
      </c>
      <c r="B472" t="s">
        <v>2</v>
      </c>
      <c r="C472" t="s">
        <v>83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334.13575000000003</v>
      </c>
      <c r="K472" t="s">
        <v>51</v>
      </c>
    </row>
    <row r="473" spans="1:11" x14ac:dyDescent="0.45">
      <c r="A473" t="s">
        <v>89</v>
      </c>
      <c r="B473" t="s">
        <v>2</v>
      </c>
      <c r="C473" t="s">
        <v>83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336.60390000000001</v>
      </c>
      <c r="K473" t="s">
        <v>51</v>
      </c>
    </row>
    <row r="474" spans="1:11" x14ac:dyDescent="0.45">
      <c r="A474" t="s">
        <v>89</v>
      </c>
      <c r="B474" t="s">
        <v>2</v>
      </c>
      <c r="C474" t="s">
        <v>83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324.97755000000001</v>
      </c>
      <c r="K474" t="s">
        <v>51</v>
      </c>
    </row>
    <row r="475" spans="1:11" x14ac:dyDescent="0.45">
      <c r="A475" t="s">
        <v>89</v>
      </c>
      <c r="B475" t="s">
        <v>2</v>
      </c>
      <c r="C475" t="s">
        <v>83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296.66845000000001</v>
      </c>
      <c r="K475" t="s">
        <v>51</v>
      </c>
    </row>
    <row r="476" spans="1:11" x14ac:dyDescent="0.45">
      <c r="A476" t="s">
        <v>89</v>
      </c>
      <c r="B476" t="s">
        <v>2</v>
      </c>
      <c r="C476" t="s">
        <v>83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253.23525000000001</v>
      </c>
      <c r="K476" t="s">
        <v>51</v>
      </c>
    </row>
    <row r="477" spans="1:11" x14ac:dyDescent="0.45">
      <c r="A477" t="s">
        <v>89</v>
      </c>
      <c r="B477" t="s">
        <v>2</v>
      </c>
      <c r="C477" t="s">
        <v>83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197.4169</v>
      </c>
      <c r="K477" t="s">
        <v>51</v>
      </c>
    </row>
    <row r="478" spans="1:11" x14ac:dyDescent="0.45">
      <c r="A478" t="s">
        <v>89</v>
      </c>
      <c r="B478" t="s">
        <v>2</v>
      </c>
      <c r="C478" t="s">
        <v>83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159.54525000000001</v>
      </c>
      <c r="K478" t="s">
        <v>51</v>
      </c>
    </row>
    <row r="479" spans="1:11" x14ac:dyDescent="0.45">
      <c r="A479" t="s">
        <v>89</v>
      </c>
      <c r="B479" t="s">
        <v>2</v>
      </c>
      <c r="C479" t="s">
        <v>83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136.0847</v>
      </c>
      <c r="K479" t="s">
        <v>51</v>
      </c>
    </row>
    <row r="480" spans="1:11" x14ac:dyDescent="0.45">
      <c r="A480" t="s">
        <v>89</v>
      </c>
      <c r="B480" t="s">
        <v>2</v>
      </c>
      <c r="C480" t="s">
        <v>83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115.6782</v>
      </c>
      <c r="K480" t="s">
        <v>51</v>
      </c>
    </row>
    <row r="481" spans="1:11" x14ac:dyDescent="0.45">
      <c r="A481" t="s">
        <v>89</v>
      </c>
      <c r="B481" t="s">
        <v>2</v>
      </c>
      <c r="C481" t="s">
        <v>83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101.88335000000001</v>
      </c>
      <c r="K481" t="s">
        <v>51</v>
      </c>
    </row>
    <row r="482" spans="1:11" x14ac:dyDescent="0.45">
      <c r="A482" t="s">
        <v>89</v>
      </c>
      <c r="B482" t="s">
        <v>2</v>
      </c>
      <c r="C482" t="s">
        <v>83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86.69550000000001</v>
      </c>
      <c r="K482" t="s">
        <v>51</v>
      </c>
    </row>
    <row r="483" spans="1:11" x14ac:dyDescent="0.45">
      <c r="A483" t="s">
        <v>89</v>
      </c>
      <c r="B483" t="s">
        <v>2</v>
      </c>
      <c r="C483" t="s">
        <v>83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78.522300000000001</v>
      </c>
      <c r="K483" t="s">
        <v>51</v>
      </c>
    </row>
    <row r="484" spans="1:11" x14ac:dyDescent="0.45">
      <c r="A484" t="s">
        <v>89</v>
      </c>
      <c r="B484" t="s">
        <v>2</v>
      </c>
      <c r="C484" t="s">
        <v>83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69.790300000000002</v>
      </c>
      <c r="K484" t="s">
        <v>51</v>
      </c>
    </row>
    <row r="485" spans="1:11" x14ac:dyDescent="0.45">
      <c r="A485" t="s">
        <v>89</v>
      </c>
      <c r="B485" t="s">
        <v>2</v>
      </c>
      <c r="C485" t="s">
        <v>83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59.536749999999998</v>
      </c>
      <c r="K485" t="s">
        <v>51</v>
      </c>
    </row>
    <row r="486" spans="1:11" x14ac:dyDescent="0.45">
      <c r="A486" t="s">
        <v>89</v>
      </c>
      <c r="B486" t="s">
        <v>2</v>
      </c>
      <c r="C486" t="s">
        <v>83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50.973500000000001</v>
      </c>
      <c r="K486" t="s">
        <v>51</v>
      </c>
    </row>
    <row r="487" spans="1:11" x14ac:dyDescent="0.45">
      <c r="A487" t="s">
        <v>89</v>
      </c>
      <c r="B487" t="s">
        <v>2</v>
      </c>
      <c r="C487" t="s">
        <v>83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46.250100000000003</v>
      </c>
      <c r="K487" t="s">
        <v>51</v>
      </c>
    </row>
    <row r="488" spans="1:11" x14ac:dyDescent="0.45">
      <c r="A488" t="s">
        <v>89</v>
      </c>
      <c r="B488" t="s">
        <v>2</v>
      </c>
      <c r="C488" t="s">
        <v>83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41.703749999999999</v>
      </c>
      <c r="K488" t="s">
        <v>51</v>
      </c>
    </row>
    <row r="489" spans="1:11" x14ac:dyDescent="0.45">
      <c r="A489" t="s">
        <v>89</v>
      </c>
      <c r="B489" t="s">
        <v>1</v>
      </c>
      <c r="C489" t="s">
        <v>83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333.60749999999996</v>
      </c>
      <c r="K489" t="s">
        <v>51</v>
      </c>
    </row>
    <row r="490" spans="1:11" x14ac:dyDescent="0.45">
      <c r="A490" t="s">
        <v>89</v>
      </c>
      <c r="B490" t="s">
        <v>1</v>
      </c>
      <c r="C490" t="s">
        <v>83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327.36669999999998</v>
      </c>
      <c r="K490" t="s">
        <v>51</v>
      </c>
    </row>
    <row r="491" spans="1:11" x14ac:dyDescent="0.45">
      <c r="A491" t="s">
        <v>89</v>
      </c>
      <c r="B491" t="s">
        <v>1</v>
      </c>
      <c r="C491" t="s">
        <v>83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220.84244999999999</v>
      </c>
      <c r="K491" t="s">
        <v>51</v>
      </c>
    </row>
    <row r="492" spans="1:11" x14ac:dyDescent="0.45">
      <c r="A492" t="s">
        <v>89</v>
      </c>
      <c r="B492" t="s">
        <v>1</v>
      </c>
      <c r="C492" t="s">
        <v>83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96.012699999999995</v>
      </c>
      <c r="K492" t="s">
        <v>51</v>
      </c>
    </row>
    <row r="493" spans="1:11" x14ac:dyDescent="0.45">
      <c r="A493" t="s">
        <v>89</v>
      </c>
      <c r="B493" t="s">
        <v>1</v>
      </c>
      <c r="C493" t="s">
        <v>83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44.429249999999996</v>
      </c>
      <c r="K493" t="s">
        <v>51</v>
      </c>
    </row>
    <row r="494" spans="1:11" x14ac:dyDescent="0.45">
      <c r="A494" t="s">
        <v>89</v>
      </c>
      <c r="B494" t="s">
        <v>1</v>
      </c>
      <c r="C494" t="s">
        <v>83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19.050249999999998</v>
      </c>
      <c r="K494" t="s">
        <v>51</v>
      </c>
    </row>
    <row r="495" spans="1:11" x14ac:dyDescent="0.45">
      <c r="A495" t="s">
        <v>89</v>
      </c>
      <c r="B495" t="s">
        <v>1</v>
      </c>
      <c r="C495" t="s">
        <v>83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14.055</v>
      </c>
      <c r="K495" t="s">
        <v>51</v>
      </c>
    </row>
    <row r="496" spans="1:11" x14ac:dyDescent="0.45">
      <c r="A496" t="s">
        <v>89</v>
      </c>
      <c r="B496" t="s">
        <v>1</v>
      </c>
      <c r="C496" t="s">
        <v>83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10.5556</v>
      </c>
      <c r="K496" t="s">
        <v>51</v>
      </c>
    </row>
    <row r="497" spans="1:11" x14ac:dyDescent="0.45">
      <c r="A497" t="s">
        <v>89</v>
      </c>
      <c r="B497" t="s">
        <v>1</v>
      </c>
      <c r="C497" t="s">
        <v>83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7.9564000000000004</v>
      </c>
      <c r="K497" t="s">
        <v>51</v>
      </c>
    </row>
    <row r="498" spans="1:11" x14ac:dyDescent="0.45">
      <c r="A498" t="s">
        <v>89</v>
      </c>
      <c r="B498" t="s">
        <v>1</v>
      </c>
      <c r="C498" t="s">
        <v>83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5.6936999999999998</v>
      </c>
      <c r="K498" t="s">
        <v>51</v>
      </c>
    </row>
    <row r="499" spans="1:11" x14ac:dyDescent="0.45">
      <c r="A499" t="s">
        <v>89</v>
      </c>
      <c r="B499" t="s">
        <v>1</v>
      </c>
      <c r="C499" t="s">
        <v>83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3.4137</v>
      </c>
      <c r="K499" t="s">
        <v>51</v>
      </c>
    </row>
    <row r="500" spans="1:11" x14ac:dyDescent="0.45">
      <c r="A500" t="s">
        <v>89</v>
      </c>
      <c r="B500" t="s">
        <v>1</v>
      </c>
      <c r="C500" t="s">
        <v>83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3.2235499999999999</v>
      </c>
      <c r="K500" t="s">
        <v>51</v>
      </c>
    </row>
    <row r="501" spans="1:11" x14ac:dyDescent="0.45">
      <c r="A501" t="s">
        <v>89</v>
      </c>
      <c r="B501" t="s">
        <v>1</v>
      </c>
      <c r="C501" t="s">
        <v>83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3.1795499999999999</v>
      </c>
      <c r="K501" t="s">
        <v>51</v>
      </c>
    </row>
    <row r="502" spans="1:11" x14ac:dyDescent="0.45">
      <c r="A502" t="s">
        <v>89</v>
      </c>
      <c r="B502" t="s">
        <v>1</v>
      </c>
      <c r="C502" t="s">
        <v>83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2.7516499999999997</v>
      </c>
      <c r="K502" t="s">
        <v>51</v>
      </c>
    </row>
    <row r="503" spans="1:11" x14ac:dyDescent="0.45">
      <c r="A503" t="s">
        <v>89</v>
      </c>
      <c r="B503" t="s">
        <v>1</v>
      </c>
      <c r="C503" t="s">
        <v>83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2.6668500000000002</v>
      </c>
      <c r="K503" t="s">
        <v>51</v>
      </c>
    </row>
    <row r="504" spans="1:11" x14ac:dyDescent="0.45">
      <c r="A504" t="s">
        <v>89</v>
      </c>
      <c r="B504" t="s">
        <v>1</v>
      </c>
      <c r="C504" t="s">
        <v>83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1.2275499999999999</v>
      </c>
      <c r="K504" t="s">
        <v>51</v>
      </c>
    </row>
    <row r="505" spans="1:11" x14ac:dyDescent="0.45">
      <c r="A505" t="s">
        <v>89</v>
      </c>
      <c r="B505" t="s">
        <v>1</v>
      </c>
      <c r="C505" t="s">
        <v>83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-3.9550000000000002E-2</v>
      </c>
      <c r="K505" t="s">
        <v>51</v>
      </c>
    </row>
    <row r="506" spans="1:11" x14ac:dyDescent="0.45">
      <c r="A506" t="s">
        <v>89</v>
      </c>
      <c r="B506" t="s">
        <v>3</v>
      </c>
      <c r="C506" t="s">
        <v>83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0.15625</v>
      </c>
      <c r="K506" t="s">
        <v>24</v>
      </c>
    </row>
    <row r="507" spans="1:11" x14ac:dyDescent="0.45">
      <c r="A507" t="s">
        <v>89</v>
      </c>
      <c r="B507" t="s">
        <v>3</v>
      </c>
      <c r="C507" t="s">
        <v>83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0.16930000000000001</v>
      </c>
      <c r="K507" t="s">
        <v>24</v>
      </c>
    </row>
    <row r="508" spans="1:11" x14ac:dyDescent="0.45">
      <c r="A508" t="s">
        <v>89</v>
      </c>
      <c r="B508" t="s">
        <v>3</v>
      </c>
      <c r="C508" t="s">
        <v>83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0.23855000000000001</v>
      </c>
      <c r="K508" t="s">
        <v>24</v>
      </c>
    </row>
    <row r="509" spans="1:11" x14ac:dyDescent="0.45">
      <c r="A509" t="s">
        <v>89</v>
      </c>
      <c r="B509" t="s">
        <v>3</v>
      </c>
      <c r="C509" t="s">
        <v>83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0.31655</v>
      </c>
      <c r="K509" t="s">
        <v>24</v>
      </c>
    </row>
    <row r="510" spans="1:11" x14ac:dyDescent="0.45">
      <c r="A510" t="s">
        <v>89</v>
      </c>
      <c r="B510" t="s">
        <v>3</v>
      </c>
      <c r="C510" t="s">
        <v>83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0.42480000000000001</v>
      </c>
      <c r="K510" t="s">
        <v>24</v>
      </c>
    </row>
    <row r="511" spans="1:11" x14ac:dyDescent="0.45">
      <c r="A511" t="s">
        <v>89</v>
      </c>
      <c r="B511" t="s">
        <v>3</v>
      </c>
      <c r="C511" t="s">
        <v>83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0.48525000000000001</v>
      </c>
      <c r="K511" t="s">
        <v>24</v>
      </c>
    </row>
    <row r="512" spans="1:11" x14ac:dyDescent="0.45">
      <c r="A512" t="s">
        <v>89</v>
      </c>
      <c r="B512" t="s">
        <v>3</v>
      </c>
      <c r="C512" t="s">
        <v>83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0.50514999999999999</v>
      </c>
      <c r="K512" t="s">
        <v>24</v>
      </c>
    </row>
    <row r="513" spans="1:11" x14ac:dyDescent="0.45">
      <c r="A513" t="s">
        <v>89</v>
      </c>
      <c r="B513" t="s">
        <v>3</v>
      </c>
      <c r="C513" t="s">
        <v>83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0.52065000000000006</v>
      </c>
      <c r="K513" t="s">
        <v>24</v>
      </c>
    </row>
    <row r="514" spans="1:11" x14ac:dyDescent="0.45">
      <c r="A514" t="s">
        <v>89</v>
      </c>
      <c r="B514" t="s">
        <v>3</v>
      </c>
      <c r="C514" t="s">
        <v>83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0.51980000000000004</v>
      </c>
      <c r="K514" t="s">
        <v>24</v>
      </c>
    </row>
    <row r="515" spans="1:11" x14ac:dyDescent="0.45">
      <c r="A515" t="s">
        <v>89</v>
      </c>
      <c r="B515" t="s">
        <v>3</v>
      </c>
      <c r="C515" t="s">
        <v>83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0.51885000000000003</v>
      </c>
      <c r="K515" t="s">
        <v>24</v>
      </c>
    </row>
    <row r="516" spans="1:11" x14ac:dyDescent="0.45">
      <c r="A516" t="s">
        <v>89</v>
      </c>
      <c r="B516" t="s">
        <v>3</v>
      </c>
      <c r="C516" t="s">
        <v>83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0.51895000000000002</v>
      </c>
      <c r="K516" t="s">
        <v>24</v>
      </c>
    </row>
    <row r="517" spans="1:11" x14ac:dyDescent="0.45">
      <c r="A517" t="s">
        <v>89</v>
      </c>
      <c r="B517" t="s">
        <v>3</v>
      </c>
      <c r="C517" t="s">
        <v>83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0.48865000000000003</v>
      </c>
      <c r="K517" t="s">
        <v>24</v>
      </c>
    </row>
    <row r="518" spans="1:11" x14ac:dyDescent="0.45">
      <c r="A518" t="s">
        <v>89</v>
      </c>
      <c r="B518" t="s">
        <v>3</v>
      </c>
      <c r="C518" t="s">
        <v>83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0.46104999999999996</v>
      </c>
      <c r="K518" t="s">
        <v>24</v>
      </c>
    </row>
    <row r="519" spans="1:11" x14ac:dyDescent="0.45">
      <c r="A519" t="s">
        <v>89</v>
      </c>
      <c r="B519" t="s">
        <v>3</v>
      </c>
      <c r="C519" t="s">
        <v>83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0.43305000000000005</v>
      </c>
      <c r="K519" t="s">
        <v>24</v>
      </c>
    </row>
    <row r="520" spans="1:11" x14ac:dyDescent="0.45">
      <c r="A520" t="s">
        <v>89</v>
      </c>
      <c r="B520" t="s">
        <v>3</v>
      </c>
      <c r="C520" t="s">
        <v>83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0.40759999999999996</v>
      </c>
      <c r="K520" t="s">
        <v>24</v>
      </c>
    </row>
    <row r="521" spans="1:11" x14ac:dyDescent="0.45">
      <c r="A521" t="s">
        <v>89</v>
      </c>
      <c r="B521" t="s">
        <v>3</v>
      </c>
      <c r="C521" t="s">
        <v>83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0.38634999999999997</v>
      </c>
      <c r="K521" t="s">
        <v>24</v>
      </c>
    </row>
    <row r="522" spans="1:11" x14ac:dyDescent="0.45">
      <c r="A522" t="s">
        <v>89</v>
      </c>
      <c r="B522" t="s">
        <v>3</v>
      </c>
      <c r="C522" t="s">
        <v>83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0.36959999999999998</v>
      </c>
      <c r="K522" t="s">
        <v>24</v>
      </c>
    </row>
    <row r="523" spans="1:11" x14ac:dyDescent="0.45">
      <c r="A523" t="s">
        <v>89</v>
      </c>
      <c r="B523" t="s">
        <v>4</v>
      </c>
      <c r="C523" t="s">
        <v>83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0.15315000000000001</v>
      </c>
      <c r="K523" t="s">
        <v>24</v>
      </c>
    </row>
    <row r="524" spans="1:11" x14ac:dyDescent="0.45">
      <c r="A524" t="s">
        <v>89</v>
      </c>
      <c r="B524" t="s">
        <v>4</v>
      </c>
      <c r="C524" t="s">
        <v>83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0.1729</v>
      </c>
      <c r="K524" t="s">
        <v>24</v>
      </c>
    </row>
    <row r="525" spans="1:11" x14ac:dyDescent="0.45">
      <c r="A525" t="s">
        <v>89</v>
      </c>
      <c r="B525" t="s">
        <v>4</v>
      </c>
      <c r="C525" t="s">
        <v>83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0.21184999999999998</v>
      </c>
      <c r="K525" t="s">
        <v>24</v>
      </c>
    </row>
    <row r="526" spans="1:11" x14ac:dyDescent="0.45">
      <c r="A526" t="s">
        <v>89</v>
      </c>
      <c r="B526" t="s">
        <v>4</v>
      </c>
      <c r="C526" t="s">
        <v>83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0.27295000000000003</v>
      </c>
      <c r="K526" t="s">
        <v>24</v>
      </c>
    </row>
    <row r="527" spans="1:11" x14ac:dyDescent="0.45">
      <c r="A527" t="s">
        <v>89</v>
      </c>
      <c r="B527" t="s">
        <v>4</v>
      </c>
      <c r="C527" t="s">
        <v>83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0.35439999999999999</v>
      </c>
      <c r="K527" t="s">
        <v>24</v>
      </c>
    </row>
    <row r="528" spans="1:11" x14ac:dyDescent="0.45">
      <c r="A528" t="s">
        <v>89</v>
      </c>
      <c r="B528" t="s">
        <v>4</v>
      </c>
      <c r="C528" t="s">
        <v>83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0.4254</v>
      </c>
      <c r="K528" t="s">
        <v>24</v>
      </c>
    </row>
    <row r="529" spans="1:11" x14ac:dyDescent="0.45">
      <c r="A529" t="s">
        <v>89</v>
      </c>
      <c r="B529" t="s">
        <v>4</v>
      </c>
      <c r="C529" t="s">
        <v>83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0.44769999999999999</v>
      </c>
      <c r="K529" t="s">
        <v>24</v>
      </c>
    </row>
    <row r="530" spans="1:11" x14ac:dyDescent="0.45">
      <c r="A530" t="s">
        <v>89</v>
      </c>
      <c r="B530" t="s">
        <v>4</v>
      </c>
      <c r="C530" t="s">
        <v>83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0.45405000000000001</v>
      </c>
      <c r="K530" t="s">
        <v>24</v>
      </c>
    </row>
    <row r="531" spans="1:11" x14ac:dyDescent="0.45">
      <c r="A531" t="s">
        <v>89</v>
      </c>
      <c r="B531" t="s">
        <v>4</v>
      </c>
      <c r="C531" t="s">
        <v>83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0.45335000000000003</v>
      </c>
      <c r="K531" t="s">
        <v>24</v>
      </c>
    </row>
    <row r="532" spans="1:11" x14ac:dyDescent="0.45">
      <c r="A532" t="s">
        <v>89</v>
      </c>
      <c r="B532" t="s">
        <v>4</v>
      </c>
      <c r="C532" t="s">
        <v>83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0.44105</v>
      </c>
      <c r="K532" t="s">
        <v>24</v>
      </c>
    </row>
    <row r="533" spans="1:11" x14ac:dyDescent="0.45">
      <c r="A533" t="s">
        <v>89</v>
      </c>
      <c r="B533" t="s">
        <v>4</v>
      </c>
      <c r="C533" t="s">
        <v>83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0.42954999999999999</v>
      </c>
      <c r="K533" t="s">
        <v>24</v>
      </c>
    </row>
    <row r="534" spans="1:11" x14ac:dyDescent="0.45">
      <c r="A534" t="s">
        <v>89</v>
      </c>
      <c r="B534" t="s">
        <v>4</v>
      </c>
      <c r="C534" t="s">
        <v>83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0.40970000000000001</v>
      </c>
      <c r="K534" t="s">
        <v>24</v>
      </c>
    </row>
    <row r="535" spans="1:11" x14ac:dyDescent="0.45">
      <c r="A535" t="s">
        <v>89</v>
      </c>
      <c r="B535" t="s">
        <v>4</v>
      </c>
      <c r="C535" t="s">
        <v>83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0.39134999999999998</v>
      </c>
      <c r="K535" t="s">
        <v>24</v>
      </c>
    </row>
    <row r="536" spans="1:11" x14ac:dyDescent="0.45">
      <c r="A536" t="s">
        <v>89</v>
      </c>
      <c r="B536" t="s">
        <v>4</v>
      </c>
      <c r="C536" t="s">
        <v>83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0.37635000000000002</v>
      </c>
      <c r="K536" t="s">
        <v>24</v>
      </c>
    </row>
    <row r="537" spans="1:11" x14ac:dyDescent="0.45">
      <c r="A537" t="s">
        <v>89</v>
      </c>
      <c r="B537" t="s">
        <v>4</v>
      </c>
      <c r="C537" t="s">
        <v>83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0.36470000000000002</v>
      </c>
      <c r="K537" t="s">
        <v>24</v>
      </c>
    </row>
    <row r="538" spans="1:11" x14ac:dyDescent="0.45">
      <c r="A538" t="s">
        <v>89</v>
      </c>
      <c r="B538" t="s">
        <v>4</v>
      </c>
      <c r="C538" t="s">
        <v>83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0.34994999999999998</v>
      </c>
      <c r="K538" t="s">
        <v>24</v>
      </c>
    </row>
    <row r="539" spans="1:11" x14ac:dyDescent="0.45">
      <c r="A539" t="s">
        <v>89</v>
      </c>
      <c r="B539" t="s">
        <v>4</v>
      </c>
      <c r="C539" t="s">
        <v>83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0.33540000000000003</v>
      </c>
      <c r="K539" t="s">
        <v>24</v>
      </c>
    </row>
    <row r="540" spans="1:11" x14ac:dyDescent="0.45">
      <c r="A540" t="s">
        <v>89</v>
      </c>
      <c r="B540" t="s">
        <v>0</v>
      </c>
      <c r="C540" t="s">
        <v>83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0.14695</v>
      </c>
      <c r="K540" t="s">
        <v>24</v>
      </c>
    </row>
    <row r="541" spans="1:11" x14ac:dyDescent="0.45">
      <c r="A541" t="s">
        <v>89</v>
      </c>
      <c r="B541" t="s">
        <v>0</v>
      </c>
      <c r="C541" t="s">
        <v>83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0.16744999999999999</v>
      </c>
      <c r="K541" t="s">
        <v>24</v>
      </c>
    </row>
    <row r="542" spans="1:11" x14ac:dyDescent="0.45">
      <c r="A542" t="s">
        <v>89</v>
      </c>
      <c r="B542" t="s">
        <v>0</v>
      </c>
      <c r="C542" t="s">
        <v>83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0.20860000000000001</v>
      </c>
      <c r="K542" t="s">
        <v>24</v>
      </c>
    </row>
    <row r="543" spans="1:11" x14ac:dyDescent="0.45">
      <c r="A543" t="s">
        <v>89</v>
      </c>
      <c r="B543" t="s">
        <v>0</v>
      </c>
      <c r="C543" t="s">
        <v>83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0.25700000000000001</v>
      </c>
      <c r="K543" t="s">
        <v>24</v>
      </c>
    </row>
    <row r="544" spans="1:11" x14ac:dyDescent="0.45">
      <c r="A544" t="s">
        <v>89</v>
      </c>
      <c r="B544" t="s">
        <v>0</v>
      </c>
      <c r="C544" t="s">
        <v>83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0.40625</v>
      </c>
      <c r="K544" t="s">
        <v>24</v>
      </c>
    </row>
    <row r="545" spans="1:11" x14ac:dyDescent="0.45">
      <c r="A545" t="s">
        <v>89</v>
      </c>
      <c r="B545" t="s">
        <v>0</v>
      </c>
      <c r="C545" t="s">
        <v>83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0.45455000000000001</v>
      </c>
      <c r="K545" t="s">
        <v>24</v>
      </c>
    </row>
    <row r="546" spans="1:11" x14ac:dyDescent="0.45">
      <c r="A546" t="s">
        <v>89</v>
      </c>
      <c r="B546" t="s">
        <v>0</v>
      </c>
      <c r="C546" t="s">
        <v>83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0.47604999999999997</v>
      </c>
      <c r="K546" t="s">
        <v>24</v>
      </c>
    </row>
    <row r="547" spans="1:11" x14ac:dyDescent="0.45">
      <c r="A547" t="s">
        <v>89</v>
      </c>
      <c r="B547" t="s">
        <v>0</v>
      </c>
      <c r="C547" t="s">
        <v>83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0.50324999999999998</v>
      </c>
      <c r="K547" t="s">
        <v>24</v>
      </c>
    </row>
    <row r="548" spans="1:11" x14ac:dyDescent="0.45">
      <c r="A548" t="s">
        <v>89</v>
      </c>
      <c r="B548" t="s">
        <v>0</v>
      </c>
      <c r="C548" t="s">
        <v>83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0.51960000000000006</v>
      </c>
      <c r="K548" t="s">
        <v>24</v>
      </c>
    </row>
    <row r="549" spans="1:11" x14ac:dyDescent="0.45">
      <c r="A549" t="s">
        <v>89</v>
      </c>
      <c r="B549" t="s">
        <v>0</v>
      </c>
      <c r="C549" t="s">
        <v>83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0.52339999999999998</v>
      </c>
      <c r="K549" t="s">
        <v>24</v>
      </c>
    </row>
    <row r="550" spans="1:11" x14ac:dyDescent="0.45">
      <c r="A550" t="s">
        <v>89</v>
      </c>
      <c r="B550" t="s">
        <v>0</v>
      </c>
      <c r="C550" t="s">
        <v>83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0.52839999999999998</v>
      </c>
      <c r="K550" t="s">
        <v>24</v>
      </c>
    </row>
    <row r="551" spans="1:11" x14ac:dyDescent="0.45">
      <c r="A551" t="s">
        <v>89</v>
      </c>
      <c r="B551" t="s">
        <v>0</v>
      </c>
      <c r="C551" t="s">
        <v>83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0.50175000000000003</v>
      </c>
      <c r="K551" t="s">
        <v>24</v>
      </c>
    </row>
    <row r="552" spans="1:11" x14ac:dyDescent="0.45">
      <c r="A552" t="s">
        <v>89</v>
      </c>
      <c r="B552" t="s">
        <v>0</v>
      </c>
      <c r="C552" t="s">
        <v>83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0.4758</v>
      </c>
      <c r="K552" t="s">
        <v>24</v>
      </c>
    </row>
    <row r="553" spans="1:11" x14ac:dyDescent="0.45">
      <c r="A553" t="s">
        <v>89</v>
      </c>
      <c r="B553" t="s">
        <v>0</v>
      </c>
      <c r="C553" t="s">
        <v>83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0.44415000000000004</v>
      </c>
      <c r="K553" t="s">
        <v>24</v>
      </c>
    </row>
    <row r="554" spans="1:11" x14ac:dyDescent="0.45">
      <c r="A554" t="s">
        <v>89</v>
      </c>
      <c r="B554" t="s">
        <v>0</v>
      </c>
      <c r="C554" t="s">
        <v>83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0.41805000000000003</v>
      </c>
      <c r="K554" t="s">
        <v>24</v>
      </c>
    </row>
    <row r="555" spans="1:11" x14ac:dyDescent="0.45">
      <c r="A555" t="s">
        <v>89</v>
      </c>
      <c r="B555" t="s">
        <v>0</v>
      </c>
      <c r="C555" t="s">
        <v>83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0.39470000000000005</v>
      </c>
      <c r="K555" t="s">
        <v>24</v>
      </c>
    </row>
    <row r="556" spans="1:11" x14ac:dyDescent="0.45">
      <c r="A556" t="s">
        <v>89</v>
      </c>
      <c r="B556" t="s">
        <v>0</v>
      </c>
      <c r="C556" t="s">
        <v>83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0.37354999999999999</v>
      </c>
      <c r="K556" t="s">
        <v>24</v>
      </c>
    </row>
    <row r="557" spans="1:11" x14ac:dyDescent="0.45">
      <c r="A557" t="s">
        <v>89</v>
      </c>
      <c r="B557" t="s">
        <v>6</v>
      </c>
      <c r="C557" t="s">
        <v>83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0.15479999999999999</v>
      </c>
      <c r="K557" t="s">
        <v>24</v>
      </c>
    </row>
    <row r="558" spans="1:11" x14ac:dyDescent="0.45">
      <c r="A558" t="s">
        <v>89</v>
      </c>
      <c r="B558" t="s">
        <v>6</v>
      </c>
      <c r="C558" t="s">
        <v>83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0.16699999999999998</v>
      </c>
      <c r="K558" t="s">
        <v>24</v>
      </c>
    </row>
    <row r="559" spans="1:11" x14ac:dyDescent="0.45">
      <c r="A559" t="s">
        <v>89</v>
      </c>
      <c r="B559" t="s">
        <v>6</v>
      </c>
      <c r="C559" t="s">
        <v>83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0.20755000000000001</v>
      </c>
      <c r="K559" t="s">
        <v>24</v>
      </c>
    </row>
    <row r="560" spans="1:11" x14ac:dyDescent="0.45">
      <c r="A560" t="s">
        <v>89</v>
      </c>
      <c r="B560" t="s">
        <v>6</v>
      </c>
      <c r="C560" t="s">
        <v>83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0.27205000000000001</v>
      </c>
      <c r="K560" t="s">
        <v>24</v>
      </c>
    </row>
    <row r="561" spans="1:11" x14ac:dyDescent="0.45">
      <c r="A561" t="s">
        <v>89</v>
      </c>
      <c r="B561" t="s">
        <v>6</v>
      </c>
      <c r="C561" t="s">
        <v>83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0.34499999999999997</v>
      </c>
      <c r="K561" t="s">
        <v>24</v>
      </c>
    </row>
    <row r="562" spans="1:11" x14ac:dyDescent="0.45">
      <c r="A562" t="s">
        <v>89</v>
      </c>
      <c r="B562" t="s">
        <v>6</v>
      </c>
      <c r="C562" t="s">
        <v>83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0.48080000000000001</v>
      </c>
      <c r="K562" t="s">
        <v>24</v>
      </c>
    </row>
    <row r="563" spans="1:11" x14ac:dyDescent="0.45">
      <c r="A563" t="s">
        <v>89</v>
      </c>
      <c r="B563" t="s">
        <v>6</v>
      </c>
      <c r="C563" t="s">
        <v>83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0.47310000000000002</v>
      </c>
      <c r="K563" t="s">
        <v>24</v>
      </c>
    </row>
    <row r="564" spans="1:11" x14ac:dyDescent="0.45">
      <c r="A564" t="s">
        <v>89</v>
      </c>
      <c r="B564" t="s">
        <v>6</v>
      </c>
      <c r="C564" t="s">
        <v>83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0.47509999999999997</v>
      </c>
      <c r="K564" t="s">
        <v>24</v>
      </c>
    </row>
    <row r="565" spans="1:11" x14ac:dyDescent="0.45">
      <c r="A565" t="s">
        <v>89</v>
      </c>
      <c r="B565" t="s">
        <v>6</v>
      </c>
      <c r="C565" t="s">
        <v>83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0.49220000000000003</v>
      </c>
      <c r="K565" t="s">
        <v>24</v>
      </c>
    </row>
    <row r="566" spans="1:11" x14ac:dyDescent="0.45">
      <c r="A566" t="s">
        <v>89</v>
      </c>
      <c r="B566" t="s">
        <v>6</v>
      </c>
      <c r="C566" t="s">
        <v>83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0.50105</v>
      </c>
      <c r="K566" t="s">
        <v>24</v>
      </c>
    </row>
    <row r="567" spans="1:11" x14ac:dyDescent="0.45">
      <c r="A567" t="s">
        <v>89</v>
      </c>
      <c r="B567" t="s">
        <v>6</v>
      </c>
      <c r="C567" t="s">
        <v>83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0.50824999999999998</v>
      </c>
      <c r="K567" t="s">
        <v>24</v>
      </c>
    </row>
    <row r="568" spans="1:11" x14ac:dyDescent="0.45">
      <c r="A568" t="s">
        <v>89</v>
      </c>
      <c r="B568" t="s">
        <v>6</v>
      </c>
      <c r="C568" t="s">
        <v>83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0.48344999999999999</v>
      </c>
      <c r="K568" t="s">
        <v>24</v>
      </c>
    </row>
    <row r="569" spans="1:11" x14ac:dyDescent="0.45">
      <c r="A569" t="s">
        <v>89</v>
      </c>
      <c r="B569" t="s">
        <v>6</v>
      </c>
      <c r="C569" t="s">
        <v>83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0.46089999999999998</v>
      </c>
      <c r="K569" t="s">
        <v>24</v>
      </c>
    </row>
    <row r="570" spans="1:11" x14ac:dyDescent="0.45">
      <c r="A570" t="s">
        <v>89</v>
      </c>
      <c r="B570" t="s">
        <v>6</v>
      </c>
      <c r="C570" t="s">
        <v>83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0.42914999999999998</v>
      </c>
      <c r="K570" t="s">
        <v>24</v>
      </c>
    </row>
    <row r="571" spans="1:11" x14ac:dyDescent="0.45">
      <c r="A571" t="s">
        <v>89</v>
      </c>
      <c r="B571" t="s">
        <v>6</v>
      </c>
      <c r="C571" t="s">
        <v>83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0.4012</v>
      </c>
      <c r="K571" t="s">
        <v>24</v>
      </c>
    </row>
    <row r="572" spans="1:11" x14ac:dyDescent="0.45">
      <c r="A572" t="s">
        <v>89</v>
      </c>
      <c r="B572" t="s">
        <v>6</v>
      </c>
      <c r="C572" t="s">
        <v>83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0.3821</v>
      </c>
      <c r="K572" t="s">
        <v>24</v>
      </c>
    </row>
    <row r="573" spans="1:11" x14ac:dyDescent="0.45">
      <c r="A573" t="s">
        <v>89</v>
      </c>
      <c r="B573" t="s">
        <v>6</v>
      </c>
      <c r="C573" t="s">
        <v>83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0.36639999999999995</v>
      </c>
      <c r="K573" t="s">
        <v>24</v>
      </c>
    </row>
    <row r="574" spans="1:11" x14ac:dyDescent="0.45">
      <c r="A574" t="s">
        <v>89</v>
      </c>
      <c r="B574" t="s">
        <v>5</v>
      </c>
      <c r="C574" t="s">
        <v>83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0.16025</v>
      </c>
      <c r="K574" t="s">
        <v>24</v>
      </c>
    </row>
    <row r="575" spans="1:11" x14ac:dyDescent="0.45">
      <c r="A575" t="s">
        <v>89</v>
      </c>
      <c r="B575" t="s">
        <v>5</v>
      </c>
      <c r="C575" t="s">
        <v>83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0.1678</v>
      </c>
      <c r="K575" t="s">
        <v>24</v>
      </c>
    </row>
    <row r="576" spans="1:11" x14ac:dyDescent="0.45">
      <c r="A576" t="s">
        <v>89</v>
      </c>
      <c r="B576" t="s">
        <v>5</v>
      </c>
      <c r="C576" t="s">
        <v>83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0.18845000000000001</v>
      </c>
      <c r="K576" t="s">
        <v>24</v>
      </c>
    </row>
    <row r="577" spans="1:11" x14ac:dyDescent="0.45">
      <c r="A577" t="s">
        <v>89</v>
      </c>
      <c r="B577" t="s">
        <v>5</v>
      </c>
      <c r="C577" t="s">
        <v>83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0.17125000000000001</v>
      </c>
      <c r="K577" t="s">
        <v>24</v>
      </c>
    </row>
    <row r="578" spans="1:11" x14ac:dyDescent="0.45">
      <c r="A578" t="s">
        <v>89</v>
      </c>
      <c r="B578" t="s">
        <v>5</v>
      </c>
      <c r="C578" t="s">
        <v>83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0.14990000000000001</v>
      </c>
      <c r="K578" t="s">
        <v>24</v>
      </c>
    </row>
    <row r="579" spans="1:11" x14ac:dyDescent="0.45">
      <c r="A579" t="s">
        <v>89</v>
      </c>
      <c r="B579" t="s">
        <v>5</v>
      </c>
      <c r="C579" t="s">
        <v>83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0.15960000000000002</v>
      </c>
      <c r="K579" t="s">
        <v>24</v>
      </c>
    </row>
    <row r="580" spans="1:11" x14ac:dyDescent="0.45">
      <c r="A580" t="s">
        <v>89</v>
      </c>
      <c r="B580" t="s">
        <v>5</v>
      </c>
      <c r="C580" t="s">
        <v>83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0.16215000000000002</v>
      </c>
      <c r="K580" t="s">
        <v>24</v>
      </c>
    </row>
    <row r="581" spans="1:11" x14ac:dyDescent="0.45">
      <c r="A581" t="s">
        <v>89</v>
      </c>
      <c r="B581" t="s">
        <v>5</v>
      </c>
      <c r="C581" t="s">
        <v>83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0.17165</v>
      </c>
      <c r="K581" t="s">
        <v>24</v>
      </c>
    </row>
    <row r="582" spans="1:11" x14ac:dyDescent="0.45">
      <c r="A582" t="s">
        <v>89</v>
      </c>
      <c r="B582" t="s">
        <v>5</v>
      </c>
      <c r="C582" t="s">
        <v>83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0.16839999999999999</v>
      </c>
      <c r="K582" t="s">
        <v>24</v>
      </c>
    </row>
    <row r="583" spans="1:11" x14ac:dyDescent="0.45">
      <c r="A583" t="s">
        <v>89</v>
      </c>
      <c r="B583" t="s">
        <v>5</v>
      </c>
      <c r="C583" t="s">
        <v>83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0.16705</v>
      </c>
      <c r="K583" t="s">
        <v>24</v>
      </c>
    </row>
    <row r="584" spans="1:11" x14ac:dyDescent="0.45">
      <c r="A584" t="s">
        <v>89</v>
      </c>
      <c r="B584" t="s">
        <v>5</v>
      </c>
      <c r="C584" t="s">
        <v>83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0.16105</v>
      </c>
      <c r="K584" t="s">
        <v>24</v>
      </c>
    </row>
    <row r="585" spans="1:11" x14ac:dyDescent="0.45">
      <c r="A585" t="s">
        <v>89</v>
      </c>
      <c r="B585" t="s">
        <v>5</v>
      </c>
      <c r="C585" t="s">
        <v>83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0.15984999999999999</v>
      </c>
      <c r="K585" t="s">
        <v>24</v>
      </c>
    </row>
    <row r="586" spans="1:11" x14ac:dyDescent="0.45">
      <c r="A586" t="s">
        <v>89</v>
      </c>
      <c r="B586" t="s">
        <v>5</v>
      </c>
      <c r="C586" t="s">
        <v>83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0.15834999999999999</v>
      </c>
      <c r="K586" t="s">
        <v>24</v>
      </c>
    </row>
    <row r="587" spans="1:11" x14ac:dyDescent="0.45">
      <c r="A587" t="s">
        <v>89</v>
      </c>
      <c r="B587" t="s">
        <v>5</v>
      </c>
      <c r="C587" t="s">
        <v>83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0.15615000000000001</v>
      </c>
      <c r="K587" t="s">
        <v>24</v>
      </c>
    </row>
    <row r="588" spans="1:11" x14ac:dyDescent="0.45">
      <c r="A588" t="s">
        <v>89</v>
      </c>
      <c r="B588" t="s">
        <v>5</v>
      </c>
      <c r="C588" t="s">
        <v>83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0.15775</v>
      </c>
      <c r="K588" t="s">
        <v>24</v>
      </c>
    </row>
    <row r="589" spans="1:11" x14ac:dyDescent="0.45">
      <c r="A589" t="s">
        <v>89</v>
      </c>
      <c r="B589" t="s">
        <v>5</v>
      </c>
      <c r="C589" t="s">
        <v>83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0.156</v>
      </c>
      <c r="K589" t="s">
        <v>24</v>
      </c>
    </row>
    <row r="590" spans="1:11" x14ac:dyDescent="0.45">
      <c r="A590" t="s">
        <v>89</v>
      </c>
      <c r="B590" t="s">
        <v>5</v>
      </c>
      <c r="C590" t="s">
        <v>83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0.1542</v>
      </c>
      <c r="K590" t="s">
        <v>24</v>
      </c>
    </row>
    <row r="591" spans="1:11" x14ac:dyDescent="0.45">
      <c r="A591" t="s">
        <v>89</v>
      </c>
      <c r="B591" t="s">
        <v>2</v>
      </c>
      <c r="C591" t="s">
        <v>83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0.15975</v>
      </c>
      <c r="K591" t="s">
        <v>24</v>
      </c>
    </row>
    <row r="592" spans="1:11" x14ac:dyDescent="0.45">
      <c r="A592" t="s">
        <v>89</v>
      </c>
      <c r="B592" t="s">
        <v>2</v>
      </c>
      <c r="C592" t="s">
        <v>83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0.17480000000000001</v>
      </c>
      <c r="K592" t="s">
        <v>24</v>
      </c>
    </row>
    <row r="593" spans="1:11" x14ac:dyDescent="0.45">
      <c r="A593" t="s">
        <v>89</v>
      </c>
      <c r="B593" t="s">
        <v>2</v>
      </c>
      <c r="C593" t="s">
        <v>83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0.21305000000000002</v>
      </c>
      <c r="K593" t="s">
        <v>24</v>
      </c>
    </row>
    <row r="594" spans="1:11" x14ac:dyDescent="0.45">
      <c r="A594" t="s">
        <v>89</v>
      </c>
      <c r="B594" t="s">
        <v>2</v>
      </c>
      <c r="C594" t="s">
        <v>83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0.27789999999999998</v>
      </c>
      <c r="K594" t="s">
        <v>24</v>
      </c>
    </row>
    <row r="595" spans="1:11" x14ac:dyDescent="0.45">
      <c r="A595" t="s">
        <v>89</v>
      </c>
      <c r="B595" t="s">
        <v>2</v>
      </c>
      <c r="C595" t="s">
        <v>83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0.35215000000000002</v>
      </c>
      <c r="K595" t="s">
        <v>24</v>
      </c>
    </row>
    <row r="596" spans="1:11" x14ac:dyDescent="0.45">
      <c r="A596" t="s">
        <v>89</v>
      </c>
      <c r="B596" t="s">
        <v>2</v>
      </c>
      <c r="C596" t="s">
        <v>83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0.4284</v>
      </c>
      <c r="K596" t="s">
        <v>24</v>
      </c>
    </row>
    <row r="597" spans="1:11" x14ac:dyDescent="0.45">
      <c r="A597" t="s">
        <v>89</v>
      </c>
      <c r="B597" t="s">
        <v>2</v>
      </c>
      <c r="C597" t="s">
        <v>83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0.47739999999999999</v>
      </c>
      <c r="K597" t="s">
        <v>24</v>
      </c>
    </row>
    <row r="598" spans="1:11" x14ac:dyDescent="0.45">
      <c r="A598" t="s">
        <v>89</v>
      </c>
      <c r="B598" t="s">
        <v>2</v>
      </c>
      <c r="C598" t="s">
        <v>83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0.51239999999999997</v>
      </c>
      <c r="K598" t="s">
        <v>24</v>
      </c>
    </row>
    <row r="599" spans="1:11" x14ac:dyDescent="0.45">
      <c r="A599" t="s">
        <v>89</v>
      </c>
      <c r="B599" t="s">
        <v>2</v>
      </c>
      <c r="C599" t="s">
        <v>83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0.52029999999999998</v>
      </c>
      <c r="K599" t="s">
        <v>24</v>
      </c>
    </row>
    <row r="600" spans="1:11" x14ac:dyDescent="0.45">
      <c r="A600" t="s">
        <v>89</v>
      </c>
      <c r="B600" t="s">
        <v>2</v>
      </c>
      <c r="C600" t="s">
        <v>83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0.51244999999999996</v>
      </c>
      <c r="K600" t="s">
        <v>24</v>
      </c>
    </row>
    <row r="601" spans="1:11" x14ac:dyDescent="0.45">
      <c r="A601" t="s">
        <v>89</v>
      </c>
      <c r="B601" t="s">
        <v>2</v>
      </c>
      <c r="C601" t="s">
        <v>83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0.49609999999999999</v>
      </c>
      <c r="K601" t="s">
        <v>24</v>
      </c>
    </row>
    <row r="602" spans="1:11" x14ac:dyDescent="0.45">
      <c r="A602" t="s">
        <v>89</v>
      </c>
      <c r="B602" t="s">
        <v>2</v>
      </c>
      <c r="C602" t="s">
        <v>83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0.47399999999999998</v>
      </c>
      <c r="K602" t="s">
        <v>24</v>
      </c>
    </row>
    <row r="603" spans="1:11" x14ac:dyDescent="0.45">
      <c r="A603" t="s">
        <v>89</v>
      </c>
      <c r="B603" t="s">
        <v>2</v>
      </c>
      <c r="C603" t="s">
        <v>83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0.45289999999999997</v>
      </c>
      <c r="K603" t="s">
        <v>24</v>
      </c>
    </row>
    <row r="604" spans="1:11" x14ac:dyDescent="0.45">
      <c r="A604" t="s">
        <v>89</v>
      </c>
      <c r="B604" t="s">
        <v>2</v>
      </c>
      <c r="C604" t="s">
        <v>83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0.41774999999999995</v>
      </c>
      <c r="K604" t="s">
        <v>24</v>
      </c>
    </row>
    <row r="605" spans="1:11" x14ac:dyDescent="0.45">
      <c r="A605" t="s">
        <v>89</v>
      </c>
      <c r="B605" t="s">
        <v>2</v>
      </c>
      <c r="C605" t="s">
        <v>83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0.39410000000000001</v>
      </c>
      <c r="K605" t="s">
        <v>24</v>
      </c>
    </row>
    <row r="606" spans="1:11" x14ac:dyDescent="0.45">
      <c r="A606" t="s">
        <v>89</v>
      </c>
      <c r="B606" t="s">
        <v>2</v>
      </c>
      <c r="C606" t="s">
        <v>83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0.37524999999999997</v>
      </c>
      <c r="K606" t="s">
        <v>24</v>
      </c>
    </row>
    <row r="607" spans="1:11" x14ac:dyDescent="0.45">
      <c r="A607" t="s">
        <v>89</v>
      </c>
      <c r="B607" t="s">
        <v>2</v>
      </c>
      <c r="C607" t="s">
        <v>83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0.35744999999999999</v>
      </c>
      <c r="K607" t="s">
        <v>24</v>
      </c>
    </row>
    <row r="608" spans="1:11" x14ac:dyDescent="0.45">
      <c r="A608" t="s">
        <v>89</v>
      </c>
      <c r="B608" t="s">
        <v>1</v>
      </c>
      <c r="C608" t="s">
        <v>83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0.15305000000000002</v>
      </c>
      <c r="K608" t="s">
        <v>24</v>
      </c>
    </row>
    <row r="609" spans="1:11" x14ac:dyDescent="0.45">
      <c r="A609" t="s">
        <v>89</v>
      </c>
      <c r="B609" t="s">
        <v>1</v>
      </c>
      <c r="C609" t="s">
        <v>83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0.16825000000000001</v>
      </c>
      <c r="K609" t="s">
        <v>24</v>
      </c>
    </row>
    <row r="610" spans="1:11" x14ac:dyDescent="0.45">
      <c r="A610" t="s">
        <v>89</v>
      </c>
      <c r="B610" t="s">
        <v>1</v>
      </c>
      <c r="C610" t="s">
        <v>83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0.28175</v>
      </c>
      <c r="K610" t="s">
        <v>24</v>
      </c>
    </row>
    <row r="611" spans="1:11" x14ac:dyDescent="0.45">
      <c r="A611" t="s">
        <v>89</v>
      </c>
      <c r="B611" t="s">
        <v>1</v>
      </c>
      <c r="C611" t="s">
        <v>83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0.34665000000000001</v>
      </c>
      <c r="K611" t="s">
        <v>24</v>
      </c>
    </row>
    <row r="612" spans="1:11" x14ac:dyDescent="0.45">
      <c r="A612" t="s">
        <v>89</v>
      </c>
      <c r="B612" t="s">
        <v>1</v>
      </c>
      <c r="C612" t="s">
        <v>83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0.41385</v>
      </c>
      <c r="K612" t="s">
        <v>24</v>
      </c>
    </row>
    <row r="613" spans="1:11" x14ac:dyDescent="0.45">
      <c r="A613" t="s">
        <v>89</v>
      </c>
      <c r="B613" t="s">
        <v>1</v>
      </c>
      <c r="C613" t="s">
        <v>83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0.47445000000000004</v>
      </c>
      <c r="K613" t="s">
        <v>24</v>
      </c>
    </row>
    <row r="614" spans="1:11" x14ac:dyDescent="0.45">
      <c r="A614" t="s">
        <v>89</v>
      </c>
      <c r="B614" t="s">
        <v>1</v>
      </c>
      <c r="C614" t="s">
        <v>83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0.49735000000000001</v>
      </c>
      <c r="K614" t="s">
        <v>24</v>
      </c>
    </row>
    <row r="615" spans="1:11" x14ac:dyDescent="0.45">
      <c r="A615" t="s">
        <v>89</v>
      </c>
      <c r="B615" t="s">
        <v>1</v>
      </c>
      <c r="C615" t="s">
        <v>83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0.51584999999999992</v>
      </c>
      <c r="K615" t="s">
        <v>24</v>
      </c>
    </row>
    <row r="616" spans="1:11" x14ac:dyDescent="0.45">
      <c r="A616" t="s">
        <v>89</v>
      </c>
      <c r="B616" t="s">
        <v>1</v>
      </c>
      <c r="C616" t="s">
        <v>83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0.51839999999999997</v>
      </c>
      <c r="K616" t="s">
        <v>24</v>
      </c>
    </row>
    <row r="617" spans="1:11" x14ac:dyDescent="0.45">
      <c r="A617" t="s">
        <v>89</v>
      </c>
      <c r="B617" t="s">
        <v>1</v>
      </c>
      <c r="C617" t="s">
        <v>83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0.51329999999999998</v>
      </c>
      <c r="K617" t="s">
        <v>24</v>
      </c>
    </row>
    <row r="618" spans="1:11" x14ac:dyDescent="0.45">
      <c r="A618" t="s">
        <v>89</v>
      </c>
      <c r="B618" t="s">
        <v>1</v>
      </c>
      <c r="C618" t="s">
        <v>83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0.50980000000000003</v>
      </c>
      <c r="K618" t="s">
        <v>24</v>
      </c>
    </row>
    <row r="619" spans="1:11" x14ac:dyDescent="0.45">
      <c r="A619" t="s">
        <v>89</v>
      </c>
      <c r="B619" t="s">
        <v>1</v>
      </c>
      <c r="C619" t="s">
        <v>83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0.49145</v>
      </c>
      <c r="K619" t="s">
        <v>24</v>
      </c>
    </row>
    <row r="620" spans="1:11" x14ac:dyDescent="0.45">
      <c r="A620" t="s">
        <v>89</v>
      </c>
      <c r="B620" t="s">
        <v>1</v>
      </c>
      <c r="C620" t="s">
        <v>83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0.47424999999999995</v>
      </c>
      <c r="K620" t="s">
        <v>24</v>
      </c>
    </row>
    <row r="621" spans="1:11" x14ac:dyDescent="0.45">
      <c r="A621" t="s">
        <v>89</v>
      </c>
      <c r="B621" t="s">
        <v>1</v>
      </c>
      <c r="C621" t="s">
        <v>83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0.44269999999999998</v>
      </c>
      <c r="K621" t="s">
        <v>24</v>
      </c>
    </row>
    <row r="622" spans="1:11" x14ac:dyDescent="0.45">
      <c r="A622" t="s">
        <v>89</v>
      </c>
      <c r="B622" t="s">
        <v>1</v>
      </c>
      <c r="C622" t="s">
        <v>83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0.41600000000000004</v>
      </c>
      <c r="K622" t="s">
        <v>24</v>
      </c>
    </row>
    <row r="623" spans="1:11" x14ac:dyDescent="0.45">
      <c r="A623" t="s">
        <v>89</v>
      </c>
      <c r="B623" t="s">
        <v>1</v>
      </c>
      <c r="C623" t="s">
        <v>83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0.39739999999999998</v>
      </c>
      <c r="K623" t="s">
        <v>24</v>
      </c>
    </row>
    <row r="624" spans="1:11" x14ac:dyDescent="0.45">
      <c r="A624" t="s">
        <v>89</v>
      </c>
      <c r="B624" t="s">
        <v>1</v>
      </c>
      <c r="C624" t="s">
        <v>83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0.37995000000000001</v>
      </c>
      <c r="K624" t="s">
        <v>24</v>
      </c>
    </row>
    <row r="625" spans="1:11" x14ac:dyDescent="0.45">
      <c r="A625" t="s">
        <v>89</v>
      </c>
      <c r="B625" t="s">
        <v>3</v>
      </c>
      <c r="C625" t="s">
        <v>83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9.4049999999999995E-2</v>
      </c>
      <c r="K625" t="s">
        <v>28</v>
      </c>
    </row>
    <row r="626" spans="1:11" x14ac:dyDescent="0.45">
      <c r="A626" t="s">
        <v>89</v>
      </c>
      <c r="B626" t="s">
        <v>3</v>
      </c>
      <c r="C626" t="s">
        <v>83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0.11265</v>
      </c>
      <c r="K626" t="s">
        <v>28</v>
      </c>
    </row>
    <row r="627" spans="1:11" x14ac:dyDescent="0.45">
      <c r="A627" t="s">
        <v>89</v>
      </c>
      <c r="B627" t="s">
        <v>3</v>
      </c>
      <c r="C627" t="s">
        <v>83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0.14950000000000002</v>
      </c>
      <c r="K627" t="s">
        <v>28</v>
      </c>
    </row>
    <row r="628" spans="1:11" x14ac:dyDescent="0.45">
      <c r="A628" t="s">
        <v>89</v>
      </c>
      <c r="B628" t="s">
        <v>3</v>
      </c>
      <c r="C628" t="s">
        <v>83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0.20150000000000001</v>
      </c>
      <c r="K628" t="s">
        <v>28</v>
      </c>
    </row>
    <row r="629" spans="1:11" x14ac:dyDescent="0.45">
      <c r="A629" t="s">
        <v>89</v>
      </c>
      <c r="B629" t="s">
        <v>3</v>
      </c>
      <c r="C629" t="s">
        <v>83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0.24049999999999999</v>
      </c>
      <c r="K629" t="s">
        <v>28</v>
      </c>
    </row>
    <row r="630" spans="1:11" x14ac:dyDescent="0.45">
      <c r="A630" t="s">
        <v>89</v>
      </c>
      <c r="B630" t="s">
        <v>3</v>
      </c>
      <c r="C630" t="s">
        <v>83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0.27254999999999996</v>
      </c>
      <c r="K630" t="s">
        <v>28</v>
      </c>
    </row>
    <row r="631" spans="1:11" x14ac:dyDescent="0.45">
      <c r="A631" t="s">
        <v>89</v>
      </c>
      <c r="B631" t="s">
        <v>3</v>
      </c>
      <c r="C631" t="s">
        <v>83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0.2853</v>
      </c>
      <c r="K631" t="s">
        <v>28</v>
      </c>
    </row>
    <row r="632" spans="1:11" x14ac:dyDescent="0.45">
      <c r="A632" t="s">
        <v>89</v>
      </c>
      <c r="B632" t="s">
        <v>3</v>
      </c>
      <c r="C632" t="s">
        <v>83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0.28925000000000001</v>
      </c>
      <c r="K632" t="s">
        <v>28</v>
      </c>
    </row>
    <row r="633" spans="1:11" x14ac:dyDescent="0.45">
      <c r="A633" t="s">
        <v>89</v>
      </c>
      <c r="B633" t="s">
        <v>3</v>
      </c>
      <c r="C633" t="s">
        <v>83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0.315</v>
      </c>
      <c r="K633" t="s">
        <v>28</v>
      </c>
    </row>
    <row r="634" spans="1:11" x14ac:dyDescent="0.45">
      <c r="A634" t="s">
        <v>89</v>
      </c>
      <c r="B634" t="s">
        <v>3</v>
      </c>
      <c r="C634" t="s">
        <v>83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0.32414999999999999</v>
      </c>
      <c r="K634" t="s">
        <v>28</v>
      </c>
    </row>
    <row r="635" spans="1:11" x14ac:dyDescent="0.45">
      <c r="A635" t="s">
        <v>89</v>
      </c>
      <c r="B635" t="s">
        <v>3</v>
      </c>
      <c r="C635" t="s">
        <v>83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0.33415</v>
      </c>
      <c r="K635" t="s">
        <v>28</v>
      </c>
    </row>
    <row r="636" spans="1:11" x14ac:dyDescent="0.45">
      <c r="A636" t="s">
        <v>89</v>
      </c>
      <c r="B636" t="s">
        <v>3</v>
      </c>
      <c r="C636" t="s">
        <v>83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0.33950000000000002</v>
      </c>
      <c r="K636" t="s">
        <v>28</v>
      </c>
    </row>
    <row r="637" spans="1:11" x14ac:dyDescent="0.45">
      <c r="A637" t="s">
        <v>89</v>
      </c>
      <c r="B637" t="s">
        <v>3</v>
      </c>
      <c r="C637" t="s">
        <v>83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0.34560000000000002</v>
      </c>
      <c r="K637" t="s">
        <v>28</v>
      </c>
    </row>
    <row r="638" spans="1:11" x14ac:dyDescent="0.45">
      <c r="A638" t="s">
        <v>89</v>
      </c>
      <c r="B638" t="s">
        <v>3</v>
      </c>
      <c r="C638" t="s">
        <v>83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0.34950000000000003</v>
      </c>
      <c r="K638" t="s">
        <v>28</v>
      </c>
    </row>
    <row r="639" spans="1:11" x14ac:dyDescent="0.45">
      <c r="A639" t="s">
        <v>89</v>
      </c>
      <c r="B639" t="s">
        <v>3</v>
      </c>
      <c r="C639" t="s">
        <v>83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0.35744999999999999</v>
      </c>
      <c r="K639" t="s">
        <v>28</v>
      </c>
    </row>
    <row r="640" spans="1:11" x14ac:dyDescent="0.45">
      <c r="A640" t="s">
        <v>89</v>
      </c>
      <c r="B640" t="s">
        <v>3</v>
      </c>
      <c r="C640" t="s">
        <v>83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0.36030000000000001</v>
      </c>
      <c r="K640" t="s">
        <v>28</v>
      </c>
    </row>
    <row r="641" spans="1:11" x14ac:dyDescent="0.45">
      <c r="A641" t="s">
        <v>89</v>
      </c>
      <c r="B641" t="s">
        <v>3</v>
      </c>
      <c r="C641" t="s">
        <v>83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0.36575000000000002</v>
      </c>
      <c r="K641" t="s">
        <v>28</v>
      </c>
    </row>
    <row r="642" spans="1:11" x14ac:dyDescent="0.45">
      <c r="A642" t="s">
        <v>89</v>
      </c>
      <c r="B642" t="s">
        <v>4</v>
      </c>
      <c r="C642" t="s">
        <v>83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9.7450000000000009E-2</v>
      </c>
      <c r="K642" t="s">
        <v>28</v>
      </c>
    </row>
    <row r="643" spans="1:11" x14ac:dyDescent="0.45">
      <c r="A643" t="s">
        <v>89</v>
      </c>
      <c r="B643" t="s">
        <v>4</v>
      </c>
      <c r="C643" t="s">
        <v>83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0.1169</v>
      </c>
      <c r="K643" t="s">
        <v>28</v>
      </c>
    </row>
    <row r="644" spans="1:11" x14ac:dyDescent="0.45">
      <c r="A644" t="s">
        <v>89</v>
      </c>
      <c r="B644" t="s">
        <v>4</v>
      </c>
      <c r="C644" t="s">
        <v>83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0.14434999999999998</v>
      </c>
      <c r="K644" t="s">
        <v>28</v>
      </c>
    </row>
    <row r="645" spans="1:11" x14ac:dyDescent="0.45">
      <c r="A645" t="s">
        <v>89</v>
      </c>
      <c r="B645" t="s">
        <v>4</v>
      </c>
      <c r="C645" t="s">
        <v>83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0.183</v>
      </c>
      <c r="K645" t="s">
        <v>28</v>
      </c>
    </row>
    <row r="646" spans="1:11" x14ac:dyDescent="0.45">
      <c r="A646" t="s">
        <v>89</v>
      </c>
      <c r="B646" t="s">
        <v>4</v>
      </c>
      <c r="C646" t="s">
        <v>83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0.2195</v>
      </c>
      <c r="K646" t="s">
        <v>28</v>
      </c>
    </row>
    <row r="647" spans="1:11" x14ac:dyDescent="0.45">
      <c r="A647" t="s">
        <v>89</v>
      </c>
      <c r="B647" t="s">
        <v>4</v>
      </c>
      <c r="C647" t="s">
        <v>83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0.2432</v>
      </c>
      <c r="K647" t="s">
        <v>28</v>
      </c>
    </row>
    <row r="648" spans="1:11" x14ac:dyDescent="0.45">
      <c r="A648" t="s">
        <v>89</v>
      </c>
      <c r="B648" t="s">
        <v>4</v>
      </c>
      <c r="C648" t="s">
        <v>83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0.2545</v>
      </c>
      <c r="K648" t="s">
        <v>28</v>
      </c>
    </row>
    <row r="649" spans="1:11" x14ac:dyDescent="0.45">
      <c r="A649" t="s">
        <v>89</v>
      </c>
      <c r="B649" t="s">
        <v>4</v>
      </c>
      <c r="C649" t="s">
        <v>83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0.25475000000000003</v>
      </c>
      <c r="K649" t="s">
        <v>28</v>
      </c>
    </row>
    <row r="650" spans="1:11" x14ac:dyDescent="0.45">
      <c r="A650" t="s">
        <v>89</v>
      </c>
      <c r="B650" t="s">
        <v>4</v>
      </c>
      <c r="C650" t="s">
        <v>83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0.2757</v>
      </c>
      <c r="K650" t="s">
        <v>28</v>
      </c>
    </row>
    <row r="651" spans="1:11" x14ac:dyDescent="0.45">
      <c r="A651" t="s">
        <v>89</v>
      </c>
      <c r="B651" t="s">
        <v>4</v>
      </c>
      <c r="C651" t="s">
        <v>83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0.27850000000000003</v>
      </c>
      <c r="K651" t="s">
        <v>28</v>
      </c>
    </row>
    <row r="652" spans="1:11" x14ac:dyDescent="0.45">
      <c r="A652" t="s">
        <v>89</v>
      </c>
      <c r="B652" t="s">
        <v>4</v>
      </c>
      <c r="C652" t="s">
        <v>83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0.28149999999999997</v>
      </c>
      <c r="K652" t="s">
        <v>28</v>
      </c>
    </row>
    <row r="653" spans="1:11" x14ac:dyDescent="0.45">
      <c r="A653" t="s">
        <v>89</v>
      </c>
      <c r="B653" t="s">
        <v>4</v>
      </c>
      <c r="C653" t="s">
        <v>83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0.29059999999999997</v>
      </c>
      <c r="K653" t="s">
        <v>28</v>
      </c>
    </row>
    <row r="654" spans="1:11" x14ac:dyDescent="0.45">
      <c r="A654" t="s">
        <v>89</v>
      </c>
      <c r="B654" t="s">
        <v>4</v>
      </c>
      <c r="C654" t="s">
        <v>83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0.30015000000000003</v>
      </c>
      <c r="K654" t="s">
        <v>28</v>
      </c>
    </row>
    <row r="655" spans="1:11" x14ac:dyDescent="0.45">
      <c r="A655" t="s">
        <v>89</v>
      </c>
      <c r="B655" t="s">
        <v>4</v>
      </c>
      <c r="C655" t="s">
        <v>83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0.30985000000000001</v>
      </c>
      <c r="K655" t="s">
        <v>28</v>
      </c>
    </row>
    <row r="656" spans="1:11" x14ac:dyDescent="0.45">
      <c r="A656" t="s">
        <v>89</v>
      </c>
      <c r="B656" t="s">
        <v>4</v>
      </c>
      <c r="C656" t="s">
        <v>83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0.32200000000000001</v>
      </c>
      <c r="K656" t="s">
        <v>28</v>
      </c>
    </row>
    <row r="657" spans="1:11" x14ac:dyDescent="0.45">
      <c r="A657" t="s">
        <v>89</v>
      </c>
      <c r="B657" t="s">
        <v>4</v>
      </c>
      <c r="C657" t="s">
        <v>83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0.32589999999999997</v>
      </c>
      <c r="K657" t="s">
        <v>28</v>
      </c>
    </row>
    <row r="658" spans="1:11" x14ac:dyDescent="0.45">
      <c r="A658" t="s">
        <v>89</v>
      </c>
      <c r="B658" t="s">
        <v>4</v>
      </c>
      <c r="C658" t="s">
        <v>83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0.32965</v>
      </c>
      <c r="K658" t="s">
        <v>28</v>
      </c>
    </row>
    <row r="659" spans="1:11" x14ac:dyDescent="0.45">
      <c r="A659" t="s">
        <v>89</v>
      </c>
      <c r="B659" t="s">
        <v>0</v>
      </c>
      <c r="C659" t="s">
        <v>83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9.2549999999999993E-2</v>
      </c>
      <c r="K659" t="s">
        <v>28</v>
      </c>
    </row>
    <row r="660" spans="1:11" x14ac:dyDescent="0.45">
      <c r="A660" t="s">
        <v>89</v>
      </c>
      <c r="B660" t="s">
        <v>0</v>
      </c>
      <c r="C660" t="s">
        <v>83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0.11405000000000001</v>
      </c>
      <c r="K660" t="s">
        <v>28</v>
      </c>
    </row>
    <row r="661" spans="1:11" x14ac:dyDescent="0.45">
      <c r="A661" t="s">
        <v>89</v>
      </c>
      <c r="B661" t="s">
        <v>0</v>
      </c>
      <c r="C661" t="s">
        <v>83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0.14250000000000002</v>
      </c>
      <c r="K661" t="s">
        <v>28</v>
      </c>
    </row>
    <row r="662" spans="1:11" x14ac:dyDescent="0.45">
      <c r="A662" t="s">
        <v>89</v>
      </c>
      <c r="B662" t="s">
        <v>0</v>
      </c>
      <c r="C662" t="s">
        <v>83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0.1736</v>
      </c>
      <c r="K662" t="s">
        <v>28</v>
      </c>
    </row>
    <row r="663" spans="1:11" x14ac:dyDescent="0.45">
      <c r="A663" t="s">
        <v>89</v>
      </c>
      <c r="B663" t="s">
        <v>0</v>
      </c>
      <c r="C663" t="s">
        <v>83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0.217</v>
      </c>
      <c r="K663" t="s">
        <v>28</v>
      </c>
    </row>
    <row r="664" spans="1:11" x14ac:dyDescent="0.45">
      <c r="A664" t="s">
        <v>89</v>
      </c>
      <c r="B664" t="s">
        <v>0</v>
      </c>
      <c r="C664" t="s">
        <v>83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0.23895</v>
      </c>
      <c r="K664" t="s">
        <v>28</v>
      </c>
    </row>
    <row r="665" spans="1:11" x14ac:dyDescent="0.45">
      <c r="A665" t="s">
        <v>89</v>
      </c>
      <c r="B665" t="s">
        <v>0</v>
      </c>
      <c r="C665" t="s">
        <v>83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0.27390000000000003</v>
      </c>
      <c r="K665" t="s">
        <v>28</v>
      </c>
    </row>
    <row r="666" spans="1:11" x14ac:dyDescent="0.45">
      <c r="A666" t="s">
        <v>89</v>
      </c>
      <c r="B666" t="s">
        <v>0</v>
      </c>
      <c r="C666" t="s">
        <v>83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0.27705000000000002</v>
      </c>
      <c r="K666" t="s">
        <v>28</v>
      </c>
    </row>
    <row r="667" spans="1:11" x14ac:dyDescent="0.45">
      <c r="A667" t="s">
        <v>89</v>
      </c>
      <c r="B667" t="s">
        <v>0</v>
      </c>
      <c r="C667" t="s">
        <v>83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0.30520000000000003</v>
      </c>
      <c r="K667" t="s">
        <v>28</v>
      </c>
    </row>
    <row r="668" spans="1:11" x14ac:dyDescent="0.45">
      <c r="A668" t="s">
        <v>89</v>
      </c>
      <c r="B668" t="s">
        <v>0</v>
      </c>
      <c r="C668" t="s">
        <v>83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0.31695000000000001</v>
      </c>
      <c r="K668" t="s">
        <v>28</v>
      </c>
    </row>
    <row r="669" spans="1:11" x14ac:dyDescent="0.45">
      <c r="A669" t="s">
        <v>89</v>
      </c>
      <c r="B669" t="s">
        <v>0</v>
      </c>
      <c r="C669" t="s">
        <v>83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0.32945000000000002</v>
      </c>
      <c r="K669" t="s">
        <v>28</v>
      </c>
    </row>
    <row r="670" spans="1:11" x14ac:dyDescent="0.45">
      <c r="A670" t="s">
        <v>89</v>
      </c>
      <c r="B670" t="s">
        <v>0</v>
      </c>
      <c r="C670" t="s">
        <v>83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0.33625000000000005</v>
      </c>
      <c r="K670" t="s">
        <v>28</v>
      </c>
    </row>
    <row r="671" spans="1:11" x14ac:dyDescent="0.45">
      <c r="A671" t="s">
        <v>89</v>
      </c>
      <c r="B671" t="s">
        <v>0</v>
      </c>
      <c r="C671" t="s">
        <v>83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0.34325</v>
      </c>
      <c r="K671" t="s">
        <v>28</v>
      </c>
    </row>
    <row r="672" spans="1:11" x14ac:dyDescent="0.45">
      <c r="A672" t="s">
        <v>89</v>
      </c>
      <c r="B672" t="s">
        <v>0</v>
      </c>
      <c r="C672" t="s">
        <v>83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0.34714999999999996</v>
      </c>
      <c r="K672" t="s">
        <v>28</v>
      </c>
    </row>
    <row r="673" spans="1:11" x14ac:dyDescent="0.45">
      <c r="A673" t="s">
        <v>89</v>
      </c>
      <c r="B673" t="s">
        <v>0</v>
      </c>
      <c r="C673" t="s">
        <v>83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0.35420000000000001</v>
      </c>
      <c r="K673" t="s">
        <v>28</v>
      </c>
    </row>
    <row r="674" spans="1:11" x14ac:dyDescent="0.45">
      <c r="A674" t="s">
        <v>89</v>
      </c>
      <c r="B674" t="s">
        <v>0</v>
      </c>
      <c r="C674" t="s">
        <v>83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0.3548</v>
      </c>
      <c r="K674" t="s">
        <v>28</v>
      </c>
    </row>
    <row r="675" spans="1:11" x14ac:dyDescent="0.45">
      <c r="A675" t="s">
        <v>89</v>
      </c>
      <c r="B675" t="s">
        <v>0</v>
      </c>
      <c r="C675" t="s">
        <v>83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0.35714999999999997</v>
      </c>
      <c r="K675" t="s">
        <v>28</v>
      </c>
    </row>
    <row r="676" spans="1:11" x14ac:dyDescent="0.45">
      <c r="A676" t="s">
        <v>89</v>
      </c>
      <c r="B676" t="s">
        <v>6</v>
      </c>
      <c r="C676" t="s">
        <v>83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9.4E-2</v>
      </c>
      <c r="K676" t="s">
        <v>28</v>
      </c>
    </row>
    <row r="677" spans="1:11" x14ac:dyDescent="0.45">
      <c r="A677" t="s">
        <v>89</v>
      </c>
      <c r="B677" t="s">
        <v>6</v>
      </c>
      <c r="C677" t="s">
        <v>83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0.11360000000000001</v>
      </c>
      <c r="K677" t="s">
        <v>28</v>
      </c>
    </row>
    <row r="678" spans="1:11" x14ac:dyDescent="0.45">
      <c r="A678" t="s">
        <v>89</v>
      </c>
      <c r="B678" t="s">
        <v>6</v>
      </c>
      <c r="C678" t="s">
        <v>83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0.1416</v>
      </c>
      <c r="K678" t="s">
        <v>28</v>
      </c>
    </row>
    <row r="679" spans="1:11" x14ac:dyDescent="0.45">
      <c r="A679" t="s">
        <v>89</v>
      </c>
      <c r="B679" t="s">
        <v>6</v>
      </c>
      <c r="C679" t="s">
        <v>83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0.17604999999999998</v>
      </c>
      <c r="K679" t="s">
        <v>28</v>
      </c>
    </row>
    <row r="680" spans="1:11" x14ac:dyDescent="0.45">
      <c r="A680" t="s">
        <v>89</v>
      </c>
      <c r="B680" t="s">
        <v>6</v>
      </c>
      <c r="C680" t="s">
        <v>83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0.24609999999999999</v>
      </c>
      <c r="K680" t="s">
        <v>28</v>
      </c>
    </row>
    <row r="681" spans="1:11" x14ac:dyDescent="0.45">
      <c r="A681" t="s">
        <v>89</v>
      </c>
      <c r="B681" t="s">
        <v>6</v>
      </c>
      <c r="C681" t="s">
        <v>83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0.28275</v>
      </c>
      <c r="K681" t="s">
        <v>28</v>
      </c>
    </row>
    <row r="682" spans="1:11" x14ac:dyDescent="0.45">
      <c r="A682" t="s">
        <v>89</v>
      </c>
      <c r="B682" t="s">
        <v>6</v>
      </c>
      <c r="C682" t="s">
        <v>83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0.27560000000000001</v>
      </c>
      <c r="K682" t="s">
        <v>28</v>
      </c>
    </row>
    <row r="683" spans="1:11" x14ac:dyDescent="0.45">
      <c r="A683" t="s">
        <v>89</v>
      </c>
      <c r="B683" t="s">
        <v>6</v>
      </c>
      <c r="C683" t="s">
        <v>83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0.26239999999999997</v>
      </c>
      <c r="K683" t="s">
        <v>28</v>
      </c>
    </row>
    <row r="684" spans="1:11" x14ac:dyDescent="0.45">
      <c r="A684" t="s">
        <v>89</v>
      </c>
      <c r="B684" t="s">
        <v>6</v>
      </c>
      <c r="C684" t="s">
        <v>83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0.29185</v>
      </c>
      <c r="K684" t="s">
        <v>28</v>
      </c>
    </row>
    <row r="685" spans="1:11" x14ac:dyDescent="0.45">
      <c r="A685" t="s">
        <v>89</v>
      </c>
      <c r="B685" t="s">
        <v>6</v>
      </c>
      <c r="C685" t="s">
        <v>83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0.30790000000000001</v>
      </c>
      <c r="K685" t="s">
        <v>28</v>
      </c>
    </row>
    <row r="686" spans="1:11" x14ac:dyDescent="0.45">
      <c r="A686" t="s">
        <v>89</v>
      </c>
      <c r="B686" t="s">
        <v>6</v>
      </c>
      <c r="C686" t="s">
        <v>83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0.32655000000000001</v>
      </c>
      <c r="K686" t="s">
        <v>28</v>
      </c>
    </row>
    <row r="687" spans="1:11" x14ac:dyDescent="0.45">
      <c r="A687" t="s">
        <v>89</v>
      </c>
      <c r="B687" t="s">
        <v>6</v>
      </c>
      <c r="C687" t="s">
        <v>83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0.33489999999999998</v>
      </c>
      <c r="K687" t="s">
        <v>28</v>
      </c>
    </row>
    <row r="688" spans="1:11" x14ac:dyDescent="0.45">
      <c r="A688" t="s">
        <v>89</v>
      </c>
      <c r="B688" t="s">
        <v>6</v>
      </c>
      <c r="C688" t="s">
        <v>83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0.34394999999999998</v>
      </c>
      <c r="K688" t="s">
        <v>28</v>
      </c>
    </row>
    <row r="689" spans="1:11" x14ac:dyDescent="0.45">
      <c r="A689" t="s">
        <v>89</v>
      </c>
      <c r="B689" t="s">
        <v>6</v>
      </c>
      <c r="C689" t="s">
        <v>83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0.34460000000000002</v>
      </c>
      <c r="K689" t="s">
        <v>28</v>
      </c>
    </row>
    <row r="690" spans="1:11" x14ac:dyDescent="0.45">
      <c r="A690" t="s">
        <v>89</v>
      </c>
      <c r="B690" t="s">
        <v>6</v>
      </c>
      <c r="C690" t="s">
        <v>83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0.34925</v>
      </c>
      <c r="K690" t="s">
        <v>28</v>
      </c>
    </row>
    <row r="691" spans="1:11" x14ac:dyDescent="0.45">
      <c r="A691" t="s">
        <v>89</v>
      </c>
      <c r="B691" t="s">
        <v>6</v>
      </c>
      <c r="C691" t="s">
        <v>83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0.35450000000000004</v>
      </c>
      <c r="K691" t="s">
        <v>28</v>
      </c>
    </row>
    <row r="692" spans="1:11" x14ac:dyDescent="0.45">
      <c r="A692" t="s">
        <v>89</v>
      </c>
      <c r="B692" t="s">
        <v>6</v>
      </c>
      <c r="C692" t="s">
        <v>83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0.36160000000000003</v>
      </c>
      <c r="K692" t="s">
        <v>28</v>
      </c>
    </row>
    <row r="693" spans="1:11" x14ac:dyDescent="0.45">
      <c r="A693" t="s">
        <v>89</v>
      </c>
      <c r="B693" t="s">
        <v>5</v>
      </c>
      <c r="C693" t="s">
        <v>83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9.6150000000000013E-2</v>
      </c>
      <c r="K693" t="s">
        <v>28</v>
      </c>
    </row>
    <row r="694" spans="1:11" x14ac:dyDescent="0.45">
      <c r="A694" t="s">
        <v>89</v>
      </c>
      <c r="B694" t="s">
        <v>5</v>
      </c>
      <c r="C694" t="s">
        <v>83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0.1232</v>
      </c>
      <c r="K694" t="s">
        <v>28</v>
      </c>
    </row>
    <row r="695" spans="1:11" x14ac:dyDescent="0.45">
      <c r="A695" t="s">
        <v>89</v>
      </c>
      <c r="B695" t="s">
        <v>5</v>
      </c>
      <c r="C695" t="s">
        <v>83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0.19035000000000002</v>
      </c>
      <c r="K695" t="s">
        <v>28</v>
      </c>
    </row>
    <row r="696" spans="1:11" x14ac:dyDescent="0.45">
      <c r="A696" t="s">
        <v>89</v>
      </c>
      <c r="B696" t="s">
        <v>5</v>
      </c>
      <c r="C696" t="s">
        <v>83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0.23804999999999998</v>
      </c>
      <c r="K696" t="s">
        <v>28</v>
      </c>
    </row>
    <row r="697" spans="1:11" x14ac:dyDescent="0.45">
      <c r="A697" t="s">
        <v>89</v>
      </c>
      <c r="B697" t="s">
        <v>5</v>
      </c>
      <c r="C697" t="s">
        <v>83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0.26440000000000002</v>
      </c>
      <c r="K697" t="s">
        <v>28</v>
      </c>
    </row>
    <row r="698" spans="1:11" x14ac:dyDescent="0.45">
      <c r="A698" t="s">
        <v>89</v>
      </c>
      <c r="B698" t="s">
        <v>5</v>
      </c>
      <c r="C698" t="s">
        <v>83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0.28090000000000004</v>
      </c>
      <c r="K698" t="s">
        <v>28</v>
      </c>
    </row>
    <row r="699" spans="1:11" x14ac:dyDescent="0.45">
      <c r="A699" t="s">
        <v>89</v>
      </c>
      <c r="B699" t="s">
        <v>5</v>
      </c>
      <c r="C699" t="s">
        <v>83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0.30120000000000002</v>
      </c>
      <c r="K699" t="s">
        <v>28</v>
      </c>
    </row>
    <row r="700" spans="1:11" x14ac:dyDescent="0.45">
      <c r="A700" t="s">
        <v>89</v>
      </c>
      <c r="B700" t="s">
        <v>5</v>
      </c>
      <c r="C700" t="s">
        <v>83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0.29064999999999996</v>
      </c>
      <c r="K700" t="s">
        <v>28</v>
      </c>
    </row>
    <row r="701" spans="1:11" x14ac:dyDescent="0.45">
      <c r="A701" t="s">
        <v>89</v>
      </c>
      <c r="B701" t="s">
        <v>5</v>
      </c>
      <c r="C701" t="s">
        <v>83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0.30254999999999999</v>
      </c>
      <c r="K701" t="s">
        <v>28</v>
      </c>
    </row>
    <row r="702" spans="1:11" x14ac:dyDescent="0.45">
      <c r="A702" t="s">
        <v>89</v>
      </c>
      <c r="B702" t="s">
        <v>5</v>
      </c>
      <c r="C702" t="s">
        <v>83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0.29365000000000002</v>
      </c>
      <c r="K702" t="s">
        <v>28</v>
      </c>
    </row>
    <row r="703" spans="1:11" x14ac:dyDescent="0.45">
      <c r="A703" t="s">
        <v>89</v>
      </c>
      <c r="B703" t="s">
        <v>5</v>
      </c>
      <c r="C703" t="s">
        <v>83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0.29044999999999999</v>
      </c>
      <c r="K703" t="s">
        <v>28</v>
      </c>
    </row>
    <row r="704" spans="1:11" x14ac:dyDescent="0.45">
      <c r="A704" t="s">
        <v>89</v>
      </c>
      <c r="B704" t="s">
        <v>5</v>
      </c>
      <c r="C704" t="s">
        <v>83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0.30159999999999998</v>
      </c>
      <c r="K704" t="s">
        <v>28</v>
      </c>
    </row>
    <row r="705" spans="1:11" x14ac:dyDescent="0.45">
      <c r="A705" t="s">
        <v>89</v>
      </c>
      <c r="B705" t="s">
        <v>5</v>
      </c>
      <c r="C705" t="s">
        <v>83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0.31294999999999995</v>
      </c>
      <c r="K705" t="s">
        <v>28</v>
      </c>
    </row>
    <row r="706" spans="1:11" x14ac:dyDescent="0.45">
      <c r="A706" t="s">
        <v>89</v>
      </c>
      <c r="B706" t="s">
        <v>5</v>
      </c>
      <c r="C706" t="s">
        <v>83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0.32105</v>
      </c>
      <c r="K706" t="s">
        <v>28</v>
      </c>
    </row>
    <row r="707" spans="1:11" x14ac:dyDescent="0.45">
      <c r="A707" t="s">
        <v>89</v>
      </c>
      <c r="B707" t="s">
        <v>5</v>
      </c>
      <c r="C707" t="s">
        <v>83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0.33734999999999998</v>
      </c>
      <c r="K707" t="s">
        <v>28</v>
      </c>
    </row>
    <row r="708" spans="1:11" x14ac:dyDescent="0.45">
      <c r="A708" t="s">
        <v>89</v>
      </c>
      <c r="B708" t="s">
        <v>5</v>
      </c>
      <c r="C708" t="s">
        <v>83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0.3422</v>
      </c>
      <c r="K708" t="s">
        <v>28</v>
      </c>
    </row>
    <row r="709" spans="1:11" x14ac:dyDescent="0.45">
      <c r="A709" t="s">
        <v>89</v>
      </c>
      <c r="B709" t="s">
        <v>5</v>
      </c>
      <c r="C709" t="s">
        <v>83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0.34684999999999999</v>
      </c>
      <c r="K709" t="s">
        <v>28</v>
      </c>
    </row>
    <row r="710" spans="1:11" x14ac:dyDescent="0.45">
      <c r="A710" t="s">
        <v>89</v>
      </c>
      <c r="B710" t="s">
        <v>2</v>
      </c>
      <c r="C710" t="s">
        <v>83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9.5299999999999996E-2</v>
      </c>
      <c r="K710" t="s">
        <v>28</v>
      </c>
    </row>
    <row r="711" spans="1:11" x14ac:dyDescent="0.45">
      <c r="A711" t="s">
        <v>89</v>
      </c>
      <c r="B711" t="s">
        <v>2</v>
      </c>
      <c r="C711" t="s">
        <v>83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0.11509999999999999</v>
      </c>
      <c r="K711" t="s">
        <v>28</v>
      </c>
    </row>
    <row r="712" spans="1:11" x14ac:dyDescent="0.45">
      <c r="A712" t="s">
        <v>89</v>
      </c>
      <c r="B712" t="s">
        <v>2</v>
      </c>
      <c r="C712" t="s">
        <v>83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0.14130000000000001</v>
      </c>
      <c r="K712" t="s">
        <v>28</v>
      </c>
    </row>
    <row r="713" spans="1:11" x14ac:dyDescent="0.45">
      <c r="A713" t="s">
        <v>89</v>
      </c>
      <c r="B713" t="s">
        <v>2</v>
      </c>
      <c r="C713" t="s">
        <v>83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0.17745</v>
      </c>
      <c r="K713" t="s">
        <v>28</v>
      </c>
    </row>
    <row r="714" spans="1:11" x14ac:dyDescent="0.45">
      <c r="A714" t="s">
        <v>89</v>
      </c>
      <c r="B714" t="s">
        <v>2</v>
      </c>
      <c r="C714" t="s">
        <v>83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0.21365000000000001</v>
      </c>
      <c r="K714" t="s">
        <v>28</v>
      </c>
    </row>
    <row r="715" spans="1:11" x14ac:dyDescent="0.45">
      <c r="A715" t="s">
        <v>89</v>
      </c>
      <c r="B715" t="s">
        <v>2</v>
      </c>
      <c r="C715" t="s">
        <v>83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0.23925000000000002</v>
      </c>
      <c r="K715" t="s">
        <v>28</v>
      </c>
    </row>
    <row r="716" spans="1:11" x14ac:dyDescent="0.45">
      <c r="A716" t="s">
        <v>89</v>
      </c>
      <c r="B716" t="s">
        <v>2</v>
      </c>
      <c r="C716" t="s">
        <v>83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0.26390000000000002</v>
      </c>
      <c r="K716" t="s">
        <v>28</v>
      </c>
    </row>
    <row r="717" spans="1:11" x14ac:dyDescent="0.45">
      <c r="A717" t="s">
        <v>89</v>
      </c>
      <c r="B717" t="s">
        <v>2</v>
      </c>
      <c r="C717" t="s">
        <v>83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0.28165000000000001</v>
      </c>
      <c r="K717" t="s">
        <v>28</v>
      </c>
    </row>
    <row r="718" spans="1:11" x14ac:dyDescent="0.45">
      <c r="A718" t="s">
        <v>89</v>
      </c>
      <c r="B718" t="s">
        <v>2</v>
      </c>
      <c r="C718" t="s">
        <v>83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0.30590000000000001</v>
      </c>
      <c r="K718" t="s">
        <v>28</v>
      </c>
    </row>
    <row r="719" spans="1:11" x14ac:dyDescent="0.45">
      <c r="A719" t="s">
        <v>89</v>
      </c>
      <c r="B719" t="s">
        <v>2</v>
      </c>
      <c r="C719" t="s">
        <v>83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0.31004999999999999</v>
      </c>
      <c r="K719" t="s">
        <v>28</v>
      </c>
    </row>
    <row r="720" spans="1:11" x14ac:dyDescent="0.45">
      <c r="A720" t="s">
        <v>89</v>
      </c>
      <c r="B720" t="s">
        <v>2</v>
      </c>
      <c r="C720" t="s">
        <v>83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0.30905000000000005</v>
      </c>
      <c r="K720" t="s">
        <v>28</v>
      </c>
    </row>
    <row r="721" spans="1:11" x14ac:dyDescent="0.45">
      <c r="A721" t="s">
        <v>89</v>
      </c>
      <c r="B721" t="s">
        <v>2</v>
      </c>
      <c r="C721" t="s">
        <v>83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0.3256</v>
      </c>
      <c r="K721" t="s">
        <v>28</v>
      </c>
    </row>
    <row r="722" spans="1:11" x14ac:dyDescent="0.45">
      <c r="A722" t="s">
        <v>89</v>
      </c>
      <c r="B722" t="s">
        <v>2</v>
      </c>
      <c r="C722" t="s">
        <v>83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0.3422</v>
      </c>
      <c r="K722" t="s">
        <v>28</v>
      </c>
    </row>
    <row r="723" spans="1:11" x14ac:dyDescent="0.45">
      <c r="A723" t="s">
        <v>89</v>
      </c>
      <c r="B723" t="s">
        <v>2</v>
      </c>
      <c r="C723" t="s">
        <v>83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0.34245000000000003</v>
      </c>
      <c r="K723" t="s">
        <v>28</v>
      </c>
    </row>
    <row r="724" spans="1:11" x14ac:dyDescent="0.45">
      <c r="A724" t="s">
        <v>89</v>
      </c>
      <c r="B724" t="s">
        <v>2</v>
      </c>
      <c r="C724" t="s">
        <v>83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0.34989999999999999</v>
      </c>
      <c r="K724" t="s">
        <v>28</v>
      </c>
    </row>
    <row r="725" spans="1:11" x14ac:dyDescent="0.45">
      <c r="A725" t="s">
        <v>89</v>
      </c>
      <c r="B725" t="s">
        <v>2</v>
      </c>
      <c r="C725" t="s">
        <v>83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0.35475000000000001</v>
      </c>
      <c r="K725" t="s">
        <v>28</v>
      </c>
    </row>
    <row r="726" spans="1:11" x14ac:dyDescent="0.45">
      <c r="A726" t="s">
        <v>89</v>
      </c>
      <c r="B726" t="s">
        <v>2</v>
      </c>
      <c r="C726" t="s">
        <v>83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0.36009999999999998</v>
      </c>
      <c r="K726" t="s">
        <v>28</v>
      </c>
    </row>
    <row r="727" spans="1:11" x14ac:dyDescent="0.45">
      <c r="A727" t="s">
        <v>89</v>
      </c>
      <c r="B727" t="s">
        <v>1</v>
      </c>
      <c r="C727" t="s">
        <v>83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9.4799999999999995E-2</v>
      </c>
      <c r="K727" t="s">
        <v>28</v>
      </c>
    </row>
    <row r="728" spans="1:11" x14ac:dyDescent="0.45">
      <c r="A728" t="s">
        <v>89</v>
      </c>
      <c r="B728" t="s">
        <v>1</v>
      </c>
      <c r="C728" t="s">
        <v>83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0.11524999999999999</v>
      </c>
      <c r="K728" t="s">
        <v>28</v>
      </c>
    </row>
    <row r="729" spans="1:11" x14ac:dyDescent="0.45">
      <c r="A729" t="s">
        <v>89</v>
      </c>
      <c r="B729" t="s">
        <v>1</v>
      </c>
      <c r="C729" t="s">
        <v>83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0.15970000000000001</v>
      </c>
      <c r="K729" t="s">
        <v>28</v>
      </c>
    </row>
    <row r="730" spans="1:11" x14ac:dyDescent="0.45">
      <c r="A730" t="s">
        <v>89</v>
      </c>
      <c r="B730" t="s">
        <v>1</v>
      </c>
      <c r="C730" t="s">
        <v>83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0.19370000000000001</v>
      </c>
      <c r="K730" t="s">
        <v>28</v>
      </c>
    </row>
    <row r="731" spans="1:11" x14ac:dyDescent="0.45">
      <c r="A731" t="s">
        <v>89</v>
      </c>
      <c r="B731" t="s">
        <v>1</v>
      </c>
      <c r="C731" t="s">
        <v>83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0.2467</v>
      </c>
      <c r="K731" t="s">
        <v>28</v>
      </c>
    </row>
    <row r="732" spans="1:11" x14ac:dyDescent="0.45">
      <c r="A732" t="s">
        <v>89</v>
      </c>
      <c r="B732" t="s">
        <v>1</v>
      </c>
      <c r="C732" t="s">
        <v>83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0.26905000000000001</v>
      </c>
      <c r="K732" t="s">
        <v>28</v>
      </c>
    </row>
    <row r="733" spans="1:11" x14ac:dyDescent="0.45">
      <c r="A733" t="s">
        <v>89</v>
      </c>
      <c r="B733" t="s">
        <v>1</v>
      </c>
      <c r="C733" t="s">
        <v>83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0.29000000000000004</v>
      </c>
      <c r="K733" t="s">
        <v>28</v>
      </c>
    </row>
    <row r="734" spans="1:11" x14ac:dyDescent="0.45">
      <c r="A734" t="s">
        <v>89</v>
      </c>
      <c r="B734" t="s">
        <v>1</v>
      </c>
      <c r="C734" t="s">
        <v>83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0.28385000000000005</v>
      </c>
      <c r="K734" t="s">
        <v>28</v>
      </c>
    </row>
    <row r="735" spans="1:11" x14ac:dyDescent="0.45">
      <c r="A735" t="s">
        <v>89</v>
      </c>
      <c r="B735" t="s">
        <v>1</v>
      </c>
      <c r="C735" t="s">
        <v>83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0.30425000000000002</v>
      </c>
      <c r="K735" t="s">
        <v>28</v>
      </c>
    </row>
    <row r="736" spans="1:11" x14ac:dyDescent="0.45">
      <c r="A736" t="s">
        <v>89</v>
      </c>
      <c r="B736" t="s">
        <v>1</v>
      </c>
      <c r="C736" t="s">
        <v>83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0.313</v>
      </c>
      <c r="K736" t="s">
        <v>28</v>
      </c>
    </row>
    <row r="737" spans="1:11" x14ac:dyDescent="0.45">
      <c r="A737" t="s">
        <v>89</v>
      </c>
      <c r="B737" t="s">
        <v>1</v>
      </c>
      <c r="C737" t="s">
        <v>83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0.32250000000000001</v>
      </c>
      <c r="K737" t="s">
        <v>28</v>
      </c>
    </row>
    <row r="738" spans="1:11" x14ac:dyDescent="0.45">
      <c r="A738" t="s">
        <v>89</v>
      </c>
      <c r="B738" t="s">
        <v>1</v>
      </c>
      <c r="C738" t="s">
        <v>83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0.33609999999999995</v>
      </c>
      <c r="K738" t="s">
        <v>28</v>
      </c>
    </row>
    <row r="739" spans="1:11" x14ac:dyDescent="0.45">
      <c r="A739" t="s">
        <v>89</v>
      </c>
      <c r="B739" t="s">
        <v>1</v>
      </c>
      <c r="C739" t="s">
        <v>83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0.34994999999999998</v>
      </c>
      <c r="K739" t="s">
        <v>28</v>
      </c>
    </row>
    <row r="740" spans="1:11" x14ac:dyDescent="0.45">
      <c r="A740" t="s">
        <v>89</v>
      </c>
      <c r="B740" t="s">
        <v>1</v>
      </c>
      <c r="C740" t="s">
        <v>83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0.34945000000000004</v>
      </c>
      <c r="K740" t="s">
        <v>28</v>
      </c>
    </row>
    <row r="741" spans="1:11" x14ac:dyDescent="0.45">
      <c r="A741" t="s">
        <v>89</v>
      </c>
      <c r="B741" t="s">
        <v>1</v>
      </c>
      <c r="C741" t="s">
        <v>83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0.35175000000000001</v>
      </c>
      <c r="K741" t="s">
        <v>28</v>
      </c>
    </row>
    <row r="742" spans="1:11" x14ac:dyDescent="0.45">
      <c r="A742" t="s">
        <v>89</v>
      </c>
      <c r="B742" t="s">
        <v>1</v>
      </c>
      <c r="C742" t="s">
        <v>83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0.35724999999999996</v>
      </c>
      <c r="K742" t="s">
        <v>28</v>
      </c>
    </row>
    <row r="743" spans="1:11" x14ac:dyDescent="0.45">
      <c r="A743" t="s">
        <v>89</v>
      </c>
      <c r="B743" t="s">
        <v>1</v>
      </c>
      <c r="C743" t="s">
        <v>83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0.36395</v>
      </c>
      <c r="K743" t="s">
        <v>28</v>
      </c>
    </row>
    <row r="744" spans="1:11" x14ac:dyDescent="0.45">
      <c r="A744" t="s">
        <v>89</v>
      </c>
      <c r="B744" t="s">
        <v>3</v>
      </c>
      <c r="C744" t="s">
        <v>83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1.0699999999999999E-2</v>
      </c>
      <c r="K744" t="s">
        <v>27</v>
      </c>
    </row>
    <row r="745" spans="1:11" x14ac:dyDescent="0.45">
      <c r="A745" t="s">
        <v>89</v>
      </c>
      <c r="B745" t="s">
        <v>3</v>
      </c>
      <c r="C745" t="s">
        <v>83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1.7849999999999998E-2</v>
      </c>
      <c r="K745" t="s">
        <v>27</v>
      </c>
    </row>
    <row r="746" spans="1:11" x14ac:dyDescent="0.45">
      <c r="A746" t="s">
        <v>89</v>
      </c>
      <c r="B746" t="s">
        <v>3</v>
      </c>
      <c r="C746" t="s">
        <v>83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3.73E-2</v>
      </c>
      <c r="K746" t="s">
        <v>27</v>
      </c>
    </row>
    <row r="747" spans="1:11" x14ac:dyDescent="0.45">
      <c r="A747" t="s">
        <v>89</v>
      </c>
      <c r="B747" t="s">
        <v>3</v>
      </c>
      <c r="C747" t="s">
        <v>83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7.1899999999999992E-2</v>
      </c>
      <c r="K747" t="s">
        <v>27</v>
      </c>
    </row>
    <row r="748" spans="1:11" x14ac:dyDescent="0.45">
      <c r="A748" t="s">
        <v>89</v>
      </c>
      <c r="B748" t="s">
        <v>3</v>
      </c>
      <c r="C748" t="s">
        <v>83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0.12959999999999999</v>
      </c>
      <c r="K748" t="s">
        <v>27</v>
      </c>
    </row>
    <row r="749" spans="1:11" x14ac:dyDescent="0.45">
      <c r="A749" t="s">
        <v>89</v>
      </c>
      <c r="B749" t="s">
        <v>3</v>
      </c>
      <c r="C749" t="s">
        <v>83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0.13935</v>
      </c>
      <c r="K749" t="s">
        <v>27</v>
      </c>
    </row>
    <row r="750" spans="1:11" x14ac:dyDescent="0.45">
      <c r="A750" t="s">
        <v>89</v>
      </c>
      <c r="B750" t="s">
        <v>3</v>
      </c>
      <c r="C750" t="s">
        <v>83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0.13700000000000001</v>
      </c>
      <c r="K750" t="s">
        <v>27</v>
      </c>
    </row>
    <row r="751" spans="1:11" x14ac:dyDescent="0.45">
      <c r="A751" t="s">
        <v>89</v>
      </c>
      <c r="B751" t="s">
        <v>3</v>
      </c>
      <c r="C751" t="s">
        <v>83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0.1358</v>
      </c>
      <c r="K751" t="s">
        <v>27</v>
      </c>
    </row>
    <row r="752" spans="1:11" x14ac:dyDescent="0.45">
      <c r="A752" t="s">
        <v>89</v>
      </c>
      <c r="B752" t="s">
        <v>3</v>
      </c>
      <c r="C752" t="s">
        <v>83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0.13295000000000001</v>
      </c>
      <c r="K752" t="s">
        <v>27</v>
      </c>
    </row>
    <row r="753" spans="1:11" x14ac:dyDescent="0.45">
      <c r="A753" t="s">
        <v>89</v>
      </c>
      <c r="B753" t="s">
        <v>3</v>
      </c>
      <c r="C753" t="s">
        <v>83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0.13085000000000002</v>
      </c>
      <c r="K753" t="s">
        <v>27</v>
      </c>
    </row>
    <row r="754" spans="1:11" x14ac:dyDescent="0.45">
      <c r="A754" t="s">
        <v>89</v>
      </c>
      <c r="B754" t="s">
        <v>3</v>
      </c>
      <c r="C754" t="s">
        <v>83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0.12909999999999999</v>
      </c>
      <c r="K754" t="s">
        <v>27</v>
      </c>
    </row>
    <row r="755" spans="1:11" x14ac:dyDescent="0.45">
      <c r="A755" t="s">
        <v>89</v>
      </c>
      <c r="B755" t="s">
        <v>3</v>
      </c>
      <c r="C755" t="s">
        <v>83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0.12484999999999999</v>
      </c>
      <c r="K755" t="s">
        <v>27</v>
      </c>
    </row>
    <row r="756" spans="1:11" x14ac:dyDescent="0.45">
      <c r="A756" t="s">
        <v>89</v>
      </c>
      <c r="B756" t="s">
        <v>3</v>
      </c>
      <c r="C756" t="s">
        <v>83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0.12204999999999999</v>
      </c>
      <c r="K756" t="s">
        <v>27</v>
      </c>
    </row>
    <row r="757" spans="1:11" x14ac:dyDescent="0.45">
      <c r="A757" t="s">
        <v>89</v>
      </c>
      <c r="B757" t="s">
        <v>3</v>
      </c>
      <c r="C757" t="s">
        <v>83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0.11935</v>
      </c>
      <c r="K757" t="s">
        <v>27</v>
      </c>
    </row>
    <row r="758" spans="1:11" x14ac:dyDescent="0.45">
      <c r="A758" t="s">
        <v>89</v>
      </c>
      <c r="B758" t="s">
        <v>3</v>
      </c>
      <c r="C758" t="s">
        <v>83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0.1179</v>
      </c>
      <c r="K758" t="s">
        <v>27</v>
      </c>
    </row>
    <row r="759" spans="1:11" x14ac:dyDescent="0.45">
      <c r="A759" t="s">
        <v>89</v>
      </c>
      <c r="B759" t="s">
        <v>3</v>
      </c>
      <c r="C759" t="s">
        <v>83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0.11745</v>
      </c>
      <c r="K759" t="s">
        <v>27</v>
      </c>
    </row>
    <row r="760" spans="1:11" x14ac:dyDescent="0.45">
      <c r="A760" t="s">
        <v>89</v>
      </c>
      <c r="B760" t="s">
        <v>3</v>
      </c>
      <c r="C760" t="s">
        <v>83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0.1183</v>
      </c>
      <c r="K760" t="s">
        <v>27</v>
      </c>
    </row>
    <row r="761" spans="1:11" x14ac:dyDescent="0.45">
      <c r="A761" t="s">
        <v>89</v>
      </c>
      <c r="B761" t="s">
        <v>4</v>
      </c>
      <c r="C761" t="s">
        <v>83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1.0999999999999999E-2</v>
      </c>
      <c r="K761" t="s">
        <v>27</v>
      </c>
    </row>
    <row r="762" spans="1:11" x14ac:dyDescent="0.45">
      <c r="A762" t="s">
        <v>89</v>
      </c>
      <c r="B762" t="s">
        <v>4</v>
      </c>
      <c r="C762" t="s">
        <v>83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1.8200000000000001E-2</v>
      </c>
      <c r="K762" t="s">
        <v>27</v>
      </c>
    </row>
    <row r="763" spans="1:11" x14ac:dyDescent="0.45">
      <c r="A763" t="s">
        <v>89</v>
      </c>
      <c r="B763" t="s">
        <v>4</v>
      </c>
      <c r="C763" t="s">
        <v>83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3.4200000000000001E-2</v>
      </c>
      <c r="K763" t="s">
        <v>27</v>
      </c>
    </row>
    <row r="764" spans="1:11" x14ac:dyDescent="0.45">
      <c r="A764" t="s">
        <v>89</v>
      </c>
      <c r="B764" t="s">
        <v>4</v>
      </c>
      <c r="C764" t="s">
        <v>83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6.1399999999999996E-2</v>
      </c>
      <c r="K764" t="s">
        <v>27</v>
      </c>
    </row>
    <row r="765" spans="1:11" x14ac:dyDescent="0.45">
      <c r="A765" t="s">
        <v>89</v>
      </c>
      <c r="B765" t="s">
        <v>4</v>
      </c>
      <c r="C765" t="s">
        <v>83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0.1011</v>
      </c>
      <c r="K765" t="s">
        <v>27</v>
      </c>
    </row>
    <row r="766" spans="1:11" x14ac:dyDescent="0.45">
      <c r="A766" t="s">
        <v>89</v>
      </c>
      <c r="B766" t="s">
        <v>4</v>
      </c>
      <c r="C766" t="s">
        <v>83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0.11210000000000001</v>
      </c>
      <c r="K766" t="s">
        <v>27</v>
      </c>
    </row>
    <row r="767" spans="1:11" x14ac:dyDescent="0.45">
      <c r="A767" t="s">
        <v>89</v>
      </c>
      <c r="B767" t="s">
        <v>4</v>
      </c>
      <c r="C767" t="s">
        <v>83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0.1133</v>
      </c>
      <c r="K767" t="s">
        <v>27</v>
      </c>
    </row>
    <row r="768" spans="1:11" x14ac:dyDescent="0.45">
      <c r="A768" t="s">
        <v>89</v>
      </c>
      <c r="B768" t="s">
        <v>4</v>
      </c>
      <c r="C768" t="s">
        <v>83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0.1152</v>
      </c>
      <c r="K768" t="s">
        <v>27</v>
      </c>
    </row>
    <row r="769" spans="1:11" x14ac:dyDescent="0.45">
      <c r="A769" t="s">
        <v>89</v>
      </c>
      <c r="B769" t="s">
        <v>4</v>
      </c>
      <c r="C769" t="s">
        <v>83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0.11305</v>
      </c>
      <c r="K769" t="s">
        <v>27</v>
      </c>
    </row>
    <row r="770" spans="1:11" x14ac:dyDescent="0.45">
      <c r="A770" t="s">
        <v>89</v>
      </c>
      <c r="B770" t="s">
        <v>4</v>
      </c>
      <c r="C770" t="s">
        <v>83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0.10919999999999999</v>
      </c>
      <c r="K770" t="s">
        <v>27</v>
      </c>
    </row>
    <row r="771" spans="1:11" x14ac:dyDescent="0.45">
      <c r="A771" t="s">
        <v>89</v>
      </c>
      <c r="B771" t="s">
        <v>4</v>
      </c>
      <c r="C771" t="s">
        <v>83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0.10589999999999999</v>
      </c>
      <c r="K771" t="s">
        <v>27</v>
      </c>
    </row>
    <row r="772" spans="1:11" x14ac:dyDescent="0.45">
      <c r="A772" t="s">
        <v>89</v>
      </c>
      <c r="B772" t="s">
        <v>4</v>
      </c>
      <c r="C772" t="s">
        <v>83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0.10450000000000001</v>
      </c>
      <c r="K772" t="s">
        <v>27</v>
      </c>
    </row>
    <row r="773" spans="1:11" x14ac:dyDescent="0.45">
      <c r="A773" t="s">
        <v>89</v>
      </c>
      <c r="B773" t="s">
        <v>4</v>
      </c>
      <c r="C773" t="s">
        <v>83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0.10375000000000001</v>
      </c>
      <c r="K773" t="s">
        <v>27</v>
      </c>
    </row>
    <row r="774" spans="1:11" x14ac:dyDescent="0.45">
      <c r="A774" t="s">
        <v>89</v>
      </c>
      <c r="B774" t="s">
        <v>4</v>
      </c>
      <c r="C774" t="s">
        <v>83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0.1027</v>
      </c>
      <c r="K774" t="s">
        <v>27</v>
      </c>
    </row>
    <row r="775" spans="1:11" x14ac:dyDescent="0.45">
      <c r="A775" t="s">
        <v>89</v>
      </c>
      <c r="B775" t="s">
        <v>4</v>
      </c>
      <c r="C775" t="s">
        <v>83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0.10255</v>
      </c>
      <c r="K775" t="s">
        <v>27</v>
      </c>
    </row>
    <row r="776" spans="1:11" x14ac:dyDescent="0.45">
      <c r="A776" t="s">
        <v>89</v>
      </c>
      <c r="B776" t="s">
        <v>4</v>
      </c>
      <c r="C776" t="s">
        <v>83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0.10255</v>
      </c>
      <c r="K776" t="s">
        <v>27</v>
      </c>
    </row>
    <row r="777" spans="1:11" x14ac:dyDescent="0.45">
      <c r="A777" t="s">
        <v>89</v>
      </c>
      <c r="B777" t="s">
        <v>4</v>
      </c>
      <c r="C777" t="s">
        <v>83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0.10250000000000001</v>
      </c>
      <c r="K777" t="s">
        <v>27</v>
      </c>
    </row>
    <row r="778" spans="1:11" x14ac:dyDescent="0.45">
      <c r="A778" t="s">
        <v>89</v>
      </c>
      <c r="B778" t="s">
        <v>0</v>
      </c>
      <c r="C778" t="s">
        <v>83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1.06E-2</v>
      </c>
      <c r="K778" t="s">
        <v>27</v>
      </c>
    </row>
    <row r="779" spans="1:11" x14ac:dyDescent="0.45">
      <c r="A779" t="s">
        <v>89</v>
      </c>
      <c r="B779" t="s">
        <v>0</v>
      </c>
      <c r="C779" t="s">
        <v>83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1.7999999999999999E-2</v>
      </c>
      <c r="K779" t="s">
        <v>27</v>
      </c>
    </row>
    <row r="780" spans="1:11" x14ac:dyDescent="0.45">
      <c r="A780" t="s">
        <v>89</v>
      </c>
      <c r="B780" t="s">
        <v>0</v>
      </c>
      <c r="C780" t="s">
        <v>83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3.4049999999999997E-2</v>
      </c>
      <c r="K780" t="s">
        <v>27</v>
      </c>
    </row>
    <row r="781" spans="1:11" x14ac:dyDescent="0.45">
      <c r="A781" t="s">
        <v>89</v>
      </c>
      <c r="B781" t="s">
        <v>0</v>
      </c>
      <c r="C781" t="s">
        <v>83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5.9200000000000003E-2</v>
      </c>
      <c r="K781" t="s">
        <v>27</v>
      </c>
    </row>
    <row r="782" spans="1:11" x14ac:dyDescent="0.45">
      <c r="A782" t="s">
        <v>89</v>
      </c>
      <c r="B782" t="s">
        <v>0</v>
      </c>
      <c r="C782" t="s">
        <v>83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0.12734999999999999</v>
      </c>
      <c r="K782" t="s">
        <v>27</v>
      </c>
    </row>
    <row r="783" spans="1:11" x14ac:dyDescent="0.45">
      <c r="A783" t="s">
        <v>89</v>
      </c>
      <c r="B783" t="s">
        <v>0</v>
      </c>
      <c r="C783" t="s">
        <v>83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0.121</v>
      </c>
      <c r="K783" t="s">
        <v>27</v>
      </c>
    </row>
    <row r="784" spans="1:11" x14ac:dyDescent="0.45">
      <c r="A784" t="s">
        <v>89</v>
      </c>
      <c r="B784" t="s">
        <v>0</v>
      </c>
      <c r="C784" t="s">
        <v>83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0.12640000000000001</v>
      </c>
      <c r="K784" t="s">
        <v>27</v>
      </c>
    </row>
    <row r="785" spans="1:11" x14ac:dyDescent="0.45">
      <c r="A785" t="s">
        <v>89</v>
      </c>
      <c r="B785" t="s">
        <v>0</v>
      </c>
      <c r="C785" t="s">
        <v>83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0.12719999999999998</v>
      </c>
      <c r="K785" t="s">
        <v>27</v>
      </c>
    </row>
    <row r="786" spans="1:11" x14ac:dyDescent="0.45">
      <c r="A786" t="s">
        <v>89</v>
      </c>
      <c r="B786" t="s">
        <v>0</v>
      </c>
      <c r="C786" t="s">
        <v>83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0.12714999999999999</v>
      </c>
      <c r="K786" t="s">
        <v>27</v>
      </c>
    </row>
    <row r="787" spans="1:11" x14ac:dyDescent="0.45">
      <c r="A787" t="s">
        <v>89</v>
      </c>
      <c r="B787" t="s">
        <v>0</v>
      </c>
      <c r="C787" t="s">
        <v>83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0.12645000000000001</v>
      </c>
      <c r="K787" t="s">
        <v>27</v>
      </c>
    </row>
    <row r="788" spans="1:11" x14ac:dyDescent="0.45">
      <c r="A788" t="s">
        <v>89</v>
      </c>
      <c r="B788" t="s">
        <v>0</v>
      </c>
      <c r="C788" t="s">
        <v>83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0.12619999999999998</v>
      </c>
      <c r="K788" t="s">
        <v>27</v>
      </c>
    </row>
    <row r="789" spans="1:11" x14ac:dyDescent="0.45">
      <c r="A789" t="s">
        <v>89</v>
      </c>
      <c r="B789" t="s">
        <v>0</v>
      </c>
      <c r="C789" t="s">
        <v>83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0.12185</v>
      </c>
      <c r="K789" t="s">
        <v>27</v>
      </c>
    </row>
    <row r="790" spans="1:11" x14ac:dyDescent="0.45">
      <c r="A790" t="s">
        <v>89</v>
      </c>
      <c r="B790" t="s">
        <v>0</v>
      </c>
      <c r="C790" t="s">
        <v>83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0.11865000000000001</v>
      </c>
      <c r="K790" t="s">
        <v>27</v>
      </c>
    </row>
    <row r="791" spans="1:11" x14ac:dyDescent="0.45">
      <c r="A791" t="s">
        <v>89</v>
      </c>
      <c r="B791" t="s">
        <v>0</v>
      </c>
      <c r="C791" t="s">
        <v>83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0.11485000000000001</v>
      </c>
      <c r="K791" t="s">
        <v>27</v>
      </c>
    </row>
    <row r="792" spans="1:11" x14ac:dyDescent="0.45">
      <c r="A792" t="s">
        <v>89</v>
      </c>
      <c r="B792" t="s">
        <v>0</v>
      </c>
      <c r="C792" t="s">
        <v>83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0.11294999999999999</v>
      </c>
      <c r="K792" t="s">
        <v>27</v>
      </c>
    </row>
    <row r="793" spans="1:11" x14ac:dyDescent="0.45">
      <c r="A793" t="s">
        <v>89</v>
      </c>
      <c r="B793" t="s">
        <v>0</v>
      </c>
      <c r="C793" t="s">
        <v>83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0.11219999999999999</v>
      </c>
      <c r="K793" t="s">
        <v>27</v>
      </c>
    </row>
    <row r="794" spans="1:11" x14ac:dyDescent="0.45">
      <c r="A794" t="s">
        <v>89</v>
      </c>
      <c r="B794" t="s">
        <v>0</v>
      </c>
      <c r="C794" t="s">
        <v>83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0.11215</v>
      </c>
      <c r="K794" t="s">
        <v>27</v>
      </c>
    </row>
    <row r="795" spans="1:11" x14ac:dyDescent="0.45">
      <c r="A795" t="s">
        <v>89</v>
      </c>
      <c r="B795" t="s">
        <v>6</v>
      </c>
      <c r="C795" t="s">
        <v>83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1.0699999999999999E-2</v>
      </c>
      <c r="K795" t="s">
        <v>27</v>
      </c>
    </row>
    <row r="796" spans="1:11" x14ac:dyDescent="0.45">
      <c r="A796" t="s">
        <v>89</v>
      </c>
      <c r="B796" t="s">
        <v>6</v>
      </c>
      <c r="C796" t="s">
        <v>83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1.7899999999999999E-2</v>
      </c>
      <c r="K796" t="s">
        <v>27</v>
      </c>
    </row>
    <row r="797" spans="1:11" x14ac:dyDescent="0.45">
      <c r="A797" t="s">
        <v>89</v>
      </c>
      <c r="B797" t="s">
        <v>6</v>
      </c>
      <c r="C797" t="s">
        <v>83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3.44E-2</v>
      </c>
      <c r="K797" t="s">
        <v>27</v>
      </c>
    </row>
    <row r="798" spans="1:11" x14ac:dyDescent="0.45">
      <c r="A798" t="s">
        <v>89</v>
      </c>
      <c r="B798" t="s">
        <v>6</v>
      </c>
      <c r="C798" t="s">
        <v>83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6.1350000000000002E-2</v>
      </c>
      <c r="K798" t="s">
        <v>27</v>
      </c>
    </row>
    <row r="799" spans="1:11" x14ac:dyDescent="0.45">
      <c r="A799" t="s">
        <v>89</v>
      </c>
      <c r="B799" t="s">
        <v>6</v>
      </c>
      <c r="C799" t="s">
        <v>83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0.1084</v>
      </c>
      <c r="K799" t="s">
        <v>27</v>
      </c>
    </row>
    <row r="800" spans="1:11" x14ac:dyDescent="0.45">
      <c r="A800" t="s">
        <v>89</v>
      </c>
      <c r="B800" t="s">
        <v>6</v>
      </c>
      <c r="C800" t="s">
        <v>83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0.1394</v>
      </c>
      <c r="K800" t="s">
        <v>27</v>
      </c>
    </row>
    <row r="801" spans="1:11" x14ac:dyDescent="0.45">
      <c r="A801" t="s">
        <v>89</v>
      </c>
      <c r="B801" t="s">
        <v>6</v>
      </c>
      <c r="C801" t="s">
        <v>83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0.13245000000000001</v>
      </c>
      <c r="K801" t="s">
        <v>27</v>
      </c>
    </row>
    <row r="802" spans="1:11" x14ac:dyDescent="0.45">
      <c r="A802" t="s">
        <v>89</v>
      </c>
      <c r="B802" t="s">
        <v>6</v>
      </c>
      <c r="C802" t="s">
        <v>83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0.1235</v>
      </c>
      <c r="K802" t="s">
        <v>27</v>
      </c>
    </row>
    <row r="803" spans="1:11" x14ac:dyDescent="0.45">
      <c r="A803" t="s">
        <v>89</v>
      </c>
      <c r="B803" t="s">
        <v>6</v>
      </c>
      <c r="C803" t="s">
        <v>83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0.12425</v>
      </c>
      <c r="K803" t="s">
        <v>27</v>
      </c>
    </row>
    <row r="804" spans="1:11" x14ac:dyDescent="0.45">
      <c r="A804" t="s">
        <v>89</v>
      </c>
      <c r="B804" t="s">
        <v>6</v>
      </c>
      <c r="C804" t="s">
        <v>83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0.12395</v>
      </c>
      <c r="K804" t="s">
        <v>27</v>
      </c>
    </row>
    <row r="805" spans="1:11" x14ac:dyDescent="0.45">
      <c r="A805" t="s">
        <v>89</v>
      </c>
      <c r="B805" t="s">
        <v>6</v>
      </c>
      <c r="C805" t="s">
        <v>83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0.12304999999999999</v>
      </c>
      <c r="K805" t="s">
        <v>27</v>
      </c>
    </row>
    <row r="806" spans="1:11" x14ac:dyDescent="0.45">
      <c r="A806" t="s">
        <v>89</v>
      </c>
      <c r="B806" t="s">
        <v>6</v>
      </c>
      <c r="C806" t="s">
        <v>83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0.11935</v>
      </c>
      <c r="K806" t="s">
        <v>27</v>
      </c>
    </row>
    <row r="807" spans="1:11" x14ac:dyDescent="0.45">
      <c r="A807" t="s">
        <v>89</v>
      </c>
      <c r="B807" t="s">
        <v>6</v>
      </c>
      <c r="C807" t="s">
        <v>83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0.11695</v>
      </c>
      <c r="K807" t="s">
        <v>27</v>
      </c>
    </row>
    <row r="808" spans="1:11" x14ac:dyDescent="0.45">
      <c r="A808" t="s">
        <v>89</v>
      </c>
      <c r="B808" t="s">
        <v>6</v>
      </c>
      <c r="C808" t="s">
        <v>83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0.11335000000000001</v>
      </c>
      <c r="K808" t="s">
        <v>27</v>
      </c>
    </row>
    <row r="809" spans="1:11" x14ac:dyDescent="0.45">
      <c r="A809" t="s">
        <v>89</v>
      </c>
      <c r="B809" t="s">
        <v>6</v>
      </c>
      <c r="C809" t="s">
        <v>83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0.11119999999999999</v>
      </c>
      <c r="K809" t="s">
        <v>27</v>
      </c>
    </row>
    <row r="810" spans="1:11" x14ac:dyDescent="0.45">
      <c r="A810" t="s">
        <v>89</v>
      </c>
      <c r="B810" t="s">
        <v>6</v>
      </c>
      <c r="C810" t="s">
        <v>83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0.11125</v>
      </c>
      <c r="K810" t="s">
        <v>27</v>
      </c>
    </row>
    <row r="811" spans="1:11" x14ac:dyDescent="0.45">
      <c r="A811" t="s">
        <v>89</v>
      </c>
      <c r="B811" t="s">
        <v>6</v>
      </c>
      <c r="C811" t="s">
        <v>83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0.11224999999999999</v>
      </c>
      <c r="K811" t="s">
        <v>27</v>
      </c>
    </row>
    <row r="812" spans="1:11" x14ac:dyDescent="0.45">
      <c r="A812" t="s">
        <v>89</v>
      </c>
      <c r="B812" t="s">
        <v>5</v>
      </c>
      <c r="C812" t="s">
        <v>83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1.0999999999999999E-2</v>
      </c>
      <c r="K812" t="s">
        <v>27</v>
      </c>
    </row>
    <row r="813" spans="1:11" x14ac:dyDescent="0.45">
      <c r="A813" t="s">
        <v>89</v>
      </c>
      <c r="B813" t="s">
        <v>5</v>
      </c>
      <c r="C813" t="s">
        <v>83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1.8549999999999997E-2</v>
      </c>
      <c r="K813" t="s">
        <v>27</v>
      </c>
    </row>
    <row r="814" spans="1:11" x14ac:dyDescent="0.45">
      <c r="A814" t="s">
        <v>89</v>
      </c>
      <c r="B814" t="s">
        <v>5</v>
      </c>
      <c r="C814" t="s">
        <v>83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5.305E-2</v>
      </c>
      <c r="K814" t="s">
        <v>27</v>
      </c>
    </row>
    <row r="815" spans="1:11" x14ac:dyDescent="0.45">
      <c r="A815" t="s">
        <v>89</v>
      </c>
      <c r="B815" t="s">
        <v>5</v>
      </c>
      <c r="C815" t="s">
        <v>83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0.10005</v>
      </c>
      <c r="K815" t="s">
        <v>27</v>
      </c>
    </row>
    <row r="816" spans="1:11" x14ac:dyDescent="0.45">
      <c r="A816" t="s">
        <v>89</v>
      </c>
      <c r="B816" t="s">
        <v>5</v>
      </c>
      <c r="C816" t="s">
        <v>83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0.13924999999999998</v>
      </c>
      <c r="K816" t="s">
        <v>27</v>
      </c>
    </row>
    <row r="817" spans="1:11" x14ac:dyDescent="0.45">
      <c r="A817" t="s">
        <v>89</v>
      </c>
      <c r="B817" t="s">
        <v>5</v>
      </c>
      <c r="C817" t="s">
        <v>83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0.14155000000000001</v>
      </c>
      <c r="K817" t="s">
        <v>27</v>
      </c>
    </row>
    <row r="818" spans="1:11" x14ac:dyDescent="0.45">
      <c r="A818" t="s">
        <v>89</v>
      </c>
      <c r="B818" t="s">
        <v>5</v>
      </c>
      <c r="C818" t="s">
        <v>83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0.12925</v>
      </c>
      <c r="K818" t="s">
        <v>27</v>
      </c>
    </row>
    <row r="819" spans="1:11" x14ac:dyDescent="0.45">
      <c r="A819" t="s">
        <v>89</v>
      </c>
      <c r="B819" t="s">
        <v>5</v>
      </c>
      <c r="C819" t="s">
        <v>83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0.13285000000000002</v>
      </c>
      <c r="K819" t="s">
        <v>27</v>
      </c>
    </row>
    <row r="820" spans="1:11" x14ac:dyDescent="0.45">
      <c r="A820" t="s">
        <v>89</v>
      </c>
      <c r="B820" t="s">
        <v>5</v>
      </c>
      <c r="C820" t="s">
        <v>83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0.127</v>
      </c>
      <c r="K820" t="s">
        <v>27</v>
      </c>
    </row>
    <row r="821" spans="1:11" x14ac:dyDescent="0.45">
      <c r="A821" t="s">
        <v>89</v>
      </c>
      <c r="B821" t="s">
        <v>5</v>
      </c>
      <c r="C821" t="s">
        <v>83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0.1168</v>
      </c>
      <c r="K821" t="s">
        <v>27</v>
      </c>
    </row>
    <row r="822" spans="1:11" x14ac:dyDescent="0.45">
      <c r="A822" t="s">
        <v>89</v>
      </c>
      <c r="B822" t="s">
        <v>5</v>
      </c>
      <c r="C822" t="s">
        <v>83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0.1096</v>
      </c>
      <c r="K822" t="s">
        <v>27</v>
      </c>
    </row>
    <row r="823" spans="1:11" x14ac:dyDescent="0.45">
      <c r="A823" t="s">
        <v>89</v>
      </c>
      <c r="B823" t="s">
        <v>5</v>
      </c>
      <c r="C823" t="s">
        <v>83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0.10630000000000001</v>
      </c>
      <c r="K823" t="s">
        <v>27</v>
      </c>
    </row>
    <row r="824" spans="1:11" x14ac:dyDescent="0.45">
      <c r="A824" t="s">
        <v>89</v>
      </c>
      <c r="B824" t="s">
        <v>5</v>
      </c>
      <c r="C824" t="s">
        <v>83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0.10345</v>
      </c>
      <c r="K824" t="s">
        <v>27</v>
      </c>
    </row>
    <row r="825" spans="1:11" x14ac:dyDescent="0.45">
      <c r="A825" t="s">
        <v>89</v>
      </c>
      <c r="B825" t="s">
        <v>5</v>
      </c>
      <c r="C825" t="s">
        <v>83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0.10105</v>
      </c>
      <c r="K825" t="s">
        <v>27</v>
      </c>
    </row>
    <row r="826" spans="1:11" x14ac:dyDescent="0.45">
      <c r="A826" t="s">
        <v>89</v>
      </c>
      <c r="B826" t="s">
        <v>5</v>
      </c>
      <c r="C826" t="s">
        <v>83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0.10185</v>
      </c>
      <c r="K826" t="s">
        <v>27</v>
      </c>
    </row>
    <row r="827" spans="1:11" x14ac:dyDescent="0.45">
      <c r="A827" t="s">
        <v>89</v>
      </c>
      <c r="B827" t="s">
        <v>5</v>
      </c>
      <c r="C827" t="s">
        <v>83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0.10214999999999999</v>
      </c>
      <c r="K827" t="s">
        <v>27</v>
      </c>
    </row>
    <row r="828" spans="1:11" x14ac:dyDescent="0.45">
      <c r="A828" t="s">
        <v>89</v>
      </c>
      <c r="B828" t="s">
        <v>5</v>
      </c>
      <c r="C828" t="s">
        <v>83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0.10264999999999999</v>
      </c>
      <c r="K828" t="s">
        <v>27</v>
      </c>
    </row>
    <row r="829" spans="1:11" x14ac:dyDescent="0.45">
      <c r="A829" t="s">
        <v>89</v>
      </c>
      <c r="B829" t="s">
        <v>2</v>
      </c>
      <c r="C829" t="s">
        <v>83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1.09E-2</v>
      </c>
      <c r="K829" t="s">
        <v>27</v>
      </c>
    </row>
    <row r="830" spans="1:11" x14ac:dyDescent="0.45">
      <c r="A830" t="s">
        <v>89</v>
      </c>
      <c r="B830" t="s">
        <v>2</v>
      </c>
      <c r="C830" t="s">
        <v>83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1.8200000000000001E-2</v>
      </c>
      <c r="K830" t="s">
        <v>27</v>
      </c>
    </row>
    <row r="831" spans="1:11" x14ac:dyDescent="0.45">
      <c r="A831" t="s">
        <v>89</v>
      </c>
      <c r="B831" t="s">
        <v>2</v>
      </c>
      <c r="C831" t="s">
        <v>83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3.4799999999999998E-2</v>
      </c>
      <c r="K831" t="s">
        <v>27</v>
      </c>
    </row>
    <row r="832" spans="1:11" x14ac:dyDescent="0.45">
      <c r="A832" t="s">
        <v>89</v>
      </c>
      <c r="B832" t="s">
        <v>2</v>
      </c>
      <c r="C832" t="s">
        <v>83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6.1899999999999997E-2</v>
      </c>
      <c r="K832" t="s">
        <v>27</v>
      </c>
    </row>
    <row r="833" spans="1:11" x14ac:dyDescent="0.45">
      <c r="A833" t="s">
        <v>89</v>
      </c>
      <c r="B833" t="s">
        <v>2</v>
      </c>
      <c r="C833" t="s">
        <v>83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0.10325000000000001</v>
      </c>
      <c r="K833" t="s">
        <v>27</v>
      </c>
    </row>
    <row r="834" spans="1:11" x14ac:dyDescent="0.45">
      <c r="A834" t="s">
        <v>89</v>
      </c>
      <c r="B834" t="s">
        <v>2</v>
      </c>
      <c r="C834" t="s">
        <v>83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0.11660000000000001</v>
      </c>
      <c r="K834" t="s">
        <v>27</v>
      </c>
    </row>
    <row r="835" spans="1:11" x14ac:dyDescent="0.45">
      <c r="A835" t="s">
        <v>89</v>
      </c>
      <c r="B835" t="s">
        <v>2</v>
      </c>
      <c r="C835" t="s">
        <v>83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0.12429999999999999</v>
      </c>
      <c r="K835" t="s">
        <v>27</v>
      </c>
    </row>
    <row r="836" spans="1:11" x14ac:dyDescent="0.45">
      <c r="A836" t="s">
        <v>89</v>
      </c>
      <c r="B836" t="s">
        <v>2</v>
      </c>
      <c r="C836" t="s">
        <v>83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0.13109999999999999</v>
      </c>
      <c r="K836" t="s">
        <v>27</v>
      </c>
    </row>
    <row r="837" spans="1:11" x14ac:dyDescent="0.45">
      <c r="A837" t="s">
        <v>89</v>
      </c>
      <c r="B837" t="s">
        <v>2</v>
      </c>
      <c r="C837" t="s">
        <v>83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0.13114999999999999</v>
      </c>
      <c r="K837" t="s">
        <v>27</v>
      </c>
    </row>
    <row r="838" spans="1:11" x14ac:dyDescent="0.45">
      <c r="A838" t="s">
        <v>89</v>
      </c>
      <c r="B838" t="s">
        <v>2</v>
      </c>
      <c r="C838" t="s">
        <v>83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0.1275</v>
      </c>
      <c r="K838" t="s">
        <v>27</v>
      </c>
    </row>
    <row r="839" spans="1:11" x14ac:dyDescent="0.45">
      <c r="A839" t="s">
        <v>89</v>
      </c>
      <c r="B839" t="s">
        <v>2</v>
      </c>
      <c r="C839" t="s">
        <v>83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0.12185</v>
      </c>
      <c r="K839" t="s">
        <v>27</v>
      </c>
    </row>
    <row r="840" spans="1:11" x14ac:dyDescent="0.45">
      <c r="A840" t="s">
        <v>89</v>
      </c>
      <c r="B840" t="s">
        <v>2</v>
      </c>
      <c r="C840" t="s">
        <v>83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0.11865000000000001</v>
      </c>
      <c r="K840" t="s">
        <v>27</v>
      </c>
    </row>
    <row r="841" spans="1:11" x14ac:dyDescent="0.45">
      <c r="A841" t="s">
        <v>89</v>
      </c>
      <c r="B841" t="s">
        <v>2</v>
      </c>
      <c r="C841" t="s">
        <v>83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0.1162</v>
      </c>
      <c r="K841" t="s">
        <v>27</v>
      </c>
    </row>
    <row r="842" spans="1:11" x14ac:dyDescent="0.45">
      <c r="A842" t="s">
        <v>89</v>
      </c>
      <c r="B842" t="s">
        <v>2</v>
      </c>
      <c r="C842" t="s">
        <v>83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0.11165</v>
      </c>
      <c r="K842" t="s">
        <v>27</v>
      </c>
    </row>
    <row r="843" spans="1:11" x14ac:dyDescent="0.45">
      <c r="A843" t="s">
        <v>89</v>
      </c>
      <c r="B843" t="s">
        <v>2</v>
      </c>
      <c r="C843" t="s">
        <v>83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0.111</v>
      </c>
      <c r="K843" t="s">
        <v>27</v>
      </c>
    </row>
    <row r="844" spans="1:11" x14ac:dyDescent="0.45">
      <c r="A844" t="s">
        <v>89</v>
      </c>
      <c r="B844" t="s">
        <v>2</v>
      </c>
      <c r="C844" t="s">
        <v>83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0.1109</v>
      </c>
      <c r="K844" t="s">
        <v>27</v>
      </c>
    </row>
    <row r="845" spans="1:11" x14ac:dyDescent="0.45">
      <c r="A845" t="s">
        <v>89</v>
      </c>
      <c r="B845" t="s">
        <v>2</v>
      </c>
      <c r="C845" t="s">
        <v>83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0.11105000000000001</v>
      </c>
      <c r="K845" t="s">
        <v>27</v>
      </c>
    </row>
    <row r="846" spans="1:11" x14ac:dyDescent="0.45">
      <c r="A846" t="s">
        <v>89</v>
      </c>
      <c r="B846" t="s">
        <v>1</v>
      </c>
      <c r="C846" t="s">
        <v>83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1.09E-2</v>
      </c>
      <c r="K846" t="s">
        <v>27</v>
      </c>
    </row>
    <row r="847" spans="1:11" x14ac:dyDescent="0.45">
      <c r="A847" t="s">
        <v>89</v>
      </c>
      <c r="B847" t="s">
        <v>1</v>
      </c>
      <c r="C847" t="s">
        <v>83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1.89E-2</v>
      </c>
      <c r="K847" t="s">
        <v>27</v>
      </c>
    </row>
    <row r="848" spans="1:11" x14ac:dyDescent="0.45">
      <c r="A848" t="s">
        <v>89</v>
      </c>
      <c r="B848" t="s">
        <v>1</v>
      </c>
      <c r="C848" t="s">
        <v>83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4.4649999999999995E-2</v>
      </c>
      <c r="K848" t="s">
        <v>27</v>
      </c>
    </row>
    <row r="849" spans="1:11" x14ac:dyDescent="0.45">
      <c r="A849" t="s">
        <v>89</v>
      </c>
      <c r="B849" t="s">
        <v>1</v>
      </c>
      <c r="C849" t="s">
        <v>83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8.2900000000000001E-2</v>
      </c>
      <c r="K849" t="s">
        <v>27</v>
      </c>
    </row>
    <row r="850" spans="1:11" x14ac:dyDescent="0.45">
      <c r="A850" t="s">
        <v>89</v>
      </c>
      <c r="B850" t="s">
        <v>1</v>
      </c>
      <c r="C850" t="s">
        <v>83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0.11940000000000001</v>
      </c>
      <c r="K850" t="s">
        <v>27</v>
      </c>
    </row>
    <row r="851" spans="1:11" x14ac:dyDescent="0.45">
      <c r="A851" t="s">
        <v>89</v>
      </c>
      <c r="B851" t="s">
        <v>1</v>
      </c>
      <c r="C851" t="s">
        <v>83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0.12885000000000002</v>
      </c>
      <c r="K851" t="s">
        <v>27</v>
      </c>
    </row>
    <row r="852" spans="1:11" x14ac:dyDescent="0.45">
      <c r="A852" t="s">
        <v>89</v>
      </c>
      <c r="B852" t="s">
        <v>1</v>
      </c>
      <c r="C852" t="s">
        <v>83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0.13305</v>
      </c>
      <c r="K852" t="s">
        <v>27</v>
      </c>
    </row>
    <row r="853" spans="1:11" x14ac:dyDescent="0.45">
      <c r="A853" t="s">
        <v>89</v>
      </c>
      <c r="B853" t="s">
        <v>1</v>
      </c>
      <c r="C853" t="s">
        <v>83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0.13159999999999999</v>
      </c>
      <c r="K853" t="s">
        <v>27</v>
      </c>
    </row>
    <row r="854" spans="1:11" x14ac:dyDescent="0.45">
      <c r="A854" t="s">
        <v>89</v>
      </c>
      <c r="B854" t="s">
        <v>1</v>
      </c>
      <c r="C854" t="s">
        <v>83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0.12959999999999999</v>
      </c>
      <c r="K854" t="s">
        <v>27</v>
      </c>
    </row>
    <row r="855" spans="1:11" x14ac:dyDescent="0.45">
      <c r="A855" t="s">
        <v>89</v>
      </c>
      <c r="B855" t="s">
        <v>1</v>
      </c>
      <c r="C855" t="s">
        <v>83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0.12669999999999998</v>
      </c>
      <c r="K855" t="s">
        <v>27</v>
      </c>
    </row>
    <row r="856" spans="1:11" x14ac:dyDescent="0.45">
      <c r="A856" t="s">
        <v>89</v>
      </c>
      <c r="B856" t="s">
        <v>1</v>
      </c>
      <c r="C856" t="s">
        <v>83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0.12435</v>
      </c>
      <c r="K856" t="s">
        <v>27</v>
      </c>
    </row>
    <row r="857" spans="1:11" x14ac:dyDescent="0.45">
      <c r="A857" t="s">
        <v>89</v>
      </c>
      <c r="B857" t="s">
        <v>1</v>
      </c>
      <c r="C857" t="s">
        <v>83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0.1217</v>
      </c>
      <c r="K857" t="s">
        <v>27</v>
      </c>
    </row>
    <row r="858" spans="1:11" x14ac:dyDescent="0.45">
      <c r="A858" t="s">
        <v>89</v>
      </c>
      <c r="B858" t="s">
        <v>1</v>
      </c>
      <c r="C858" t="s">
        <v>83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0.12</v>
      </c>
      <c r="K858" t="s">
        <v>27</v>
      </c>
    </row>
    <row r="859" spans="1:11" x14ac:dyDescent="0.45">
      <c r="A859" t="s">
        <v>89</v>
      </c>
      <c r="B859" t="s">
        <v>1</v>
      </c>
      <c r="C859" t="s">
        <v>83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0.1169</v>
      </c>
      <c r="K859" t="s">
        <v>27</v>
      </c>
    </row>
    <row r="860" spans="1:11" x14ac:dyDescent="0.45">
      <c r="A860" t="s">
        <v>89</v>
      </c>
      <c r="B860" t="s">
        <v>1</v>
      </c>
      <c r="C860" t="s">
        <v>83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0.11545</v>
      </c>
      <c r="K860" t="s">
        <v>27</v>
      </c>
    </row>
    <row r="861" spans="1:11" x14ac:dyDescent="0.45">
      <c r="A861" t="s">
        <v>89</v>
      </c>
      <c r="B861" t="s">
        <v>1</v>
      </c>
      <c r="C861" t="s">
        <v>83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0.11559999999999999</v>
      </c>
      <c r="K861" t="s">
        <v>27</v>
      </c>
    </row>
    <row r="862" spans="1:11" x14ac:dyDescent="0.45">
      <c r="A862" t="s">
        <v>89</v>
      </c>
      <c r="B862" t="s">
        <v>1</v>
      </c>
      <c r="C862" t="s">
        <v>83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0.11624999999999999</v>
      </c>
      <c r="K862" t="s">
        <v>27</v>
      </c>
    </row>
    <row r="863" spans="1:11" x14ac:dyDescent="0.45">
      <c r="A863" t="s">
        <v>89</v>
      </c>
      <c r="B863" t="s">
        <v>3</v>
      </c>
      <c r="C863" t="s">
        <v>83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89</v>
      </c>
      <c r="B864" t="s">
        <v>3</v>
      </c>
      <c r="C864" t="s">
        <v>83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89</v>
      </c>
      <c r="B865" t="s">
        <v>3</v>
      </c>
      <c r="C865" t="s">
        <v>83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89</v>
      </c>
      <c r="B866" t="s">
        <v>3</v>
      </c>
      <c r="C866" t="s">
        <v>83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5.5695499999999996</v>
      </c>
      <c r="K866" t="s">
        <v>29</v>
      </c>
    </row>
    <row r="867" spans="1:11" x14ac:dyDescent="0.45">
      <c r="A867" t="s">
        <v>89</v>
      </c>
      <c r="B867" t="s">
        <v>3</v>
      </c>
      <c r="C867" t="s">
        <v>83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89</v>
      </c>
      <c r="B868" t="s">
        <v>3</v>
      </c>
      <c r="C868" t="s">
        <v>83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89</v>
      </c>
      <c r="B869" t="s">
        <v>3</v>
      </c>
      <c r="C869" t="s">
        <v>83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89</v>
      </c>
      <c r="B870" t="s">
        <v>3</v>
      </c>
      <c r="C870" t="s">
        <v>83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89</v>
      </c>
      <c r="B871" t="s">
        <v>3</v>
      </c>
      <c r="C871" t="s">
        <v>83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89</v>
      </c>
      <c r="B872" t="s">
        <v>3</v>
      </c>
      <c r="C872" t="s">
        <v>83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89</v>
      </c>
      <c r="B873" t="s">
        <v>3</v>
      </c>
      <c r="C873" t="s">
        <v>83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89</v>
      </c>
      <c r="B874" t="s">
        <v>3</v>
      </c>
      <c r="C874" t="s">
        <v>83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89</v>
      </c>
      <c r="B875" t="s">
        <v>3</v>
      </c>
      <c r="C875" t="s">
        <v>83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89</v>
      </c>
      <c r="B876" t="s">
        <v>3</v>
      </c>
      <c r="C876" t="s">
        <v>83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89</v>
      </c>
      <c r="B877" t="s">
        <v>3</v>
      </c>
      <c r="C877" t="s">
        <v>83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89</v>
      </c>
      <c r="B878" t="s">
        <v>3</v>
      </c>
      <c r="C878" t="s">
        <v>83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89</v>
      </c>
      <c r="B879" t="s">
        <v>3</v>
      </c>
      <c r="C879" t="s">
        <v>83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89</v>
      </c>
      <c r="B880" t="s">
        <v>4</v>
      </c>
      <c r="C880" t="s">
        <v>83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89</v>
      </c>
      <c r="B881" t="s">
        <v>4</v>
      </c>
      <c r="C881" t="s">
        <v>83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89</v>
      </c>
      <c r="B882" t="s">
        <v>4</v>
      </c>
      <c r="C882" t="s">
        <v>83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89</v>
      </c>
      <c r="B883" t="s">
        <v>4</v>
      </c>
      <c r="C883" t="s">
        <v>83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89</v>
      </c>
      <c r="B884" t="s">
        <v>4</v>
      </c>
      <c r="C884" t="s">
        <v>83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89</v>
      </c>
      <c r="B885" t="s">
        <v>4</v>
      </c>
      <c r="C885" t="s">
        <v>83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89</v>
      </c>
      <c r="B886" t="s">
        <v>4</v>
      </c>
      <c r="C886" t="s">
        <v>83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89</v>
      </c>
      <c r="B887" t="s">
        <v>4</v>
      </c>
      <c r="C887" t="s">
        <v>83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89</v>
      </c>
      <c r="B888" t="s">
        <v>4</v>
      </c>
      <c r="C888" t="s">
        <v>83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89</v>
      </c>
      <c r="B889" t="s">
        <v>4</v>
      </c>
      <c r="C889" t="s">
        <v>83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89</v>
      </c>
      <c r="B890" t="s">
        <v>4</v>
      </c>
      <c r="C890" t="s">
        <v>83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89</v>
      </c>
      <c r="B891" t="s">
        <v>4</v>
      </c>
      <c r="C891" t="s">
        <v>83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89</v>
      </c>
      <c r="B892" t="s">
        <v>4</v>
      </c>
      <c r="C892" t="s">
        <v>83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89</v>
      </c>
      <c r="B893" t="s">
        <v>4</v>
      </c>
      <c r="C893" t="s">
        <v>83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89</v>
      </c>
      <c r="B894" t="s">
        <v>4</v>
      </c>
      <c r="C894" t="s">
        <v>83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89</v>
      </c>
      <c r="B895" t="s">
        <v>4</v>
      </c>
      <c r="C895" t="s">
        <v>83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89</v>
      </c>
      <c r="B896" t="s">
        <v>4</v>
      </c>
      <c r="C896" t="s">
        <v>83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89</v>
      </c>
      <c r="B897" t="s">
        <v>0</v>
      </c>
      <c r="C897" t="s">
        <v>83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89</v>
      </c>
      <c r="B898" t="s">
        <v>0</v>
      </c>
      <c r="C898" t="s">
        <v>83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89</v>
      </c>
      <c r="B899" t="s">
        <v>0</v>
      </c>
      <c r="C899" t="s">
        <v>83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89</v>
      </c>
      <c r="B900" t="s">
        <v>0</v>
      </c>
      <c r="C900" t="s">
        <v>83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89</v>
      </c>
      <c r="B901" t="s">
        <v>0</v>
      </c>
      <c r="C901" t="s">
        <v>83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89</v>
      </c>
      <c r="B902" t="s">
        <v>0</v>
      </c>
      <c r="C902" t="s">
        <v>83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8.9685999999999986</v>
      </c>
      <c r="K902" t="s">
        <v>29</v>
      </c>
    </row>
    <row r="903" spans="1:11" x14ac:dyDescent="0.45">
      <c r="A903" t="s">
        <v>89</v>
      </c>
      <c r="B903" t="s">
        <v>0</v>
      </c>
      <c r="C903" t="s">
        <v>83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89</v>
      </c>
      <c r="B904" t="s">
        <v>0</v>
      </c>
      <c r="C904" t="s">
        <v>83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89</v>
      </c>
      <c r="B905" t="s">
        <v>0</v>
      </c>
      <c r="C905" t="s">
        <v>83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89</v>
      </c>
      <c r="B906" t="s">
        <v>0</v>
      </c>
      <c r="C906" t="s">
        <v>83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89</v>
      </c>
      <c r="B907" t="s">
        <v>0</v>
      </c>
      <c r="C907" t="s">
        <v>83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89</v>
      </c>
      <c r="B908" t="s">
        <v>0</v>
      </c>
      <c r="C908" t="s">
        <v>83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89</v>
      </c>
      <c r="B909" t="s">
        <v>0</v>
      </c>
      <c r="C909" t="s">
        <v>83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89</v>
      </c>
      <c r="B910" t="s">
        <v>0</v>
      </c>
      <c r="C910" t="s">
        <v>83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89</v>
      </c>
      <c r="B911" t="s">
        <v>0</v>
      </c>
      <c r="C911" t="s">
        <v>83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89</v>
      </c>
      <c r="B912" t="s">
        <v>0</v>
      </c>
      <c r="C912" t="s">
        <v>83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89</v>
      </c>
      <c r="B913" t="s">
        <v>0</v>
      </c>
      <c r="C913" t="s">
        <v>83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89</v>
      </c>
      <c r="B914" t="s">
        <v>6</v>
      </c>
      <c r="C914" t="s">
        <v>83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89</v>
      </c>
      <c r="B915" t="s">
        <v>6</v>
      </c>
      <c r="C915" t="s">
        <v>83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89</v>
      </c>
      <c r="B916" t="s">
        <v>6</v>
      </c>
      <c r="C916" t="s">
        <v>83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89</v>
      </c>
      <c r="B917" t="s">
        <v>6</v>
      </c>
      <c r="C917" t="s">
        <v>83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89</v>
      </c>
      <c r="B918" t="s">
        <v>6</v>
      </c>
      <c r="C918" t="s">
        <v>83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89</v>
      </c>
      <c r="B919" t="s">
        <v>6</v>
      </c>
      <c r="C919" t="s">
        <v>83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6.4249000000000001</v>
      </c>
      <c r="K919" t="s">
        <v>29</v>
      </c>
    </row>
    <row r="920" spans="1:11" x14ac:dyDescent="0.45">
      <c r="A920" t="s">
        <v>89</v>
      </c>
      <c r="B920" t="s">
        <v>6</v>
      </c>
      <c r="C920" t="s">
        <v>83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89</v>
      </c>
      <c r="B921" t="s">
        <v>6</v>
      </c>
      <c r="C921" t="s">
        <v>83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89</v>
      </c>
      <c r="B922" t="s">
        <v>6</v>
      </c>
      <c r="C922" t="s">
        <v>83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89</v>
      </c>
      <c r="B923" t="s">
        <v>6</v>
      </c>
      <c r="C923" t="s">
        <v>83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89</v>
      </c>
      <c r="B924" t="s">
        <v>6</v>
      </c>
      <c r="C924" t="s">
        <v>83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89</v>
      </c>
      <c r="B925" t="s">
        <v>6</v>
      </c>
      <c r="C925" t="s">
        <v>83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89</v>
      </c>
      <c r="B926" t="s">
        <v>6</v>
      </c>
      <c r="C926" t="s">
        <v>83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89</v>
      </c>
      <c r="B927" t="s">
        <v>6</v>
      </c>
      <c r="C927" t="s">
        <v>83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89</v>
      </c>
      <c r="B928" t="s">
        <v>6</v>
      </c>
      <c r="C928" t="s">
        <v>83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89</v>
      </c>
      <c r="B929" t="s">
        <v>6</v>
      </c>
      <c r="C929" t="s">
        <v>83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89</v>
      </c>
      <c r="B930" t="s">
        <v>6</v>
      </c>
      <c r="C930" t="s">
        <v>83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89</v>
      </c>
      <c r="B931" t="s">
        <v>5</v>
      </c>
      <c r="C931" t="s">
        <v>83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89</v>
      </c>
      <c r="B932" t="s">
        <v>5</v>
      </c>
      <c r="C932" t="s">
        <v>83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89</v>
      </c>
      <c r="B933" t="s">
        <v>5</v>
      </c>
      <c r="C933" t="s">
        <v>83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89</v>
      </c>
      <c r="B934" t="s">
        <v>5</v>
      </c>
      <c r="C934" t="s">
        <v>83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7.54115</v>
      </c>
      <c r="K934" t="s">
        <v>29</v>
      </c>
    </row>
    <row r="935" spans="1:11" x14ac:dyDescent="0.45">
      <c r="A935" t="s">
        <v>89</v>
      </c>
      <c r="B935" t="s">
        <v>5</v>
      </c>
      <c r="C935" t="s">
        <v>83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89</v>
      </c>
      <c r="B936" t="s">
        <v>5</v>
      </c>
      <c r="C936" t="s">
        <v>83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89</v>
      </c>
      <c r="B937" t="s">
        <v>5</v>
      </c>
      <c r="C937" t="s">
        <v>83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89</v>
      </c>
      <c r="B938" t="s">
        <v>5</v>
      </c>
      <c r="C938" t="s">
        <v>83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89</v>
      </c>
      <c r="B939" t="s">
        <v>5</v>
      </c>
      <c r="C939" t="s">
        <v>83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89</v>
      </c>
      <c r="B940" t="s">
        <v>5</v>
      </c>
      <c r="C940" t="s">
        <v>83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89</v>
      </c>
      <c r="B941" t="s">
        <v>5</v>
      </c>
      <c r="C941" t="s">
        <v>83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89</v>
      </c>
      <c r="B942" t="s">
        <v>5</v>
      </c>
      <c r="C942" t="s">
        <v>83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89</v>
      </c>
      <c r="B943" t="s">
        <v>5</v>
      </c>
      <c r="C943" t="s">
        <v>83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89</v>
      </c>
      <c r="B944" t="s">
        <v>5</v>
      </c>
      <c r="C944" t="s">
        <v>83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89</v>
      </c>
      <c r="B945" t="s">
        <v>5</v>
      </c>
      <c r="C945" t="s">
        <v>83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89</v>
      </c>
      <c r="B946" t="s">
        <v>5</v>
      </c>
      <c r="C946" t="s">
        <v>83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89</v>
      </c>
      <c r="B947" t="s">
        <v>5</v>
      </c>
      <c r="C947" t="s">
        <v>83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89</v>
      </c>
      <c r="B948" t="s">
        <v>2</v>
      </c>
      <c r="C948" t="s">
        <v>83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89</v>
      </c>
      <c r="B949" t="s">
        <v>2</v>
      </c>
      <c r="C949" t="s">
        <v>83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89</v>
      </c>
      <c r="B950" t="s">
        <v>2</v>
      </c>
      <c r="C950" t="s">
        <v>83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89</v>
      </c>
      <c r="B951" t="s">
        <v>2</v>
      </c>
      <c r="C951" t="s">
        <v>83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89</v>
      </c>
      <c r="B952" t="s">
        <v>2</v>
      </c>
      <c r="C952" t="s">
        <v>83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5.6487499999999997</v>
      </c>
      <c r="K952" t="s">
        <v>29</v>
      </c>
    </row>
    <row r="953" spans="1:11" x14ac:dyDescent="0.45">
      <c r="A953" t="s">
        <v>89</v>
      </c>
      <c r="B953" t="s">
        <v>2</v>
      </c>
      <c r="C953" t="s">
        <v>83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89</v>
      </c>
      <c r="B954" t="s">
        <v>2</v>
      </c>
      <c r="C954" t="s">
        <v>83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89</v>
      </c>
      <c r="B955" t="s">
        <v>2</v>
      </c>
      <c r="C955" t="s">
        <v>83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89</v>
      </c>
      <c r="B956" t="s">
        <v>2</v>
      </c>
      <c r="C956" t="s">
        <v>83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89</v>
      </c>
      <c r="B957" t="s">
        <v>2</v>
      </c>
      <c r="C957" t="s">
        <v>83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89</v>
      </c>
      <c r="B958" t="s">
        <v>2</v>
      </c>
      <c r="C958" t="s">
        <v>83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89</v>
      </c>
      <c r="B959" t="s">
        <v>2</v>
      </c>
      <c r="C959" t="s">
        <v>83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89</v>
      </c>
      <c r="B960" t="s">
        <v>2</v>
      </c>
      <c r="C960" t="s">
        <v>83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89</v>
      </c>
      <c r="B961" t="s">
        <v>2</v>
      </c>
      <c r="C961" t="s">
        <v>83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89</v>
      </c>
      <c r="B962" t="s">
        <v>2</v>
      </c>
      <c r="C962" t="s">
        <v>83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89</v>
      </c>
      <c r="B963" t="s">
        <v>2</v>
      </c>
      <c r="C963" t="s">
        <v>83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89</v>
      </c>
      <c r="B964" t="s">
        <v>2</v>
      </c>
      <c r="C964" t="s">
        <v>83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89</v>
      </c>
      <c r="B965" t="s">
        <v>1</v>
      </c>
      <c r="C965" t="s">
        <v>83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89</v>
      </c>
      <c r="B966" t="s">
        <v>1</v>
      </c>
      <c r="C966" t="s">
        <v>83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89</v>
      </c>
      <c r="B967" t="s">
        <v>1</v>
      </c>
      <c r="C967" t="s">
        <v>83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89</v>
      </c>
      <c r="B968" t="s">
        <v>1</v>
      </c>
      <c r="C968" t="s">
        <v>83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89</v>
      </c>
      <c r="B969" t="s">
        <v>1</v>
      </c>
      <c r="C969" t="s">
        <v>83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89</v>
      </c>
      <c r="B970" t="s">
        <v>1</v>
      </c>
      <c r="C970" t="s">
        <v>83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89</v>
      </c>
      <c r="B971" t="s">
        <v>1</v>
      </c>
      <c r="C971" t="s">
        <v>83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89</v>
      </c>
      <c r="B972" t="s">
        <v>1</v>
      </c>
      <c r="C972" t="s">
        <v>83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89</v>
      </c>
      <c r="B973" t="s">
        <v>1</v>
      </c>
      <c r="C973" t="s">
        <v>83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89</v>
      </c>
      <c r="B974" t="s">
        <v>1</v>
      </c>
      <c r="C974" t="s">
        <v>83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89</v>
      </c>
      <c r="B975" t="s">
        <v>1</v>
      </c>
      <c r="C975" t="s">
        <v>83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89</v>
      </c>
      <c r="B976" t="s">
        <v>1</v>
      </c>
      <c r="C976" t="s">
        <v>83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89</v>
      </c>
      <c r="B977" t="s">
        <v>1</v>
      </c>
      <c r="C977" t="s">
        <v>83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89</v>
      </c>
      <c r="B978" t="s">
        <v>1</v>
      </c>
      <c r="C978" t="s">
        <v>83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89</v>
      </c>
      <c r="B979" t="s">
        <v>1</v>
      </c>
      <c r="C979" t="s">
        <v>83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89</v>
      </c>
      <c r="B980" t="s">
        <v>1</v>
      </c>
      <c r="C980" t="s">
        <v>83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89</v>
      </c>
      <c r="B981" t="s">
        <v>1</v>
      </c>
      <c r="C981" t="s">
        <v>83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89</v>
      </c>
      <c r="B982" t="s">
        <v>3</v>
      </c>
      <c r="C982" t="s">
        <v>83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89</v>
      </c>
      <c r="B983" t="s">
        <v>3</v>
      </c>
      <c r="C983" t="s">
        <v>83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2.1930000000000001</v>
      </c>
      <c r="K983" t="s">
        <v>33</v>
      </c>
    </row>
    <row r="984" spans="1:11" x14ac:dyDescent="0.45">
      <c r="A984" t="s">
        <v>89</v>
      </c>
      <c r="B984" t="s">
        <v>3</v>
      </c>
      <c r="C984" t="s">
        <v>83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89</v>
      </c>
      <c r="B985" t="s">
        <v>3</v>
      </c>
      <c r="C985" t="s">
        <v>83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1.54745</v>
      </c>
      <c r="K985" t="s">
        <v>33</v>
      </c>
    </row>
    <row r="986" spans="1:11" x14ac:dyDescent="0.45">
      <c r="A986" t="s">
        <v>89</v>
      </c>
      <c r="B986" t="s">
        <v>3</v>
      </c>
      <c r="C986" t="s">
        <v>83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1.4253499999999999</v>
      </c>
      <c r="K986" t="s">
        <v>33</v>
      </c>
    </row>
    <row r="987" spans="1:11" x14ac:dyDescent="0.45">
      <c r="A987" t="s">
        <v>89</v>
      </c>
      <c r="B987" t="s">
        <v>3</v>
      </c>
      <c r="C987" t="s">
        <v>83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89</v>
      </c>
      <c r="B988" t="s">
        <v>3</v>
      </c>
      <c r="C988" t="s">
        <v>83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89</v>
      </c>
      <c r="B989" t="s">
        <v>3</v>
      </c>
      <c r="C989" t="s">
        <v>83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89</v>
      </c>
      <c r="B990" t="s">
        <v>3</v>
      </c>
      <c r="C990" t="s">
        <v>83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89</v>
      </c>
      <c r="B991" t="s">
        <v>3</v>
      </c>
      <c r="C991" t="s">
        <v>83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89</v>
      </c>
      <c r="B992" t="s">
        <v>3</v>
      </c>
      <c r="C992" t="s">
        <v>83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89</v>
      </c>
      <c r="B993" t="s">
        <v>3</v>
      </c>
      <c r="C993" t="s">
        <v>83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89</v>
      </c>
      <c r="B994" t="s">
        <v>3</v>
      </c>
      <c r="C994" t="s">
        <v>83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89</v>
      </c>
      <c r="B995" t="s">
        <v>3</v>
      </c>
      <c r="C995" t="s">
        <v>83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89</v>
      </c>
      <c r="B996" t="s">
        <v>3</v>
      </c>
      <c r="C996" t="s">
        <v>83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89</v>
      </c>
      <c r="B997" t="s">
        <v>3</v>
      </c>
      <c r="C997" t="s">
        <v>83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89</v>
      </c>
      <c r="B998" t="s">
        <v>3</v>
      </c>
      <c r="C998" t="s">
        <v>83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89</v>
      </c>
      <c r="B999" t="s">
        <v>4</v>
      </c>
      <c r="C999" t="s">
        <v>83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89</v>
      </c>
      <c r="B1000" t="s">
        <v>4</v>
      </c>
      <c r="C1000" t="s">
        <v>83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2.2217500000000001</v>
      </c>
      <c r="K1000" t="s">
        <v>33</v>
      </c>
    </row>
    <row r="1001" spans="1:11" x14ac:dyDescent="0.45">
      <c r="A1001" t="s">
        <v>89</v>
      </c>
      <c r="B1001" t="s">
        <v>4</v>
      </c>
      <c r="C1001" t="s">
        <v>83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2.2603</v>
      </c>
      <c r="K1001" t="s">
        <v>33</v>
      </c>
    </row>
    <row r="1002" spans="1:11" x14ac:dyDescent="0.45">
      <c r="A1002" t="s">
        <v>89</v>
      </c>
      <c r="B1002" t="s">
        <v>4</v>
      </c>
      <c r="C1002" t="s">
        <v>83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2.3062499999999999</v>
      </c>
      <c r="K1002" t="s">
        <v>33</v>
      </c>
    </row>
    <row r="1003" spans="1:11" x14ac:dyDescent="0.45">
      <c r="A1003" t="s">
        <v>89</v>
      </c>
      <c r="B1003" t="s">
        <v>4</v>
      </c>
      <c r="C1003" t="s">
        <v>83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2.3628</v>
      </c>
      <c r="K1003" t="s">
        <v>33</v>
      </c>
    </row>
    <row r="1004" spans="1:11" x14ac:dyDescent="0.45">
      <c r="A1004" t="s">
        <v>89</v>
      </c>
      <c r="B1004" t="s">
        <v>4</v>
      </c>
      <c r="C1004" t="s">
        <v>83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89</v>
      </c>
      <c r="B1005" t="s">
        <v>4</v>
      </c>
      <c r="C1005" t="s">
        <v>83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89</v>
      </c>
      <c r="B1006" t="s">
        <v>4</v>
      </c>
      <c r="C1006" t="s">
        <v>83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89</v>
      </c>
      <c r="B1007" t="s">
        <v>4</v>
      </c>
      <c r="C1007" t="s">
        <v>83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89</v>
      </c>
      <c r="B1008" t="s">
        <v>4</v>
      </c>
      <c r="C1008" t="s">
        <v>83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89</v>
      </c>
      <c r="B1009" t="s">
        <v>4</v>
      </c>
      <c r="C1009" t="s">
        <v>83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89</v>
      </c>
      <c r="B1010" t="s">
        <v>4</v>
      </c>
      <c r="C1010" t="s">
        <v>83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89</v>
      </c>
      <c r="B1011" t="s">
        <v>4</v>
      </c>
      <c r="C1011" t="s">
        <v>83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89</v>
      </c>
      <c r="B1012" t="s">
        <v>4</v>
      </c>
      <c r="C1012" t="s">
        <v>83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89</v>
      </c>
      <c r="B1013" t="s">
        <v>4</v>
      </c>
      <c r="C1013" t="s">
        <v>83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89</v>
      </c>
      <c r="B1014" t="s">
        <v>4</v>
      </c>
      <c r="C1014" t="s">
        <v>83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89</v>
      </c>
      <c r="B1015" t="s">
        <v>4</v>
      </c>
      <c r="C1015" t="s">
        <v>83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89</v>
      </c>
      <c r="B1016" t="s">
        <v>0</v>
      </c>
      <c r="C1016" t="s">
        <v>83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89</v>
      </c>
      <c r="B1017" t="s">
        <v>0</v>
      </c>
      <c r="C1017" t="s">
        <v>83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2.2217500000000001</v>
      </c>
      <c r="K1017" t="s">
        <v>33</v>
      </c>
    </row>
    <row r="1018" spans="1:11" x14ac:dyDescent="0.45">
      <c r="A1018" t="s">
        <v>89</v>
      </c>
      <c r="B1018" t="s">
        <v>0</v>
      </c>
      <c r="C1018" t="s">
        <v>83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2.2603</v>
      </c>
      <c r="K1018" t="s">
        <v>33</v>
      </c>
    </row>
    <row r="1019" spans="1:11" x14ac:dyDescent="0.45">
      <c r="A1019" t="s">
        <v>89</v>
      </c>
      <c r="B1019" t="s">
        <v>0</v>
      </c>
      <c r="C1019" t="s">
        <v>83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89</v>
      </c>
      <c r="B1020" t="s">
        <v>0</v>
      </c>
      <c r="C1020" t="s">
        <v>83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1.87825</v>
      </c>
      <c r="K1020" t="s">
        <v>33</v>
      </c>
    </row>
    <row r="1021" spans="1:11" x14ac:dyDescent="0.45">
      <c r="A1021" t="s">
        <v>89</v>
      </c>
      <c r="B1021" t="s">
        <v>0</v>
      </c>
      <c r="C1021" t="s">
        <v>83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89</v>
      </c>
      <c r="B1022" t="s">
        <v>0</v>
      </c>
      <c r="C1022" t="s">
        <v>83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89</v>
      </c>
      <c r="B1023" t="s">
        <v>0</v>
      </c>
      <c r="C1023" t="s">
        <v>83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89</v>
      </c>
      <c r="B1024" t="s">
        <v>0</v>
      </c>
      <c r="C1024" t="s">
        <v>83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89</v>
      </c>
      <c r="B1025" t="s">
        <v>0</v>
      </c>
      <c r="C1025" t="s">
        <v>83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89</v>
      </c>
      <c r="B1026" t="s">
        <v>0</v>
      </c>
      <c r="C1026" t="s">
        <v>83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89</v>
      </c>
      <c r="B1027" t="s">
        <v>0</v>
      </c>
      <c r="C1027" t="s">
        <v>83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89</v>
      </c>
      <c r="B1028" t="s">
        <v>0</v>
      </c>
      <c r="C1028" t="s">
        <v>83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89</v>
      </c>
      <c r="B1029" t="s">
        <v>0</v>
      </c>
      <c r="C1029" t="s">
        <v>83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89</v>
      </c>
      <c r="B1030" t="s">
        <v>0</v>
      </c>
      <c r="C1030" t="s">
        <v>83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89</v>
      </c>
      <c r="B1031" t="s">
        <v>0</v>
      </c>
      <c r="C1031" t="s">
        <v>83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89</v>
      </c>
      <c r="B1032" t="s">
        <v>0</v>
      </c>
      <c r="C1032" t="s">
        <v>83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89</v>
      </c>
      <c r="B1033" t="s">
        <v>6</v>
      </c>
      <c r="C1033" t="s">
        <v>83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89</v>
      </c>
      <c r="B1034" t="s">
        <v>6</v>
      </c>
      <c r="C1034" t="s">
        <v>83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2.2217500000000001</v>
      </c>
      <c r="K1034" t="s">
        <v>33</v>
      </c>
    </row>
    <row r="1035" spans="1:11" x14ac:dyDescent="0.45">
      <c r="A1035" t="s">
        <v>89</v>
      </c>
      <c r="B1035" t="s">
        <v>6</v>
      </c>
      <c r="C1035" t="s">
        <v>83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2.2603</v>
      </c>
      <c r="K1035" t="s">
        <v>33</v>
      </c>
    </row>
    <row r="1036" spans="1:11" x14ac:dyDescent="0.45">
      <c r="A1036" t="s">
        <v>89</v>
      </c>
      <c r="B1036" t="s">
        <v>6</v>
      </c>
      <c r="C1036" t="s">
        <v>83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89</v>
      </c>
      <c r="B1037" t="s">
        <v>6</v>
      </c>
      <c r="C1037" t="s">
        <v>83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1.83165</v>
      </c>
      <c r="K1037" t="s">
        <v>33</v>
      </c>
    </row>
    <row r="1038" spans="1:11" x14ac:dyDescent="0.45">
      <c r="A1038" t="s">
        <v>89</v>
      </c>
      <c r="B1038" t="s">
        <v>6</v>
      </c>
      <c r="C1038" t="s">
        <v>83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1.74655</v>
      </c>
      <c r="K1038" t="s">
        <v>33</v>
      </c>
    </row>
    <row r="1039" spans="1:11" x14ac:dyDescent="0.45">
      <c r="A1039" t="s">
        <v>89</v>
      </c>
      <c r="B1039" t="s">
        <v>6</v>
      </c>
      <c r="C1039" t="s">
        <v>83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89</v>
      </c>
      <c r="B1040" t="s">
        <v>6</v>
      </c>
      <c r="C1040" t="s">
        <v>83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89</v>
      </c>
      <c r="B1041" t="s">
        <v>6</v>
      </c>
      <c r="C1041" t="s">
        <v>83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89</v>
      </c>
      <c r="B1042" t="s">
        <v>6</v>
      </c>
      <c r="C1042" t="s">
        <v>83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89</v>
      </c>
      <c r="B1043" t="s">
        <v>6</v>
      </c>
      <c r="C1043" t="s">
        <v>83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89</v>
      </c>
      <c r="B1044" t="s">
        <v>6</v>
      </c>
      <c r="C1044" t="s">
        <v>83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89</v>
      </c>
      <c r="B1045" t="s">
        <v>6</v>
      </c>
      <c r="C1045" t="s">
        <v>83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89</v>
      </c>
      <c r="B1046" t="s">
        <v>6</v>
      </c>
      <c r="C1046" t="s">
        <v>83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89</v>
      </c>
      <c r="B1047" t="s">
        <v>6</v>
      </c>
      <c r="C1047" t="s">
        <v>83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89</v>
      </c>
      <c r="B1048" t="s">
        <v>6</v>
      </c>
      <c r="C1048" t="s">
        <v>83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89</v>
      </c>
      <c r="B1049" t="s">
        <v>6</v>
      </c>
      <c r="C1049" t="s">
        <v>83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89</v>
      </c>
      <c r="B1050" t="s">
        <v>5</v>
      </c>
      <c r="C1050" t="s">
        <v>83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89</v>
      </c>
      <c r="B1051" t="s">
        <v>5</v>
      </c>
      <c r="C1051" t="s">
        <v>83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89</v>
      </c>
      <c r="B1052" t="s">
        <v>5</v>
      </c>
      <c r="C1052" t="s">
        <v>83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1.62375</v>
      </c>
      <c r="K1052" t="s">
        <v>33</v>
      </c>
    </row>
    <row r="1053" spans="1:11" x14ac:dyDescent="0.45">
      <c r="A1053" t="s">
        <v>89</v>
      </c>
      <c r="B1053" t="s">
        <v>5</v>
      </c>
      <c r="C1053" t="s">
        <v>83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1.2301500000000001</v>
      </c>
      <c r="K1053" t="s">
        <v>33</v>
      </c>
    </row>
    <row r="1054" spans="1:11" x14ac:dyDescent="0.45">
      <c r="A1054" t="s">
        <v>89</v>
      </c>
      <c r="B1054" t="s">
        <v>5</v>
      </c>
      <c r="C1054" t="s">
        <v>83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89</v>
      </c>
      <c r="B1055" t="s">
        <v>5</v>
      </c>
      <c r="C1055" t="s">
        <v>83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89</v>
      </c>
      <c r="B1056" t="s">
        <v>5</v>
      </c>
      <c r="C1056" t="s">
        <v>83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89</v>
      </c>
      <c r="B1057" t="s">
        <v>5</v>
      </c>
      <c r="C1057" t="s">
        <v>83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89</v>
      </c>
      <c r="B1058" t="s">
        <v>5</v>
      </c>
      <c r="C1058" t="s">
        <v>83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89</v>
      </c>
      <c r="B1059" t="s">
        <v>5</v>
      </c>
      <c r="C1059" t="s">
        <v>83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89</v>
      </c>
      <c r="B1060" t="s">
        <v>5</v>
      </c>
      <c r="C1060" t="s">
        <v>83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89</v>
      </c>
      <c r="B1061" t="s">
        <v>5</v>
      </c>
      <c r="C1061" t="s">
        <v>83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89</v>
      </c>
      <c r="B1062" t="s">
        <v>5</v>
      </c>
      <c r="C1062" t="s">
        <v>83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89</v>
      </c>
      <c r="B1063" t="s">
        <v>5</v>
      </c>
      <c r="C1063" t="s">
        <v>83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89</v>
      </c>
      <c r="B1064" t="s">
        <v>5</v>
      </c>
      <c r="C1064" t="s">
        <v>83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89</v>
      </c>
      <c r="B1065" t="s">
        <v>5</v>
      </c>
      <c r="C1065" t="s">
        <v>83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89</v>
      </c>
      <c r="B1066" t="s">
        <v>5</v>
      </c>
      <c r="C1066" t="s">
        <v>83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89</v>
      </c>
      <c r="B1067" t="s">
        <v>2</v>
      </c>
      <c r="C1067" t="s">
        <v>83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89</v>
      </c>
      <c r="B1068" t="s">
        <v>2</v>
      </c>
      <c r="C1068" t="s">
        <v>83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2.1197999999999997</v>
      </c>
      <c r="K1068" t="s">
        <v>33</v>
      </c>
    </row>
    <row r="1069" spans="1:11" x14ac:dyDescent="0.45">
      <c r="A1069" t="s">
        <v>89</v>
      </c>
      <c r="B1069" t="s">
        <v>2</v>
      </c>
      <c r="C1069" t="s">
        <v>83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89</v>
      </c>
      <c r="B1070" t="s">
        <v>2</v>
      </c>
      <c r="C1070" t="s">
        <v>83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89</v>
      </c>
      <c r="B1071" t="s">
        <v>2</v>
      </c>
      <c r="C1071" t="s">
        <v>83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89</v>
      </c>
      <c r="B1072" t="s">
        <v>2</v>
      </c>
      <c r="C1072" t="s">
        <v>83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1.8188</v>
      </c>
      <c r="K1072" t="s">
        <v>33</v>
      </c>
    </row>
    <row r="1073" spans="1:11" x14ac:dyDescent="0.45">
      <c r="A1073" t="s">
        <v>89</v>
      </c>
      <c r="B1073" t="s">
        <v>2</v>
      </c>
      <c r="C1073" t="s">
        <v>83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1.8801999999999999</v>
      </c>
      <c r="K1073" t="s">
        <v>33</v>
      </c>
    </row>
    <row r="1074" spans="1:11" x14ac:dyDescent="0.45">
      <c r="A1074" t="s">
        <v>89</v>
      </c>
      <c r="B1074" t="s">
        <v>2</v>
      </c>
      <c r="C1074" t="s">
        <v>83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89</v>
      </c>
      <c r="B1075" t="s">
        <v>2</v>
      </c>
      <c r="C1075" t="s">
        <v>83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89</v>
      </c>
      <c r="B1076" t="s">
        <v>2</v>
      </c>
      <c r="C1076" t="s">
        <v>83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89</v>
      </c>
      <c r="B1077" t="s">
        <v>2</v>
      </c>
      <c r="C1077" t="s">
        <v>83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89</v>
      </c>
      <c r="B1078" t="s">
        <v>2</v>
      </c>
      <c r="C1078" t="s">
        <v>83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89</v>
      </c>
      <c r="B1079" t="s">
        <v>2</v>
      </c>
      <c r="C1079" t="s">
        <v>83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89</v>
      </c>
      <c r="B1080" t="s">
        <v>2</v>
      </c>
      <c r="C1080" t="s">
        <v>83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89</v>
      </c>
      <c r="B1081" t="s">
        <v>2</v>
      </c>
      <c r="C1081" t="s">
        <v>83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89</v>
      </c>
      <c r="B1082" t="s">
        <v>2</v>
      </c>
      <c r="C1082" t="s">
        <v>83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89</v>
      </c>
      <c r="B1083" t="s">
        <v>2</v>
      </c>
      <c r="C1083" t="s">
        <v>83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89</v>
      </c>
      <c r="B1084" t="s">
        <v>1</v>
      </c>
      <c r="C1084" t="s">
        <v>83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89</v>
      </c>
      <c r="B1085" t="s">
        <v>1</v>
      </c>
      <c r="C1085" t="s">
        <v>83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89</v>
      </c>
      <c r="B1086" t="s">
        <v>1</v>
      </c>
      <c r="C1086" t="s">
        <v>83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1.7697500000000002</v>
      </c>
      <c r="K1086" t="s">
        <v>33</v>
      </c>
    </row>
    <row r="1087" spans="1:11" x14ac:dyDescent="0.45">
      <c r="A1087" t="s">
        <v>89</v>
      </c>
      <c r="B1087" t="s">
        <v>1</v>
      </c>
      <c r="C1087" t="s">
        <v>83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89</v>
      </c>
      <c r="B1088" t="s">
        <v>1</v>
      </c>
      <c r="C1088" t="s">
        <v>83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89</v>
      </c>
      <c r="B1089" t="s">
        <v>1</v>
      </c>
      <c r="C1089" t="s">
        <v>83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89</v>
      </c>
      <c r="B1090" t="s">
        <v>1</v>
      </c>
      <c r="C1090" t="s">
        <v>83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89</v>
      </c>
      <c r="B1091" t="s">
        <v>1</v>
      </c>
      <c r="C1091" t="s">
        <v>83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89</v>
      </c>
      <c r="B1092" t="s">
        <v>1</v>
      </c>
      <c r="C1092" t="s">
        <v>83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89</v>
      </c>
      <c r="B1093" t="s">
        <v>1</v>
      </c>
      <c r="C1093" t="s">
        <v>83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89</v>
      </c>
      <c r="B1094" t="s">
        <v>1</v>
      </c>
      <c r="C1094" t="s">
        <v>83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89</v>
      </c>
      <c r="B1095" t="s">
        <v>1</v>
      </c>
      <c r="C1095" t="s">
        <v>83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89</v>
      </c>
      <c r="B1096" t="s">
        <v>1</v>
      </c>
      <c r="C1096" t="s">
        <v>83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89</v>
      </c>
      <c r="B1097" t="s">
        <v>1</v>
      </c>
      <c r="C1097" t="s">
        <v>83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89</v>
      </c>
      <c r="B1098" t="s">
        <v>1</v>
      </c>
      <c r="C1098" t="s">
        <v>83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89</v>
      </c>
      <c r="B1099" t="s">
        <v>1</v>
      </c>
      <c r="C1099" t="s">
        <v>83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89</v>
      </c>
      <c r="B1100" t="s">
        <v>1</v>
      </c>
      <c r="C1100" t="s">
        <v>83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89</v>
      </c>
      <c r="B1101" t="s">
        <v>3</v>
      </c>
      <c r="C1101" t="s">
        <v>83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89</v>
      </c>
      <c r="B1102" t="s">
        <v>3</v>
      </c>
      <c r="C1102" t="s">
        <v>83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89</v>
      </c>
      <c r="B1103" t="s">
        <v>3</v>
      </c>
      <c r="C1103" t="s">
        <v>83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89</v>
      </c>
      <c r="B1104" t="s">
        <v>3</v>
      </c>
      <c r="C1104" t="s">
        <v>83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89</v>
      </c>
      <c r="B1105" t="s">
        <v>3</v>
      </c>
      <c r="C1105" t="s">
        <v>83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89</v>
      </c>
      <c r="B1106" t="s">
        <v>3</v>
      </c>
      <c r="C1106" t="s">
        <v>83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4.7785500000000001</v>
      </c>
      <c r="K1106" t="s">
        <v>35</v>
      </c>
    </row>
    <row r="1107" spans="1:11" x14ac:dyDescent="0.45">
      <c r="A1107" t="s">
        <v>89</v>
      </c>
      <c r="B1107" t="s">
        <v>3</v>
      </c>
      <c r="C1107" t="s">
        <v>83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4.78505</v>
      </c>
      <c r="K1107" t="s">
        <v>35</v>
      </c>
    </row>
    <row r="1108" spans="1:11" x14ac:dyDescent="0.45">
      <c r="A1108" t="s">
        <v>89</v>
      </c>
      <c r="B1108" t="s">
        <v>3</v>
      </c>
      <c r="C1108" t="s">
        <v>83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89</v>
      </c>
      <c r="B1109" t="s">
        <v>3</v>
      </c>
      <c r="C1109" t="s">
        <v>83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89</v>
      </c>
      <c r="B1110" t="s">
        <v>3</v>
      </c>
      <c r="C1110" t="s">
        <v>83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89</v>
      </c>
      <c r="B1111" t="s">
        <v>3</v>
      </c>
      <c r="C1111" t="s">
        <v>83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89</v>
      </c>
      <c r="B1112" t="s">
        <v>3</v>
      </c>
      <c r="C1112" t="s">
        <v>83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89</v>
      </c>
      <c r="B1113" t="s">
        <v>3</v>
      </c>
      <c r="C1113" t="s">
        <v>83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89</v>
      </c>
      <c r="B1114" t="s">
        <v>3</v>
      </c>
      <c r="C1114" t="s">
        <v>83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89</v>
      </c>
      <c r="B1115" t="s">
        <v>3</v>
      </c>
      <c r="C1115" t="s">
        <v>83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89</v>
      </c>
      <c r="B1116" t="s">
        <v>3</v>
      </c>
      <c r="C1116" t="s">
        <v>83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89</v>
      </c>
      <c r="B1117" t="s">
        <v>3</v>
      </c>
      <c r="C1117" t="s">
        <v>83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89</v>
      </c>
      <c r="B1118" t="s">
        <v>4</v>
      </c>
      <c r="C1118" t="s">
        <v>83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89</v>
      </c>
      <c r="B1119" t="s">
        <v>4</v>
      </c>
      <c r="C1119" t="s">
        <v>83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89</v>
      </c>
      <c r="B1120" t="s">
        <v>4</v>
      </c>
      <c r="C1120" t="s">
        <v>83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89</v>
      </c>
      <c r="B1121" t="s">
        <v>4</v>
      </c>
      <c r="C1121" t="s">
        <v>83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89</v>
      </c>
      <c r="B1122" t="s">
        <v>4</v>
      </c>
      <c r="C1122" t="s">
        <v>83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89</v>
      </c>
      <c r="B1123" t="s">
        <v>4</v>
      </c>
      <c r="C1123" t="s">
        <v>83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89</v>
      </c>
      <c r="B1124" t="s">
        <v>4</v>
      </c>
      <c r="C1124" t="s">
        <v>83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89</v>
      </c>
      <c r="B1125" t="s">
        <v>4</v>
      </c>
      <c r="C1125" t="s">
        <v>83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89</v>
      </c>
      <c r="B1126" t="s">
        <v>4</v>
      </c>
      <c r="C1126" t="s">
        <v>83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89</v>
      </c>
      <c r="B1127" t="s">
        <v>4</v>
      </c>
      <c r="C1127" t="s">
        <v>83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89</v>
      </c>
      <c r="B1128" t="s">
        <v>4</v>
      </c>
      <c r="C1128" t="s">
        <v>83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89</v>
      </c>
      <c r="B1129" t="s">
        <v>4</v>
      </c>
      <c r="C1129" t="s">
        <v>83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89</v>
      </c>
      <c r="B1130" t="s">
        <v>4</v>
      </c>
      <c r="C1130" t="s">
        <v>83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89</v>
      </c>
      <c r="B1131" t="s">
        <v>4</v>
      </c>
      <c r="C1131" t="s">
        <v>83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89</v>
      </c>
      <c r="B1132" t="s">
        <v>4</v>
      </c>
      <c r="C1132" t="s">
        <v>83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89</v>
      </c>
      <c r="B1133" t="s">
        <v>4</v>
      </c>
      <c r="C1133" t="s">
        <v>83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89</v>
      </c>
      <c r="B1134" t="s">
        <v>4</v>
      </c>
      <c r="C1134" t="s">
        <v>83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89</v>
      </c>
      <c r="B1135" t="s">
        <v>0</v>
      </c>
      <c r="C1135" t="s">
        <v>83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89</v>
      </c>
      <c r="B1136" t="s">
        <v>0</v>
      </c>
      <c r="C1136" t="s">
        <v>83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89</v>
      </c>
      <c r="B1137" t="s">
        <v>0</v>
      </c>
      <c r="C1137" t="s">
        <v>83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89</v>
      </c>
      <c r="B1138" t="s">
        <v>0</v>
      </c>
      <c r="C1138" t="s">
        <v>83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89</v>
      </c>
      <c r="B1139" t="s">
        <v>0</v>
      </c>
      <c r="C1139" t="s">
        <v>83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89</v>
      </c>
      <c r="B1140" t="s">
        <v>0</v>
      </c>
      <c r="C1140" t="s">
        <v>83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4.6126000000000005</v>
      </c>
      <c r="K1140" t="s">
        <v>35</v>
      </c>
    </row>
    <row r="1141" spans="1:11" x14ac:dyDescent="0.45">
      <c r="A1141" t="s">
        <v>89</v>
      </c>
      <c r="B1141" t="s">
        <v>0</v>
      </c>
      <c r="C1141" t="s">
        <v>83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4.16</v>
      </c>
      <c r="K1141" t="s">
        <v>35</v>
      </c>
    </row>
    <row r="1142" spans="1:11" x14ac:dyDescent="0.45">
      <c r="A1142" t="s">
        <v>89</v>
      </c>
      <c r="B1142" t="s">
        <v>0</v>
      </c>
      <c r="C1142" t="s">
        <v>83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89</v>
      </c>
      <c r="B1143" t="s">
        <v>0</v>
      </c>
      <c r="C1143" t="s">
        <v>83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89</v>
      </c>
      <c r="B1144" t="s">
        <v>0</v>
      </c>
      <c r="C1144" t="s">
        <v>83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89</v>
      </c>
      <c r="B1145" t="s">
        <v>0</v>
      </c>
      <c r="C1145" t="s">
        <v>83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89</v>
      </c>
      <c r="B1146" t="s">
        <v>0</v>
      </c>
      <c r="C1146" t="s">
        <v>83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89</v>
      </c>
      <c r="B1147" t="s">
        <v>0</v>
      </c>
      <c r="C1147" t="s">
        <v>83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89</v>
      </c>
      <c r="B1148" t="s">
        <v>0</v>
      </c>
      <c r="C1148" t="s">
        <v>83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89</v>
      </c>
      <c r="B1149" t="s">
        <v>0</v>
      </c>
      <c r="C1149" t="s">
        <v>83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89</v>
      </c>
      <c r="B1150" t="s">
        <v>0</v>
      </c>
      <c r="C1150" t="s">
        <v>83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89</v>
      </c>
      <c r="B1151" t="s">
        <v>0</v>
      </c>
      <c r="C1151" t="s">
        <v>83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89</v>
      </c>
      <c r="B1152" t="s">
        <v>6</v>
      </c>
      <c r="C1152" t="s">
        <v>83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89</v>
      </c>
      <c r="B1153" t="s">
        <v>6</v>
      </c>
      <c r="C1153" t="s">
        <v>83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89</v>
      </c>
      <c r="B1154" t="s">
        <v>6</v>
      </c>
      <c r="C1154" t="s">
        <v>83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89</v>
      </c>
      <c r="B1155" t="s">
        <v>6</v>
      </c>
      <c r="C1155" t="s">
        <v>83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89</v>
      </c>
      <c r="B1156" t="s">
        <v>6</v>
      </c>
      <c r="C1156" t="s">
        <v>83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4.9135</v>
      </c>
      <c r="K1156" t="s">
        <v>35</v>
      </c>
    </row>
    <row r="1157" spans="1:11" x14ac:dyDescent="0.45">
      <c r="A1157" t="s">
        <v>89</v>
      </c>
      <c r="B1157" t="s">
        <v>6</v>
      </c>
      <c r="C1157" t="s">
        <v>83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89</v>
      </c>
      <c r="B1158" t="s">
        <v>6</v>
      </c>
      <c r="C1158" t="s">
        <v>83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5.0553999999999997</v>
      </c>
      <c r="K1158" t="s">
        <v>35</v>
      </c>
    </row>
    <row r="1159" spans="1:11" x14ac:dyDescent="0.45">
      <c r="A1159" t="s">
        <v>89</v>
      </c>
      <c r="B1159" t="s">
        <v>6</v>
      </c>
      <c r="C1159" t="s">
        <v>83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89</v>
      </c>
      <c r="B1160" t="s">
        <v>6</v>
      </c>
      <c r="C1160" t="s">
        <v>83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89</v>
      </c>
      <c r="B1161" t="s">
        <v>6</v>
      </c>
      <c r="C1161" t="s">
        <v>83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89</v>
      </c>
      <c r="B1162" t="s">
        <v>6</v>
      </c>
      <c r="C1162" t="s">
        <v>83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89</v>
      </c>
      <c r="B1163" t="s">
        <v>6</v>
      </c>
      <c r="C1163" t="s">
        <v>83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89</v>
      </c>
      <c r="B1164" t="s">
        <v>6</v>
      </c>
      <c r="C1164" t="s">
        <v>83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89</v>
      </c>
      <c r="B1165" t="s">
        <v>6</v>
      </c>
      <c r="C1165" t="s">
        <v>83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89</v>
      </c>
      <c r="B1166" t="s">
        <v>6</v>
      </c>
      <c r="C1166" t="s">
        <v>83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89</v>
      </c>
      <c r="B1167" t="s">
        <v>6</v>
      </c>
      <c r="C1167" t="s">
        <v>83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89</v>
      </c>
      <c r="B1168" t="s">
        <v>6</v>
      </c>
      <c r="C1168" t="s">
        <v>83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89</v>
      </c>
      <c r="B1169" t="s">
        <v>5</v>
      </c>
      <c r="C1169" t="s">
        <v>83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89</v>
      </c>
      <c r="B1170" t="s">
        <v>5</v>
      </c>
      <c r="C1170" t="s">
        <v>83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89</v>
      </c>
      <c r="B1171" t="s">
        <v>5</v>
      </c>
      <c r="C1171" t="s">
        <v>83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89</v>
      </c>
      <c r="B1172" t="s">
        <v>5</v>
      </c>
      <c r="C1172" t="s">
        <v>83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89</v>
      </c>
      <c r="B1173" t="s">
        <v>5</v>
      </c>
      <c r="C1173" t="s">
        <v>83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89</v>
      </c>
      <c r="B1174" t="s">
        <v>5</v>
      </c>
      <c r="C1174" t="s">
        <v>83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3.9799499999999997</v>
      </c>
      <c r="K1174" t="s">
        <v>35</v>
      </c>
    </row>
    <row r="1175" spans="1:11" x14ac:dyDescent="0.45">
      <c r="A1175" t="s">
        <v>89</v>
      </c>
      <c r="B1175" t="s">
        <v>5</v>
      </c>
      <c r="C1175" t="s">
        <v>83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4.1289999999999996</v>
      </c>
      <c r="K1175" t="s">
        <v>35</v>
      </c>
    </row>
    <row r="1176" spans="1:11" x14ac:dyDescent="0.45">
      <c r="A1176" t="s">
        <v>89</v>
      </c>
      <c r="B1176" t="s">
        <v>5</v>
      </c>
      <c r="C1176" t="s">
        <v>83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89</v>
      </c>
      <c r="B1177" t="s">
        <v>5</v>
      </c>
      <c r="C1177" t="s">
        <v>83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89</v>
      </c>
      <c r="B1178" t="s">
        <v>5</v>
      </c>
      <c r="C1178" t="s">
        <v>83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89</v>
      </c>
      <c r="B1179" t="s">
        <v>5</v>
      </c>
      <c r="C1179" t="s">
        <v>83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89</v>
      </c>
      <c r="B1180" t="s">
        <v>5</v>
      </c>
      <c r="C1180" t="s">
        <v>83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89</v>
      </c>
      <c r="B1181" t="s">
        <v>5</v>
      </c>
      <c r="C1181" t="s">
        <v>83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89</v>
      </c>
      <c r="B1182" t="s">
        <v>5</v>
      </c>
      <c r="C1182" t="s">
        <v>83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89</v>
      </c>
      <c r="B1183" t="s">
        <v>5</v>
      </c>
      <c r="C1183" t="s">
        <v>83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89</v>
      </c>
      <c r="B1184" t="s">
        <v>5</v>
      </c>
      <c r="C1184" t="s">
        <v>83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89</v>
      </c>
      <c r="B1185" t="s">
        <v>5</v>
      </c>
      <c r="C1185" t="s">
        <v>83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89</v>
      </c>
      <c r="B1186" t="s">
        <v>2</v>
      </c>
      <c r="C1186" t="s">
        <v>83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89</v>
      </c>
      <c r="B1187" t="s">
        <v>2</v>
      </c>
      <c r="C1187" t="s">
        <v>83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89</v>
      </c>
      <c r="B1188" t="s">
        <v>2</v>
      </c>
      <c r="C1188" t="s">
        <v>83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89</v>
      </c>
      <c r="B1189" t="s">
        <v>2</v>
      </c>
      <c r="C1189" t="s">
        <v>83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89</v>
      </c>
      <c r="B1190" t="s">
        <v>2</v>
      </c>
      <c r="C1190" t="s">
        <v>83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89</v>
      </c>
      <c r="B1191" t="s">
        <v>2</v>
      </c>
      <c r="C1191" t="s">
        <v>83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89</v>
      </c>
      <c r="B1192" t="s">
        <v>2</v>
      </c>
      <c r="C1192" t="s">
        <v>83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89</v>
      </c>
      <c r="B1193" t="s">
        <v>2</v>
      </c>
      <c r="C1193" t="s">
        <v>83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89</v>
      </c>
      <c r="B1194" t="s">
        <v>2</v>
      </c>
      <c r="C1194" t="s">
        <v>83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89</v>
      </c>
      <c r="B1195" t="s">
        <v>2</v>
      </c>
      <c r="C1195" t="s">
        <v>83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89</v>
      </c>
      <c r="B1196" t="s">
        <v>2</v>
      </c>
      <c r="C1196" t="s">
        <v>83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89</v>
      </c>
      <c r="B1197" t="s">
        <v>2</v>
      </c>
      <c r="C1197" t="s">
        <v>83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89</v>
      </c>
      <c r="B1198" t="s">
        <v>2</v>
      </c>
      <c r="C1198" t="s">
        <v>83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89</v>
      </c>
      <c r="B1199" t="s">
        <v>2</v>
      </c>
      <c r="C1199" t="s">
        <v>83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89</v>
      </c>
      <c r="B1200" t="s">
        <v>2</v>
      </c>
      <c r="C1200" t="s">
        <v>83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89</v>
      </c>
      <c r="B1201" t="s">
        <v>2</v>
      </c>
      <c r="C1201" t="s">
        <v>83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89</v>
      </c>
      <c r="B1202" t="s">
        <v>2</v>
      </c>
      <c r="C1202" t="s">
        <v>83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89</v>
      </c>
      <c r="B1203" t="s">
        <v>1</v>
      </c>
      <c r="C1203" t="s">
        <v>83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89</v>
      </c>
      <c r="B1204" t="s">
        <v>1</v>
      </c>
      <c r="C1204" t="s">
        <v>83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89</v>
      </c>
      <c r="B1205" t="s">
        <v>1</v>
      </c>
      <c r="C1205" t="s">
        <v>83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89</v>
      </c>
      <c r="B1206" t="s">
        <v>1</v>
      </c>
      <c r="C1206" t="s">
        <v>83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89</v>
      </c>
      <c r="B1207" t="s">
        <v>1</v>
      </c>
      <c r="C1207" t="s">
        <v>83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89</v>
      </c>
      <c r="B1208" t="s">
        <v>1</v>
      </c>
      <c r="C1208" t="s">
        <v>83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89</v>
      </c>
      <c r="B1209" t="s">
        <v>1</v>
      </c>
      <c r="C1209" t="s">
        <v>83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89</v>
      </c>
      <c r="B1210" t="s">
        <v>1</v>
      </c>
      <c r="C1210" t="s">
        <v>83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89</v>
      </c>
      <c r="B1211" t="s">
        <v>1</v>
      </c>
      <c r="C1211" t="s">
        <v>83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89</v>
      </c>
      <c r="B1212" t="s">
        <v>1</v>
      </c>
      <c r="C1212" t="s">
        <v>83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89</v>
      </c>
      <c r="B1213" t="s">
        <v>1</v>
      </c>
      <c r="C1213" t="s">
        <v>83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89</v>
      </c>
      <c r="B1214" t="s">
        <v>1</v>
      </c>
      <c r="C1214" t="s">
        <v>83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89</v>
      </c>
      <c r="B1215" t="s">
        <v>1</v>
      </c>
      <c r="C1215" t="s">
        <v>83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89</v>
      </c>
      <c r="B1216" t="s">
        <v>1</v>
      </c>
      <c r="C1216" t="s">
        <v>83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89</v>
      </c>
      <c r="B1217" t="s">
        <v>1</v>
      </c>
      <c r="C1217" t="s">
        <v>83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89</v>
      </c>
      <c r="B1218" t="s">
        <v>1</v>
      </c>
      <c r="C1218" t="s">
        <v>83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89</v>
      </c>
      <c r="B1219" t="s">
        <v>1</v>
      </c>
      <c r="C1219" t="s">
        <v>83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89</v>
      </c>
      <c r="B1220" t="s">
        <v>3</v>
      </c>
      <c r="C1220" t="s">
        <v>83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56.074300000000001</v>
      </c>
      <c r="K1220" t="s">
        <v>37</v>
      </c>
    </row>
    <row r="1221" spans="1:11" x14ac:dyDescent="0.45">
      <c r="A1221" t="s">
        <v>89</v>
      </c>
      <c r="B1221" t="s">
        <v>3</v>
      </c>
      <c r="C1221" t="s">
        <v>83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60.457900000000002</v>
      </c>
      <c r="K1221" t="s">
        <v>37</v>
      </c>
    </row>
    <row r="1222" spans="1:11" x14ac:dyDescent="0.45">
      <c r="A1222" t="s">
        <v>89</v>
      </c>
      <c r="B1222" t="s">
        <v>3</v>
      </c>
      <c r="C1222" t="s">
        <v>83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73.971049999999991</v>
      </c>
      <c r="K1222" t="s">
        <v>37</v>
      </c>
    </row>
    <row r="1223" spans="1:11" x14ac:dyDescent="0.45">
      <c r="A1223" t="s">
        <v>89</v>
      </c>
      <c r="B1223" t="s">
        <v>3</v>
      </c>
      <c r="C1223" t="s">
        <v>83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79.281800000000004</v>
      </c>
      <c r="K1223" t="s">
        <v>37</v>
      </c>
    </row>
    <row r="1224" spans="1:11" x14ac:dyDescent="0.45">
      <c r="A1224" t="s">
        <v>89</v>
      </c>
      <c r="B1224" t="s">
        <v>3</v>
      </c>
      <c r="C1224" t="s">
        <v>83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84.577799999999996</v>
      </c>
      <c r="K1224" t="s">
        <v>37</v>
      </c>
    </row>
    <row r="1225" spans="1:11" x14ac:dyDescent="0.45">
      <c r="A1225" t="s">
        <v>89</v>
      </c>
      <c r="B1225" t="s">
        <v>3</v>
      </c>
      <c r="C1225" t="s">
        <v>83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86.2911</v>
      </c>
      <c r="K1225" t="s">
        <v>37</v>
      </c>
    </row>
    <row r="1226" spans="1:11" x14ac:dyDescent="0.45">
      <c r="A1226" t="s">
        <v>89</v>
      </c>
      <c r="B1226" t="s">
        <v>3</v>
      </c>
      <c r="C1226" t="s">
        <v>83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99.790750000000003</v>
      </c>
      <c r="K1226" t="s">
        <v>37</v>
      </c>
    </row>
    <row r="1227" spans="1:11" x14ac:dyDescent="0.45">
      <c r="A1227" t="s">
        <v>89</v>
      </c>
      <c r="B1227" t="s">
        <v>3</v>
      </c>
      <c r="C1227" t="s">
        <v>83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112.93780000000001</v>
      </c>
      <c r="K1227" t="s">
        <v>37</v>
      </c>
    </row>
    <row r="1228" spans="1:11" x14ac:dyDescent="0.45">
      <c r="A1228" t="s">
        <v>89</v>
      </c>
      <c r="B1228" t="s">
        <v>3</v>
      </c>
      <c r="C1228" t="s">
        <v>83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181.17149999999998</v>
      </c>
      <c r="K1228" t="s">
        <v>37</v>
      </c>
    </row>
    <row r="1229" spans="1:11" x14ac:dyDescent="0.45">
      <c r="A1229" t="s">
        <v>89</v>
      </c>
      <c r="B1229" t="s">
        <v>3</v>
      </c>
      <c r="C1229" t="s">
        <v>83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214.42660000000001</v>
      </c>
      <c r="K1229" t="s">
        <v>37</v>
      </c>
    </row>
    <row r="1230" spans="1:11" x14ac:dyDescent="0.45">
      <c r="A1230" t="s">
        <v>89</v>
      </c>
      <c r="B1230" t="s">
        <v>3</v>
      </c>
      <c r="C1230" t="s">
        <v>83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247.68164999999999</v>
      </c>
      <c r="K1230" t="s">
        <v>37</v>
      </c>
    </row>
    <row r="1231" spans="1:11" x14ac:dyDescent="0.45">
      <c r="A1231" t="s">
        <v>89</v>
      </c>
      <c r="B1231" t="s">
        <v>3</v>
      </c>
      <c r="C1231" t="s">
        <v>83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272.42205000000001</v>
      </c>
      <c r="K1231" t="s">
        <v>37</v>
      </c>
    </row>
    <row r="1232" spans="1:11" x14ac:dyDescent="0.45">
      <c r="A1232" t="s">
        <v>89</v>
      </c>
      <c r="B1232" t="s">
        <v>3</v>
      </c>
      <c r="C1232" t="s">
        <v>83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297.16245000000004</v>
      </c>
      <c r="K1232" t="s">
        <v>37</v>
      </c>
    </row>
    <row r="1233" spans="1:11" x14ac:dyDescent="0.45">
      <c r="A1233" t="s">
        <v>89</v>
      </c>
      <c r="B1233" t="s">
        <v>3</v>
      </c>
      <c r="C1233" t="s">
        <v>83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319.67755</v>
      </c>
      <c r="K1233" t="s">
        <v>37</v>
      </c>
    </row>
    <row r="1234" spans="1:11" x14ac:dyDescent="0.45">
      <c r="A1234" t="s">
        <v>89</v>
      </c>
      <c r="B1234" t="s">
        <v>3</v>
      </c>
      <c r="C1234" t="s">
        <v>83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342.19264999999996</v>
      </c>
      <c r="K1234" t="s">
        <v>37</v>
      </c>
    </row>
    <row r="1235" spans="1:11" x14ac:dyDescent="0.45">
      <c r="A1235" t="s">
        <v>89</v>
      </c>
      <c r="B1235" t="s">
        <v>3</v>
      </c>
      <c r="C1235" t="s">
        <v>83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379.01010000000002</v>
      </c>
      <c r="K1235" t="s">
        <v>37</v>
      </c>
    </row>
    <row r="1236" spans="1:11" x14ac:dyDescent="0.45">
      <c r="A1236" t="s">
        <v>89</v>
      </c>
      <c r="B1236" t="s">
        <v>3</v>
      </c>
      <c r="C1236" t="s">
        <v>83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415.82745</v>
      </c>
      <c r="K1236" t="s">
        <v>37</v>
      </c>
    </row>
    <row r="1237" spans="1:11" x14ac:dyDescent="0.45">
      <c r="A1237" t="s">
        <v>89</v>
      </c>
      <c r="B1237" t="s">
        <v>4</v>
      </c>
      <c r="C1237" t="s">
        <v>83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56.074300000000001</v>
      </c>
      <c r="K1237" t="s">
        <v>37</v>
      </c>
    </row>
    <row r="1238" spans="1:11" x14ac:dyDescent="0.45">
      <c r="A1238" t="s">
        <v>89</v>
      </c>
      <c r="B1238" t="s">
        <v>4</v>
      </c>
      <c r="C1238" t="s">
        <v>83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66.797650000000004</v>
      </c>
      <c r="K1238" t="s">
        <v>37</v>
      </c>
    </row>
    <row r="1239" spans="1:11" x14ac:dyDescent="0.45">
      <c r="A1239" t="s">
        <v>89</v>
      </c>
      <c r="B1239" t="s">
        <v>4</v>
      </c>
      <c r="C1239" t="s">
        <v>83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75.327150000000003</v>
      </c>
      <c r="K1239" t="s">
        <v>37</v>
      </c>
    </row>
    <row r="1240" spans="1:11" x14ac:dyDescent="0.45">
      <c r="A1240" t="s">
        <v>89</v>
      </c>
      <c r="B1240" t="s">
        <v>4</v>
      </c>
      <c r="C1240" t="s">
        <v>83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85.159199999999998</v>
      </c>
      <c r="K1240" t="s">
        <v>37</v>
      </c>
    </row>
    <row r="1241" spans="1:11" x14ac:dyDescent="0.45">
      <c r="A1241" t="s">
        <v>89</v>
      </c>
      <c r="B1241" t="s">
        <v>4</v>
      </c>
      <c r="C1241" t="s">
        <v>83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95.082949999999997</v>
      </c>
      <c r="K1241" t="s">
        <v>37</v>
      </c>
    </row>
    <row r="1242" spans="1:11" x14ac:dyDescent="0.45">
      <c r="A1242" t="s">
        <v>89</v>
      </c>
      <c r="B1242" t="s">
        <v>4</v>
      </c>
      <c r="C1242" t="s">
        <v>83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98.826300000000003</v>
      </c>
      <c r="K1242" t="s">
        <v>37</v>
      </c>
    </row>
    <row r="1243" spans="1:11" x14ac:dyDescent="0.45">
      <c r="A1243" t="s">
        <v>89</v>
      </c>
      <c r="B1243" t="s">
        <v>4</v>
      </c>
      <c r="C1243" t="s">
        <v>83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106.26994999999999</v>
      </c>
      <c r="K1243" t="s">
        <v>37</v>
      </c>
    </row>
    <row r="1244" spans="1:11" x14ac:dyDescent="0.45">
      <c r="A1244" t="s">
        <v>89</v>
      </c>
      <c r="B1244" t="s">
        <v>4</v>
      </c>
      <c r="C1244" t="s">
        <v>83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111.61805</v>
      </c>
      <c r="K1244" t="s">
        <v>37</v>
      </c>
    </row>
    <row r="1245" spans="1:11" x14ac:dyDescent="0.45">
      <c r="A1245" t="s">
        <v>89</v>
      </c>
      <c r="B1245" t="s">
        <v>4</v>
      </c>
      <c r="C1245" t="s">
        <v>83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178.16325000000001</v>
      </c>
      <c r="K1245" t="s">
        <v>37</v>
      </c>
    </row>
    <row r="1246" spans="1:11" x14ac:dyDescent="0.45">
      <c r="A1246" t="s">
        <v>89</v>
      </c>
      <c r="B1246" t="s">
        <v>4</v>
      </c>
      <c r="C1246" t="s">
        <v>83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190.64075</v>
      </c>
      <c r="K1246" t="s">
        <v>37</v>
      </c>
    </row>
    <row r="1247" spans="1:11" x14ac:dyDescent="0.45">
      <c r="A1247" t="s">
        <v>89</v>
      </c>
      <c r="B1247" t="s">
        <v>4</v>
      </c>
      <c r="C1247" t="s">
        <v>83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203.1182</v>
      </c>
      <c r="K1247" t="s">
        <v>37</v>
      </c>
    </row>
    <row r="1248" spans="1:11" x14ac:dyDescent="0.45">
      <c r="A1248" t="s">
        <v>89</v>
      </c>
      <c r="B1248" t="s">
        <v>4</v>
      </c>
      <c r="C1248" t="s">
        <v>83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214.20554999999999</v>
      </c>
      <c r="K1248" t="s">
        <v>37</v>
      </c>
    </row>
    <row r="1249" spans="1:11" x14ac:dyDescent="0.45">
      <c r="A1249" t="s">
        <v>89</v>
      </c>
      <c r="B1249" t="s">
        <v>4</v>
      </c>
      <c r="C1249" t="s">
        <v>83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225.2929</v>
      </c>
      <c r="K1249" t="s">
        <v>37</v>
      </c>
    </row>
    <row r="1250" spans="1:11" x14ac:dyDescent="0.45">
      <c r="A1250" t="s">
        <v>89</v>
      </c>
      <c r="B1250" t="s">
        <v>4</v>
      </c>
      <c r="C1250" t="s">
        <v>83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240.48930000000001</v>
      </c>
      <c r="K1250" t="s">
        <v>37</v>
      </c>
    </row>
    <row r="1251" spans="1:11" x14ac:dyDescent="0.45">
      <c r="A1251" t="s">
        <v>89</v>
      </c>
      <c r="B1251" t="s">
        <v>4</v>
      </c>
      <c r="C1251" t="s">
        <v>83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255.6857</v>
      </c>
      <c r="K1251" t="s">
        <v>37</v>
      </c>
    </row>
    <row r="1252" spans="1:11" x14ac:dyDescent="0.45">
      <c r="A1252" t="s">
        <v>89</v>
      </c>
      <c r="B1252" t="s">
        <v>4</v>
      </c>
      <c r="C1252" t="s">
        <v>83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285.67115000000001</v>
      </c>
      <c r="K1252" t="s">
        <v>37</v>
      </c>
    </row>
    <row r="1253" spans="1:11" x14ac:dyDescent="0.45">
      <c r="A1253" t="s">
        <v>89</v>
      </c>
      <c r="B1253" t="s">
        <v>4</v>
      </c>
      <c r="C1253" t="s">
        <v>83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315.65665000000001</v>
      </c>
      <c r="K1253" t="s">
        <v>37</v>
      </c>
    </row>
    <row r="1254" spans="1:11" x14ac:dyDescent="0.45">
      <c r="A1254" t="s">
        <v>89</v>
      </c>
      <c r="B1254" t="s">
        <v>0</v>
      </c>
      <c r="C1254" t="s">
        <v>83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56.074300000000001</v>
      </c>
      <c r="K1254" t="s">
        <v>37</v>
      </c>
    </row>
    <row r="1255" spans="1:11" x14ac:dyDescent="0.45">
      <c r="A1255" t="s">
        <v>89</v>
      </c>
      <c r="B1255" t="s">
        <v>0</v>
      </c>
      <c r="C1255" t="s">
        <v>83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66.797650000000004</v>
      </c>
      <c r="K1255" t="s">
        <v>37</v>
      </c>
    </row>
    <row r="1256" spans="1:11" x14ac:dyDescent="0.45">
      <c r="A1256" t="s">
        <v>89</v>
      </c>
      <c r="B1256" t="s">
        <v>0</v>
      </c>
      <c r="C1256" t="s">
        <v>83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75.327150000000003</v>
      </c>
      <c r="K1256" t="s">
        <v>37</v>
      </c>
    </row>
    <row r="1257" spans="1:11" x14ac:dyDescent="0.45">
      <c r="A1257" t="s">
        <v>89</v>
      </c>
      <c r="B1257" t="s">
        <v>0</v>
      </c>
      <c r="C1257" t="s">
        <v>83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60.4788</v>
      </c>
      <c r="K1257" t="s">
        <v>37</v>
      </c>
    </row>
    <row r="1258" spans="1:11" x14ac:dyDescent="0.45">
      <c r="A1258" t="s">
        <v>89</v>
      </c>
      <c r="B1258" t="s">
        <v>0</v>
      </c>
      <c r="C1258" t="s">
        <v>83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84.912299999999988</v>
      </c>
      <c r="K1258" t="s">
        <v>37</v>
      </c>
    </row>
    <row r="1259" spans="1:11" x14ac:dyDescent="0.45">
      <c r="A1259" t="s">
        <v>89</v>
      </c>
      <c r="B1259" t="s">
        <v>0</v>
      </c>
      <c r="C1259" t="s">
        <v>83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96.226300000000009</v>
      </c>
      <c r="K1259" t="s">
        <v>37</v>
      </c>
    </row>
    <row r="1260" spans="1:11" x14ac:dyDescent="0.45">
      <c r="A1260" t="s">
        <v>89</v>
      </c>
      <c r="B1260" t="s">
        <v>0</v>
      </c>
      <c r="C1260" t="s">
        <v>83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89.194999999999993</v>
      </c>
      <c r="K1260" t="s">
        <v>37</v>
      </c>
    </row>
    <row r="1261" spans="1:11" x14ac:dyDescent="0.45">
      <c r="A1261" t="s">
        <v>89</v>
      </c>
      <c r="B1261" t="s">
        <v>0</v>
      </c>
      <c r="C1261" t="s">
        <v>83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141.33575000000002</v>
      </c>
      <c r="K1261" t="s">
        <v>37</v>
      </c>
    </row>
    <row r="1262" spans="1:11" x14ac:dyDescent="0.45">
      <c r="A1262" t="s">
        <v>89</v>
      </c>
      <c r="B1262" t="s">
        <v>0</v>
      </c>
      <c r="C1262" t="s">
        <v>83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195.95305000000002</v>
      </c>
      <c r="K1262" t="s">
        <v>37</v>
      </c>
    </row>
    <row r="1263" spans="1:11" x14ac:dyDescent="0.45">
      <c r="A1263" t="s">
        <v>89</v>
      </c>
      <c r="B1263" t="s">
        <v>0</v>
      </c>
      <c r="C1263" t="s">
        <v>83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251.33190000000002</v>
      </c>
      <c r="K1263" t="s">
        <v>37</v>
      </c>
    </row>
    <row r="1264" spans="1:11" x14ac:dyDescent="0.45">
      <c r="A1264" t="s">
        <v>89</v>
      </c>
      <c r="B1264" t="s">
        <v>0</v>
      </c>
      <c r="C1264" t="s">
        <v>83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306.71075000000002</v>
      </c>
      <c r="K1264" t="s">
        <v>37</v>
      </c>
    </row>
    <row r="1265" spans="1:11" x14ac:dyDescent="0.45">
      <c r="A1265" t="s">
        <v>89</v>
      </c>
      <c r="B1265" t="s">
        <v>0</v>
      </c>
      <c r="C1265" t="s">
        <v>83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369.48284999999998</v>
      </c>
      <c r="K1265" t="s">
        <v>37</v>
      </c>
    </row>
    <row r="1266" spans="1:11" x14ac:dyDescent="0.45">
      <c r="A1266" t="s">
        <v>89</v>
      </c>
      <c r="B1266" t="s">
        <v>0</v>
      </c>
      <c r="C1266" t="s">
        <v>83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432.255</v>
      </c>
      <c r="K1266" t="s">
        <v>37</v>
      </c>
    </row>
    <row r="1267" spans="1:11" x14ac:dyDescent="0.45">
      <c r="A1267" t="s">
        <v>89</v>
      </c>
      <c r="B1267" t="s">
        <v>0</v>
      </c>
      <c r="C1267" t="s">
        <v>83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438.64654999999999</v>
      </c>
      <c r="K1267" t="s">
        <v>37</v>
      </c>
    </row>
    <row r="1268" spans="1:11" x14ac:dyDescent="0.45">
      <c r="A1268" t="s">
        <v>89</v>
      </c>
      <c r="B1268" t="s">
        <v>0</v>
      </c>
      <c r="C1268" t="s">
        <v>83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445.03809999999999</v>
      </c>
      <c r="K1268" t="s">
        <v>37</v>
      </c>
    </row>
    <row r="1269" spans="1:11" x14ac:dyDescent="0.45">
      <c r="A1269" t="s">
        <v>89</v>
      </c>
      <c r="B1269" t="s">
        <v>0</v>
      </c>
      <c r="C1269" t="s">
        <v>83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466.59929999999997</v>
      </c>
      <c r="K1269" t="s">
        <v>37</v>
      </c>
    </row>
    <row r="1270" spans="1:11" x14ac:dyDescent="0.45">
      <c r="A1270" t="s">
        <v>89</v>
      </c>
      <c r="B1270" t="s">
        <v>0</v>
      </c>
      <c r="C1270" t="s">
        <v>83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488.16059999999999</v>
      </c>
      <c r="K1270" t="s">
        <v>37</v>
      </c>
    </row>
    <row r="1271" spans="1:11" x14ac:dyDescent="0.45">
      <c r="A1271" t="s">
        <v>89</v>
      </c>
      <c r="B1271" t="s">
        <v>6</v>
      </c>
      <c r="C1271" t="s">
        <v>83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56.074300000000001</v>
      </c>
      <c r="K1271" t="s">
        <v>37</v>
      </c>
    </row>
    <row r="1272" spans="1:11" x14ac:dyDescent="0.45">
      <c r="A1272" t="s">
        <v>89</v>
      </c>
      <c r="B1272" t="s">
        <v>6</v>
      </c>
      <c r="C1272" t="s">
        <v>83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66.797650000000004</v>
      </c>
      <c r="K1272" t="s">
        <v>37</v>
      </c>
    </row>
    <row r="1273" spans="1:11" x14ac:dyDescent="0.45">
      <c r="A1273" t="s">
        <v>89</v>
      </c>
      <c r="B1273" t="s">
        <v>6</v>
      </c>
      <c r="C1273" t="s">
        <v>83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75.327150000000003</v>
      </c>
      <c r="K1273" t="s">
        <v>37</v>
      </c>
    </row>
    <row r="1274" spans="1:11" x14ac:dyDescent="0.45">
      <c r="A1274" t="s">
        <v>89</v>
      </c>
      <c r="B1274" t="s">
        <v>6</v>
      </c>
      <c r="C1274" t="s">
        <v>83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63.09055</v>
      </c>
      <c r="K1274" t="s">
        <v>37</v>
      </c>
    </row>
    <row r="1275" spans="1:11" x14ac:dyDescent="0.45">
      <c r="A1275" t="s">
        <v>89</v>
      </c>
      <c r="B1275" t="s">
        <v>6</v>
      </c>
      <c r="C1275" t="s">
        <v>83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82.648099999999999</v>
      </c>
      <c r="K1275" t="s">
        <v>37</v>
      </c>
    </row>
    <row r="1276" spans="1:11" x14ac:dyDescent="0.45">
      <c r="A1276" t="s">
        <v>89</v>
      </c>
      <c r="B1276" t="s">
        <v>6</v>
      </c>
      <c r="C1276" t="s">
        <v>83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88.117999999999995</v>
      </c>
      <c r="K1276" t="s">
        <v>37</v>
      </c>
    </row>
    <row r="1277" spans="1:11" x14ac:dyDescent="0.45">
      <c r="A1277" t="s">
        <v>89</v>
      </c>
      <c r="B1277" t="s">
        <v>6</v>
      </c>
      <c r="C1277" t="s">
        <v>83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107.09195</v>
      </c>
      <c r="K1277" t="s">
        <v>37</v>
      </c>
    </row>
    <row r="1278" spans="1:11" x14ac:dyDescent="0.45">
      <c r="A1278" t="s">
        <v>89</v>
      </c>
      <c r="B1278" t="s">
        <v>6</v>
      </c>
      <c r="C1278" t="s">
        <v>83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122.1585</v>
      </c>
      <c r="K1278" t="s">
        <v>37</v>
      </c>
    </row>
    <row r="1279" spans="1:11" x14ac:dyDescent="0.45">
      <c r="A1279" t="s">
        <v>89</v>
      </c>
      <c r="B1279" t="s">
        <v>6</v>
      </c>
      <c r="C1279" t="s">
        <v>83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187.75594999999998</v>
      </c>
      <c r="K1279" t="s">
        <v>37</v>
      </c>
    </row>
    <row r="1280" spans="1:11" x14ac:dyDescent="0.45">
      <c r="A1280" t="s">
        <v>89</v>
      </c>
      <c r="B1280" t="s">
        <v>6</v>
      </c>
      <c r="C1280" t="s">
        <v>83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231.04705000000001</v>
      </c>
      <c r="K1280" t="s">
        <v>37</v>
      </c>
    </row>
    <row r="1281" spans="1:11" x14ac:dyDescent="0.45">
      <c r="A1281" t="s">
        <v>89</v>
      </c>
      <c r="B1281" t="s">
        <v>6</v>
      </c>
      <c r="C1281" t="s">
        <v>83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274.33815000000004</v>
      </c>
      <c r="K1281" t="s">
        <v>37</v>
      </c>
    </row>
    <row r="1282" spans="1:11" x14ac:dyDescent="0.45">
      <c r="A1282" t="s">
        <v>89</v>
      </c>
      <c r="B1282" t="s">
        <v>6</v>
      </c>
      <c r="C1282" t="s">
        <v>83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296.35090000000002</v>
      </c>
      <c r="K1282" t="s">
        <v>37</v>
      </c>
    </row>
    <row r="1283" spans="1:11" x14ac:dyDescent="0.45">
      <c r="A1283" t="s">
        <v>89</v>
      </c>
      <c r="B1283" t="s">
        <v>6</v>
      </c>
      <c r="C1283" t="s">
        <v>83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318.36355000000003</v>
      </c>
      <c r="K1283" t="s">
        <v>37</v>
      </c>
    </row>
    <row r="1284" spans="1:11" x14ac:dyDescent="0.45">
      <c r="A1284" t="s">
        <v>89</v>
      </c>
      <c r="B1284" t="s">
        <v>6</v>
      </c>
      <c r="C1284" t="s">
        <v>83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319.43360000000001</v>
      </c>
      <c r="K1284" t="s">
        <v>37</v>
      </c>
    </row>
    <row r="1285" spans="1:11" x14ac:dyDescent="0.45">
      <c r="A1285" t="s">
        <v>89</v>
      </c>
      <c r="B1285" t="s">
        <v>6</v>
      </c>
      <c r="C1285" t="s">
        <v>83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320.50360000000001</v>
      </c>
      <c r="K1285" t="s">
        <v>37</v>
      </c>
    </row>
    <row r="1286" spans="1:11" x14ac:dyDescent="0.45">
      <c r="A1286" t="s">
        <v>89</v>
      </c>
      <c r="B1286" t="s">
        <v>6</v>
      </c>
      <c r="C1286" t="s">
        <v>83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339.65949999999998</v>
      </c>
      <c r="K1286" t="s">
        <v>37</v>
      </c>
    </row>
    <row r="1287" spans="1:11" x14ac:dyDescent="0.45">
      <c r="A1287" t="s">
        <v>89</v>
      </c>
      <c r="B1287" t="s">
        <v>6</v>
      </c>
      <c r="C1287" t="s">
        <v>83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358.81539999999995</v>
      </c>
      <c r="K1287" t="s">
        <v>37</v>
      </c>
    </row>
    <row r="1288" spans="1:11" x14ac:dyDescent="0.45">
      <c r="A1288" t="s">
        <v>89</v>
      </c>
      <c r="B1288" t="s">
        <v>5</v>
      </c>
      <c r="C1288" t="s">
        <v>83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56.074300000000001</v>
      </c>
      <c r="K1288" t="s">
        <v>37</v>
      </c>
    </row>
    <row r="1289" spans="1:11" x14ac:dyDescent="0.45">
      <c r="A1289" t="s">
        <v>89</v>
      </c>
      <c r="B1289" t="s">
        <v>5</v>
      </c>
      <c r="C1289" t="s">
        <v>83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38.538200000000003</v>
      </c>
      <c r="K1289" t="s">
        <v>37</v>
      </c>
    </row>
    <row r="1290" spans="1:11" x14ac:dyDescent="0.45">
      <c r="A1290" t="s">
        <v>89</v>
      </c>
      <c r="B1290" t="s">
        <v>5</v>
      </c>
      <c r="C1290" t="s">
        <v>83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63.425399999999996</v>
      </c>
      <c r="K1290" t="s">
        <v>37</v>
      </c>
    </row>
    <row r="1291" spans="1:11" x14ac:dyDescent="0.45">
      <c r="A1291" t="s">
        <v>89</v>
      </c>
      <c r="B1291" t="s">
        <v>5</v>
      </c>
      <c r="C1291" t="s">
        <v>83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67.593099999999993</v>
      </c>
      <c r="K1291" t="s">
        <v>37</v>
      </c>
    </row>
    <row r="1292" spans="1:11" x14ac:dyDescent="0.45">
      <c r="A1292" t="s">
        <v>89</v>
      </c>
      <c r="B1292" t="s">
        <v>5</v>
      </c>
      <c r="C1292" t="s">
        <v>83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73.853649999999988</v>
      </c>
      <c r="K1292" t="s">
        <v>37</v>
      </c>
    </row>
    <row r="1293" spans="1:11" x14ac:dyDescent="0.45">
      <c r="A1293" t="s">
        <v>89</v>
      </c>
      <c r="B1293" t="s">
        <v>5</v>
      </c>
      <c r="C1293" t="s">
        <v>83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79.936000000000007</v>
      </c>
      <c r="K1293" t="s">
        <v>37</v>
      </c>
    </row>
    <row r="1294" spans="1:11" x14ac:dyDescent="0.45">
      <c r="A1294" t="s">
        <v>89</v>
      </c>
      <c r="B1294" t="s">
        <v>5</v>
      </c>
      <c r="C1294" t="s">
        <v>83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67.469650000000001</v>
      </c>
      <c r="K1294" t="s">
        <v>37</v>
      </c>
    </row>
    <row r="1295" spans="1:11" x14ac:dyDescent="0.45">
      <c r="A1295" t="s">
        <v>89</v>
      </c>
      <c r="B1295" t="s">
        <v>5</v>
      </c>
      <c r="C1295" t="s">
        <v>83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117.73304999999999</v>
      </c>
      <c r="K1295" t="s">
        <v>37</v>
      </c>
    </row>
    <row r="1296" spans="1:11" x14ac:dyDescent="0.45">
      <c r="A1296" t="s">
        <v>89</v>
      </c>
      <c r="B1296" t="s">
        <v>5</v>
      </c>
      <c r="C1296" t="s">
        <v>83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170.36345</v>
      </c>
      <c r="K1296" t="s">
        <v>37</v>
      </c>
    </row>
    <row r="1297" spans="1:11" x14ac:dyDescent="0.45">
      <c r="A1297" t="s">
        <v>89</v>
      </c>
      <c r="B1297" t="s">
        <v>5</v>
      </c>
      <c r="C1297" t="s">
        <v>83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203.95495</v>
      </c>
      <c r="K1297" t="s">
        <v>37</v>
      </c>
    </row>
    <row r="1298" spans="1:11" x14ac:dyDescent="0.45">
      <c r="A1298" t="s">
        <v>89</v>
      </c>
      <c r="B1298" t="s">
        <v>5</v>
      </c>
      <c r="C1298" t="s">
        <v>83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237.54640000000001</v>
      </c>
      <c r="K1298" t="s">
        <v>37</v>
      </c>
    </row>
    <row r="1299" spans="1:11" x14ac:dyDescent="0.45">
      <c r="A1299" t="s">
        <v>89</v>
      </c>
      <c r="B1299" t="s">
        <v>5</v>
      </c>
      <c r="C1299" t="s">
        <v>83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239.86804999999998</v>
      </c>
      <c r="K1299" t="s">
        <v>37</v>
      </c>
    </row>
    <row r="1300" spans="1:11" x14ac:dyDescent="0.45">
      <c r="A1300" t="s">
        <v>89</v>
      </c>
      <c r="B1300" t="s">
        <v>5</v>
      </c>
      <c r="C1300" t="s">
        <v>83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242.18975</v>
      </c>
      <c r="K1300" t="s">
        <v>37</v>
      </c>
    </row>
    <row r="1301" spans="1:11" x14ac:dyDescent="0.45">
      <c r="A1301" t="s">
        <v>89</v>
      </c>
      <c r="B1301" t="s">
        <v>5</v>
      </c>
      <c r="C1301" t="s">
        <v>83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254.05045000000001</v>
      </c>
      <c r="K1301" t="s">
        <v>37</v>
      </c>
    </row>
    <row r="1302" spans="1:11" x14ac:dyDescent="0.45">
      <c r="A1302" t="s">
        <v>89</v>
      </c>
      <c r="B1302" t="s">
        <v>5</v>
      </c>
      <c r="C1302" t="s">
        <v>83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265.91125</v>
      </c>
      <c r="K1302" t="s">
        <v>37</v>
      </c>
    </row>
    <row r="1303" spans="1:11" x14ac:dyDescent="0.45">
      <c r="A1303" t="s">
        <v>89</v>
      </c>
      <c r="B1303" t="s">
        <v>5</v>
      </c>
      <c r="C1303" t="s">
        <v>83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285.61840000000001</v>
      </c>
      <c r="K1303" t="s">
        <v>37</v>
      </c>
    </row>
    <row r="1304" spans="1:11" x14ac:dyDescent="0.45">
      <c r="A1304" t="s">
        <v>89</v>
      </c>
      <c r="B1304" t="s">
        <v>5</v>
      </c>
      <c r="C1304" t="s">
        <v>83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305.32555000000002</v>
      </c>
      <c r="K1304" t="s">
        <v>37</v>
      </c>
    </row>
    <row r="1305" spans="1:11" x14ac:dyDescent="0.45">
      <c r="A1305" t="s">
        <v>89</v>
      </c>
      <c r="B1305" t="s">
        <v>2</v>
      </c>
      <c r="C1305" t="s">
        <v>83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56.074300000000001</v>
      </c>
      <c r="K1305" t="s">
        <v>37</v>
      </c>
    </row>
    <row r="1306" spans="1:11" x14ac:dyDescent="0.45">
      <c r="A1306" t="s">
        <v>89</v>
      </c>
      <c r="B1306" t="s">
        <v>2</v>
      </c>
      <c r="C1306" t="s">
        <v>83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66.460700000000003</v>
      </c>
      <c r="K1306" t="s">
        <v>37</v>
      </c>
    </row>
    <row r="1307" spans="1:11" x14ac:dyDescent="0.45">
      <c r="A1307" t="s">
        <v>89</v>
      </c>
      <c r="B1307" t="s">
        <v>2</v>
      </c>
      <c r="C1307" t="s">
        <v>83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73.562600000000003</v>
      </c>
      <c r="K1307" t="s">
        <v>37</v>
      </c>
    </row>
    <row r="1308" spans="1:11" x14ac:dyDescent="0.45">
      <c r="A1308" t="s">
        <v>89</v>
      </c>
      <c r="B1308" t="s">
        <v>2</v>
      </c>
      <c r="C1308" t="s">
        <v>83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82.234749999999991</v>
      </c>
      <c r="K1308" t="s">
        <v>37</v>
      </c>
    </row>
    <row r="1309" spans="1:11" x14ac:dyDescent="0.45">
      <c r="A1309" t="s">
        <v>89</v>
      </c>
      <c r="B1309" t="s">
        <v>2</v>
      </c>
      <c r="C1309" t="s">
        <v>83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88.685599999999994</v>
      </c>
      <c r="K1309" t="s">
        <v>37</v>
      </c>
    </row>
    <row r="1310" spans="1:11" x14ac:dyDescent="0.45">
      <c r="A1310" t="s">
        <v>89</v>
      </c>
      <c r="B1310" t="s">
        <v>2</v>
      </c>
      <c r="C1310" t="s">
        <v>83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93.331500000000005</v>
      </c>
      <c r="K1310" t="s">
        <v>37</v>
      </c>
    </row>
    <row r="1311" spans="1:11" x14ac:dyDescent="0.45">
      <c r="A1311" t="s">
        <v>89</v>
      </c>
      <c r="B1311" t="s">
        <v>2</v>
      </c>
      <c r="C1311" t="s">
        <v>83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104.79349999999999</v>
      </c>
      <c r="K1311" t="s">
        <v>37</v>
      </c>
    </row>
    <row r="1312" spans="1:11" x14ac:dyDescent="0.45">
      <c r="A1312" t="s">
        <v>89</v>
      </c>
      <c r="B1312" t="s">
        <v>2</v>
      </c>
      <c r="C1312" t="s">
        <v>83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116.2227</v>
      </c>
      <c r="K1312" t="s">
        <v>37</v>
      </c>
    </row>
    <row r="1313" spans="1:11" x14ac:dyDescent="0.45">
      <c r="A1313" t="s">
        <v>89</v>
      </c>
      <c r="B1313" t="s">
        <v>2</v>
      </c>
      <c r="C1313" t="s">
        <v>83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191.23865000000001</v>
      </c>
      <c r="K1313" t="s">
        <v>37</v>
      </c>
    </row>
    <row r="1314" spans="1:11" x14ac:dyDescent="0.45">
      <c r="A1314" t="s">
        <v>89</v>
      </c>
      <c r="B1314" t="s">
        <v>2</v>
      </c>
      <c r="C1314" t="s">
        <v>83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216.77500000000001</v>
      </c>
      <c r="K1314" t="s">
        <v>37</v>
      </c>
    </row>
    <row r="1315" spans="1:11" x14ac:dyDescent="0.45">
      <c r="A1315" t="s">
        <v>89</v>
      </c>
      <c r="B1315" t="s">
        <v>2</v>
      </c>
      <c r="C1315" t="s">
        <v>83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242.31130000000002</v>
      </c>
      <c r="K1315" t="s">
        <v>37</v>
      </c>
    </row>
    <row r="1316" spans="1:11" x14ac:dyDescent="0.45">
      <c r="A1316" t="s">
        <v>89</v>
      </c>
      <c r="B1316" t="s">
        <v>2</v>
      </c>
      <c r="C1316" t="s">
        <v>83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265.85630000000003</v>
      </c>
      <c r="K1316" t="s">
        <v>37</v>
      </c>
    </row>
    <row r="1317" spans="1:11" x14ac:dyDescent="0.45">
      <c r="A1317" t="s">
        <v>89</v>
      </c>
      <c r="B1317" t="s">
        <v>2</v>
      </c>
      <c r="C1317" t="s">
        <v>83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289.40129999999999</v>
      </c>
      <c r="K1317" t="s">
        <v>37</v>
      </c>
    </row>
    <row r="1318" spans="1:11" x14ac:dyDescent="0.45">
      <c r="A1318" t="s">
        <v>89</v>
      </c>
      <c r="B1318" t="s">
        <v>2</v>
      </c>
      <c r="C1318" t="s">
        <v>83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291.67954999999995</v>
      </c>
      <c r="K1318" t="s">
        <v>37</v>
      </c>
    </row>
    <row r="1319" spans="1:11" x14ac:dyDescent="0.45">
      <c r="A1319" t="s">
        <v>89</v>
      </c>
      <c r="B1319" t="s">
        <v>2</v>
      </c>
      <c r="C1319" t="s">
        <v>83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293.95775000000003</v>
      </c>
      <c r="K1319" t="s">
        <v>37</v>
      </c>
    </row>
    <row r="1320" spans="1:11" x14ac:dyDescent="0.45">
      <c r="A1320" t="s">
        <v>89</v>
      </c>
      <c r="B1320" t="s">
        <v>2</v>
      </c>
      <c r="C1320" t="s">
        <v>83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305.11424999999997</v>
      </c>
      <c r="K1320" t="s">
        <v>37</v>
      </c>
    </row>
    <row r="1321" spans="1:11" x14ac:dyDescent="0.45">
      <c r="A1321" t="s">
        <v>89</v>
      </c>
      <c r="B1321" t="s">
        <v>2</v>
      </c>
      <c r="C1321" t="s">
        <v>83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316.27075000000002</v>
      </c>
      <c r="K1321" t="s">
        <v>37</v>
      </c>
    </row>
    <row r="1322" spans="1:11" x14ac:dyDescent="0.45">
      <c r="A1322" t="s">
        <v>89</v>
      </c>
      <c r="B1322" t="s">
        <v>1</v>
      </c>
      <c r="C1322" t="s">
        <v>83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56.074300000000001</v>
      </c>
      <c r="K1322" t="s">
        <v>37</v>
      </c>
    </row>
    <row r="1323" spans="1:11" x14ac:dyDescent="0.45">
      <c r="A1323" t="s">
        <v>89</v>
      </c>
      <c r="B1323" t="s">
        <v>1</v>
      </c>
      <c r="C1323" t="s">
        <v>83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51.978499999999997</v>
      </c>
      <c r="K1323" t="s">
        <v>37</v>
      </c>
    </row>
    <row r="1324" spans="1:11" x14ac:dyDescent="0.45">
      <c r="A1324" t="s">
        <v>89</v>
      </c>
      <c r="B1324" t="s">
        <v>1</v>
      </c>
      <c r="C1324" t="s">
        <v>83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71.533199999999994</v>
      </c>
      <c r="K1324" t="s">
        <v>37</v>
      </c>
    </row>
    <row r="1325" spans="1:11" x14ac:dyDescent="0.45">
      <c r="A1325" t="s">
        <v>89</v>
      </c>
      <c r="B1325" t="s">
        <v>1</v>
      </c>
      <c r="C1325" t="s">
        <v>83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75.742449999999991</v>
      </c>
      <c r="K1325" t="s">
        <v>37</v>
      </c>
    </row>
    <row r="1326" spans="1:11" x14ac:dyDescent="0.45">
      <c r="A1326" t="s">
        <v>89</v>
      </c>
      <c r="B1326" t="s">
        <v>1</v>
      </c>
      <c r="C1326" t="s">
        <v>83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81.774000000000001</v>
      </c>
      <c r="K1326" t="s">
        <v>37</v>
      </c>
    </row>
    <row r="1327" spans="1:11" x14ac:dyDescent="0.45">
      <c r="A1327" t="s">
        <v>89</v>
      </c>
      <c r="B1327" t="s">
        <v>1</v>
      </c>
      <c r="C1327" t="s">
        <v>83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66.936000000000007</v>
      </c>
      <c r="K1327" t="s">
        <v>37</v>
      </c>
    </row>
    <row r="1328" spans="1:11" x14ac:dyDescent="0.45">
      <c r="A1328" t="s">
        <v>89</v>
      </c>
      <c r="B1328" t="s">
        <v>1</v>
      </c>
      <c r="C1328" t="s">
        <v>83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105.24250000000001</v>
      </c>
      <c r="K1328" t="s">
        <v>37</v>
      </c>
    </row>
    <row r="1329" spans="1:12" x14ac:dyDescent="0.45">
      <c r="A1329" t="s">
        <v>89</v>
      </c>
      <c r="B1329" t="s">
        <v>1</v>
      </c>
      <c r="C1329" t="s">
        <v>83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111.64095</v>
      </c>
      <c r="K1329" t="s">
        <v>37</v>
      </c>
    </row>
    <row r="1330" spans="1:12" x14ac:dyDescent="0.45">
      <c r="A1330" t="s">
        <v>89</v>
      </c>
      <c r="B1330" t="s">
        <v>1</v>
      </c>
      <c r="C1330" t="s">
        <v>83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160.79974999999999</v>
      </c>
      <c r="K1330" t="s">
        <v>37</v>
      </c>
    </row>
    <row r="1331" spans="1:12" x14ac:dyDescent="0.45">
      <c r="A1331" t="s">
        <v>89</v>
      </c>
      <c r="B1331" t="s">
        <v>1</v>
      </c>
      <c r="C1331" t="s">
        <v>83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184.7131</v>
      </c>
      <c r="K1331" t="s">
        <v>37</v>
      </c>
    </row>
    <row r="1332" spans="1:12" x14ac:dyDescent="0.45">
      <c r="A1332" t="s">
        <v>89</v>
      </c>
      <c r="B1332" t="s">
        <v>1</v>
      </c>
      <c r="C1332" t="s">
        <v>83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208.62645000000001</v>
      </c>
      <c r="K1332" t="s">
        <v>37</v>
      </c>
    </row>
    <row r="1333" spans="1:12" x14ac:dyDescent="0.45">
      <c r="A1333" t="s">
        <v>89</v>
      </c>
      <c r="B1333" t="s">
        <v>1</v>
      </c>
      <c r="C1333" t="s">
        <v>83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216.03665000000001</v>
      </c>
      <c r="K1333" t="s">
        <v>37</v>
      </c>
    </row>
    <row r="1334" spans="1:12" x14ac:dyDescent="0.45">
      <c r="A1334" t="s">
        <v>89</v>
      </c>
      <c r="B1334" t="s">
        <v>1</v>
      </c>
      <c r="C1334" t="s">
        <v>83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223.4469</v>
      </c>
      <c r="K1334" t="s">
        <v>37</v>
      </c>
    </row>
    <row r="1335" spans="1:12" x14ac:dyDescent="0.45">
      <c r="A1335" t="s">
        <v>89</v>
      </c>
      <c r="B1335" t="s">
        <v>1</v>
      </c>
      <c r="C1335" t="s">
        <v>83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214.56394999999998</v>
      </c>
      <c r="K1335" t="s">
        <v>37</v>
      </c>
    </row>
    <row r="1336" spans="1:12" x14ac:dyDescent="0.45">
      <c r="A1336" t="s">
        <v>89</v>
      </c>
      <c r="B1336" t="s">
        <v>1</v>
      </c>
      <c r="C1336" t="s">
        <v>83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205.68105</v>
      </c>
      <c r="K1336" t="s">
        <v>37</v>
      </c>
    </row>
    <row r="1337" spans="1:12" x14ac:dyDescent="0.45">
      <c r="A1337" t="s">
        <v>89</v>
      </c>
      <c r="B1337" t="s">
        <v>1</v>
      </c>
      <c r="C1337" t="s">
        <v>83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223.73480000000001</v>
      </c>
      <c r="K1337" t="s">
        <v>37</v>
      </c>
    </row>
    <row r="1338" spans="1:12" x14ac:dyDescent="0.45">
      <c r="A1338" t="s">
        <v>89</v>
      </c>
      <c r="B1338" t="s">
        <v>1</v>
      </c>
      <c r="C1338" t="s">
        <v>83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241.78854999999999</v>
      </c>
      <c r="K1338" t="s">
        <v>37</v>
      </c>
    </row>
    <row r="1339" spans="1:12" x14ac:dyDescent="0.45">
      <c r="A1339" t="s">
        <v>89</v>
      </c>
      <c r="B1339" t="s">
        <v>3</v>
      </c>
      <c r="C1339" t="s">
        <v>83</v>
      </c>
      <c r="D1339" t="s">
        <v>52</v>
      </c>
      <c r="E1339" t="s">
        <v>25</v>
      </c>
      <c r="F1339" t="s">
        <v>52</v>
      </c>
      <c r="G1339" t="s">
        <v>70</v>
      </c>
      <c r="H1339" t="s">
        <v>88</v>
      </c>
      <c r="I1339">
        <v>2020</v>
      </c>
      <c r="J1339">
        <v>0.32650000000000001</v>
      </c>
      <c r="K1339" t="s">
        <v>52</v>
      </c>
      <c r="L1339">
        <v>94</v>
      </c>
    </row>
    <row r="1340" spans="1:12" x14ac:dyDescent="0.45">
      <c r="A1340" t="s">
        <v>89</v>
      </c>
      <c r="B1340" t="s">
        <v>3</v>
      </c>
      <c r="C1340" t="s">
        <v>83</v>
      </c>
      <c r="D1340" t="s">
        <v>52</v>
      </c>
      <c r="E1340" t="s">
        <v>25</v>
      </c>
      <c r="F1340" t="s">
        <v>52</v>
      </c>
      <c r="G1340" t="s">
        <v>70</v>
      </c>
      <c r="H1340" t="s">
        <v>88</v>
      </c>
      <c r="I1340">
        <v>2025</v>
      </c>
      <c r="J1340">
        <v>0.29709999999999998</v>
      </c>
      <c r="K1340" t="s">
        <v>52</v>
      </c>
      <c r="L1340">
        <v>94</v>
      </c>
    </row>
    <row r="1341" spans="1:12" x14ac:dyDescent="0.45">
      <c r="A1341" t="s">
        <v>89</v>
      </c>
      <c r="B1341" t="s">
        <v>3</v>
      </c>
      <c r="C1341" t="s">
        <v>83</v>
      </c>
      <c r="D1341" t="s">
        <v>52</v>
      </c>
      <c r="E1341" t="s">
        <v>25</v>
      </c>
      <c r="F1341" t="s">
        <v>52</v>
      </c>
      <c r="G1341" t="s">
        <v>70</v>
      </c>
      <c r="H1341" t="s">
        <v>88</v>
      </c>
      <c r="I1341">
        <v>2030</v>
      </c>
      <c r="J1341">
        <v>0.21</v>
      </c>
      <c r="K1341" t="s">
        <v>52</v>
      </c>
      <c r="L1341">
        <v>94</v>
      </c>
    </row>
    <row r="1342" spans="1:12" x14ac:dyDescent="0.45">
      <c r="A1342" t="s">
        <v>89</v>
      </c>
      <c r="B1342" t="s">
        <v>3</v>
      </c>
      <c r="C1342" t="s">
        <v>83</v>
      </c>
      <c r="D1342" t="s">
        <v>52</v>
      </c>
      <c r="E1342" t="s">
        <v>25</v>
      </c>
      <c r="F1342" t="s">
        <v>52</v>
      </c>
      <c r="G1342" t="s">
        <v>70</v>
      </c>
      <c r="H1342" t="s">
        <v>88</v>
      </c>
      <c r="I1342">
        <v>2035</v>
      </c>
      <c r="J1342">
        <v>9.2999999999999999E-2</v>
      </c>
      <c r="K1342" t="s">
        <v>52</v>
      </c>
      <c r="L1342">
        <v>94</v>
      </c>
    </row>
    <row r="1343" spans="1:12" x14ac:dyDescent="0.45">
      <c r="A1343" t="s">
        <v>89</v>
      </c>
      <c r="B1343" t="s">
        <v>3</v>
      </c>
      <c r="C1343" t="s">
        <v>83</v>
      </c>
      <c r="D1343" t="s">
        <v>52</v>
      </c>
      <c r="E1343" t="s">
        <v>25</v>
      </c>
      <c r="F1343" t="s">
        <v>52</v>
      </c>
      <c r="G1343" t="s">
        <v>70</v>
      </c>
      <c r="H1343" t="s">
        <v>88</v>
      </c>
      <c r="I1343">
        <v>2040</v>
      </c>
      <c r="J1343">
        <v>4.2099999999999999E-2</v>
      </c>
      <c r="K1343" t="s">
        <v>52</v>
      </c>
      <c r="L1343">
        <v>94</v>
      </c>
    </row>
    <row r="1344" spans="1:12" x14ac:dyDescent="0.45">
      <c r="A1344" t="s">
        <v>89</v>
      </c>
      <c r="B1344" t="s">
        <v>3</v>
      </c>
      <c r="C1344" t="s">
        <v>83</v>
      </c>
      <c r="D1344" t="s">
        <v>52</v>
      </c>
      <c r="E1344" t="s">
        <v>25</v>
      </c>
      <c r="F1344" t="s">
        <v>52</v>
      </c>
      <c r="G1344" t="s">
        <v>70</v>
      </c>
      <c r="H1344" t="s">
        <v>88</v>
      </c>
      <c r="I1344">
        <v>2045</v>
      </c>
      <c r="J1344">
        <v>0.01</v>
      </c>
      <c r="K1344" t="s">
        <v>52</v>
      </c>
      <c r="L1344">
        <v>94</v>
      </c>
    </row>
    <row r="1345" spans="1:12" x14ac:dyDescent="0.45">
      <c r="A1345" t="s">
        <v>89</v>
      </c>
      <c r="B1345" t="s">
        <v>3</v>
      </c>
      <c r="C1345" t="s">
        <v>83</v>
      </c>
      <c r="D1345" t="s">
        <v>52</v>
      </c>
      <c r="E1345" t="s">
        <v>25</v>
      </c>
      <c r="F1345" t="s">
        <v>52</v>
      </c>
      <c r="G1345" t="s">
        <v>70</v>
      </c>
      <c r="H1345" t="s">
        <v>88</v>
      </c>
      <c r="I1345">
        <v>2050</v>
      </c>
      <c r="J1345">
        <v>1E-4</v>
      </c>
      <c r="K1345" t="s">
        <v>52</v>
      </c>
      <c r="L1345">
        <v>94</v>
      </c>
    </row>
    <row r="1346" spans="1:12" x14ac:dyDescent="0.45">
      <c r="A1346" t="s">
        <v>89</v>
      </c>
      <c r="B1346" t="s">
        <v>3</v>
      </c>
      <c r="C1346" t="s">
        <v>83</v>
      </c>
      <c r="D1346" t="s">
        <v>52</v>
      </c>
      <c r="E1346" t="s">
        <v>25</v>
      </c>
      <c r="F1346" t="s">
        <v>52</v>
      </c>
      <c r="G1346" t="s">
        <v>70</v>
      </c>
      <c r="H1346" t="s">
        <v>88</v>
      </c>
      <c r="I1346">
        <v>2055</v>
      </c>
      <c r="J1346">
        <v>1E-4</v>
      </c>
      <c r="K1346" t="s">
        <v>52</v>
      </c>
      <c r="L1346">
        <v>94</v>
      </c>
    </row>
    <row r="1347" spans="1:12" x14ac:dyDescent="0.45">
      <c r="A1347" t="s">
        <v>89</v>
      </c>
      <c r="B1347" t="s">
        <v>3</v>
      </c>
      <c r="C1347" t="s">
        <v>83</v>
      </c>
      <c r="D1347" t="s">
        <v>52</v>
      </c>
      <c r="E1347" t="s">
        <v>25</v>
      </c>
      <c r="F1347" t="s">
        <v>52</v>
      </c>
      <c r="G1347" t="s">
        <v>70</v>
      </c>
      <c r="H1347" t="s">
        <v>88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89</v>
      </c>
      <c r="B1348" t="s">
        <v>3</v>
      </c>
      <c r="C1348" t="s">
        <v>83</v>
      </c>
      <c r="D1348" t="s">
        <v>52</v>
      </c>
      <c r="E1348" t="s">
        <v>25</v>
      </c>
      <c r="F1348" t="s">
        <v>52</v>
      </c>
      <c r="G1348" t="s">
        <v>70</v>
      </c>
      <c r="H1348" t="s">
        <v>88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89</v>
      </c>
      <c r="B1349" t="s">
        <v>3</v>
      </c>
      <c r="C1349" t="s">
        <v>83</v>
      </c>
      <c r="D1349" t="s">
        <v>52</v>
      </c>
      <c r="E1349" t="s">
        <v>25</v>
      </c>
      <c r="F1349" t="s">
        <v>52</v>
      </c>
      <c r="G1349" t="s">
        <v>70</v>
      </c>
      <c r="H1349" t="s">
        <v>88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89</v>
      </c>
      <c r="B1350" t="s">
        <v>3</v>
      </c>
      <c r="C1350" t="s">
        <v>83</v>
      </c>
      <c r="D1350" t="s">
        <v>52</v>
      </c>
      <c r="E1350" t="s">
        <v>25</v>
      </c>
      <c r="F1350" t="s">
        <v>52</v>
      </c>
      <c r="G1350" t="s">
        <v>70</v>
      </c>
      <c r="H1350" t="s">
        <v>88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89</v>
      </c>
      <c r="B1351" t="s">
        <v>3</v>
      </c>
      <c r="C1351" t="s">
        <v>83</v>
      </c>
      <c r="D1351" t="s">
        <v>52</v>
      </c>
      <c r="E1351" t="s">
        <v>25</v>
      </c>
      <c r="F1351" t="s">
        <v>52</v>
      </c>
      <c r="G1351" t="s">
        <v>70</v>
      </c>
      <c r="H1351" t="s">
        <v>88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89</v>
      </c>
      <c r="B1352" t="s">
        <v>3</v>
      </c>
      <c r="C1352" t="s">
        <v>83</v>
      </c>
      <c r="D1352" t="s">
        <v>52</v>
      </c>
      <c r="E1352" t="s">
        <v>25</v>
      </c>
      <c r="F1352" t="s">
        <v>52</v>
      </c>
      <c r="G1352" t="s">
        <v>70</v>
      </c>
      <c r="H1352" t="s">
        <v>88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89</v>
      </c>
      <c r="B1353" t="s">
        <v>3</v>
      </c>
      <c r="C1353" t="s">
        <v>83</v>
      </c>
      <c r="D1353" t="s">
        <v>52</v>
      </c>
      <c r="E1353" t="s">
        <v>25</v>
      </c>
      <c r="F1353" t="s">
        <v>52</v>
      </c>
      <c r="G1353" t="s">
        <v>70</v>
      </c>
      <c r="H1353" t="s">
        <v>88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89</v>
      </c>
      <c r="B1354" t="s">
        <v>3</v>
      </c>
      <c r="C1354" t="s">
        <v>83</v>
      </c>
      <c r="D1354" t="s">
        <v>52</v>
      </c>
      <c r="E1354" t="s">
        <v>25</v>
      </c>
      <c r="F1354" t="s">
        <v>52</v>
      </c>
      <c r="G1354" t="s">
        <v>70</v>
      </c>
      <c r="H1354" t="s">
        <v>88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89</v>
      </c>
      <c r="B1355" t="s">
        <v>3</v>
      </c>
      <c r="C1355" t="s">
        <v>83</v>
      </c>
      <c r="D1355" t="s">
        <v>52</v>
      </c>
      <c r="E1355" t="s">
        <v>25</v>
      </c>
      <c r="F1355" t="s">
        <v>52</v>
      </c>
      <c r="G1355" t="s">
        <v>70</v>
      </c>
      <c r="H1355" t="s">
        <v>88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89</v>
      </c>
      <c r="B1356" t="s">
        <v>4</v>
      </c>
      <c r="C1356" t="s">
        <v>83</v>
      </c>
      <c r="D1356" t="s">
        <v>52</v>
      </c>
      <c r="E1356" t="s">
        <v>25</v>
      </c>
      <c r="F1356" t="s">
        <v>52</v>
      </c>
      <c r="G1356" t="s">
        <v>70</v>
      </c>
      <c r="H1356" t="s">
        <v>88</v>
      </c>
      <c r="I1356">
        <v>2020</v>
      </c>
      <c r="J1356">
        <v>0.33260000000000001</v>
      </c>
      <c r="K1356" t="s">
        <v>52</v>
      </c>
      <c r="L1356">
        <v>94</v>
      </c>
    </row>
    <row r="1357" spans="1:12" x14ac:dyDescent="0.45">
      <c r="A1357" t="s">
        <v>89</v>
      </c>
      <c r="B1357" t="s">
        <v>4</v>
      </c>
      <c r="C1357" t="s">
        <v>83</v>
      </c>
      <c r="D1357" t="s">
        <v>52</v>
      </c>
      <c r="E1357" t="s">
        <v>25</v>
      </c>
      <c r="F1357" t="s">
        <v>52</v>
      </c>
      <c r="G1357" t="s">
        <v>70</v>
      </c>
      <c r="H1357" t="s">
        <v>88</v>
      </c>
      <c r="I1357">
        <v>2025</v>
      </c>
      <c r="J1357">
        <v>0.31369999999999998</v>
      </c>
      <c r="K1357" t="s">
        <v>52</v>
      </c>
      <c r="L1357">
        <v>94</v>
      </c>
    </row>
    <row r="1358" spans="1:12" x14ac:dyDescent="0.45">
      <c r="A1358" t="s">
        <v>89</v>
      </c>
      <c r="B1358" t="s">
        <v>4</v>
      </c>
      <c r="C1358" t="s">
        <v>83</v>
      </c>
      <c r="D1358" t="s">
        <v>52</v>
      </c>
      <c r="E1358" t="s">
        <v>25</v>
      </c>
      <c r="F1358" t="s">
        <v>52</v>
      </c>
      <c r="G1358" t="s">
        <v>70</v>
      </c>
      <c r="H1358" t="s">
        <v>88</v>
      </c>
      <c r="I1358">
        <v>2030</v>
      </c>
      <c r="J1358">
        <v>0.29570000000000002</v>
      </c>
      <c r="K1358" t="s">
        <v>52</v>
      </c>
      <c r="L1358">
        <v>94</v>
      </c>
    </row>
    <row r="1359" spans="1:12" x14ac:dyDescent="0.45">
      <c r="A1359" t="s">
        <v>89</v>
      </c>
      <c r="B1359" t="s">
        <v>4</v>
      </c>
      <c r="C1359" t="s">
        <v>83</v>
      </c>
      <c r="D1359" t="s">
        <v>52</v>
      </c>
      <c r="E1359" t="s">
        <v>25</v>
      </c>
      <c r="F1359" t="s">
        <v>52</v>
      </c>
      <c r="G1359" t="s">
        <v>70</v>
      </c>
      <c r="H1359" t="s">
        <v>88</v>
      </c>
      <c r="I1359">
        <v>2035</v>
      </c>
      <c r="J1359">
        <v>0.28499999999999998</v>
      </c>
      <c r="K1359" t="s">
        <v>52</v>
      </c>
      <c r="L1359">
        <v>94</v>
      </c>
    </row>
    <row r="1360" spans="1:12" x14ac:dyDescent="0.45">
      <c r="A1360" t="s">
        <v>89</v>
      </c>
      <c r="B1360" t="s">
        <v>4</v>
      </c>
      <c r="C1360" t="s">
        <v>83</v>
      </c>
      <c r="D1360" t="s">
        <v>52</v>
      </c>
      <c r="E1360" t="s">
        <v>25</v>
      </c>
      <c r="F1360" t="s">
        <v>52</v>
      </c>
      <c r="G1360" t="s">
        <v>70</v>
      </c>
      <c r="H1360" t="s">
        <v>88</v>
      </c>
      <c r="I1360">
        <v>2040</v>
      </c>
      <c r="J1360">
        <v>0.2586</v>
      </c>
      <c r="K1360" t="s">
        <v>52</v>
      </c>
      <c r="L1360">
        <v>94</v>
      </c>
    </row>
    <row r="1361" spans="1:12" x14ac:dyDescent="0.45">
      <c r="A1361" t="s">
        <v>89</v>
      </c>
      <c r="B1361" t="s">
        <v>4</v>
      </c>
      <c r="C1361" t="s">
        <v>83</v>
      </c>
      <c r="D1361" t="s">
        <v>52</v>
      </c>
      <c r="E1361" t="s">
        <v>25</v>
      </c>
      <c r="F1361" t="s">
        <v>52</v>
      </c>
      <c r="G1361" t="s">
        <v>70</v>
      </c>
      <c r="H1361" t="s">
        <v>88</v>
      </c>
      <c r="I1361">
        <v>2045</v>
      </c>
      <c r="J1361">
        <v>0.1888</v>
      </c>
      <c r="K1361" t="s">
        <v>52</v>
      </c>
      <c r="L1361">
        <v>94</v>
      </c>
    </row>
    <row r="1362" spans="1:12" x14ac:dyDescent="0.45">
      <c r="A1362" t="s">
        <v>89</v>
      </c>
      <c r="B1362" t="s">
        <v>4</v>
      </c>
      <c r="C1362" t="s">
        <v>83</v>
      </c>
      <c r="D1362" t="s">
        <v>52</v>
      </c>
      <c r="E1362" t="s">
        <v>25</v>
      </c>
      <c r="F1362" t="s">
        <v>52</v>
      </c>
      <c r="G1362" t="s">
        <v>70</v>
      </c>
      <c r="H1362" t="s">
        <v>88</v>
      </c>
      <c r="I1362">
        <v>2050</v>
      </c>
      <c r="J1362">
        <v>0.1196</v>
      </c>
      <c r="K1362" t="s">
        <v>52</v>
      </c>
      <c r="L1362">
        <v>94</v>
      </c>
    </row>
    <row r="1363" spans="1:12" x14ac:dyDescent="0.45">
      <c r="A1363" t="s">
        <v>89</v>
      </c>
      <c r="B1363" t="s">
        <v>4</v>
      </c>
      <c r="C1363" t="s">
        <v>83</v>
      </c>
      <c r="D1363" t="s">
        <v>52</v>
      </c>
      <c r="E1363" t="s">
        <v>25</v>
      </c>
      <c r="F1363" t="s">
        <v>52</v>
      </c>
      <c r="G1363" t="s">
        <v>70</v>
      </c>
      <c r="H1363" t="s">
        <v>88</v>
      </c>
      <c r="I1363">
        <v>2055</v>
      </c>
      <c r="J1363">
        <v>6.7349999999999993E-2</v>
      </c>
      <c r="K1363" t="s">
        <v>52</v>
      </c>
      <c r="L1363">
        <v>94</v>
      </c>
    </row>
    <row r="1364" spans="1:12" x14ac:dyDescent="0.45">
      <c r="A1364" t="s">
        <v>89</v>
      </c>
      <c r="B1364" t="s">
        <v>4</v>
      </c>
      <c r="C1364" t="s">
        <v>83</v>
      </c>
      <c r="D1364" t="s">
        <v>52</v>
      </c>
      <c r="E1364" t="s">
        <v>25</v>
      </c>
      <c r="F1364" t="s">
        <v>52</v>
      </c>
      <c r="G1364" t="s">
        <v>70</v>
      </c>
      <c r="H1364" t="s">
        <v>88</v>
      </c>
      <c r="I1364">
        <v>2060</v>
      </c>
      <c r="J1364">
        <v>1.8849999999999999E-2</v>
      </c>
      <c r="K1364" t="s">
        <v>52</v>
      </c>
      <c r="L1364">
        <v>94</v>
      </c>
    </row>
    <row r="1365" spans="1:12" x14ac:dyDescent="0.45">
      <c r="A1365" t="s">
        <v>89</v>
      </c>
      <c r="B1365" t="s">
        <v>4</v>
      </c>
      <c r="C1365" t="s">
        <v>83</v>
      </c>
      <c r="D1365" t="s">
        <v>52</v>
      </c>
      <c r="E1365" t="s">
        <v>25</v>
      </c>
      <c r="F1365" t="s">
        <v>52</v>
      </c>
      <c r="G1365" t="s">
        <v>70</v>
      </c>
      <c r="H1365" t="s">
        <v>88</v>
      </c>
      <c r="I1365">
        <v>2065</v>
      </c>
      <c r="J1365">
        <v>6.45E-3</v>
      </c>
      <c r="K1365" t="s">
        <v>52</v>
      </c>
      <c r="L1365">
        <v>94</v>
      </c>
    </row>
    <row r="1366" spans="1:12" x14ac:dyDescent="0.45">
      <c r="A1366" t="s">
        <v>89</v>
      </c>
      <c r="B1366" t="s">
        <v>4</v>
      </c>
      <c r="C1366" t="s">
        <v>83</v>
      </c>
      <c r="D1366" t="s">
        <v>52</v>
      </c>
      <c r="E1366" t="s">
        <v>25</v>
      </c>
      <c r="F1366" t="s">
        <v>52</v>
      </c>
      <c r="G1366" t="s">
        <v>70</v>
      </c>
      <c r="H1366" t="s">
        <v>88</v>
      </c>
      <c r="I1366">
        <v>2070</v>
      </c>
      <c r="J1366">
        <v>2.0000000000000001E-4</v>
      </c>
      <c r="K1366" t="s">
        <v>52</v>
      </c>
      <c r="L1366">
        <v>94</v>
      </c>
    </row>
    <row r="1367" spans="1:12" x14ac:dyDescent="0.45">
      <c r="A1367" t="s">
        <v>89</v>
      </c>
      <c r="B1367" t="s">
        <v>4</v>
      </c>
      <c r="C1367" t="s">
        <v>83</v>
      </c>
      <c r="D1367" t="s">
        <v>52</v>
      </c>
      <c r="E1367" t="s">
        <v>25</v>
      </c>
      <c r="F1367" t="s">
        <v>52</v>
      </c>
      <c r="G1367" t="s">
        <v>70</v>
      </c>
      <c r="H1367" t="s">
        <v>88</v>
      </c>
      <c r="I1367">
        <v>2075</v>
      </c>
      <c r="J1367">
        <v>1E-4</v>
      </c>
      <c r="K1367" t="s">
        <v>52</v>
      </c>
      <c r="L1367">
        <v>94</v>
      </c>
    </row>
    <row r="1368" spans="1:12" x14ac:dyDescent="0.45">
      <c r="A1368" t="s">
        <v>89</v>
      </c>
      <c r="B1368" t="s">
        <v>4</v>
      </c>
      <c r="C1368" t="s">
        <v>83</v>
      </c>
      <c r="D1368" t="s">
        <v>52</v>
      </c>
      <c r="E1368" t="s">
        <v>25</v>
      </c>
      <c r="F1368" t="s">
        <v>52</v>
      </c>
      <c r="G1368" t="s">
        <v>70</v>
      </c>
      <c r="H1368" t="s">
        <v>88</v>
      </c>
      <c r="I1368">
        <v>2080</v>
      </c>
      <c r="J1368">
        <v>0</v>
      </c>
      <c r="K1368" t="s">
        <v>52</v>
      </c>
      <c r="L1368">
        <v>94</v>
      </c>
    </row>
    <row r="1369" spans="1:12" x14ac:dyDescent="0.45">
      <c r="A1369" t="s">
        <v>89</v>
      </c>
      <c r="B1369" t="s">
        <v>4</v>
      </c>
      <c r="C1369" t="s">
        <v>83</v>
      </c>
      <c r="D1369" t="s">
        <v>52</v>
      </c>
      <c r="E1369" t="s">
        <v>25</v>
      </c>
      <c r="F1369" t="s">
        <v>52</v>
      </c>
      <c r="G1369" t="s">
        <v>70</v>
      </c>
      <c r="H1369" t="s">
        <v>88</v>
      </c>
      <c r="I1369">
        <v>2085</v>
      </c>
      <c r="J1369">
        <v>1E-4</v>
      </c>
      <c r="K1369" t="s">
        <v>52</v>
      </c>
      <c r="L1369">
        <v>94</v>
      </c>
    </row>
    <row r="1370" spans="1:12" x14ac:dyDescent="0.45">
      <c r="A1370" t="s">
        <v>89</v>
      </c>
      <c r="B1370" t="s">
        <v>4</v>
      </c>
      <c r="C1370" t="s">
        <v>83</v>
      </c>
      <c r="D1370" t="s">
        <v>52</v>
      </c>
      <c r="E1370" t="s">
        <v>25</v>
      </c>
      <c r="F1370" t="s">
        <v>52</v>
      </c>
      <c r="G1370" t="s">
        <v>70</v>
      </c>
      <c r="H1370" t="s">
        <v>88</v>
      </c>
      <c r="I1370">
        <v>2090</v>
      </c>
      <c r="J1370">
        <v>2.5000000000000001E-4</v>
      </c>
      <c r="K1370" t="s">
        <v>52</v>
      </c>
      <c r="L1370">
        <v>94</v>
      </c>
    </row>
    <row r="1371" spans="1:12" x14ac:dyDescent="0.45">
      <c r="A1371" t="s">
        <v>89</v>
      </c>
      <c r="B1371" t="s">
        <v>4</v>
      </c>
      <c r="C1371" t="s">
        <v>83</v>
      </c>
      <c r="D1371" t="s">
        <v>52</v>
      </c>
      <c r="E1371" t="s">
        <v>25</v>
      </c>
      <c r="F1371" t="s">
        <v>52</v>
      </c>
      <c r="G1371" t="s">
        <v>70</v>
      </c>
      <c r="H1371" t="s">
        <v>88</v>
      </c>
      <c r="I1371">
        <v>2095</v>
      </c>
      <c r="J1371">
        <v>7.5000000000000002E-4</v>
      </c>
      <c r="K1371" t="s">
        <v>52</v>
      </c>
      <c r="L1371">
        <v>94</v>
      </c>
    </row>
    <row r="1372" spans="1:12" x14ac:dyDescent="0.45">
      <c r="A1372" t="s">
        <v>89</v>
      </c>
      <c r="B1372" t="s">
        <v>4</v>
      </c>
      <c r="C1372" t="s">
        <v>83</v>
      </c>
      <c r="D1372" t="s">
        <v>52</v>
      </c>
      <c r="E1372" t="s">
        <v>25</v>
      </c>
      <c r="F1372" t="s">
        <v>52</v>
      </c>
      <c r="G1372" t="s">
        <v>70</v>
      </c>
      <c r="H1372" t="s">
        <v>88</v>
      </c>
      <c r="I1372">
        <v>2100</v>
      </c>
      <c r="J1372">
        <v>1.4E-3</v>
      </c>
      <c r="K1372" t="s">
        <v>52</v>
      </c>
      <c r="L1372">
        <v>94</v>
      </c>
    </row>
    <row r="1373" spans="1:12" x14ac:dyDescent="0.45">
      <c r="A1373" t="s">
        <v>89</v>
      </c>
      <c r="B1373" t="s">
        <v>0</v>
      </c>
      <c r="C1373" t="s">
        <v>83</v>
      </c>
      <c r="D1373" t="s">
        <v>52</v>
      </c>
      <c r="E1373" t="s">
        <v>25</v>
      </c>
      <c r="F1373" t="s">
        <v>52</v>
      </c>
      <c r="G1373" t="s">
        <v>70</v>
      </c>
      <c r="H1373" t="s">
        <v>88</v>
      </c>
      <c r="I1373">
        <v>2020</v>
      </c>
      <c r="J1373">
        <v>0.3241</v>
      </c>
      <c r="K1373" t="s">
        <v>52</v>
      </c>
      <c r="L1373">
        <v>94</v>
      </c>
    </row>
    <row r="1374" spans="1:12" x14ac:dyDescent="0.45">
      <c r="A1374" t="s">
        <v>89</v>
      </c>
      <c r="B1374" t="s">
        <v>0</v>
      </c>
      <c r="C1374" t="s">
        <v>83</v>
      </c>
      <c r="D1374" t="s">
        <v>52</v>
      </c>
      <c r="E1374" t="s">
        <v>25</v>
      </c>
      <c r="F1374" t="s">
        <v>52</v>
      </c>
      <c r="G1374" t="s">
        <v>70</v>
      </c>
      <c r="H1374" t="s">
        <v>88</v>
      </c>
      <c r="I1374">
        <v>2025</v>
      </c>
      <c r="J1374">
        <v>0.30880000000000002</v>
      </c>
      <c r="K1374" t="s">
        <v>52</v>
      </c>
      <c r="L1374">
        <v>94</v>
      </c>
    </row>
    <row r="1375" spans="1:12" x14ac:dyDescent="0.45">
      <c r="A1375" t="s">
        <v>89</v>
      </c>
      <c r="B1375" t="s">
        <v>0</v>
      </c>
      <c r="C1375" t="s">
        <v>83</v>
      </c>
      <c r="D1375" t="s">
        <v>52</v>
      </c>
      <c r="E1375" t="s">
        <v>25</v>
      </c>
      <c r="F1375" t="s">
        <v>52</v>
      </c>
      <c r="G1375" t="s">
        <v>70</v>
      </c>
      <c r="H1375" t="s">
        <v>88</v>
      </c>
      <c r="I1375">
        <v>2030</v>
      </c>
      <c r="J1375">
        <v>0.29730000000000001</v>
      </c>
      <c r="K1375" t="s">
        <v>52</v>
      </c>
      <c r="L1375">
        <v>94</v>
      </c>
    </row>
    <row r="1376" spans="1:12" x14ac:dyDescent="0.45">
      <c r="A1376" t="s">
        <v>89</v>
      </c>
      <c r="B1376" t="s">
        <v>0</v>
      </c>
      <c r="C1376" t="s">
        <v>83</v>
      </c>
      <c r="D1376" t="s">
        <v>52</v>
      </c>
      <c r="E1376" t="s">
        <v>25</v>
      </c>
      <c r="F1376" t="s">
        <v>52</v>
      </c>
      <c r="G1376" t="s">
        <v>70</v>
      </c>
      <c r="H1376" t="s">
        <v>88</v>
      </c>
      <c r="I1376">
        <v>2035</v>
      </c>
      <c r="J1376">
        <v>0.2263</v>
      </c>
      <c r="K1376" t="s">
        <v>52</v>
      </c>
      <c r="L1376">
        <v>94</v>
      </c>
    </row>
    <row r="1377" spans="1:12" x14ac:dyDescent="0.45">
      <c r="A1377" t="s">
        <v>89</v>
      </c>
      <c r="B1377" t="s">
        <v>0</v>
      </c>
      <c r="C1377" t="s">
        <v>83</v>
      </c>
      <c r="D1377" t="s">
        <v>52</v>
      </c>
      <c r="E1377" t="s">
        <v>25</v>
      </c>
      <c r="F1377" t="s">
        <v>52</v>
      </c>
      <c r="G1377" t="s">
        <v>70</v>
      </c>
      <c r="H1377" t="s">
        <v>88</v>
      </c>
      <c r="I1377">
        <v>2040</v>
      </c>
      <c r="J1377">
        <v>0.13320000000000001</v>
      </c>
      <c r="K1377" t="s">
        <v>52</v>
      </c>
      <c r="L1377">
        <v>94</v>
      </c>
    </row>
    <row r="1378" spans="1:12" x14ac:dyDescent="0.45">
      <c r="A1378" t="s">
        <v>89</v>
      </c>
      <c r="B1378" t="s">
        <v>0</v>
      </c>
      <c r="C1378" t="s">
        <v>83</v>
      </c>
      <c r="D1378" t="s">
        <v>52</v>
      </c>
      <c r="E1378" t="s">
        <v>25</v>
      </c>
      <c r="F1378" t="s">
        <v>52</v>
      </c>
      <c r="G1378" t="s">
        <v>70</v>
      </c>
      <c r="H1378" t="s">
        <v>88</v>
      </c>
      <c r="I1378">
        <v>2045</v>
      </c>
      <c r="J1378">
        <v>3.5700000000000003E-2</v>
      </c>
      <c r="K1378" t="s">
        <v>52</v>
      </c>
      <c r="L1378">
        <v>94</v>
      </c>
    </row>
    <row r="1379" spans="1:12" x14ac:dyDescent="0.45">
      <c r="A1379" t="s">
        <v>89</v>
      </c>
      <c r="B1379" t="s">
        <v>0</v>
      </c>
      <c r="C1379" t="s">
        <v>83</v>
      </c>
      <c r="D1379" t="s">
        <v>52</v>
      </c>
      <c r="E1379" t="s">
        <v>25</v>
      </c>
      <c r="F1379" t="s">
        <v>52</v>
      </c>
      <c r="G1379" t="s">
        <v>70</v>
      </c>
      <c r="H1379" t="s">
        <v>88</v>
      </c>
      <c r="I1379">
        <v>2050</v>
      </c>
      <c r="J1379">
        <v>7.9000000000000008E-3</v>
      </c>
      <c r="K1379" t="s">
        <v>52</v>
      </c>
      <c r="L1379">
        <v>94</v>
      </c>
    </row>
    <row r="1380" spans="1:12" x14ac:dyDescent="0.45">
      <c r="A1380" t="s">
        <v>89</v>
      </c>
      <c r="B1380" t="s">
        <v>0</v>
      </c>
      <c r="C1380" t="s">
        <v>83</v>
      </c>
      <c r="D1380" t="s">
        <v>52</v>
      </c>
      <c r="E1380" t="s">
        <v>25</v>
      </c>
      <c r="F1380" t="s">
        <v>52</v>
      </c>
      <c r="G1380" t="s">
        <v>70</v>
      </c>
      <c r="H1380" t="s">
        <v>88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89</v>
      </c>
      <c r="B1381" t="s">
        <v>0</v>
      </c>
      <c r="C1381" t="s">
        <v>83</v>
      </c>
      <c r="D1381" t="s">
        <v>52</v>
      </c>
      <c r="E1381" t="s">
        <v>25</v>
      </c>
      <c r="F1381" t="s">
        <v>52</v>
      </c>
      <c r="G1381" t="s">
        <v>70</v>
      </c>
      <c r="H1381" t="s">
        <v>88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89</v>
      </c>
      <c r="B1382" t="s">
        <v>0</v>
      </c>
      <c r="C1382" t="s">
        <v>83</v>
      </c>
      <c r="D1382" t="s">
        <v>52</v>
      </c>
      <c r="E1382" t="s">
        <v>25</v>
      </c>
      <c r="F1382" t="s">
        <v>52</v>
      </c>
      <c r="G1382" t="s">
        <v>70</v>
      </c>
      <c r="H1382" t="s">
        <v>88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89</v>
      </c>
      <c r="B1383" t="s">
        <v>0</v>
      </c>
      <c r="C1383" t="s">
        <v>83</v>
      </c>
      <c r="D1383" t="s">
        <v>52</v>
      </c>
      <c r="E1383" t="s">
        <v>25</v>
      </c>
      <c r="F1383" t="s">
        <v>52</v>
      </c>
      <c r="G1383" t="s">
        <v>70</v>
      </c>
      <c r="H1383" t="s">
        <v>88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89</v>
      </c>
      <c r="B1384" t="s">
        <v>0</v>
      </c>
      <c r="C1384" t="s">
        <v>83</v>
      </c>
      <c r="D1384" t="s">
        <v>52</v>
      </c>
      <c r="E1384" t="s">
        <v>25</v>
      </c>
      <c r="F1384" t="s">
        <v>52</v>
      </c>
      <c r="G1384" t="s">
        <v>70</v>
      </c>
      <c r="H1384" t="s">
        <v>88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89</v>
      </c>
      <c r="B1385" t="s">
        <v>0</v>
      </c>
      <c r="C1385" t="s">
        <v>83</v>
      </c>
      <c r="D1385" t="s">
        <v>52</v>
      </c>
      <c r="E1385" t="s">
        <v>25</v>
      </c>
      <c r="F1385" t="s">
        <v>52</v>
      </c>
      <c r="G1385" t="s">
        <v>70</v>
      </c>
      <c r="H1385" t="s">
        <v>88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89</v>
      </c>
      <c r="B1386" t="s">
        <v>0</v>
      </c>
      <c r="C1386" t="s">
        <v>83</v>
      </c>
      <c r="D1386" t="s">
        <v>52</v>
      </c>
      <c r="E1386" t="s">
        <v>25</v>
      </c>
      <c r="F1386" t="s">
        <v>52</v>
      </c>
      <c r="G1386" t="s">
        <v>70</v>
      </c>
      <c r="H1386" t="s">
        <v>88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89</v>
      </c>
      <c r="B1387" t="s">
        <v>0</v>
      </c>
      <c r="C1387" t="s">
        <v>83</v>
      </c>
      <c r="D1387" t="s">
        <v>52</v>
      </c>
      <c r="E1387" t="s">
        <v>25</v>
      </c>
      <c r="F1387" t="s">
        <v>52</v>
      </c>
      <c r="G1387" t="s">
        <v>70</v>
      </c>
      <c r="H1387" t="s">
        <v>88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89</v>
      </c>
      <c r="B1388" t="s">
        <v>0</v>
      </c>
      <c r="C1388" t="s">
        <v>83</v>
      </c>
      <c r="D1388" t="s">
        <v>52</v>
      </c>
      <c r="E1388" t="s">
        <v>25</v>
      </c>
      <c r="F1388" t="s">
        <v>52</v>
      </c>
      <c r="G1388" t="s">
        <v>70</v>
      </c>
      <c r="H1388" t="s">
        <v>88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89</v>
      </c>
      <c r="B1389" t="s">
        <v>0</v>
      </c>
      <c r="C1389" t="s">
        <v>83</v>
      </c>
      <c r="D1389" t="s">
        <v>52</v>
      </c>
      <c r="E1389" t="s">
        <v>25</v>
      </c>
      <c r="F1389" t="s">
        <v>52</v>
      </c>
      <c r="G1389" t="s">
        <v>70</v>
      </c>
      <c r="H1389" t="s">
        <v>88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89</v>
      </c>
      <c r="B1390" t="s">
        <v>6</v>
      </c>
      <c r="C1390" t="s">
        <v>83</v>
      </c>
      <c r="D1390" t="s">
        <v>52</v>
      </c>
      <c r="E1390" t="s">
        <v>25</v>
      </c>
      <c r="F1390" t="s">
        <v>52</v>
      </c>
      <c r="G1390" t="s">
        <v>70</v>
      </c>
      <c r="H1390" t="s">
        <v>88</v>
      </c>
      <c r="I1390">
        <v>2020</v>
      </c>
      <c r="J1390">
        <v>0.32619999999999999</v>
      </c>
      <c r="K1390" t="s">
        <v>52</v>
      </c>
      <c r="L1390">
        <v>94</v>
      </c>
    </row>
    <row r="1391" spans="1:12" x14ac:dyDescent="0.45">
      <c r="A1391" t="s">
        <v>89</v>
      </c>
      <c r="B1391" t="s">
        <v>6</v>
      </c>
      <c r="C1391" t="s">
        <v>83</v>
      </c>
      <c r="D1391" t="s">
        <v>52</v>
      </c>
      <c r="E1391" t="s">
        <v>25</v>
      </c>
      <c r="F1391" t="s">
        <v>52</v>
      </c>
      <c r="G1391" t="s">
        <v>70</v>
      </c>
      <c r="H1391" t="s">
        <v>88</v>
      </c>
      <c r="I1391">
        <v>2025</v>
      </c>
      <c r="J1391">
        <v>0.30630000000000002</v>
      </c>
      <c r="K1391" t="s">
        <v>52</v>
      </c>
      <c r="L1391">
        <v>94</v>
      </c>
    </row>
    <row r="1392" spans="1:12" x14ac:dyDescent="0.45">
      <c r="A1392" t="s">
        <v>89</v>
      </c>
      <c r="B1392" t="s">
        <v>6</v>
      </c>
      <c r="C1392" t="s">
        <v>83</v>
      </c>
      <c r="D1392" t="s">
        <v>52</v>
      </c>
      <c r="E1392" t="s">
        <v>25</v>
      </c>
      <c r="F1392" t="s">
        <v>52</v>
      </c>
      <c r="G1392" t="s">
        <v>70</v>
      </c>
      <c r="H1392" t="s">
        <v>88</v>
      </c>
      <c r="I1392">
        <v>2030</v>
      </c>
      <c r="J1392">
        <v>0.29260000000000003</v>
      </c>
      <c r="K1392" t="s">
        <v>52</v>
      </c>
      <c r="L1392">
        <v>94</v>
      </c>
    </row>
    <row r="1393" spans="1:12" x14ac:dyDescent="0.45">
      <c r="A1393" t="s">
        <v>89</v>
      </c>
      <c r="B1393" t="s">
        <v>6</v>
      </c>
      <c r="C1393" t="s">
        <v>83</v>
      </c>
      <c r="D1393" t="s">
        <v>52</v>
      </c>
      <c r="E1393" t="s">
        <v>25</v>
      </c>
      <c r="F1393" t="s">
        <v>52</v>
      </c>
      <c r="G1393" t="s">
        <v>70</v>
      </c>
      <c r="H1393" t="s">
        <v>88</v>
      </c>
      <c r="I1393">
        <v>2035</v>
      </c>
      <c r="J1393">
        <v>0.26669999999999999</v>
      </c>
      <c r="K1393" t="s">
        <v>52</v>
      </c>
      <c r="L1393">
        <v>94</v>
      </c>
    </row>
    <row r="1394" spans="1:12" x14ac:dyDescent="0.45">
      <c r="A1394" t="s">
        <v>89</v>
      </c>
      <c r="B1394" t="s">
        <v>6</v>
      </c>
      <c r="C1394" t="s">
        <v>83</v>
      </c>
      <c r="D1394" t="s">
        <v>52</v>
      </c>
      <c r="E1394" t="s">
        <v>25</v>
      </c>
      <c r="F1394" t="s">
        <v>52</v>
      </c>
      <c r="G1394" t="s">
        <v>70</v>
      </c>
      <c r="H1394" t="s">
        <v>88</v>
      </c>
      <c r="I1394">
        <v>2040</v>
      </c>
      <c r="J1394">
        <v>0.18360000000000001</v>
      </c>
      <c r="K1394" t="s">
        <v>52</v>
      </c>
      <c r="L1394">
        <v>94</v>
      </c>
    </row>
    <row r="1395" spans="1:12" x14ac:dyDescent="0.45">
      <c r="A1395" t="s">
        <v>89</v>
      </c>
      <c r="B1395" t="s">
        <v>6</v>
      </c>
      <c r="C1395" t="s">
        <v>83</v>
      </c>
      <c r="D1395" t="s">
        <v>52</v>
      </c>
      <c r="E1395" t="s">
        <v>25</v>
      </c>
      <c r="F1395" t="s">
        <v>52</v>
      </c>
      <c r="G1395" t="s">
        <v>70</v>
      </c>
      <c r="H1395" t="s">
        <v>88</v>
      </c>
      <c r="I1395">
        <v>2045</v>
      </c>
      <c r="J1395">
        <v>8.6099999999999996E-2</v>
      </c>
      <c r="K1395" t="s">
        <v>52</v>
      </c>
      <c r="L1395">
        <v>94</v>
      </c>
    </row>
    <row r="1396" spans="1:12" x14ac:dyDescent="0.45">
      <c r="A1396" t="s">
        <v>89</v>
      </c>
      <c r="B1396" t="s">
        <v>6</v>
      </c>
      <c r="C1396" t="s">
        <v>83</v>
      </c>
      <c r="D1396" t="s">
        <v>52</v>
      </c>
      <c r="E1396" t="s">
        <v>25</v>
      </c>
      <c r="F1396" t="s">
        <v>52</v>
      </c>
      <c r="G1396" t="s">
        <v>70</v>
      </c>
      <c r="H1396" t="s">
        <v>88</v>
      </c>
      <c r="I1396">
        <v>2050</v>
      </c>
      <c r="J1396">
        <v>1.9400000000000001E-2</v>
      </c>
      <c r="K1396" t="s">
        <v>52</v>
      </c>
      <c r="L1396">
        <v>94</v>
      </c>
    </row>
    <row r="1397" spans="1:12" x14ac:dyDescent="0.45">
      <c r="A1397" t="s">
        <v>89</v>
      </c>
      <c r="B1397" t="s">
        <v>6</v>
      </c>
      <c r="C1397" t="s">
        <v>83</v>
      </c>
      <c r="D1397" t="s">
        <v>52</v>
      </c>
      <c r="E1397" t="s">
        <v>25</v>
      </c>
      <c r="F1397" t="s">
        <v>52</v>
      </c>
      <c r="G1397" t="s">
        <v>70</v>
      </c>
      <c r="H1397" t="s">
        <v>88</v>
      </c>
      <c r="I1397">
        <v>2055</v>
      </c>
      <c r="J1397">
        <v>1.3499999999999999E-3</v>
      </c>
      <c r="K1397" t="s">
        <v>52</v>
      </c>
      <c r="L1397">
        <v>94</v>
      </c>
    </row>
    <row r="1398" spans="1:12" x14ac:dyDescent="0.45">
      <c r="A1398" t="s">
        <v>89</v>
      </c>
      <c r="B1398" t="s">
        <v>6</v>
      </c>
      <c r="C1398" t="s">
        <v>83</v>
      </c>
      <c r="D1398" t="s">
        <v>52</v>
      </c>
      <c r="E1398" t="s">
        <v>25</v>
      </c>
      <c r="F1398" t="s">
        <v>52</v>
      </c>
      <c r="G1398" t="s">
        <v>70</v>
      </c>
      <c r="H1398" t="s">
        <v>88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89</v>
      </c>
      <c r="B1399" t="s">
        <v>6</v>
      </c>
      <c r="C1399" t="s">
        <v>83</v>
      </c>
      <c r="D1399" t="s">
        <v>52</v>
      </c>
      <c r="E1399" t="s">
        <v>25</v>
      </c>
      <c r="F1399" t="s">
        <v>52</v>
      </c>
      <c r="G1399" t="s">
        <v>70</v>
      </c>
      <c r="H1399" t="s">
        <v>88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89</v>
      </c>
      <c r="B1400" t="s">
        <v>6</v>
      </c>
      <c r="C1400" t="s">
        <v>83</v>
      </c>
      <c r="D1400" t="s">
        <v>52</v>
      </c>
      <c r="E1400" t="s">
        <v>25</v>
      </c>
      <c r="F1400" t="s">
        <v>52</v>
      </c>
      <c r="G1400" t="s">
        <v>70</v>
      </c>
      <c r="H1400" t="s">
        <v>88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89</v>
      </c>
      <c r="B1401" t="s">
        <v>6</v>
      </c>
      <c r="C1401" t="s">
        <v>83</v>
      </c>
      <c r="D1401" t="s">
        <v>52</v>
      </c>
      <c r="E1401" t="s">
        <v>25</v>
      </c>
      <c r="F1401" t="s">
        <v>52</v>
      </c>
      <c r="G1401" t="s">
        <v>70</v>
      </c>
      <c r="H1401" t="s">
        <v>88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89</v>
      </c>
      <c r="B1402" t="s">
        <v>6</v>
      </c>
      <c r="C1402" t="s">
        <v>83</v>
      </c>
      <c r="D1402" t="s">
        <v>52</v>
      </c>
      <c r="E1402" t="s">
        <v>25</v>
      </c>
      <c r="F1402" t="s">
        <v>52</v>
      </c>
      <c r="G1402" t="s">
        <v>70</v>
      </c>
      <c r="H1402" t="s">
        <v>88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89</v>
      </c>
      <c r="B1403" t="s">
        <v>6</v>
      </c>
      <c r="C1403" t="s">
        <v>83</v>
      </c>
      <c r="D1403" t="s">
        <v>52</v>
      </c>
      <c r="E1403" t="s">
        <v>25</v>
      </c>
      <c r="F1403" t="s">
        <v>52</v>
      </c>
      <c r="G1403" t="s">
        <v>70</v>
      </c>
      <c r="H1403" t="s">
        <v>88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89</v>
      </c>
      <c r="B1404" t="s">
        <v>6</v>
      </c>
      <c r="C1404" t="s">
        <v>83</v>
      </c>
      <c r="D1404" t="s">
        <v>52</v>
      </c>
      <c r="E1404" t="s">
        <v>25</v>
      </c>
      <c r="F1404" t="s">
        <v>52</v>
      </c>
      <c r="G1404" t="s">
        <v>70</v>
      </c>
      <c r="H1404" t="s">
        <v>88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89</v>
      </c>
      <c r="B1405" t="s">
        <v>6</v>
      </c>
      <c r="C1405" t="s">
        <v>83</v>
      </c>
      <c r="D1405" t="s">
        <v>52</v>
      </c>
      <c r="E1405" t="s">
        <v>25</v>
      </c>
      <c r="F1405" t="s">
        <v>52</v>
      </c>
      <c r="G1405" t="s">
        <v>70</v>
      </c>
      <c r="H1405" t="s">
        <v>88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89</v>
      </c>
      <c r="B1406" t="s">
        <v>6</v>
      </c>
      <c r="C1406" t="s">
        <v>83</v>
      </c>
      <c r="D1406" t="s">
        <v>52</v>
      </c>
      <c r="E1406" t="s">
        <v>25</v>
      </c>
      <c r="F1406" t="s">
        <v>52</v>
      </c>
      <c r="G1406" t="s">
        <v>70</v>
      </c>
      <c r="H1406" t="s">
        <v>88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89</v>
      </c>
      <c r="B1407" t="s">
        <v>5</v>
      </c>
      <c r="C1407" t="s">
        <v>83</v>
      </c>
      <c r="D1407" t="s">
        <v>52</v>
      </c>
      <c r="E1407" t="s">
        <v>25</v>
      </c>
      <c r="F1407" t="s">
        <v>52</v>
      </c>
      <c r="G1407" t="s">
        <v>70</v>
      </c>
      <c r="H1407" t="s">
        <v>88</v>
      </c>
      <c r="I1407">
        <v>2020</v>
      </c>
      <c r="J1407">
        <v>0.33360000000000001</v>
      </c>
      <c r="K1407" t="s">
        <v>52</v>
      </c>
      <c r="L1407">
        <v>94</v>
      </c>
    </row>
    <row r="1408" spans="1:12" x14ac:dyDescent="0.45">
      <c r="A1408" t="s">
        <v>89</v>
      </c>
      <c r="B1408" t="s">
        <v>5</v>
      </c>
      <c r="C1408" t="s">
        <v>83</v>
      </c>
      <c r="D1408" t="s">
        <v>52</v>
      </c>
      <c r="E1408" t="s">
        <v>25</v>
      </c>
      <c r="F1408" t="s">
        <v>52</v>
      </c>
      <c r="G1408" t="s">
        <v>70</v>
      </c>
      <c r="H1408" t="s">
        <v>88</v>
      </c>
      <c r="I1408">
        <v>2025</v>
      </c>
      <c r="J1408">
        <v>0.31390000000000001</v>
      </c>
      <c r="K1408" t="s">
        <v>52</v>
      </c>
      <c r="L1408">
        <v>94</v>
      </c>
    </row>
    <row r="1409" spans="1:12" x14ac:dyDescent="0.45">
      <c r="A1409" t="s">
        <v>89</v>
      </c>
      <c r="B1409" t="s">
        <v>5</v>
      </c>
      <c r="C1409" t="s">
        <v>83</v>
      </c>
      <c r="D1409" t="s">
        <v>52</v>
      </c>
      <c r="E1409" t="s">
        <v>25</v>
      </c>
      <c r="F1409" t="s">
        <v>52</v>
      </c>
      <c r="G1409" t="s">
        <v>70</v>
      </c>
      <c r="H1409" t="s">
        <v>88</v>
      </c>
      <c r="I1409">
        <v>2030</v>
      </c>
      <c r="J1409">
        <v>0.29249999999999998</v>
      </c>
      <c r="K1409" t="s">
        <v>52</v>
      </c>
      <c r="L1409">
        <v>94</v>
      </c>
    </row>
    <row r="1410" spans="1:12" x14ac:dyDescent="0.45">
      <c r="A1410" t="s">
        <v>89</v>
      </c>
      <c r="B1410" t="s">
        <v>5</v>
      </c>
      <c r="C1410" t="s">
        <v>83</v>
      </c>
      <c r="D1410" t="s">
        <v>52</v>
      </c>
      <c r="E1410" t="s">
        <v>25</v>
      </c>
      <c r="F1410" t="s">
        <v>52</v>
      </c>
      <c r="G1410" t="s">
        <v>70</v>
      </c>
      <c r="H1410" t="s">
        <v>88</v>
      </c>
      <c r="I1410">
        <v>2035</v>
      </c>
      <c r="J1410">
        <v>0.1328</v>
      </c>
      <c r="K1410" t="s">
        <v>52</v>
      </c>
      <c r="L1410">
        <v>94</v>
      </c>
    </row>
    <row r="1411" spans="1:12" x14ac:dyDescent="0.45">
      <c r="A1411" t="s">
        <v>89</v>
      </c>
      <c r="B1411" t="s">
        <v>5</v>
      </c>
      <c r="C1411" t="s">
        <v>83</v>
      </c>
      <c r="D1411" t="s">
        <v>52</v>
      </c>
      <c r="E1411" t="s">
        <v>25</v>
      </c>
      <c r="F1411" t="s">
        <v>52</v>
      </c>
      <c r="G1411" t="s">
        <v>70</v>
      </c>
      <c r="H1411" t="s">
        <v>88</v>
      </c>
      <c r="I1411">
        <v>2040</v>
      </c>
      <c r="J1411">
        <v>0.04</v>
      </c>
      <c r="K1411" t="s">
        <v>52</v>
      </c>
      <c r="L1411">
        <v>94</v>
      </c>
    </row>
    <row r="1412" spans="1:12" x14ac:dyDescent="0.45">
      <c r="A1412" t="s">
        <v>89</v>
      </c>
      <c r="B1412" t="s">
        <v>5</v>
      </c>
      <c r="C1412" t="s">
        <v>83</v>
      </c>
      <c r="D1412" t="s">
        <v>52</v>
      </c>
      <c r="E1412" t="s">
        <v>25</v>
      </c>
      <c r="F1412" t="s">
        <v>52</v>
      </c>
      <c r="G1412" t="s">
        <v>70</v>
      </c>
      <c r="H1412" t="s">
        <v>88</v>
      </c>
      <c r="I1412">
        <v>2045</v>
      </c>
      <c r="J1412">
        <v>1E-4</v>
      </c>
      <c r="K1412" t="s">
        <v>52</v>
      </c>
      <c r="L1412">
        <v>94</v>
      </c>
    </row>
    <row r="1413" spans="1:12" x14ac:dyDescent="0.45">
      <c r="A1413" t="s">
        <v>89</v>
      </c>
      <c r="B1413" t="s">
        <v>5</v>
      </c>
      <c r="C1413" t="s">
        <v>83</v>
      </c>
      <c r="D1413" t="s">
        <v>52</v>
      </c>
      <c r="E1413" t="s">
        <v>25</v>
      </c>
      <c r="F1413" t="s">
        <v>52</v>
      </c>
      <c r="G1413" t="s">
        <v>70</v>
      </c>
      <c r="H1413" t="s">
        <v>88</v>
      </c>
      <c r="I1413">
        <v>2050</v>
      </c>
      <c r="J1413">
        <v>1E-4</v>
      </c>
      <c r="K1413" t="s">
        <v>52</v>
      </c>
      <c r="L1413">
        <v>94</v>
      </c>
    </row>
    <row r="1414" spans="1:12" x14ac:dyDescent="0.45">
      <c r="A1414" t="s">
        <v>89</v>
      </c>
      <c r="B1414" t="s">
        <v>5</v>
      </c>
      <c r="C1414" t="s">
        <v>83</v>
      </c>
      <c r="D1414" t="s">
        <v>52</v>
      </c>
      <c r="E1414" t="s">
        <v>25</v>
      </c>
      <c r="F1414" t="s">
        <v>52</v>
      </c>
      <c r="G1414" t="s">
        <v>70</v>
      </c>
      <c r="H1414" t="s">
        <v>88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89</v>
      </c>
      <c r="B1415" t="s">
        <v>5</v>
      </c>
      <c r="C1415" t="s">
        <v>83</v>
      </c>
      <c r="D1415" t="s">
        <v>52</v>
      </c>
      <c r="E1415" t="s">
        <v>25</v>
      </c>
      <c r="F1415" t="s">
        <v>52</v>
      </c>
      <c r="G1415" t="s">
        <v>70</v>
      </c>
      <c r="H1415" t="s">
        <v>88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89</v>
      </c>
      <c r="B1416" t="s">
        <v>5</v>
      </c>
      <c r="C1416" t="s">
        <v>83</v>
      </c>
      <c r="D1416" t="s">
        <v>52</v>
      </c>
      <c r="E1416" t="s">
        <v>25</v>
      </c>
      <c r="F1416" t="s">
        <v>52</v>
      </c>
      <c r="G1416" t="s">
        <v>70</v>
      </c>
      <c r="H1416" t="s">
        <v>88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89</v>
      </c>
      <c r="B1417" t="s">
        <v>5</v>
      </c>
      <c r="C1417" t="s">
        <v>83</v>
      </c>
      <c r="D1417" t="s">
        <v>52</v>
      </c>
      <c r="E1417" t="s">
        <v>25</v>
      </c>
      <c r="F1417" t="s">
        <v>52</v>
      </c>
      <c r="G1417" t="s">
        <v>70</v>
      </c>
      <c r="H1417" t="s">
        <v>88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89</v>
      </c>
      <c r="B1418" t="s">
        <v>5</v>
      </c>
      <c r="C1418" t="s">
        <v>83</v>
      </c>
      <c r="D1418" t="s">
        <v>52</v>
      </c>
      <c r="E1418" t="s">
        <v>25</v>
      </c>
      <c r="F1418" t="s">
        <v>52</v>
      </c>
      <c r="G1418" t="s">
        <v>70</v>
      </c>
      <c r="H1418" t="s">
        <v>88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89</v>
      </c>
      <c r="B1419" t="s">
        <v>5</v>
      </c>
      <c r="C1419" t="s">
        <v>83</v>
      </c>
      <c r="D1419" t="s">
        <v>52</v>
      </c>
      <c r="E1419" t="s">
        <v>25</v>
      </c>
      <c r="F1419" t="s">
        <v>52</v>
      </c>
      <c r="G1419" t="s">
        <v>70</v>
      </c>
      <c r="H1419" t="s">
        <v>88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89</v>
      </c>
      <c r="B1420" t="s">
        <v>5</v>
      </c>
      <c r="C1420" t="s">
        <v>83</v>
      </c>
      <c r="D1420" t="s">
        <v>52</v>
      </c>
      <c r="E1420" t="s">
        <v>25</v>
      </c>
      <c r="F1420" t="s">
        <v>52</v>
      </c>
      <c r="G1420" t="s">
        <v>70</v>
      </c>
      <c r="H1420" t="s">
        <v>88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89</v>
      </c>
      <c r="B1421" t="s">
        <v>5</v>
      </c>
      <c r="C1421" t="s">
        <v>83</v>
      </c>
      <c r="D1421" t="s">
        <v>52</v>
      </c>
      <c r="E1421" t="s">
        <v>25</v>
      </c>
      <c r="F1421" t="s">
        <v>52</v>
      </c>
      <c r="G1421" t="s">
        <v>70</v>
      </c>
      <c r="H1421" t="s">
        <v>88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89</v>
      </c>
      <c r="B1422" t="s">
        <v>5</v>
      </c>
      <c r="C1422" t="s">
        <v>83</v>
      </c>
      <c r="D1422" t="s">
        <v>52</v>
      </c>
      <c r="E1422" t="s">
        <v>25</v>
      </c>
      <c r="F1422" t="s">
        <v>52</v>
      </c>
      <c r="G1422" t="s">
        <v>70</v>
      </c>
      <c r="H1422" t="s">
        <v>88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89</v>
      </c>
      <c r="B1423" t="s">
        <v>5</v>
      </c>
      <c r="C1423" t="s">
        <v>83</v>
      </c>
      <c r="D1423" t="s">
        <v>52</v>
      </c>
      <c r="E1423" t="s">
        <v>25</v>
      </c>
      <c r="F1423" t="s">
        <v>52</v>
      </c>
      <c r="G1423" t="s">
        <v>70</v>
      </c>
      <c r="H1423" t="s">
        <v>88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89</v>
      </c>
      <c r="B1424" t="s">
        <v>2</v>
      </c>
      <c r="C1424" t="s">
        <v>83</v>
      </c>
      <c r="D1424" t="s">
        <v>52</v>
      </c>
      <c r="E1424" t="s">
        <v>25</v>
      </c>
      <c r="F1424" t="s">
        <v>52</v>
      </c>
      <c r="G1424" t="s">
        <v>70</v>
      </c>
      <c r="H1424" t="s">
        <v>88</v>
      </c>
      <c r="I1424">
        <v>2020</v>
      </c>
      <c r="J1424">
        <v>0.3286</v>
      </c>
      <c r="K1424" t="s">
        <v>52</v>
      </c>
      <c r="L1424">
        <v>94</v>
      </c>
    </row>
    <row r="1425" spans="1:12" x14ac:dyDescent="0.45">
      <c r="A1425" t="s">
        <v>89</v>
      </c>
      <c r="B1425" t="s">
        <v>2</v>
      </c>
      <c r="C1425" t="s">
        <v>83</v>
      </c>
      <c r="D1425" t="s">
        <v>52</v>
      </c>
      <c r="E1425" t="s">
        <v>25</v>
      </c>
      <c r="F1425" t="s">
        <v>52</v>
      </c>
      <c r="G1425" t="s">
        <v>70</v>
      </c>
      <c r="H1425" t="s">
        <v>88</v>
      </c>
      <c r="I1425">
        <v>2025</v>
      </c>
      <c r="J1425">
        <v>0.30819999999999997</v>
      </c>
      <c r="K1425" t="s">
        <v>52</v>
      </c>
      <c r="L1425">
        <v>94</v>
      </c>
    </row>
    <row r="1426" spans="1:12" x14ac:dyDescent="0.45">
      <c r="A1426" t="s">
        <v>89</v>
      </c>
      <c r="B1426" t="s">
        <v>2</v>
      </c>
      <c r="C1426" t="s">
        <v>83</v>
      </c>
      <c r="D1426" t="s">
        <v>52</v>
      </c>
      <c r="E1426" t="s">
        <v>25</v>
      </c>
      <c r="F1426" t="s">
        <v>52</v>
      </c>
      <c r="G1426" t="s">
        <v>70</v>
      </c>
      <c r="H1426" t="s">
        <v>88</v>
      </c>
      <c r="I1426">
        <v>2030</v>
      </c>
      <c r="J1426">
        <v>0.27229999999999999</v>
      </c>
      <c r="K1426" t="s">
        <v>52</v>
      </c>
      <c r="L1426">
        <v>94</v>
      </c>
    </row>
    <row r="1427" spans="1:12" x14ac:dyDescent="0.45">
      <c r="A1427" t="s">
        <v>89</v>
      </c>
      <c r="B1427" t="s">
        <v>2</v>
      </c>
      <c r="C1427" t="s">
        <v>83</v>
      </c>
      <c r="D1427" t="s">
        <v>52</v>
      </c>
      <c r="E1427" t="s">
        <v>25</v>
      </c>
      <c r="F1427" t="s">
        <v>52</v>
      </c>
      <c r="G1427" t="s">
        <v>70</v>
      </c>
      <c r="H1427" t="s">
        <v>88</v>
      </c>
      <c r="I1427">
        <v>2035</v>
      </c>
      <c r="J1427">
        <v>0.21909999999999999</v>
      </c>
      <c r="K1427" t="s">
        <v>52</v>
      </c>
      <c r="L1427">
        <v>94</v>
      </c>
    </row>
    <row r="1428" spans="1:12" x14ac:dyDescent="0.45">
      <c r="A1428" t="s">
        <v>89</v>
      </c>
      <c r="B1428" t="s">
        <v>2</v>
      </c>
      <c r="C1428" t="s">
        <v>83</v>
      </c>
      <c r="D1428" t="s">
        <v>52</v>
      </c>
      <c r="E1428" t="s">
        <v>25</v>
      </c>
      <c r="F1428" t="s">
        <v>52</v>
      </c>
      <c r="G1428" t="s">
        <v>70</v>
      </c>
      <c r="H1428" t="s">
        <v>88</v>
      </c>
      <c r="I1428">
        <v>2040</v>
      </c>
      <c r="J1428">
        <v>0.15640000000000001</v>
      </c>
      <c r="K1428" t="s">
        <v>52</v>
      </c>
      <c r="L1428">
        <v>94</v>
      </c>
    </row>
    <row r="1429" spans="1:12" x14ac:dyDescent="0.45">
      <c r="A1429" t="s">
        <v>89</v>
      </c>
      <c r="B1429" t="s">
        <v>2</v>
      </c>
      <c r="C1429" t="s">
        <v>83</v>
      </c>
      <c r="D1429" t="s">
        <v>52</v>
      </c>
      <c r="E1429" t="s">
        <v>25</v>
      </c>
      <c r="F1429" t="s">
        <v>52</v>
      </c>
      <c r="G1429" t="s">
        <v>70</v>
      </c>
      <c r="H1429" t="s">
        <v>88</v>
      </c>
      <c r="I1429">
        <v>2045</v>
      </c>
      <c r="J1429">
        <v>7.3800000000000004E-2</v>
      </c>
      <c r="K1429" t="s">
        <v>52</v>
      </c>
      <c r="L1429">
        <v>94</v>
      </c>
    </row>
    <row r="1430" spans="1:12" x14ac:dyDescent="0.45">
      <c r="A1430" t="s">
        <v>89</v>
      </c>
      <c r="B1430" t="s">
        <v>2</v>
      </c>
      <c r="C1430" t="s">
        <v>83</v>
      </c>
      <c r="D1430" t="s">
        <v>52</v>
      </c>
      <c r="E1430" t="s">
        <v>25</v>
      </c>
      <c r="F1430" t="s">
        <v>52</v>
      </c>
      <c r="G1430" t="s">
        <v>70</v>
      </c>
      <c r="H1430" t="s">
        <v>88</v>
      </c>
      <c r="I1430">
        <v>2050</v>
      </c>
      <c r="J1430">
        <v>2.9600000000000001E-2</v>
      </c>
      <c r="K1430" t="s">
        <v>52</v>
      </c>
      <c r="L1430">
        <v>94</v>
      </c>
    </row>
    <row r="1431" spans="1:12" x14ac:dyDescent="0.45">
      <c r="A1431" t="s">
        <v>89</v>
      </c>
      <c r="B1431" t="s">
        <v>2</v>
      </c>
      <c r="C1431" t="s">
        <v>83</v>
      </c>
      <c r="D1431" t="s">
        <v>52</v>
      </c>
      <c r="E1431" t="s">
        <v>25</v>
      </c>
      <c r="F1431" t="s">
        <v>52</v>
      </c>
      <c r="G1431" t="s">
        <v>70</v>
      </c>
      <c r="H1431" t="s">
        <v>88</v>
      </c>
      <c r="I1431">
        <v>2055</v>
      </c>
      <c r="J1431">
        <v>9.0000000000000011E-3</v>
      </c>
      <c r="K1431" t="s">
        <v>52</v>
      </c>
      <c r="L1431">
        <v>94</v>
      </c>
    </row>
    <row r="1432" spans="1:12" x14ac:dyDescent="0.45">
      <c r="A1432" t="s">
        <v>89</v>
      </c>
      <c r="B1432" t="s">
        <v>2</v>
      </c>
      <c r="C1432" t="s">
        <v>83</v>
      </c>
      <c r="D1432" t="s">
        <v>52</v>
      </c>
      <c r="E1432" t="s">
        <v>25</v>
      </c>
      <c r="F1432" t="s">
        <v>52</v>
      </c>
      <c r="G1432" t="s">
        <v>70</v>
      </c>
      <c r="H1432" t="s">
        <v>88</v>
      </c>
      <c r="I1432">
        <v>2060</v>
      </c>
      <c r="J1432">
        <v>9.5E-4</v>
      </c>
      <c r="K1432" t="s">
        <v>52</v>
      </c>
      <c r="L1432">
        <v>94</v>
      </c>
    </row>
    <row r="1433" spans="1:12" x14ac:dyDescent="0.45">
      <c r="A1433" t="s">
        <v>89</v>
      </c>
      <c r="B1433" t="s">
        <v>2</v>
      </c>
      <c r="C1433" t="s">
        <v>83</v>
      </c>
      <c r="D1433" t="s">
        <v>52</v>
      </c>
      <c r="E1433" t="s">
        <v>25</v>
      </c>
      <c r="F1433" t="s">
        <v>52</v>
      </c>
      <c r="G1433" t="s">
        <v>70</v>
      </c>
      <c r="H1433" t="s">
        <v>88</v>
      </c>
      <c r="I1433">
        <v>2065</v>
      </c>
      <c r="J1433">
        <v>4.0000000000000002E-4</v>
      </c>
      <c r="K1433" t="s">
        <v>52</v>
      </c>
      <c r="L1433">
        <v>94</v>
      </c>
    </row>
    <row r="1434" spans="1:12" x14ac:dyDescent="0.45">
      <c r="A1434" t="s">
        <v>89</v>
      </c>
      <c r="B1434" t="s">
        <v>2</v>
      </c>
      <c r="C1434" t="s">
        <v>83</v>
      </c>
      <c r="D1434" t="s">
        <v>52</v>
      </c>
      <c r="E1434" t="s">
        <v>25</v>
      </c>
      <c r="F1434" t="s">
        <v>52</v>
      </c>
      <c r="G1434" t="s">
        <v>70</v>
      </c>
      <c r="H1434" t="s">
        <v>88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89</v>
      </c>
      <c r="B1435" t="s">
        <v>2</v>
      </c>
      <c r="C1435" t="s">
        <v>83</v>
      </c>
      <c r="D1435" t="s">
        <v>52</v>
      </c>
      <c r="E1435" t="s">
        <v>25</v>
      </c>
      <c r="F1435" t="s">
        <v>52</v>
      </c>
      <c r="G1435" t="s">
        <v>70</v>
      </c>
      <c r="H1435" t="s">
        <v>88</v>
      </c>
      <c r="I1435">
        <v>2075</v>
      </c>
      <c r="J1435">
        <v>5.0000000000000002E-5</v>
      </c>
      <c r="K1435" t="s">
        <v>52</v>
      </c>
      <c r="L1435">
        <v>94</v>
      </c>
    </row>
    <row r="1436" spans="1:12" x14ac:dyDescent="0.45">
      <c r="A1436" t="s">
        <v>89</v>
      </c>
      <c r="B1436" t="s">
        <v>2</v>
      </c>
      <c r="C1436" t="s">
        <v>83</v>
      </c>
      <c r="D1436" t="s">
        <v>52</v>
      </c>
      <c r="E1436" t="s">
        <v>25</v>
      </c>
      <c r="F1436" t="s">
        <v>52</v>
      </c>
      <c r="G1436" t="s">
        <v>70</v>
      </c>
      <c r="H1436" t="s">
        <v>88</v>
      </c>
      <c r="I1436">
        <v>2080</v>
      </c>
      <c r="J1436">
        <v>5.0000000000000002E-5</v>
      </c>
      <c r="K1436" t="s">
        <v>52</v>
      </c>
      <c r="L1436">
        <v>94</v>
      </c>
    </row>
    <row r="1437" spans="1:12" x14ac:dyDescent="0.45">
      <c r="A1437" t="s">
        <v>89</v>
      </c>
      <c r="B1437" t="s">
        <v>2</v>
      </c>
      <c r="C1437" t="s">
        <v>83</v>
      </c>
      <c r="D1437" t="s">
        <v>52</v>
      </c>
      <c r="E1437" t="s">
        <v>25</v>
      </c>
      <c r="F1437" t="s">
        <v>52</v>
      </c>
      <c r="G1437" t="s">
        <v>70</v>
      </c>
      <c r="H1437" t="s">
        <v>88</v>
      </c>
      <c r="I1437">
        <v>2085</v>
      </c>
      <c r="J1437">
        <v>5.0000000000000002E-5</v>
      </c>
      <c r="K1437" t="s">
        <v>52</v>
      </c>
      <c r="L1437">
        <v>94</v>
      </c>
    </row>
    <row r="1438" spans="1:12" x14ac:dyDescent="0.45">
      <c r="A1438" t="s">
        <v>89</v>
      </c>
      <c r="B1438" t="s">
        <v>2</v>
      </c>
      <c r="C1438" t="s">
        <v>83</v>
      </c>
      <c r="D1438" t="s">
        <v>52</v>
      </c>
      <c r="E1438" t="s">
        <v>25</v>
      </c>
      <c r="F1438" t="s">
        <v>52</v>
      </c>
      <c r="G1438" t="s">
        <v>70</v>
      </c>
      <c r="H1438" t="s">
        <v>88</v>
      </c>
      <c r="I1438">
        <v>2090</v>
      </c>
      <c r="J1438">
        <v>5.0000000000000002E-5</v>
      </c>
      <c r="K1438" t="s">
        <v>52</v>
      </c>
      <c r="L1438">
        <v>94</v>
      </c>
    </row>
    <row r="1439" spans="1:12" x14ac:dyDescent="0.45">
      <c r="A1439" t="s">
        <v>89</v>
      </c>
      <c r="B1439" t="s">
        <v>2</v>
      </c>
      <c r="C1439" t="s">
        <v>83</v>
      </c>
      <c r="D1439" t="s">
        <v>52</v>
      </c>
      <c r="E1439" t="s">
        <v>25</v>
      </c>
      <c r="F1439" t="s">
        <v>52</v>
      </c>
      <c r="G1439" t="s">
        <v>70</v>
      </c>
      <c r="H1439" t="s">
        <v>88</v>
      </c>
      <c r="I1439">
        <v>2095</v>
      </c>
      <c r="J1439">
        <v>5.0000000000000002E-5</v>
      </c>
      <c r="K1439" t="s">
        <v>52</v>
      </c>
      <c r="L1439">
        <v>94</v>
      </c>
    </row>
    <row r="1440" spans="1:12" x14ac:dyDescent="0.45">
      <c r="A1440" t="s">
        <v>89</v>
      </c>
      <c r="B1440" t="s">
        <v>2</v>
      </c>
      <c r="C1440" t="s">
        <v>83</v>
      </c>
      <c r="D1440" t="s">
        <v>52</v>
      </c>
      <c r="E1440" t="s">
        <v>25</v>
      </c>
      <c r="F1440" t="s">
        <v>52</v>
      </c>
      <c r="G1440" t="s">
        <v>70</v>
      </c>
      <c r="H1440" t="s">
        <v>88</v>
      </c>
      <c r="I1440">
        <v>2100</v>
      </c>
      <c r="J1440">
        <v>5.0000000000000002E-5</v>
      </c>
      <c r="K1440" t="s">
        <v>52</v>
      </c>
      <c r="L1440">
        <v>94</v>
      </c>
    </row>
    <row r="1441" spans="1:12" x14ac:dyDescent="0.45">
      <c r="A1441" t="s">
        <v>89</v>
      </c>
      <c r="B1441" t="s">
        <v>1</v>
      </c>
      <c r="C1441" t="s">
        <v>83</v>
      </c>
      <c r="D1441" t="s">
        <v>52</v>
      </c>
      <c r="E1441" t="s">
        <v>25</v>
      </c>
      <c r="F1441" t="s">
        <v>52</v>
      </c>
      <c r="G1441" t="s">
        <v>70</v>
      </c>
      <c r="H1441" t="s">
        <v>88</v>
      </c>
      <c r="I1441">
        <v>2020</v>
      </c>
      <c r="J1441">
        <v>0.32350000000000001</v>
      </c>
      <c r="K1441" t="s">
        <v>52</v>
      </c>
      <c r="L1441">
        <v>94</v>
      </c>
    </row>
    <row r="1442" spans="1:12" x14ac:dyDescent="0.45">
      <c r="A1442" t="s">
        <v>89</v>
      </c>
      <c r="B1442" t="s">
        <v>1</v>
      </c>
      <c r="C1442" t="s">
        <v>83</v>
      </c>
      <c r="D1442" t="s">
        <v>52</v>
      </c>
      <c r="E1442" t="s">
        <v>25</v>
      </c>
      <c r="F1442" t="s">
        <v>52</v>
      </c>
      <c r="G1442" t="s">
        <v>70</v>
      </c>
      <c r="H1442" t="s">
        <v>88</v>
      </c>
      <c r="I1442">
        <v>2025</v>
      </c>
      <c r="J1442">
        <v>0.28770000000000001</v>
      </c>
      <c r="K1442" t="s">
        <v>52</v>
      </c>
      <c r="L1442">
        <v>94</v>
      </c>
    </row>
    <row r="1443" spans="1:12" x14ac:dyDescent="0.45">
      <c r="A1443" t="s">
        <v>89</v>
      </c>
      <c r="B1443" t="s">
        <v>1</v>
      </c>
      <c r="C1443" t="s">
        <v>83</v>
      </c>
      <c r="D1443" t="s">
        <v>52</v>
      </c>
      <c r="E1443" t="s">
        <v>25</v>
      </c>
      <c r="F1443" t="s">
        <v>52</v>
      </c>
      <c r="G1443" t="s">
        <v>70</v>
      </c>
      <c r="H1443" t="s">
        <v>88</v>
      </c>
      <c r="I1443">
        <v>2030</v>
      </c>
      <c r="J1443">
        <v>0.2026</v>
      </c>
      <c r="K1443" t="s">
        <v>52</v>
      </c>
      <c r="L1443">
        <v>94</v>
      </c>
    </row>
    <row r="1444" spans="1:12" x14ac:dyDescent="0.45">
      <c r="A1444" t="s">
        <v>89</v>
      </c>
      <c r="B1444" t="s">
        <v>1</v>
      </c>
      <c r="C1444" t="s">
        <v>83</v>
      </c>
      <c r="D1444" t="s">
        <v>52</v>
      </c>
      <c r="E1444" t="s">
        <v>25</v>
      </c>
      <c r="F1444" t="s">
        <v>52</v>
      </c>
      <c r="G1444" t="s">
        <v>70</v>
      </c>
      <c r="H1444" t="s">
        <v>88</v>
      </c>
      <c r="I1444">
        <v>2035</v>
      </c>
      <c r="J1444">
        <v>6.1800000000000001E-2</v>
      </c>
      <c r="K1444" t="s">
        <v>52</v>
      </c>
      <c r="L1444">
        <v>94</v>
      </c>
    </row>
    <row r="1445" spans="1:12" x14ac:dyDescent="0.45">
      <c r="A1445" t="s">
        <v>89</v>
      </c>
      <c r="B1445" t="s">
        <v>1</v>
      </c>
      <c r="C1445" t="s">
        <v>83</v>
      </c>
      <c r="D1445" t="s">
        <v>52</v>
      </c>
      <c r="E1445" t="s">
        <v>25</v>
      </c>
      <c r="F1445" t="s">
        <v>52</v>
      </c>
      <c r="G1445" t="s">
        <v>70</v>
      </c>
      <c r="H1445" t="s">
        <v>88</v>
      </c>
      <c r="I1445">
        <v>2040</v>
      </c>
      <c r="J1445">
        <v>2.1999999999999999E-2</v>
      </c>
      <c r="K1445" t="s">
        <v>52</v>
      </c>
      <c r="L1445">
        <v>94</v>
      </c>
    </row>
    <row r="1446" spans="1:12" x14ac:dyDescent="0.45">
      <c r="A1446" t="s">
        <v>89</v>
      </c>
      <c r="B1446" t="s">
        <v>1</v>
      </c>
      <c r="C1446" t="s">
        <v>83</v>
      </c>
      <c r="D1446" t="s">
        <v>52</v>
      </c>
      <c r="E1446" t="s">
        <v>25</v>
      </c>
      <c r="F1446" t="s">
        <v>52</v>
      </c>
      <c r="G1446" t="s">
        <v>70</v>
      </c>
      <c r="H1446" t="s">
        <v>88</v>
      </c>
      <c r="I1446">
        <v>2045</v>
      </c>
      <c r="J1446">
        <v>1E-4</v>
      </c>
      <c r="K1446" t="s">
        <v>52</v>
      </c>
      <c r="L1446">
        <v>94</v>
      </c>
    </row>
    <row r="1447" spans="1:12" x14ac:dyDescent="0.45">
      <c r="A1447" t="s">
        <v>89</v>
      </c>
      <c r="B1447" t="s">
        <v>1</v>
      </c>
      <c r="C1447" t="s">
        <v>83</v>
      </c>
      <c r="D1447" t="s">
        <v>52</v>
      </c>
      <c r="E1447" t="s">
        <v>25</v>
      </c>
      <c r="F1447" t="s">
        <v>52</v>
      </c>
      <c r="G1447" t="s">
        <v>70</v>
      </c>
      <c r="H1447" t="s">
        <v>88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89</v>
      </c>
      <c r="B1448" t="s">
        <v>1</v>
      </c>
      <c r="C1448" t="s">
        <v>83</v>
      </c>
      <c r="D1448" t="s">
        <v>52</v>
      </c>
      <c r="E1448" t="s">
        <v>25</v>
      </c>
      <c r="F1448" t="s">
        <v>52</v>
      </c>
      <c r="G1448" t="s">
        <v>70</v>
      </c>
      <c r="H1448" t="s">
        <v>88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89</v>
      </c>
      <c r="B1449" t="s">
        <v>1</v>
      </c>
      <c r="C1449" t="s">
        <v>83</v>
      </c>
      <c r="D1449" t="s">
        <v>52</v>
      </c>
      <c r="E1449" t="s">
        <v>25</v>
      </c>
      <c r="F1449" t="s">
        <v>52</v>
      </c>
      <c r="G1449" t="s">
        <v>70</v>
      </c>
      <c r="H1449" t="s">
        <v>88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89</v>
      </c>
      <c r="B1450" t="s">
        <v>1</v>
      </c>
      <c r="C1450" t="s">
        <v>83</v>
      </c>
      <c r="D1450" t="s">
        <v>52</v>
      </c>
      <c r="E1450" t="s">
        <v>25</v>
      </c>
      <c r="F1450" t="s">
        <v>52</v>
      </c>
      <c r="G1450" t="s">
        <v>70</v>
      </c>
      <c r="H1450" t="s">
        <v>88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89</v>
      </c>
      <c r="B1451" t="s">
        <v>1</v>
      </c>
      <c r="C1451" t="s">
        <v>83</v>
      </c>
      <c r="D1451" t="s">
        <v>52</v>
      </c>
      <c r="E1451" t="s">
        <v>25</v>
      </c>
      <c r="F1451" t="s">
        <v>52</v>
      </c>
      <c r="G1451" t="s">
        <v>70</v>
      </c>
      <c r="H1451" t="s">
        <v>88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89</v>
      </c>
      <c r="B1452" t="s">
        <v>1</v>
      </c>
      <c r="C1452" t="s">
        <v>83</v>
      </c>
      <c r="D1452" t="s">
        <v>52</v>
      </c>
      <c r="E1452" t="s">
        <v>25</v>
      </c>
      <c r="F1452" t="s">
        <v>52</v>
      </c>
      <c r="G1452" t="s">
        <v>70</v>
      </c>
      <c r="H1452" t="s">
        <v>88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89</v>
      </c>
      <c r="B1453" t="s">
        <v>1</v>
      </c>
      <c r="C1453" t="s">
        <v>83</v>
      </c>
      <c r="D1453" t="s">
        <v>52</v>
      </c>
      <c r="E1453" t="s">
        <v>25</v>
      </c>
      <c r="F1453" t="s">
        <v>52</v>
      </c>
      <c r="G1453" t="s">
        <v>70</v>
      </c>
      <c r="H1453" t="s">
        <v>88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89</v>
      </c>
      <c r="B1454" t="s">
        <v>1</v>
      </c>
      <c r="C1454" t="s">
        <v>83</v>
      </c>
      <c r="D1454" t="s">
        <v>52</v>
      </c>
      <c r="E1454" t="s">
        <v>25</v>
      </c>
      <c r="F1454" t="s">
        <v>52</v>
      </c>
      <c r="G1454" t="s">
        <v>70</v>
      </c>
      <c r="H1454" t="s">
        <v>88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89</v>
      </c>
      <c r="B1455" t="s">
        <v>1</v>
      </c>
      <c r="C1455" t="s">
        <v>83</v>
      </c>
      <c r="D1455" t="s">
        <v>52</v>
      </c>
      <c r="E1455" t="s">
        <v>25</v>
      </c>
      <c r="F1455" t="s">
        <v>52</v>
      </c>
      <c r="G1455" t="s">
        <v>70</v>
      </c>
      <c r="H1455" t="s">
        <v>88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89</v>
      </c>
      <c r="B1456" t="s">
        <v>1</v>
      </c>
      <c r="C1456" t="s">
        <v>83</v>
      </c>
      <c r="D1456" t="s">
        <v>52</v>
      </c>
      <c r="E1456" t="s">
        <v>25</v>
      </c>
      <c r="F1456" t="s">
        <v>52</v>
      </c>
      <c r="G1456" t="s">
        <v>70</v>
      </c>
      <c r="H1456" t="s">
        <v>88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89</v>
      </c>
      <c r="B1457" t="s">
        <v>1</v>
      </c>
      <c r="C1457" t="s">
        <v>83</v>
      </c>
      <c r="D1457" t="s">
        <v>52</v>
      </c>
      <c r="E1457" t="s">
        <v>25</v>
      </c>
      <c r="F1457" t="s">
        <v>52</v>
      </c>
      <c r="G1457" t="s">
        <v>70</v>
      </c>
      <c r="H1457" t="s">
        <v>88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89</v>
      </c>
      <c r="B1458" t="s">
        <v>3</v>
      </c>
      <c r="C1458" t="s">
        <v>83</v>
      </c>
      <c r="D1458" t="s">
        <v>53</v>
      </c>
      <c r="E1458" t="s">
        <v>25</v>
      </c>
      <c r="F1458" t="s">
        <v>53</v>
      </c>
      <c r="G1458" t="s">
        <v>70</v>
      </c>
      <c r="H1458" t="s">
        <v>88</v>
      </c>
      <c r="I1458">
        <v>2020</v>
      </c>
      <c r="J1458">
        <v>0.10829999999999999</v>
      </c>
      <c r="K1458" t="s">
        <v>53</v>
      </c>
      <c r="L1458">
        <v>55</v>
      </c>
    </row>
    <row r="1459" spans="1:12" x14ac:dyDescent="0.45">
      <c r="A1459" t="s">
        <v>89</v>
      </c>
      <c r="B1459" t="s">
        <v>3</v>
      </c>
      <c r="C1459" t="s">
        <v>83</v>
      </c>
      <c r="D1459" t="s">
        <v>53</v>
      </c>
      <c r="E1459" t="s">
        <v>25</v>
      </c>
      <c r="F1459" t="s">
        <v>53</v>
      </c>
      <c r="G1459" t="s">
        <v>70</v>
      </c>
      <c r="H1459" t="s">
        <v>88</v>
      </c>
      <c r="I1459">
        <v>2025</v>
      </c>
      <c r="J1459">
        <v>0.1231</v>
      </c>
      <c r="K1459" t="s">
        <v>53</v>
      </c>
      <c r="L1459">
        <v>55</v>
      </c>
    </row>
    <row r="1460" spans="1:12" x14ac:dyDescent="0.45">
      <c r="A1460" t="s">
        <v>89</v>
      </c>
      <c r="B1460" t="s">
        <v>3</v>
      </c>
      <c r="C1460" t="s">
        <v>83</v>
      </c>
      <c r="D1460" t="s">
        <v>53</v>
      </c>
      <c r="E1460" t="s">
        <v>25</v>
      </c>
      <c r="F1460" t="s">
        <v>53</v>
      </c>
      <c r="G1460" t="s">
        <v>70</v>
      </c>
      <c r="H1460" t="s">
        <v>88</v>
      </c>
      <c r="I1460">
        <v>2030</v>
      </c>
      <c r="J1460">
        <v>0.13719999999999999</v>
      </c>
      <c r="K1460" t="s">
        <v>53</v>
      </c>
      <c r="L1460">
        <v>55</v>
      </c>
    </row>
    <row r="1461" spans="1:12" x14ac:dyDescent="0.45">
      <c r="A1461" t="s">
        <v>89</v>
      </c>
      <c r="B1461" t="s">
        <v>3</v>
      </c>
      <c r="C1461" t="s">
        <v>83</v>
      </c>
      <c r="D1461" t="s">
        <v>53</v>
      </c>
      <c r="E1461" t="s">
        <v>25</v>
      </c>
      <c r="F1461" t="s">
        <v>53</v>
      </c>
      <c r="G1461" t="s">
        <v>70</v>
      </c>
      <c r="H1461" t="s">
        <v>88</v>
      </c>
      <c r="I1461">
        <v>2035</v>
      </c>
      <c r="J1461">
        <v>9.2299999999999993E-2</v>
      </c>
      <c r="K1461" t="s">
        <v>53</v>
      </c>
      <c r="L1461">
        <v>55</v>
      </c>
    </row>
    <row r="1462" spans="1:12" x14ac:dyDescent="0.45">
      <c r="A1462" t="s">
        <v>89</v>
      </c>
      <c r="B1462" t="s">
        <v>3</v>
      </c>
      <c r="C1462" t="s">
        <v>83</v>
      </c>
      <c r="D1462" t="s">
        <v>53</v>
      </c>
      <c r="E1462" t="s">
        <v>25</v>
      </c>
      <c r="F1462" t="s">
        <v>53</v>
      </c>
      <c r="G1462" t="s">
        <v>70</v>
      </c>
      <c r="H1462" t="s">
        <v>88</v>
      </c>
      <c r="I1462">
        <v>2040</v>
      </c>
      <c r="J1462">
        <v>5.8099999999999999E-2</v>
      </c>
      <c r="K1462" t="s">
        <v>53</v>
      </c>
      <c r="L1462">
        <v>55</v>
      </c>
    </row>
    <row r="1463" spans="1:12" x14ac:dyDescent="0.45">
      <c r="A1463" t="s">
        <v>89</v>
      </c>
      <c r="B1463" t="s">
        <v>3</v>
      </c>
      <c r="C1463" t="s">
        <v>83</v>
      </c>
      <c r="D1463" t="s">
        <v>53</v>
      </c>
      <c r="E1463" t="s">
        <v>25</v>
      </c>
      <c r="F1463" t="s">
        <v>53</v>
      </c>
      <c r="G1463" t="s">
        <v>70</v>
      </c>
      <c r="H1463" t="s">
        <v>88</v>
      </c>
      <c r="I1463">
        <v>2045</v>
      </c>
      <c r="J1463">
        <v>2.3800000000000002E-2</v>
      </c>
      <c r="K1463" t="s">
        <v>53</v>
      </c>
      <c r="L1463">
        <v>55</v>
      </c>
    </row>
    <row r="1464" spans="1:12" x14ac:dyDescent="0.45">
      <c r="A1464" t="s">
        <v>89</v>
      </c>
      <c r="B1464" t="s">
        <v>3</v>
      </c>
      <c r="C1464" t="s">
        <v>83</v>
      </c>
      <c r="D1464" t="s">
        <v>53</v>
      </c>
      <c r="E1464" t="s">
        <v>25</v>
      </c>
      <c r="F1464" t="s">
        <v>53</v>
      </c>
      <c r="G1464" t="s">
        <v>70</v>
      </c>
      <c r="H1464" t="s">
        <v>88</v>
      </c>
      <c r="I1464">
        <v>2050</v>
      </c>
      <c r="J1464">
        <v>4.1999999999999997E-3</v>
      </c>
      <c r="K1464" t="s">
        <v>53</v>
      </c>
      <c r="L1464">
        <v>55</v>
      </c>
    </row>
    <row r="1465" spans="1:12" x14ac:dyDescent="0.45">
      <c r="A1465" t="s">
        <v>89</v>
      </c>
      <c r="B1465" t="s">
        <v>3</v>
      </c>
      <c r="C1465" t="s">
        <v>83</v>
      </c>
      <c r="D1465" t="s">
        <v>53</v>
      </c>
      <c r="E1465" t="s">
        <v>25</v>
      </c>
      <c r="F1465" t="s">
        <v>53</v>
      </c>
      <c r="G1465" t="s">
        <v>70</v>
      </c>
      <c r="H1465" t="s">
        <v>88</v>
      </c>
      <c r="I1465">
        <v>2055</v>
      </c>
      <c r="J1465">
        <v>2.15E-3</v>
      </c>
      <c r="K1465" t="s">
        <v>53</v>
      </c>
      <c r="L1465">
        <v>55</v>
      </c>
    </row>
    <row r="1466" spans="1:12" x14ac:dyDescent="0.45">
      <c r="A1466" t="s">
        <v>89</v>
      </c>
      <c r="B1466" t="s">
        <v>3</v>
      </c>
      <c r="C1466" t="s">
        <v>83</v>
      </c>
      <c r="D1466" t="s">
        <v>53</v>
      </c>
      <c r="E1466" t="s">
        <v>25</v>
      </c>
      <c r="F1466" t="s">
        <v>53</v>
      </c>
      <c r="G1466" t="s">
        <v>70</v>
      </c>
      <c r="H1466" t="s">
        <v>88</v>
      </c>
      <c r="I1466">
        <v>2060</v>
      </c>
      <c r="J1466">
        <v>1.9499999999999999E-3</v>
      </c>
      <c r="K1466" t="s">
        <v>53</v>
      </c>
      <c r="L1466">
        <v>55</v>
      </c>
    </row>
    <row r="1467" spans="1:12" x14ac:dyDescent="0.45">
      <c r="A1467" t="s">
        <v>89</v>
      </c>
      <c r="B1467" t="s">
        <v>3</v>
      </c>
      <c r="C1467" t="s">
        <v>83</v>
      </c>
      <c r="D1467" t="s">
        <v>53</v>
      </c>
      <c r="E1467" t="s">
        <v>25</v>
      </c>
      <c r="F1467" t="s">
        <v>53</v>
      </c>
      <c r="G1467" t="s">
        <v>70</v>
      </c>
      <c r="H1467" t="s">
        <v>88</v>
      </c>
      <c r="I1467">
        <v>2065</v>
      </c>
      <c r="J1467">
        <v>1.7499999999999998E-3</v>
      </c>
      <c r="K1467" t="s">
        <v>53</v>
      </c>
      <c r="L1467">
        <v>55</v>
      </c>
    </row>
    <row r="1468" spans="1:12" x14ac:dyDescent="0.45">
      <c r="A1468" t="s">
        <v>89</v>
      </c>
      <c r="B1468" t="s">
        <v>3</v>
      </c>
      <c r="C1468" t="s">
        <v>83</v>
      </c>
      <c r="D1468" t="s">
        <v>53</v>
      </c>
      <c r="E1468" t="s">
        <v>25</v>
      </c>
      <c r="F1468" t="s">
        <v>53</v>
      </c>
      <c r="G1468" t="s">
        <v>70</v>
      </c>
      <c r="H1468" t="s">
        <v>88</v>
      </c>
      <c r="I1468">
        <v>2070</v>
      </c>
      <c r="J1468">
        <v>1.5500000000000002E-3</v>
      </c>
      <c r="K1468" t="s">
        <v>53</v>
      </c>
      <c r="L1468">
        <v>55</v>
      </c>
    </row>
    <row r="1469" spans="1:12" x14ac:dyDescent="0.45">
      <c r="A1469" t="s">
        <v>89</v>
      </c>
      <c r="B1469" t="s">
        <v>3</v>
      </c>
      <c r="C1469" t="s">
        <v>83</v>
      </c>
      <c r="D1469" t="s">
        <v>53</v>
      </c>
      <c r="E1469" t="s">
        <v>25</v>
      </c>
      <c r="F1469" t="s">
        <v>53</v>
      </c>
      <c r="G1469" t="s">
        <v>70</v>
      </c>
      <c r="H1469" t="s">
        <v>88</v>
      </c>
      <c r="I1469">
        <v>2075</v>
      </c>
      <c r="J1469">
        <v>1.2499999999999998E-3</v>
      </c>
      <c r="K1469" t="s">
        <v>53</v>
      </c>
      <c r="L1469">
        <v>55</v>
      </c>
    </row>
    <row r="1470" spans="1:12" x14ac:dyDescent="0.45">
      <c r="A1470" t="s">
        <v>89</v>
      </c>
      <c r="B1470" t="s">
        <v>3</v>
      </c>
      <c r="C1470" t="s">
        <v>83</v>
      </c>
      <c r="D1470" t="s">
        <v>53</v>
      </c>
      <c r="E1470" t="s">
        <v>25</v>
      </c>
      <c r="F1470" t="s">
        <v>53</v>
      </c>
      <c r="G1470" t="s">
        <v>70</v>
      </c>
      <c r="H1470" t="s">
        <v>88</v>
      </c>
      <c r="I1470">
        <v>2080</v>
      </c>
      <c r="J1470">
        <v>8.9999999999999998E-4</v>
      </c>
      <c r="K1470" t="s">
        <v>53</v>
      </c>
      <c r="L1470">
        <v>55</v>
      </c>
    </row>
    <row r="1471" spans="1:12" x14ac:dyDescent="0.45">
      <c r="A1471" t="s">
        <v>89</v>
      </c>
      <c r="B1471" t="s">
        <v>3</v>
      </c>
      <c r="C1471" t="s">
        <v>83</v>
      </c>
      <c r="D1471" t="s">
        <v>53</v>
      </c>
      <c r="E1471" t="s">
        <v>25</v>
      </c>
      <c r="F1471" t="s">
        <v>53</v>
      </c>
      <c r="G1471" t="s">
        <v>70</v>
      </c>
      <c r="H1471" t="s">
        <v>88</v>
      </c>
      <c r="I1471">
        <v>2085</v>
      </c>
      <c r="J1471">
        <v>6.0000000000000006E-4</v>
      </c>
      <c r="K1471" t="s">
        <v>53</v>
      </c>
      <c r="L1471">
        <v>55</v>
      </c>
    </row>
    <row r="1472" spans="1:12" x14ac:dyDescent="0.45">
      <c r="A1472" t="s">
        <v>89</v>
      </c>
      <c r="B1472" t="s">
        <v>3</v>
      </c>
      <c r="C1472" t="s">
        <v>83</v>
      </c>
      <c r="D1472" t="s">
        <v>53</v>
      </c>
      <c r="E1472" t="s">
        <v>25</v>
      </c>
      <c r="F1472" t="s">
        <v>53</v>
      </c>
      <c r="G1472" t="s">
        <v>70</v>
      </c>
      <c r="H1472" t="s">
        <v>88</v>
      </c>
      <c r="I1472">
        <v>2090</v>
      </c>
      <c r="J1472">
        <v>2.5000000000000001E-4</v>
      </c>
      <c r="K1472" t="s">
        <v>53</v>
      </c>
      <c r="L1472">
        <v>55</v>
      </c>
    </row>
    <row r="1473" spans="1:12" x14ac:dyDescent="0.45">
      <c r="A1473" t="s">
        <v>89</v>
      </c>
      <c r="B1473" t="s">
        <v>3</v>
      </c>
      <c r="C1473" t="s">
        <v>83</v>
      </c>
      <c r="D1473" t="s">
        <v>53</v>
      </c>
      <c r="E1473" t="s">
        <v>25</v>
      </c>
      <c r="F1473" t="s">
        <v>53</v>
      </c>
      <c r="G1473" t="s">
        <v>70</v>
      </c>
      <c r="H1473" t="s">
        <v>88</v>
      </c>
      <c r="I1473">
        <v>2095</v>
      </c>
      <c r="J1473">
        <v>1.5000000000000001E-4</v>
      </c>
      <c r="K1473" t="s">
        <v>53</v>
      </c>
      <c r="L1473">
        <v>55</v>
      </c>
    </row>
    <row r="1474" spans="1:12" x14ac:dyDescent="0.45">
      <c r="A1474" t="s">
        <v>89</v>
      </c>
      <c r="B1474" t="s">
        <v>3</v>
      </c>
      <c r="C1474" t="s">
        <v>83</v>
      </c>
      <c r="D1474" t="s">
        <v>53</v>
      </c>
      <c r="E1474" t="s">
        <v>25</v>
      </c>
      <c r="F1474" t="s">
        <v>53</v>
      </c>
      <c r="G1474" t="s">
        <v>70</v>
      </c>
      <c r="H1474" t="s">
        <v>88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89</v>
      </c>
      <c r="B1475" t="s">
        <v>4</v>
      </c>
      <c r="C1475" t="s">
        <v>83</v>
      </c>
      <c r="D1475" t="s">
        <v>53</v>
      </c>
      <c r="E1475" t="s">
        <v>25</v>
      </c>
      <c r="F1475" t="s">
        <v>53</v>
      </c>
      <c r="G1475" t="s">
        <v>70</v>
      </c>
      <c r="H1475" t="s">
        <v>88</v>
      </c>
      <c r="I1475">
        <v>2020</v>
      </c>
      <c r="J1475">
        <v>0.11119999999999999</v>
      </c>
      <c r="K1475" t="s">
        <v>53</v>
      </c>
      <c r="L1475">
        <v>55</v>
      </c>
    </row>
    <row r="1476" spans="1:12" x14ac:dyDescent="0.45">
      <c r="A1476" t="s">
        <v>89</v>
      </c>
      <c r="B1476" t="s">
        <v>4</v>
      </c>
      <c r="C1476" t="s">
        <v>83</v>
      </c>
      <c r="D1476" t="s">
        <v>53</v>
      </c>
      <c r="E1476" t="s">
        <v>25</v>
      </c>
      <c r="F1476" t="s">
        <v>53</v>
      </c>
      <c r="G1476" t="s">
        <v>70</v>
      </c>
      <c r="H1476" t="s">
        <v>88</v>
      </c>
      <c r="I1476">
        <v>2025</v>
      </c>
      <c r="J1476">
        <v>0.1351</v>
      </c>
      <c r="K1476" t="s">
        <v>53</v>
      </c>
      <c r="L1476">
        <v>55</v>
      </c>
    </row>
    <row r="1477" spans="1:12" x14ac:dyDescent="0.45">
      <c r="A1477" t="s">
        <v>89</v>
      </c>
      <c r="B1477" t="s">
        <v>4</v>
      </c>
      <c r="C1477" t="s">
        <v>83</v>
      </c>
      <c r="D1477" t="s">
        <v>53</v>
      </c>
      <c r="E1477" t="s">
        <v>25</v>
      </c>
      <c r="F1477" t="s">
        <v>53</v>
      </c>
      <c r="G1477" t="s">
        <v>70</v>
      </c>
      <c r="H1477" t="s">
        <v>88</v>
      </c>
      <c r="I1477">
        <v>2030</v>
      </c>
      <c r="J1477">
        <v>0.19370000000000001</v>
      </c>
      <c r="K1477" t="s">
        <v>53</v>
      </c>
      <c r="L1477">
        <v>55</v>
      </c>
    </row>
    <row r="1478" spans="1:12" x14ac:dyDescent="0.45">
      <c r="A1478" t="s">
        <v>89</v>
      </c>
      <c r="B1478" t="s">
        <v>4</v>
      </c>
      <c r="C1478" t="s">
        <v>83</v>
      </c>
      <c r="D1478" t="s">
        <v>53</v>
      </c>
      <c r="E1478" t="s">
        <v>25</v>
      </c>
      <c r="F1478" t="s">
        <v>53</v>
      </c>
      <c r="G1478" t="s">
        <v>70</v>
      </c>
      <c r="H1478" t="s">
        <v>88</v>
      </c>
      <c r="I1478">
        <v>2035</v>
      </c>
      <c r="J1478">
        <v>0.28060000000000002</v>
      </c>
      <c r="K1478" t="s">
        <v>53</v>
      </c>
      <c r="L1478">
        <v>55</v>
      </c>
    </row>
    <row r="1479" spans="1:12" x14ac:dyDescent="0.45">
      <c r="A1479" t="s">
        <v>89</v>
      </c>
      <c r="B1479" t="s">
        <v>4</v>
      </c>
      <c r="C1479" t="s">
        <v>83</v>
      </c>
      <c r="D1479" t="s">
        <v>53</v>
      </c>
      <c r="E1479" t="s">
        <v>25</v>
      </c>
      <c r="F1479" t="s">
        <v>53</v>
      </c>
      <c r="G1479" t="s">
        <v>70</v>
      </c>
      <c r="H1479" t="s">
        <v>88</v>
      </c>
      <c r="I1479">
        <v>2040</v>
      </c>
      <c r="J1479">
        <v>0.37230000000000002</v>
      </c>
      <c r="K1479" t="s">
        <v>53</v>
      </c>
      <c r="L1479">
        <v>55</v>
      </c>
    </row>
    <row r="1480" spans="1:12" x14ac:dyDescent="0.45">
      <c r="A1480" t="s">
        <v>89</v>
      </c>
      <c r="B1480" t="s">
        <v>4</v>
      </c>
      <c r="C1480" t="s">
        <v>83</v>
      </c>
      <c r="D1480" t="s">
        <v>53</v>
      </c>
      <c r="E1480" t="s">
        <v>25</v>
      </c>
      <c r="F1480" t="s">
        <v>53</v>
      </c>
      <c r="G1480" t="s">
        <v>70</v>
      </c>
      <c r="H1480" t="s">
        <v>88</v>
      </c>
      <c r="I1480">
        <v>2045</v>
      </c>
      <c r="J1480">
        <v>0.40379999999999999</v>
      </c>
      <c r="K1480" t="s">
        <v>53</v>
      </c>
      <c r="L1480">
        <v>55</v>
      </c>
    </row>
    <row r="1481" spans="1:12" x14ac:dyDescent="0.45">
      <c r="A1481" t="s">
        <v>89</v>
      </c>
      <c r="B1481" t="s">
        <v>4</v>
      </c>
      <c r="C1481" t="s">
        <v>83</v>
      </c>
      <c r="D1481" t="s">
        <v>53</v>
      </c>
      <c r="E1481" t="s">
        <v>25</v>
      </c>
      <c r="F1481" t="s">
        <v>53</v>
      </c>
      <c r="G1481" t="s">
        <v>70</v>
      </c>
      <c r="H1481" t="s">
        <v>88</v>
      </c>
      <c r="I1481">
        <v>2050</v>
      </c>
      <c r="J1481">
        <v>0.36749999999999999</v>
      </c>
      <c r="K1481" t="s">
        <v>53</v>
      </c>
      <c r="L1481">
        <v>55</v>
      </c>
    </row>
    <row r="1482" spans="1:12" x14ac:dyDescent="0.45">
      <c r="A1482" t="s">
        <v>89</v>
      </c>
      <c r="B1482" t="s">
        <v>4</v>
      </c>
      <c r="C1482" t="s">
        <v>83</v>
      </c>
      <c r="D1482" t="s">
        <v>53</v>
      </c>
      <c r="E1482" t="s">
        <v>25</v>
      </c>
      <c r="F1482" t="s">
        <v>53</v>
      </c>
      <c r="G1482" t="s">
        <v>70</v>
      </c>
      <c r="H1482" t="s">
        <v>88</v>
      </c>
      <c r="I1482">
        <v>2055</v>
      </c>
      <c r="J1482">
        <v>0.33245000000000002</v>
      </c>
      <c r="K1482" t="s">
        <v>53</v>
      </c>
      <c r="L1482">
        <v>55</v>
      </c>
    </row>
    <row r="1483" spans="1:12" x14ac:dyDescent="0.45">
      <c r="A1483" t="s">
        <v>89</v>
      </c>
      <c r="B1483" t="s">
        <v>4</v>
      </c>
      <c r="C1483" t="s">
        <v>83</v>
      </c>
      <c r="D1483" t="s">
        <v>53</v>
      </c>
      <c r="E1483" t="s">
        <v>25</v>
      </c>
      <c r="F1483" t="s">
        <v>53</v>
      </c>
      <c r="G1483" t="s">
        <v>70</v>
      </c>
      <c r="H1483" t="s">
        <v>88</v>
      </c>
      <c r="I1483">
        <v>2060</v>
      </c>
      <c r="J1483">
        <v>0.25955</v>
      </c>
      <c r="K1483" t="s">
        <v>53</v>
      </c>
      <c r="L1483">
        <v>55</v>
      </c>
    </row>
    <row r="1484" spans="1:12" x14ac:dyDescent="0.45">
      <c r="A1484" t="s">
        <v>89</v>
      </c>
      <c r="B1484" t="s">
        <v>4</v>
      </c>
      <c r="C1484" t="s">
        <v>83</v>
      </c>
      <c r="D1484" t="s">
        <v>53</v>
      </c>
      <c r="E1484" t="s">
        <v>25</v>
      </c>
      <c r="F1484" t="s">
        <v>53</v>
      </c>
      <c r="G1484" t="s">
        <v>70</v>
      </c>
      <c r="H1484" t="s">
        <v>88</v>
      </c>
      <c r="I1484">
        <v>2065</v>
      </c>
      <c r="J1484">
        <v>0.19740000000000002</v>
      </c>
      <c r="K1484" t="s">
        <v>53</v>
      </c>
      <c r="L1484">
        <v>55</v>
      </c>
    </row>
    <row r="1485" spans="1:12" x14ac:dyDescent="0.45">
      <c r="A1485" t="s">
        <v>89</v>
      </c>
      <c r="B1485" t="s">
        <v>4</v>
      </c>
      <c r="C1485" t="s">
        <v>83</v>
      </c>
      <c r="D1485" t="s">
        <v>53</v>
      </c>
      <c r="E1485" t="s">
        <v>25</v>
      </c>
      <c r="F1485" t="s">
        <v>53</v>
      </c>
      <c r="G1485" t="s">
        <v>70</v>
      </c>
      <c r="H1485" t="s">
        <v>88</v>
      </c>
      <c r="I1485">
        <v>2070</v>
      </c>
      <c r="J1485">
        <v>0.15570000000000001</v>
      </c>
      <c r="K1485" t="s">
        <v>53</v>
      </c>
      <c r="L1485">
        <v>55</v>
      </c>
    </row>
    <row r="1486" spans="1:12" x14ac:dyDescent="0.45">
      <c r="A1486" t="s">
        <v>89</v>
      </c>
      <c r="B1486" t="s">
        <v>4</v>
      </c>
      <c r="C1486" t="s">
        <v>83</v>
      </c>
      <c r="D1486" t="s">
        <v>53</v>
      </c>
      <c r="E1486" t="s">
        <v>25</v>
      </c>
      <c r="F1486" t="s">
        <v>53</v>
      </c>
      <c r="G1486" t="s">
        <v>70</v>
      </c>
      <c r="H1486" t="s">
        <v>88</v>
      </c>
      <c r="I1486">
        <v>2075</v>
      </c>
      <c r="J1486">
        <v>0.11910000000000001</v>
      </c>
      <c r="K1486" t="s">
        <v>53</v>
      </c>
      <c r="L1486">
        <v>55</v>
      </c>
    </row>
    <row r="1487" spans="1:12" x14ac:dyDescent="0.45">
      <c r="A1487" t="s">
        <v>89</v>
      </c>
      <c r="B1487" t="s">
        <v>4</v>
      </c>
      <c r="C1487" t="s">
        <v>83</v>
      </c>
      <c r="D1487" t="s">
        <v>53</v>
      </c>
      <c r="E1487" t="s">
        <v>25</v>
      </c>
      <c r="F1487" t="s">
        <v>53</v>
      </c>
      <c r="G1487" t="s">
        <v>70</v>
      </c>
      <c r="H1487" t="s">
        <v>88</v>
      </c>
      <c r="I1487">
        <v>2080</v>
      </c>
      <c r="J1487">
        <v>9.0799999999999992E-2</v>
      </c>
      <c r="K1487" t="s">
        <v>53</v>
      </c>
      <c r="L1487">
        <v>55</v>
      </c>
    </row>
    <row r="1488" spans="1:12" x14ac:dyDescent="0.45">
      <c r="A1488" t="s">
        <v>89</v>
      </c>
      <c r="B1488" t="s">
        <v>4</v>
      </c>
      <c r="C1488" t="s">
        <v>83</v>
      </c>
      <c r="D1488" t="s">
        <v>53</v>
      </c>
      <c r="E1488" t="s">
        <v>25</v>
      </c>
      <c r="F1488" t="s">
        <v>53</v>
      </c>
      <c r="G1488" t="s">
        <v>70</v>
      </c>
      <c r="H1488" t="s">
        <v>88</v>
      </c>
      <c r="I1488">
        <v>2085</v>
      </c>
      <c r="J1488">
        <v>7.6300000000000007E-2</v>
      </c>
      <c r="K1488" t="s">
        <v>53</v>
      </c>
      <c r="L1488">
        <v>55</v>
      </c>
    </row>
    <row r="1489" spans="1:12" x14ac:dyDescent="0.45">
      <c r="A1489" t="s">
        <v>89</v>
      </c>
      <c r="B1489" t="s">
        <v>4</v>
      </c>
      <c r="C1489" t="s">
        <v>83</v>
      </c>
      <c r="D1489" t="s">
        <v>53</v>
      </c>
      <c r="E1489" t="s">
        <v>25</v>
      </c>
      <c r="F1489" t="s">
        <v>53</v>
      </c>
      <c r="G1489" t="s">
        <v>70</v>
      </c>
      <c r="H1489" t="s">
        <v>88</v>
      </c>
      <c r="I1489">
        <v>2090</v>
      </c>
      <c r="J1489">
        <v>6.2449999999999999E-2</v>
      </c>
      <c r="K1489" t="s">
        <v>53</v>
      </c>
      <c r="L1489">
        <v>55</v>
      </c>
    </row>
    <row r="1490" spans="1:12" x14ac:dyDescent="0.45">
      <c r="A1490" t="s">
        <v>89</v>
      </c>
      <c r="B1490" t="s">
        <v>4</v>
      </c>
      <c r="C1490" t="s">
        <v>83</v>
      </c>
      <c r="D1490" t="s">
        <v>53</v>
      </c>
      <c r="E1490" t="s">
        <v>25</v>
      </c>
      <c r="F1490" t="s">
        <v>53</v>
      </c>
      <c r="G1490" t="s">
        <v>70</v>
      </c>
      <c r="H1490" t="s">
        <v>88</v>
      </c>
      <c r="I1490">
        <v>2095</v>
      </c>
      <c r="J1490">
        <v>5.6050000000000003E-2</v>
      </c>
      <c r="K1490" t="s">
        <v>53</v>
      </c>
      <c r="L1490">
        <v>55</v>
      </c>
    </row>
    <row r="1491" spans="1:12" x14ac:dyDescent="0.45">
      <c r="A1491" t="s">
        <v>89</v>
      </c>
      <c r="B1491" t="s">
        <v>4</v>
      </c>
      <c r="C1491" t="s">
        <v>83</v>
      </c>
      <c r="D1491" t="s">
        <v>53</v>
      </c>
      <c r="E1491" t="s">
        <v>25</v>
      </c>
      <c r="F1491" t="s">
        <v>53</v>
      </c>
      <c r="G1491" t="s">
        <v>70</v>
      </c>
      <c r="H1491" t="s">
        <v>88</v>
      </c>
      <c r="I1491">
        <v>2100</v>
      </c>
      <c r="J1491">
        <v>4.9200000000000001E-2</v>
      </c>
      <c r="K1491" t="s">
        <v>53</v>
      </c>
      <c r="L1491">
        <v>55</v>
      </c>
    </row>
    <row r="1492" spans="1:12" x14ac:dyDescent="0.45">
      <c r="A1492" t="s">
        <v>89</v>
      </c>
      <c r="B1492" t="s">
        <v>0</v>
      </c>
      <c r="C1492" t="s">
        <v>83</v>
      </c>
      <c r="D1492" t="s">
        <v>53</v>
      </c>
      <c r="E1492" t="s">
        <v>25</v>
      </c>
      <c r="F1492" t="s">
        <v>53</v>
      </c>
      <c r="G1492" t="s">
        <v>70</v>
      </c>
      <c r="H1492" t="s">
        <v>88</v>
      </c>
      <c r="I1492">
        <v>2020</v>
      </c>
      <c r="J1492">
        <v>0.1074</v>
      </c>
      <c r="K1492" t="s">
        <v>53</v>
      </c>
      <c r="L1492">
        <v>55</v>
      </c>
    </row>
    <row r="1493" spans="1:12" x14ac:dyDescent="0.45">
      <c r="A1493" t="s">
        <v>89</v>
      </c>
      <c r="B1493" t="s">
        <v>0</v>
      </c>
      <c r="C1493" t="s">
        <v>83</v>
      </c>
      <c r="D1493" t="s">
        <v>53</v>
      </c>
      <c r="E1493" t="s">
        <v>25</v>
      </c>
      <c r="F1493" t="s">
        <v>53</v>
      </c>
      <c r="G1493" t="s">
        <v>70</v>
      </c>
      <c r="H1493" t="s">
        <v>88</v>
      </c>
      <c r="I1493">
        <v>2025</v>
      </c>
      <c r="J1493">
        <v>0.13350000000000001</v>
      </c>
      <c r="K1493" t="s">
        <v>53</v>
      </c>
      <c r="L1493">
        <v>55</v>
      </c>
    </row>
    <row r="1494" spans="1:12" x14ac:dyDescent="0.45">
      <c r="A1494" t="s">
        <v>89</v>
      </c>
      <c r="B1494" t="s">
        <v>0</v>
      </c>
      <c r="C1494" t="s">
        <v>83</v>
      </c>
      <c r="D1494" t="s">
        <v>53</v>
      </c>
      <c r="E1494" t="s">
        <v>25</v>
      </c>
      <c r="F1494" t="s">
        <v>53</v>
      </c>
      <c r="G1494" t="s">
        <v>70</v>
      </c>
      <c r="H1494" t="s">
        <v>88</v>
      </c>
      <c r="I1494">
        <v>2030</v>
      </c>
      <c r="J1494">
        <v>0.1961</v>
      </c>
      <c r="K1494" t="s">
        <v>53</v>
      </c>
      <c r="L1494">
        <v>55</v>
      </c>
    </row>
    <row r="1495" spans="1:12" x14ac:dyDescent="0.45">
      <c r="A1495" t="s">
        <v>89</v>
      </c>
      <c r="B1495" t="s">
        <v>0</v>
      </c>
      <c r="C1495" t="s">
        <v>83</v>
      </c>
      <c r="D1495" t="s">
        <v>53</v>
      </c>
      <c r="E1495" t="s">
        <v>25</v>
      </c>
      <c r="F1495" t="s">
        <v>53</v>
      </c>
      <c r="G1495" t="s">
        <v>70</v>
      </c>
      <c r="H1495" t="s">
        <v>88</v>
      </c>
      <c r="I1495">
        <v>2035</v>
      </c>
      <c r="J1495">
        <v>0.2286</v>
      </c>
      <c r="K1495" t="s">
        <v>53</v>
      </c>
      <c r="L1495">
        <v>55</v>
      </c>
    </row>
    <row r="1496" spans="1:12" x14ac:dyDescent="0.45">
      <c r="A1496" t="s">
        <v>89</v>
      </c>
      <c r="B1496" t="s">
        <v>0</v>
      </c>
      <c r="C1496" t="s">
        <v>83</v>
      </c>
      <c r="D1496" t="s">
        <v>53</v>
      </c>
      <c r="E1496" t="s">
        <v>25</v>
      </c>
      <c r="F1496" t="s">
        <v>53</v>
      </c>
      <c r="G1496" t="s">
        <v>70</v>
      </c>
      <c r="H1496" t="s">
        <v>88</v>
      </c>
      <c r="I1496">
        <v>2040</v>
      </c>
      <c r="J1496">
        <v>0.1186</v>
      </c>
      <c r="K1496" t="s">
        <v>53</v>
      </c>
      <c r="L1496">
        <v>55</v>
      </c>
    </row>
    <row r="1497" spans="1:12" x14ac:dyDescent="0.45">
      <c r="A1497" t="s">
        <v>89</v>
      </c>
      <c r="B1497" t="s">
        <v>0</v>
      </c>
      <c r="C1497" t="s">
        <v>83</v>
      </c>
      <c r="D1497" t="s">
        <v>53</v>
      </c>
      <c r="E1497" t="s">
        <v>25</v>
      </c>
      <c r="F1497" t="s">
        <v>53</v>
      </c>
      <c r="G1497" t="s">
        <v>70</v>
      </c>
      <c r="H1497" t="s">
        <v>88</v>
      </c>
      <c r="I1497">
        <v>2045</v>
      </c>
      <c r="J1497">
        <v>1.9800000000000002E-2</v>
      </c>
      <c r="K1497" t="s">
        <v>53</v>
      </c>
      <c r="L1497">
        <v>55</v>
      </c>
    </row>
    <row r="1498" spans="1:12" x14ac:dyDescent="0.45">
      <c r="A1498" t="s">
        <v>89</v>
      </c>
      <c r="B1498" t="s">
        <v>0</v>
      </c>
      <c r="C1498" t="s">
        <v>83</v>
      </c>
      <c r="D1498" t="s">
        <v>53</v>
      </c>
      <c r="E1498" t="s">
        <v>25</v>
      </c>
      <c r="F1498" t="s">
        <v>53</v>
      </c>
      <c r="G1498" t="s">
        <v>70</v>
      </c>
      <c r="H1498" t="s">
        <v>88</v>
      </c>
      <c r="I1498">
        <v>2050</v>
      </c>
      <c r="J1498">
        <v>4.4000000000000003E-3</v>
      </c>
      <c r="K1498" t="s">
        <v>53</v>
      </c>
      <c r="L1498">
        <v>55</v>
      </c>
    </row>
    <row r="1499" spans="1:12" x14ac:dyDescent="0.45">
      <c r="A1499" t="s">
        <v>89</v>
      </c>
      <c r="B1499" t="s">
        <v>0</v>
      </c>
      <c r="C1499" t="s">
        <v>83</v>
      </c>
      <c r="D1499" t="s">
        <v>53</v>
      </c>
      <c r="E1499" t="s">
        <v>25</v>
      </c>
      <c r="F1499" t="s">
        <v>53</v>
      </c>
      <c r="G1499" t="s">
        <v>70</v>
      </c>
      <c r="H1499" t="s">
        <v>88</v>
      </c>
      <c r="I1499">
        <v>2055</v>
      </c>
      <c r="J1499">
        <v>8.9999999999999998E-4</v>
      </c>
      <c r="K1499" t="s">
        <v>53</v>
      </c>
      <c r="L1499">
        <v>55</v>
      </c>
    </row>
    <row r="1500" spans="1:12" x14ac:dyDescent="0.45">
      <c r="A1500" t="s">
        <v>89</v>
      </c>
      <c r="B1500" t="s">
        <v>0</v>
      </c>
      <c r="C1500" t="s">
        <v>83</v>
      </c>
      <c r="D1500" t="s">
        <v>53</v>
      </c>
      <c r="E1500" t="s">
        <v>25</v>
      </c>
      <c r="F1500" t="s">
        <v>53</v>
      </c>
      <c r="G1500" t="s">
        <v>70</v>
      </c>
      <c r="H1500" t="s">
        <v>88</v>
      </c>
      <c r="I1500">
        <v>2060</v>
      </c>
      <c r="J1500">
        <v>2.9999999999999997E-4</v>
      </c>
      <c r="K1500" t="s">
        <v>53</v>
      </c>
      <c r="L1500">
        <v>55</v>
      </c>
    </row>
    <row r="1501" spans="1:12" x14ac:dyDescent="0.45">
      <c r="A1501" t="s">
        <v>89</v>
      </c>
      <c r="B1501" t="s">
        <v>0</v>
      </c>
      <c r="C1501" t="s">
        <v>83</v>
      </c>
      <c r="D1501" t="s">
        <v>53</v>
      </c>
      <c r="E1501" t="s">
        <v>25</v>
      </c>
      <c r="F1501" t="s">
        <v>53</v>
      </c>
      <c r="G1501" t="s">
        <v>70</v>
      </c>
      <c r="H1501" t="s">
        <v>88</v>
      </c>
      <c r="I1501">
        <v>2065</v>
      </c>
      <c r="J1501">
        <v>2.0000000000000001E-4</v>
      </c>
      <c r="K1501" t="s">
        <v>53</v>
      </c>
      <c r="L1501">
        <v>55</v>
      </c>
    </row>
    <row r="1502" spans="1:12" x14ac:dyDescent="0.45">
      <c r="A1502" t="s">
        <v>89</v>
      </c>
      <c r="B1502" t="s">
        <v>0</v>
      </c>
      <c r="C1502" t="s">
        <v>83</v>
      </c>
      <c r="D1502" t="s">
        <v>53</v>
      </c>
      <c r="E1502" t="s">
        <v>25</v>
      </c>
      <c r="F1502" t="s">
        <v>53</v>
      </c>
      <c r="G1502" t="s">
        <v>70</v>
      </c>
      <c r="H1502" t="s">
        <v>88</v>
      </c>
      <c r="I1502">
        <v>2070</v>
      </c>
      <c r="J1502">
        <v>1E-4</v>
      </c>
      <c r="K1502" t="s">
        <v>53</v>
      </c>
      <c r="L1502">
        <v>55</v>
      </c>
    </row>
    <row r="1503" spans="1:12" x14ac:dyDescent="0.45">
      <c r="A1503" t="s">
        <v>89</v>
      </c>
      <c r="B1503" t="s">
        <v>0</v>
      </c>
      <c r="C1503" t="s">
        <v>83</v>
      </c>
      <c r="D1503" t="s">
        <v>53</v>
      </c>
      <c r="E1503" t="s">
        <v>25</v>
      </c>
      <c r="F1503" t="s">
        <v>53</v>
      </c>
      <c r="G1503" t="s">
        <v>70</v>
      </c>
      <c r="H1503" t="s">
        <v>88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89</v>
      </c>
      <c r="B1504" t="s">
        <v>0</v>
      </c>
      <c r="C1504" t="s">
        <v>83</v>
      </c>
      <c r="D1504" t="s">
        <v>53</v>
      </c>
      <c r="E1504" t="s">
        <v>25</v>
      </c>
      <c r="F1504" t="s">
        <v>53</v>
      </c>
      <c r="G1504" t="s">
        <v>70</v>
      </c>
      <c r="H1504" t="s">
        <v>88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89</v>
      </c>
      <c r="B1505" t="s">
        <v>0</v>
      </c>
      <c r="C1505" t="s">
        <v>83</v>
      </c>
      <c r="D1505" t="s">
        <v>53</v>
      </c>
      <c r="E1505" t="s">
        <v>25</v>
      </c>
      <c r="F1505" t="s">
        <v>53</v>
      </c>
      <c r="G1505" t="s">
        <v>70</v>
      </c>
      <c r="H1505" t="s">
        <v>88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89</v>
      </c>
      <c r="B1506" t="s">
        <v>0</v>
      </c>
      <c r="C1506" t="s">
        <v>83</v>
      </c>
      <c r="D1506" t="s">
        <v>53</v>
      </c>
      <c r="E1506" t="s">
        <v>25</v>
      </c>
      <c r="F1506" t="s">
        <v>53</v>
      </c>
      <c r="G1506" t="s">
        <v>70</v>
      </c>
      <c r="H1506" t="s">
        <v>88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89</v>
      </c>
      <c r="B1507" t="s">
        <v>0</v>
      </c>
      <c r="C1507" t="s">
        <v>83</v>
      </c>
      <c r="D1507" t="s">
        <v>53</v>
      </c>
      <c r="E1507" t="s">
        <v>25</v>
      </c>
      <c r="F1507" t="s">
        <v>53</v>
      </c>
      <c r="G1507" t="s">
        <v>70</v>
      </c>
      <c r="H1507" t="s">
        <v>88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89</v>
      </c>
      <c r="B1508" t="s">
        <v>0</v>
      </c>
      <c r="C1508" t="s">
        <v>83</v>
      </c>
      <c r="D1508" t="s">
        <v>53</v>
      </c>
      <c r="E1508" t="s">
        <v>25</v>
      </c>
      <c r="F1508" t="s">
        <v>53</v>
      </c>
      <c r="G1508" t="s">
        <v>70</v>
      </c>
      <c r="H1508" t="s">
        <v>88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89</v>
      </c>
      <c r="B1509" t="s">
        <v>6</v>
      </c>
      <c r="C1509" t="s">
        <v>83</v>
      </c>
      <c r="D1509" t="s">
        <v>53</v>
      </c>
      <c r="E1509" t="s">
        <v>25</v>
      </c>
      <c r="F1509" t="s">
        <v>53</v>
      </c>
      <c r="G1509" t="s">
        <v>70</v>
      </c>
      <c r="H1509" t="s">
        <v>88</v>
      </c>
      <c r="I1509">
        <v>2020</v>
      </c>
      <c r="J1509">
        <v>0.10780000000000001</v>
      </c>
      <c r="K1509" t="s">
        <v>53</v>
      </c>
      <c r="L1509">
        <v>55</v>
      </c>
    </row>
    <row r="1510" spans="1:12" x14ac:dyDescent="0.45">
      <c r="A1510" t="s">
        <v>89</v>
      </c>
      <c r="B1510" t="s">
        <v>6</v>
      </c>
      <c r="C1510" t="s">
        <v>83</v>
      </c>
      <c r="D1510" t="s">
        <v>53</v>
      </c>
      <c r="E1510" t="s">
        <v>25</v>
      </c>
      <c r="F1510" t="s">
        <v>53</v>
      </c>
      <c r="G1510" t="s">
        <v>70</v>
      </c>
      <c r="H1510" t="s">
        <v>88</v>
      </c>
      <c r="I1510">
        <v>2025</v>
      </c>
      <c r="J1510">
        <v>0.1318</v>
      </c>
      <c r="K1510" t="s">
        <v>53</v>
      </c>
      <c r="L1510">
        <v>55</v>
      </c>
    </row>
    <row r="1511" spans="1:12" x14ac:dyDescent="0.45">
      <c r="A1511" t="s">
        <v>89</v>
      </c>
      <c r="B1511" t="s">
        <v>6</v>
      </c>
      <c r="C1511" t="s">
        <v>83</v>
      </c>
      <c r="D1511" t="s">
        <v>53</v>
      </c>
      <c r="E1511" t="s">
        <v>25</v>
      </c>
      <c r="F1511" t="s">
        <v>53</v>
      </c>
      <c r="G1511" t="s">
        <v>70</v>
      </c>
      <c r="H1511" t="s">
        <v>88</v>
      </c>
      <c r="I1511">
        <v>2030</v>
      </c>
      <c r="J1511">
        <v>0.19259999999999999</v>
      </c>
      <c r="K1511" t="s">
        <v>53</v>
      </c>
      <c r="L1511">
        <v>55</v>
      </c>
    </row>
    <row r="1512" spans="1:12" x14ac:dyDescent="0.45">
      <c r="A1512" t="s">
        <v>89</v>
      </c>
      <c r="B1512" t="s">
        <v>6</v>
      </c>
      <c r="C1512" t="s">
        <v>83</v>
      </c>
      <c r="D1512" t="s">
        <v>53</v>
      </c>
      <c r="E1512" t="s">
        <v>25</v>
      </c>
      <c r="F1512" t="s">
        <v>53</v>
      </c>
      <c r="G1512" t="s">
        <v>70</v>
      </c>
      <c r="H1512" t="s">
        <v>88</v>
      </c>
      <c r="I1512">
        <v>2035</v>
      </c>
      <c r="J1512">
        <v>0.2621</v>
      </c>
      <c r="K1512" t="s">
        <v>53</v>
      </c>
      <c r="L1512">
        <v>55</v>
      </c>
    </row>
    <row r="1513" spans="1:12" x14ac:dyDescent="0.45">
      <c r="A1513" t="s">
        <v>89</v>
      </c>
      <c r="B1513" t="s">
        <v>6</v>
      </c>
      <c r="C1513" t="s">
        <v>83</v>
      </c>
      <c r="D1513" t="s">
        <v>53</v>
      </c>
      <c r="E1513" t="s">
        <v>25</v>
      </c>
      <c r="F1513" t="s">
        <v>53</v>
      </c>
      <c r="G1513" t="s">
        <v>70</v>
      </c>
      <c r="H1513" t="s">
        <v>88</v>
      </c>
      <c r="I1513">
        <v>2040</v>
      </c>
      <c r="J1513">
        <v>0.2407</v>
      </c>
      <c r="K1513" t="s">
        <v>53</v>
      </c>
      <c r="L1513">
        <v>55</v>
      </c>
    </row>
    <row r="1514" spans="1:12" x14ac:dyDescent="0.45">
      <c r="A1514" t="s">
        <v>89</v>
      </c>
      <c r="B1514" t="s">
        <v>6</v>
      </c>
      <c r="C1514" t="s">
        <v>83</v>
      </c>
      <c r="D1514" t="s">
        <v>53</v>
      </c>
      <c r="E1514" t="s">
        <v>25</v>
      </c>
      <c r="F1514" t="s">
        <v>53</v>
      </c>
      <c r="G1514" t="s">
        <v>70</v>
      </c>
      <c r="H1514" t="s">
        <v>88</v>
      </c>
      <c r="I1514">
        <v>2045</v>
      </c>
      <c r="J1514">
        <v>0.16020000000000001</v>
      </c>
      <c r="K1514" t="s">
        <v>53</v>
      </c>
      <c r="L1514">
        <v>55</v>
      </c>
    </row>
    <row r="1515" spans="1:12" x14ac:dyDescent="0.45">
      <c r="A1515" t="s">
        <v>89</v>
      </c>
      <c r="B1515" t="s">
        <v>6</v>
      </c>
      <c r="C1515" t="s">
        <v>83</v>
      </c>
      <c r="D1515" t="s">
        <v>53</v>
      </c>
      <c r="E1515" t="s">
        <v>25</v>
      </c>
      <c r="F1515" t="s">
        <v>53</v>
      </c>
      <c r="G1515" t="s">
        <v>70</v>
      </c>
      <c r="H1515" t="s">
        <v>88</v>
      </c>
      <c r="I1515">
        <v>2050</v>
      </c>
      <c r="J1515">
        <v>4.3099999999999999E-2</v>
      </c>
      <c r="K1515" t="s">
        <v>53</v>
      </c>
      <c r="L1515">
        <v>55</v>
      </c>
    </row>
    <row r="1516" spans="1:12" x14ac:dyDescent="0.45">
      <c r="A1516" t="s">
        <v>89</v>
      </c>
      <c r="B1516" t="s">
        <v>6</v>
      </c>
      <c r="C1516" t="s">
        <v>83</v>
      </c>
      <c r="D1516" t="s">
        <v>53</v>
      </c>
      <c r="E1516" t="s">
        <v>25</v>
      </c>
      <c r="F1516" t="s">
        <v>53</v>
      </c>
      <c r="G1516" t="s">
        <v>70</v>
      </c>
      <c r="H1516" t="s">
        <v>88</v>
      </c>
      <c r="I1516">
        <v>2055</v>
      </c>
      <c r="J1516">
        <v>1.0499999999999999E-2</v>
      </c>
      <c r="K1516" t="s">
        <v>53</v>
      </c>
      <c r="L1516">
        <v>55</v>
      </c>
    </row>
    <row r="1517" spans="1:12" x14ac:dyDescent="0.45">
      <c r="A1517" t="s">
        <v>89</v>
      </c>
      <c r="B1517" t="s">
        <v>6</v>
      </c>
      <c r="C1517" t="s">
        <v>83</v>
      </c>
      <c r="D1517" t="s">
        <v>53</v>
      </c>
      <c r="E1517" t="s">
        <v>25</v>
      </c>
      <c r="F1517" t="s">
        <v>53</v>
      </c>
      <c r="G1517" t="s">
        <v>70</v>
      </c>
      <c r="H1517" t="s">
        <v>88</v>
      </c>
      <c r="I1517">
        <v>2060</v>
      </c>
      <c r="J1517">
        <v>1.9E-3</v>
      </c>
      <c r="K1517" t="s">
        <v>53</v>
      </c>
      <c r="L1517">
        <v>55</v>
      </c>
    </row>
    <row r="1518" spans="1:12" x14ac:dyDescent="0.45">
      <c r="A1518" t="s">
        <v>89</v>
      </c>
      <c r="B1518" t="s">
        <v>6</v>
      </c>
      <c r="C1518" t="s">
        <v>83</v>
      </c>
      <c r="D1518" t="s">
        <v>53</v>
      </c>
      <c r="E1518" t="s">
        <v>25</v>
      </c>
      <c r="F1518" t="s">
        <v>53</v>
      </c>
      <c r="G1518" t="s">
        <v>70</v>
      </c>
      <c r="H1518" t="s">
        <v>88</v>
      </c>
      <c r="I1518">
        <v>2065</v>
      </c>
      <c r="J1518">
        <v>1.8E-3</v>
      </c>
      <c r="K1518" t="s">
        <v>53</v>
      </c>
      <c r="L1518">
        <v>55</v>
      </c>
    </row>
    <row r="1519" spans="1:12" x14ac:dyDescent="0.45">
      <c r="A1519" t="s">
        <v>89</v>
      </c>
      <c r="B1519" t="s">
        <v>6</v>
      </c>
      <c r="C1519" t="s">
        <v>83</v>
      </c>
      <c r="D1519" t="s">
        <v>53</v>
      </c>
      <c r="E1519" t="s">
        <v>25</v>
      </c>
      <c r="F1519" t="s">
        <v>53</v>
      </c>
      <c r="G1519" t="s">
        <v>70</v>
      </c>
      <c r="H1519" t="s">
        <v>88</v>
      </c>
      <c r="I1519">
        <v>2070</v>
      </c>
      <c r="J1519">
        <v>1.7000000000000001E-3</v>
      </c>
      <c r="K1519" t="s">
        <v>53</v>
      </c>
      <c r="L1519">
        <v>55</v>
      </c>
    </row>
    <row r="1520" spans="1:12" x14ac:dyDescent="0.45">
      <c r="A1520" t="s">
        <v>89</v>
      </c>
      <c r="B1520" t="s">
        <v>6</v>
      </c>
      <c r="C1520" t="s">
        <v>83</v>
      </c>
      <c r="D1520" t="s">
        <v>53</v>
      </c>
      <c r="E1520" t="s">
        <v>25</v>
      </c>
      <c r="F1520" t="s">
        <v>53</v>
      </c>
      <c r="G1520" t="s">
        <v>70</v>
      </c>
      <c r="H1520" t="s">
        <v>88</v>
      </c>
      <c r="I1520">
        <v>2075</v>
      </c>
      <c r="J1520">
        <v>1.4499999999999999E-3</v>
      </c>
      <c r="K1520" t="s">
        <v>53</v>
      </c>
      <c r="L1520">
        <v>55</v>
      </c>
    </row>
    <row r="1521" spans="1:12" x14ac:dyDescent="0.45">
      <c r="A1521" t="s">
        <v>89</v>
      </c>
      <c r="B1521" t="s">
        <v>6</v>
      </c>
      <c r="C1521" t="s">
        <v>83</v>
      </c>
      <c r="D1521" t="s">
        <v>53</v>
      </c>
      <c r="E1521" t="s">
        <v>25</v>
      </c>
      <c r="F1521" t="s">
        <v>53</v>
      </c>
      <c r="G1521" t="s">
        <v>70</v>
      </c>
      <c r="H1521" t="s">
        <v>88</v>
      </c>
      <c r="I1521">
        <v>2080</v>
      </c>
      <c r="J1521">
        <v>1.2000000000000001E-3</v>
      </c>
      <c r="K1521" t="s">
        <v>53</v>
      </c>
      <c r="L1521">
        <v>55</v>
      </c>
    </row>
    <row r="1522" spans="1:12" x14ac:dyDescent="0.45">
      <c r="A1522" t="s">
        <v>89</v>
      </c>
      <c r="B1522" t="s">
        <v>6</v>
      </c>
      <c r="C1522" t="s">
        <v>83</v>
      </c>
      <c r="D1522" t="s">
        <v>53</v>
      </c>
      <c r="E1522" t="s">
        <v>25</v>
      </c>
      <c r="F1522" t="s">
        <v>53</v>
      </c>
      <c r="G1522" t="s">
        <v>70</v>
      </c>
      <c r="H1522" t="s">
        <v>88</v>
      </c>
      <c r="I1522">
        <v>2085</v>
      </c>
      <c r="J1522">
        <v>8.5000000000000006E-4</v>
      </c>
      <c r="K1522" t="s">
        <v>53</v>
      </c>
      <c r="L1522">
        <v>55</v>
      </c>
    </row>
    <row r="1523" spans="1:12" x14ac:dyDescent="0.45">
      <c r="A1523" t="s">
        <v>89</v>
      </c>
      <c r="B1523" t="s">
        <v>6</v>
      </c>
      <c r="C1523" t="s">
        <v>83</v>
      </c>
      <c r="D1523" t="s">
        <v>53</v>
      </c>
      <c r="E1523" t="s">
        <v>25</v>
      </c>
      <c r="F1523" t="s">
        <v>53</v>
      </c>
      <c r="G1523" t="s">
        <v>70</v>
      </c>
      <c r="H1523" t="s">
        <v>88</v>
      </c>
      <c r="I1523">
        <v>2090</v>
      </c>
      <c r="J1523">
        <v>4.0000000000000002E-4</v>
      </c>
      <c r="K1523" t="s">
        <v>53</v>
      </c>
      <c r="L1523">
        <v>55</v>
      </c>
    </row>
    <row r="1524" spans="1:12" x14ac:dyDescent="0.45">
      <c r="A1524" t="s">
        <v>89</v>
      </c>
      <c r="B1524" t="s">
        <v>6</v>
      </c>
      <c r="C1524" t="s">
        <v>83</v>
      </c>
      <c r="D1524" t="s">
        <v>53</v>
      </c>
      <c r="E1524" t="s">
        <v>25</v>
      </c>
      <c r="F1524" t="s">
        <v>53</v>
      </c>
      <c r="G1524" t="s">
        <v>70</v>
      </c>
      <c r="H1524" t="s">
        <v>88</v>
      </c>
      <c r="I1524">
        <v>2095</v>
      </c>
      <c r="J1524">
        <v>2.0000000000000001E-4</v>
      </c>
      <c r="K1524" t="s">
        <v>53</v>
      </c>
      <c r="L1524">
        <v>55</v>
      </c>
    </row>
    <row r="1525" spans="1:12" x14ac:dyDescent="0.45">
      <c r="A1525" t="s">
        <v>89</v>
      </c>
      <c r="B1525" t="s">
        <v>6</v>
      </c>
      <c r="C1525" t="s">
        <v>83</v>
      </c>
      <c r="D1525" t="s">
        <v>53</v>
      </c>
      <c r="E1525" t="s">
        <v>25</v>
      </c>
      <c r="F1525" t="s">
        <v>53</v>
      </c>
      <c r="G1525" t="s">
        <v>70</v>
      </c>
      <c r="H1525" t="s">
        <v>88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89</v>
      </c>
      <c r="B1526" t="s">
        <v>5</v>
      </c>
      <c r="C1526" t="s">
        <v>83</v>
      </c>
      <c r="D1526" t="s">
        <v>53</v>
      </c>
      <c r="E1526" t="s">
        <v>25</v>
      </c>
      <c r="F1526" t="s">
        <v>53</v>
      </c>
      <c r="G1526" t="s">
        <v>70</v>
      </c>
      <c r="H1526" t="s">
        <v>88</v>
      </c>
      <c r="I1526">
        <v>2020</v>
      </c>
      <c r="J1526">
        <v>0.1108</v>
      </c>
      <c r="K1526" t="s">
        <v>53</v>
      </c>
      <c r="L1526">
        <v>55</v>
      </c>
    </row>
    <row r="1527" spans="1:12" x14ac:dyDescent="0.45">
      <c r="A1527" t="s">
        <v>89</v>
      </c>
      <c r="B1527" t="s">
        <v>5</v>
      </c>
      <c r="C1527" t="s">
        <v>83</v>
      </c>
      <c r="D1527" t="s">
        <v>53</v>
      </c>
      <c r="E1527" t="s">
        <v>25</v>
      </c>
      <c r="F1527" t="s">
        <v>53</v>
      </c>
      <c r="G1527" t="s">
        <v>70</v>
      </c>
      <c r="H1527" t="s">
        <v>88</v>
      </c>
      <c r="I1527">
        <v>2025</v>
      </c>
      <c r="J1527">
        <v>0.1326</v>
      </c>
      <c r="K1527" t="s">
        <v>53</v>
      </c>
      <c r="L1527">
        <v>55</v>
      </c>
    </row>
    <row r="1528" spans="1:12" x14ac:dyDescent="0.45">
      <c r="A1528" t="s">
        <v>89</v>
      </c>
      <c r="B1528" t="s">
        <v>5</v>
      </c>
      <c r="C1528" t="s">
        <v>83</v>
      </c>
      <c r="D1528" t="s">
        <v>53</v>
      </c>
      <c r="E1528" t="s">
        <v>25</v>
      </c>
      <c r="F1528" t="s">
        <v>53</v>
      </c>
      <c r="G1528" t="s">
        <v>70</v>
      </c>
      <c r="H1528" t="s">
        <v>88</v>
      </c>
      <c r="I1528">
        <v>2030</v>
      </c>
      <c r="J1528">
        <v>0.1178</v>
      </c>
      <c r="K1528" t="s">
        <v>53</v>
      </c>
      <c r="L1528">
        <v>55</v>
      </c>
    </row>
    <row r="1529" spans="1:12" x14ac:dyDescent="0.45">
      <c r="A1529" t="s">
        <v>89</v>
      </c>
      <c r="B1529" t="s">
        <v>5</v>
      </c>
      <c r="C1529" t="s">
        <v>83</v>
      </c>
      <c r="D1529" t="s">
        <v>53</v>
      </c>
      <c r="E1529" t="s">
        <v>25</v>
      </c>
      <c r="F1529" t="s">
        <v>53</v>
      </c>
      <c r="G1529" t="s">
        <v>70</v>
      </c>
      <c r="H1529" t="s">
        <v>88</v>
      </c>
      <c r="I1529">
        <v>2035</v>
      </c>
      <c r="J1529">
        <v>5.0799999999999998E-2</v>
      </c>
      <c r="K1529" t="s">
        <v>53</v>
      </c>
      <c r="L1529">
        <v>55</v>
      </c>
    </row>
    <row r="1530" spans="1:12" x14ac:dyDescent="0.45">
      <c r="A1530" t="s">
        <v>89</v>
      </c>
      <c r="B1530" t="s">
        <v>5</v>
      </c>
      <c r="C1530" t="s">
        <v>83</v>
      </c>
      <c r="D1530" t="s">
        <v>53</v>
      </c>
      <c r="E1530" t="s">
        <v>25</v>
      </c>
      <c r="F1530" t="s">
        <v>53</v>
      </c>
      <c r="G1530" t="s">
        <v>70</v>
      </c>
      <c r="H1530" t="s">
        <v>88</v>
      </c>
      <c r="I1530">
        <v>2040</v>
      </c>
      <c r="J1530">
        <v>5.3E-3</v>
      </c>
      <c r="K1530" t="s">
        <v>53</v>
      </c>
      <c r="L1530">
        <v>55</v>
      </c>
    </row>
    <row r="1531" spans="1:12" x14ac:dyDescent="0.45">
      <c r="A1531" t="s">
        <v>89</v>
      </c>
      <c r="B1531" t="s">
        <v>5</v>
      </c>
      <c r="C1531" t="s">
        <v>83</v>
      </c>
      <c r="D1531" t="s">
        <v>53</v>
      </c>
      <c r="E1531" t="s">
        <v>25</v>
      </c>
      <c r="F1531" t="s">
        <v>53</v>
      </c>
      <c r="G1531" t="s">
        <v>70</v>
      </c>
      <c r="H1531" t="s">
        <v>88</v>
      </c>
      <c r="I1531">
        <v>2045</v>
      </c>
      <c r="J1531">
        <v>8.0000000000000004E-4</v>
      </c>
      <c r="K1531" t="s">
        <v>53</v>
      </c>
      <c r="L1531">
        <v>55</v>
      </c>
    </row>
    <row r="1532" spans="1:12" x14ac:dyDescent="0.45">
      <c r="A1532" t="s">
        <v>89</v>
      </c>
      <c r="B1532" t="s">
        <v>5</v>
      </c>
      <c r="C1532" t="s">
        <v>83</v>
      </c>
      <c r="D1532" t="s">
        <v>53</v>
      </c>
      <c r="E1532" t="s">
        <v>25</v>
      </c>
      <c r="F1532" t="s">
        <v>53</v>
      </c>
      <c r="G1532" t="s">
        <v>70</v>
      </c>
      <c r="H1532" t="s">
        <v>88</v>
      </c>
      <c r="I1532">
        <v>2050</v>
      </c>
      <c r="J1532">
        <v>2.9999999999999997E-4</v>
      </c>
      <c r="K1532" t="s">
        <v>53</v>
      </c>
      <c r="L1532">
        <v>55</v>
      </c>
    </row>
    <row r="1533" spans="1:12" x14ac:dyDescent="0.45">
      <c r="A1533" t="s">
        <v>89</v>
      </c>
      <c r="B1533" t="s">
        <v>5</v>
      </c>
      <c r="C1533" t="s">
        <v>83</v>
      </c>
      <c r="D1533" t="s">
        <v>53</v>
      </c>
      <c r="E1533" t="s">
        <v>25</v>
      </c>
      <c r="F1533" t="s">
        <v>53</v>
      </c>
      <c r="G1533" t="s">
        <v>70</v>
      </c>
      <c r="H1533" t="s">
        <v>88</v>
      </c>
      <c r="I1533">
        <v>2055</v>
      </c>
      <c r="J1533">
        <v>2.5000000000000001E-4</v>
      </c>
      <c r="K1533" t="s">
        <v>53</v>
      </c>
      <c r="L1533">
        <v>55</v>
      </c>
    </row>
    <row r="1534" spans="1:12" x14ac:dyDescent="0.45">
      <c r="A1534" t="s">
        <v>89</v>
      </c>
      <c r="B1534" t="s">
        <v>5</v>
      </c>
      <c r="C1534" t="s">
        <v>83</v>
      </c>
      <c r="D1534" t="s">
        <v>53</v>
      </c>
      <c r="E1534" t="s">
        <v>25</v>
      </c>
      <c r="F1534" t="s">
        <v>53</v>
      </c>
      <c r="G1534" t="s">
        <v>70</v>
      </c>
      <c r="H1534" t="s">
        <v>88</v>
      </c>
      <c r="I1534">
        <v>2060</v>
      </c>
      <c r="J1534">
        <v>2.0000000000000001E-4</v>
      </c>
      <c r="K1534" t="s">
        <v>53</v>
      </c>
      <c r="L1534">
        <v>55</v>
      </c>
    </row>
    <row r="1535" spans="1:12" x14ac:dyDescent="0.45">
      <c r="A1535" t="s">
        <v>89</v>
      </c>
      <c r="B1535" t="s">
        <v>5</v>
      </c>
      <c r="C1535" t="s">
        <v>83</v>
      </c>
      <c r="D1535" t="s">
        <v>53</v>
      </c>
      <c r="E1535" t="s">
        <v>25</v>
      </c>
      <c r="F1535" t="s">
        <v>53</v>
      </c>
      <c r="G1535" t="s">
        <v>70</v>
      </c>
      <c r="H1535" t="s">
        <v>88</v>
      </c>
      <c r="I1535">
        <v>2065</v>
      </c>
      <c r="J1535">
        <v>1.5000000000000001E-4</v>
      </c>
      <c r="K1535" t="s">
        <v>53</v>
      </c>
      <c r="L1535">
        <v>55</v>
      </c>
    </row>
    <row r="1536" spans="1:12" x14ac:dyDescent="0.45">
      <c r="A1536" t="s">
        <v>89</v>
      </c>
      <c r="B1536" t="s">
        <v>5</v>
      </c>
      <c r="C1536" t="s">
        <v>83</v>
      </c>
      <c r="D1536" t="s">
        <v>53</v>
      </c>
      <c r="E1536" t="s">
        <v>25</v>
      </c>
      <c r="F1536" t="s">
        <v>53</v>
      </c>
      <c r="G1536" t="s">
        <v>70</v>
      </c>
      <c r="H1536" t="s">
        <v>88</v>
      </c>
      <c r="I1536">
        <v>2070</v>
      </c>
      <c r="J1536">
        <v>5.0000000000000002E-5</v>
      </c>
      <c r="K1536" t="s">
        <v>53</v>
      </c>
      <c r="L1536">
        <v>55</v>
      </c>
    </row>
    <row r="1537" spans="1:12" x14ac:dyDescent="0.45">
      <c r="A1537" t="s">
        <v>89</v>
      </c>
      <c r="B1537" t="s">
        <v>5</v>
      </c>
      <c r="C1537" t="s">
        <v>83</v>
      </c>
      <c r="D1537" t="s">
        <v>53</v>
      </c>
      <c r="E1537" t="s">
        <v>25</v>
      </c>
      <c r="F1537" t="s">
        <v>53</v>
      </c>
      <c r="G1537" t="s">
        <v>70</v>
      </c>
      <c r="H1537" t="s">
        <v>88</v>
      </c>
      <c r="I1537">
        <v>2075</v>
      </c>
      <c r="J1537">
        <v>5.0000000000000002E-5</v>
      </c>
      <c r="K1537" t="s">
        <v>53</v>
      </c>
      <c r="L1537">
        <v>55</v>
      </c>
    </row>
    <row r="1538" spans="1:12" x14ac:dyDescent="0.45">
      <c r="A1538" t="s">
        <v>89</v>
      </c>
      <c r="B1538" t="s">
        <v>5</v>
      </c>
      <c r="C1538" t="s">
        <v>83</v>
      </c>
      <c r="D1538" t="s">
        <v>53</v>
      </c>
      <c r="E1538" t="s">
        <v>25</v>
      </c>
      <c r="F1538" t="s">
        <v>53</v>
      </c>
      <c r="G1538" t="s">
        <v>70</v>
      </c>
      <c r="H1538" t="s">
        <v>88</v>
      </c>
      <c r="I1538">
        <v>2080</v>
      </c>
      <c r="J1538">
        <v>5.0000000000000002E-5</v>
      </c>
      <c r="K1538" t="s">
        <v>53</v>
      </c>
      <c r="L1538">
        <v>55</v>
      </c>
    </row>
    <row r="1539" spans="1:12" x14ac:dyDescent="0.45">
      <c r="A1539" t="s">
        <v>89</v>
      </c>
      <c r="B1539" t="s">
        <v>5</v>
      </c>
      <c r="C1539" t="s">
        <v>83</v>
      </c>
      <c r="D1539" t="s">
        <v>53</v>
      </c>
      <c r="E1539" t="s">
        <v>25</v>
      </c>
      <c r="F1539" t="s">
        <v>53</v>
      </c>
      <c r="G1539" t="s">
        <v>70</v>
      </c>
      <c r="H1539" t="s">
        <v>88</v>
      </c>
      <c r="I1539">
        <v>2085</v>
      </c>
      <c r="J1539">
        <v>5.0000000000000002E-5</v>
      </c>
      <c r="K1539" t="s">
        <v>53</v>
      </c>
      <c r="L1539">
        <v>55</v>
      </c>
    </row>
    <row r="1540" spans="1:12" x14ac:dyDescent="0.45">
      <c r="A1540" t="s">
        <v>89</v>
      </c>
      <c r="B1540" t="s">
        <v>5</v>
      </c>
      <c r="C1540" t="s">
        <v>83</v>
      </c>
      <c r="D1540" t="s">
        <v>53</v>
      </c>
      <c r="E1540" t="s">
        <v>25</v>
      </c>
      <c r="F1540" t="s">
        <v>53</v>
      </c>
      <c r="G1540" t="s">
        <v>70</v>
      </c>
      <c r="H1540" t="s">
        <v>88</v>
      </c>
      <c r="I1540">
        <v>2090</v>
      </c>
      <c r="J1540">
        <v>5.0000000000000002E-5</v>
      </c>
      <c r="K1540" t="s">
        <v>53</v>
      </c>
      <c r="L1540">
        <v>55</v>
      </c>
    </row>
    <row r="1541" spans="1:12" x14ac:dyDescent="0.45">
      <c r="A1541" t="s">
        <v>89</v>
      </c>
      <c r="B1541" t="s">
        <v>5</v>
      </c>
      <c r="C1541" t="s">
        <v>83</v>
      </c>
      <c r="D1541" t="s">
        <v>53</v>
      </c>
      <c r="E1541" t="s">
        <v>25</v>
      </c>
      <c r="F1541" t="s">
        <v>53</v>
      </c>
      <c r="G1541" t="s">
        <v>70</v>
      </c>
      <c r="H1541" t="s">
        <v>88</v>
      </c>
      <c r="I1541">
        <v>2095</v>
      </c>
      <c r="J1541">
        <v>5.0000000000000002E-5</v>
      </c>
      <c r="K1541" t="s">
        <v>53</v>
      </c>
      <c r="L1541">
        <v>55</v>
      </c>
    </row>
    <row r="1542" spans="1:12" x14ac:dyDescent="0.45">
      <c r="A1542" t="s">
        <v>89</v>
      </c>
      <c r="B1542" t="s">
        <v>5</v>
      </c>
      <c r="C1542" t="s">
        <v>83</v>
      </c>
      <c r="D1542" t="s">
        <v>53</v>
      </c>
      <c r="E1542" t="s">
        <v>25</v>
      </c>
      <c r="F1542" t="s">
        <v>53</v>
      </c>
      <c r="G1542" t="s">
        <v>70</v>
      </c>
      <c r="H1542" t="s">
        <v>88</v>
      </c>
      <c r="I1542">
        <v>2100</v>
      </c>
      <c r="J1542">
        <v>5.0000000000000002E-5</v>
      </c>
      <c r="K1542" t="s">
        <v>53</v>
      </c>
      <c r="L1542">
        <v>55</v>
      </c>
    </row>
    <row r="1543" spans="1:12" x14ac:dyDescent="0.45">
      <c r="A1543" t="s">
        <v>89</v>
      </c>
      <c r="B1543" t="s">
        <v>2</v>
      </c>
      <c r="C1543" t="s">
        <v>83</v>
      </c>
      <c r="D1543" t="s">
        <v>53</v>
      </c>
      <c r="E1543" t="s">
        <v>25</v>
      </c>
      <c r="F1543" t="s">
        <v>53</v>
      </c>
      <c r="G1543" t="s">
        <v>70</v>
      </c>
      <c r="H1543" t="s">
        <v>88</v>
      </c>
      <c r="I1543">
        <v>2020</v>
      </c>
      <c r="J1543">
        <v>0.10970000000000001</v>
      </c>
      <c r="K1543" t="s">
        <v>53</v>
      </c>
      <c r="L1543">
        <v>55</v>
      </c>
    </row>
    <row r="1544" spans="1:12" x14ac:dyDescent="0.45">
      <c r="A1544" t="s">
        <v>89</v>
      </c>
      <c r="B1544" t="s">
        <v>2</v>
      </c>
      <c r="C1544" t="s">
        <v>83</v>
      </c>
      <c r="D1544" t="s">
        <v>53</v>
      </c>
      <c r="E1544" t="s">
        <v>25</v>
      </c>
      <c r="F1544" t="s">
        <v>53</v>
      </c>
      <c r="G1544" t="s">
        <v>70</v>
      </c>
      <c r="H1544" t="s">
        <v>88</v>
      </c>
      <c r="I1544">
        <v>2025</v>
      </c>
      <c r="J1544">
        <v>0.13070000000000001</v>
      </c>
      <c r="K1544" t="s">
        <v>53</v>
      </c>
      <c r="L1544">
        <v>55</v>
      </c>
    </row>
    <row r="1545" spans="1:12" x14ac:dyDescent="0.45">
      <c r="A1545" t="s">
        <v>89</v>
      </c>
      <c r="B1545" t="s">
        <v>2</v>
      </c>
      <c r="C1545" t="s">
        <v>83</v>
      </c>
      <c r="D1545" t="s">
        <v>53</v>
      </c>
      <c r="E1545" t="s">
        <v>25</v>
      </c>
      <c r="F1545" t="s">
        <v>53</v>
      </c>
      <c r="G1545" t="s">
        <v>70</v>
      </c>
      <c r="H1545" t="s">
        <v>88</v>
      </c>
      <c r="I1545">
        <v>2030</v>
      </c>
      <c r="J1545">
        <v>0.1595</v>
      </c>
      <c r="K1545" t="s">
        <v>53</v>
      </c>
      <c r="L1545">
        <v>55</v>
      </c>
    </row>
    <row r="1546" spans="1:12" x14ac:dyDescent="0.45">
      <c r="A1546" t="s">
        <v>89</v>
      </c>
      <c r="B1546" t="s">
        <v>2</v>
      </c>
      <c r="C1546" t="s">
        <v>83</v>
      </c>
      <c r="D1546" t="s">
        <v>53</v>
      </c>
      <c r="E1546" t="s">
        <v>25</v>
      </c>
      <c r="F1546" t="s">
        <v>53</v>
      </c>
      <c r="G1546" t="s">
        <v>70</v>
      </c>
      <c r="H1546" t="s">
        <v>88</v>
      </c>
      <c r="I1546">
        <v>2035</v>
      </c>
      <c r="J1546">
        <v>0.17</v>
      </c>
      <c r="K1546" t="s">
        <v>53</v>
      </c>
      <c r="L1546">
        <v>55</v>
      </c>
    </row>
    <row r="1547" spans="1:12" x14ac:dyDescent="0.45">
      <c r="A1547" t="s">
        <v>89</v>
      </c>
      <c r="B1547" t="s">
        <v>2</v>
      </c>
      <c r="C1547" t="s">
        <v>83</v>
      </c>
      <c r="D1547" t="s">
        <v>53</v>
      </c>
      <c r="E1547" t="s">
        <v>25</v>
      </c>
      <c r="F1547" t="s">
        <v>53</v>
      </c>
      <c r="G1547" t="s">
        <v>70</v>
      </c>
      <c r="H1547" t="s">
        <v>88</v>
      </c>
      <c r="I1547">
        <v>2040</v>
      </c>
      <c r="J1547">
        <v>0.15409999999999999</v>
      </c>
      <c r="K1547" t="s">
        <v>53</v>
      </c>
      <c r="L1547">
        <v>55</v>
      </c>
    </row>
    <row r="1548" spans="1:12" x14ac:dyDescent="0.45">
      <c r="A1548" t="s">
        <v>89</v>
      </c>
      <c r="B1548" t="s">
        <v>2</v>
      </c>
      <c r="C1548" t="s">
        <v>83</v>
      </c>
      <c r="D1548" t="s">
        <v>53</v>
      </c>
      <c r="E1548" t="s">
        <v>25</v>
      </c>
      <c r="F1548" t="s">
        <v>53</v>
      </c>
      <c r="G1548" t="s">
        <v>70</v>
      </c>
      <c r="H1548" t="s">
        <v>88</v>
      </c>
      <c r="I1548">
        <v>2045</v>
      </c>
      <c r="J1548">
        <v>0.1216</v>
      </c>
      <c r="K1548" t="s">
        <v>53</v>
      </c>
      <c r="L1548">
        <v>55</v>
      </c>
    </row>
    <row r="1549" spans="1:12" x14ac:dyDescent="0.45">
      <c r="A1549" t="s">
        <v>89</v>
      </c>
      <c r="B1549" t="s">
        <v>2</v>
      </c>
      <c r="C1549" t="s">
        <v>83</v>
      </c>
      <c r="D1549" t="s">
        <v>53</v>
      </c>
      <c r="E1549" t="s">
        <v>25</v>
      </c>
      <c r="F1549" t="s">
        <v>53</v>
      </c>
      <c r="G1549" t="s">
        <v>70</v>
      </c>
      <c r="H1549" t="s">
        <v>88</v>
      </c>
      <c r="I1549">
        <v>2050</v>
      </c>
      <c r="J1549">
        <v>9.0200000000000002E-2</v>
      </c>
      <c r="K1549" t="s">
        <v>53</v>
      </c>
      <c r="L1549">
        <v>55</v>
      </c>
    </row>
    <row r="1550" spans="1:12" x14ac:dyDescent="0.45">
      <c r="A1550" t="s">
        <v>89</v>
      </c>
      <c r="B1550" t="s">
        <v>2</v>
      </c>
      <c r="C1550" t="s">
        <v>83</v>
      </c>
      <c r="D1550" t="s">
        <v>53</v>
      </c>
      <c r="E1550" t="s">
        <v>25</v>
      </c>
      <c r="F1550" t="s">
        <v>53</v>
      </c>
      <c r="G1550" t="s">
        <v>70</v>
      </c>
      <c r="H1550" t="s">
        <v>88</v>
      </c>
      <c r="I1550">
        <v>2055</v>
      </c>
      <c r="J1550">
        <v>6.8250000000000005E-2</v>
      </c>
      <c r="K1550" t="s">
        <v>53</v>
      </c>
      <c r="L1550">
        <v>55</v>
      </c>
    </row>
    <row r="1551" spans="1:12" x14ac:dyDescent="0.45">
      <c r="A1551" t="s">
        <v>89</v>
      </c>
      <c r="B1551" t="s">
        <v>2</v>
      </c>
      <c r="C1551" t="s">
        <v>83</v>
      </c>
      <c r="D1551" t="s">
        <v>53</v>
      </c>
      <c r="E1551" t="s">
        <v>25</v>
      </c>
      <c r="F1551" t="s">
        <v>53</v>
      </c>
      <c r="G1551" t="s">
        <v>70</v>
      </c>
      <c r="H1551" t="s">
        <v>88</v>
      </c>
      <c r="I1551">
        <v>2060</v>
      </c>
      <c r="J1551">
        <v>2.1850000000000001E-2</v>
      </c>
      <c r="K1551" t="s">
        <v>53</v>
      </c>
      <c r="L1551">
        <v>55</v>
      </c>
    </row>
    <row r="1552" spans="1:12" x14ac:dyDescent="0.45">
      <c r="A1552" t="s">
        <v>89</v>
      </c>
      <c r="B1552" t="s">
        <v>2</v>
      </c>
      <c r="C1552" t="s">
        <v>83</v>
      </c>
      <c r="D1552" t="s">
        <v>53</v>
      </c>
      <c r="E1552" t="s">
        <v>25</v>
      </c>
      <c r="F1552" t="s">
        <v>53</v>
      </c>
      <c r="G1552" t="s">
        <v>70</v>
      </c>
      <c r="H1552" t="s">
        <v>88</v>
      </c>
      <c r="I1552">
        <v>2065</v>
      </c>
      <c r="J1552">
        <v>1.72E-2</v>
      </c>
      <c r="K1552" t="s">
        <v>53</v>
      </c>
      <c r="L1552">
        <v>55</v>
      </c>
    </row>
    <row r="1553" spans="1:12" x14ac:dyDescent="0.45">
      <c r="A1553" t="s">
        <v>89</v>
      </c>
      <c r="B1553" t="s">
        <v>2</v>
      </c>
      <c r="C1553" t="s">
        <v>83</v>
      </c>
      <c r="D1553" t="s">
        <v>53</v>
      </c>
      <c r="E1553" t="s">
        <v>25</v>
      </c>
      <c r="F1553" t="s">
        <v>53</v>
      </c>
      <c r="G1553" t="s">
        <v>70</v>
      </c>
      <c r="H1553" t="s">
        <v>88</v>
      </c>
      <c r="I1553">
        <v>2070</v>
      </c>
      <c r="J1553">
        <v>1.1949999999999999E-2</v>
      </c>
      <c r="K1553" t="s">
        <v>53</v>
      </c>
      <c r="L1553">
        <v>55</v>
      </c>
    </row>
    <row r="1554" spans="1:12" x14ac:dyDescent="0.45">
      <c r="A1554" t="s">
        <v>89</v>
      </c>
      <c r="B1554" t="s">
        <v>2</v>
      </c>
      <c r="C1554" t="s">
        <v>83</v>
      </c>
      <c r="D1554" t="s">
        <v>53</v>
      </c>
      <c r="E1554" t="s">
        <v>25</v>
      </c>
      <c r="F1554" t="s">
        <v>53</v>
      </c>
      <c r="G1554" t="s">
        <v>70</v>
      </c>
      <c r="H1554" t="s">
        <v>88</v>
      </c>
      <c r="I1554">
        <v>2075</v>
      </c>
      <c r="J1554">
        <v>8.9999999999999993E-3</v>
      </c>
      <c r="K1554" t="s">
        <v>53</v>
      </c>
      <c r="L1554">
        <v>55</v>
      </c>
    </row>
    <row r="1555" spans="1:12" x14ac:dyDescent="0.45">
      <c r="A1555" t="s">
        <v>89</v>
      </c>
      <c r="B1555" t="s">
        <v>2</v>
      </c>
      <c r="C1555" t="s">
        <v>83</v>
      </c>
      <c r="D1555" t="s">
        <v>53</v>
      </c>
      <c r="E1555" t="s">
        <v>25</v>
      </c>
      <c r="F1555" t="s">
        <v>53</v>
      </c>
      <c r="G1555" t="s">
        <v>70</v>
      </c>
      <c r="H1555" t="s">
        <v>88</v>
      </c>
      <c r="I1555">
        <v>2080</v>
      </c>
      <c r="J1555">
        <v>5.6499999999999996E-3</v>
      </c>
      <c r="K1555" t="s">
        <v>53</v>
      </c>
      <c r="L1555">
        <v>55</v>
      </c>
    </row>
    <row r="1556" spans="1:12" x14ac:dyDescent="0.45">
      <c r="A1556" t="s">
        <v>89</v>
      </c>
      <c r="B1556" t="s">
        <v>2</v>
      </c>
      <c r="C1556" t="s">
        <v>83</v>
      </c>
      <c r="D1556" t="s">
        <v>53</v>
      </c>
      <c r="E1556" t="s">
        <v>25</v>
      </c>
      <c r="F1556" t="s">
        <v>53</v>
      </c>
      <c r="G1556" t="s">
        <v>70</v>
      </c>
      <c r="H1556" t="s">
        <v>88</v>
      </c>
      <c r="I1556">
        <v>2085</v>
      </c>
      <c r="J1556">
        <v>6.6E-3</v>
      </c>
      <c r="K1556" t="s">
        <v>53</v>
      </c>
      <c r="L1556">
        <v>55</v>
      </c>
    </row>
    <row r="1557" spans="1:12" x14ac:dyDescent="0.45">
      <c r="A1557" t="s">
        <v>89</v>
      </c>
      <c r="B1557" t="s">
        <v>2</v>
      </c>
      <c r="C1557" t="s">
        <v>83</v>
      </c>
      <c r="D1557" t="s">
        <v>53</v>
      </c>
      <c r="E1557" t="s">
        <v>25</v>
      </c>
      <c r="F1557" t="s">
        <v>53</v>
      </c>
      <c r="G1557" t="s">
        <v>70</v>
      </c>
      <c r="H1557" t="s">
        <v>88</v>
      </c>
      <c r="I1557">
        <v>2090</v>
      </c>
      <c r="J1557">
        <v>7.4999999999999997E-3</v>
      </c>
      <c r="K1557" t="s">
        <v>53</v>
      </c>
      <c r="L1557">
        <v>55</v>
      </c>
    </row>
    <row r="1558" spans="1:12" x14ac:dyDescent="0.45">
      <c r="A1558" t="s">
        <v>89</v>
      </c>
      <c r="B1558" t="s">
        <v>2</v>
      </c>
      <c r="C1558" t="s">
        <v>83</v>
      </c>
      <c r="D1558" t="s">
        <v>53</v>
      </c>
      <c r="E1558" t="s">
        <v>25</v>
      </c>
      <c r="F1558" t="s">
        <v>53</v>
      </c>
      <c r="G1558" t="s">
        <v>70</v>
      </c>
      <c r="H1558" t="s">
        <v>88</v>
      </c>
      <c r="I1558">
        <v>2095</v>
      </c>
      <c r="J1558">
        <v>7.1500000000000001E-3</v>
      </c>
      <c r="K1558" t="s">
        <v>53</v>
      </c>
      <c r="L1558">
        <v>55</v>
      </c>
    </row>
    <row r="1559" spans="1:12" x14ac:dyDescent="0.45">
      <c r="A1559" t="s">
        <v>89</v>
      </c>
      <c r="B1559" t="s">
        <v>2</v>
      </c>
      <c r="C1559" t="s">
        <v>83</v>
      </c>
      <c r="D1559" t="s">
        <v>53</v>
      </c>
      <c r="E1559" t="s">
        <v>25</v>
      </c>
      <c r="F1559" t="s">
        <v>53</v>
      </c>
      <c r="G1559" t="s">
        <v>70</v>
      </c>
      <c r="H1559" t="s">
        <v>88</v>
      </c>
      <c r="I1559">
        <v>2100</v>
      </c>
      <c r="J1559">
        <v>6.6999999999999994E-3</v>
      </c>
      <c r="K1559" t="s">
        <v>53</v>
      </c>
      <c r="L1559">
        <v>55</v>
      </c>
    </row>
    <row r="1560" spans="1:12" x14ac:dyDescent="0.45">
      <c r="A1560" t="s">
        <v>89</v>
      </c>
      <c r="B1560" t="s">
        <v>1</v>
      </c>
      <c r="C1560" t="s">
        <v>83</v>
      </c>
      <c r="D1560" t="s">
        <v>53</v>
      </c>
      <c r="E1560" t="s">
        <v>25</v>
      </c>
      <c r="F1560" t="s">
        <v>53</v>
      </c>
      <c r="G1560" t="s">
        <v>70</v>
      </c>
      <c r="H1560" t="s">
        <v>88</v>
      </c>
      <c r="I1560">
        <v>2020</v>
      </c>
      <c r="J1560">
        <v>0.1091</v>
      </c>
      <c r="K1560" t="s">
        <v>53</v>
      </c>
      <c r="L1560">
        <v>55</v>
      </c>
    </row>
    <row r="1561" spans="1:12" x14ac:dyDescent="0.45">
      <c r="A1561" t="s">
        <v>89</v>
      </c>
      <c r="B1561" t="s">
        <v>1</v>
      </c>
      <c r="C1561" t="s">
        <v>83</v>
      </c>
      <c r="D1561" t="s">
        <v>53</v>
      </c>
      <c r="E1561" t="s">
        <v>25</v>
      </c>
      <c r="F1561" t="s">
        <v>53</v>
      </c>
      <c r="G1561" t="s">
        <v>70</v>
      </c>
      <c r="H1561" t="s">
        <v>88</v>
      </c>
      <c r="I1561">
        <v>2025</v>
      </c>
      <c r="J1561">
        <v>0.12870000000000001</v>
      </c>
      <c r="K1561" t="s">
        <v>53</v>
      </c>
      <c r="L1561">
        <v>55</v>
      </c>
    </row>
    <row r="1562" spans="1:12" x14ac:dyDescent="0.45">
      <c r="A1562" t="s">
        <v>89</v>
      </c>
      <c r="B1562" t="s">
        <v>1</v>
      </c>
      <c r="C1562" t="s">
        <v>83</v>
      </c>
      <c r="D1562" t="s">
        <v>53</v>
      </c>
      <c r="E1562" t="s">
        <v>25</v>
      </c>
      <c r="F1562" t="s">
        <v>53</v>
      </c>
      <c r="G1562" t="s">
        <v>70</v>
      </c>
      <c r="H1562" t="s">
        <v>88</v>
      </c>
      <c r="I1562">
        <v>2030</v>
      </c>
      <c r="J1562">
        <v>8.4000000000000005E-2</v>
      </c>
      <c r="K1562" t="s">
        <v>53</v>
      </c>
      <c r="L1562">
        <v>55</v>
      </c>
    </row>
    <row r="1563" spans="1:12" x14ac:dyDescent="0.45">
      <c r="A1563" t="s">
        <v>89</v>
      </c>
      <c r="B1563" t="s">
        <v>1</v>
      </c>
      <c r="C1563" t="s">
        <v>83</v>
      </c>
      <c r="D1563" t="s">
        <v>53</v>
      </c>
      <c r="E1563" t="s">
        <v>25</v>
      </c>
      <c r="F1563" t="s">
        <v>53</v>
      </c>
      <c r="G1563" t="s">
        <v>70</v>
      </c>
      <c r="H1563" t="s">
        <v>88</v>
      </c>
      <c r="I1563">
        <v>2035</v>
      </c>
      <c r="J1563">
        <v>1.9800000000000002E-2</v>
      </c>
      <c r="K1563" t="s">
        <v>53</v>
      </c>
      <c r="L1563">
        <v>55</v>
      </c>
    </row>
    <row r="1564" spans="1:12" x14ac:dyDescent="0.45">
      <c r="A1564" t="s">
        <v>89</v>
      </c>
      <c r="B1564" t="s">
        <v>1</v>
      </c>
      <c r="C1564" t="s">
        <v>83</v>
      </c>
      <c r="D1564" t="s">
        <v>53</v>
      </c>
      <c r="E1564" t="s">
        <v>25</v>
      </c>
      <c r="F1564" t="s">
        <v>53</v>
      </c>
      <c r="G1564" t="s">
        <v>70</v>
      </c>
      <c r="H1564" t="s">
        <v>88</v>
      </c>
      <c r="I1564">
        <v>2040</v>
      </c>
      <c r="J1564">
        <v>5.7000000000000002E-3</v>
      </c>
      <c r="K1564" t="s">
        <v>53</v>
      </c>
      <c r="L1564">
        <v>55</v>
      </c>
    </row>
    <row r="1565" spans="1:12" x14ac:dyDescent="0.45">
      <c r="A1565" t="s">
        <v>89</v>
      </c>
      <c r="B1565" t="s">
        <v>1</v>
      </c>
      <c r="C1565" t="s">
        <v>83</v>
      </c>
      <c r="D1565" t="s">
        <v>53</v>
      </c>
      <c r="E1565" t="s">
        <v>25</v>
      </c>
      <c r="F1565" t="s">
        <v>53</v>
      </c>
      <c r="G1565" t="s">
        <v>70</v>
      </c>
      <c r="H1565" t="s">
        <v>88</v>
      </c>
      <c r="I1565">
        <v>2045</v>
      </c>
      <c r="J1565">
        <v>1.1999999999999999E-3</v>
      </c>
      <c r="K1565" t="s">
        <v>53</v>
      </c>
      <c r="L1565">
        <v>55</v>
      </c>
    </row>
    <row r="1566" spans="1:12" x14ac:dyDescent="0.45">
      <c r="A1566" t="s">
        <v>89</v>
      </c>
      <c r="B1566" t="s">
        <v>1</v>
      </c>
      <c r="C1566" t="s">
        <v>83</v>
      </c>
      <c r="D1566" t="s">
        <v>53</v>
      </c>
      <c r="E1566" t="s">
        <v>25</v>
      </c>
      <c r="F1566" t="s">
        <v>53</v>
      </c>
      <c r="G1566" t="s">
        <v>70</v>
      </c>
      <c r="H1566" t="s">
        <v>88</v>
      </c>
      <c r="I1566">
        <v>2050</v>
      </c>
      <c r="J1566">
        <v>2.9999999999999997E-4</v>
      </c>
      <c r="K1566" t="s">
        <v>53</v>
      </c>
      <c r="L1566">
        <v>55</v>
      </c>
    </row>
    <row r="1567" spans="1:12" x14ac:dyDescent="0.45">
      <c r="A1567" t="s">
        <v>89</v>
      </c>
      <c r="B1567" t="s">
        <v>1</v>
      </c>
      <c r="C1567" t="s">
        <v>83</v>
      </c>
      <c r="D1567" t="s">
        <v>53</v>
      </c>
      <c r="E1567" t="s">
        <v>25</v>
      </c>
      <c r="F1567" t="s">
        <v>53</v>
      </c>
      <c r="G1567" t="s">
        <v>70</v>
      </c>
      <c r="H1567" t="s">
        <v>88</v>
      </c>
      <c r="I1567">
        <v>2055</v>
      </c>
      <c r="J1567">
        <v>2.0000000000000001E-4</v>
      </c>
      <c r="K1567" t="s">
        <v>53</v>
      </c>
      <c r="L1567">
        <v>55</v>
      </c>
    </row>
    <row r="1568" spans="1:12" x14ac:dyDescent="0.45">
      <c r="A1568" t="s">
        <v>89</v>
      </c>
      <c r="B1568" t="s">
        <v>1</v>
      </c>
      <c r="C1568" t="s">
        <v>83</v>
      </c>
      <c r="D1568" t="s">
        <v>53</v>
      </c>
      <c r="E1568" t="s">
        <v>25</v>
      </c>
      <c r="F1568" t="s">
        <v>53</v>
      </c>
      <c r="G1568" t="s">
        <v>70</v>
      </c>
      <c r="H1568" t="s">
        <v>88</v>
      </c>
      <c r="I1568">
        <v>2060</v>
      </c>
      <c r="J1568">
        <v>1E-4</v>
      </c>
      <c r="K1568" t="s">
        <v>53</v>
      </c>
      <c r="L1568">
        <v>55</v>
      </c>
    </row>
    <row r="1569" spans="1:12" x14ac:dyDescent="0.45">
      <c r="A1569" t="s">
        <v>89</v>
      </c>
      <c r="B1569" t="s">
        <v>1</v>
      </c>
      <c r="C1569" t="s">
        <v>83</v>
      </c>
      <c r="D1569" t="s">
        <v>53</v>
      </c>
      <c r="E1569" t="s">
        <v>25</v>
      </c>
      <c r="F1569" t="s">
        <v>53</v>
      </c>
      <c r="G1569" t="s">
        <v>70</v>
      </c>
      <c r="H1569" t="s">
        <v>88</v>
      </c>
      <c r="I1569">
        <v>2065</v>
      </c>
      <c r="J1569">
        <v>1E-4</v>
      </c>
      <c r="K1569" t="s">
        <v>53</v>
      </c>
      <c r="L1569">
        <v>55</v>
      </c>
    </row>
    <row r="1570" spans="1:12" x14ac:dyDescent="0.45">
      <c r="A1570" t="s">
        <v>89</v>
      </c>
      <c r="B1570" t="s">
        <v>1</v>
      </c>
      <c r="C1570" t="s">
        <v>83</v>
      </c>
      <c r="D1570" t="s">
        <v>53</v>
      </c>
      <c r="E1570" t="s">
        <v>25</v>
      </c>
      <c r="F1570" t="s">
        <v>53</v>
      </c>
      <c r="G1570" t="s">
        <v>70</v>
      </c>
      <c r="H1570" t="s">
        <v>88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89</v>
      </c>
      <c r="B1571" t="s">
        <v>1</v>
      </c>
      <c r="C1571" t="s">
        <v>83</v>
      </c>
      <c r="D1571" t="s">
        <v>53</v>
      </c>
      <c r="E1571" t="s">
        <v>25</v>
      </c>
      <c r="F1571" t="s">
        <v>53</v>
      </c>
      <c r="G1571" t="s">
        <v>70</v>
      </c>
      <c r="H1571" t="s">
        <v>88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89</v>
      </c>
      <c r="B1572" t="s">
        <v>1</v>
      </c>
      <c r="C1572" t="s">
        <v>83</v>
      </c>
      <c r="D1572" t="s">
        <v>53</v>
      </c>
      <c r="E1572" t="s">
        <v>25</v>
      </c>
      <c r="F1572" t="s">
        <v>53</v>
      </c>
      <c r="G1572" t="s">
        <v>70</v>
      </c>
      <c r="H1572" t="s">
        <v>88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89</v>
      </c>
      <c r="B1573" t="s">
        <v>1</v>
      </c>
      <c r="C1573" t="s">
        <v>83</v>
      </c>
      <c r="D1573" t="s">
        <v>53</v>
      </c>
      <c r="E1573" t="s">
        <v>25</v>
      </c>
      <c r="F1573" t="s">
        <v>53</v>
      </c>
      <c r="G1573" t="s">
        <v>70</v>
      </c>
      <c r="H1573" t="s">
        <v>88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89</v>
      </c>
      <c r="B1574" t="s">
        <v>1</v>
      </c>
      <c r="C1574" t="s">
        <v>83</v>
      </c>
      <c r="D1574" t="s">
        <v>53</v>
      </c>
      <c r="E1574" t="s">
        <v>25</v>
      </c>
      <c r="F1574" t="s">
        <v>53</v>
      </c>
      <c r="G1574" t="s">
        <v>70</v>
      </c>
      <c r="H1574" t="s">
        <v>88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89</v>
      </c>
      <c r="B1575" t="s">
        <v>1</v>
      </c>
      <c r="C1575" t="s">
        <v>83</v>
      </c>
      <c r="D1575" t="s">
        <v>53</v>
      </c>
      <c r="E1575" t="s">
        <v>25</v>
      </c>
      <c r="F1575" t="s">
        <v>53</v>
      </c>
      <c r="G1575" t="s">
        <v>70</v>
      </c>
      <c r="H1575" t="s">
        <v>88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89</v>
      </c>
      <c r="B1576" t="s">
        <v>1</v>
      </c>
      <c r="C1576" t="s">
        <v>83</v>
      </c>
      <c r="D1576" t="s">
        <v>53</v>
      </c>
      <c r="E1576" t="s">
        <v>25</v>
      </c>
      <c r="F1576" t="s">
        <v>53</v>
      </c>
      <c r="G1576" t="s">
        <v>70</v>
      </c>
      <c r="H1576" t="s">
        <v>88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89</v>
      </c>
      <c r="B1577" t="s">
        <v>3</v>
      </c>
      <c r="C1577" t="s">
        <v>83</v>
      </c>
      <c r="D1577" t="s">
        <v>54</v>
      </c>
      <c r="E1577" t="s">
        <v>25</v>
      </c>
      <c r="F1577" t="s">
        <v>54</v>
      </c>
      <c r="G1577" t="s">
        <v>70</v>
      </c>
      <c r="H1577" t="s">
        <v>88</v>
      </c>
      <c r="I1577">
        <v>2020</v>
      </c>
      <c r="J1577">
        <v>0</v>
      </c>
      <c r="K1577" t="s">
        <v>54</v>
      </c>
      <c r="L1577">
        <v>70</v>
      </c>
    </row>
    <row r="1578" spans="1:12" x14ac:dyDescent="0.45">
      <c r="A1578" t="s">
        <v>89</v>
      </c>
      <c r="B1578" t="s">
        <v>3</v>
      </c>
      <c r="C1578" t="s">
        <v>83</v>
      </c>
      <c r="D1578" t="s">
        <v>54</v>
      </c>
      <c r="E1578" t="s">
        <v>25</v>
      </c>
      <c r="F1578" t="s">
        <v>54</v>
      </c>
      <c r="G1578" t="s">
        <v>70</v>
      </c>
      <c r="H1578" t="s">
        <v>88</v>
      </c>
      <c r="I1578">
        <v>2025</v>
      </c>
      <c r="J1578">
        <v>0</v>
      </c>
      <c r="K1578" t="s">
        <v>54</v>
      </c>
      <c r="L1578">
        <v>70</v>
      </c>
    </row>
    <row r="1579" spans="1:12" x14ac:dyDescent="0.45">
      <c r="A1579" t="s">
        <v>89</v>
      </c>
      <c r="B1579" t="s">
        <v>3</v>
      </c>
      <c r="C1579" t="s">
        <v>83</v>
      </c>
      <c r="D1579" t="s">
        <v>54</v>
      </c>
      <c r="E1579" t="s">
        <v>25</v>
      </c>
      <c r="F1579" t="s">
        <v>54</v>
      </c>
      <c r="G1579" t="s">
        <v>70</v>
      </c>
      <c r="H1579" t="s">
        <v>88</v>
      </c>
      <c r="I1579">
        <v>2030</v>
      </c>
      <c r="J1579">
        <v>0</v>
      </c>
      <c r="K1579" t="s">
        <v>54</v>
      </c>
      <c r="L1579">
        <v>70</v>
      </c>
    </row>
    <row r="1580" spans="1:12" x14ac:dyDescent="0.45">
      <c r="A1580" t="s">
        <v>89</v>
      </c>
      <c r="B1580" t="s">
        <v>3</v>
      </c>
      <c r="C1580" t="s">
        <v>83</v>
      </c>
      <c r="D1580" t="s">
        <v>54</v>
      </c>
      <c r="E1580" t="s">
        <v>25</v>
      </c>
      <c r="F1580" t="s">
        <v>54</v>
      </c>
      <c r="G1580" t="s">
        <v>70</v>
      </c>
      <c r="H1580" t="s">
        <v>88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89</v>
      </c>
      <c r="B1581" t="s">
        <v>3</v>
      </c>
      <c r="C1581" t="s">
        <v>83</v>
      </c>
      <c r="D1581" t="s">
        <v>54</v>
      </c>
      <c r="E1581" t="s">
        <v>25</v>
      </c>
      <c r="F1581" t="s">
        <v>54</v>
      </c>
      <c r="G1581" t="s">
        <v>70</v>
      </c>
      <c r="H1581" t="s">
        <v>88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89</v>
      </c>
      <c r="B1582" t="s">
        <v>3</v>
      </c>
      <c r="C1582" t="s">
        <v>83</v>
      </c>
      <c r="D1582" t="s">
        <v>54</v>
      </c>
      <c r="E1582" t="s">
        <v>25</v>
      </c>
      <c r="F1582" t="s">
        <v>54</v>
      </c>
      <c r="G1582" t="s">
        <v>70</v>
      </c>
      <c r="H1582" t="s">
        <v>88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89</v>
      </c>
      <c r="B1583" t="s">
        <v>3</v>
      </c>
      <c r="C1583" t="s">
        <v>83</v>
      </c>
      <c r="D1583" t="s">
        <v>54</v>
      </c>
      <c r="E1583" t="s">
        <v>25</v>
      </c>
      <c r="F1583" t="s">
        <v>54</v>
      </c>
      <c r="G1583" t="s">
        <v>70</v>
      </c>
      <c r="H1583" t="s">
        <v>88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89</v>
      </c>
      <c r="B1584" t="s">
        <v>3</v>
      </c>
      <c r="C1584" t="s">
        <v>83</v>
      </c>
      <c r="D1584" t="s">
        <v>54</v>
      </c>
      <c r="E1584" t="s">
        <v>25</v>
      </c>
      <c r="F1584" t="s">
        <v>54</v>
      </c>
      <c r="G1584" t="s">
        <v>70</v>
      </c>
      <c r="H1584" t="s">
        <v>88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89</v>
      </c>
      <c r="B1585" t="s">
        <v>3</v>
      </c>
      <c r="C1585" t="s">
        <v>83</v>
      </c>
      <c r="D1585" t="s">
        <v>54</v>
      </c>
      <c r="E1585" t="s">
        <v>25</v>
      </c>
      <c r="F1585" t="s">
        <v>54</v>
      </c>
      <c r="G1585" t="s">
        <v>70</v>
      </c>
      <c r="H1585" t="s">
        <v>88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89</v>
      </c>
      <c r="B1586" t="s">
        <v>3</v>
      </c>
      <c r="C1586" t="s">
        <v>83</v>
      </c>
      <c r="D1586" t="s">
        <v>54</v>
      </c>
      <c r="E1586" t="s">
        <v>25</v>
      </c>
      <c r="F1586" t="s">
        <v>54</v>
      </c>
      <c r="G1586" t="s">
        <v>70</v>
      </c>
      <c r="H1586" t="s">
        <v>88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89</v>
      </c>
      <c r="B1587" t="s">
        <v>3</v>
      </c>
      <c r="C1587" t="s">
        <v>83</v>
      </c>
      <c r="D1587" t="s">
        <v>54</v>
      </c>
      <c r="E1587" t="s">
        <v>25</v>
      </c>
      <c r="F1587" t="s">
        <v>54</v>
      </c>
      <c r="G1587" t="s">
        <v>70</v>
      </c>
      <c r="H1587" t="s">
        <v>88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89</v>
      </c>
      <c r="B1588" t="s">
        <v>3</v>
      </c>
      <c r="C1588" t="s">
        <v>83</v>
      </c>
      <c r="D1588" t="s">
        <v>54</v>
      </c>
      <c r="E1588" t="s">
        <v>25</v>
      </c>
      <c r="F1588" t="s">
        <v>54</v>
      </c>
      <c r="G1588" t="s">
        <v>70</v>
      </c>
      <c r="H1588" t="s">
        <v>88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89</v>
      </c>
      <c r="B1589" t="s">
        <v>3</v>
      </c>
      <c r="C1589" t="s">
        <v>83</v>
      </c>
      <c r="D1589" t="s">
        <v>54</v>
      </c>
      <c r="E1589" t="s">
        <v>25</v>
      </c>
      <c r="F1589" t="s">
        <v>54</v>
      </c>
      <c r="G1589" t="s">
        <v>70</v>
      </c>
      <c r="H1589" t="s">
        <v>88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89</v>
      </c>
      <c r="B1590" t="s">
        <v>3</v>
      </c>
      <c r="C1590" t="s">
        <v>83</v>
      </c>
      <c r="D1590" t="s">
        <v>54</v>
      </c>
      <c r="E1590" t="s">
        <v>25</v>
      </c>
      <c r="F1590" t="s">
        <v>54</v>
      </c>
      <c r="G1590" t="s">
        <v>70</v>
      </c>
      <c r="H1590" t="s">
        <v>88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89</v>
      </c>
      <c r="B1591" t="s">
        <v>3</v>
      </c>
      <c r="C1591" t="s">
        <v>83</v>
      </c>
      <c r="D1591" t="s">
        <v>54</v>
      </c>
      <c r="E1591" t="s">
        <v>25</v>
      </c>
      <c r="F1591" t="s">
        <v>54</v>
      </c>
      <c r="G1591" t="s">
        <v>70</v>
      </c>
      <c r="H1591" t="s">
        <v>88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89</v>
      </c>
      <c r="B1592" t="s">
        <v>3</v>
      </c>
      <c r="C1592" t="s">
        <v>83</v>
      </c>
      <c r="D1592" t="s">
        <v>54</v>
      </c>
      <c r="E1592" t="s">
        <v>25</v>
      </c>
      <c r="F1592" t="s">
        <v>54</v>
      </c>
      <c r="G1592" t="s">
        <v>70</v>
      </c>
      <c r="H1592" t="s">
        <v>88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89</v>
      </c>
      <c r="B1593" t="s">
        <v>3</v>
      </c>
      <c r="C1593" t="s">
        <v>83</v>
      </c>
      <c r="D1593" t="s">
        <v>54</v>
      </c>
      <c r="E1593" t="s">
        <v>25</v>
      </c>
      <c r="F1593" t="s">
        <v>54</v>
      </c>
      <c r="G1593" t="s">
        <v>70</v>
      </c>
      <c r="H1593" t="s">
        <v>88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89</v>
      </c>
      <c r="B1594" t="s">
        <v>4</v>
      </c>
      <c r="C1594" t="s">
        <v>83</v>
      </c>
      <c r="D1594" t="s">
        <v>54</v>
      </c>
      <c r="E1594" t="s">
        <v>25</v>
      </c>
      <c r="F1594" t="s">
        <v>54</v>
      </c>
      <c r="G1594" t="s">
        <v>70</v>
      </c>
      <c r="H1594" t="s">
        <v>88</v>
      </c>
      <c r="I1594">
        <v>2020</v>
      </c>
      <c r="J1594">
        <v>0</v>
      </c>
      <c r="K1594" t="s">
        <v>54</v>
      </c>
      <c r="L1594">
        <v>70</v>
      </c>
    </row>
    <row r="1595" spans="1:12" x14ac:dyDescent="0.45">
      <c r="A1595" t="s">
        <v>89</v>
      </c>
      <c r="B1595" t="s">
        <v>4</v>
      </c>
      <c r="C1595" t="s">
        <v>83</v>
      </c>
      <c r="D1595" t="s">
        <v>54</v>
      </c>
      <c r="E1595" t="s">
        <v>25</v>
      </c>
      <c r="F1595" t="s">
        <v>54</v>
      </c>
      <c r="G1595" t="s">
        <v>70</v>
      </c>
      <c r="H1595" t="s">
        <v>88</v>
      </c>
      <c r="I1595">
        <v>2025</v>
      </c>
      <c r="J1595">
        <v>0</v>
      </c>
      <c r="K1595" t="s">
        <v>54</v>
      </c>
      <c r="L1595">
        <v>70</v>
      </c>
    </row>
    <row r="1596" spans="1:12" x14ac:dyDescent="0.45">
      <c r="A1596" t="s">
        <v>89</v>
      </c>
      <c r="B1596" t="s">
        <v>4</v>
      </c>
      <c r="C1596" t="s">
        <v>83</v>
      </c>
      <c r="D1596" t="s">
        <v>54</v>
      </c>
      <c r="E1596" t="s">
        <v>25</v>
      </c>
      <c r="F1596" t="s">
        <v>54</v>
      </c>
      <c r="G1596" t="s">
        <v>70</v>
      </c>
      <c r="H1596" t="s">
        <v>88</v>
      </c>
      <c r="I1596">
        <v>2030</v>
      </c>
      <c r="J1596">
        <v>0</v>
      </c>
      <c r="K1596" t="s">
        <v>54</v>
      </c>
      <c r="L1596">
        <v>70</v>
      </c>
    </row>
    <row r="1597" spans="1:12" x14ac:dyDescent="0.45">
      <c r="A1597" t="s">
        <v>89</v>
      </c>
      <c r="B1597" t="s">
        <v>4</v>
      </c>
      <c r="C1597" t="s">
        <v>83</v>
      </c>
      <c r="D1597" t="s">
        <v>54</v>
      </c>
      <c r="E1597" t="s">
        <v>25</v>
      </c>
      <c r="F1597" t="s">
        <v>54</v>
      </c>
      <c r="G1597" t="s">
        <v>70</v>
      </c>
      <c r="H1597" t="s">
        <v>88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89</v>
      </c>
      <c r="B1598" t="s">
        <v>4</v>
      </c>
      <c r="C1598" t="s">
        <v>83</v>
      </c>
      <c r="D1598" t="s">
        <v>54</v>
      </c>
      <c r="E1598" t="s">
        <v>25</v>
      </c>
      <c r="F1598" t="s">
        <v>54</v>
      </c>
      <c r="G1598" t="s">
        <v>70</v>
      </c>
      <c r="H1598" t="s">
        <v>88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89</v>
      </c>
      <c r="B1599" t="s">
        <v>4</v>
      </c>
      <c r="C1599" t="s">
        <v>83</v>
      </c>
      <c r="D1599" t="s">
        <v>54</v>
      </c>
      <c r="E1599" t="s">
        <v>25</v>
      </c>
      <c r="F1599" t="s">
        <v>54</v>
      </c>
      <c r="G1599" t="s">
        <v>70</v>
      </c>
      <c r="H1599" t="s">
        <v>88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89</v>
      </c>
      <c r="B1600" t="s">
        <v>4</v>
      </c>
      <c r="C1600" t="s">
        <v>83</v>
      </c>
      <c r="D1600" t="s">
        <v>54</v>
      </c>
      <c r="E1600" t="s">
        <v>25</v>
      </c>
      <c r="F1600" t="s">
        <v>54</v>
      </c>
      <c r="G1600" t="s">
        <v>70</v>
      </c>
      <c r="H1600" t="s">
        <v>88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89</v>
      </c>
      <c r="B1601" t="s">
        <v>4</v>
      </c>
      <c r="C1601" t="s">
        <v>83</v>
      </c>
      <c r="D1601" t="s">
        <v>54</v>
      </c>
      <c r="E1601" t="s">
        <v>25</v>
      </c>
      <c r="F1601" t="s">
        <v>54</v>
      </c>
      <c r="G1601" t="s">
        <v>70</v>
      </c>
      <c r="H1601" t="s">
        <v>88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89</v>
      </c>
      <c r="B1602" t="s">
        <v>4</v>
      </c>
      <c r="C1602" t="s">
        <v>83</v>
      </c>
      <c r="D1602" t="s">
        <v>54</v>
      </c>
      <c r="E1602" t="s">
        <v>25</v>
      </c>
      <c r="F1602" t="s">
        <v>54</v>
      </c>
      <c r="G1602" t="s">
        <v>70</v>
      </c>
      <c r="H1602" t="s">
        <v>88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89</v>
      </c>
      <c r="B1603" t="s">
        <v>4</v>
      </c>
      <c r="C1603" t="s">
        <v>83</v>
      </c>
      <c r="D1603" t="s">
        <v>54</v>
      </c>
      <c r="E1603" t="s">
        <v>25</v>
      </c>
      <c r="F1603" t="s">
        <v>54</v>
      </c>
      <c r="G1603" t="s">
        <v>70</v>
      </c>
      <c r="H1603" t="s">
        <v>88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89</v>
      </c>
      <c r="B1604" t="s">
        <v>4</v>
      </c>
      <c r="C1604" t="s">
        <v>83</v>
      </c>
      <c r="D1604" t="s">
        <v>54</v>
      </c>
      <c r="E1604" t="s">
        <v>25</v>
      </c>
      <c r="F1604" t="s">
        <v>54</v>
      </c>
      <c r="G1604" t="s">
        <v>70</v>
      </c>
      <c r="H1604" t="s">
        <v>88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89</v>
      </c>
      <c r="B1605" t="s">
        <v>4</v>
      </c>
      <c r="C1605" t="s">
        <v>83</v>
      </c>
      <c r="D1605" t="s">
        <v>54</v>
      </c>
      <c r="E1605" t="s">
        <v>25</v>
      </c>
      <c r="F1605" t="s">
        <v>54</v>
      </c>
      <c r="G1605" t="s">
        <v>70</v>
      </c>
      <c r="H1605" t="s">
        <v>88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89</v>
      </c>
      <c r="B1606" t="s">
        <v>4</v>
      </c>
      <c r="C1606" t="s">
        <v>83</v>
      </c>
      <c r="D1606" t="s">
        <v>54</v>
      </c>
      <c r="E1606" t="s">
        <v>25</v>
      </c>
      <c r="F1606" t="s">
        <v>54</v>
      </c>
      <c r="G1606" t="s">
        <v>70</v>
      </c>
      <c r="H1606" t="s">
        <v>88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89</v>
      </c>
      <c r="B1607" t="s">
        <v>4</v>
      </c>
      <c r="C1607" t="s">
        <v>83</v>
      </c>
      <c r="D1607" t="s">
        <v>54</v>
      </c>
      <c r="E1607" t="s">
        <v>25</v>
      </c>
      <c r="F1607" t="s">
        <v>54</v>
      </c>
      <c r="G1607" t="s">
        <v>70</v>
      </c>
      <c r="H1607" t="s">
        <v>88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89</v>
      </c>
      <c r="B1608" t="s">
        <v>4</v>
      </c>
      <c r="C1608" t="s">
        <v>83</v>
      </c>
      <c r="D1608" t="s">
        <v>54</v>
      </c>
      <c r="E1608" t="s">
        <v>25</v>
      </c>
      <c r="F1608" t="s">
        <v>54</v>
      </c>
      <c r="G1608" t="s">
        <v>70</v>
      </c>
      <c r="H1608" t="s">
        <v>88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89</v>
      </c>
      <c r="B1609" t="s">
        <v>4</v>
      </c>
      <c r="C1609" t="s">
        <v>83</v>
      </c>
      <c r="D1609" t="s">
        <v>54</v>
      </c>
      <c r="E1609" t="s">
        <v>25</v>
      </c>
      <c r="F1609" t="s">
        <v>54</v>
      </c>
      <c r="G1609" t="s">
        <v>70</v>
      </c>
      <c r="H1609" t="s">
        <v>88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89</v>
      </c>
      <c r="B1610" t="s">
        <v>4</v>
      </c>
      <c r="C1610" t="s">
        <v>83</v>
      </c>
      <c r="D1610" t="s">
        <v>54</v>
      </c>
      <c r="E1610" t="s">
        <v>25</v>
      </c>
      <c r="F1610" t="s">
        <v>54</v>
      </c>
      <c r="G1610" t="s">
        <v>70</v>
      </c>
      <c r="H1610" t="s">
        <v>88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89</v>
      </c>
      <c r="B1611" t="s">
        <v>0</v>
      </c>
      <c r="C1611" t="s">
        <v>83</v>
      </c>
      <c r="D1611" t="s">
        <v>54</v>
      </c>
      <c r="E1611" t="s">
        <v>25</v>
      </c>
      <c r="F1611" t="s">
        <v>54</v>
      </c>
      <c r="G1611" t="s">
        <v>70</v>
      </c>
      <c r="H1611" t="s">
        <v>88</v>
      </c>
      <c r="I1611">
        <v>2020</v>
      </c>
      <c r="J1611">
        <v>0</v>
      </c>
      <c r="K1611" t="s">
        <v>54</v>
      </c>
      <c r="L1611">
        <v>70</v>
      </c>
    </row>
    <row r="1612" spans="1:12" x14ac:dyDescent="0.45">
      <c r="A1612" t="s">
        <v>89</v>
      </c>
      <c r="B1612" t="s">
        <v>0</v>
      </c>
      <c r="C1612" t="s">
        <v>83</v>
      </c>
      <c r="D1612" t="s">
        <v>54</v>
      </c>
      <c r="E1612" t="s">
        <v>25</v>
      </c>
      <c r="F1612" t="s">
        <v>54</v>
      </c>
      <c r="G1612" t="s">
        <v>70</v>
      </c>
      <c r="H1612" t="s">
        <v>88</v>
      </c>
      <c r="I1612">
        <v>2025</v>
      </c>
      <c r="J1612">
        <v>0</v>
      </c>
      <c r="K1612" t="s">
        <v>54</v>
      </c>
      <c r="L1612">
        <v>70</v>
      </c>
    </row>
    <row r="1613" spans="1:12" x14ac:dyDescent="0.45">
      <c r="A1613" t="s">
        <v>89</v>
      </c>
      <c r="B1613" t="s">
        <v>0</v>
      </c>
      <c r="C1613" t="s">
        <v>83</v>
      </c>
      <c r="D1613" t="s">
        <v>54</v>
      </c>
      <c r="E1613" t="s">
        <v>25</v>
      </c>
      <c r="F1613" t="s">
        <v>54</v>
      </c>
      <c r="G1613" t="s">
        <v>70</v>
      </c>
      <c r="H1613" t="s">
        <v>88</v>
      </c>
      <c r="I1613">
        <v>2030</v>
      </c>
      <c r="J1613">
        <v>0</v>
      </c>
      <c r="K1613" t="s">
        <v>54</v>
      </c>
      <c r="L1613">
        <v>70</v>
      </c>
    </row>
    <row r="1614" spans="1:12" x14ac:dyDescent="0.45">
      <c r="A1614" t="s">
        <v>89</v>
      </c>
      <c r="B1614" t="s">
        <v>0</v>
      </c>
      <c r="C1614" t="s">
        <v>83</v>
      </c>
      <c r="D1614" t="s">
        <v>54</v>
      </c>
      <c r="E1614" t="s">
        <v>25</v>
      </c>
      <c r="F1614" t="s">
        <v>54</v>
      </c>
      <c r="G1614" t="s">
        <v>70</v>
      </c>
      <c r="H1614" t="s">
        <v>88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89</v>
      </c>
      <c r="B1615" t="s">
        <v>0</v>
      </c>
      <c r="C1615" t="s">
        <v>83</v>
      </c>
      <c r="D1615" t="s">
        <v>54</v>
      </c>
      <c r="E1615" t="s">
        <v>25</v>
      </c>
      <c r="F1615" t="s">
        <v>54</v>
      </c>
      <c r="G1615" t="s">
        <v>70</v>
      </c>
      <c r="H1615" t="s">
        <v>88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89</v>
      </c>
      <c r="B1616" t="s">
        <v>0</v>
      </c>
      <c r="C1616" t="s">
        <v>83</v>
      </c>
      <c r="D1616" t="s">
        <v>54</v>
      </c>
      <c r="E1616" t="s">
        <v>25</v>
      </c>
      <c r="F1616" t="s">
        <v>54</v>
      </c>
      <c r="G1616" t="s">
        <v>70</v>
      </c>
      <c r="H1616" t="s">
        <v>88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89</v>
      </c>
      <c r="B1617" t="s">
        <v>0</v>
      </c>
      <c r="C1617" t="s">
        <v>83</v>
      </c>
      <c r="D1617" t="s">
        <v>54</v>
      </c>
      <c r="E1617" t="s">
        <v>25</v>
      </c>
      <c r="F1617" t="s">
        <v>54</v>
      </c>
      <c r="G1617" t="s">
        <v>70</v>
      </c>
      <c r="H1617" t="s">
        <v>88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89</v>
      </c>
      <c r="B1618" t="s">
        <v>0</v>
      </c>
      <c r="C1618" t="s">
        <v>83</v>
      </c>
      <c r="D1618" t="s">
        <v>54</v>
      </c>
      <c r="E1618" t="s">
        <v>25</v>
      </c>
      <c r="F1618" t="s">
        <v>54</v>
      </c>
      <c r="G1618" t="s">
        <v>70</v>
      </c>
      <c r="H1618" t="s">
        <v>88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89</v>
      </c>
      <c r="B1619" t="s">
        <v>0</v>
      </c>
      <c r="C1619" t="s">
        <v>83</v>
      </c>
      <c r="D1619" t="s">
        <v>54</v>
      </c>
      <c r="E1619" t="s">
        <v>25</v>
      </c>
      <c r="F1619" t="s">
        <v>54</v>
      </c>
      <c r="G1619" t="s">
        <v>70</v>
      </c>
      <c r="H1619" t="s">
        <v>88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89</v>
      </c>
      <c r="B1620" t="s">
        <v>0</v>
      </c>
      <c r="C1620" t="s">
        <v>83</v>
      </c>
      <c r="D1620" t="s">
        <v>54</v>
      </c>
      <c r="E1620" t="s">
        <v>25</v>
      </c>
      <c r="F1620" t="s">
        <v>54</v>
      </c>
      <c r="G1620" t="s">
        <v>70</v>
      </c>
      <c r="H1620" t="s">
        <v>88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89</v>
      </c>
      <c r="B1621" t="s">
        <v>0</v>
      </c>
      <c r="C1621" t="s">
        <v>83</v>
      </c>
      <c r="D1621" t="s">
        <v>54</v>
      </c>
      <c r="E1621" t="s">
        <v>25</v>
      </c>
      <c r="F1621" t="s">
        <v>54</v>
      </c>
      <c r="G1621" t="s">
        <v>70</v>
      </c>
      <c r="H1621" t="s">
        <v>88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89</v>
      </c>
      <c r="B1622" t="s">
        <v>0</v>
      </c>
      <c r="C1622" t="s">
        <v>83</v>
      </c>
      <c r="D1622" t="s">
        <v>54</v>
      </c>
      <c r="E1622" t="s">
        <v>25</v>
      </c>
      <c r="F1622" t="s">
        <v>54</v>
      </c>
      <c r="G1622" t="s">
        <v>70</v>
      </c>
      <c r="H1622" t="s">
        <v>88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89</v>
      </c>
      <c r="B1623" t="s">
        <v>0</v>
      </c>
      <c r="C1623" t="s">
        <v>83</v>
      </c>
      <c r="D1623" t="s">
        <v>54</v>
      </c>
      <c r="E1623" t="s">
        <v>25</v>
      </c>
      <c r="F1623" t="s">
        <v>54</v>
      </c>
      <c r="G1623" t="s">
        <v>70</v>
      </c>
      <c r="H1623" t="s">
        <v>88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89</v>
      </c>
      <c r="B1624" t="s">
        <v>0</v>
      </c>
      <c r="C1624" t="s">
        <v>83</v>
      </c>
      <c r="D1624" t="s">
        <v>54</v>
      </c>
      <c r="E1624" t="s">
        <v>25</v>
      </c>
      <c r="F1624" t="s">
        <v>54</v>
      </c>
      <c r="G1624" t="s">
        <v>70</v>
      </c>
      <c r="H1624" t="s">
        <v>88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89</v>
      </c>
      <c r="B1625" t="s">
        <v>0</v>
      </c>
      <c r="C1625" t="s">
        <v>83</v>
      </c>
      <c r="D1625" t="s">
        <v>54</v>
      </c>
      <c r="E1625" t="s">
        <v>25</v>
      </c>
      <c r="F1625" t="s">
        <v>54</v>
      </c>
      <c r="G1625" t="s">
        <v>70</v>
      </c>
      <c r="H1625" t="s">
        <v>88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89</v>
      </c>
      <c r="B1626" t="s">
        <v>0</v>
      </c>
      <c r="C1626" t="s">
        <v>83</v>
      </c>
      <c r="D1626" t="s">
        <v>54</v>
      </c>
      <c r="E1626" t="s">
        <v>25</v>
      </c>
      <c r="F1626" t="s">
        <v>54</v>
      </c>
      <c r="G1626" t="s">
        <v>70</v>
      </c>
      <c r="H1626" t="s">
        <v>88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89</v>
      </c>
      <c r="B1627" t="s">
        <v>0</v>
      </c>
      <c r="C1627" t="s">
        <v>83</v>
      </c>
      <c r="D1627" t="s">
        <v>54</v>
      </c>
      <c r="E1627" t="s">
        <v>25</v>
      </c>
      <c r="F1627" t="s">
        <v>54</v>
      </c>
      <c r="G1627" t="s">
        <v>70</v>
      </c>
      <c r="H1627" t="s">
        <v>88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89</v>
      </c>
      <c r="B1628" t="s">
        <v>6</v>
      </c>
      <c r="C1628" t="s">
        <v>83</v>
      </c>
      <c r="D1628" t="s">
        <v>54</v>
      </c>
      <c r="E1628" t="s">
        <v>25</v>
      </c>
      <c r="F1628" t="s">
        <v>54</v>
      </c>
      <c r="G1628" t="s">
        <v>70</v>
      </c>
      <c r="H1628" t="s">
        <v>88</v>
      </c>
      <c r="I1628">
        <v>2020</v>
      </c>
      <c r="J1628">
        <v>0</v>
      </c>
      <c r="K1628" t="s">
        <v>54</v>
      </c>
      <c r="L1628">
        <v>70</v>
      </c>
    </row>
    <row r="1629" spans="1:12" x14ac:dyDescent="0.45">
      <c r="A1629" t="s">
        <v>89</v>
      </c>
      <c r="B1629" t="s">
        <v>6</v>
      </c>
      <c r="C1629" t="s">
        <v>83</v>
      </c>
      <c r="D1629" t="s">
        <v>54</v>
      </c>
      <c r="E1629" t="s">
        <v>25</v>
      </c>
      <c r="F1629" t="s">
        <v>54</v>
      </c>
      <c r="G1629" t="s">
        <v>70</v>
      </c>
      <c r="H1629" t="s">
        <v>88</v>
      </c>
      <c r="I1629">
        <v>2025</v>
      </c>
      <c r="J1629">
        <v>0</v>
      </c>
      <c r="K1629" t="s">
        <v>54</v>
      </c>
      <c r="L1629">
        <v>70</v>
      </c>
    </row>
    <row r="1630" spans="1:12" x14ac:dyDescent="0.45">
      <c r="A1630" t="s">
        <v>89</v>
      </c>
      <c r="B1630" t="s">
        <v>6</v>
      </c>
      <c r="C1630" t="s">
        <v>83</v>
      </c>
      <c r="D1630" t="s">
        <v>54</v>
      </c>
      <c r="E1630" t="s">
        <v>25</v>
      </c>
      <c r="F1630" t="s">
        <v>54</v>
      </c>
      <c r="G1630" t="s">
        <v>70</v>
      </c>
      <c r="H1630" t="s">
        <v>88</v>
      </c>
      <c r="I1630">
        <v>2030</v>
      </c>
      <c r="J1630">
        <v>0</v>
      </c>
      <c r="K1630" t="s">
        <v>54</v>
      </c>
      <c r="L1630">
        <v>70</v>
      </c>
    </row>
    <row r="1631" spans="1:12" x14ac:dyDescent="0.45">
      <c r="A1631" t="s">
        <v>89</v>
      </c>
      <c r="B1631" t="s">
        <v>6</v>
      </c>
      <c r="C1631" t="s">
        <v>83</v>
      </c>
      <c r="D1631" t="s">
        <v>54</v>
      </c>
      <c r="E1631" t="s">
        <v>25</v>
      </c>
      <c r="F1631" t="s">
        <v>54</v>
      </c>
      <c r="G1631" t="s">
        <v>70</v>
      </c>
      <c r="H1631" t="s">
        <v>88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89</v>
      </c>
      <c r="B1632" t="s">
        <v>6</v>
      </c>
      <c r="C1632" t="s">
        <v>83</v>
      </c>
      <c r="D1632" t="s">
        <v>54</v>
      </c>
      <c r="E1632" t="s">
        <v>25</v>
      </c>
      <c r="F1632" t="s">
        <v>54</v>
      </c>
      <c r="G1632" t="s">
        <v>70</v>
      </c>
      <c r="H1632" t="s">
        <v>88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89</v>
      </c>
      <c r="B1633" t="s">
        <v>6</v>
      </c>
      <c r="C1633" t="s">
        <v>83</v>
      </c>
      <c r="D1633" t="s">
        <v>54</v>
      </c>
      <c r="E1633" t="s">
        <v>25</v>
      </c>
      <c r="F1633" t="s">
        <v>54</v>
      </c>
      <c r="G1633" t="s">
        <v>70</v>
      </c>
      <c r="H1633" t="s">
        <v>88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89</v>
      </c>
      <c r="B1634" t="s">
        <v>6</v>
      </c>
      <c r="C1634" t="s">
        <v>83</v>
      </c>
      <c r="D1634" t="s">
        <v>54</v>
      </c>
      <c r="E1634" t="s">
        <v>25</v>
      </c>
      <c r="F1634" t="s">
        <v>54</v>
      </c>
      <c r="G1634" t="s">
        <v>70</v>
      </c>
      <c r="H1634" t="s">
        <v>88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89</v>
      </c>
      <c r="B1635" t="s">
        <v>6</v>
      </c>
      <c r="C1635" t="s">
        <v>83</v>
      </c>
      <c r="D1635" t="s">
        <v>54</v>
      </c>
      <c r="E1635" t="s">
        <v>25</v>
      </c>
      <c r="F1635" t="s">
        <v>54</v>
      </c>
      <c r="G1635" t="s">
        <v>70</v>
      </c>
      <c r="H1635" t="s">
        <v>88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89</v>
      </c>
      <c r="B1636" t="s">
        <v>6</v>
      </c>
      <c r="C1636" t="s">
        <v>83</v>
      </c>
      <c r="D1636" t="s">
        <v>54</v>
      </c>
      <c r="E1636" t="s">
        <v>25</v>
      </c>
      <c r="F1636" t="s">
        <v>54</v>
      </c>
      <c r="G1636" t="s">
        <v>70</v>
      </c>
      <c r="H1636" t="s">
        <v>88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89</v>
      </c>
      <c r="B1637" t="s">
        <v>6</v>
      </c>
      <c r="C1637" t="s">
        <v>83</v>
      </c>
      <c r="D1637" t="s">
        <v>54</v>
      </c>
      <c r="E1637" t="s">
        <v>25</v>
      </c>
      <c r="F1637" t="s">
        <v>54</v>
      </c>
      <c r="G1637" t="s">
        <v>70</v>
      </c>
      <c r="H1637" t="s">
        <v>88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89</v>
      </c>
      <c r="B1638" t="s">
        <v>6</v>
      </c>
      <c r="C1638" t="s">
        <v>83</v>
      </c>
      <c r="D1638" t="s">
        <v>54</v>
      </c>
      <c r="E1638" t="s">
        <v>25</v>
      </c>
      <c r="F1638" t="s">
        <v>54</v>
      </c>
      <c r="G1638" t="s">
        <v>70</v>
      </c>
      <c r="H1638" t="s">
        <v>88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89</v>
      </c>
      <c r="B1639" t="s">
        <v>6</v>
      </c>
      <c r="C1639" t="s">
        <v>83</v>
      </c>
      <c r="D1639" t="s">
        <v>54</v>
      </c>
      <c r="E1639" t="s">
        <v>25</v>
      </c>
      <c r="F1639" t="s">
        <v>54</v>
      </c>
      <c r="G1639" t="s">
        <v>70</v>
      </c>
      <c r="H1639" t="s">
        <v>88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89</v>
      </c>
      <c r="B1640" t="s">
        <v>6</v>
      </c>
      <c r="C1640" t="s">
        <v>83</v>
      </c>
      <c r="D1640" t="s">
        <v>54</v>
      </c>
      <c r="E1640" t="s">
        <v>25</v>
      </c>
      <c r="F1640" t="s">
        <v>54</v>
      </c>
      <c r="G1640" t="s">
        <v>70</v>
      </c>
      <c r="H1640" t="s">
        <v>88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89</v>
      </c>
      <c r="B1641" t="s">
        <v>6</v>
      </c>
      <c r="C1641" t="s">
        <v>83</v>
      </c>
      <c r="D1641" t="s">
        <v>54</v>
      </c>
      <c r="E1641" t="s">
        <v>25</v>
      </c>
      <c r="F1641" t="s">
        <v>54</v>
      </c>
      <c r="G1641" t="s">
        <v>70</v>
      </c>
      <c r="H1641" t="s">
        <v>88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89</v>
      </c>
      <c r="B1642" t="s">
        <v>6</v>
      </c>
      <c r="C1642" t="s">
        <v>83</v>
      </c>
      <c r="D1642" t="s">
        <v>54</v>
      </c>
      <c r="E1642" t="s">
        <v>25</v>
      </c>
      <c r="F1642" t="s">
        <v>54</v>
      </c>
      <c r="G1642" t="s">
        <v>70</v>
      </c>
      <c r="H1642" t="s">
        <v>88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89</v>
      </c>
      <c r="B1643" t="s">
        <v>6</v>
      </c>
      <c r="C1643" t="s">
        <v>83</v>
      </c>
      <c r="D1643" t="s">
        <v>54</v>
      </c>
      <c r="E1643" t="s">
        <v>25</v>
      </c>
      <c r="F1643" t="s">
        <v>54</v>
      </c>
      <c r="G1643" t="s">
        <v>70</v>
      </c>
      <c r="H1643" t="s">
        <v>88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89</v>
      </c>
      <c r="B1644" t="s">
        <v>6</v>
      </c>
      <c r="C1644" t="s">
        <v>83</v>
      </c>
      <c r="D1644" t="s">
        <v>54</v>
      </c>
      <c r="E1644" t="s">
        <v>25</v>
      </c>
      <c r="F1644" t="s">
        <v>54</v>
      </c>
      <c r="G1644" t="s">
        <v>70</v>
      </c>
      <c r="H1644" t="s">
        <v>88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89</v>
      </c>
      <c r="B1645" t="s">
        <v>5</v>
      </c>
      <c r="C1645" t="s">
        <v>83</v>
      </c>
      <c r="D1645" t="s">
        <v>54</v>
      </c>
      <c r="E1645" t="s">
        <v>25</v>
      </c>
      <c r="F1645" t="s">
        <v>54</v>
      </c>
      <c r="G1645" t="s">
        <v>70</v>
      </c>
      <c r="H1645" t="s">
        <v>88</v>
      </c>
      <c r="I1645">
        <v>2020</v>
      </c>
      <c r="J1645">
        <v>0</v>
      </c>
      <c r="K1645" t="s">
        <v>54</v>
      </c>
      <c r="L1645">
        <v>70</v>
      </c>
    </row>
    <row r="1646" spans="1:12" x14ac:dyDescent="0.45">
      <c r="A1646" t="s">
        <v>89</v>
      </c>
      <c r="B1646" t="s">
        <v>5</v>
      </c>
      <c r="C1646" t="s">
        <v>83</v>
      </c>
      <c r="D1646" t="s">
        <v>54</v>
      </c>
      <c r="E1646" t="s">
        <v>25</v>
      </c>
      <c r="F1646" t="s">
        <v>54</v>
      </c>
      <c r="G1646" t="s">
        <v>70</v>
      </c>
      <c r="H1646" t="s">
        <v>88</v>
      </c>
      <c r="I1646">
        <v>2025</v>
      </c>
      <c r="J1646">
        <v>0</v>
      </c>
      <c r="K1646" t="s">
        <v>54</v>
      </c>
      <c r="L1646">
        <v>70</v>
      </c>
    </row>
    <row r="1647" spans="1:12" x14ac:dyDescent="0.45">
      <c r="A1647" t="s">
        <v>89</v>
      </c>
      <c r="B1647" t="s">
        <v>5</v>
      </c>
      <c r="C1647" t="s">
        <v>83</v>
      </c>
      <c r="D1647" t="s">
        <v>54</v>
      </c>
      <c r="E1647" t="s">
        <v>25</v>
      </c>
      <c r="F1647" t="s">
        <v>54</v>
      </c>
      <c r="G1647" t="s">
        <v>70</v>
      </c>
      <c r="H1647" t="s">
        <v>88</v>
      </c>
      <c r="I1647">
        <v>2030</v>
      </c>
      <c r="J1647">
        <v>0</v>
      </c>
      <c r="K1647" t="s">
        <v>54</v>
      </c>
      <c r="L1647">
        <v>70</v>
      </c>
    </row>
    <row r="1648" spans="1:12" x14ac:dyDescent="0.45">
      <c r="A1648" t="s">
        <v>89</v>
      </c>
      <c r="B1648" t="s">
        <v>5</v>
      </c>
      <c r="C1648" t="s">
        <v>83</v>
      </c>
      <c r="D1648" t="s">
        <v>54</v>
      </c>
      <c r="E1648" t="s">
        <v>25</v>
      </c>
      <c r="F1648" t="s">
        <v>54</v>
      </c>
      <c r="G1648" t="s">
        <v>70</v>
      </c>
      <c r="H1648" t="s">
        <v>88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89</v>
      </c>
      <c r="B1649" t="s">
        <v>5</v>
      </c>
      <c r="C1649" t="s">
        <v>83</v>
      </c>
      <c r="D1649" t="s">
        <v>54</v>
      </c>
      <c r="E1649" t="s">
        <v>25</v>
      </c>
      <c r="F1649" t="s">
        <v>54</v>
      </c>
      <c r="G1649" t="s">
        <v>70</v>
      </c>
      <c r="H1649" t="s">
        <v>88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89</v>
      </c>
      <c r="B1650" t="s">
        <v>5</v>
      </c>
      <c r="C1650" t="s">
        <v>83</v>
      </c>
      <c r="D1650" t="s">
        <v>54</v>
      </c>
      <c r="E1650" t="s">
        <v>25</v>
      </c>
      <c r="F1650" t="s">
        <v>54</v>
      </c>
      <c r="G1650" t="s">
        <v>70</v>
      </c>
      <c r="H1650" t="s">
        <v>88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89</v>
      </c>
      <c r="B1651" t="s">
        <v>5</v>
      </c>
      <c r="C1651" t="s">
        <v>83</v>
      </c>
      <c r="D1651" t="s">
        <v>54</v>
      </c>
      <c r="E1651" t="s">
        <v>25</v>
      </c>
      <c r="F1651" t="s">
        <v>54</v>
      </c>
      <c r="G1651" t="s">
        <v>70</v>
      </c>
      <c r="H1651" t="s">
        <v>88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89</v>
      </c>
      <c r="B1652" t="s">
        <v>5</v>
      </c>
      <c r="C1652" t="s">
        <v>83</v>
      </c>
      <c r="D1652" t="s">
        <v>54</v>
      </c>
      <c r="E1652" t="s">
        <v>25</v>
      </c>
      <c r="F1652" t="s">
        <v>54</v>
      </c>
      <c r="G1652" t="s">
        <v>70</v>
      </c>
      <c r="H1652" t="s">
        <v>88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89</v>
      </c>
      <c r="B1653" t="s">
        <v>5</v>
      </c>
      <c r="C1653" t="s">
        <v>83</v>
      </c>
      <c r="D1653" t="s">
        <v>54</v>
      </c>
      <c r="E1653" t="s">
        <v>25</v>
      </c>
      <c r="F1653" t="s">
        <v>54</v>
      </c>
      <c r="G1653" t="s">
        <v>70</v>
      </c>
      <c r="H1653" t="s">
        <v>88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89</v>
      </c>
      <c r="B1654" t="s">
        <v>5</v>
      </c>
      <c r="C1654" t="s">
        <v>83</v>
      </c>
      <c r="D1654" t="s">
        <v>54</v>
      </c>
      <c r="E1654" t="s">
        <v>25</v>
      </c>
      <c r="F1654" t="s">
        <v>54</v>
      </c>
      <c r="G1654" t="s">
        <v>70</v>
      </c>
      <c r="H1654" t="s">
        <v>88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89</v>
      </c>
      <c r="B1655" t="s">
        <v>5</v>
      </c>
      <c r="C1655" t="s">
        <v>83</v>
      </c>
      <c r="D1655" t="s">
        <v>54</v>
      </c>
      <c r="E1655" t="s">
        <v>25</v>
      </c>
      <c r="F1655" t="s">
        <v>54</v>
      </c>
      <c r="G1655" t="s">
        <v>70</v>
      </c>
      <c r="H1655" t="s">
        <v>88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89</v>
      </c>
      <c r="B1656" t="s">
        <v>5</v>
      </c>
      <c r="C1656" t="s">
        <v>83</v>
      </c>
      <c r="D1656" t="s">
        <v>54</v>
      </c>
      <c r="E1656" t="s">
        <v>25</v>
      </c>
      <c r="F1656" t="s">
        <v>54</v>
      </c>
      <c r="G1656" t="s">
        <v>70</v>
      </c>
      <c r="H1656" t="s">
        <v>88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89</v>
      </c>
      <c r="B1657" t="s">
        <v>5</v>
      </c>
      <c r="C1657" t="s">
        <v>83</v>
      </c>
      <c r="D1657" t="s">
        <v>54</v>
      </c>
      <c r="E1657" t="s">
        <v>25</v>
      </c>
      <c r="F1657" t="s">
        <v>54</v>
      </c>
      <c r="G1657" t="s">
        <v>70</v>
      </c>
      <c r="H1657" t="s">
        <v>88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89</v>
      </c>
      <c r="B1658" t="s">
        <v>5</v>
      </c>
      <c r="C1658" t="s">
        <v>83</v>
      </c>
      <c r="D1658" t="s">
        <v>54</v>
      </c>
      <c r="E1658" t="s">
        <v>25</v>
      </c>
      <c r="F1658" t="s">
        <v>54</v>
      </c>
      <c r="G1658" t="s">
        <v>70</v>
      </c>
      <c r="H1658" t="s">
        <v>88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89</v>
      </c>
      <c r="B1659" t="s">
        <v>5</v>
      </c>
      <c r="C1659" t="s">
        <v>83</v>
      </c>
      <c r="D1659" t="s">
        <v>54</v>
      </c>
      <c r="E1659" t="s">
        <v>25</v>
      </c>
      <c r="F1659" t="s">
        <v>54</v>
      </c>
      <c r="G1659" t="s">
        <v>70</v>
      </c>
      <c r="H1659" t="s">
        <v>88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89</v>
      </c>
      <c r="B1660" t="s">
        <v>5</v>
      </c>
      <c r="C1660" t="s">
        <v>83</v>
      </c>
      <c r="D1660" t="s">
        <v>54</v>
      </c>
      <c r="E1660" t="s">
        <v>25</v>
      </c>
      <c r="F1660" t="s">
        <v>54</v>
      </c>
      <c r="G1660" t="s">
        <v>70</v>
      </c>
      <c r="H1660" t="s">
        <v>88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89</v>
      </c>
      <c r="B1661" t="s">
        <v>5</v>
      </c>
      <c r="C1661" t="s">
        <v>83</v>
      </c>
      <c r="D1661" t="s">
        <v>54</v>
      </c>
      <c r="E1661" t="s">
        <v>25</v>
      </c>
      <c r="F1661" t="s">
        <v>54</v>
      </c>
      <c r="G1661" t="s">
        <v>70</v>
      </c>
      <c r="H1661" t="s">
        <v>88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89</v>
      </c>
      <c r="B1662" t="s">
        <v>2</v>
      </c>
      <c r="C1662" t="s">
        <v>83</v>
      </c>
      <c r="D1662" t="s">
        <v>54</v>
      </c>
      <c r="E1662" t="s">
        <v>25</v>
      </c>
      <c r="F1662" t="s">
        <v>54</v>
      </c>
      <c r="G1662" t="s">
        <v>70</v>
      </c>
      <c r="H1662" t="s">
        <v>88</v>
      </c>
      <c r="I1662">
        <v>2020</v>
      </c>
      <c r="J1662">
        <v>0</v>
      </c>
      <c r="K1662" t="s">
        <v>54</v>
      </c>
      <c r="L1662">
        <v>70</v>
      </c>
    </row>
    <row r="1663" spans="1:12" x14ac:dyDescent="0.45">
      <c r="A1663" t="s">
        <v>89</v>
      </c>
      <c r="B1663" t="s">
        <v>2</v>
      </c>
      <c r="C1663" t="s">
        <v>83</v>
      </c>
      <c r="D1663" t="s">
        <v>54</v>
      </c>
      <c r="E1663" t="s">
        <v>25</v>
      </c>
      <c r="F1663" t="s">
        <v>54</v>
      </c>
      <c r="G1663" t="s">
        <v>70</v>
      </c>
      <c r="H1663" t="s">
        <v>88</v>
      </c>
      <c r="I1663">
        <v>2025</v>
      </c>
      <c r="J1663">
        <v>0</v>
      </c>
      <c r="K1663" t="s">
        <v>54</v>
      </c>
      <c r="L1663">
        <v>70</v>
      </c>
    </row>
    <row r="1664" spans="1:12" x14ac:dyDescent="0.45">
      <c r="A1664" t="s">
        <v>89</v>
      </c>
      <c r="B1664" t="s">
        <v>2</v>
      </c>
      <c r="C1664" t="s">
        <v>83</v>
      </c>
      <c r="D1664" t="s">
        <v>54</v>
      </c>
      <c r="E1664" t="s">
        <v>25</v>
      </c>
      <c r="F1664" t="s">
        <v>54</v>
      </c>
      <c r="G1664" t="s">
        <v>70</v>
      </c>
      <c r="H1664" t="s">
        <v>88</v>
      </c>
      <c r="I1664">
        <v>2030</v>
      </c>
      <c r="J1664">
        <v>0</v>
      </c>
      <c r="K1664" t="s">
        <v>54</v>
      </c>
      <c r="L1664">
        <v>70</v>
      </c>
    </row>
    <row r="1665" spans="1:12" x14ac:dyDescent="0.45">
      <c r="A1665" t="s">
        <v>89</v>
      </c>
      <c r="B1665" t="s">
        <v>2</v>
      </c>
      <c r="C1665" t="s">
        <v>83</v>
      </c>
      <c r="D1665" t="s">
        <v>54</v>
      </c>
      <c r="E1665" t="s">
        <v>25</v>
      </c>
      <c r="F1665" t="s">
        <v>54</v>
      </c>
      <c r="G1665" t="s">
        <v>70</v>
      </c>
      <c r="H1665" t="s">
        <v>88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89</v>
      </c>
      <c r="B1666" t="s">
        <v>2</v>
      </c>
      <c r="C1666" t="s">
        <v>83</v>
      </c>
      <c r="D1666" t="s">
        <v>54</v>
      </c>
      <c r="E1666" t="s">
        <v>25</v>
      </c>
      <c r="F1666" t="s">
        <v>54</v>
      </c>
      <c r="G1666" t="s">
        <v>70</v>
      </c>
      <c r="H1666" t="s">
        <v>88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89</v>
      </c>
      <c r="B1667" t="s">
        <v>2</v>
      </c>
      <c r="C1667" t="s">
        <v>83</v>
      </c>
      <c r="D1667" t="s">
        <v>54</v>
      </c>
      <c r="E1667" t="s">
        <v>25</v>
      </c>
      <c r="F1667" t="s">
        <v>54</v>
      </c>
      <c r="G1667" t="s">
        <v>70</v>
      </c>
      <c r="H1667" t="s">
        <v>88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89</v>
      </c>
      <c r="B1668" t="s">
        <v>2</v>
      </c>
      <c r="C1668" t="s">
        <v>83</v>
      </c>
      <c r="D1668" t="s">
        <v>54</v>
      </c>
      <c r="E1668" t="s">
        <v>25</v>
      </c>
      <c r="F1668" t="s">
        <v>54</v>
      </c>
      <c r="G1668" t="s">
        <v>70</v>
      </c>
      <c r="H1668" t="s">
        <v>88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89</v>
      </c>
      <c r="B1669" t="s">
        <v>2</v>
      </c>
      <c r="C1669" t="s">
        <v>83</v>
      </c>
      <c r="D1669" t="s">
        <v>54</v>
      </c>
      <c r="E1669" t="s">
        <v>25</v>
      </c>
      <c r="F1669" t="s">
        <v>54</v>
      </c>
      <c r="G1669" t="s">
        <v>70</v>
      </c>
      <c r="H1669" t="s">
        <v>88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89</v>
      </c>
      <c r="B1670" t="s">
        <v>2</v>
      </c>
      <c r="C1670" t="s">
        <v>83</v>
      </c>
      <c r="D1670" t="s">
        <v>54</v>
      </c>
      <c r="E1670" t="s">
        <v>25</v>
      </c>
      <c r="F1670" t="s">
        <v>54</v>
      </c>
      <c r="G1670" t="s">
        <v>70</v>
      </c>
      <c r="H1670" t="s">
        <v>88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89</v>
      </c>
      <c r="B1671" t="s">
        <v>2</v>
      </c>
      <c r="C1671" t="s">
        <v>83</v>
      </c>
      <c r="D1671" t="s">
        <v>54</v>
      </c>
      <c r="E1671" t="s">
        <v>25</v>
      </c>
      <c r="F1671" t="s">
        <v>54</v>
      </c>
      <c r="G1671" t="s">
        <v>70</v>
      </c>
      <c r="H1671" t="s">
        <v>88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89</v>
      </c>
      <c r="B1672" t="s">
        <v>2</v>
      </c>
      <c r="C1672" t="s">
        <v>83</v>
      </c>
      <c r="D1672" t="s">
        <v>54</v>
      </c>
      <c r="E1672" t="s">
        <v>25</v>
      </c>
      <c r="F1672" t="s">
        <v>54</v>
      </c>
      <c r="G1672" t="s">
        <v>70</v>
      </c>
      <c r="H1672" t="s">
        <v>88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89</v>
      </c>
      <c r="B1673" t="s">
        <v>2</v>
      </c>
      <c r="C1673" t="s">
        <v>83</v>
      </c>
      <c r="D1673" t="s">
        <v>54</v>
      </c>
      <c r="E1673" t="s">
        <v>25</v>
      </c>
      <c r="F1673" t="s">
        <v>54</v>
      </c>
      <c r="G1673" t="s">
        <v>70</v>
      </c>
      <c r="H1673" t="s">
        <v>88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89</v>
      </c>
      <c r="B1674" t="s">
        <v>2</v>
      </c>
      <c r="C1674" t="s">
        <v>83</v>
      </c>
      <c r="D1674" t="s">
        <v>54</v>
      </c>
      <c r="E1674" t="s">
        <v>25</v>
      </c>
      <c r="F1674" t="s">
        <v>54</v>
      </c>
      <c r="G1674" t="s">
        <v>70</v>
      </c>
      <c r="H1674" t="s">
        <v>88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89</v>
      </c>
      <c r="B1675" t="s">
        <v>2</v>
      </c>
      <c r="C1675" t="s">
        <v>83</v>
      </c>
      <c r="D1675" t="s">
        <v>54</v>
      </c>
      <c r="E1675" t="s">
        <v>25</v>
      </c>
      <c r="F1675" t="s">
        <v>54</v>
      </c>
      <c r="G1675" t="s">
        <v>70</v>
      </c>
      <c r="H1675" t="s">
        <v>88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89</v>
      </c>
      <c r="B1676" t="s">
        <v>2</v>
      </c>
      <c r="C1676" t="s">
        <v>83</v>
      </c>
      <c r="D1676" t="s">
        <v>54</v>
      </c>
      <c r="E1676" t="s">
        <v>25</v>
      </c>
      <c r="F1676" t="s">
        <v>54</v>
      </c>
      <c r="G1676" t="s">
        <v>70</v>
      </c>
      <c r="H1676" t="s">
        <v>88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89</v>
      </c>
      <c r="B1677" t="s">
        <v>2</v>
      </c>
      <c r="C1677" t="s">
        <v>83</v>
      </c>
      <c r="D1677" t="s">
        <v>54</v>
      </c>
      <c r="E1677" t="s">
        <v>25</v>
      </c>
      <c r="F1677" t="s">
        <v>54</v>
      </c>
      <c r="G1677" t="s">
        <v>70</v>
      </c>
      <c r="H1677" t="s">
        <v>88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89</v>
      </c>
      <c r="B1678" t="s">
        <v>2</v>
      </c>
      <c r="C1678" t="s">
        <v>83</v>
      </c>
      <c r="D1678" t="s">
        <v>54</v>
      </c>
      <c r="E1678" t="s">
        <v>25</v>
      </c>
      <c r="F1678" t="s">
        <v>54</v>
      </c>
      <c r="G1678" t="s">
        <v>70</v>
      </c>
      <c r="H1678" t="s">
        <v>88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89</v>
      </c>
      <c r="B1679" t="s">
        <v>1</v>
      </c>
      <c r="C1679" t="s">
        <v>83</v>
      </c>
      <c r="D1679" t="s">
        <v>54</v>
      </c>
      <c r="E1679" t="s">
        <v>25</v>
      </c>
      <c r="F1679" t="s">
        <v>54</v>
      </c>
      <c r="G1679" t="s">
        <v>70</v>
      </c>
      <c r="H1679" t="s">
        <v>88</v>
      </c>
      <c r="I1679">
        <v>2020</v>
      </c>
      <c r="J1679">
        <v>0</v>
      </c>
      <c r="K1679" t="s">
        <v>54</v>
      </c>
      <c r="L1679">
        <v>70</v>
      </c>
    </row>
    <row r="1680" spans="1:12" x14ac:dyDescent="0.45">
      <c r="A1680" t="s">
        <v>89</v>
      </c>
      <c r="B1680" t="s">
        <v>1</v>
      </c>
      <c r="C1680" t="s">
        <v>83</v>
      </c>
      <c r="D1680" t="s">
        <v>54</v>
      </c>
      <c r="E1680" t="s">
        <v>25</v>
      </c>
      <c r="F1680" t="s">
        <v>54</v>
      </c>
      <c r="G1680" t="s">
        <v>70</v>
      </c>
      <c r="H1680" t="s">
        <v>88</v>
      </c>
      <c r="I1680">
        <v>2025</v>
      </c>
      <c r="J1680">
        <v>0</v>
      </c>
      <c r="K1680" t="s">
        <v>54</v>
      </c>
      <c r="L1680">
        <v>70</v>
      </c>
    </row>
    <row r="1681" spans="1:12" x14ac:dyDescent="0.45">
      <c r="A1681" t="s">
        <v>89</v>
      </c>
      <c r="B1681" t="s">
        <v>1</v>
      </c>
      <c r="C1681" t="s">
        <v>83</v>
      </c>
      <c r="D1681" t="s">
        <v>54</v>
      </c>
      <c r="E1681" t="s">
        <v>25</v>
      </c>
      <c r="F1681" t="s">
        <v>54</v>
      </c>
      <c r="G1681" t="s">
        <v>70</v>
      </c>
      <c r="H1681" t="s">
        <v>88</v>
      </c>
      <c r="I1681">
        <v>2030</v>
      </c>
      <c r="J1681">
        <v>0</v>
      </c>
      <c r="K1681" t="s">
        <v>54</v>
      </c>
      <c r="L1681">
        <v>70</v>
      </c>
    </row>
    <row r="1682" spans="1:12" x14ac:dyDescent="0.45">
      <c r="A1682" t="s">
        <v>89</v>
      </c>
      <c r="B1682" t="s">
        <v>1</v>
      </c>
      <c r="C1682" t="s">
        <v>83</v>
      </c>
      <c r="D1682" t="s">
        <v>54</v>
      </c>
      <c r="E1682" t="s">
        <v>25</v>
      </c>
      <c r="F1682" t="s">
        <v>54</v>
      </c>
      <c r="G1682" t="s">
        <v>70</v>
      </c>
      <c r="H1682" t="s">
        <v>88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89</v>
      </c>
      <c r="B1683" t="s">
        <v>1</v>
      </c>
      <c r="C1683" t="s">
        <v>83</v>
      </c>
      <c r="D1683" t="s">
        <v>54</v>
      </c>
      <c r="E1683" t="s">
        <v>25</v>
      </c>
      <c r="F1683" t="s">
        <v>54</v>
      </c>
      <c r="G1683" t="s">
        <v>70</v>
      </c>
      <c r="H1683" t="s">
        <v>88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89</v>
      </c>
      <c r="B1684" t="s">
        <v>1</v>
      </c>
      <c r="C1684" t="s">
        <v>83</v>
      </c>
      <c r="D1684" t="s">
        <v>54</v>
      </c>
      <c r="E1684" t="s">
        <v>25</v>
      </c>
      <c r="F1684" t="s">
        <v>54</v>
      </c>
      <c r="G1684" t="s">
        <v>70</v>
      </c>
      <c r="H1684" t="s">
        <v>88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89</v>
      </c>
      <c r="B1685" t="s">
        <v>1</v>
      </c>
      <c r="C1685" t="s">
        <v>83</v>
      </c>
      <c r="D1685" t="s">
        <v>54</v>
      </c>
      <c r="E1685" t="s">
        <v>25</v>
      </c>
      <c r="F1685" t="s">
        <v>54</v>
      </c>
      <c r="G1685" t="s">
        <v>70</v>
      </c>
      <c r="H1685" t="s">
        <v>88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89</v>
      </c>
      <c r="B1686" t="s">
        <v>1</v>
      </c>
      <c r="C1686" t="s">
        <v>83</v>
      </c>
      <c r="D1686" t="s">
        <v>54</v>
      </c>
      <c r="E1686" t="s">
        <v>25</v>
      </c>
      <c r="F1686" t="s">
        <v>54</v>
      </c>
      <c r="G1686" t="s">
        <v>70</v>
      </c>
      <c r="H1686" t="s">
        <v>88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89</v>
      </c>
      <c r="B1687" t="s">
        <v>1</v>
      </c>
      <c r="C1687" t="s">
        <v>83</v>
      </c>
      <c r="D1687" t="s">
        <v>54</v>
      </c>
      <c r="E1687" t="s">
        <v>25</v>
      </c>
      <c r="F1687" t="s">
        <v>54</v>
      </c>
      <c r="G1687" t="s">
        <v>70</v>
      </c>
      <c r="H1687" t="s">
        <v>88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89</v>
      </c>
      <c r="B1688" t="s">
        <v>1</v>
      </c>
      <c r="C1688" t="s">
        <v>83</v>
      </c>
      <c r="D1688" t="s">
        <v>54</v>
      </c>
      <c r="E1688" t="s">
        <v>25</v>
      </c>
      <c r="F1688" t="s">
        <v>54</v>
      </c>
      <c r="G1688" t="s">
        <v>70</v>
      </c>
      <c r="H1688" t="s">
        <v>88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89</v>
      </c>
      <c r="B1689" t="s">
        <v>1</v>
      </c>
      <c r="C1689" t="s">
        <v>83</v>
      </c>
      <c r="D1689" t="s">
        <v>54</v>
      </c>
      <c r="E1689" t="s">
        <v>25</v>
      </c>
      <c r="F1689" t="s">
        <v>54</v>
      </c>
      <c r="G1689" t="s">
        <v>70</v>
      </c>
      <c r="H1689" t="s">
        <v>88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89</v>
      </c>
      <c r="B1690" t="s">
        <v>1</v>
      </c>
      <c r="C1690" t="s">
        <v>83</v>
      </c>
      <c r="D1690" t="s">
        <v>54</v>
      </c>
      <c r="E1690" t="s">
        <v>25</v>
      </c>
      <c r="F1690" t="s">
        <v>54</v>
      </c>
      <c r="G1690" t="s">
        <v>70</v>
      </c>
      <c r="H1690" t="s">
        <v>88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89</v>
      </c>
      <c r="B1691" t="s">
        <v>1</v>
      </c>
      <c r="C1691" t="s">
        <v>83</v>
      </c>
      <c r="D1691" t="s">
        <v>54</v>
      </c>
      <c r="E1691" t="s">
        <v>25</v>
      </c>
      <c r="F1691" t="s">
        <v>54</v>
      </c>
      <c r="G1691" t="s">
        <v>70</v>
      </c>
      <c r="H1691" t="s">
        <v>88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89</v>
      </c>
      <c r="B1692" t="s">
        <v>1</v>
      </c>
      <c r="C1692" t="s">
        <v>83</v>
      </c>
      <c r="D1692" t="s">
        <v>54</v>
      </c>
      <c r="E1692" t="s">
        <v>25</v>
      </c>
      <c r="F1692" t="s">
        <v>54</v>
      </c>
      <c r="G1692" t="s">
        <v>70</v>
      </c>
      <c r="H1692" t="s">
        <v>88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89</v>
      </c>
      <c r="B1693" t="s">
        <v>1</v>
      </c>
      <c r="C1693" t="s">
        <v>83</v>
      </c>
      <c r="D1693" t="s">
        <v>54</v>
      </c>
      <c r="E1693" t="s">
        <v>25</v>
      </c>
      <c r="F1693" t="s">
        <v>54</v>
      </c>
      <c r="G1693" t="s">
        <v>70</v>
      </c>
      <c r="H1693" t="s">
        <v>88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89</v>
      </c>
      <c r="B1694" t="s">
        <v>1</v>
      </c>
      <c r="C1694" t="s">
        <v>83</v>
      </c>
      <c r="D1694" t="s">
        <v>54</v>
      </c>
      <c r="E1694" t="s">
        <v>25</v>
      </c>
      <c r="F1694" t="s">
        <v>54</v>
      </c>
      <c r="G1694" t="s">
        <v>70</v>
      </c>
      <c r="H1694" t="s">
        <v>88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89</v>
      </c>
      <c r="B1695" t="s">
        <v>1</v>
      </c>
      <c r="C1695" t="s">
        <v>83</v>
      </c>
      <c r="D1695" t="s">
        <v>54</v>
      </c>
      <c r="E1695" t="s">
        <v>25</v>
      </c>
      <c r="F1695" t="s">
        <v>54</v>
      </c>
      <c r="G1695" t="s">
        <v>70</v>
      </c>
      <c r="H1695" t="s">
        <v>88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89</v>
      </c>
      <c r="B1696" t="s">
        <v>3</v>
      </c>
      <c r="C1696" t="s">
        <v>83</v>
      </c>
      <c r="D1696" t="s">
        <v>84</v>
      </c>
      <c r="E1696" t="s">
        <v>25</v>
      </c>
      <c r="F1696" t="s">
        <v>84</v>
      </c>
      <c r="G1696" t="s">
        <v>26</v>
      </c>
      <c r="H1696" t="s">
        <v>81</v>
      </c>
      <c r="I1696">
        <v>2020</v>
      </c>
      <c r="J1696">
        <v>4.7999999999999996E-3</v>
      </c>
      <c r="K1696" t="s">
        <v>84</v>
      </c>
    </row>
    <row r="1697" spans="1:11" x14ac:dyDescent="0.45">
      <c r="A1697" t="s">
        <v>89</v>
      </c>
      <c r="B1697" t="s">
        <v>3</v>
      </c>
      <c r="C1697" t="s">
        <v>83</v>
      </c>
      <c r="D1697" t="s">
        <v>84</v>
      </c>
      <c r="E1697" t="s">
        <v>25</v>
      </c>
      <c r="F1697" t="s">
        <v>84</v>
      </c>
      <c r="G1697" t="s">
        <v>26</v>
      </c>
      <c r="H1697" t="s">
        <v>81</v>
      </c>
      <c r="I1697">
        <v>2025</v>
      </c>
      <c r="J1697">
        <v>2.0199999999999999E-2</v>
      </c>
      <c r="K1697" t="s">
        <v>84</v>
      </c>
    </row>
    <row r="1698" spans="1:11" x14ac:dyDescent="0.45">
      <c r="A1698" t="s">
        <v>89</v>
      </c>
      <c r="B1698" t="s">
        <v>3</v>
      </c>
      <c r="C1698" t="s">
        <v>83</v>
      </c>
      <c r="D1698" t="s">
        <v>84</v>
      </c>
      <c r="E1698" t="s">
        <v>25</v>
      </c>
      <c r="F1698" t="s">
        <v>84</v>
      </c>
      <c r="G1698" t="s">
        <v>26</v>
      </c>
      <c r="H1698" t="s">
        <v>81</v>
      </c>
      <c r="I1698">
        <v>2030</v>
      </c>
      <c r="J1698">
        <v>4.7E-2</v>
      </c>
      <c r="K1698" t="s">
        <v>84</v>
      </c>
    </row>
    <row r="1699" spans="1:11" x14ac:dyDescent="0.45">
      <c r="A1699" t="s">
        <v>89</v>
      </c>
      <c r="B1699" t="s">
        <v>3</v>
      </c>
      <c r="C1699" t="s">
        <v>83</v>
      </c>
      <c r="D1699" t="s">
        <v>84</v>
      </c>
      <c r="E1699" t="s">
        <v>25</v>
      </c>
      <c r="F1699" t="s">
        <v>84</v>
      </c>
      <c r="G1699" t="s">
        <v>26</v>
      </c>
      <c r="H1699" t="s">
        <v>81</v>
      </c>
      <c r="I1699">
        <v>2035</v>
      </c>
      <c r="J1699">
        <v>6.3E-2</v>
      </c>
      <c r="K1699" t="s">
        <v>84</v>
      </c>
    </row>
    <row r="1700" spans="1:11" x14ac:dyDescent="0.45">
      <c r="A1700" t="s">
        <v>89</v>
      </c>
      <c r="B1700" t="s">
        <v>3</v>
      </c>
      <c r="C1700" t="s">
        <v>83</v>
      </c>
      <c r="D1700" t="s">
        <v>84</v>
      </c>
      <c r="E1700" t="s">
        <v>25</v>
      </c>
      <c r="F1700" t="s">
        <v>84</v>
      </c>
      <c r="G1700" t="s">
        <v>26</v>
      </c>
      <c r="H1700" t="s">
        <v>81</v>
      </c>
      <c r="I1700">
        <v>2040</v>
      </c>
      <c r="J1700">
        <v>6.7049999999999998E-2</v>
      </c>
      <c r="K1700" t="s">
        <v>84</v>
      </c>
    </row>
    <row r="1701" spans="1:11" x14ac:dyDescent="0.45">
      <c r="A1701" t="s">
        <v>89</v>
      </c>
      <c r="B1701" t="s">
        <v>3</v>
      </c>
      <c r="C1701" t="s">
        <v>83</v>
      </c>
      <c r="D1701" t="s">
        <v>84</v>
      </c>
      <c r="E1701" t="s">
        <v>25</v>
      </c>
      <c r="F1701" t="s">
        <v>84</v>
      </c>
      <c r="G1701" t="s">
        <v>26</v>
      </c>
      <c r="H1701" t="s">
        <v>81</v>
      </c>
      <c r="I1701">
        <v>2045</v>
      </c>
      <c r="J1701">
        <v>6.5250000000000002E-2</v>
      </c>
      <c r="K1701" t="s">
        <v>84</v>
      </c>
    </row>
    <row r="1702" spans="1:11" x14ac:dyDescent="0.45">
      <c r="A1702" t="s">
        <v>89</v>
      </c>
      <c r="B1702" t="s">
        <v>3</v>
      </c>
      <c r="C1702" t="s">
        <v>83</v>
      </c>
      <c r="D1702" t="s">
        <v>84</v>
      </c>
      <c r="E1702" t="s">
        <v>25</v>
      </c>
      <c r="F1702" t="s">
        <v>84</v>
      </c>
      <c r="G1702" t="s">
        <v>26</v>
      </c>
      <c r="H1702" t="s">
        <v>81</v>
      </c>
      <c r="I1702">
        <v>2050</v>
      </c>
      <c r="J1702">
        <v>6.7199999999999996E-2</v>
      </c>
      <c r="K1702" t="s">
        <v>84</v>
      </c>
    </row>
    <row r="1703" spans="1:11" x14ac:dyDescent="0.45">
      <c r="A1703" t="s">
        <v>89</v>
      </c>
      <c r="B1703" t="s">
        <v>3</v>
      </c>
      <c r="C1703" t="s">
        <v>83</v>
      </c>
      <c r="D1703" t="s">
        <v>84</v>
      </c>
      <c r="E1703" t="s">
        <v>25</v>
      </c>
      <c r="F1703" t="s">
        <v>84</v>
      </c>
      <c r="G1703" t="s">
        <v>26</v>
      </c>
      <c r="H1703" t="s">
        <v>81</v>
      </c>
      <c r="I1703">
        <v>2055</v>
      </c>
      <c r="J1703">
        <v>7.0099999999999996E-2</v>
      </c>
      <c r="K1703" t="s">
        <v>84</v>
      </c>
    </row>
    <row r="1704" spans="1:11" x14ac:dyDescent="0.45">
      <c r="A1704" t="s">
        <v>89</v>
      </c>
      <c r="B1704" t="s">
        <v>3</v>
      </c>
      <c r="C1704" t="s">
        <v>83</v>
      </c>
      <c r="D1704" t="s">
        <v>84</v>
      </c>
      <c r="E1704" t="s">
        <v>25</v>
      </c>
      <c r="F1704" t="s">
        <v>84</v>
      </c>
      <c r="G1704" t="s">
        <v>26</v>
      </c>
      <c r="H1704" t="s">
        <v>81</v>
      </c>
      <c r="I1704">
        <v>2060</v>
      </c>
      <c r="J1704">
        <v>0.10015</v>
      </c>
      <c r="K1704" t="s">
        <v>84</v>
      </c>
    </row>
    <row r="1705" spans="1:11" x14ac:dyDescent="0.45">
      <c r="A1705" t="s">
        <v>89</v>
      </c>
      <c r="B1705" t="s">
        <v>3</v>
      </c>
      <c r="C1705" t="s">
        <v>83</v>
      </c>
      <c r="D1705" t="s">
        <v>84</v>
      </c>
      <c r="E1705" t="s">
        <v>25</v>
      </c>
      <c r="F1705" t="s">
        <v>84</v>
      </c>
      <c r="G1705" t="s">
        <v>26</v>
      </c>
      <c r="H1705" t="s">
        <v>81</v>
      </c>
      <c r="I1705">
        <v>2065</v>
      </c>
      <c r="J1705">
        <v>0.10919999999999999</v>
      </c>
      <c r="K1705" t="s">
        <v>84</v>
      </c>
    </row>
    <row r="1706" spans="1:11" x14ac:dyDescent="0.45">
      <c r="A1706" t="s">
        <v>89</v>
      </c>
      <c r="B1706" t="s">
        <v>3</v>
      </c>
      <c r="C1706" t="s">
        <v>83</v>
      </c>
      <c r="D1706" t="s">
        <v>84</v>
      </c>
      <c r="E1706" t="s">
        <v>25</v>
      </c>
      <c r="F1706" t="s">
        <v>84</v>
      </c>
      <c r="G1706" t="s">
        <v>26</v>
      </c>
      <c r="H1706" t="s">
        <v>81</v>
      </c>
      <c r="I1706">
        <v>2070</v>
      </c>
      <c r="J1706">
        <v>0.10869999999999999</v>
      </c>
      <c r="K1706" t="s">
        <v>84</v>
      </c>
    </row>
    <row r="1707" spans="1:11" x14ac:dyDescent="0.45">
      <c r="A1707" t="s">
        <v>89</v>
      </c>
      <c r="B1707" t="s">
        <v>3</v>
      </c>
      <c r="C1707" t="s">
        <v>83</v>
      </c>
      <c r="D1707" t="s">
        <v>84</v>
      </c>
      <c r="E1707" t="s">
        <v>25</v>
      </c>
      <c r="F1707" t="s">
        <v>84</v>
      </c>
      <c r="G1707" t="s">
        <v>26</v>
      </c>
      <c r="H1707" t="s">
        <v>81</v>
      </c>
      <c r="I1707">
        <v>2075</v>
      </c>
      <c r="J1707">
        <v>0.1203</v>
      </c>
      <c r="K1707" t="s">
        <v>84</v>
      </c>
    </row>
    <row r="1708" spans="1:11" x14ac:dyDescent="0.45">
      <c r="A1708" t="s">
        <v>89</v>
      </c>
      <c r="B1708" t="s">
        <v>3</v>
      </c>
      <c r="C1708" t="s">
        <v>83</v>
      </c>
      <c r="D1708" t="s">
        <v>84</v>
      </c>
      <c r="E1708" t="s">
        <v>25</v>
      </c>
      <c r="F1708" t="s">
        <v>84</v>
      </c>
      <c r="G1708" t="s">
        <v>26</v>
      </c>
      <c r="H1708" t="s">
        <v>81</v>
      </c>
      <c r="I1708">
        <v>2080</v>
      </c>
      <c r="J1708">
        <v>0.11915000000000001</v>
      </c>
      <c r="K1708" t="s">
        <v>84</v>
      </c>
    </row>
    <row r="1709" spans="1:11" x14ac:dyDescent="0.45">
      <c r="A1709" t="s">
        <v>89</v>
      </c>
      <c r="B1709" t="s">
        <v>3</v>
      </c>
      <c r="C1709" t="s">
        <v>83</v>
      </c>
      <c r="D1709" t="s">
        <v>84</v>
      </c>
      <c r="E1709" t="s">
        <v>25</v>
      </c>
      <c r="F1709" t="s">
        <v>84</v>
      </c>
      <c r="G1709" t="s">
        <v>26</v>
      </c>
      <c r="H1709" t="s">
        <v>81</v>
      </c>
      <c r="I1709">
        <v>2085</v>
      </c>
      <c r="J1709">
        <v>0.11760000000000001</v>
      </c>
      <c r="K1709" t="s">
        <v>84</v>
      </c>
    </row>
    <row r="1710" spans="1:11" x14ac:dyDescent="0.45">
      <c r="A1710" t="s">
        <v>89</v>
      </c>
      <c r="B1710" t="s">
        <v>3</v>
      </c>
      <c r="C1710" t="s">
        <v>83</v>
      </c>
      <c r="D1710" t="s">
        <v>84</v>
      </c>
      <c r="E1710" t="s">
        <v>25</v>
      </c>
      <c r="F1710" t="s">
        <v>84</v>
      </c>
      <c r="G1710" t="s">
        <v>26</v>
      </c>
      <c r="H1710" t="s">
        <v>81</v>
      </c>
      <c r="I1710">
        <v>2090</v>
      </c>
      <c r="J1710">
        <v>0.11205</v>
      </c>
      <c r="K1710" t="s">
        <v>84</v>
      </c>
    </row>
    <row r="1711" spans="1:11" x14ac:dyDescent="0.45">
      <c r="A1711" t="s">
        <v>89</v>
      </c>
      <c r="B1711" t="s">
        <v>3</v>
      </c>
      <c r="C1711" t="s">
        <v>83</v>
      </c>
      <c r="D1711" t="s">
        <v>84</v>
      </c>
      <c r="E1711" t="s">
        <v>25</v>
      </c>
      <c r="F1711" t="s">
        <v>84</v>
      </c>
      <c r="G1711" t="s">
        <v>26</v>
      </c>
      <c r="H1711" t="s">
        <v>81</v>
      </c>
      <c r="I1711">
        <v>2095</v>
      </c>
      <c r="J1711">
        <v>0.10455</v>
      </c>
      <c r="K1711" t="s">
        <v>84</v>
      </c>
    </row>
    <row r="1712" spans="1:11" x14ac:dyDescent="0.45">
      <c r="A1712" t="s">
        <v>89</v>
      </c>
      <c r="B1712" t="s">
        <v>3</v>
      </c>
      <c r="C1712" t="s">
        <v>83</v>
      </c>
      <c r="D1712" t="s">
        <v>84</v>
      </c>
      <c r="E1712" t="s">
        <v>25</v>
      </c>
      <c r="F1712" t="s">
        <v>84</v>
      </c>
      <c r="G1712" t="s">
        <v>26</v>
      </c>
      <c r="H1712" t="s">
        <v>81</v>
      </c>
      <c r="I1712">
        <v>2100</v>
      </c>
      <c r="J1712">
        <v>9.6299999999999997E-2</v>
      </c>
      <c r="K1712" t="s">
        <v>84</v>
      </c>
    </row>
    <row r="1713" spans="1:11" x14ac:dyDescent="0.45">
      <c r="A1713" t="s">
        <v>89</v>
      </c>
      <c r="B1713" t="s">
        <v>4</v>
      </c>
      <c r="C1713" t="s">
        <v>83</v>
      </c>
      <c r="D1713" t="s">
        <v>84</v>
      </c>
      <c r="E1713" t="s">
        <v>25</v>
      </c>
      <c r="F1713" t="s">
        <v>84</v>
      </c>
      <c r="G1713" t="s">
        <v>26</v>
      </c>
      <c r="H1713" t="s">
        <v>81</v>
      </c>
      <c r="I1713">
        <v>2020</v>
      </c>
      <c r="J1713">
        <v>4.7499999999999999E-3</v>
      </c>
      <c r="K1713" t="s">
        <v>84</v>
      </c>
    </row>
    <row r="1714" spans="1:11" x14ac:dyDescent="0.45">
      <c r="A1714" t="s">
        <v>89</v>
      </c>
      <c r="B1714" t="s">
        <v>4</v>
      </c>
      <c r="C1714" t="s">
        <v>83</v>
      </c>
      <c r="D1714" t="s">
        <v>84</v>
      </c>
      <c r="E1714" t="s">
        <v>25</v>
      </c>
      <c r="F1714" t="s">
        <v>84</v>
      </c>
      <c r="G1714" t="s">
        <v>26</v>
      </c>
      <c r="H1714" t="s">
        <v>81</v>
      </c>
      <c r="I1714">
        <v>2025</v>
      </c>
      <c r="J1714">
        <v>2.0150000000000001E-2</v>
      </c>
      <c r="K1714" t="s">
        <v>84</v>
      </c>
    </row>
    <row r="1715" spans="1:11" x14ac:dyDescent="0.45">
      <c r="A1715" t="s">
        <v>89</v>
      </c>
      <c r="B1715" t="s">
        <v>4</v>
      </c>
      <c r="C1715" t="s">
        <v>83</v>
      </c>
      <c r="D1715" t="s">
        <v>84</v>
      </c>
      <c r="E1715" t="s">
        <v>25</v>
      </c>
      <c r="F1715" t="s">
        <v>84</v>
      </c>
      <c r="G1715" t="s">
        <v>26</v>
      </c>
      <c r="H1715" t="s">
        <v>81</v>
      </c>
      <c r="I1715">
        <v>2030</v>
      </c>
      <c r="J1715">
        <v>4.3999999999999997E-2</v>
      </c>
      <c r="K1715" t="s">
        <v>84</v>
      </c>
    </row>
    <row r="1716" spans="1:11" x14ac:dyDescent="0.45">
      <c r="A1716" t="s">
        <v>89</v>
      </c>
      <c r="B1716" t="s">
        <v>4</v>
      </c>
      <c r="C1716" t="s">
        <v>83</v>
      </c>
      <c r="D1716" t="s">
        <v>84</v>
      </c>
      <c r="E1716" t="s">
        <v>25</v>
      </c>
      <c r="F1716" t="s">
        <v>84</v>
      </c>
      <c r="G1716" t="s">
        <v>26</v>
      </c>
      <c r="H1716" t="s">
        <v>81</v>
      </c>
      <c r="I1716">
        <v>2035</v>
      </c>
      <c r="J1716">
        <v>6.9200000000000012E-2</v>
      </c>
      <c r="K1716" t="s">
        <v>84</v>
      </c>
    </row>
    <row r="1717" spans="1:11" x14ac:dyDescent="0.45">
      <c r="A1717" t="s">
        <v>89</v>
      </c>
      <c r="B1717" t="s">
        <v>4</v>
      </c>
      <c r="C1717" t="s">
        <v>83</v>
      </c>
      <c r="D1717" t="s">
        <v>84</v>
      </c>
      <c r="E1717" t="s">
        <v>25</v>
      </c>
      <c r="F1717" t="s">
        <v>84</v>
      </c>
      <c r="G1717" t="s">
        <v>26</v>
      </c>
      <c r="H1717" t="s">
        <v>81</v>
      </c>
      <c r="I1717">
        <v>2040</v>
      </c>
      <c r="J1717">
        <v>9.4500000000000001E-2</v>
      </c>
      <c r="K1717" t="s">
        <v>84</v>
      </c>
    </row>
    <row r="1718" spans="1:11" x14ac:dyDescent="0.45">
      <c r="A1718" t="s">
        <v>89</v>
      </c>
      <c r="B1718" t="s">
        <v>4</v>
      </c>
      <c r="C1718" t="s">
        <v>83</v>
      </c>
      <c r="D1718" t="s">
        <v>84</v>
      </c>
      <c r="E1718" t="s">
        <v>25</v>
      </c>
      <c r="F1718" t="s">
        <v>84</v>
      </c>
      <c r="G1718" t="s">
        <v>26</v>
      </c>
      <c r="H1718" t="s">
        <v>81</v>
      </c>
      <c r="I1718">
        <v>2045</v>
      </c>
      <c r="J1718">
        <v>0.10975</v>
      </c>
      <c r="K1718" t="s">
        <v>84</v>
      </c>
    </row>
    <row r="1719" spans="1:11" x14ac:dyDescent="0.45">
      <c r="A1719" t="s">
        <v>89</v>
      </c>
      <c r="B1719" t="s">
        <v>4</v>
      </c>
      <c r="C1719" t="s">
        <v>83</v>
      </c>
      <c r="D1719" t="s">
        <v>84</v>
      </c>
      <c r="E1719" t="s">
        <v>25</v>
      </c>
      <c r="F1719" t="s">
        <v>84</v>
      </c>
      <c r="G1719" t="s">
        <v>26</v>
      </c>
      <c r="H1719" t="s">
        <v>81</v>
      </c>
      <c r="I1719">
        <v>2050</v>
      </c>
      <c r="J1719">
        <v>0.1162</v>
      </c>
      <c r="K1719" t="s">
        <v>84</v>
      </c>
    </row>
    <row r="1720" spans="1:11" x14ac:dyDescent="0.45">
      <c r="A1720" t="s">
        <v>89</v>
      </c>
      <c r="B1720" t="s">
        <v>4</v>
      </c>
      <c r="C1720" t="s">
        <v>83</v>
      </c>
      <c r="D1720" t="s">
        <v>84</v>
      </c>
      <c r="E1720" t="s">
        <v>25</v>
      </c>
      <c r="F1720" t="s">
        <v>84</v>
      </c>
      <c r="G1720" t="s">
        <v>26</v>
      </c>
      <c r="H1720" t="s">
        <v>81</v>
      </c>
      <c r="I1720">
        <v>2055</v>
      </c>
      <c r="J1720">
        <v>0.10994999999999999</v>
      </c>
      <c r="K1720" t="s">
        <v>84</v>
      </c>
    </row>
    <row r="1721" spans="1:11" x14ac:dyDescent="0.45">
      <c r="A1721" t="s">
        <v>89</v>
      </c>
      <c r="B1721" t="s">
        <v>4</v>
      </c>
      <c r="C1721" t="s">
        <v>83</v>
      </c>
      <c r="D1721" t="s">
        <v>84</v>
      </c>
      <c r="E1721" t="s">
        <v>25</v>
      </c>
      <c r="F1721" t="s">
        <v>84</v>
      </c>
      <c r="G1721" t="s">
        <v>26</v>
      </c>
      <c r="H1721" t="s">
        <v>81</v>
      </c>
      <c r="I1721">
        <v>2060</v>
      </c>
      <c r="J1721">
        <v>9.8500000000000004E-2</v>
      </c>
      <c r="K1721" t="s">
        <v>84</v>
      </c>
    </row>
    <row r="1722" spans="1:11" x14ac:dyDescent="0.45">
      <c r="A1722" t="s">
        <v>89</v>
      </c>
      <c r="B1722" t="s">
        <v>4</v>
      </c>
      <c r="C1722" t="s">
        <v>83</v>
      </c>
      <c r="D1722" t="s">
        <v>84</v>
      </c>
      <c r="E1722" t="s">
        <v>25</v>
      </c>
      <c r="F1722" t="s">
        <v>84</v>
      </c>
      <c r="G1722" t="s">
        <v>26</v>
      </c>
      <c r="H1722" t="s">
        <v>81</v>
      </c>
      <c r="I1722">
        <v>2065</v>
      </c>
      <c r="J1722">
        <v>9.2749999999999999E-2</v>
      </c>
      <c r="K1722" t="s">
        <v>84</v>
      </c>
    </row>
    <row r="1723" spans="1:11" x14ac:dyDescent="0.45">
      <c r="A1723" t="s">
        <v>89</v>
      </c>
      <c r="B1723" t="s">
        <v>4</v>
      </c>
      <c r="C1723" t="s">
        <v>83</v>
      </c>
      <c r="D1723" t="s">
        <v>84</v>
      </c>
      <c r="E1723" t="s">
        <v>25</v>
      </c>
      <c r="F1723" t="s">
        <v>84</v>
      </c>
      <c r="G1723" t="s">
        <v>26</v>
      </c>
      <c r="H1723" t="s">
        <v>81</v>
      </c>
      <c r="I1723">
        <v>2070</v>
      </c>
      <c r="J1723">
        <v>8.8900000000000007E-2</v>
      </c>
      <c r="K1723" t="s">
        <v>84</v>
      </c>
    </row>
    <row r="1724" spans="1:11" x14ac:dyDescent="0.45">
      <c r="A1724" t="s">
        <v>89</v>
      </c>
      <c r="B1724" t="s">
        <v>4</v>
      </c>
      <c r="C1724" t="s">
        <v>83</v>
      </c>
      <c r="D1724" t="s">
        <v>84</v>
      </c>
      <c r="E1724" t="s">
        <v>25</v>
      </c>
      <c r="F1724" t="s">
        <v>84</v>
      </c>
      <c r="G1724" t="s">
        <v>26</v>
      </c>
      <c r="H1724" t="s">
        <v>81</v>
      </c>
      <c r="I1724">
        <v>2075</v>
      </c>
      <c r="J1724">
        <v>9.425E-2</v>
      </c>
      <c r="K1724" t="s">
        <v>84</v>
      </c>
    </row>
    <row r="1725" spans="1:11" x14ac:dyDescent="0.45">
      <c r="A1725" t="s">
        <v>89</v>
      </c>
      <c r="B1725" t="s">
        <v>4</v>
      </c>
      <c r="C1725" t="s">
        <v>83</v>
      </c>
      <c r="D1725" t="s">
        <v>84</v>
      </c>
      <c r="E1725" t="s">
        <v>25</v>
      </c>
      <c r="F1725" t="s">
        <v>84</v>
      </c>
      <c r="G1725" t="s">
        <v>26</v>
      </c>
      <c r="H1725" t="s">
        <v>81</v>
      </c>
      <c r="I1725">
        <v>2080</v>
      </c>
      <c r="J1725">
        <v>9.9949999999999997E-2</v>
      </c>
      <c r="K1725" t="s">
        <v>84</v>
      </c>
    </row>
    <row r="1726" spans="1:11" x14ac:dyDescent="0.45">
      <c r="A1726" t="s">
        <v>89</v>
      </c>
      <c r="B1726" t="s">
        <v>4</v>
      </c>
      <c r="C1726" t="s">
        <v>83</v>
      </c>
      <c r="D1726" t="s">
        <v>84</v>
      </c>
      <c r="E1726" t="s">
        <v>25</v>
      </c>
      <c r="F1726" t="s">
        <v>84</v>
      </c>
      <c r="G1726" t="s">
        <v>26</v>
      </c>
      <c r="H1726" t="s">
        <v>81</v>
      </c>
      <c r="I1726">
        <v>2085</v>
      </c>
      <c r="J1726">
        <v>0.1235</v>
      </c>
      <c r="K1726" t="s">
        <v>84</v>
      </c>
    </row>
    <row r="1727" spans="1:11" x14ac:dyDescent="0.45">
      <c r="A1727" t="s">
        <v>89</v>
      </c>
      <c r="B1727" t="s">
        <v>4</v>
      </c>
      <c r="C1727" t="s">
        <v>83</v>
      </c>
      <c r="D1727" t="s">
        <v>84</v>
      </c>
      <c r="E1727" t="s">
        <v>25</v>
      </c>
      <c r="F1727" t="s">
        <v>84</v>
      </c>
      <c r="G1727" t="s">
        <v>26</v>
      </c>
      <c r="H1727" t="s">
        <v>81</v>
      </c>
      <c r="I1727">
        <v>2090</v>
      </c>
      <c r="J1727">
        <v>0.14674999999999999</v>
      </c>
      <c r="K1727" t="s">
        <v>84</v>
      </c>
    </row>
    <row r="1728" spans="1:11" x14ac:dyDescent="0.45">
      <c r="A1728" t="s">
        <v>89</v>
      </c>
      <c r="B1728" t="s">
        <v>4</v>
      </c>
      <c r="C1728" t="s">
        <v>83</v>
      </c>
      <c r="D1728" t="s">
        <v>84</v>
      </c>
      <c r="E1728" t="s">
        <v>25</v>
      </c>
      <c r="F1728" t="s">
        <v>84</v>
      </c>
      <c r="G1728" t="s">
        <v>26</v>
      </c>
      <c r="H1728" t="s">
        <v>81</v>
      </c>
      <c r="I1728">
        <v>2095</v>
      </c>
      <c r="J1728">
        <v>0.20250000000000001</v>
      </c>
      <c r="K1728" t="s">
        <v>84</v>
      </c>
    </row>
    <row r="1729" spans="1:11" x14ac:dyDescent="0.45">
      <c r="A1729" t="s">
        <v>89</v>
      </c>
      <c r="B1729" t="s">
        <v>4</v>
      </c>
      <c r="C1729" t="s">
        <v>83</v>
      </c>
      <c r="D1729" t="s">
        <v>84</v>
      </c>
      <c r="E1729" t="s">
        <v>25</v>
      </c>
      <c r="F1729" t="s">
        <v>84</v>
      </c>
      <c r="G1729" t="s">
        <v>26</v>
      </c>
      <c r="H1729" t="s">
        <v>81</v>
      </c>
      <c r="I1729">
        <v>2100</v>
      </c>
      <c r="J1729">
        <v>0.24985000000000002</v>
      </c>
      <c r="K1729" t="s">
        <v>84</v>
      </c>
    </row>
    <row r="1730" spans="1:11" x14ac:dyDescent="0.45">
      <c r="A1730" t="s">
        <v>89</v>
      </c>
      <c r="B1730" t="s">
        <v>0</v>
      </c>
      <c r="C1730" t="s">
        <v>83</v>
      </c>
      <c r="D1730" t="s">
        <v>84</v>
      </c>
      <c r="E1730" t="s">
        <v>25</v>
      </c>
      <c r="F1730" t="s">
        <v>84</v>
      </c>
      <c r="G1730" t="s">
        <v>26</v>
      </c>
      <c r="H1730" t="s">
        <v>81</v>
      </c>
      <c r="I1730">
        <v>2020</v>
      </c>
      <c r="J1730">
        <v>4.7499999999999999E-3</v>
      </c>
      <c r="K1730" t="s">
        <v>84</v>
      </c>
    </row>
    <row r="1731" spans="1:11" x14ac:dyDescent="0.45">
      <c r="A1731" t="s">
        <v>89</v>
      </c>
      <c r="B1731" t="s">
        <v>0</v>
      </c>
      <c r="C1731" t="s">
        <v>83</v>
      </c>
      <c r="D1731" t="s">
        <v>84</v>
      </c>
      <c r="E1731" t="s">
        <v>25</v>
      </c>
      <c r="F1731" t="s">
        <v>84</v>
      </c>
      <c r="G1731" t="s">
        <v>26</v>
      </c>
      <c r="H1731" t="s">
        <v>81</v>
      </c>
      <c r="I1731">
        <v>2025</v>
      </c>
      <c r="J1731">
        <v>2.0200000000000003E-2</v>
      </c>
      <c r="K1731" t="s">
        <v>84</v>
      </c>
    </row>
    <row r="1732" spans="1:11" x14ac:dyDescent="0.45">
      <c r="A1732" t="s">
        <v>89</v>
      </c>
      <c r="B1732" t="s">
        <v>0</v>
      </c>
      <c r="C1732" t="s">
        <v>83</v>
      </c>
      <c r="D1732" t="s">
        <v>84</v>
      </c>
      <c r="E1732" t="s">
        <v>25</v>
      </c>
      <c r="F1732" t="s">
        <v>84</v>
      </c>
      <c r="G1732" t="s">
        <v>26</v>
      </c>
      <c r="H1732" t="s">
        <v>81</v>
      </c>
      <c r="I1732">
        <v>2030</v>
      </c>
      <c r="J1732">
        <v>4.4350000000000001E-2</v>
      </c>
      <c r="K1732" t="s">
        <v>84</v>
      </c>
    </row>
    <row r="1733" spans="1:11" x14ac:dyDescent="0.45">
      <c r="A1733" t="s">
        <v>89</v>
      </c>
      <c r="B1733" t="s">
        <v>0</v>
      </c>
      <c r="C1733" t="s">
        <v>83</v>
      </c>
      <c r="D1733" t="s">
        <v>84</v>
      </c>
      <c r="E1733" t="s">
        <v>25</v>
      </c>
      <c r="F1733" t="s">
        <v>84</v>
      </c>
      <c r="G1733" t="s">
        <v>26</v>
      </c>
      <c r="H1733" t="s">
        <v>81</v>
      </c>
      <c r="I1733">
        <v>2035</v>
      </c>
      <c r="J1733">
        <v>6.7650000000000002E-2</v>
      </c>
      <c r="K1733" t="s">
        <v>84</v>
      </c>
    </row>
    <row r="1734" spans="1:11" x14ac:dyDescent="0.45">
      <c r="A1734" t="s">
        <v>89</v>
      </c>
      <c r="B1734" t="s">
        <v>0</v>
      </c>
      <c r="C1734" t="s">
        <v>83</v>
      </c>
      <c r="D1734" t="s">
        <v>84</v>
      </c>
      <c r="E1734" t="s">
        <v>25</v>
      </c>
      <c r="F1734" t="s">
        <v>84</v>
      </c>
      <c r="G1734" t="s">
        <v>26</v>
      </c>
      <c r="H1734" t="s">
        <v>81</v>
      </c>
      <c r="I1734">
        <v>2040</v>
      </c>
      <c r="J1734">
        <v>6.989999999999999E-2</v>
      </c>
      <c r="K1734" t="s">
        <v>84</v>
      </c>
    </row>
    <row r="1735" spans="1:11" x14ac:dyDescent="0.45">
      <c r="A1735" t="s">
        <v>89</v>
      </c>
      <c r="B1735" t="s">
        <v>0</v>
      </c>
      <c r="C1735" t="s">
        <v>83</v>
      </c>
      <c r="D1735" t="s">
        <v>84</v>
      </c>
      <c r="E1735" t="s">
        <v>25</v>
      </c>
      <c r="F1735" t="s">
        <v>84</v>
      </c>
      <c r="G1735" t="s">
        <v>26</v>
      </c>
      <c r="H1735" t="s">
        <v>81</v>
      </c>
      <c r="I1735">
        <v>2045</v>
      </c>
      <c r="J1735">
        <v>4.3950000000000003E-2</v>
      </c>
      <c r="K1735" t="s">
        <v>84</v>
      </c>
    </row>
    <row r="1736" spans="1:11" x14ac:dyDescent="0.45">
      <c r="A1736" t="s">
        <v>89</v>
      </c>
      <c r="B1736" t="s">
        <v>0</v>
      </c>
      <c r="C1736" t="s">
        <v>83</v>
      </c>
      <c r="D1736" t="s">
        <v>84</v>
      </c>
      <c r="E1736" t="s">
        <v>25</v>
      </c>
      <c r="F1736" t="s">
        <v>84</v>
      </c>
      <c r="G1736" t="s">
        <v>26</v>
      </c>
      <c r="H1736" t="s">
        <v>81</v>
      </c>
      <c r="I1736">
        <v>2050</v>
      </c>
      <c r="J1736">
        <v>4.8649999999999999E-2</v>
      </c>
      <c r="K1736" t="s">
        <v>84</v>
      </c>
    </row>
    <row r="1737" spans="1:11" x14ac:dyDescent="0.45">
      <c r="A1737" t="s">
        <v>89</v>
      </c>
      <c r="B1737" t="s">
        <v>0</v>
      </c>
      <c r="C1737" t="s">
        <v>83</v>
      </c>
      <c r="D1737" t="s">
        <v>84</v>
      </c>
      <c r="E1737" t="s">
        <v>25</v>
      </c>
      <c r="F1737" t="s">
        <v>84</v>
      </c>
      <c r="G1737" t="s">
        <v>26</v>
      </c>
      <c r="H1737" t="s">
        <v>81</v>
      </c>
      <c r="I1737">
        <v>2055</v>
      </c>
      <c r="J1737">
        <v>5.8650000000000001E-2</v>
      </c>
      <c r="K1737" t="s">
        <v>84</v>
      </c>
    </row>
    <row r="1738" spans="1:11" x14ac:dyDescent="0.45">
      <c r="A1738" t="s">
        <v>89</v>
      </c>
      <c r="B1738" t="s">
        <v>0</v>
      </c>
      <c r="C1738" t="s">
        <v>83</v>
      </c>
      <c r="D1738" t="s">
        <v>84</v>
      </c>
      <c r="E1738" t="s">
        <v>25</v>
      </c>
      <c r="F1738" t="s">
        <v>84</v>
      </c>
      <c r="G1738" t="s">
        <v>26</v>
      </c>
      <c r="H1738" t="s">
        <v>81</v>
      </c>
      <c r="I1738">
        <v>2060</v>
      </c>
      <c r="J1738">
        <v>6.905E-2</v>
      </c>
      <c r="K1738" t="s">
        <v>84</v>
      </c>
    </row>
    <row r="1739" spans="1:11" x14ac:dyDescent="0.45">
      <c r="A1739" t="s">
        <v>89</v>
      </c>
      <c r="B1739" t="s">
        <v>0</v>
      </c>
      <c r="C1739" t="s">
        <v>83</v>
      </c>
      <c r="D1739" t="s">
        <v>84</v>
      </c>
      <c r="E1739" t="s">
        <v>25</v>
      </c>
      <c r="F1739" t="s">
        <v>84</v>
      </c>
      <c r="G1739" t="s">
        <v>26</v>
      </c>
      <c r="H1739" t="s">
        <v>81</v>
      </c>
      <c r="I1739">
        <v>2065</v>
      </c>
      <c r="J1739">
        <v>6.905E-2</v>
      </c>
      <c r="K1739" t="s">
        <v>84</v>
      </c>
    </row>
    <row r="1740" spans="1:11" x14ac:dyDescent="0.45">
      <c r="A1740" t="s">
        <v>89</v>
      </c>
      <c r="B1740" t="s">
        <v>0</v>
      </c>
      <c r="C1740" t="s">
        <v>83</v>
      </c>
      <c r="D1740" t="s">
        <v>84</v>
      </c>
      <c r="E1740" t="s">
        <v>25</v>
      </c>
      <c r="F1740" t="s">
        <v>84</v>
      </c>
      <c r="G1740" t="s">
        <v>26</v>
      </c>
      <c r="H1740" t="s">
        <v>81</v>
      </c>
      <c r="I1740">
        <v>2070</v>
      </c>
      <c r="J1740">
        <v>6.4399999999999999E-2</v>
      </c>
      <c r="K1740" t="s">
        <v>84</v>
      </c>
    </row>
    <row r="1741" spans="1:11" x14ac:dyDescent="0.45">
      <c r="A1741" t="s">
        <v>89</v>
      </c>
      <c r="B1741" t="s">
        <v>0</v>
      </c>
      <c r="C1741" t="s">
        <v>83</v>
      </c>
      <c r="D1741" t="s">
        <v>84</v>
      </c>
      <c r="E1741" t="s">
        <v>25</v>
      </c>
      <c r="F1741" t="s">
        <v>84</v>
      </c>
      <c r="G1741" t="s">
        <v>26</v>
      </c>
      <c r="H1741" t="s">
        <v>81</v>
      </c>
      <c r="I1741">
        <v>2075</v>
      </c>
      <c r="J1741">
        <v>7.2950000000000001E-2</v>
      </c>
      <c r="K1741" t="s">
        <v>84</v>
      </c>
    </row>
    <row r="1742" spans="1:11" x14ac:dyDescent="0.45">
      <c r="A1742" t="s">
        <v>89</v>
      </c>
      <c r="B1742" t="s">
        <v>0</v>
      </c>
      <c r="C1742" t="s">
        <v>83</v>
      </c>
      <c r="D1742" t="s">
        <v>84</v>
      </c>
      <c r="E1742" t="s">
        <v>25</v>
      </c>
      <c r="F1742" t="s">
        <v>84</v>
      </c>
      <c r="G1742" t="s">
        <v>26</v>
      </c>
      <c r="H1742" t="s">
        <v>81</v>
      </c>
      <c r="I1742">
        <v>2080</v>
      </c>
      <c r="J1742">
        <v>0.08</v>
      </c>
      <c r="K1742" t="s">
        <v>84</v>
      </c>
    </row>
    <row r="1743" spans="1:11" x14ac:dyDescent="0.45">
      <c r="A1743" t="s">
        <v>89</v>
      </c>
      <c r="B1743" t="s">
        <v>0</v>
      </c>
      <c r="C1743" t="s">
        <v>83</v>
      </c>
      <c r="D1743" t="s">
        <v>84</v>
      </c>
      <c r="E1743" t="s">
        <v>25</v>
      </c>
      <c r="F1743" t="s">
        <v>84</v>
      </c>
      <c r="G1743" t="s">
        <v>26</v>
      </c>
      <c r="H1743" t="s">
        <v>81</v>
      </c>
      <c r="I1743">
        <v>2085</v>
      </c>
      <c r="J1743">
        <v>8.8800000000000004E-2</v>
      </c>
      <c r="K1743" t="s">
        <v>84</v>
      </c>
    </row>
    <row r="1744" spans="1:11" x14ac:dyDescent="0.45">
      <c r="A1744" t="s">
        <v>89</v>
      </c>
      <c r="B1744" t="s">
        <v>0</v>
      </c>
      <c r="C1744" t="s">
        <v>83</v>
      </c>
      <c r="D1744" t="s">
        <v>84</v>
      </c>
      <c r="E1744" t="s">
        <v>25</v>
      </c>
      <c r="F1744" t="s">
        <v>84</v>
      </c>
      <c r="G1744" t="s">
        <v>26</v>
      </c>
      <c r="H1744" t="s">
        <v>81</v>
      </c>
      <c r="I1744">
        <v>2090</v>
      </c>
      <c r="J1744">
        <v>9.7099999999999992E-2</v>
      </c>
      <c r="K1744" t="s">
        <v>84</v>
      </c>
    </row>
    <row r="1745" spans="1:11" x14ac:dyDescent="0.45">
      <c r="A1745" t="s">
        <v>89</v>
      </c>
      <c r="B1745" t="s">
        <v>0</v>
      </c>
      <c r="C1745" t="s">
        <v>83</v>
      </c>
      <c r="D1745" t="s">
        <v>84</v>
      </c>
      <c r="E1745" t="s">
        <v>25</v>
      </c>
      <c r="F1745" t="s">
        <v>84</v>
      </c>
      <c r="G1745" t="s">
        <v>26</v>
      </c>
      <c r="H1745" t="s">
        <v>81</v>
      </c>
      <c r="I1745">
        <v>2095</v>
      </c>
      <c r="J1745">
        <v>0.1066</v>
      </c>
      <c r="K1745" t="s">
        <v>84</v>
      </c>
    </row>
    <row r="1746" spans="1:11" x14ac:dyDescent="0.45">
      <c r="A1746" t="s">
        <v>89</v>
      </c>
      <c r="B1746" t="s">
        <v>0</v>
      </c>
      <c r="C1746" t="s">
        <v>83</v>
      </c>
      <c r="D1746" t="s">
        <v>84</v>
      </c>
      <c r="E1746" t="s">
        <v>25</v>
      </c>
      <c r="F1746" t="s">
        <v>84</v>
      </c>
      <c r="G1746" t="s">
        <v>26</v>
      </c>
      <c r="H1746" t="s">
        <v>81</v>
      </c>
      <c r="I1746">
        <v>2100</v>
      </c>
      <c r="J1746">
        <v>0.1172</v>
      </c>
      <c r="K1746" t="s">
        <v>84</v>
      </c>
    </row>
    <row r="1747" spans="1:11" x14ac:dyDescent="0.45">
      <c r="A1747" t="s">
        <v>89</v>
      </c>
      <c r="B1747" t="s">
        <v>6</v>
      </c>
      <c r="C1747" t="s">
        <v>83</v>
      </c>
      <c r="D1747" t="s">
        <v>84</v>
      </c>
      <c r="E1747" t="s">
        <v>25</v>
      </c>
      <c r="F1747" t="s">
        <v>84</v>
      </c>
      <c r="G1747" t="s">
        <v>26</v>
      </c>
      <c r="H1747" t="s">
        <v>81</v>
      </c>
      <c r="I1747">
        <v>2020</v>
      </c>
      <c r="J1747">
        <v>4.7999999999999996E-3</v>
      </c>
      <c r="K1747" t="s">
        <v>84</v>
      </c>
    </row>
    <row r="1748" spans="1:11" x14ac:dyDescent="0.45">
      <c r="A1748" t="s">
        <v>89</v>
      </c>
      <c r="B1748" t="s">
        <v>6</v>
      </c>
      <c r="C1748" t="s">
        <v>83</v>
      </c>
      <c r="D1748" t="s">
        <v>84</v>
      </c>
      <c r="E1748" t="s">
        <v>25</v>
      </c>
      <c r="F1748" t="s">
        <v>84</v>
      </c>
      <c r="G1748" t="s">
        <v>26</v>
      </c>
      <c r="H1748" t="s">
        <v>81</v>
      </c>
      <c r="I1748">
        <v>2025</v>
      </c>
      <c r="J1748">
        <v>2.0400000000000001E-2</v>
      </c>
      <c r="K1748" t="s">
        <v>84</v>
      </c>
    </row>
    <row r="1749" spans="1:11" x14ac:dyDescent="0.45">
      <c r="A1749" t="s">
        <v>89</v>
      </c>
      <c r="B1749" t="s">
        <v>6</v>
      </c>
      <c r="C1749" t="s">
        <v>83</v>
      </c>
      <c r="D1749" t="s">
        <v>84</v>
      </c>
      <c r="E1749" t="s">
        <v>25</v>
      </c>
      <c r="F1749" t="s">
        <v>84</v>
      </c>
      <c r="G1749" t="s">
        <v>26</v>
      </c>
      <c r="H1749" t="s">
        <v>81</v>
      </c>
      <c r="I1749">
        <v>2030</v>
      </c>
      <c r="J1749">
        <v>4.4999999999999998E-2</v>
      </c>
      <c r="K1749" t="s">
        <v>84</v>
      </c>
    </row>
    <row r="1750" spans="1:11" x14ac:dyDescent="0.45">
      <c r="A1750" t="s">
        <v>89</v>
      </c>
      <c r="B1750" t="s">
        <v>6</v>
      </c>
      <c r="C1750" t="s">
        <v>83</v>
      </c>
      <c r="D1750" t="s">
        <v>84</v>
      </c>
      <c r="E1750" t="s">
        <v>25</v>
      </c>
      <c r="F1750" t="s">
        <v>84</v>
      </c>
      <c r="G1750" t="s">
        <v>26</v>
      </c>
      <c r="H1750" t="s">
        <v>81</v>
      </c>
      <c r="I1750">
        <v>2035</v>
      </c>
      <c r="J1750">
        <v>7.0050000000000001E-2</v>
      </c>
      <c r="K1750" t="s">
        <v>84</v>
      </c>
    </row>
    <row r="1751" spans="1:11" x14ac:dyDescent="0.45">
      <c r="A1751" t="s">
        <v>89</v>
      </c>
      <c r="B1751" t="s">
        <v>6</v>
      </c>
      <c r="C1751" t="s">
        <v>83</v>
      </c>
      <c r="D1751" t="s">
        <v>84</v>
      </c>
      <c r="E1751" t="s">
        <v>25</v>
      </c>
      <c r="F1751" t="s">
        <v>84</v>
      </c>
      <c r="G1751" t="s">
        <v>26</v>
      </c>
      <c r="H1751" t="s">
        <v>81</v>
      </c>
      <c r="I1751">
        <v>2040</v>
      </c>
      <c r="J1751">
        <v>9.2849999999999988E-2</v>
      </c>
      <c r="K1751" t="s">
        <v>84</v>
      </c>
    </row>
    <row r="1752" spans="1:11" x14ac:dyDescent="0.45">
      <c r="A1752" t="s">
        <v>89</v>
      </c>
      <c r="B1752" t="s">
        <v>6</v>
      </c>
      <c r="C1752" t="s">
        <v>83</v>
      </c>
      <c r="D1752" t="s">
        <v>84</v>
      </c>
      <c r="E1752" t="s">
        <v>25</v>
      </c>
      <c r="F1752" t="s">
        <v>84</v>
      </c>
      <c r="G1752" t="s">
        <v>26</v>
      </c>
      <c r="H1752" t="s">
        <v>81</v>
      </c>
      <c r="I1752">
        <v>2045</v>
      </c>
      <c r="J1752">
        <v>7.9500000000000001E-2</v>
      </c>
      <c r="K1752" t="s">
        <v>84</v>
      </c>
    </row>
    <row r="1753" spans="1:11" x14ac:dyDescent="0.45">
      <c r="A1753" t="s">
        <v>89</v>
      </c>
      <c r="B1753" t="s">
        <v>6</v>
      </c>
      <c r="C1753" t="s">
        <v>83</v>
      </c>
      <c r="D1753" t="s">
        <v>84</v>
      </c>
      <c r="E1753" t="s">
        <v>25</v>
      </c>
      <c r="F1753" t="s">
        <v>84</v>
      </c>
      <c r="G1753" t="s">
        <v>26</v>
      </c>
      <c r="H1753" t="s">
        <v>81</v>
      </c>
      <c r="I1753">
        <v>2050</v>
      </c>
      <c r="J1753">
        <v>6.7649999999999988E-2</v>
      </c>
      <c r="K1753" t="s">
        <v>84</v>
      </c>
    </row>
    <row r="1754" spans="1:11" x14ac:dyDescent="0.45">
      <c r="A1754" t="s">
        <v>89</v>
      </c>
      <c r="B1754" t="s">
        <v>6</v>
      </c>
      <c r="C1754" t="s">
        <v>83</v>
      </c>
      <c r="D1754" t="s">
        <v>84</v>
      </c>
      <c r="E1754" t="s">
        <v>25</v>
      </c>
      <c r="F1754" t="s">
        <v>84</v>
      </c>
      <c r="G1754" t="s">
        <v>26</v>
      </c>
      <c r="H1754" t="s">
        <v>81</v>
      </c>
      <c r="I1754">
        <v>2055</v>
      </c>
      <c r="J1754">
        <v>6.4849999999999991E-2</v>
      </c>
      <c r="K1754" t="s">
        <v>84</v>
      </c>
    </row>
    <row r="1755" spans="1:11" x14ac:dyDescent="0.45">
      <c r="A1755" t="s">
        <v>89</v>
      </c>
      <c r="B1755" t="s">
        <v>6</v>
      </c>
      <c r="C1755" t="s">
        <v>83</v>
      </c>
      <c r="D1755" t="s">
        <v>84</v>
      </c>
      <c r="E1755" t="s">
        <v>25</v>
      </c>
      <c r="F1755" t="s">
        <v>84</v>
      </c>
      <c r="G1755" t="s">
        <v>26</v>
      </c>
      <c r="H1755" t="s">
        <v>81</v>
      </c>
      <c r="I1755">
        <v>2060</v>
      </c>
      <c r="J1755">
        <v>7.9999999999999988E-2</v>
      </c>
      <c r="K1755" t="s">
        <v>84</v>
      </c>
    </row>
    <row r="1756" spans="1:11" x14ac:dyDescent="0.45">
      <c r="A1756" t="s">
        <v>89</v>
      </c>
      <c r="B1756" t="s">
        <v>6</v>
      </c>
      <c r="C1756" t="s">
        <v>83</v>
      </c>
      <c r="D1756" t="s">
        <v>84</v>
      </c>
      <c r="E1756" t="s">
        <v>25</v>
      </c>
      <c r="F1756" t="s">
        <v>84</v>
      </c>
      <c r="G1756" t="s">
        <v>26</v>
      </c>
      <c r="H1756" t="s">
        <v>81</v>
      </c>
      <c r="I1756">
        <v>2065</v>
      </c>
      <c r="J1756">
        <v>8.7150000000000005E-2</v>
      </c>
      <c r="K1756" t="s">
        <v>84</v>
      </c>
    </row>
    <row r="1757" spans="1:11" x14ac:dyDescent="0.45">
      <c r="A1757" t="s">
        <v>89</v>
      </c>
      <c r="B1757" t="s">
        <v>6</v>
      </c>
      <c r="C1757" t="s">
        <v>83</v>
      </c>
      <c r="D1757" t="s">
        <v>84</v>
      </c>
      <c r="E1757" t="s">
        <v>25</v>
      </c>
      <c r="F1757" t="s">
        <v>84</v>
      </c>
      <c r="G1757" t="s">
        <v>26</v>
      </c>
      <c r="H1757" t="s">
        <v>81</v>
      </c>
      <c r="I1757">
        <v>2070</v>
      </c>
      <c r="J1757">
        <v>8.660000000000001E-2</v>
      </c>
      <c r="K1757" t="s">
        <v>84</v>
      </c>
    </row>
    <row r="1758" spans="1:11" x14ac:dyDescent="0.45">
      <c r="A1758" t="s">
        <v>89</v>
      </c>
      <c r="B1758" t="s">
        <v>6</v>
      </c>
      <c r="C1758" t="s">
        <v>83</v>
      </c>
      <c r="D1758" t="s">
        <v>84</v>
      </c>
      <c r="E1758" t="s">
        <v>25</v>
      </c>
      <c r="F1758" t="s">
        <v>84</v>
      </c>
      <c r="G1758" t="s">
        <v>26</v>
      </c>
      <c r="H1758" t="s">
        <v>81</v>
      </c>
      <c r="I1758">
        <v>2075</v>
      </c>
      <c r="J1758">
        <v>0.10205</v>
      </c>
      <c r="K1758" t="s">
        <v>84</v>
      </c>
    </row>
    <row r="1759" spans="1:11" x14ac:dyDescent="0.45">
      <c r="A1759" t="s">
        <v>89</v>
      </c>
      <c r="B1759" t="s">
        <v>6</v>
      </c>
      <c r="C1759" t="s">
        <v>83</v>
      </c>
      <c r="D1759" t="s">
        <v>84</v>
      </c>
      <c r="E1759" t="s">
        <v>25</v>
      </c>
      <c r="F1759" t="s">
        <v>84</v>
      </c>
      <c r="G1759" t="s">
        <v>26</v>
      </c>
      <c r="H1759" t="s">
        <v>81</v>
      </c>
      <c r="I1759">
        <v>2080</v>
      </c>
      <c r="J1759">
        <v>0.11085</v>
      </c>
      <c r="K1759" t="s">
        <v>84</v>
      </c>
    </row>
    <row r="1760" spans="1:11" x14ac:dyDescent="0.45">
      <c r="A1760" t="s">
        <v>89</v>
      </c>
      <c r="B1760" t="s">
        <v>6</v>
      </c>
      <c r="C1760" t="s">
        <v>83</v>
      </c>
      <c r="D1760" t="s">
        <v>84</v>
      </c>
      <c r="E1760" t="s">
        <v>25</v>
      </c>
      <c r="F1760" t="s">
        <v>84</v>
      </c>
      <c r="G1760" t="s">
        <v>26</v>
      </c>
      <c r="H1760" t="s">
        <v>81</v>
      </c>
      <c r="I1760">
        <v>2085</v>
      </c>
      <c r="J1760">
        <v>0.1182</v>
      </c>
      <c r="K1760" t="s">
        <v>84</v>
      </c>
    </row>
    <row r="1761" spans="1:11" x14ac:dyDescent="0.45">
      <c r="A1761" t="s">
        <v>89</v>
      </c>
      <c r="B1761" t="s">
        <v>6</v>
      </c>
      <c r="C1761" t="s">
        <v>83</v>
      </c>
      <c r="D1761" t="s">
        <v>84</v>
      </c>
      <c r="E1761" t="s">
        <v>25</v>
      </c>
      <c r="F1761" t="s">
        <v>84</v>
      </c>
      <c r="G1761" t="s">
        <v>26</v>
      </c>
      <c r="H1761" t="s">
        <v>81</v>
      </c>
      <c r="I1761">
        <v>2090</v>
      </c>
      <c r="J1761">
        <v>0.12125</v>
      </c>
      <c r="K1761" t="s">
        <v>84</v>
      </c>
    </row>
    <row r="1762" spans="1:11" x14ac:dyDescent="0.45">
      <c r="A1762" t="s">
        <v>89</v>
      </c>
      <c r="B1762" t="s">
        <v>6</v>
      </c>
      <c r="C1762" t="s">
        <v>83</v>
      </c>
      <c r="D1762" t="s">
        <v>84</v>
      </c>
      <c r="E1762" t="s">
        <v>25</v>
      </c>
      <c r="F1762" t="s">
        <v>84</v>
      </c>
      <c r="G1762" t="s">
        <v>26</v>
      </c>
      <c r="H1762" t="s">
        <v>81</v>
      </c>
      <c r="I1762">
        <v>2095</v>
      </c>
      <c r="J1762">
        <v>0.1187</v>
      </c>
      <c r="K1762" t="s">
        <v>84</v>
      </c>
    </row>
    <row r="1763" spans="1:11" x14ac:dyDescent="0.45">
      <c r="A1763" t="s">
        <v>89</v>
      </c>
      <c r="B1763" t="s">
        <v>6</v>
      </c>
      <c r="C1763" t="s">
        <v>83</v>
      </c>
      <c r="D1763" t="s">
        <v>84</v>
      </c>
      <c r="E1763" t="s">
        <v>25</v>
      </c>
      <c r="F1763" t="s">
        <v>84</v>
      </c>
      <c r="G1763" t="s">
        <v>26</v>
      </c>
      <c r="H1763" t="s">
        <v>81</v>
      </c>
      <c r="I1763">
        <v>2100</v>
      </c>
      <c r="J1763">
        <v>0.11499999999999999</v>
      </c>
      <c r="K1763" t="s">
        <v>84</v>
      </c>
    </row>
    <row r="1764" spans="1:11" x14ac:dyDescent="0.45">
      <c r="A1764" t="s">
        <v>89</v>
      </c>
      <c r="B1764" t="s">
        <v>5</v>
      </c>
      <c r="C1764" t="s">
        <v>83</v>
      </c>
      <c r="D1764" t="s">
        <v>84</v>
      </c>
      <c r="E1764" t="s">
        <v>25</v>
      </c>
      <c r="F1764" t="s">
        <v>84</v>
      </c>
      <c r="G1764" t="s">
        <v>26</v>
      </c>
      <c r="H1764" t="s">
        <v>81</v>
      </c>
      <c r="I1764">
        <v>2020</v>
      </c>
      <c r="J1764">
        <v>4.7499999999999999E-3</v>
      </c>
      <c r="K1764" t="s">
        <v>84</v>
      </c>
    </row>
    <row r="1765" spans="1:11" x14ac:dyDescent="0.45">
      <c r="A1765" t="s">
        <v>89</v>
      </c>
      <c r="B1765" t="s">
        <v>5</v>
      </c>
      <c r="C1765" t="s">
        <v>83</v>
      </c>
      <c r="D1765" t="s">
        <v>84</v>
      </c>
      <c r="E1765" t="s">
        <v>25</v>
      </c>
      <c r="F1765" t="s">
        <v>84</v>
      </c>
      <c r="G1765" t="s">
        <v>26</v>
      </c>
      <c r="H1765" t="s">
        <v>81</v>
      </c>
      <c r="I1765">
        <v>2025</v>
      </c>
      <c r="J1765">
        <v>1.9049999999999997E-2</v>
      </c>
      <c r="K1765" t="s">
        <v>84</v>
      </c>
    </row>
    <row r="1766" spans="1:11" x14ac:dyDescent="0.45">
      <c r="A1766" t="s">
        <v>89</v>
      </c>
      <c r="B1766" t="s">
        <v>5</v>
      </c>
      <c r="C1766" t="s">
        <v>83</v>
      </c>
      <c r="D1766" t="s">
        <v>84</v>
      </c>
      <c r="E1766" t="s">
        <v>25</v>
      </c>
      <c r="F1766" t="s">
        <v>84</v>
      </c>
      <c r="G1766" t="s">
        <v>26</v>
      </c>
      <c r="H1766" t="s">
        <v>81</v>
      </c>
      <c r="I1766">
        <v>2030</v>
      </c>
      <c r="J1766">
        <v>2.725E-2</v>
      </c>
      <c r="K1766" t="s">
        <v>84</v>
      </c>
    </row>
    <row r="1767" spans="1:11" x14ac:dyDescent="0.45">
      <c r="A1767" t="s">
        <v>89</v>
      </c>
      <c r="B1767" t="s">
        <v>5</v>
      </c>
      <c r="C1767" t="s">
        <v>83</v>
      </c>
      <c r="D1767" t="s">
        <v>84</v>
      </c>
      <c r="E1767" t="s">
        <v>25</v>
      </c>
      <c r="F1767" t="s">
        <v>84</v>
      </c>
      <c r="G1767" t="s">
        <v>26</v>
      </c>
      <c r="H1767" t="s">
        <v>81</v>
      </c>
      <c r="I1767">
        <v>2035</v>
      </c>
      <c r="J1767">
        <v>2.18E-2</v>
      </c>
      <c r="K1767" t="s">
        <v>84</v>
      </c>
    </row>
    <row r="1768" spans="1:11" x14ac:dyDescent="0.45">
      <c r="A1768" t="s">
        <v>89</v>
      </c>
      <c r="B1768" t="s">
        <v>5</v>
      </c>
      <c r="C1768" t="s">
        <v>83</v>
      </c>
      <c r="D1768" t="s">
        <v>84</v>
      </c>
      <c r="E1768" t="s">
        <v>25</v>
      </c>
      <c r="F1768" t="s">
        <v>84</v>
      </c>
      <c r="G1768" t="s">
        <v>26</v>
      </c>
      <c r="H1768" t="s">
        <v>81</v>
      </c>
      <c r="I1768">
        <v>2040</v>
      </c>
      <c r="J1768">
        <v>1.6050000000000002E-2</v>
      </c>
      <c r="K1768" t="s">
        <v>84</v>
      </c>
    </row>
    <row r="1769" spans="1:11" x14ac:dyDescent="0.45">
      <c r="A1769" t="s">
        <v>89</v>
      </c>
      <c r="B1769" t="s">
        <v>5</v>
      </c>
      <c r="C1769" t="s">
        <v>83</v>
      </c>
      <c r="D1769" t="s">
        <v>84</v>
      </c>
      <c r="E1769" t="s">
        <v>25</v>
      </c>
      <c r="F1769" t="s">
        <v>84</v>
      </c>
      <c r="G1769" t="s">
        <v>26</v>
      </c>
      <c r="H1769" t="s">
        <v>81</v>
      </c>
      <c r="I1769">
        <v>2045</v>
      </c>
      <c r="J1769">
        <v>1.15E-2</v>
      </c>
      <c r="K1769" t="s">
        <v>84</v>
      </c>
    </row>
    <row r="1770" spans="1:11" x14ac:dyDescent="0.45">
      <c r="A1770" t="s">
        <v>89</v>
      </c>
      <c r="B1770" t="s">
        <v>5</v>
      </c>
      <c r="C1770" t="s">
        <v>83</v>
      </c>
      <c r="D1770" t="s">
        <v>84</v>
      </c>
      <c r="E1770" t="s">
        <v>25</v>
      </c>
      <c r="F1770" t="s">
        <v>84</v>
      </c>
      <c r="G1770" t="s">
        <v>26</v>
      </c>
      <c r="H1770" t="s">
        <v>81</v>
      </c>
      <c r="I1770">
        <v>2050</v>
      </c>
      <c r="J1770">
        <v>1.4499999999999999E-2</v>
      </c>
      <c r="K1770" t="s">
        <v>84</v>
      </c>
    </row>
    <row r="1771" spans="1:11" x14ac:dyDescent="0.45">
      <c r="A1771" t="s">
        <v>89</v>
      </c>
      <c r="B1771" t="s">
        <v>5</v>
      </c>
      <c r="C1771" t="s">
        <v>83</v>
      </c>
      <c r="D1771" t="s">
        <v>84</v>
      </c>
      <c r="E1771" t="s">
        <v>25</v>
      </c>
      <c r="F1771" t="s">
        <v>84</v>
      </c>
      <c r="G1771" t="s">
        <v>26</v>
      </c>
      <c r="H1771" t="s">
        <v>81</v>
      </c>
      <c r="I1771">
        <v>2055</v>
      </c>
      <c r="J1771">
        <v>1.6449999999999999E-2</v>
      </c>
      <c r="K1771" t="s">
        <v>84</v>
      </c>
    </row>
    <row r="1772" spans="1:11" x14ac:dyDescent="0.45">
      <c r="A1772" t="s">
        <v>89</v>
      </c>
      <c r="B1772" t="s">
        <v>5</v>
      </c>
      <c r="C1772" t="s">
        <v>83</v>
      </c>
      <c r="D1772" t="s">
        <v>84</v>
      </c>
      <c r="E1772" t="s">
        <v>25</v>
      </c>
      <c r="F1772" t="s">
        <v>84</v>
      </c>
      <c r="G1772" t="s">
        <v>26</v>
      </c>
      <c r="H1772" t="s">
        <v>81</v>
      </c>
      <c r="I1772">
        <v>2060</v>
      </c>
      <c r="J1772">
        <v>1.9E-2</v>
      </c>
      <c r="K1772" t="s">
        <v>84</v>
      </c>
    </row>
    <row r="1773" spans="1:11" x14ac:dyDescent="0.45">
      <c r="A1773" t="s">
        <v>89</v>
      </c>
      <c r="B1773" t="s">
        <v>5</v>
      </c>
      <c r="C1773" t="s">
        <v>83</v>
      </c>
      <c r="D1773" t="s">
        <v>84</v>
      </c>
      <c r="E1773" t="s">
        <v>25</v>
      </c>
      <c r="F1773" t="s">
        <v>84</v>
      </c>
      <c r="G1773" t="s">
        <v>26</v>
      </c>
      <c r="H1773" t="s">
        <v>81</v>
      </c>
      <c r="I1773">
        <v>2065</v>
      </c>
      <c r="J1773">
        <v>1.9650000000000001E-2</v>
      </c>
      <c r="K1773" t="s">
        <v>84</v>
      </c>
    </row>
    <row r="1774" spans="1:11" x14ac:dyDescent="0.45">
      <c r="A1774" t="s">
        <v>89</v>
      </c>
      <c r="B1774" t="s">
        <v>5</v>
      </c>
      <c r="C1774" t="s">
        <v>83</v>
      </c>
      <c r="D1774" t="s">
        <v>84</v>
      </c>
      <c r="E1774" t="s">
        <v>25</v>
      </c>
      <c r="F1774" t="s">
        <v>84</v>
      </c>
      <c r="G1774" t="s">
        <v>26</v>
      </c>
      <c r="H1774" t="s">
        <v>81</v>
      </c>
      <c r="I1774">
        <v>2070</v>
      </c>
      <c r="J1774">
        <v>0.02</v>
      </c>
      <c r="K1774" t="s">
        <v>84</v>
      </c>
    </row>
    <row r="1775" spans="1:11" x14ac:dyDescent="0.45">
      <c r="A1775" t="s">
        <v>89</v>
      </c>
      <c r="B1775" t="s">
        <v>5</v>
      </c>
      <c r="C1775" t="s">
        <v>83</v>
      </c>
      <c r="D1775" t="s">
        <v>84</v>
      </c>
      <c r="E1775" t="s">
        <v>25</v>
      </c>
      <c r="F1775" t="s">
        <v>84</v>
      </c>
      <c r="G1775" t="s">
        <v>26</v>
      </c>
      <c r="H1775" t="s">
        <v>81</v>
      </c>
      <c r="I1775">
        <v>2075</v>
      </c>
      <c r="J1775">
        <v>1.975E-2</v>
      </c>
      <c r="K1775" t="s">
        <v>84</v>
      </c>
    </row>
    <row r="1776" spans="1:11" x14ac:dyDescent="0.45">
      <c r="A1776" t="s">
        <v>89</v>
      </c>
      <c r="B1776" t="s">
        <v>5</v>
      </c>
      <c r="C1776" t="s">
        <v>83</v>
      </c>
      <c r="D1776" t="s">
        <v>84</v>
      </c>
      <c r="E1776" t="s">
        <v>25</v>
      </c>
      <c r="F1776" t="s">
        <v>84</v>
      </c>
      <c r="G1776" t="s">
        <v>26</v>
      </c>
      <c r="H1776" t="s">
        <v>81</v>
      </c>
      <c r="I1776">
        <v>2080</v>
      </c>
      <c r="J1776">
        <v>1.915E-2</v>
      </c>
      <c r="K1776" t="s">
        <v>84</v>
      </c>
    </row>
    <row r="1777" spans="1:11" x14ac:dyDescent="0.45">
      <c r="A1777" t="s">
        <v>89</v>
      </c>
      <c r="B1777" t="s">
        <v>5</v>
      </c>
      <c r="C1777" t="s">
        <v>83</v>
      </c>
      <c r="D1777" t="s">
        <v>84</v>
      </c>
      <c r="E1777" t="s">
        <v>25</v>
      </c>
      <c r="F1777" t="s">
        <v>84</v>
      </c>
      <c r="G1777" t="s">
        <v>26</v>
      </c>
      <c r="H1777" t="s">
        <v>81</v>
      </c>
      <c r="I1777">
        <v>2085</v>
      </c>
      <c r="J1777">
        <v>2.0900000000000002E-2</v>
      </c>
      <c r="K1777" t="s">
        <v>84</v>
      </c>
    </row>
    <row r="1778" spans="1:11" x14ac:dyDescent="0.45">
      <c r="A1778" t="s">
        <v>89</v>
      </c>
      <c r="B1778" t="s">
        <v>5</v>
      </c>
      <c r="C1778" t="s">
        <v>83</v>
      </c>
      <c r="D1778" t="s">
        <v>84</v>
      </c>
      <c r="E1778" t="s">
        <v>25</v>
      </c>
      <c r="F1778" t="s">
        <v>84</v>
      </c>
      <c r="G1778" t="s">
        <v>26</v>
      </c>
      <c r="H1778" t="s">
        <v>81</v>
      </c>
      <c r="I1778">
        <v>2090</v>
      </c>
      <c r="J1778">
        <v>2.2850000000000002E-2</v>
      </c>
      <c r="K1778" t="s">
        <v>84</v>
      </c>
    </row>
    <row r="1779" spans="1:11" x14ac:dyDescent="0.45">
      <c r="A1779" t="s">
        <v>89</v>
      </c>
      <c r="B1779" t="s">
        <v>5</v>
      </c>
      <c r="C1779" t="s">
        <v>83</v>
      </c>
      <c r="D1779" t="s">
        <v>84</v>
      </c>
      <c r="E1779" t="s">
        <v>25</v>
      </c>
      <c r="F1779" t="s">
        <v>84</v>
      </c>
      <c r="G1779" t="s">
        <v>26</v>
      </c>
      <c r="H1779" t="s">
        <v>81</v>
      </c>
      <c r="I1779">
        <v>2095</v>
      </c>
      <c r="J1779">
        <v>2.8650000000000002E-2</v>
      </c>
      <c r="K1779" t="s">
        <v>84</v>
      </c>
    </row>
    <row r="1780" spans="1:11" x14ac:dyDescent="0.45">
      <c r="A1780" t="s">
        <v>89</v>
      </c>
      <c r="B1780" t="s">
        <v>5</v>
      </c>
      <c r="C1780" t="s">
        <v>83</v>
      </c>
      <c r="D1780" t="s">
        <v>84</v>
      </c>
      <c r="E1780" t="s">
        <v>25</v>
      </c>
      <c r="F1780" t="s">
        <v>84</v>
      </c>
      <c r="G1780" t="s">
        <v>26</v>
      </c>
      <c r="H1780" t="s">
        <v>81</v>
      </c>
      <c r="I1780">
        <v>2100</v>
      </c>
      <c r="J1780">
        <v>3.415E-2</v>
      </c>
      <c r="K1780" t="s">
        <v>84</v>
      </c>
    </row>
    <row r="1781" spans="1:11" x14ac:dyDescent="0.45">
      <c r="A1781" t="s">
        <v>89</v>
      </c>
      <c r="B1781" t="s">
        <v>2</v>
      </c>
      <c r="C1781" t="s">
        <v>83</v>
      </c>
      <c r="D1781" t="s">
        <v>84</v>
      </c>
      <c r="E1781" t="s">
        <v>25</v>
      </c>
      <c r="F1781" t="s">
        <v>84</v>
      </c>
      <c r="G1781" t="s">
        <v>26</v>
      </c>
      <c r="H1781" t="s">
        <v>81</v>
      </c>
      <c r="I1781">
        <v>2020</v>
      </c>
      <c r="J1781">
        <v>4.7999999999999996E-3</v>
      </c>
      <c r="K1781" t="s">
        <v>84</v>
      </c>
    </row>
    <row r="1782" spans="1:11" x14ac:dyDescent="0.45">
      <c r="A1782" t="s">
        <v>89</v>
      </c>
      <c r="B1782" t="s">
        <v>2</v>
      </c>
      <c r="C1782" t="s">
        <v>83</v>
      </c>
      <c r="D1782" t="s">
        <v>84</v>
      </c>
      <c r="E1782" t="s">
        <v>25</v>
      </c>
      <c r="F1782" t="s">
        <v>84</v>
      </c>
      <c r="G1782" t="s">
        <v>26</v>
      </c>
      <c r="H1782" t="s">
        <v>81</v>
      </c>
      <c r="I1782">
        <v>2025</v>
      </c>
      <c r="J1782">
        <v>2.0299999999999999E-2</v>
      </c>
      <c r="K1782" t="s">
        <v>84</v>
      </c>
    </row>
    <row r="1783" spans="1:11" x14ac:dyDescent="0.45">
      <c r="A1783" t="s">
        <v>89</v>
      </c>
      <c r="B1783" t="s">
        <v>2</v>
      </c>
      <c r="C1783" t="s">
        <v>83</v>
      </c>
      <c r="D1783" t="s">
        <v>84</v>
      </c>
      <c r="E1783" t="s">
        <v>25</v>
      </c>
      <c r="F1783" t="s">
        <v>84</v>
      </c>
      <c r="G1783" t="s">
        <v>26</v>
      </c>
      <c r="H1783" t="s">
        <v>81</v>
      </c>
      <c r="I1783">
        <v>2030</v>
      </c>
      <c r="J1783">
        <v>4.3749999999999997E-2</v>
      </c>
      <c r="K1783" t="s">
        <v>84</v>
      </c>
    </row>
    <row r="1784" spans="1:11" x14ac:dyDescent="0.45">
      <c r="A1784" t="s">
        <v>89</v>
      </c>
      <c r="B1784" t="s">
        <v>2</v>
      </c>
      <c r="C1784" t="s">
        <v>83</v>
      </c>
      <c r="D1784" t="s">
        <v>84</v>
      </c>
      <c r="E1784" t="s">
        <v>25</v>
      </c>
      <c r="F1784" t="s">
        <v>84</v>
      </c>
      <c r="G1784" t="s">
        <v>26</v>
      </c>
      <c r="H1784" t="s">
        <v>81</v>
      </c>
      <c r="I1784">
        <v>2035</v>
      </c>
      <c r="J1784">
        <v>6.6099999999999992E-2</v>
      </c>
      <c r="K1784" t="s">
        <v>84</v>
      </c>
    </row>
    <row r="1785" spans="1:11" x14ac:dyDescent="0.45">
      <c r="A1785" t="s">
        <v>89</v>
      </c>
      <c r="B1785" t="s">
        <v>2</v>
      </c>
      <c r="C1785" t="s">
        <v>83</v>
      </c>
      <c r="D1785" t="s">
        <v>84</v>
      </c>
      <c r="E1785" t="s">
        <v>25</v>
      </c>
      <c r="F1785" t="s">
        <v>84</v>
      </c>
      <c r="G1785" t="s">
        <v>26</v>
      </c>
      <c r="H1785" t="s">
        <v>81</v>
      </c>
      <c r="I1785">
        <v>2040</v>
      </c>
      <c r="J1785">
        <v>8.2600000000000007E-2</v>
      </c>
      <c r="K1785" t="s">
        <v>84</v>
      </c>
    </row>
    <row r="1786" spans="1:11" x14ac:dyDescent="0.45">
      <c r="A1786" t="s">
        <v>89</v>
      </c>
      <c r="B1786" t="s">
        <v>2</v>
      </c>
      <c r="C1786" t="s">
        <v>83</v>
      </c>
      <c r="D1786" t="s">
        <v>84</v>
      </c>
      <c r="E1786" t="s">
        <v>25</v>
      </c>
      <c r="F1786" t="s">
        <v>84</v>
      </c>
      <c r="G1786" t="s">
        <v>26</v>
      </c>
      <c r="H1786" t="s">
        <v>81</v>
      </c>
      <c r="I1786">
        <v>2045</v>
      </c>
      <c r="J1786">
        <v>8.8350000000000012E-2</v>
      </c>
      <c r="K1786" t="s">
        <v>84</v>
      </c>
    </row>
    <row r="1787" spans="1:11" x14ac:dyDescent="0.45">
      <c r="A1787" t="s">
        <v>89</v>
      </c>
      <c r="B1787" t="s">
        <v>2</v>
      </c>
      <c r="C1787" t="s">
        <v>83</v>
      </c>
      <c r="D1787" t="s">
        <v>84</v>
      </c>
      <c r="E1787" t="s">
        <v>25</v>
      </c>
      <c r="F1787" t="s">
        <v>84</v>
      </c>
      <c r="G1787" t="s">
        <v>26</v>
      </c>
      <c r="H1787" t="s">
        <v>81</v>
      </c>
      <c r="I1787">
        <v>2050</v>
      </c>
      <c r="J1787">
        <v>9.3549999999999994E-2</v>
      </c>
      <c r="K1787" t="s">
        <v>84</v>
      </c>
    </row>
    <row r="1788" spans="1:11" x14ac:dyDescent="0.45">
      <c r="A1788" t="s">
        <v>89</v>
      </c>
      <c r="B1788" t="s">
        <v>2</v>
      </c>
      <c r="C1788" t="s">
        <v>83</v>
      </c>
      <c r="D1788" t="s">
        <v>84</v>
      </c>
      <c r="E1788" t="s">
        <v>25</v>
      </c>
      <c r="F1788" t="s">
        <v>84</v>
      </c>
      <c r="G1788" t="s">
        <v>26</v>
      </c>
      <c r="H1788" t="s">
        <v>81</v>
      </c>
      <c r="I1788">
        <v>2055</v>
      </c>
      <c r="J1788">
        <v>9.6950000000000008E-2</v>
      </c>
      <c r="K1788" t="s">
        <v>84</v>
      </c>
    </row>
    <row r="1789" spans="1:11" x14ac:dyDescent="0.45">
      <c r="A1789" t="s">
        <v>89</v>
      </c>
      <c r="B1789" t="s">
        <v>2</v>
      </c>
      <c r="C1789" t="s">
        <v>83</v>
      </c>
      <c r="D1789" t="s">
        <v>84</v>
      </c>
      <c r="E1789" t="s">
        <v>25</v>
      </c>
      <c r="F1789" t="s">
        <v>84</v>
      </c>
      <c r="G1789" t="s">
        <v>26</v>
      </c>
      <c r="H1789" t="s">
        <v>81</v>
      </c>
      <c r="I1789">
        <v>2060</v>
      </c>
      <c r="J1789">
        <v>0.10264999999999999</v>
      </c>
      <c r="K1789" t="s">
        <v>84</v>
      </c>
    </row>
    <row r="1790" spans="1:11" x14ac:dyDescent="0.45">
      <c r="A1790" t="s">
        <v>89</v>
      </c>
      <c r="B1790" t="s">
        <v>2</v>
      </c>
      <c r="C1790" t="s">
        <v>83</v>
      </c>
      <c r="D1790" t="s">
        <v>84</v>
      </c>
      <c r="E1790" t="s">
        <v>25</v>
      </c>
      <c r="F1790" t="s">
        <v>84</v>
      </c>
      <c r="G1790" t="s">
        <v>26</v>
      </c>
      <c r="H1790" t="s">
        <v>81</v>
      </c>
      <c r="I1790">
        <v>2065</v>
      </c>
      <c r="J1790">
        <v>0.1744</v>
      </c>
      <c r="K1790" t="s">
        <v>84</v>
      </c>
    </row>
    <row r="1791" spans="1:11" x14ac:dyDescent="0.45">
      <c r="A1791" t="s">
        <v>89</v>
      </c>
      <c r="B1791" t="s">
        <v>2</v>
      </c>
      <c r="C1791" t="s">
        <v>83</v>
      </c>
      <c r="D1791" t="s">
        <v>84</v>
      </c>
      <c r="E1791" t="s">
        <v>25</v>
      </c>
      <c r="F1791" t="s">
        <v>84</v>
      </c>
      <c r="G1791" t="s">
        <v>26</v>
      </c>
      <c r="H1791" t="s">
        <v>81</v>
      </c>
      <c r="I1791">
        <v>2070</v>
      </c>
      <c r="J1791">
        <v>0.21705000000000002</v>
      </c>
      <c r="K1791" t="s">
        <v>84</v>
      </c>
    </row>
    <row r="1792" spans="1:11" x14ac:dyDescent="0.45">
      <c r="A1792" t="s">
        <v>89</v>
      </c>
      <c r="B1792" t="s">
        <v>2</v>
      </c>
      <c r="C1792" t="s">
        <v>83</v>
      </c>
      <c r="D1792" t="s">
        <v>84</v>
      </c>
      <c r="E1792" t="s">
        <v>25</v>
      </c>
      <c r="F1792" t="s">
        <v>84</v>
      </c>
      <c r="G1792" t="s">
        <v>26</v>
      </c>
      <c r="H1792" t="s">
        <v>81</v>
      </c>
      <c r="I1792">
        <v>2075</v>
      </c>
      <c r="J1792">
        <v>0.23895</v>
      </c>
      <c r="K1792" t="s">
        <v>84</v>
      </c>
    </row>
    <row r="1793" spans="1:11" x14ac:dyDescent="0.45">
      <c r="A1793" t="s">
        <v>89</v>
      </c>
      <c r="B1793" t="s">
        <v>2</v>
      </c>
      <c r="C1793" t="s">
        <v>83</v>
      </c>
      <c r="D1793" t="s">
        <v>84</v>
      </c>
      <c r="E1793" t="s">
        <v>25</v>
      </c>
      <c r="F1793" t="s">
        <v>84</v>
      </c>
      <c r="G1793" t="s">
        <v>26</v>
      </c>
      <c r="H1793" t="s">
        <v>81</v>
      </c>
      <c r="I1793">
        <v>2080</v>
      </c>
      <c r="J1793">
        <v>0.24604999999999999</v>
      </c>
      <c r="K1793" t="s">
        <v>84</v>
      </c>
    </row>
    <row r="1794" spans="1:11" x14ac:dyDescent="0.45">
      <c r="A1794" t="s">
        <v>89</v>
      </c>
      <c r="B1794" t="s">
        <v>2</v>
      </c>
      <c r="C1794" t="s">
        <v>83</v>
      </c>
      <c r="D1794" t="s">
        <v>84</v>
      </c>
      <c r="E1794" t="s">
        <v>25</v>
      </c>
      <c r="F1794" t="s">
        <v>84</v>
      </c>
      <c r="G1794" t="s">
        <v>26</v>
      </c>
      <c r="H1794" t="s">
        <v>81</v>
      </c>
      <c r="I1794">
        <v>2085</v>
      </c>
      <c r="J1794">
        <v>0.24754999999999999</v>
      </c>
      <c r="K1794" t="s">
        <v>84</v>
      </c>
    </row>
    <row r="1795" spans="1:11" x14ac:dyDescent="0.45">
      <c r="A1795" t="s">
        <v>89</v>
      </c>
      <c r="B1795" t="s">
        <v>2</v>
      </c>
      <c r="C1795" t="s">
        <v>83</v>
      </c>
      <c r="D1795" t="s">
        <v>84</v>
      </c>
      <c r="E1795" t="s">
        <v>25</v>
      </c>
      <c r="F1795" t="s">
        <v>84</v>
      </c>
      <c r="G1795" t="s">
        <v>26</v>
      </c>
      <c r="H1795" t="s">
        <v>81</v>
      </c>
      <c r="I1795">
        <v>2090</v>
      </c>
      <c r="J1795">
        <v>0.245</v>
      </c>
      <c r="K1795" t="s">
        <v>84</v>
      </c>
    </row>
    <row r="1796" spans="1:11" x14ac:dyDescent="0.45">
      <c r="A1796" t="s">
        <v>89</v>
      </c>
      <c r="B1796" t="s">
        <v>2</v>
      </c>
      <c r="C1796" t="s">
        <v>83</v>
      </c>
      <c r="D1796" t="s">
        <v>84</v>
      </c>
      <c r="E1796" t="s">
        <v>25</v>
      </c>
      <c r="F1796" t="s">
        <v>84</v>
      </c>
      <c r="G1796" t="s">
        <v>26</v>
      </c>
      <c r="H1796" t="s">
        <v>81</v>
      </c>
      <c r="I1796">
        <v>2095</v>
      </c>
      <c r="J1796">
        <v>0.23285</v>
      </c>
      <c r="K1796" t="s">
        <v>84</v>
      </c>
    </row>
    <row r="1797" spans="1:11" x14ac:dyDescent="0.45">
      <c r="A1797" t="s">
        <v>89</v>
      </c>
      <c r="B1797" t="s">
        <v>2</v>
      </c>
      <c r="C1797" t="s">
        <v>83</v>
      </c>
      <c r="D1797" t="s">
        <v>84</v>
      </c>
      <c r="E1797" t="s">
        <v>25</v>
      </c>
      <c r="F1797" t="s">
        <v>84</v>
      </c>
      <c r="G1797" t="s">
        <v>26</v>
      </c>
      <c r="H1797" t="s">
        <v>81</v>
      </c>
      <c r="I1797">
        <v>2100</v>
      </c>
      <c r="J1797">
        <v>0.22065000000000001</v>
      </c>
      <c r="K1797" t="s">
        <v>84</v>
      </c>
    </row>
    <row r="1798" spans="1:11" x14ac:dyDescent="0.45">
      <c r="A1798" t="s">
        <v>89</v>
      </c>
      <c r="B1798" t="s">
        <v>1</v>
      </c>
      <c r="C1798" t="s">
        <v>83</v>
      </c>
      <c r="D1798" t="s">
        <v>84</v>
      </c>
      <c r="E1798" t="s">
        <v>25</v>
      </c>
      <c r="F1798" t="s">
        <v>84</v>
      </c>
      <c r="G1798" t="s">
        <v>26</v>
      </c>
      <c r="H1798" t="s">
        <v>81</v>
      </c>
      <c r="I1798">
        <v>2020</v>
      </c>
      <c r="J1798">
        <v>4.7999999999999996E-3</v>
      </c>
      <c r="K1798" t="s">
        <v>84</v>
      </c>
    </row>
    <row r="1799" spans="1:11" x14ac:dyDescent="0.45">
      <c r="A1799" t="s">
        <v>89</v>
      </c>
      <c r="B1799" t="s">
        <v>1</v>
      </c>
      <c r="C1799" t="s">
        <v>83</v>
      </c>
      <c r="D1799" t="s">
        <v>84</v>
      </c>
      <c r="E1799" t="s">
        <v>25</v>
      </c>
      <c r="F1799" t="s">
        <v>84</v>
      </c>
      <c r="G1799" t="s">
        <v>26</v>
      </c>
      <c r="H1799" t="s">
        <v>81</v>
      </c>
      <c r="I1799">
        <v>2025</v>
      </c>
      <c r="J1799">
        <v>2.0150000000000001E-2</v>
      </c>
      <c r="K1799" t="s">
        <v>84</v>
      </c>
    </row>
    <row r="1800" spans="1:11" x14ac:dyDescent="0.45">
      <c r="A1800" t="s">
        <v>89</v>
      </c>
      <c r="B1800" t="s">
        <v>1</v>
      </c>
      <c r="C1800" t="s">
        <v>83</v>
      </c>
      <c r="D1800" t="s">
        <v>84</v>
      </c>
      <c r="E1800" t="s">
        <v>25</v>
      </c>
      <c r="F1800" t="s">
        <v>84</v>
      </c>
      <c r="G1800" t="s">
        <v>26</v>
      </c>
      <c r="H1800" t="s">
        <v>81</v>
      </c>
      <c r="I1800">
        <v>2030</v>
      </c>
      <c r="J1800">
        <v>4.8399999999999999E-2</v>
      </c>
      <c r="K1800" t="s">
        <v>84</v>
      </c>
    </row>
    <row r="1801" spans="1:11" x14ac:dyDescent="0.45">
      <c r="A1801" t="s">
        <v>89</v>
      </c>
      <c r="B1801" t="s">
        <v>1</v>
      </c>
      <c r="C1801" t="s">
        <v>83</v>
      </c>
      <c r="D1801" t="s">
        <v>84</v>
      </c>
      <c r="E1801" t="s">
        <v>25</v>
      </c>
      <c r="F1801" t="s">
        <v>84</v>
      </c>
      <c r="G1801" t="s">
        <v>26</v>
      </c>
      <c r="H1801" t="s">
        <v>81</v>
      </c>
      <c r="I1801">
        <v>2035</v>
      </c>
      <c r="J1801">
        <v>4.3400000000000001E-2</v>
      </c>
      <c r="K1801" t="s">
        <v>84</v>
      </c>
    </row>
    <row r="1802" spans="1:11" x14ac:dyDescent="0.45">
      <c r="A1802" t="s">
        <v>89</v>
      </c>
      <c r="B1802" t="s">
        <v>1</v>
      </c>
      <c r="C1802" t="s">
        <v>83</v>
      </c>
      <c r="D1802" t="s">
        <v>84</v>
      </c>
      <c r="E1802" t="s">
        <v>25</v>
      </c>
      <c r="F1802" t="s">
        <v>84</v>
      </c>
      <c r="G1802" t="s">
        <v>26</v>
      </c>
      <c r="H1802" t="s">
        <v>81</v>
      </c>
      <c r="I1802">
        <v>2040</v>
      </c>
      <c r="J1802">
        <v>4.3900000000000002E-2</v>
      </c>
      <c r="K1802" t="s">
        <v>84</v>
      </c>
    </row>
    <row r="1803" spans="1:11" x14ac:dyDescent="0.45">
      <c r="A1803" t="s">
        <v>89</v>
      </c>
      <c r="B1803" t="s">
        <v>1</v>
      </c>
      <c r="C1803" t="s">
        <v>83</v>
      </c>
      <c r="D1803" t="s">
        <v>84</v>
      </c>
      <c r="E1803" t="s">
        <v>25</v>
      </c>
      <c r="F1803" t="s">
        <v>84</v>
      </c>
      <c r="G1803" t="s">
        <v>26</v>
      </c>
      <c r="H1803" t="s">
        <v>81</v>
      </c>
      <c r="I1803">
        <v>2045</v>
      </c>
      <c r="J1803">
        <v>4.2500000000000003E-2</v>
      </c>
      <c r="K1803" t="s">
        <v>84</v>
      </c>
    </row>
    <row r="1804" spans="1:11" x14ac:dyDescent="0.45">
      <c r="A1804" t="s">
        <v>89</v>
      </c>
      <c r="B1804" t="s">
        <v>1</v>
      </c>
      <c r="C1804" t="s">
        <v>83</v>
      </c>
      <c r="D1804" t="s">
        <v>84</v>
      </c>
      <c r="E1804" t="s">
        <v>25</v>
      </c>
      <c r="F1804" t="s">
        <v>84</v>
      </c>
      <c r="G1804" t="s">
        <v>26</v>
      </c>
      <c r="H1804" t="s">
        <v>81</v>
      </c>
      <c r="I1804">
        <v>2050</v>
      </c>
      <c r="J1804">
        <v>5.0250000000000003E-2</v>
      </c>
      <c r="K1804" t="s">
        <v>84</v>
      </c>
    </row>
    <row r="1805" spans="1:11" x14ac:dyDescent="0.45">
      <c r="A1805" t="s">
        <v>89</v>
      </c>
      <c r="B1805" t="s">
        <v>1</v>
      </c>
      <c r="C1805" t="s">
        <v>83</v>
      </c>
      <c r="D1805" t="s">
        <v>84</v>
      </c>
      <c r="E1805" t="s">
        <v>25</v>
      </c>
      <c r="F1805" t="s">
        <v>84</v>
      </c>
      <c r="G1805" t="s">
        <v>26</v>
      </c>
      <c r="H1805" t="s">
        <v>81</v>
      </c>
      <c r="I1805">
        <v>2055</v>
      </c>
      <c r="J1805">
        <v>5.9249999999999997E-2</v>
      </c>
      <c r="K1805" t="s">
        <v>84</v>
      </c>
    </row>
    <row r="1806" spans="1:11" x14ac:dyDescent="0.45">
      <c r="A1806" t="s">
        <v>89</v>
      </c>
      <c r="B1806" t="s">
        <v>1</v>
      </c>
      <c r="C1806" t="s">
        <v>83</v>
      </c>
      <c r="D1806" t="s">
        <v>84</v>
      </c>
      <c r="E1806" t="s">
        <v>25</v>
      </c>
      <c r="F1806" t="s">
        <v>84</v>
      </c>
      <c r="G1806" t="s">
        <v>26</v>
      </c>
      <c r="H1806" t="s">
        <v>81</v>
      </c>
      <c r="I1806">
        <v>2060</v>
      </c>
      <c r="J1806">
        <v>7.2599999999999998E-2</v>
      </c>
      <c r="K1806" t="s">
        <v>84</v>
      </c>
    </row>
    <row r="1807" spans="1:11" x14ac:dyDescent="0.45">
      <c r="A1807" t="s">
        <v>89</v>
      </c>
      <c r="B1807" t="s">
        <v>1</v>
      </c>
      <c r="C1807" t="s">
        <v>83</v>
      </c>
      <c r="D1807" t="s">
        <v>84</v>
      </c>
      <c r="E1807" t="s">
        <v>25</v>
      </c>
      <c r="F1807" t="s">
        <v>84</v>
      </c>
      <c r="G1807" t="s">
        <v>26</v>
      </c>
      <c r="H1807" t="s">
        <v>81</v>
      </c>
      <c r="I1807">
        <v>2065</v>
      </c>
      <c r="J1807">
        <v>7.485E-2</v>
      </c>
      <c r="K1807" t="s">
        <v>84</v>
      </c>
    </row>
    <row r="1808" spans="1:11" x14ac:dyDescent="0.45">
      <c r="A1808" t="s">
        <v>89</v>
      </c>
      <c r="B1808" t="s">
        <v>1</v>
      </c>
      <c r="C1808" t="s">
        <v>83</v>
      </c>
      <c r="D1808" t="s">
        <v>84</v>
      </c>
      <c r="E1808" t="s">
        <v>25</v>
      </c>
      <c r="F1808" t="s">
        <v>84</v>
      </c>
      <c r="G1808" t="s">
        <v>26</v>
      </c>
      <c r="H1808" t="s">
        <v>81</v>
      </c>
      <c r="I1808">
        <v>2070</v>
      </c>
      <c r="J1808">
        <v>7.5749999999999998E-2</v>
      </c>
      <c r="K1808" t="s">
        <v>84</v>
      </c>
    </row>
    <row r="1809" spans="1:11" x14ac:dyDescent="0.45">
      <c r="A1809" t="s">
        <v>89</v>
      </c>
      <c r="B1809" t="s">
        <v>1</v>
      </c>
      <c r="C1809" t="s">
        <v>83</v>
      </c>
      <c r="D1809" t="s">
        <v>84</v>
      </c>
      <c r="E1809" t="s">
        <v>25</v>
      </c>
      <c r="F1809" t="s">
        <v>84</v>
      </c>
      <c r="G1809" t="s">
        <v>26</v>
      </c>
      <c r="H1809" t="s">
        <v>81</v>
      </c>
      <c r="I1809">
        <v>2075</v>
      </c>
      <c r="J1809">
        <v>9.0900000000000009E-2</v>
      </c>
      <c r="K1809" t="s">
        <v>84</v>
      </c>
    </row>
    <row r="1810" spans="1:11" x14ac:dyDescent="0.45">
      <c r="A1810" t="s">
        <v>89</v>
      </c>
      <c r="B1810" t="s">
        <v>1</v>
      </c>
      <c r="C1810" t="s">
        <v>83</v>
      </c>
      <c r="D1810" t="s">
        <v>84</v>
      </c>
      <c r="E1810" t="s">
        <v>25</v>
      </c>
      <c r="F1810" t="s">
        <v>84</v>
      </c>
      <c r="G1810" t="s">
        <v>26</v>
      </c>
      <c r="H1810" t="s">
        <v>81</v>
      </c>
      <c r="I1810">
        <v>2080</v>
      </c>
      <c r="J1810">
        <v>0.10495</v>
      </c>
      <c r="K1810" t="s">
        <v>84</v>
      </c>
    </row>
    <row r="1811" spans="1:11" x14ac:dyDescent="0.45">
      <c r="A1811" t="s">
        <v>89</v>
      </c>
      <c r="B1811" t="s">
        <v>1</v>
      </c>
      <c r="C1811" t="s">
        <v>83</v>
      </c>
      <c r="D1811" t="s">
        <v>84</v>
      </c>
      <c r="E1811" t="s">
        <v>25</v>
      </c>
      <c r="F1811" t="s">
        <v>84</v>
      </c>
      <c r="G1811" t="s">
        <v>26</v>
      </c>
      <c r="H1811" t="s">
        <v>81</v>
      </c>
      <c r="I1811">
        <v>2085</v>
      </c>
      <c r="J1811">
        <v>0.11645</v>
      </c>
      <c r="K1811" t="s">
        <v>84</v>
      </c>
    </row>
    <row r="1812" spans="1:11" x14ac:dyDescent="0.45">
      <c r="A1812" t="s">
        <v>89</v>
      </c>
      <c r="B1812" t="s">
        <v>1</v>
      </c>
      <c r="C1812" t="s">
        <v>83</v>
      </c>
      <c r="D1812" t="s">
        <v>84</v>
      </c>
      <c r="E1812" t="s">
        <v>25</v>
      </c>
      <c r="F1812" t="s">
        <v>84</v>
      </c>
      <c r="G1812" t="s">
        <v>26</v>
      </c>
      <c r="H1812" t="s">
        <v>81</v>
      </c>
      <c r="I1812">
        <v>2090</v>
      </c>
      <c r="J1812">
        <v>0.1255</v>
      </c>
      <c r="K1812" t="s">
        <v>84</v>
      </c>
    </row>
    <row r="1813" spans="1:11" x14ac:dyDescent="0.45">
      <c r="A1813" t="s">
        <v>89</v>
      </c>
      <c r="B1813" t="s">
        <v>1</v>
      </c>
      <c r="C1813" t="s">
        <v>83</v>
      </c>
      <c r="D1813" t="s">
        <v>84</v>
      </c>
      <c r="E1813" t="s">
        <v>25</v>
      </c>
      <c r="F1813" t="s">
        <v>84</v>
      </c>
      <c r="G1813" t="s">
        <v>26</v>
      </c>
      <c r="H1813" t="s">
        <v>81</v>
      </c>
      <c r="I1813">
        <v>2095</v>
      </c>
      <c r="J1813">
        <v>0.12884999999999999</v>
      </c>
      <c r="K1813" t="s">
        <v>84</v>
      </c>
    </row>
    <row r="1814" spans="1:11" x14ac:dyDescent="0.45">
      <c r="A1814" t="s">
        <v>89</v>
      </c>
      <c r="B1814" t="s">
        <v>1</v>
      </c>
      <c r="C1814" t="s">
        <v>83</v>
      </c>
      <c r="D1814" t="s">
        <v>84</v>
      </c>
      <c r="E1814" t="s">
        <v>25</v>
      </c>
      <c r="F1814" t="s">
        <v>84</v>
      </c>
      <c r="G1814" t="s">
        <v>26</v>
      </c>
      <c r="H1814" t="s">
        <v>81</v>
      </c>
      <c r="I1814">
        <v>2100</v>
      </c>
      <c r="J1814">
        <v>0.13255</v>
      </c>
      <c r="K1814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65</v>
      </c>
      <c r="G1" t="s">
        <v>22</v>
      </c>
      <c r="H1" t="s">
        <v>8</v>
      </c>
      <c r="I1" t="s">
        <v>61</v>
      </c>
      <c r="J1" t="s">
        <v>62</v>
      </c>
      <c r="K1" t="s">
        <v>66</v>
      </c>
      <c r="L1" t="s">
        <v>67</v>
      </c>
    </row>
    <row r="2" spans="1:12" x14ac:dyDescent="0.45">
      <c r="A2" t="s">
        <v>23</v>
      </c>
      <c r="B2" t="s">
        <v>3</v>
      </c>
      <c r="C2" t="s">
        <v>83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83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83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1.6163000000000001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83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5.1311999999999998</v>
      </c>
      <c r="K5" t="s">
        <v>45</v>
      </c>
    </row>
    <row r="6" spans="1:12" x14ac:dyDescent="0.45">
      <c r="A6" t="s">
        <v>23</v>
      </c>
      <c r="B6" t="s">
        <v>3</v>
      </c>
      <c r="C6" t="s">
        <v>83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10.6107</v>
      </c>
      <c r="K6" t="s">
        <v>45</v>
      </c>
    </row>
    <row r="7" spans="1:12" x14ac:dyDescent="0.45">
      <c r="A7" t="s">
        <v>23</v>
      </c>
      <c r="B7" t="s">
        <v>3</v>
      </c>
      <c r="C7" t="s">
        <v>83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15.7049</v>
      </c>
      <c r="K7" t="s">
        <v>45</v>
      </c>
    </row>
    <row r="8" spans="1:12" x14ac:dyDescent="0.45">
      <c r="A8" t="s">
        <v>23</v>
      </c>
      <c r="B8" t="s">
        <v>3</v>
      </c>
      <c r="C8" t="s">
        <v>83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23.346499999999999</v>
      </c>
      <c r="K8" t="s">
        <v>45</v>
      </c>
    </row>
    <row r="9" spans="1:12" x14ac:dyDescent="0.45">
      <c r="A9" t="s">
        <v>23</v>
      </c>
      <c r="B9" t="s">
        <v>3</v>
      </c>
      <c r="C9" t="s">
        <v>83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0.1246</v>
      </c>
      <c r="K9" t="s">
        <v>24</v>
      </c>
    </row>
    <row r="10" spans="1:12" x14ac:dyDescent="0.45">
      <c r="A10" t="s">
        <v>23</v>
      </c>
      <c r="B10" t="s">
        <v>3</v>
      </c>
      <c r="C10" t="s">
        <v>83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0.1457</v>
      </c>
      <c r="K10" t="s">
        <v>24</v>
      </c>
    </row>
    <row r="11" spans="1:12" x14ac:dyDescent="0.45">
      <c r="A11" t="s">
        <v>23</v>
      </c>
      <c r="B11" t="s">
        <v>3</v>
      </c>
      <c r="C11" t="s">
        <v>83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0.16250000000000001</v>
      </c>
      <c r="K11" t="s">
        <v>24</v>
      </c>
    </row>
    <row r="12" spans="1:12" x14ac:dyDescent="0.45">
      <c r="A12" t="s">
        <v>23</v>
      </c>
      <c r="B12" t="s">
        <v>3</v>
      </c>
      <c r="C12" t="s">
        <v>83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0.15590000000000001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83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0.17630000000000001</v>
      </c>
      <c r="K13" t="s">
        <v>24</v>
      </c>
    </row>
    <row r="14" spans="1:12" x14ac:dyDescent="0.45">
      <c r="A14" t="s">
        <v>23</v>
      </c>
      <c r="B14" t="s">
        <v>3</v>
      </c>
      <c r="C14" t="s">
        <v>83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0.25190000000000001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83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0.2666</v>
      </c>
      <c r="K15" t="s">
        <v>24</v>
      </c>
    </row>
    <row r="16" spans="1:12" x14ac:dyDescent="0.45">
      <c r="A16" t="s">
        <v>23</v>
      </c>
      <c r="B16" t="s">
        <v>3</v>
      </c>
      <c r="C16" t="s">
        <v>83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0.1176</v>
      </c>
      <c r="K16" t="s">
        <v>28</v>
      </c>
    </row>
    <row r="17" spans="1:11" x14ac:dyDescent="0.45">
      <c r="A17" t="s">
        <v>23</v>
      </c>
      <c r="B17" t="s">
        <v>3</v>
      </c>
      <c r="C17" t="s">
        <v>83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0.1459</v>
      </c>
      <c r="K17" t="s">
        <v>28</v>
      </c>
    </row>
    <row r="18" spans="1:11" x14ac:dyDescent="0.45">
      <c r="A18" t="s">
        <v>23</v>
      </c>
      <c r="B18" t="s">
        <v>3</v>
      </c>
      <c r="C18" t="s">
        <v>83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0.1787</v>
      </c>
      <c r="K18" t="s">
        <v>28</v>
      </c>
    </row>
    <row r="19" spans="1:11" x14ac:dyDescent="0.45">
      <c r="A19" t="s">
        <v>23</v>
      </c>
      <c r="B19" t="s">
        <v>3</v>
      </c>
      <c r="C19" t="s">
        <v>83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0.23580000000000001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83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0.26540000000000002</v>
      </c>
      <c r="K20" t="s">
        <v>28</v>
      </c>
    </row>
    <row r="21" spans="1:11" x14ac:dyDescent="0.45">
      <c r="A21" t="s">
        <v>23</v>
      </c>
      <c r="B21" t="s">
        <v>3</v>
      </c>
      <c r="C21" t="s">
        <v>83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0.34949999999999998</v>
      </c>
      <c r="K21" t="s">
        <v>28</v>
      </c>
    </row>
    <row r="22" spans="1:11" x14ac:dyDescent="0.45">
      <c r="A22" t="s">
        <v>23</v>
      </c>
      <c r="B22" t="s">
        <v>3</v>
      </c>
      <c r="C22" t="s">
        <v>83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0.41160000000000002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83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2.5899999999999999E-2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83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2.3699999999999999E-2</v>
      </c>
      <c r="K24" t="s">
        <v>27</v>
      </c>
    </row>
    <row r="25" spans="1:11" x14ac:dyDescent="0.45">
      <c r="A25" t="s">
        <v>23</v>
      </c>
      <c r="B25" t="s">
        <v>3</v>
      </c>
      <c r="C25" t="s">
        <v>83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3.5200000000000002E-2</v>
      </c>
      <c r="K25" t="s">
        <v>27</v>
      </c>
    </row>
    <row r="26" spans="1:11" x14ac:dyDescent="0.45">
      <c r="A26" t="s">
        <v>23</v>
      </c>
      <c r="B26" t="s">
        <v>3</v>
      </c>
      <c r="C26" t="s">
        <v>83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6.4699999999999994E-2</v>
      </c>
      <c r="K26" t="s">
        <v>27</v>
      </c>
    </row>
    <row r="27" spans="1:11" x14ac:dyDescent="0.45">
      <c r="A27" t="s">
        <v>23</v>
      </c>
      <c r="B27" t="s">
        <v>3</v>
      </c>
      <c r="C27" t="s">
        <v>83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0.16109999999999999</v>
      </c>
      <c r="K27" t="s">
        <v>27</v>
      </c>
    </row>
    <row r="28" spans="1:11" x14ac:dyDescent="0.45">
      <c r="A28" t="s">
        <v>23</v>
      </c>
      <c r="B28" t="s">
        <v>3</v>
      </c>
      <c r="C28" t="s">
        <v>83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0.2445</v>
      </c>
      <c r="K28" t="s">
        <v>27</v>
      </c>
    </row>
    <row r="29" spans="1:11" x14ac:dyDescent="0.45">
      <c r="A29" t="s">
        <v>23</v>
      </c>
      <c r="B29" t="s">
        <v>3</v>
      </c>
      <c r="C29" t="s">
        <v>83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0.29039999999999999</v>
      </c>
      <c r="K29" t="s">
        <v>27</v>
      </c>
    </row>
    <row r="30" spans="1:11" x14ac:dyDescent="0.45">
      <c r="A30" t="s">
        <v>23</v>
      </c>
      <c r="B30" t="s">
        <v>3</v>
      </c>
      <c r="C30" t="s">
        <v>83</v>
      </c>
      <c r="D30" t="s">
        <v>84</v>
      </c>
      <c r="E30" t="s">
        <v>25</v>
      </c>
      <c r="F30" t="s">
        <v>84</v>
      </c>
      <c r="G30" t="s">
        <v>26</v>
      </c>
      <c r="H30" t="s">
        <v>81</v>
      </c>
      <c r="I30">
        <v>2020</v>
      </c>
      <c r="J30">
        <v>0</v>
      </c>
      <c r="K30" t="s">
        <v>84</v>
      </c>
    </row>
    <row r="31" spans="1:11" x14ac:dyDescent="0.45">
      <c r="A31" t="s">
        <v>23</v>
      </c>
      <c r="B31" t="s">
        <v>3</v>
      </c>
      <c r="C31" t="s">
        <v>83</v>
      </c>
      <c r="D31" t="s">
        <v>84</v>
      </c>
      <c r="E31" t="s">
        <v>25</v>
      </c>
      <c r="F31" t="s">
        <v>84</v>
      </c>
      <c r="G31" t="s">
        <v>26</v>
      </c>
      <c r="H31" t="s">
        <v>81</v>
      </c>
      <c r="I31">
        <v>2025</v>
      </c>
      <c r="J31">
        <v>0</v>
      </c>
      <c r="K31" t="s">
        <v>84</v>
      </c>
    </row>
    <row r="32" spans="1:11" x14ac:dyDescent="0.45">
      <c r="A32" t="s">
        <v>23</v>
      </c>
      <c r="B32" t="s">
        <v>3</v>
      </c>
      <c r="C32" t="s">
        <v>83</v>
      </c>
      <c r="D32" t="s">
        <v>84</v>
      </c>
      <c r="E32" t="s">
        <v>25</v>
      </c>
      <c r="F32" t="s">
        <v>84</v>
      </c>
      <c r="G32" t="s">
        <v>26</v>
      </c>
      <c r="H32" t="s">
        <v>81</v>
      </c>
      <c r="I32">
        <v>2030</v>
      </c>
      <c r="J32">
        <v>0</v>
      </c>
      <c r="K32" t="s">
        <v>84</v>
      </c>
    </row>
    <row r="33" spans="1:12" x14ac:dyDescent="0.45">
      <c r="A33" t="s">
        <v>23</v>
      </c>
      <c r="B33" t="s">
        <v>3</v>
      </c>
      <c r="C33" t="s">
        <v>83</v>
      </c>
      <c r="D33" t="s">
        <v>84</v>
      </c>
      <c r="E33" t="s">
        <v>25</v>
      </c>
      <c r="F33" t="s">
        <v>84</v>
      </c>
      <c r="G33" t="s">
        <v>26</v>
      </c>
      <c r="H33" t="s">
        <v>81</v>
      </c>
      <c r="I33">
        <v>2035</v>
      </c>
      <c r="J33">
        <v>2.3E-3</v>
      </c>
      <c r="K33" t="s">
        <v>84</v>
      </c>
    </row>
    <row r="34" spans="1:12" x14ac:dyDescent="0.45">
      <c r="A34" t="s">
        <v>23</v>
      </c>
      <c r="B34" t="s">
        <v>3</v>
      </c>
      <c r="C34" t="s">
        <v>83</v>
      </c>
      <c r="D34" t="s">
        <v>84</v>
      </c>
      <c r="E34" t="s">
        <v>25</v>
      </c>
      <c r="F34" t="s">
        <v>84</v>
      </c>
      <c r="G34" t="s">
        <v>26</v>
      </c>
      <c r="H34" t="s">
        <v>81</v>
      </c>
      <c r="I34">
        <v>2040</v>
      </c>
      <c r="J34">
        <v>1.04E-2</v>
      </c>
      <c r="K34" t="s">
        <v>84</v>
      </c>
    </row>
    <row r="35" spans="1:12" x14ac:dyDescent="0.45">
      <c r="A35" t="s">
        <v>23</v>
      </c>
      <c r="B35" t="s">
        <v>3</v>
      </c>
      <c r="C35" t="s">
        <v>83</v>
      </c>
      <c r="D35" t="s">
        <v>84</v>
      </c>
      <c r="E35" t="s">
        <v>25</v>
      </c>
      <c r="F35" t="s">
        <v>84</v>
      </c>
      <c r="G35" t="s">
        <v>26</v>
      </c>
      <c r="H35" t="s">
        <v>81</v>
      </c>
      <c r="I35">
        <v>2045</v>
      </c>
      <c r="J35">
        <v>2.3400000000000001E-2</v>
      </c>
      <c r="K35" t="s">
        <v>84</v>
      </c>
    </row>
    <row r="36" spans="1:12" x14ac:dyDescent="0.45">
      <c r="A36" t="s">
        <v>23</v>
      </c>
      <c r="B36" t="s">
        <v>3</v>
      </c>
      <c r="C36" t="s">
        <v>83</v>
      </c>
      <c r="D36" t="s">
        <v>84</v>
      </c>
      <c r="E36" t="s">
        <v>25</v>
      </c>
      <c r="F36" t="s">
        <v>84</v>
      </c>
      <c r="G36" t="s">
        <v>26</v>
      </c>
      <c r="H36" t="s">
        <v>81</v>
      </c>
      <c r="I36">
        <v>2050</v>
      </c>
      <c r="J36">
        <v>5.0299999999999997E-2</v>
      </c>
      <c r="K36" t="s">
        <v>84</v>
      </c>
    </row>
    <row r="37" spans="1:12" x14ac:dyDescent="0.45">
      <c r="A37" t="s">
        <v>23</v>
      </c>
      <c r="B37" t="s">
        <v>3</v>
      </c>
      <c r="C37" t="s">
        <v>83</v>
      </c>
      <c r="D37" t="s">
        <v>68</v>
      </c>
      <c r="E37" t="s">
        <v>69</v>
      </c>
      <c r="F37" t="s">
        <v>52</v>
      </c>
      <c r="G37" t="s">
        <v>70</v>
      </c>
      <c r="I37">
        <v>2020</v>
      </c>
      <c r="J37">
        <v>31.217400000000001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83</v>
      </c>
      <c r="D38" t="s">
        <v>68</v>
      </c>
      <c r="E38" t="s">
        <v>69</v>
      </c>
      <c r="F38" t="s">
        <v>52</v>
      </c>
      <c r="G38" t="s">
        <v>70</v>
      </c>
      <c r="I38">
        <v>2025</v>
      </c>
      <c r="J38">
        <v>35.165399999999998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83</v>
      </c>
      <c r="D39" t="s">
        <v>68</v>
      </c>
      <c r="E39" t="s">
        <v>69</v>
      </c>
      <c r="F39" t="s">
        <v>52</v>
      </c>
      <c r="G39" t="s">
        <v>70</v>
      </c>
      <c r="I39">
        <v>2030</v>
      </c>
      <c r="J39">
        <v>9.3718000000000004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83</v>
      </c>
      <c r="D40" t="s">
        <v>68</v>
      </c>
      <c r="E40" t="s">
        <v>69</v>
      </c>
      <c r="F40" t="s">
        <v>52</v>
      </c>
      <c r="G40" t="s">
        <v>70</v>
      </c>
      <c r="I40">
        <v>2035</v>
      </c>
      <c r="J40">
        <v>2.4628000000000001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83</v>
      </c>
      <c r="D41" t="s">
        <v>68</v>
      </c>
      <c r="E41" t="s">
        <v>69</v>
      </c>
      <c r="F41" t="s">
        <v>52</v>
      </c>
      <c r="G41" t="s">
        <v>70</v>
      </c>
      <c r="I41">
        <v>2040</v>
      </c>
      <c r="J41">
        <v>1.3724000000000001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83</v>
      </c>
      <c r="D42" t="s">
        <v>68</v>
      </c>
      <c r="E42" t="s">
        <v>69</v>
      </c>
      <c r="F42" t="s">
        <v>52</v>
      </c>
      <c r="G42" t="s">
        <v>70</v>
      </c>
      <c r="I42">
        <v>2045</v>
      </c>
      <c r="J42">
        <v>0.99639999999999995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83</v>
      </c>
      <c r="D43" t="s">
        <v>68</v>
      </c>
      <c r="E43" t="s">
        <v>69</v>
      </c>
      <c r="F43" t="s">
        <v>52</v>
      </c>
      <c r="G43" t="s">
        <v>70</v>
      </c>
      <c r="I43">
        <v>2050</v>
      </c>
      <c r="J43">
        <v>5.6399999999999992E-2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83</v>
      </c>
      <c r="D44" t="s">
        <v>68</v>
      </c>
      <c r="E44" t="s">
        <v>69</v>
      </c>
      <c r="F44" t="s">
        <v>53</v>
      </c>
      <c r="G44" t="s">
        <v>70</v>
      </c>
      <c r="I44">
        <v>2020</v>
      </c>
      <c r="J44">
        <v>2.629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83</v>
      </c>
      <c r="D45" t="s">
        <v>68</v>
      </c>
      <c r="E45" t="s">
        <v>69</v>
      </c>
      <c r="F45" t="s">
        <v>53</v>
      </c>
      <c r="G45" t="s">
        <v>70</v>
      </c>
      <c r="I45">
        <v>2025</v>
      </c>
      <c r="J45">
        <v>5.1755000000000004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83</v>
      </c>
      <c r="D46" t="s">
        <v>68</v>
      </c>
      <c r="E46" t="s">
        <v>69</v>
      </c>
      <c r="F46" t="s">
        <v>53</v>
      </c>
      <c r="G46" t="s">
        <v>70</v>
      </c>
      <c r="I46">
        <v>2030</v>
      </c>
      <c r="J46">
        <v>6.16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83</v>
      </c>
      <c r="D47" t="s">
        <v>68</v>
      </c>
      <c r="E47" t="s">
        <v>69</v>
      </c>
      <c r="F47" t="s">
        <v>53</v>
      </c>
      <c r="G47" t="s">
        <v>70</v>
      </c>
      <c r="I47">
        <v>2035</v>
      </c>
      <c r="J47">
        <v>5.1920000000000002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83</v>
      </c>
      <c r="D48" t="s">
        <v>68</v>
      </c>
      <c r="E48" t="s">
        <v>69</v>
      </c>
      <c r="F48" t="s">
        <v>53</v>
      </c>
      <c r="G48" t="s">
        <v>70</v>
      </c>
      <c r="I48">
        <v>2040</v>
      </c>
      <c r="J48">
        <v>7.4744999999999999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83</v>
      </c>
      <c r="D49" t="s">
        <v>68</v>
      </c>
      <c r="E49" t="s">
        <v>69</v>
      </c>
      <c r="F49" t="s">
        <v>53</v>
      </c>
      <c r="G49" t="s">
        <v>70</v>
      </c>
      <c r="I49">
        <v>2045</v>
      </c>
      <c r="J49">
        <v>7.5734999999999992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83</v>
      </c>
      <c r="D50" t="s">
        <v>68</v>
      </c>
      <c r="E50" t="s">
        <v>69</v>
      </c>
      <c r="F50" t="s">
        <v>53</v>
      </c>
      <c r="G50" t="s">
        <v>70</v>
      </c>
      <c r="I50">
        <v>2050</v>
      </c>
      <c r="J50">
        <v>7.1335000000000006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83</v>
      </c>
      <c r="D51" t="s">
        <v>68</v>
      </c>
      <c r="E51" t="s">
        <v>69</v>
      </c>
      <c r="F51" t="s">
        <v>54</v>
      </c>
      <c r="G51" t="s">
        <v>70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83</v>
      </c>
      <c r="D52" t="s">
        <v>68</v>
      </c>
      <c r="E52" t="s">
        <v>69</v>
      </c>
      <c r="F52" t="s">
        <v>54</v>
      </c>
      <c r="G52" t="s">
        <v>70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83</v>
      </c>
      <c r="D53" t="s">
        <v>68</v>
      </c>
      <c r="E53" t="s">
        <v>69</v>
      </c>
      <c r="F53" t="s">
        <v>54</v>
      </c>
      <c r="G53" t="s">
        <v>70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83</v>
      </c>
      <c r="D54" t="s">
        <v>68</v>
      </c>
      <c r="E54" t="s">
        <v>69</v>
      </c>
      <c r="F54" t="s">
        <v>54</v>
      </c>
      <c r="G54" t="s">
        <v>70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83</v>
      </c>
      <c r="D55" t="s">
        <v>68</v>
      </c>
      <c r="E55" t="s">
        <v>69</v>
      </c>
      <c r="F55" t="s">
        <v>54</v>
      </c>
      <c r="G55" t="s">
        <v>70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83</v>
      </c>
      <c r="D56" t="s">
        <v>68</v>
      </c>
      <c r="E56" t="s">
        <v>69</v>
      </c>
      <c r="F56" t="s">
        <v>54</v>
      </c>
      <c r="G56" t="s">
        <v>70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83</v>
      </c>
      <c r="D57" t="s">
        <v>68</v>
      </c>
      <c r="E57" t="s">
        <v>69</v>
      </c>
      <c r="F57" t="s">
        <v>54</v>
      </c>
      <c r="G57" t="s">
        <v>70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83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1.4567000000000001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83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1.5658000000000001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83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4.8304</v>
      </c>
      <c r="K60" t="s">
        <v>29</v>
      </c>
    </row>
    <row r="61" spans="1:12" x14ac:dyDescent="0.45">
      <c r="A61" t="s">
        <v>23</v>
      </c>
      <c r="B61" t="s">
        <v>3</v>
      </c>
      <c r="C61" t="s">
        <v>83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5.4627999999999997</v>
      </c>
      <c r="K61" t="s">
        <v>29</v>
      </c>
    </row>
    <row r="62" spans="1:12" x14ac:dyDescent="0.45">
      <c r="A62" t="s">
        <v>23</v>
      </c>
      <c r="B62" t="s">
        <v>3</v>
      </c>
      <c r="C62" t="s">
        <v>83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8.1446000000000005</v>
      </c>
      <c r="K62" t="s">
        <v>29</v>
      </c>
    </row>
    <row r="63" spans="1:12" x14ac:dyDescent="0.45">
      <c r="A63" t="s">
        <v>23</v>
      </c>
      <c r="B63" t="s">
        <v>3</v>
      </c>
      <c r="C63" t="s">
        <v>83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7.3426</v>
      </c>
      <c r="K63" t="s">
        <v>29</v>
      </c>
    </row>
    <row r="64" spans="1:12" x14ac:dyDescent="0.45">
      <c r="A64" t="s">
        <v>23</v>
      </c>
      <c r="B64" t="s">
        <v>3</v>
      </c>
      <c r="C64" t="s">
        <v>83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8.3400999999999996</v>
      </c>
      <c r="K64" t="s">
        <v>29</v>
      </c>
    </row>
    <row r="65" spans="1:11" x14ac:dyDescent="0.45">
      <c r="A65" t="s">
        <v>23</v>
      </c>
      <c r="B65" t="s">
        <v>3</v>
      </c>
      <c r="C65" t="s">
        <v>83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1.2613000000000001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83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1.2619</v>
      </c>
      <c r="K66" t="s">
        <v>33</v>
      </c>
    </row>
    <row r="67" spans="1:11" x14ac:dyDescent="0.45">
      <c r="A67" t="s">
        <v>23</v>
      </c>
      <c r="B67" t="s">
        <v>3</v>
      </c>
      <c r="C67" t="s">
        <v>83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1.6134999999999999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83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2.3338999999999999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83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83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83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2.4314</v>
      </c>
      <c r="K71" t="s">
        <v>33</v>
      </c>
    </row>
    <row r="72" spans="1:11" x14ac:dyDescent="0.45">
      <c r="A72" t="s">
        <v>23</v>
      </c>
      <c r="B72" t="s">
        <v>3</v>
      </c>
      <c r="C72" t="s">
        <v>83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2.1600999999999999</v>
      </c>
      <c r="K72" t="s">
        <v>35</v>
      </c>
    </row>
    <row r="73" spans="1:11" x14ac:dyDescent="0.45">
      <c r="A73" t="s">
        <v>23</v>
      </c>
      <c r="B73" t="s">
        <v>3</v>
      </c>
      <c r="C73" t="s">
        <v>83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2.2212000000000001</v>
      </c>
      <c r="K73" t="s">
        <v>35</v>
      </c>
    </row>
    <row r="74" spans="1:11" x14ac:dyDescent="0.45">
      <c r="A74" t="s">
        <v>23</v>
      </c>
      <c r="B74" t="s">
        <v>3</v>
      </c>
      <c r="C74" t="s">
        <v>83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2.4499</v>
      </c>
      <c r="K74" t="s">
        <v>35</v>
      </c>
    </row>
    <row r="75" spans="1:11" x14ac:dyDescent="0.45">
      <c r="A75" t="s">
        <v>23</v>
      </c>
      <c r="B75" t="s">
        <v>3</v>
      </c>
      <c r="C75" t="s">
        <v>83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2.6602000000000001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83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2.8797000000000001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83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3.2082000000000002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83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3.5455000000000001</v>
      </c>
      <c r="K78" t="s">
        <v>35</v>
      </c>
    </row>
    <row r="79" spans="1:11" x14ac:dyDescent="0.45">
      <c r="A79" t="s">
        <v>23</v>
      </c>
      <c r="B79" t="s">
        <v>3</v>
      </c>
      <c r="C79" t="s">
        <v>83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2.2349999999999999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83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4.0782999999999996</v>
      </c>
      <c r="K80" t="s">
        <v>37</v>
      </c>
    </row>
    <row r="81" spans="1:11" x14ac:dyDescent="0.45">
      <c r="A81" t="s">
        <v>23</v>
      </c>
      <c r="B81" t="s">
        <v>3</v>
      </c>
      <c r="C81" t="s">
        <v>83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3.577</v>
      </c>
      <c r="K81" t="s">
        <v>37</v>
      </c>
    </row>
    <row r="82" spans="1:11" x14ac:dyDescent="0.45">
      <c r="A82" t="s">
        <v>23</v>
      </c>
      <c r="B82" t="s">
        <v>3</v>
      </c>
      <c r="C82" t="s">
        <v>83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4.1816000000000004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83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4.1230000000000002</v>
      </c>
      <c r="K83" t="s">
        <v>37</v>
      </c>
    </row>
    <row r="84" spans="1:11" x14ac:dyDescent="0.45">
      <c r="A84" t="s">
        <v>23</v>
      </c>
      <c r="B84" t="s">
        <v>3</v>
      </c>
      <c r="C84" t="s">
        <v>83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4.7144000000000004</v>
      </c>
      <c r="K84" t="s">
        <v>37</v>
      </c>
    </row>
    <row r="85" spans="1:11" x14ac:dyDescent="0.45">
      <c r="A85" t="s">
        <v>23</v>
      </c>
      <c r="B85" t="s">
        <v>3</v>
      </c>
      <c r="C85" t="s">
        <v>83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4.6586999999999996</v>
      </c>
      <c r="K85" t="s">
        <v>37</v>
      </c>
    </row>
    <row r="86" spans="1:11" x14ac:dyDescent="0.45">
      <c r="A86" t="s">
        <v>23</v>
      </c>
      <c r="B86" t="s">
        <v>3</v>
      </c>
      <c r="C86" t="s">
        <v>83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269.02809999999999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83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282.03190000000001</v>
      </c>
      <c r="K87" t="s">
        <v>48</v>
      </c>
    </row>
    <row r="88" spans="1:11" x14ac:dyDescent="0.45">
      <c r="A88" t="s">
        <v>23</v>
      </c>
      <c r="B88" t="s">
        <v>3</v>
      </c>
      <c r="C88" t="s">
        <v>83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191.4212</v>
      </c>
      <c r="K88" t="s">
        <v>48</v>
      </c>
    </row>
    <row r="89" spans="1:11" x14ac:dyDescent="0.45">
      <c r="A89" t="s">
        <v>23</v>
      </c>
      <c r="B89" t="s">
        <v>3</v>
      </c>
      <c r="C89" t="s">
        <v>83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148.4468</v>
      </c>
      <c r="K89" t="s">
        <v>48</v>
      </c>
    </row>
    <row r="90" spans="1:11" x14ac:dyDescent="0.45">
      <c r="A90" t="s">
        <v>23</v>
      </c>
      <c r="B90" t="s">
        <v>3</v>
      </c>
      <c r="C90" t="s">
        <v>83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122.35939999999999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83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94.116200000000006</v>
      </c>
      <c r="K91" t="s">
        <v>48</v>
      </c>
    </row>
    <row r="92" spans="1:11" x14ac:dyDescent="0.45">
      <c r="A92" t="s">
        <v>23</v>
      </c>
      <c r="B92" t="s">
        <v>3</v>
      </c>
      <c r="C92" t="s">
        <v>83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71.230800000000002</v>
      </c>
      <c r="K92" t="s">
        <v>48</v>
      </c>
    </row>
    <row r="93" spans="1:11" x14ac:dyDescent="0.45">
      <c r="A93" t="s">
        <v>23</v>
      </c>
      <c r="B93" t="s">
        <v>3</v>
      </c>
      <c r="C93" t="s">
        <v>83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222.6388</v>
      </c>
      <c r="K93" t="s">
        <v>51</v>
      </c>
    </row>
    <row r="94" spans="1:11" x14ac:dyDescent="0.45">
      <c r="A94" t="s">
        <v>23</v>
      </c>
      <c r="B94" t="s">
        <v>3</v>
      </c>
      <c r="C94" t="s">
        <v>83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237.9674</v>
      </c>
      <c r="K94" t="s">
        <v>51</v>
      </c>
    </row>
    <row r="95" spans="1:11" x14ac:dyDescent="0.45">
      <c r="A95" t="s">
        <v>23</v>
      </c>
      <c r="B95" t="s">
        <v>3</v>
      </c>
      <c r="C95" t="s">
        <v>83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159.25450000000001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83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128.56469999999999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83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114.0338</v>
      </c>
      <c r="K97" t="s">
        <v>51</v>
      </c>
    </row>
    <row r="98" spans="1:11" x14ac:dyDescent="0.45">
      <c r="A98" t="s">
        <v>23</v>
      </c>
      <c r="B98" t="s">
        <v>3</v>
      </c>
      <c r="C98" t="s">
        <v>83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89.843000000000004</v>
      </c>
      <c r="K98" t="s">
        <v>51</v>
      </c>
    </row>
    <row r="99" spans="1:11" x14ac:dyDescent="0.45">
      <c r="A99" t="s">
        <v>23</v>
      </c>
      <c r="B99" t="s">
        <v>3</v>
      </c>
      <c r="C99" t="s">
        <v>83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71.863399999999999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83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83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83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83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83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83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83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83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0.13500000000000001</v>
      </c>
      <c r="K107" t="s">
        <v>24</v>
      </c>
    </row>
    <row r="108" spans="1:11" x14ac:dyDescent="0.45">
      <c r="A108" t="s">
        <v>23</v>
      </c>
      <c r="B108" t="s">
        <v>4</v>
      </c>
      <c r="C108" t="s">
        <v>83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0.12039999999999999</v>
      </c>
      <c r="K108" t="s">
        <v>24</v>
      </c>
    </row>
    <row r="109" spans="1:11" x14ac:dyDescent="0.45">
      <c r="A109" t="s">
        <v>23</v>
      </c>
      <c r="B109" t="s">
        <v>4</v>
      </c>
      <c r="C109" t="s">
        <v>83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0.12429999999999999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83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0.124</v>
      </c>
      <c r="K110" t="s">
        <v>24</v>
      </c>
    </row>
    <row r="111" spans="1:11" x14ac:dyDescent="0.45">
      <c r="A111" t="s">
        <v>23</v>
      </c>
      <c r="B111" t="s">
        <v>4</v>
      </c>
      <c r="C111" t="s">
        <v>83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0.1109</v>
      </c>
      <c r="K111" t="s">
        <v>24</v>
      </c>
    </row>
    <row r="112" spans="1:11" x14ac:dyDescent="0.45">
      <c r="A112" t="s">
        <v>23</v>
      </c>
      <c r="B112" t="s">
        <v>4</v>
      </c>
      <c r="C112" t="s">
        <v>83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0.104</v>
      </c>
      <c r="K112" t="s">
        <v>24</v>
      </c>
    </row>
    <row r="113" spans="1:11" x14ac:dyDescent="0.45">
      <c r="A113" t="s">
        <v>23</v>
      </c>
      <c r="B113" t="s">
        <v>4</v>
      </c>
      <c r="C113" t="s">
        <v>83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0.1082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83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0.1178</v>
      </c>
      <c r="K114" t="s">
        <v>28</v>
      </c>
    </row>
    <row r="115" spans="1:11" x14ac:dyDescent="0.45">
      <c r="A115" t="s">
        <v>23</v>
      </c>
      <c r="B115" t="s">
        <v>4</v>
      </c>
      <c r="C115" t="s">
        <v>83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0.1484</v>
      </c>
      <c r="K115" t="s">
        <v>28</v>
      </c>
    </row>
    <row r="116" spans="1:11" x14ac:dyDescent="0.45">
      <c r="A116" t="s">
        <v>23</v>
      </c>
      <c r="B116" t="s">
        <v>4</v>
      </c>
      <c r="C116" t="s">
        <v>83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0.18479999999999999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83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0.2303</v>
      </c>
      <c r="K117" t="s">
        <v>28</v>
      </c>
    </row>
    <row r="118" spans="1:11" x14ac:dyDescent="0.45">
      <c r="A118" t="s">
        <v>23</v>
      </c>
      <c r="B118" t="s">
        <v>4</v>
      </c>
      <c r="C118" t="s">
        <v>83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0.2838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83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0.29389999999999999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83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0.29599999999999999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83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2.8000000000000001E-2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83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2.5399999999999999E-2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83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2.8500000000000001E-2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83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4.07E-2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83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5.7200000000000001E-2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83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5.9700000000000003E-2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83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5.9200000000000003E-2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83</v>
      </c>
      <c r="D128" t="s">
        <v>84</v>
      </c>
      <c r="E128" t="s">
        <v>25</v>
      </c>
      <c r="F128" t="s">
        <v>84</v>
      </c>
      <c r="G128" t="s">
        <v>26</v>
      </c>
      <c r="H128" t="s">
        <v>81</v>
      </c>
      <c r="I128">
        <v>2020</v>
      </c>
      <c r="J128">
        <v>0</v>
      </c>
      <c r="K128" t="s">
        <v>84</v>
      </c>
    </row>
    <row r="129" spans="1:12" x14ac:dyDescent="0.45">
      <c r="A129" t="s">
        <v>23</v>
      </c>
      <c r="B129" t="s">
        <v>4</v>
      </c>
      <c r="C129" t="s">
        <v>83</v>
      </c>
      <c r="D129" t="s">
        <v>84</v>
      </c>
      <c r="E129" t="s">
        <v>25</v>
      </c>
      <c r="F129" t="s">
        <v>84</v>
      </c>
      <c r="G129" t="s">
        <v>26</v>
      </c>
      <c r="H129" t="s">
        <v>81</v>
      </c>
      <c r="I129">
        <v>2025</v>
      </c>
      <c r="J129">
        <v>0</v>
      </c>
      <c r="K129" t="s">
        <v>84</v>
      </c>
    </row>
    <row r="130" spans="1:12" x14ac:dyDescent="0.45">
      <c r="A130" t="s">
        <v>23</v>
      </c>
      <c r="B130" t="s">
        <v>4</v>
      </c>
      <c r="C130" t="s">
        <v>83</v>
      </c>
      <c r="D130" t="s">
        <v>84</v>
      </c>
      <c r="E130" t="s">
        <v>25</v>
      </c>
      <c r="F130" t="s">
        <v>84</v>
      </c>
      <c r="G130" t="s">
        <v>26</v>
      </c>
      <c r="H130" t="s">
        <v>81</v>
      </c>
      <c r="I130">
        <v>2030</v>
      </c>
      <c r="J130">
        <v>0</v>
      </c>
      <c r="K130" t="s">
        <v>84</v>
      </c>
    </row>
    <row r="131" spans="1:12" x14ac:dyDescent="0.45">
      <c r="A131" t="s">
        <v>23</v>
      </c>
      <c r="B131" t="s">
        <v>4</v>
      </c>
      <c r="C131" t="s">
        <v>83</v>
      </c>
      <c r="D131" t="s">
        <v>84</v>
      </c>
      <c r="E131" t="s">
        <v>25</v>
      </c>
      <c r="F131" t="s">
        <v>84</v>
      </c>
      <c r="G131" t="s">
        <v>26</v>
      </c>
      <c r="H131" t="s">
        <v>81</v>
      </c>
      <c r="I131">
        <v>2035</v>
      </c>
      <c r="J131">
        <v>0</v>
      </c>
      <c r="K131" t="s">
        <v>84</v>
      </c>
    </row>
    <row r="132" spans="1:12" x14ac:dyDescent="0.45">
      <c r="A132" t="s">
        <v>23</v>
      </c>
      <c r="B132" t="s">
        <v>4</v>
      </c>
      <c r="C132" t="s">
        <v>83</v>
      </c>
      <c r="D132" t="s">
        <v>84</v>
      </c>
      <c r="E132" t="s">
        <v>25</v>
      </c>
      <c r="F132" t="s">
        <v>84</v>
      </c>
      <c r="G132" t="s">
        <v>26</v>
      </c>
      <c r="H132" t="s">
        <v>81</v>
      </c>
      <c r="I132">
        <v>2040</v>
      </c>
      <c r="J132">
        <v>0</v>
      </c>
      <c r="K132" t="s">
        <v>84</v>
      </c>
    </row>
    <row r="133" spans="1:12" x14ac:dyDescent="0.45">
      <c r="A133" t="s">
        <v>23</v>
      </c>
      <c r="B133" t="s">
        <v>4</v>
      </c>
      <c r="C133" t="s">
        <v>83</v>
      </c>
      <c r="D133" t="s">
        <v>84</v>
      </c>
      <c r="E133" t="s">
        <v>25</v>
      </c>
      <c r="F133" t="s">
        <v>84</v>
      </c>
      <c r="G133" t="s">
        <v>26</v>
      </c>
      <c r="H133" t="s">
        <v>81</v>
      </c>
      <c r="I133">
        <v>2045</v>
      </c>
      <c r="J133">
        <v>0</v>
      </c>
      <c r="K133" t="s">
        <v>84</v>
      </c>
    </row>
    <row r="134" spans="1:12" x14ac:dyDescent="0.45">
      <c r="A134" t="s">
        <v>23</v>
      </c>
      <c r="B134" t="s">
        <v>4</v>
      </c>
      <c r="C134" t="s">
        <v>83</v>
      </c>
      <c r="D134" t="s">
        <v>84</v>
      </c>
      <c r="E134" t="s">
        <v>25</v>
      </c>
      <c r="F134" t="s">
        <v>84</v>
      </c>
      <c r="G134" t="s">
        <v>26</v>
      </c>
      <c r="H134" t="s">
        <v>81</v>
      </c>
      <c r="I134">
        <v>2050</v>
      </c>
      <c r="J134">
        <v>0</v>
      </c>
      <c r="K134" t="s">
        <v>84</v>
      </c>
    </row>
    <row r="135" spans="1:12" x14ac:dyDescent="0.45">
      <c r="A135" t="s">
        <v>23</v>
      </c>
      <c r="B135" t="s">
        <v>4</v>
      </c>
      <c r="C135" t="s">
        <v>83</v>
      </c>
      <c r="D135" t="s">
        <v>68</v>
      </c>
      <c r="E135" t="s">
        <v>69</v>
      </c>
      <c r="F135" t="s">
        <v>52</v>
      </c>
      <c r="G135" t="s">
        <v>70</v>
      </c>
      <c r="I135">
        <v>2020</v>
      </c>
      <c r="J135">
        <v>31.678000000000001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83</v>
      </c>
      <c r="D136" t="s">
        <v>68</v>
      </c>
      <c r="E136" t="s">
        <v>69</v>
      </c>
      <c r="F136" t="s">
        <v>52</v>
      </c>
      <c r="G136" t="s">
        <v>70</v>
      </c>
      <c r="I136">
        <v>2025</v>
      </c>
      <c r="J136">
        <v>29.920200000000001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83</v>
      </c>
      <c r="D137" t="s">
        <v>68</v>
      </c>
      <c r="E137" t="s">
        <v>69</v>
      </c>
      <c r="F137" t="s">
        <v>52</v>
      </c>
      <c r="G137" t="s">
        <v>70</v>
      </c>
      <c r="I137">
        <v>2030</v>
      </c>
      <c r="J137">
        <v>28.933200000000003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83</v>
      </c>
      <c r="D138" t="s">
        <v>68</v>
      </c>
      <c r="E138" t="s">
        <v>69</v>
      </c>
      <c r="F138" t="s">
        <v>52</v>
      </c>
      <c r="G138" t="s">
        <v>70</v>
      </c>
      <c r="I138">
        <v>2035</v>
      </c>
      <c r="J138">
        <v>22.287400000000002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83</v>
      </c>
      <c r="D139" t="s">
        <v>68</v>
      </c>
      <c r="E139" t="s">
        <v>69</v>
      </c>
      <c r="F139" t="s">
        <v>52</v>
      </c>
      <c r="G139" t="s">
        <v>70</v>
      </c>
      <c r="I139">
        <v>2040</v>
      </c>
      <c r="J139">
        <v>12.22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83</v>
      </c>
      <c r="D140" t="s">
        <v>68</v>
      </c>
      <c r="E140" t="s">
        <v>69</v>
      </c>
      <c r="F140" t="s">
        <v>52</v>
      </c>
      <c r="G140" t="s">
        <v>70</v>
      </c>
      <c r="I140">
        <v>2045</v>
      </c>
      <c r="J140">
        <v>2.5379999999999998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83</v>
      </c>
      <c r="D141" t="s">
        <v>68</v>
      </c>
      <c r="E141" t="s">
        <v>69</v>
      </c>
      <c r="F141" t="s">
        <v>52</v>
      </c>
      <c r="G141" t="s">
        <v>70</v>
      </c>
      <c r="I141">
        <v>2050</v>
      </c>
      <c r="J141">
        <v>1.786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83</v>
      </c>
      <c r="D142" t="s">
        <v>68</v>
      </c>
      <c r="E142" t="s">
        <v>69</v>
      </c>
      <c r="F142" t="s">
        <v>53</v>
      </c>
      <c r="G142" t="s">
        <v>70</v>
      </c>
      <c r="I142">
        <v>2020</v>
      </c>
      <c r="J142">
        <v>2.6180000000000003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83</v>
      </c>
      <c r="D143" t="s">
        <v>68</v>
      </c>
      <c r="E143" t="s">
        <v>69</v>
      </c>
      <c r="F143" t="s">
        <v>53</v>
      </c>
      <c r="G143" t="s">
        <v>70</v>
      </c>
      <c r="I143">
        <v>2025</v>
      </c>
      <c r="J143">
        <v>4.1909999999999998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83</v>
      </c>
      <c r="D144" t="s">
        <v>68</v>
      </c>
      <c r="E144" t="s">
        <v>69</v>
      </c>
      <c r="F144" t="s">
        <v>53</v>
      </c>
      <c r="G144" t="s">
        <v>70</v>
      </c>
      <c r="I144">
        <v>2030</v>
      </c>
      <c r="J144">
        <v>7.9805000000000001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83</v>
      </c>
      <c r="D145" t="s">
        <v>68</v>
      </c>
      <c r="E145" t="s">
        <v>69</v>
      </c>
      <c r="F145" t="s">
        <v>53</v>
      </c>
      <c r="G145" t="s">
        <v>70</v>
      </c>
      <c r="I145">
        <v>2035</v>
      </c>
      <c r="J145">
        <v>17.094000000000001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83</v>
      </c>
      <c r="D146" t="s">
        <v>68</v>
      </c>
      <c r="E146" t="s">
        <v>69</v>
      </c>
      <c r="F146" t="s">
        <v>53</v>
      </c>
      <c r="G146" t="s">
        <v>70</v>
      </c>
      <c r="I146">
        <v>2040</v>
      </c>
      <c r="J146">
        <v>21.626000000000001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83</v>
      </c>
      <c r="D147" t="s">
        <v>68</v>
      </c>
      <c r="E147" t="s">
        <v>69</v>
      </c>
      <c r="F147" t="s">
        <v>53</v>
      </c>
      <c r="G147" t="s">
        <v>70</v>
      </c>
      <c r="I147">
        <v>2045</v>
      </c>
      <c r="J147">
        <v>14.184500000000002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83</v>
      </c>
      <c r="D148" t="s">
        <v>68</v>
      </c>
      <c r="E148" t="s">
        <v>69</v>
      </c>
      <c r="F148" t="s">
        <v>53</v>
      </c>
      <c r="G148" t="s">
        <v>70</v>
      </c>
      <c r="I148">
        <v>2050</v>
      </c>
      <c r="J148">
        <v>18.3095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83</v>
      </c>
      <c r="D149" t="s">
        <v>68</v>
      </c>
      <c r="E149" t="s">
        <v>69</v>
      </c>
      <c r="F149" t="s">
        <v>54</v>
      </c>
      <c r="G149" t="s">
        <v>70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83</v>
      </c>
      <c r="D150" t="s">
        <v>68</v>
      </c>
      <c r="E150" t="s">
        <v>69</v>
      </c>
      <c r="F150" t="s">
        <v>54</v>
      </c>
      <c r="G150" t="s">
        <v>70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83</v>
      </c>
      <c r="D151" t="s">
        <v>68</v>
      </c>
      <c r="E151" t="s">
        <v>69</v>
      </c>
      <c r="F151" t="s">
        <v>54</v>
      </c>
      <c r="G151" t="s">
        <v>70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83</v>
      </c>
      <c r="D152" t="s">
        <v>68</v>
      </c>
      <c r="E152" t="s">
        <v>69</v>
      </c>
      <c r="F152" t="s">
        <v>54</v>
      </c>
      <c r="G152" t="s">
        <v>70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83</v>
      </c>
      <c r="D153" t="s">
        <v>68</v>
      </c>
      <c r="E153" t="s">
        <v>69</v>
      </c>
      <c r="F153" t="s">
        <v>54</v>
      </c>
      <c r="G153" t="s">
        <v>70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83</v>
      </c>
      <c r="D154" t="s">
        <v>68</v>
      </c>
      <c r="E154" t="s">
        <v>69</v>
      </c>
      <c r="F154" t="s">
        <v>54</v>
      </c>
      <c r="G154" t="s">
        <v>70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83</v>
      </c>
      <c r="D155" t="s">
        <v>68</v>
      </c>
      <c r="E155" t="s">
        <v>69</v>
      </c>
      <c r="F155" t="s">
        <v>54</v>
      </c>
      <c r="G155" t="s">
        <v>70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83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1.4567000000000001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83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1.6177999999999999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83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3.9929999999999999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83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2.4819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83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4.1707000000000001</v>
      </c>
      <c r="K160" t="s">
        <v>29</v>
      </c>
    </row>
    <row r="161" spans="1:11" x14ac:dyDescent="0.45">
      <c r="A161" t="s">
        <v>23</v>
      </c>
      <c r="B161" t="s">
        <v>4</v>
      </c>
      <c r="C161" t="s">
        <v>83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83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2.6787999999999998</v>
      </c>
      <c r="K162" t="s">
        <v>29</v>
      </c>
    </row>
    <row r="163" spans="1:11" x14ac:dyDescent="0.45">
      <c r="A163" t="s">
        <v>23</v>
      </c>
      <c r="B163" t="s">
        <v>4</v>
      </c>
      <c r="C163" t="s">
        <v>83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1.2613000000000001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83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1.3259000000000001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83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1.4076</v>
      </c>
      <c r="K165" t="s">
        <v>33</v>
      </c>
    </row>
    <row r="166" spans="1:11" x14ac:dyDescent="0.45">
      <c r="A166" t="s">
        <v>23</v>
      </c>
      <c r="B166" t="s">
        <v>4</v>
      </c>
      <c r="C166" t="s">
        <v>83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1.6194999999999999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83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1.6993</v>
      </c>
      <c r="K167" t="s">
        <v>33</v>
      </c>
    </row>
    <row r="168" spans="1:11" x14ac:dyDescent="0.45">
      <c r="A168" t="s">
        <v>23</v>
      </c>
      <c r="B168" t="s">
        <v>4</v>
      </c>
      <c r="C168" t="s">
        <v>83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1.5728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83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1.6851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83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2.1600999999999999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83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2.2334999999999998</v>
      </c>
      <c r="K171" t="s">
        <v>35</v>
      </c>
    </row>
    <row r="172" spans="1:11" x14ac:dyDescent="0.45">
      <c r="A172" t="s">
        <v>23</v>
      </c>
      <c r="B172" t="s">
        <v>4</v>
      </c>
      <c r="C172" t="s">
        <v>83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2.3765000000000001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83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2.5419999999999998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83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2.8147000000000002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83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3.0045000000000002</v>
      </c>
      <c r="K175" t="s">
        <v>35</v>
      </c>
    </row>
    <row r="176" spans="1:11" x14ac:dyDescent="0.45">
      <c r="A176" t="s">
        <v>23</v>
      </c>
      <c r="B176" t="s">
        <v>4</v>
      </c>
      <c r="C176" t="s">
        <v>83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3.4449999999999998</v>
      </c>
      <c r="K176" t="s">
        <v>35</v>
      </c>
    </row>
    <row r="177" spans="1:11" x14ac:dyDescent="0.45">
      <c r="A177" t="s">
        <v>23</v>
      </c>
      <c r="B177" t="s">
        <v>4</v>
      </c>
      <c r="C177" t="s">
        <v>83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2.2349999999999999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83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4.1003999999999996</v>
      </c>
      <c r="K178" t="s">
        <v>37</v>
      </c>
    </row>
    <row r="179" spans="1:11" x14ac:dyDescent="0.45">
      <c r="A179" t="s">
        <v>23</v>
      </c>
      <c r="B179" t="s">
        <v>4</v>
      </c>
      <c r="C179" t="s">
        <v>83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4.12</v>
      </c>
      <c r="K179" t="s">
        <v>37</v>
      </c>
    </row>
    <row r="180" spans="1:11" x14ac:dyDescent="0.45">
      <c r="A180" t="s">
        <v>23</v>
      </c>
      <c r="B180" t="s">
        <v>4</v>
      </c>
      <c r="C180" t="s">
        <v>83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4.3750999999999998</v>
      </c>
      <c r="K180" t="s">
        <v>37</v>
      </c>
    </row>
    <row r="181" spans="1:11" x14ac:dyDescent="0.45">
      <c r="A181" t="s">
        <v>23</v>
      </c>
      <c r="B181" t="s">
        <v>4</v>
      </c>
      <c r="C181" t="s">
        <v>83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4.8352000000000004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83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5.2949999999999999</v>
      </c>
      <c r="K182" t="s">
        <v>37</v>
      </c>
    </row>
    <row r="183" spans="1:11" x14ac:dyDescent="0.45">
      <c r="A183" t="s">
        <v>23</v>
      </c>
      <c r="B183" t="s">
        <v>4</v>
      </c>
      <c r="C183" t="s">
        <v>83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5.7755999999999998</v>
      </c>
      <c r="K183" t="s">
        <v>37</v>
      </c>
    </row>
    <row r="184" spans="1:11" x14ac:dyDescent="0.45">
      <c r="A184" t="s">
        <v>23</v>
      </c>
      <c r="B184" t="s">
        <v>4</v>
      </c>
      <c r="C184" t="s">
        <v>83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271.74790000000002</v>
      </c>
      <c r="K184" t="s">
        <v>48</v>
      </c>
    </row>
    <row r="185" spans="1:11" x14ac:dyDescent="0.45">
      <c r="A185" t="s">
        <v>23</v>
      </c>
      <c r="B185" t="s">
        <v>4</v>
      </c>
      <c r="C185" t="s">
        <v>83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263.42410000000001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83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258.92259999999999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83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252.23609999999999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83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220.63820000000001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83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181.79679999999999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83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193.61369999999999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83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225.13159999999999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83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221.3817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83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224.97409999999999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83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227.15860000000001</v>
      </c>
      <c r="K194" t="s">
        <v>51</v>
      </c>
    </row>
    <row r="195" spans="1:11" x14ac:dyDescent="0.45">
      <c r="A195" t="s">
        <v>23</v>
      </c>
      <c r="B195" t="s">
        <v>4</v>
      </c>
      <c r="C195" t="s">
        <v>83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204.74879999999999</v>
      </c>
      <c r="K195" t="s">
        <v>51</v>
      </c>
    </row>
    <row r="196" spans="1:11" x14ac:dyDescent="0.45">
      <c r="A196" t="s">
        <v>23</v>
      </c>
      <c r="B196" t="s">
        <v>4</v>
      </c>
      <c r="C196" t="s">
        <v>83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169.655</v>
      </c>
      <c r="K196" t="s">
        <v>51</v>
      </c>
    </row>
    <row r="197" spans="1:11" x14ac:dyDescent="0.45">
      <c r="A197" t="s">
        <v>23</v>
      </c>
      <c r="B197" t="s">
        <v>4</v>
      </c>
      <c r="C197" t="s">
        <v>83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185.0977</v>
      </c>
      <c r="K197" t="s">
        <v>51</v>
      </c>
    </row>
    <row r="198" spans="1:11" x14ac:dyDescent="0.45">
      <c r="A198" t="s">
        <v>23</v>
      </c>
      <c r="B198" t="s">
        <v>0</v>
      </c>
      <c r="C198" t="s">
        <v>83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83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83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83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6.7968000000000002</v>
      </c>
      <c r="K201" t="s">
        <v>45</v>
      </c>
    </row>
    <row r="202" spans="1:11" x14ac:dyDescent="0.45">
      <c r="A202" t="s">
        <v>23</v>
      </c>
      <c r="B202" t="s">
        <v>0</v>
      </c>
      <c r="C202" t="s">
        <v>83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10.100099999999999</v>
      </c>
      <c r="K202" t="s">
        <v>45</v>
      </c>
    </row>
    <row r="203" spans="1:11" x14ac:dyDescent="0.45">
      <c r="A203" t="s">
        <v>23</v>
      </c>
      <c r="B203" t="s">
        <v>0</v>
      </c>
      <c r="C203" t="s">
        <v>83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18.1632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83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26.7865</v>
      </c>
      <c r="K204" t="s">
        <v>45</v>
      </c>
    </row>
    <row r="205" spans="1:11" x14ac:dyDescent="0.45">
      <c r="A205" t="s">
        <v>23</v>
      </c>
      <c r="B205" t="s">
        <v>0</v>
      </c>
      <c r="C205" t="s">
        <v>83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0.13600000000000001</v>
      </c>
      <c r="K205" t="s">
        <v>24</v>
      </c>
    </row>
    <row r="206" spans="1:11" x14ac:dyDescent="0.45">
      <c r="A206" t="s">
        <v>23</v>
      </c>
      <c r="B206" t="s">
        <v>0</v>
      </c>
      <c r="C206" t="s">
        <v>83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0.1212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83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0.12559999999999999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83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0.11700000000000001</v>
      </c>
      <c r="K208" t="s">
        <v>24</v>
      </c>
    </row>
    <row r="209" spans="1:11" x14ac:dyDescent="0.45">
      <c r="A209" t="s">
        <v>23</v>
      </c>
      <c r="B209" t="s">
        <v>0</v>
      </c>
      <c r="C209" t="s">
        <v>83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0.13489999999999999</v>
      </c>
      <c r="K209" t="s">
        <v>24</v>
      </c>
    </row>
    <row r="210" spans="1:11" x14ac:dyDescent="0.45">
      <c r="A210" t="s">
        <v>23</v>
      </c>
      <c r="B210" t="s">
        <v>0</v>
      </c>
      <c r="C210" t="s">
        <v>83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0.21970000000000001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83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0.28199999999999997</v>
      </c>
      <c r="K211" t="s">
        <v>24</v>
      </c>
    </row>
    <row r="212" spans="1:11" x14ac:dyDescent="0.45">
      <c r="A212" t="s">
        <v>23</v>
      </c>
      <c r="B212" t="s">
        <v>0</v>
      </c>
      <c r="C212" t="s">
        <v>83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0.1171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83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0.14779999999999999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83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0.184</v>
      </c>
      <c r="K214" t="s">
        <v>28</v>
      </c>
    </row>
    <row r="215" spans="1:11" x14ac:dyDescent="0.45">
      <c r="A215" t="s">
        <v>23</v>
      </c>
      <c r="B215" t="s">
        <v>0</v>
      </c>
      <c r="C215" t="s">
        <v>83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0.24</v>
      </c>
      <c r="K215" t="s">
        <v>28</v>
      </c>
    </row>
    <row r="216" spans="1:11" x14ac:dyDescent="0.45">
      <c r="A216" t="s">
        <v>23</v>
      </c>
      <c r="B216" t="s">
        <v>0</v>
      </c>
      <c r="C216" t="s">
        <v>83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0.29630000000000001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83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0.37809999999999999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83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0.44869999999999999</v>
      </c>
      <c r="K218" t="s">
        <v>28</v>
      </c>
    </row>
    <row r="219" spans="1:11" x14ac:dyDescent="0.45">
      <c r="A219" t="s">
        <v>23</v>
      </c>
      <c r="B219" t="s">
        <v>0</v>
      </c>
      <c r="C219" t="s">
        <v>83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2.7900000000000001E-2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83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2.4899999999999999E-2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83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2.7799999999999998E-2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83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5.5100000000000003E-2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83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0.16750000000000001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83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0.2611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83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</v>
      </c>
      <c r="K225" t="s">
        <v>27</v>
      </c>
    </row>
    <row r="226" spans="1:12" x14ac:dyDescent="0.45">
      <c r="A226" t="s">
        <v>23</v>
      </c>
      <c r="B226" t="s">
        <v>0</v>
      </c>
      <c r="C226" t="s">
        <v>83</v>
      </c>
      <c r="D226" t="s">
        <v>84</v>
      </c>
      <c r="E226" t="s">
        <v>25</v>
      </c>
      <c r="F226" t="s">
        <v>84</v>
      </c>
      <c r="G226" t="s">
        <v>26</v>
      </c>
      <c r="H226" t="s">
        <v>81</v>
      </c>
      <c r="I226">
        <v>2020</v>
      </c>
      <c r="J226">
        <v>0</v>
      </c>
      <c r="K226" t="s">
        <v>84</v>
      </c>
    </row>
    <row r="227" spans="1:12" x14ac:dyDescent="0.45">
      <c r="A227" t="s">
        <v>23</v>
      </c>
      <c r="B227" t="s">
        <v>0</v>
      </c>
      <c r="C227" t="s">
        <v>83</v>
      </c>
      <c r="D227" t="s">
        <v>84</v>
      </c>
      <c r="E227" t="s">
        <v>25</v>
      </c>
      <c r="F227" t="s">
        <v>84</v>
      </c>
      <c r="G227" t="s">
        <v>26</v>
      </c>
      <c r="H227" t="s">
        <v>81</v>
      </c>
      <c r="I227">
        <v>2025</v>
      </c>
      <c r="J227">
        <v>0</v>
      </c>
      <c r="K227" t="s">
        <v>84</v>
      </c>
    </row>
    <row r="228" spans="1:12" x14ac:dyDescent="0.45">
      <c r="A228" t="s">
        <v>23</v>
      </c>
      <c r="B228" t="s">
        <v>0</v>
      </c>
      <c r="C228" t="s">
        <v>83</v>
      </c>
      <c r="D228" t="s">
        <v>84</v>
      </c>
      <c r="E228" t="s">
        <v>25</v>
      </c>
      <c r="F228" t="s">
        <v>84</v>
      </c>
      <c r="G228" t="s">
        <v>26</v>
      </c>
      <c r="H228" t="s">
        <v>81</v>
      </c>
      <c r="I228">
        <v>2030</v>
      </c>
      <c r="J228">
        <v>0</v>
      </c>
      <c r="K228" t="s">
        <v>84</v>
      </c>
    </row>
    <row r="229" spans="1:12" x14ac:dyDescent="0.45">
      <c r="A229" t="s">
        <v>23</v>
      </c>
      <c r="B229" t="s">
        <v>0</v>
      </c>
      <c r="C229" t="s">
        <v>83</v>
      </c>
      <c r="D229" t="s">
        <v>84</v>
      </c>
      <c r="E229" t="s">
        <v>25</v>
      </c>
      <c r="F229" t="s">
        <v>84</v>
      </c>
      <c r="G229" t="s">
        <v>26</v>
      </c>
      <c r="H229" t="s">
        <v>81</v>
      </c>
      <c r="I229">
        <v>2035</v>
      </c>
      <c r="J229">
        <v>7.6E-3</v>
      </c>
      <c r="K229" t="s">
        <v>84</v>
      </c>
    </row>
    <row r="230" spans="1:12" x14ac:dyDescent="0.45">
      <c r="A230" t="s">
        <v>23</v>
      </c>
      <c r="B230" t="s">
        <v>0</v>
      </c>
      <c r="C230" t="s">
        <v>83</v>
      </c>
      <c r="D230" t="s">
        <v>84</v>
      </c>
      <c r="E230" t="s">
        <v>25</v>
      </c>
      <c r="F230" t="s">
        <v>84</v>
      </c>
      <c r="G230" t="s">
        <v>26</v>
      </c>
      <c r="H230" t="s">
        <v>81</v>
      </c>
      <c r="I230">
        <v>2040</v>
      </c>
      <c r="J230">
        <v>2.2100000000000002E-2</v>
      </c>
      <c r="K230" t="s">
        <v>84</v>
      </c>
    </row>
    <row r="231" spans="1:12" x14ac:dyDescent="0.45">
      <c r="A231" t="s">
        <v>23</v>
      </c>
      <c r="B231" t="s">
        <v>0</v>
      </c>
      <c r="C231" t="s">
        <v>83</v>
      </c>
      <c r="D231" t="s">
        <v>84</v>
      </c>
      <c r="E231" t="s">
        <v>25</v>
      </c>
      <c r="F231" t="s">
        <v>84</v>
      </c>
      <c r="G231" t="s">
        <v>26</v>
      </c>
      <c r="H231" t="s">
        <v>81</v>
      </c>
      <c r="I231">
        <v>2045</v>
      </c>
      <c r="J231">
        <v>4.2500000000000003E-2</v>
      </c>
      <c r="K231" t="s">
        <v>84</v>
      </c>
    </row>
    <row r="232" spans="1:12" x14ac:dyDescent="0.45">
      <c r="A232" t="s">
        <v>23</v>
      </c>
      <c r="B232" t="s">
        <v>0</v>
      </c>
      <c r="C232" t="s">
        <v>83</v>
      </c>
      <c r="D232" t="s">
        <v>84</v>
      </c>
      <c r="E232" t="s">
        <v>25</v>
      </c>
      <c r="F232" t="s">
        <v>84</v>
      </c>
      <c r="G232" t="s">
        <v>26</v>
      </c>
      <c r="H232" t="s">
        <v>81</v>
      </c>
      <c r="I232">
        <v>2050</v>
      </c>
      <c r="J232">
        <v>8.0500000000000002E-2</v>
      </c>
      <c r="K232" t="s">
        <v>84</v>
      </c>
    </row>
    <row r="233" spans="1:12" x14ac:dyDescent="0.45">
      <c r="A233" t="s">
        <v>23</v>
      </c>
      <c r="B233" t="s">
        <v>0</v>
      </c>
      <c r="C233" t="s">
        <v>83</v>
      </c>
      <c r="D233" t="s">
        <v>68</v>
      </c>
      <c r="E233" t="s">
        <v>69</v>
      </c>
      <c r="F233" t="s">
        <v>52</v>
      </c>
      <c r="G233" t="s">
        <v>70</v>
      </c>
      <c r="I233">
        <v>2020</v>
      </c>
      <c r="J233">
        <v>31.772000000000002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83</v>
      </c>
      <c r="D234" t="s">
        <v>68</v>
      </c>
      <c r="E234" t="s">
        <v>69</v>
      </c>
      <c r="F234" t="s">
        <v>52</v>
      </c>
      <c r="G234" t="s">
        <v>70</v>
      </c>
      <c r="I234">
        <v>2025</v>
      </c>
      <c r="J234">
        <v>30.108199999999997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83</v>
      </c>
      <c r="D235" t="s">
        <v>68</v>
      </c>
      <c r="E235" t="s">
        <v>69</v>
      </c>
      <c r="F235" t="s">
        <v>52</v>
      </c>
      <c r="G235" t="s">
        <v>70</v>
      </c>
      <c r="I235">
        <v>2030</v>
      </c>
      <c r="J235">
        <v>29.168200000000002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83</v>
      </c>
      <c r="D236" t="s">
        <v>68</v>
      </c>
      <c r="E236" t="s">
        <v>69</v>
      </c>
      <c r="F236" t="s">
        <v>52</v>
      </c>
      <c r="G236" t="s">
        <v>70</v>
      </c>
      <c r="I236">
        <v>2035</v>
      </c>
      <c r="J236">
        <v>3.149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83</v>
      </c>
      <c r="D237" t="s">
        <v>68</v>
      </c>
      <c r="E237" t="s">
        <v>69</v>
      </c>
      <c r="F237" t="s">
        <v>52</v>
      </c>
      <c r="G237" t="s">
        <v>70</v>
      </c>
      <c r="I237">
        <v>2040</v>
      </c>
      <c r="J237">
        <v>1.1656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83</v>
      </c>
      <c r="D238" t="s">
        <v>68</v>
      </c>
      <c r="E238" t="s">
        <v>69</v>
      </c>
      <c r="F238" t="s">
        <v>52</v>
      </c>
      <c r="G238" t="s">
        <v>70</v>
      </c>
      <c r="I238">
        <v>2045</v>
      </c>
      <c r="J238">
        <v>0.89300000000000002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83</v>
      </c>
      <c r="D239" t="s">
        <v>68</v>
      </c>
      <c r="E239" t="s">
        <v>69</v>
      </c>
      <c r="F239" t="s">
        <v>52</v>
      </c>
      <c r="G239" t="s">
        <v>70</v>
      </c>
      <c r="I239">
        <v>2050</v>
      </c>
      <c r="J239">
        <v>8.4599999999999995E-2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83</v>
      </c>
      <c r="D240" t="s">
        <v>68</v>
      </c>
      <c r="E240" t="s">
        <v>69</v>
      </c>
      <c r="F240" t="s">
        <v>53</v>
      </c>
      <c r="G240" t="s">
        <v>70</v>
      </c>
      <c r="I240">
        <v>2020</v>
      </c>
      <c r="J240">
        <v>2.5960000000000001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83</v>
      </c>
      <c r="D241" t="s">
        <v>68</v>
      </c>
      <c r="E241" t="s">
        <v>69</v>
      </c>
      <c r="F241" t="s">
        <v>53</v>
      </c>
      <c r="G241" t="s">
        <v>70</v>
      </c>
      <c r="I241">
        <v>2025</v>
      </c>
      <c r="J241">
        <v>4.1415000000000006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83</v>
      </c>
      <c r="D242" t="s">
        <v>68</v>
      </c>
      <c r="E242" t="s">
        <v>69</v>
      </c>
      <c r="F242" t="s">
        <v>53</v>
      </c>
      <c r="G242" t="s">
        <v>70</v>
      </c>
      <c r="I242">
        <v>2030</v>
      </c>
      <c r="J242">
        <v>7.8924999999999992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83</v>
      </c>
      <c r="D243" t="s">
        <v>68</v>
      </c>
      <c r="E243" t="s">
        <v>69</v>
      </c>
      <c r="F243" t="s">
        <v>53</v>
      </c>
      <c r="G243" t="s">
        <v>70</v>
      </c>
      <c r="I243">
        <v>2035</v>
      </c>
      <c r="J243">
        <v>5.5440000000000005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83</v>
      </c>
      <c r="D244" t="s">
        <v>68</v>
      </c>
      <c r="E244" t="s">
        <v>69</v>
      </c>
      <c r="F244" t="s">
        <v>53</v>
      </c>
      <c r="G244" t="s">
        <v>70</v>
      </c>
      <c r="I244">
        <v>2040</v>
      </c>
      <c r="J244">
        <v>2.9755000000000003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83</v>
      </c>
      <c r="D245" t="s">
        <v>68</v>
      </c>
      <c r="E245" t="s">
        <v>69</v>
      </c>
      <c r="F245" t="s">
        <v>53</v>
      </c>
      <c r="G245" t="s">
        <v>70</v>
      </c>
      <c r="I245">
        <v>2045</v>
      </c>
      <c r="J245">
        <v>2.6234999999999999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83</v>
      </c>
      <c r="D246" t="s">
        <v>68</v>
      </c>
      <c r="E246" t="s">
        <v>69</v>
      </c>
      <c r="F246" t="s">
        <v>53</v>
      </c>
      <c r="G246" t="s">
        <v>70</v>
      </c>
      <c r="I246">
        <v>2050</v>
      </c>
      <c r="J246">
        <v>1.8150000000000002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83</v>
      </c>
      <c r="D247" t="s">
        <v>68</v>
      </c>
      <c r="E247" t="s">
        <v>69</v>
      </c>
      <c r="F247" t="s">
        <v>54</v>
      </c>
      <c r="G247" t="s">
        <v>70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83</v>
      </c>
      <c r="D248" t="s">
        <v>68</v>
      </c>
      <c r="E248" t="s">
        <v>69</v>
      </c>
      <c r="F248" t="s">
        <v>54</v>
      </c>
      <c r="G248" t="s">
        <v>70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83</v>
      </c>
      <c r="D249" t="s">
        <v>68</v>
      </c>
      <c r="E249" t="s">
        <v>69</v>
      </c>
      <c r="F249" t="s">
        <v>54</v>
      </c>
      <c r="G249" t="s">
        <v>70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83</v>
      </c>
      <c r="D250" t="s">
        <v>68</v>
      </c>
      <c r="E250" t="s">
        <v>69</v>
      </c>
      <c r="F250" t="s">
        <v>54</v>
      </c>
      <c r="G250" t="s">
        <v>70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83</v>
      </c>
      <c r="D251" t="s">
        <v>68</v>
      </c>
      <c r="E251" t="s">
        <v>69</v>
      </c>
      <c r="F251" t="s">
        <v>54</v>
      </c>
      <c r="G251" t="s">
        <v>70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83</v>
      </c>
      <c r="D252" t="s">
        <v>68</v>
      </c>
      <c r="E252" t="s">
        <v>69</v>
      </c>
      <c r="F252" t="s">
        <v>54</v>
      </c>
      <c r="G252" t="s">
        <v>70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83</v>
      </c>
      <c r="D253" t="s">
        <v>68</v>
      </c>
      <c r="E253" t="s">
        <v>69</v>
      </c>
      <c r="F253" t="s">
        <v>54</v>
      </c>
      <c r="G253" t="s">
        <v>70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83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1.4567000000000001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83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1.6177999999999999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83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3.9929999999999999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83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7.0420999999999996</v>
      </c>
      <c r="K257" t="s">
        <v>29</v>
      </c>
    </row>
    <row r="258" spans="1:11" x14ac:dyDescent="0.45">
      <c r="A258" t="s">
        <v>23</v>
      </c>
      <c r="B258" t="s">
        <v>0</v>
      </c>
      <c r="C258" t="s">
        <v>83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9.2347999999999999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83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8.8897999999999993</v>
      </c>
      <c r="K259" t="s">
        <v>29</v>
      </c>
    </row>
    <row r="260" spans="1:11" x14ac:dyDescent="0.45">
      <c r="A260" t="s">
        <v>23</v>
      </c>
      <c r="B260" t="s">
        <v>0</v>
      </c>
      <c r="C260" t="s">
        <v>83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10.923299999999999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83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1.2613000000000001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83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1.3259000000000001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83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1.4076</v>
      </c>
      <c r="K263" t="s">
        <v>33</v>
      </c>
    </row>
    <row r="264" spans="1:11" x14ac:dyDescent="0.45">
      <c r="A264" t="s">
        <v>23</v>
      </c>
      <c r="B264" t="s">
        <v>0</v>
      </c>
      <c r="C264" t="s">
        <v>83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2.1819999999999999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83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2.8927999999999998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83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2.6505000000000001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83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3.3403999999999998</v>
      </c>
      <c r="K267" t="s">
        <v>33</v>
      </c>
    </row>
    <row r="268" spans="1:11" x14ac:dyDescent="0.45">
      <c r="A268" t="s">
        <v>23</v>
      </c>
      <c r="B268" t="s">
        <v>0</v>
      </c>
      <c r="C268" t="s">
        <v>83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2.1600999999999999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83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2.2334999999999998</v>
      </c>
      <c r="K269" t="s">
        <v>35</v>
      </c>
    </row>
    <row r="270" spans="1:11" x14ac:dyDescent="0.45">
      <c r="A270" t="s">
        <v>23</v>
      </c>
      <c r="B270" t="s">
        <v>0</v>
      </c>
      <c r="C270" t="s">
        <v>83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2.3765000000000001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83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2.7389999999999999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83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2.96</v>
      </c>
      <c r="K272" t="s">
        <v>35</v>
      </c>
    </row>
    <row r="273" spans="1:11" x14ac:dyDescent="0.45">
      <c r="A273" t="s">
        <v>23</v>
      </c>
      <c r="B273" t="s">
        <v>0</v>
      </c>
      <c r="C273" t="s">
        <v>83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3.2930000000000001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83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3.694</v>
      </c>
      <c r="K274" t="s">
        <v>35</v>
      </c>
    </row>
    <row r="275" spans="1:11" x14ac:dyDescent="0.45">
      <c r="A275" t="s">
        <v>23</v>
      </c>
      <c r="B275" t="s">
        <v>0</v>
      </c>
      <c r="C275" t="s">
        <v>83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2.2349999999999999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83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4.1003999999999996</v>
      </c>
      <c r="K276" t="s">
        <v>37</v>
      </c>
    </row>
    <row r="277" spans="1:11" x14ac:dyDescent="0.45">
      <c r="A277" t="s">
        <v>23</v>
      </c>
      <c r="B277" t="s">
        <v>0</v>
      </c>
      <c r="C277" t="s">
        <v>83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4.12</v>
      </c>
      <c r="K277" t="s">
        <v>37</v>
      </c>
    </row>
    <row r="278" spans="1:11" x14ac:dyDescent="0.45">
      <c r="A278" t="s">
        <v>23</v>
      </c>
      <c r="B278" t="s">
        <v>0</v>
      </c>
      <c r="C278" t="s">
        <v>83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4.3330000000000002</v>
      </c>
      <c r="K278" t="s">
        <v>37</v>
      </c>
    </row>
    <row r="279" spans="1:11" x14ac:dyDescent="0.45">
      <c r="A279" t="s">
        <v>23</v>
      </c>
      <c r="B279" t="s">
        <v>0</v>
      </c>
      <c r="C279" t="s">
        <v>83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4.0993000000000004</v>
      </c>
      <c r="K279" t="s">
        <v>37</v>
      </c>
    </row>
    <row r="280" spans="1:11" x14ac:dyDescent="0.45">
      <c r="A280" t="s">
        <v>23</v>
      </c>
      <c r="B280" t="s">
        <v>0</v>
      </c>
      <c r="C280" t="s">
        <v>83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4.7759</v>
      </c>
      <c r="K280" t="s">
        <v>37</v>
      </c>
    </row>
    <row r="281" spans="1:11" x14ac:dyDescent="0.45">
      <c r="A281" t="s">
        <v>23</v>
      </c>
      <c r="B281" t="s">
        <v>0</v>
      </c>
      <c r="C281" t="s">
        <v>83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4.3800999999999997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83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272.27699999999999</v>
      </c>
      <c r="K282" t="s">
        <v>48</v>
      </c>
    </row>
    <row r="283" spans="1:11" x14ac:dyDescent="0.45">
      <c r="A283" t="s">
        <v>23</v>
      </c>
      <c r="B283" t="s">
        <v>0</v>
      </c>
      <c r="C283" t="s">
        <v>83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265.18470000000002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83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261.76549999999997</v>
      </c>
      <c r="K284" t="s">
        <v>48</v>
      </c>
    </row>
    <row r="285" spans="1:11" x14ac:dyDescent="0.45">
      <c r="A285" t="s">
        <v>23</v>
      </c>
      <c r="B285" t="s">
        <v>0</v>
      </c>
      <c r="C285" t="s">
        <v>83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164.28469999999999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83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118.71429999999999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83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82.955100000000002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83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57.869500000000002</v>
      </c>
      <c r="K288" t="s">
        <v>48</v>
      </c>
    </row>
    <row r="289" spans="1:11" x14ac:dyDescent="0.45">
      <c r="A289" t="s">
        <v>23</v>
      </c>
      <c r="B289" t="s">
        <v>0</v>
      </c>
      <c r="C289" t="s">
        <v>83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225.57169999999999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83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222.07669999999999</v>
      </c>
      <c r="K290" t="s">
        <v>51</v>
      </c>
    </row>
    <row r="291" spans="1:11" x14ac:dyDescent="0.45">
      <c r="A291" t="s">
        <v>23</v>
      </c>
      <c r="B291" t="s">
        <v>0</v>
      </c>
      <c r="C291" t="s">
        <v>83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225.77279999999999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83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141.9692</v>
      </c>
      <c r="K292" t="s">
        <v>51</v>
      </c>
    </row>
    <row r="293" spans="1:11" x14ac:dyDescent="0.45">
      <c r="A293" t="s">
        <v>23</v>
      </c>
      <c r="B293" t="s">
        <v>0</v>
      </c>
      <c r="C293" t="s">
        <v>83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108.52970000000001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83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78.127399999999994</v>
      </c>
      <c r="K294" t="s">
        <v>51</v>
      </c>
    </row>
    <row r="295" spans="1:11" x14ac:dyDescent="0.45">
      <c r="A295" t="s">
        <v>23</v>
      </c>
      <c r="B295" t="s">
        <v>0</v>
      </c>
      <c r="C295" t="s">
        <v>83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57.521700000000003</v>
      </c>
      <c r="K295" t="s">
        <v>51</v>
      </c>
    </row>
    <row r="296" spans="1:11" x14ac:dyDescent="0.45">
      <c r="A296" t="s">
        <v>23</v>
      </c>
      <c r="B296" t="s">
        <v>6</v>
      </c>
      <c r="C296" t="s">
        <v>83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83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83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83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3.5000000000000001E-3</v>
      </c>
      <c r="K299" t="s">
        <v>45</v>
      </c>
    </row>
    <row r="300" spans="1:11" x14ac:dyDescent="0.45">
      <c r="A300" t="s">
        <v>23</v>
      </c>
      <c r="B300" t="s">
        <v>6</v>
      </c>
      <c r="C300" t="s">
        <v>83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1.5819000000000001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83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3.7951000000000001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83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11.739100000000001</v>
      </c>
      <c r="K302" t="s">
        <v>45</v>
      </c>
    </row>
    <row r="303" spans="1:11" x14ac:dyDescent="0.45">
      <c r="A303" t="s">
        <v>23</v>
      </c>
      <c r="B303" t="s">
        <v>6</v>
      </c>
      <c r="C303" t="s">
        <v>83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0.1275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83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0.11269999999999999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83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0.123</v>
      </c>
      <c r="K305" t="s">
        <v>24</v>
      </c>
    </row>
    <row r="306" spans="1:11" x14ac:dyDescent="0.45">
      <c r="A306" t="s">
        <v>23</v>
      </c>
      <c r="B306" t="s">
        <v>6</v>
      </c>
      <c r="C306" t="s">
        <v>83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0.13350000000000001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83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0.1198</v>
      </c>
      <c r="K307" t="s">
        <v>24</v>
      </c>
    </row>
    <row r="308" spans="1:11" x14ac:dyDescent="0.45">
      <c r="A308" t="s">
        <v>23</v>
      </c>
      <c r="B308" t="s">
        <v>6</v>
      </c>
      <c r="C308" t="s">
        <v>83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9.7699999999999995E-2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83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0.1041</v>
      </c>
      <c r="K309" t="s">
        <v>24</v>
      </c>
    </row>
    <row r="310" spans="1:11" x14ac:dyDescent="0.45">
      <c r="A310" t="s">
        <v>23</v>
      </c>
      <c r="B310" t="s">
        <v>6</v>
      </c>
      <c r="C310" t="s">
        <v>83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0.1169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83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0.14319999999999999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83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0.1764</v>
      </c>
      <c r="K312" t="s">
        <v>28</v>
      </c>
    </row>
    <row r="313" spans="1:11" x14ac:dyDescent="0.45">
      <c r="A313" t="s">
        <v>23</v>
      </c>
      <c r="B313" t="s">
        <v>6</v>
      </c>
      <c r="C313" t="s">
        <v>83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0.22869999999999999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83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0.27410000000000001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83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0.29020000000000001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83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0.2964</v>
      </c>
      <c r="K316" t="s">
        <v>28</v>
      </c>
    </row>
    <row r="317" spans="1:11" x14ac:dyDescent="0.45">
      <c r="A317" t="s">
        <v>23</v>
      </c>
      <c r="B317" t="s">
        <v>6</v>
      </c>
      <c r="C317" t="s">
        <v>83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2.58E-2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83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2.7799999999999998E-2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83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3.1E-2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83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4.6800000000000001E-2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83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8.6099999999999996E-2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83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0.1454</v>
      </c>
      <c r="K322" t="s">
        <v>27</v>
      </c>
    </row>
    <row r="323" spans="1:12" x14ac:dyDescent="0.45">
      <c r="A323" t="s">
        <v>23</v>
      </c>
      <c r="B323" t="s">
        <v>6</v>
      </c>
      <c r="C323" t="s">
        <v>83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0.2029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83</v>
      </c>
      <c r="D324" t="s">
        <v>84</v>
      </c>
      <c r="E324" t="s">
        <v>25</v>
      </c>
      <c r="F324" t="s">
        <v>84</v>
      </c>
      <c r="G324" t="s">
        <v>26</v>
      </c>
      <c r="H324" t="s">
        <v>81</v>
      </c>
      <c r="I324">
        <v>2020</v>
      </c>
      <c r="J324">
        <v>0</v>
      </c>
      <c r="K324" t="s">
        <v>84</v>
      </c>
    </row>
    <row r="325" spans="1:12" x14ac:dyDescent="0.45">
      <c r="A325" t="s">
        <v>23</v>
      </c>
      <c r="B325" t="s">
        <v>6</v>
      </c>
      <c r="C325" t="s">
        <v>83</v>
      </c>
      <c r="D325" t="s">
        <v>84</v>
      </c>
      <c r="E325" t="s">
        <v>25</v>
      </c>
      <c r="F325" t="s">
        <v>84</v>
      </c>
      <c r="G325" t="s">
        <v>26</v>
      </c>
      <c r="H325" t="s">
        <v>81</v>
      </c>
      <c r="I325">
        <v>2025</v>
      </c>
      <c r="J325">
        <v>0</v>
      </c>
      <c r="K325" t="s">
        <v>84</v>
      </c>
    </row>
    <row r="326" spans="1:12" x14ac:dyDescent="0.45">
      <c r="A326" t="s">
        <v>23</v>
      </c>
      <c r="B326" t="s">
        <v>6</v>
      </c>
      <c r="C326" t="s">
        <v>83</v>
      </c>
      <c r="D326" t="s">
        <v>84</v>
      </c>
      <c r="E326" t="s">
        <v>25</v>
      </c>
      <c r="F326" t="s">
        <v>84</v>
      </c>
      <c r="G326" t="s">
        <v>26</v>
      </c>
      <c r="H326" t="s">
        <v>81</v>
      </c>
      <c r="I326">
        <v>2030</v>
      </c>
      <c r="J326">
        <v>0</v>
      </c>
      <c r="K326" t="s">
        <v>84</v>
      </c>
    </row>
    <row r="327" spans="1:12" x14ac:dyDescent="0.45">
      <c r="A327" t="s">
        <v>23</v>
      </c>
      <c r="B327" t="s">
        <v>6</v>
      </c>
      <c r="C327" t="s">
        <v>83</v>
      </c>
      <c r="D327" t="s">
        <v>84</v>
      </c>
      <c r="E327" t="s">
        <v>25</v>
      </c>
      <c r="F327" t="s">
        <v>84</v>
      </c>
      <c r="G327" t="s">
        <v>26</v>
      </c>
      <c r="H327" t="s">
        <v>81</v>
      </c>
      <c r="I327">
        <v>2035</v>
      </c>
      <c r="J327">
        <v>0</v>
      </c>
      <c r="K327" t="s">
        <v>84</v>
      </c>
    </row>
    <row r="328" spans="1:12" x14ac:dyDescent="0.45">
      <c r="A328" t="s">
        <v>23</v>
      </c>
      <c r="B328" t="s">
        <v>6</v>
      </c>
      <c r="C328" t="s">
        <v>83</v>
      </c>
      <c r="D328" t="s">
        <v>84</v>
      </c>
      <c r="E328" t="s">
        <v>25</v>
      </c>
      <c r="F328" t="s">
        <v>84</v>
      </c>
      <c r="G328" t="s">
        <v>26</v>
      </c>
      <c r="H328" t="s">
        <v>81</v>
      </c>
      <c r="I328">
        <v>2040</v>
      </c>
      <c r="J328">
        <v>0</v>
      </c>
      <c r="K328" t="s">
        <v>84</v>
      </c>
    </row>
    <row r="329" spans="1:12" x14ac:dyDescent="0.45">
      <c r="A329" t="s">
        <v>23</v>
      </c>
      <c r="B329" t="s">
        <v>6</v>
      </c>
      <c r="C329" t="s">
        <v>83</v>
      </c>
      <c r="D329" t="s">
        <v>84</v>
      </c>
      <c r="E329" t="s">
        <v>25</v>
      </c>
      <c r="F329" t="s">
        <v>84</v>
      </c>
      <c r="G329" t="s">
        <v>26</v>
      </c>
      <c r="H329" t="s">
        <v>81</v>
      </c>
      <c r="I329">
        <v>2045</v>
      </c>
      <c r="J329">
        <v>0</v>
      </c>
      <c r="K329" t="s">
        <v>84</v>
      </c>
    </row>
    <row r="330" spans="1:12" x14ac:dyDescent="0.45">
      <c r="A330" t="s">
        <v>23</v>
      </c>
      <c r="B330" t="s">
        <v>6</v>
      </c>
      <c r="C330" t="s">
        <v>83</v>
      </c>
      <c r="D330" t="s">
        <v>84</v>
      </c>
      <c r="E330" t="s">
        <v>25</v>
      </c>
      <c r="F330" t="s">
        <v>84</v>
      </c>
      <c r="G330" t="s">
        <v>26</v>
      </c>
      <c r="H330" t="s">
        <v>81</v>
      </c>
      <c r="I330">
        <v>2050</v>
      </c>
      <c r="J330">
        <v>2.8999999999999998E-3</v>
      </c>
      <c r="K330" t="s">
        <v>84</v>
      </c>
    </row>
    <row r="331" spans="1:12" x14ac:dyDescent="0.45">
      <c r="A331" t="s">
        <v>23</v>
      </c>
      <c r="B331" t="s">
        <v>6</v>
      </c>
      <c r="C331" t="s">
        <v>83</v>
      </c>
      <c r="D331" t="s">
        <v>68</v>
      </c>
      <c r="E331" t="s">
        <v>69</v>
      </c>
      <c r="F331" t="s">
        <v>52</v>
      </c>
      <c r="G331" t="s">
        <v>70</v>
      </c>
      <c r="I331">
        <v>2020</v>
      </c>
      <c r="J331">
        <v>31.527599999999996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83</v>
      </c>
      <c r="D332" t="s">
        <v>68</v>
      </c>
      <c r="E332" t="s">
        <v>69</v>
      </c>
      <c r="F332" t="s">
        <v>52</v>
      </c>
      <c r="G332" t="s">
        <v>70</v>
      </c>
      <c r="I332">
        <v>2025</v>
      </c>
      <c r="J332">
        <v>29.751000000000001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83</v>
      </c>
      <c r="D333" t="s">
        <v>68</v>
      </c>
      <c r="E333" t="s">
        <v>69</v>
      </c>
      <c r="F333" t="s">
        <v>52</v>
      </c>
      <c r="G333" t="s">
        <v>70</v>
      </c>
      <c r="I333">
        <v>2030</v>
      </c>
      <c r="J333">
        <v>29.111799999999999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83</v>
      </c>
      <c r="D334" t="s">
        <v>68</v>
      </c>
      <c r="E334" t="s">
        <v>69</v>
      </c>
      <c r="F334" t="s">
        <v>52</v>
      </c>
      <c r="G334" t="s">
        <v>70</v>
      </c>
      <c r="I334">
        <v>2035</v>
      </c>
      <c r="J334">
        <v>16.412400000000002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83</v>
      </c>
      <c r="D335" t="s">
        <v>68</v>
      </c>
      <c r="E335" t="s">
        <v>69</v>
      </c>
      <c r="F335" t="s">
        <v>52</v>
      </c>
      <c r="G335" t="s">
        <v>70</v>
      </c>
      <c r="I335">
        <v>2040</v>
      </c>
      <c r="J335">
        <v>4.7469999999999999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83</v>
      </c>
      <c r="D336" t="s">
        <v>68</v>
      </c>
      <c r="E336" t="s">
        <v>69</v>
      </c>
      <c r="F336" t="s">
        <v>52</v>
      </c>
      <c r="G336" t="s">
        <v>70</v>
      </c>
      <c r="I336">
        <v>2045</v>
      </c>
      <c r="J336">
        <v>1.8706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83</v>
      </c>
      <c r="D337" t="s">
        <v>68</v>
      </c>
      <c r="E337" t="s">
        <v>69</v>
      </c>
      <c r="F337" t="s">
        <v>52</v>
      </c>
      <c r="G337" t="s">
        <v>70</v>
      </c>
      <c r="I337">
        <v>2050</v>
      </c>
      <c r="J337">
        <v>0.26319999999999999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83</v>
      </c>
      <c r="D338" t="s">
        <v>68</v>
      </c>
      <c r="E338" t="s">
        <v>69</v>
      </c>
      <c r="F338" t="s">
        <v>53</v>
      </c>
      <c r="G338" t="s">
        <v>70</v>
      </c>
      <c r="I338">
        <v>2020</v>
      </c>
      <c r="J338">
        <v>2.5960000000000001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83</v>
      </c>
      <c r="D339" t="s">
        <v>68</v>
      </c>
      <c r="E339" t="s">
        <v>69</v>
      </c>
      <c r="F339" t="s">
        <v>53</v>
      </c>
      <c r="G339" t="s">
        <v>70</v>
      </c>
      <c r="I339">
        <v>2025</v>
      </c>
      <c r="J339">
        <v>4.125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83</v>
      </c>
      <c r="D340" t="s">
        <v>68</v>
      </c>
      <c r="E340" t="s">
        <v>69</v>
      </c>
      <c r="F340" t="s">
        <v>53</v>
      </c>
      <c r="G340" t="s">
        <v>70</v>
      </c>
      <c r="I340">
        <v>2030</v>
      </c>
      <c r="J340">
        <v>7.931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83</v>
      </c>
      <c r="D341" t="s">
        <v>68</v>
      </c>
      <c r="E341" t="s">
        <v>69</v>
      </c>
      <c r="F341" t="s">
        <v>53</v>
      </c>
      <c r="G341" t="s">
        <v>70</v>
      </c>
      <c r="I341">
        <v>2035</v>
      </c>
      <c r="J341">
        <v>13.870999999999999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83</v>
      </c>
      <c r="D342" t="s">
        <v>68</v>
      </c>
      <c r="E342" t="s">
        <v>69</v>
      </c>
      <c r="F342" t="s">
        <v>53</v>
      </c>
      <c r="G342" t="s">
        <v>70</v>
      </c>
      <c r="I342">
        <v>2040</v>
      </c>
      <c r="J342">
        <v>9.9934999999999992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83</v>
      </c>
      <c r="D343" t="s">
        <v>68</v>
      </c>
      <c r="E343" t="s">
        <v>69</v>
      </c>
      <c r="F343" t="s">
        <v>53</v>
      </c>
      <c r="G343" t="s">
        <v>70</v>
      </c>
      <c r="I343">
        <v>2045</v>
      </c>
      <c r="J343">
        <v>10.351000000000001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83</v>
      </c>
      <c r="D344" t="s">
        <v>68</v>
      </c>
      <c r="E344" t="s">
        <v>69</v>
      </c>
      <c r="F344" t="s">
        <v>53</v>
      </c>
      <c r="G344" t="s">
        <v>70</v>
      </c>
      <c r="I344">
        <v>2050</v>
      </c>
      <c r="J344">
        <v>6.8035000000000005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83</v>
      </c>
      <c r="D345" t="s">
        <v>68</v>
      </c>
      <c r="E345" t="s">
        <v>69</v>
      </c>
      <c r="F345" t="s">
        <v>54</v>
      </c>
      <c r="G345" t="s">
        <v>70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83</v>
      </c>
      <c r="D346" t="s">
        <v>68</v>
      </c>
      <c r="E346" t="s">
        <v>69</v>
      </c>
      <c r="F346" t="s">
        <v>54</v>
      </c>
      <c r="G346" t="s">
        <v>70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83</v>
      </c>
      <c r="D347" t="s">
        <v>68</v>
      </c>
      <c r="E347" t="s">
        <v>69</v>
      </c>
      <c r="F347" t="s">
        <v>54</v>
      </c>
      <c r="G347" t="s">
        <v>70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83</v>
      </c>
      <c r="D348" t="s">
        <v>68</v>
      </c>
      <c r="E348" t="s">
        <v>69</v>
      </c>
      <c r="F348" t="s">
        <v>54</v>
      </c>
      <c r="G348" t="s">
        <v>70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83</v>
      </c>
      <c r="D349" t="s">
        <v>68</v>
      </c>
      <c r="E349" t="s">
        <v>69</v>
      </c>
      <c r="F349" t="s">
        <v>54</v>
      </c>
      <c r="G349" t="s">
        <v>70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83</v>
      </c>
      <c r="D350" t="s">
        <v>68</v>
      </c>
      <c r="E350" t="s">
        <v>69</v>
      </c>
      <c r="F350" t="s">
        <v>54</v>
      </c>
      <c r="G350" t="s">
        <v>70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83</v>
      </c>
      <c r="D351" t="s">
        <v>68</v>
      </c>
      <c r="E351" t="s">
        <v>69</v>
      </c>
      <c r="F351" t="s">
        <v>54</v>
      </c>
      <c r="G351" t="s">
        <v>70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83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1.4567000000000001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83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1.6177999999999999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83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3.9929999999999999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83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3.4146000000000001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83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6.7903000000000002</v>
      </c>
      <c r="K356" t="s">
        <v>29</v>
      </c>
    </row>
    <row r="357" spans="1:11" x14ac:dyDescent="0.45">
      <c r="A357" t="s">
        <v>23</v>
      </c>
      <c r="B357" t="s">
        <v>6</v>
      </c>
      <c r="C357" t="s">
        <v>83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83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11.5146</v>
      </c>
      <c r="K358" t="s">
        <v>29</v>
      </c>
    </row>
    <row r="359" spans="1:11" x14ac:dyDescent="0.45">
      <c r="A359" t="s">
        <v>23</v>
      </c>
      <c r="B359" t="s">
        <v>6</v>
      </c>
      <c r="C359" t="s">
        <v>83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1.2613000000000001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83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1.3259000000000001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83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1.4076</v>
      </c>
      <c r="K361" t="s">
        <v>33</v>
      </c>
    </row>
    <row r="362" spans="1:11" x14ac:dyDescent="0.45">
      <c r="A362" t="s">
        <v>23</v>
      </c>
      <c r="B362" t="s">
        <v>6</v>
      </c>
      <c r="C362" t="s">
        <v>83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2.1375999999999999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83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1.8723000000000001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83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1.8866000000000001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83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2.8264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83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2.1600999999999999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83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2.2334999999999998</v>
      </c>
      <c r="K367" t="s">
        <v>35</v>
      </c>
    </row>
    <row r="368" spans="1:11" x14ac:dyDescent="0.45">
      <c r="A368" t="s">
        <v>23</v>
      </c>
      <c r="B368" t="s">
        <v>6</v>
      </c>
      <c r="C368" t="s">
        <v>83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2.3765000000000001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83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2.9554999999999998</v>
      </c>
      <c r="K369" t="s">
        <v>35</v>
      </c>
    </row>
    <row r="370" spans="1:11" x14ac:dyDescent="0.45">
      <c r="A370" t="s">
        <v>23</v>
      </c>
      <c r="B370" t="s">
        <v>6</v>
      </c>
      <c r="C370" t="s">
        <v>83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2.8641000000000001</v>
      </c>
      <c r="K370" t="s">
        <v>35</v>
      </c>
    </row>
    <row r="371" spans="1:11" x14ac:dyDescent="0.45">
      <c r="A371" t="s">
        <v>23</v>
      </c>
      <c r="B371" t="s">
        <v>6</v>
      </c>
      <c r="C371" t="s">
        <v>83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3.1072000000000002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83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3.6869000000000001</v>
      </c>
      <c r="K372" t="s">
        <v>35</v>
      </c>
    </row>
    <row r="373" spans="1:11" x14ac:dyDescent="0.45">
      <c r="A373" t="s">
        <v>23</v>
      </c>
      <c r="B373" t="s">
        <v>6</v>
      </c>
      <c r="C373" t="s">
        <v>83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2.2349999999999999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83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4.1003999999999996</v>
      </c>
      <c r="K374" t="s">
        <v>37</v>
      </c>
    </row>
    <row r="375" spans="1:11" x14ac:dyDescent="0.45">
      <c r="A375" t="s">
        <v>23</v>
      </c>
      <c r="B375" t="s">
        <v>6</v>
      </c>
      <c r="C375" t="s">
        <v>83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4.12</v>
      </c>
      <c r="K375" t="s">
        <v>37</v>
      </c>
    </row>
    <row r="376" spans="1:11" x14ac:dyDescent="0.45">
      <c r="A376" t="s">
        <v>23</v>
      </c>
      <c r="B376" t="s">
        <v>6</v>
      </c>
      <c r="C376" t="s">
        <v>83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5.0217999999999998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83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4.5254000000000003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83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5.2186000000000003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83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5.9955999999999996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83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269.65100000000001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83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264.36309999999997</v>
      </c>
      <c r="K381" t="s">
        <v>48</v>
      </c>
    </row>
    <row r="382" spans="1:11" x14ac:dyDescent="0.45">
      <c r="A382" t="s">
        <v>23</v>
      </c>
      <c r="B382" t="s">
        <v>6</v>
      </c>
      <c r="C382" t="s">
        <v>83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263.15289999999999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83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222.48759999999999</v>
      </c>
      <c r="K383" t="s">
        <v>48</v>
      </c>
    </row>
    <row r="384" spans="1:11" x14ac:dyDescent="0.45">
      <c r="A384" t="s">
        <v>23</v>
      </c>
      <c r="B384" t="s">
        <v>6</v>
      </c>
      <c r="C384" t="s">
        <v>83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162.5908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83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145.07339999999999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83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120.3685</v>
      </c>
      <c r="K386" t="s">
        <v>48</v>
      </c>
    </row>
    <row r="387" spans="1:11" x14ac:dyDescent="0.45">
      <c r="A387" t="s">
        <v>23</v>
      </c>
      <c r="B387" t="s">
        <v>6</v>
      </c>
      <c r="C387" t="s">
        <v>83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223.16550000000001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83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222.2122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83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228.8468</v>
      </c>
      <c r="K389" t="s">
        <v>51</v>
      </c>
    </row>
    <row r="390" spans="1:11" x14ac:dyDescent="0.45">
      <c r="A390" t="s">
        <v>23</v>
      </c>
      <c r="B390" t="s">
        <v>6</v>
      </c>
      <c r="C390" t="s">
        <v>83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202.042</v>
      </c>
      <c r="K390" t="s">
        <v>51</v>
      </c>
    </row>
    <row r="391" spans="1:11" x14ac:dyDescent="0.45">
      <c r="A391" t="s">
        <v>23</v>
      </c>
      <c r="B391" t="s">
        <v>6</v>
      </c>
      <c r="C391" t="s">
        <v>83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156.09360000000001</v>
      </c>
      <c r="K391" t="s">
        <v>51</v>
      </c>
    </row>
    <row r="392" spans="1:11" x14ac:dyDescent="0.45">
      <c r="A392" t="s">
        <v>23</v>
      </c>
      <c r="B392" t="s">
        <v>6</v>
      </c>
      <c r="C392" t="s">
        <v>83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144.66810000000001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83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124.41670000000001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83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83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83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13.2027</v>
      </c>
      <c r="K396" t="s">
        <v>45</v>
      </c>
    </row>
    <row r="397" spans="1:11" x14ac:dyDescent="0.45">
      <c r="A397" t="s">
        <v>23</v>
      </c>
      <c r="B397" t="s">
        <v>5</v>
      </c>
      <c r="C397" t="s">
        <v>83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13.215999999999999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83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15.03</v>
      </c>
      <c r="K398" t="s">
        <v>45</v>
      </c>
    </row>
    <row r="399" spans="1:11" x14ac:dyDescent="0.45">
      <c r="A399" t="s">
        <v>23</v>
      </c>
      <c r="B399" t="s">
        <v>5</v>
      </c>
      <c r="C399" t="s">
        <v>83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15.550800000000001</v>
      </c>
      <c r="K399" t="s">
        <v>45</v>
      </c>
    </row>
    <row r="400" spans="1:11" x14ac:dyDescent="0.45">
      <c r="A400" t="s">
        <v>23</v>
      </c>
      <c r="B400" t="s">
        <v>5</v>
      </c>
      <c r="C400" t="s">
        <v>83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17.9832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83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0.128</v>
      </c>
      <c r="K401" t="s">
        <v>24</v>
      </c>
    </row>
    <row r="402" spans="1:11" x14ac:dyDescent="0.45">
      <c r="A402" t="s">
        <v>23</v>
      </c>
      <c r="B402" t="s">
        <v>5</v>
      </c>
      <c r="C402" t="s">
        <v>83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0.14499999999999999</v>
      </c>
      <c r="K402" t="s">
        <v>24</v>
      </c>
    </row>
    <row r="403" spans="1:11" x14ac:dyDescent="0.45">
      <c r="A403" t="s">
        <v>23</v>
      </c>
      <c r="B403" t="s">
        <v>5</v>
      </c>
      <c r="C403" t="s">
        <v>83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0.1032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83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0.1255</v>
      </c>
      <c r="K404" t="s">
        <v>24</v>
      </c>
    </row>
    <row r="405" spans="1:11" x14ac:dyDescent="0.45">
      <c r="A405" t="s">
        <v>23</v>
      </c>
      <c r="B405" t="s">
        <v>5</v>
      </c>
      <c r="C405" t="s">
        <v>83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0.12089999999999999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83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9.2399999999999996E-2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83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6.9800000000000001E-2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83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0.11550000000000001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83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0.14330000000000001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83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0.18820000000000001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83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0.2208</v>
      </c>
      <c r="K411" t="s">
        <v>28</v>
      </c>
    </row>
    <row r="412" spans="1:11" x14ac:dyDescent="0.45">
      <c r="A412" t="s">
        <v>23</v>
      </c>
      <c r="B412" t="s">
        <v>5</v>
      </c>
      <c r="C412" t="s">
        <v>83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0.26240000000000002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83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0.26690000000000003</v>
      </c>
      <c r="K413" t="s">
        <v>28</v>
      </c>
    </row>
    <row r="414" spans="1:11" x14ac:dyDescent="0.45">
      <c r="A414" t="s">
        <v>23</v>
      </c>
      <c r="B414" t="s">
        <v>5</v>
      </c>
      <c r="C414" t="s">
        <v>83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0.25019999999999998</v>
      </c>
      <c r="K414" t="s">
        <v>28</v>
      </c>
    </row>
    <row r="415" spans="1:11" x14ac:dyDescent="0.45">
      <c r="A415" t="s">
        <v>23</v>
      </c>
      <c r="B415" t="s">
        <v>5</v>
      </c>
      <c r="C415" t="s">
        <v>83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2.4899999999999999E-2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83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2.3300000000000001E-2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83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7.4499999999999997E-2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83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0.16689999999999999</v>
      </c>
      <c r="K418" t="s">
        <v>27</v>
      </c>
    </row>
    <row r="419" spans="1:12" x14ac:dyDescent="0.45">
      <c r="A419" t="s">
        <v>23</v>
      </c>
      <c r="B419" t="s">
        <v>5</v>
      </c>
      <c r="C419" t="s">
        <v>83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0.2671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83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0.27479999999999999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83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0.2651</v>
      </c>
      <c r="K421" t="s">
        <v>27</v>
      </c>
    </row>
    <row r="422" spans="1:12" x14ac:dyDescent="0.45">
      <c r="A422" t="s">
        <v>23</v>
      </c>
      <c r="B422" t="s">
        <v>5</v>
      </c>
      <c r="C422" t="s">
        <v>83</v>
      </c>
      <c r="D422" t="s">
        <v>84</v>
      </c>
      <c r="E422" t="s">
        <v>25</v>
      </c>
      <c r="F422" t="s">
        <v>84</v>
      </c>
      <c r="G422" t="s">
        <v>26</v>
      </c>
      <c r="H422" t="s">
        <v>81</v>
      </c>
      <c r="I422">
        <v>2020</v>
      </c>
      <c r="J422">
        <v>0</v>
      </c>
      <c r="K422" t="s">
        <v>84</v>
      </c>
    </row>
    <row r="423" spans="1:12" x14ac:dyDescent="0.45">
      <c r="A423" t="s">
        <v>23</v>
      </c>
      <c r="B423" t="s">
        <v>5</v>
      </c>
      <c r="C423" t="s">
        <v>83</v>
      </c>
      <c r="D423" t="s">
        <v>84</v>
      </c>
      <c r="E423" t="s">
        <v>25</v>
      </c>
      <c r="F423" t="s">
        <v>84</v>
      </c>
      <c r="G423" t="s">
        <v>26</v>
      </c>
      <c r="H423" t="s">
        <v>81</v>
      </c>
      <c r="I423">
        <v>2025</v>
      </c>
      <c r="J423">
        <v>0</v>
      </c>
      <c r="K423" t="s">
        <v>84</v>
      </c>
    </row>
    <row r="424" spans="1:12" x14ac:dyDescent="0.45">
      <c r="A424" t="s">
        <v>23</v>
      </c>
      <c r="B424" t="s">
        <v>5</v>
      </c>
      <c r="C424" t="s">
        <v>83</v>
      </c>
      <c r="D424" t="s">
        <v>84</v>
      </c>
      <c r="E424" t="s">
        <v>25</v>
      </c>
      <c r="F424" t="s">
        <v>84</v>
      </c>
      <c r="G424" t="s">
        <v>26</v>
      </c>
      <c r="H424" t="s">
        <v>81</v>
      </c>
      <c r="I424">
        <v>2030</v>
      </c>
      <c r="J424">
        <v>1.6299999999999999E-2</v>
      </c>
      <c r="K424" t="s">
        <v>84</v>
      </c>
    </row>
    <row r="425" spans="1:12" x14ac:dyDescent="0.45">
      <c r="A425" t="s">
        <v>23</v>
      </c>
      <c r="B425" t="s">
        <v>5</v>
      </c>
      <c r="C425" t="s">
        <v>83</v>
      </c>
      <c r="D425" t="s">
        <v>84</v>
      </c>
      <c r="E425" t="s">
        <v>25</v>
      </c>
      <c r="F425" t="s">
        <v>84</v>
      </c>
      <c r="G425" t="s">
        <v>26</v>
      </c>
      <c r="H425" t="s">
        <v>81</v>
      </c>
      <c r="I425">
        <v>2035</v>
      </c>
      <c r="J425">
        <v>2.4299999999999999E-2</v>
      </c>
      <c r="K425" t="s">
        <v>84</v>
      </c>
    </row>
    <row r="426" spans="1:12" x14ac:dyDescent="0.45">
      <c r="A426" t="s">
        <v>23</v>
      </c>
      <c r="B426" t="s">
        <v>5</v>
      </c>
      <c r="C426" t="s">
        <v>83</v>
      </c>
      <c r="D426" t="s">
        <v>84</v>
      </c>
      <c r="E426" t="s">
        <v>25</v>
      </c>
      <c r="F426" t="s">
        <v>84</v>
      </c>
      <c r="G426" t="s">
        <v>26</v>
      </c>
      <c r="H426" t="s">
        <v>81</v>
      </c>
      <c r="I426">
        <v>2040</v>
      </c>
      <c r="J426">
        <v>4.3099999999999999E-2</v>
      </c>
      <c r="K426" t="s">
        <v>84</v>
      </c>
    </row>
    <row r="427" spans="1:12" x14ac:dyDescent="0.45">
      <c r="A427" t="s">
        <v>23</v>
      </c>
      <c r="B427" t="s">
        <v>5</v>
      </c>
      <c r="C427" t="s">
        <v>83</v>
      </c>
      <c r="D427" t="s">
        <v>84</v>
      </c>
      <c r="E427" t="s">
        <v>25</v>
      </c>
      <c r="F427" t="s">
        <v>84</v>
      </c>
      <c r="G427" t="s">
        <v>26</v>
      </c>
      <c r="H427" t="s">
        <v>81</v>
      </c>
      <c r="I427">
        <v>2045</v>
      </c>
      <c r="J427">
        <v>6.0600000000000001E-2</v>
      </c>
      <c r="K427" t="s">
        <v>84</v>
      </c>
    </row>
    <row r="428" spans="1:12" x14ac:dyDescent="0.45">
      <c r="A428" t="s">
        <v>23</v>
      </c>
      <c r="B428" t="s">
        <v>5</v>
      </c>
      <c r="C428" t="s">
        <v>83</v>
      </c>
      <c r="D428" t="s">
        <v>84</v>
      </c>
      <c r="E428" t="s">
        <v>25</v>
      </c>
      <c r="F428" t="s">
        <v>84</v>
      </c>
      <c r="G428" t="s">
        <v>26</v>
      </c>
      <c r="H428" t="s">
        <v>81</v>
      </c>
      <c r="I428">
        <v>2050</v>
      </c>
      <c r="J428">
        <v>8.2900000000000001E-2</v>
      </c>
      <c r="K428" t="s">
        <v>84</v>
      </c>
    </row>
    <row r="429" spans="1:12" x14ac:dyDescent="0.45">
      <c r="A429" t="s">
        <v>23</v>
      </c>
      <c r="B429" t="s">
        <v>5</v>
      </c>
      <c r="C429" t="s">
        <v>83</v>
      </c>
      <c r="D429" t="s">
        <v>68</v>
      </c>
      <c r="E429" t="s">
        <v>69</v>
      </c>
      <c r="F429" t="s">
        <v>52</v>
      </c>
      <c r="G429" t="s">
        <v>70</v>
      </c>
      <c r="I429">
        <v>2020</v>
      </c>
      <c r="J429">
        <v>31.292599999999997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83</v>
      </c>
      <c r="D430" t="s">
        <v>68</v>
      </c>
      <c r="E430" t="s">
        <v>69</v>
      </c>
      <c r="F430" t="s">
        <v>52</v>
      </c>
      <c r="G430" t="s">
        <v>70</v>
      </c>
      <c r="I430">
        <v>2025</v>
      </c>
      <c r="J430">
        <v>35.043199999999999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83</v>
      </c>
      <c r="D431" t="s">
        <v>68</v>
      </c>
      <c r="E431" t="s">
        <v>69</v>
      </c>
      <c r="F431" t="s">
        <v>52</v>
      </c>
      <c r="G431" t="s">
        <v>70</v>
      </c>
      <c r="I431">
        <v>2030</v>
      </c>
      <c r="J431">
        <v>1.5697999999999999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83</v>
      </c>
      <c r="D432" t="s">
        <v>68</v>
      </c>
      <c r="E432" t="s">
        <v>69</v>
      </c>
      <c r="F432" t="s">
        <v>52</v>
      </c>
      <c r="G432" t="s">
        <v>70</v>
      </c>
      <c r="I432">
        <v>2035</v>
      </c>
      <c r="J432">
        <v>0.3196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83</v>
      </c>
      <c r="D433" t="s">
        <v>68</v>
      </c>
      <c r="E433" t="s">
        <v>69</v>
      </c>
      <c r="F433" t="s">
        <v>52</v>
      </c>
      <c r="G433" t="s">
        <v>70</v>
      </c>
      <c r="I433">
        <v>2040</v>
      </c>
      <c r="J433">
        <v>0.20680000000000001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83</v>
      </c>
      <c r="D434" t="s">
        <v>68</v>
      </c>
      <c r="E434" t="s">
        <v>69</v>
      </c>
      <c r="F434" t="s">
        <v>52</v>
      </c>
      <c r="G434" t="s">
        <v>70</v>
      </c>
      <c r="I434">
        <v>2045</v>
      </c>
      <c r="J434">
        <v>0.188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83</v>
      </c>
      <c r="D435" t="s">
        <v>68</v>
      </c>
      <c r="E435" t="s">
        <v>69</v>
      </c>
      <c r="F435" t="s">
        <v>52</v>
      </c>
      <c r="G435" t="s">
        <v>70</v>
      </c>
      <c r="I435">
        <v>2050</v>
      </c>
      <c r="J435">
        <v>8.4599999999999995E-2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83</v>
      </c>
      <c r="D436" t="s">
        <v>68</v>
      </c>
      <c r="E436" t="s">
        <v>69</v>
      </c>
      <c r="F436" t="s">
        <v>53</v>
      </c>
      <c r="G436" t="s">
        <v>70</v>
      </c>
      <c r="I436">
        <v>2020</v>
      </c>
      <c r="J436">
        <v>2.6565000000000003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83</v>
      </c>
      <c r="D437" t="s">
        <v>68</v>
      </c>
      <c r="E437" t="s">
        <v>69</v>
      </c>
      <c r="F437" t="s">
        <v>53</v>
      </c>
      <c r="G437" t="s">
        <v>70</v>
      </c>
      <c r="I437">
        <v>2025</v>
      </c>
      <c r="J437">
        <v>5.1864999999999997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83</v>
      </c>
      <c r="D438" t="s">
        <v>68</v>
      </c>
      <c r="E438" t="s">
        <v>69</v>
      </c>
      <c r="F438" t="s">
        <v>53</v>
      </c>
      <c r="G438" t="s">
        <v>70</v>
      </c>
      <c r="I438">
        <v>2030</v>
      </c>
      <c r="J438">
        <v>3.5914999999999999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83</v>
      </c>
      <c r="D439" t="s">
        <v>68</v>
      </c>
      <c r="E439" t="s">
        <v>69</v>
      </c>
      <c r="F439" t="s">
        <v>53</v>
      </c>
      <c r="G439" t="s">
        <v>70</v>
      </c>
      <c r="I439">
        <v>2035</v>
      </c>
      <c r="J439">
        <v>0.5665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83</v>
      </c>
      <c r="D440" t="s">
        <v>68</v>
      </c>
      <c r="E440" t="s">
        <v>69</v>
      </c>
      <c r="F440" t="s">
        <v>53</v>
      </c>
      <c r="G440" t="s">
        <v>70</v>
      </c>
      <c r="I440">
        <v>2040</v>
      </c>
      <c r="J440">
        <v>1.2870000000000001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83</v>
      </c>
      <c r="D441" t="s">
        <v>68</v>
      </c>
      <c r="E441" t="s">
        <v>69</v>
      </c>
      <c r="F441" t="s">
        <v>53</v>
      </c>
      <c r="G441" t="s">
        <v>70</v>
      </c>
      <c r="I441">
        <v>2045</v>
      </c>
      <c r="J441">
        <v>1.298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83</v>
      </c>
      <c r="D442" t="s">
        <v>68</v>
      </c>
      <c r="E442" t="s">
        <v>69</v>
      </c>
      <c r="F442" t="s">
        <v>53</v>
      </c>
      <c r="G442" t="s">
        <v>70</v>
      </c>
      <c r="I442">
        <v>2050</v>
      </c>
      <c r="J442">
        <v>0.98449999999999993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83</v>
      </c>
      <c r="D443" t="s">
        <v>68</v>
      </c>
      <c r="E443" t="s">
        <v>69</v>
      </c>
      <c r="F443" t="s">
        <v>54</v>
      </c>
      <c r="G443" t="s">
        <v>70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83</v>
      </c>
      <c r="D444" t="s">
        <v>68</v>
      </c>
      <c r="E444" t="s">
        <v>69</v>
      </c>
      <c r="F444" t="s">
        <v>54</v>
      </c>
      <c r="G444" t="s">
        <v>70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83</v>
      </c>
      <c r="D445" t="s">
        <v>68</v>
      </c>
      <c r="E445" t="s">
        <v>69</v>
      </c>
      <c r="F445" t="s">
        <v>54</v>
      </c>
      <c r="G445" t="s">
        <v>70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83</v>
      </c>
      <c r="D446" t="s">
        <v>68</v>
      </c>
      <c r="E446" t="s">
        <v>69</v>
      </c>
      <c r="F446" t="s">
        <v>54</v>
      </c>
      <c r="G446" t="s">
        <v>70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83</v>
      </c>
      <c r="D447" t="s">
        <v>68</v>
      </c>
      <c r="E447" t="s">
        <v>69</v>
      </c>
      <c r="F447" t="s">
        <v>54</v>
      </c>
      <c r="G447" t="s">
        <v>70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83</v>
      </c>
      <c r="D448" t="s">
        <v>68</v>
      </c>
      <c r="E448" t="s">
        <v>69</v>
      </c>
      <c r="F448" t="s">
        <v>54</v>
      </c>
      <c r="G448" t="s">
        <v>70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83</v>
      </c>
      <c r="D449" t="s">
        <v>68</v>
      </c>
      <c r="E449" t="s">
        <v>69</v>
      </c>
      <c r="F449" t="s">
        <v>54</v>
      </c>
      <c r="G449" t="s">
        <v>70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83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1.4567000000000001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83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1.5658000000000001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83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7.9062999999999999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83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83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13.4625</v>
      </c>
      <c r="K454" t="s">
        <v>29</v>
      </c>
    </row>
    <row r="455" spans="1:12" x14ac:dyDescent="0.45">
      <c r="A455" t="s">
        <v>23</v>
      </c>
      <c r="B455" t="s">
        <v>5</v>
      </c>
      <c r="C455" t="s">
        <v>83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18.413599999999999</v>
      </c>
      <c r="K455" t="s">
        <v>29</v>
      </c>
    </row>
    <row r="456" spans="1:12" x14ac:dyDescent="0.45">
      <c r="A456" t="s">
        <v>23</v>
      </c>
      <c r="B456" t="s">
        <v>5</v>
      </c>
      <c r="C456" t="s">
        <v>83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17.232800000000001</v>
      </c>
      <c r="K456" t="s">
        <v>29</v>
      </c>
    </row>
    <row r="457" spans="1:12" x14ac:dyDescent="0.45">
      <c r="A457" t="s">
        <v>23</v>
      </c>
      <c r="B457" t="s">
        <v>5</v>
      </c>
      <c r="C457" t="s">
        <v>83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1.2613000000000001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83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1.2619</v>
      </c>
      <c r="K458" t="s">
        <v>33</v>
      </c>
    </row>
    <row r="459" spans="1:12" x14ac:dyDescent="0.45">
      <c r="A459" t="s">
        <v>23</v>
      </c>
      <c r="B459" t="s">
        <v>5</v>
      </c>
      <c r="C459" t="s">
        <v>83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3.7263000000000002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83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4.8419999999999996</v>
      </c>
      <c r="K460" t="s">
        <v>33</v>
      </c>
    </row>
    <row r="461" spans="1:12" x14ac:dyDescent="0.45">
      <c r="A461" t="s">
        <v>23</v>
      </c>
      <c r="B461" t="s">
        <v>5</v>
      </c>
      <c r="C461" t="s">
        <v>83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5.3133999999999997</v>
      </c>
      <c r="K461" t="s">
        <v>33</v>
      </c>
    </row>
    <row r="462" spans="1:12" x14ac:dyDescent="0.45">
      <c r="A462" t="s">
        <v>23</v>
      </c>
      <c r="B462" t="s">
        <v>5</v>
      </c>
      <c r="C462" t="s">
        <v>83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6.2083000000000004</v>
      </c>
      <c r="K462" t="s">
        <v>33</v>
      </c>
    </row>
    <row r="463" spans="1:12" x14ac:dyDescent="0.45">
      <c r="A463" t="s">
        <v>23</v>
      </c>
      <c r="B463" t="s">
        <v>5</v>
      </c>
      <c r="C463" t="s">
        <v>83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5.3627000000000002</v>
      </c>
      <c r="K463" t="s">
        <v>33</v>
      </c>
    </row>
    <row r="464" spans="1:12" x14ac:dyDescent="0.45">
      <c r="A464" t="s">
        <v>23</v>
      </c>
      <c r="B464" t="s">
        <v>5</v>
      </c>
      <c r="C464" t="s">
        <v>83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2.1600999999999999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83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2.2212000000000001</v>
      </c>
      <c r="K465" t="s">
        <v>35</v>
      </c>
    </row>
    <row r="466" spans="1:11" x14ac:dyDescent="0.45">
      <c r="A466" t="s">
        <v>23</v>
      </c>
      <c r="B466" t="s">
        <v>5</v>
      </c>
      <c r="C466" t="s">
        <v>83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0.31909999999999999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83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1.3388</v>
      </c>
      <c r="K467" t="s">
        <v>35</v>
      </c>
    </row>
    <row r="468" spans="1:11" x14ac:dyDescent="0.45">
      <c r="A468" t="s">
        <v>23</v>
      </c>
      <c r="B468" t="s">
        <v>5</v>
      </c>
      <c r="C468" t="s">
        <v>83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2.4256000000000002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83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3.5181</v>
      </c>
      <c r="K469" t="s">
        <v>35</v>
      </c>
    </row>
    <row r="470" spans="1:11" x14ac:dyDescent="0.45">
      <c r="A470" t="s">
        <v>23</v>
      </c>
      <c r="B470" t="s">
        <v>5</v>
      </c>
      <c r="C470" t="s">
        <v>83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3.9782000000000002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83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2.2349999999999999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83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4.0782999999999996</v>
      </c>
      <c r="K472" t="s">
        <v>37</v>
      </c>
    </row>
    <row r="473" spans="1:11" x14ac:dyDescent="0.45">
      <c r="A473" t="s">
        <v>23</v>
      </c>
      <c r="B473" t="s">
        <v>5</v>
      </c>
      <c r="C473" t="s">
        <v>83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1.9999</v>
      </c>
      <c r="K473" t="s">
        <v>37</v>
      </c>
    </row>
    <row r="474" spans="1:11" x14ac:dyDescent="0.45">
      <c r="A474" t="s">
        <v>23</v>
      </c>
      <c r="B474" t="s">
        <v>5</v>
      </c>
      <c r="C474" t="s">
        <v>83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4.3632999999999997</v>
      </c>
      <c r="K474" t="s">
        <v>37</v>
      </c>
    </row>
    <row r="475" spans="1:11" x14ac:dyDescent="0.45">
      <c r="A475" t="s">
        <v>23</v>
      </c>
      <c r="B475" t="s">
        <v>5</v>
      </c>
      <c r="C475" t="s">
        <v>83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3.8159000000000001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83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7.8609</v>
      </c>
      <c r="K476" t="s">
        <v>37</v>
      </c>
    </row>
    <row r="477" spans="1:11" x14ac:dyDescent="0.45">
      <c r="A477" t="s">
        <v>23</v>
      </c>
      <c r="B477" t="s">
        <v>5</v>
      </c>
      <c r="C477" t="s">
        <v>83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2.9281999999999999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83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266.35270000000003</v>
      </c>
      <c r="K478" t="s">
        <v>48</v>
      </c>
    </row>
    <row r="479" spans="1:11" x14ac:dyDescent="0.45">
      <c r="A479" t="s">
        <v>23</v>
      </c>
      <c r="B479" t="s">
        <v>5</v>
      </c>
      <c r="C479" t="s">
        <v>83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280.49540000000002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83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153.1679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83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85.054100000000005</v>
      </c>
      <c r="K481" t="s">
        <v>48</v>
      </c>
    </row>
    <row r="482" spans="1:11" x14ac:dyDescent="0.45">
      <c r="A482" t="s">
        <v>23</v>
      </c>
      <c r="B482" t="s">
        <v>5</v>
      </c>
      <c r="C482" t="s">
        <v>83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36.617199999999997</v>
      </c>
      <c r="K482" t="s">
        <v>48</v>
      </c>
    </row>
    <row r="483" spans="1:11" x14ac:dyDescent="0.45">
      <c r="A483" t="s">
        <v>23</v>
      </c>
      <c r="B483" t="s">
        <v>5</v>
      </c>
      <c r="C483" t="s">
        <v>83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17.2197</v>
      </c>
      <c r="K483" t="s">
        <v>48</v>
      </c>
    </row>
    <row r="484" spans="1:11" x14ac:dyDescent="0.45">
      <c r="A484" t="s">
        <v>23</v>
      </c>
      <c r="B484" t="s">
        <v>5</v>
      </c>
      <c r="C484" t="s">
        <v>83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4.7371999999999996</v>
      </c>
      <c r="K484" t="s">
        <v>48</v>
      </c>
    </row>
    <row r="485" spans="1:11" x14ac:dyDescent="0.45">
      <c r="A485" t="s">
        <v>23</v>
      </c>
      <c r="B485" t="s">
        <v>5</v>
      </c>
      <c r="C485" t="s">
        <v>83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220.08709999999999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83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235.7355</v>
      </c>
      <c r="K486" t="s">
        <v>51</v>
      </c>
    </row>
    <row r="487" spans="1:11" x14ac:dyDescent="0.45">
      <c r="A487" t="s">
        <v>23</v>
      </c>
      <c r="B487" t="s">
        <v>5</v>
      </c>
      <c r="C487" t="s">
        <v>83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121.7821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83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64.871600000000001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83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28.217700000000001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83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17.107199999999999</v>
      </c>
      <c r="K490" t="s">
        <v>51</v>
      </c>
    </row>
    <row r="491" spans="1:11" x14ac:dyDescent="0.45">
      <c r="A491" t="s">
        <v>23</v>
      </c>
      <c r="B491" t="s">
        <v>5</v>
      </c>
      <c r="C491" t="s">
        <v>83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11.6936</v>
      </c>
      <c r="K491" t="s">
        <v>51</v>
      </c>
    </row>
    <row r="492" spans="1:11" x14ac:dyDescent="0.45">
      <c r="A492" t="s">
        <v>23</v>
      </c>
      <c r="B492" t="s">
        <v>2</v>
      </c>
      <c r="C492" t="s">
        <v>83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83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83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83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83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83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83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83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0.1283</v>
      </c>
      <c r="K499" t="s">
        <v>24</v>
      </c>
    </row>
    <row r="500" spans="1:11" x14ac:dyDescent="0.45">
      <c r="A500" t="s">
        <v>23</v>
      </c>
      <c r="B500" t="s">
        <v>2</v>
      </c>
      <c r="C500" t="s">
        <v>83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0.15040000000000001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83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0.1192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83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0.13370000000000001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83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0.12230000000000001</v>
      </c>
      <c r="K503" t="s">
        <v>24</v>
      </c>
    </row>
    <row r="504" spans="1:11" x14ac:dyDescent="0.45">
      <c r="A504" t="s">
        <v>23</v>
      </c>
      <c r="B504" t="s">
        <v>2</v>
      </c>
      <c r="C504" t="s">
        <v>83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0.13089999999999999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83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0.1414</v>
      </c>
      <c r="K505" t="s">
        <v>24</v>
      </c>
    </row>
    <row r="506" spans="1:11" x14ac:dyDescent="0.45">
      <c r="A506" t="s">
        <v>23</v>
      </c>
      <c r="B506" t="s">
        <v>2</v>
      </c>
      <c r="C506" t="s">
        <v>83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0.1183</v>
      </c>
      <c r="K506" t="s">
        <v>28</v>
      </c>
    </row>
    <row r="507" spans="1:11" x14ac:dyDescent="0.45">
      <c r="A507" t="s">
        <v>23</v>
      </c>
      <c r="B507" t="s">
        <v>2</v>
      </c>
      <c r="C507" t="s">
        <v>83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0.14380000000000001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83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0.18240000000000001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83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0.2238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83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0.28029999999999999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83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0.28349999999999997</v>
      </c>
      <c r="K511" t="s">
        <v>28</v>
      </c>
    </row>
    <row r="512" spans="1:11" x14ac:dyDescent="0.45">
      <c r="A512" t="s">
        <v>23</v>
      </c>
      <c r="B512" t="s">
        <v>2</v>
      </c>
      <c r="C512" t="s">
        <v>83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0.28210000000000002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83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2.58E-2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83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2.3099999999999999E-2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83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2.9700000000000001E-2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83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4.3499999999999997E-2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83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5.9900000000000002E-2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83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7.8799999999999995E-2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83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0.11070000000000001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83</v>
      </c>
      <c r="D520" t="s">
        <v>84</v>
      </c>
      <c r="E520" t="s">
        <v>25</v>
      </c>
      <c r="F520" t="s">
        <v>84</v>
      </c>
      <c r="G520" t="s">
        <v>26</v>
      </c>
      <c r="H520" t="s">
        <v>81</v>
      </c>
      <c r="I520">
        <v>2020</v>
      </c>
      <c r="J520">
        <v>0</v>
      </c>
      <c r="K520" t="s">
        <v>84</v>
      </c>
    </row>
    <row r="521" spans="1:12" x14ac:dyDescent="0.45">
      <c r="A521" t="s">
        <v>23</v>
      </c>
      <c r="B521" t="s">
        <v>2</v>
      </c>
      <c r="C521" t="s">
        <v>83</v>
      </c>
      <c r="D521" t="s">
        <v>84</v>
      </c>
      <c r="E521" t="s">
        <v>25</v>
      </c>
      <c r="F521" t="s">
        <v>84</v>
      </c>
      <c r="G521" t="s">
        <v>26</v>
      </c>
      <c r="H521" t="s">
        <v>81</v>
      </c>
      <c r="I521">
        <v>2025</v>
      </c>
      <c r="J521">
        <v>0</v>
      </c>
      <c r="K521" t="s">
        <v>84</v>
      </c>
    </row>
    <row r="522" spans="1:12" x14ac:dyDescent="0.45">
      <c r="A522" t="s">
        <v>23</v>
      </c>
      <c r="B522" t="s">
        <v>2</v>
      </c>
      <c r="C522" t="s">
        <v>83</v>
      </c>
      <c r="D522" t="s">
        <v>84</v>
      </c>
      <c r="E522" t="s">
        <v>25</v>
      </c>
      <c r="F522" t="s">
        <v>84</v>
      </c>
      <c r="G522" t="s">
        <v>26</v>
      </c>
      <c r="H522" t="s">
        <v>81</v>
      </c>
      <c r="I522">
        <v>2030</v>
      </c>
      <c r="J522">
        <v>0</v>
      </c>
      <c r="K522" t="s">
        <v>84</v>
      </c>
    </row>
    <row r="523" spans="1:12" x14ac:dyDescent="0.45">
      <c r="A523" t="s">
        <v>23</v>
      </c>
      <c r="B523" t="s">
        <v>2</v>
      </c>
      <c r="C523" t="s">
        <v>83</v>
      </c>
      <c r="D523" t="s">
        <v>84</v>
      </c>
      <c r="E523" t="s">
        <v>25</v>
      </c>
      <c r="F523" t="s">
        <v>84</v>
      </c>
      <c r="G523" t="s">
        <v>26</v>
      </c>
      <c r="H523" t="s">
        <v>81</v>
      </c>
      <c r="I523">
        <v>2035</v>
      </c>
      <c r="J523">
        <v>0</v>
      </c>
      <c r="K523" t="s">
        <v>84</v>
      </c>
    </row>
    <row r="524" spans="1:12" x14ac:dyDescent="0.45">
      <c r="A524" t="s">
        <v>23</v>
      </c>
      <c r="B524" t="s">
        <v>2</v>
      </c>
      <c r="C524" t="s">
        <v>83</v>
      </c>
      <c r="D524" t="s">
        <v>84</v>
      </c>
      <c r="E524" t="s">
        <v>25</v>
      </c>
      <c r="F524" t="s">
        <v>84</v>
      </c>
      <c r="G524" t="s">
        <v>26</v>
      </c>
      <c r="H524" t="s">
        <v>81</v>
      </c>
      <c r="I524">
        <v>2040</v>
      </c>
      <c r="J524">
        <v>0</v>
      </c>
      <c r="K524" t="s">
        <v>84</v>
      </c>
    </row>
    <row r="525" spans="1:12" x14ac:dyDescent="0.45">
      <c r="A525" t="s">
        <v>23</v>
      </c>
      <c r="B525" t="s">
        <v>2</v>
      </c>
      <c r="C525" t="s">
        <v>83</v>
      </c>
      <c r="D525" t="s">
        <v>84</v>
      </c>
      <c r="E525" t="s">
        <v>25</v>
      </c>
      <c r="F525" t="s">
        <v>84</v>
      </c>
      <c r="G525" t="s">
        <v>26</v>
      </c>
      <c r="H525" t="s">
        <v>81</v>
      </c>
      <c r="I525">
        <v>2045</v>
      </c>
      <c r="J525">
        <v>0</v>
      </c>
      <c r="K525" t="s">
        <v>84</v>
      </c>
    </row>
    <row r="526" spans="1:12" x14ac:dyDescent="0.45">
      <c r="A526" t="s">
        <v>23</v>
      </c>
      <c r="B526" t="s">
        <v>2</v>
      </c>
      <c r="C526" t="s">
        <v>83</v>
      </c>
      <c r="D526" t="s">
        <v>84</v>
      </c>
      <c r="E526" t="s">
        <v>25</v>
      </c>
      <c r="F526" t="s">
        <v>84</v>
      </c>
      <c r="G526" t="s">
        <v>26</v>
      </c>
      <c r="H526" t="s">
        <v>81</v>
      </c>
      <c r="I526">
        <v>2050</v>
      </c>
      <c r="J526">
        <v>0</v>
      </c>
      <c r="K526" t="s">
        <v>84</v>
      </c>
    </row>
    <row r="527" spans="1:12" x14ac:dyDescent="0.45">
      <c r="A527" t="s">
        <v>23</v>
      </c>
      <c r="B527" t="s">
        <v>2</v>
      </c>
      <c r="C527" t="s">
        <v>83</v>
      </c>
      <c r="D527" t="s">
        <v>68</v>
      </c>
      <c r="E527" t="s">
        <v>69</v>
      </c>
      <c r="F527" t="s">
        <v>52</v>
      </c>
      <c r="G527" t="s">
        <v>70</v>
      </c>
      <c r="I527">
        <v>2020</v>
      </c>
      <c r="J527">
        <v>31.6968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83</v>
      </c>
      <c r="D528" t="s">
        <v>68</v>
      </c>
      <c r="E528" t="s">
        <v>69</v>
      </c>
      <c r="F528" t="s">
        <v>52</v>
      </c>
      <c r="G528" t="s">
        <v>70</v>
      </c>
      <c r="I528">
        <v>2025</v>
      </c>
      <c r="J528">
        <v>35.381599999999999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83</v>
      </c>
      <c r="D529" t="s">
        <v>68</v>
      </c>
      <c r="E529" t="s">
        <v>69</v>
      </c>
      <c r="F529" t="s">
        <v>52</v>
      </c>
      <c r="G529" t="s">
        <v>70</v>
      </c>
      <c r="I529">
        <v>2030</v>
      </c>
      <c r="J529">
        <v>29.327999999999999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83</v>
      </c>
      <c r="D530" t="s">
        <v>68</v>
      </c>
      <c r="E530" t="s">
        <v>69</v>
      </c>
      <c r="F530" t="s">
        <v>52</v>
      </c>
      <c r="G530" t="s">
        <v>70</v>
      </c>
      <c r="I530">
        <v>2035</v>
      </c>
      <c r="J530">
        <v>23.415399999999998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83</v>
      </c>
      <c r="D531" t="s">
        <v>68</v>
      </c>
      <c r="E531" t="s">
        <v>69</v>
      </c>
      <c r="F531" t="s">
        <v>52</v>
      </c>
      <c r="G531" t="s">
        <v>70</v>
      </c>
      <c r="I531">
        <v>2040</v>
      </c>
      <c r="J531">
        <v>6.9465999999999992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83</v>
      </c>
      <c r="D532" t="s">
        <v>68</v>
      </c>
      <c r="E532" t="s">
        <v>69</v>
      </c>
      <c r="F532" t="s">
        <v>52</v>
      </c>
      <c r="G532" t="s">
        <v>70</v>
      </c>
      <c r="I532">
        <v>2045</v>
      </c>
      <c r="J532">
        <v>1.8612000000000002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83</v>
      </c>
      <c r="D533" t="s">
        <v>68</v>
      </c>
      <c r="E533" t="s">
        <v>69</v>
      </c>
      <c r="F533" t="s">
        <v>52</v>
      </c>
      <c r="G533" t="s">
        <v>70</v>
      </c>
      <c r="I533">
        <v>2050</v>
      </c>
      <c r="J533">
        <v>1.3253999999999999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83</v>
      </c>
      <c r="D534" t="s">
        <v>68</v>
      </c>
      <c r="E534" t="s">
        <v>69</v>
      </c>
      <c r="F534" t="s">
        <v>53</v>
      </c>
      <c r="G534" t="s">
        <v>70</v>
      </c>
      <c r="I534">
        <v>2020</v>
      </c>
      <c r="J534">
        <v>2.64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83</v>
      </c>
      <c r="D535" t="s">
        <v>68</v>
      </c>
      <c r="E535" t="s">
        <v>69</v>
      </c>
      <c r="F535" t="s">
        <v>53</v>
      </c>
      <c r="G535" t="s">
        <v>70</v>
      </c>
      <c r="I535">
        <v>2025</v>
      </c>
      <c r="J535">
        <v>5.181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83</v>
      </c>
      <c r="D536" t="s">
        <v>68</v>
      </c>
      <c r="E536" t="s">
        <v>69</v>
      </c>
      <c r="F536" t="s">
        <v>53</v>
      </c>
      <c r="G536" t="s">
        <v>70</v>
      </c>
      <c r="I536">
        <v>2030</v>
      </c>
      <c r="J536">
        <v>8.8879999999999999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83</v>
      </c>
      <c r="D537" t="s">
        <v>68</v>
      </c>
      <c r="E537" t="s">
        <v>69</v>
      </c>
      <c r="F537" t="s">
        <v>53</v>
      </c>
      <c r="G537" t="s">
        <v>70</v>
      </c>
      <c r="I537">
        <v>2035</v>
      </c>
      <c r="J537">
        <v>17.126999999999999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83</v>
      </c>
      <c r="D538" t="s">
        <v>68</v>
      </c>
      <c r="E538" t="s">
        <v>69</v>
      </c>
      <c r="F538" t="s">
        <v>53</v>
      </c>
      <c r="G538" t="s">
        <v>70</v>
      </c>
      <c r="I538">
        <v>2040</v>
      </c>
      <c r="J538">
        <v>13.6675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83</v>
      </c>
      <c r="D539" t="s">
        <v>68</v>
      </c>
      <c r="E539" t="s">
        <v>69</v>
      </c>
      <c r="F539" t="s">
        <v>53</v>
      </c>
      <c r="G539" t="s">
        <v>70</v>
      </c>
      <c r="I539">
        <v>2045</v>
      </c>
      <c r="J539">
        <v>11.1595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83</v>
      </c>
      <c r="D540" t="s">
        <v>68</v>
      </c>
      <c r="E540" t="s">
        <v>69</v>
      </c>
      <c r="F540" t="s">
        <v>53</v>
      </c>
      <c r="G540" t="s">
        <v>70</v>
      </c>
      <c r="I540">
        <v>2050</v>
      </c>
      <c r="J540">
        <v>12.314499999999999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83</v>
      </c>
      <c r="D541" t="s">
        <v>68</v>
      </c>
      <c r="E541" t="s">
        <v>69</v>
      </c>
      <c r="F541" t="s">
        <v>54</v>
      </c>
      <c r="G541" t="s">
        <v>70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83</v>
      </c>
      <c r="D542" t="s">
        <v>68</v>
      </c>
      <c r="E542" t="s">
        <v>69</v>
      </c>
      <c r="F542" t="s">
        <v>54</v>
      </c>
      <c r="G542" t="s">
        <v>70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83</v>
      </c>
      <c r="D543" t="s">
        <v>68</v>
      </c>
      <c r="E543" t="s">
        <v>69</v>
      </c>
      <c r="F543" t="s">
        <v>54</v>
      </c>
      <c r="G543" t="s">
        <v>70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83</v>
      </c>
      <c r="D544" t="s">
        <v>68</v>
      </c>
      <c r="E544" t="s">
        <v>69</v>
      </c>
      <c r="F544" t="s">
        <v>54</v>
      </c>
      <c r="G544" t="s">
        <v>70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83</v>
      </c>
      <c r="D545" t="s">
        <v>68</v>
      </c>
      <c r="E545" t="s">
        <v>69</v>
      </c>
      <c r="F545" t="s">
        <v>54</v>
      </c>
      <c r="G545" t="s">
        <v>70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83</v>
      </c>
      <c r="D546" t="s">
        <v>68</v>
      </c>
      <c r="E546" t="s">
        <v>69</v>
      </c>
      <c r="F546" t="s">
        <v>54</v>
      </c>
      <c r="G546" t="s">
        <v>70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83</v>
      </c>
      <c r="D547" t="s">
        <v>68</v>
      </c>
      <c r="E547" t="s">
        <v>69</v>
      </c>
      <c r="F547" t="s">
        <v>54</v>
      </c>
      <c r="G547" t="s">
        <v>70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83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1.4567000000000001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83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1.5658000000000001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83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3.3275999999999999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83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3.2294</v>
      </c>
      <c r="K551" t="s">
        <v>29</v>
      </c>
    </row>
    <row r="552" spans="1:12" x14ac:dyDescent="0.45">
      <c r="A552" t="s">
        <v>23</v>
      </c>
      <c r="B552" t="s">
        <v>2</v>
      </c>
      <c r="C552" t="s">
        <v>83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5.6603000000000003</v>
      </c>
      <c r="K552" t="s">
        <v>29</v>
      </c>
    </row>
    <row r="553" spans="1:12" x14ac:dyDescent="0.45">
      <c r="A553" t="s">
        <v>23</v>
      </c>
      <c r="B553" t="s">
        <v>2</v>
      </c>
      <c r="C553" t="s">
        <v>83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83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6.0263999999999998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83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1.2613000000000001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83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1.2619</v>
      </c>
      <c r="K556" t="s">
        <v>33</v>
      </c>
    </row>
    <row r="557" spans="1:12" x14ac:dyDescent="0.45">
      <c r="A557" t="s">
        <v>23</v>
      </c>
      <c r="B557" t="s">
        <v>2</v>
      </c>
      <c r="C557" t="s">
        <v>83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1.343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83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1.5053000000000001</v>
      </c>
      <c r="K558" t="s">
        <v>33</v>
      </c>
    </row>
    <row r="559" spans="1:12" x14ac:dyDescent="0.45">
      <c r="A559" t="s">
        <v>23</v>
      </c>
      <c r="B559" t="s">
        <v>2</v>
      </c>
      <c r="C559" t="s">
        <v>83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1.583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83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1.8196000000000001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83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1.8251999999999999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83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2.1600999999999999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83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2.2212000000000001</v>
      </c>
      <c r="K563" t="s">
        <v>35</v>
      </c>
    </row>
    <row r="564" spans="1:11" x14ac:dyDescent="0.45">
      <c r="A564" t="s">
        <v>23</v>
      </c>
      <c r="B564" t="s">
        <v>2</v>
      </c>
      <c r="C564" t="s">
        <v>83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2.3780999999999999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83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2.6924000000000001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83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2.8281000000000001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83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3.2869000000000002</v>
      </c>
      <c r="K567" t="s">
        <v>35</v>
      </c>
    </row>
    <row r="568" spans="1:11" x14ac:dyDescent="0.45">
      <c r="A568" t="s">
        <v>23</v>
      </c>
      <c r="B568" t="s">
        <v>2</v>
      </c>
      <c r="C568" t="s">
        <v>83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3.4897999999999998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83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2.2349999999999999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83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4.0782999999999996</v>
      </c>
      <c r="K570" t="s">
        <v>37</v>
      </c>
    </row>
    <row r="571" spans="1:11" x14ac:dyDescent="0.45">
      <c r="A571" t="s">
        <v>23</v>
      </c>
      <c r="B571" t="s">
        <v>2</v>
      </c>
      <c r="C571" t="s">
        <v>83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4.0960999999999999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83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4.5590000000000002</v>
      </c>
      <c r="K572" t="s">
        <v>37</v>
      </c>
    </row>
    <row r="573" spans="1:11" x14ac:dyDescent="0.45">
      <c r="A573" t="s">
        <v>23</v>
      </c>
      <c r="B573" t="s">
        <v>2</v>
      </c>
      <c r="C573" t="s">
        <v>83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4.5087000000000002</v>
      </c>
      <c r="K573" t="s">
        <v>37</v>
      </c>
    </row>
    <row r="574" spans="1:11" x14ac:dyDescent="0.45">
      <c r="A574" t="s">
        <v>23</v>
      </c>
      <c r="B574" t="s">
        <v>2</v>
      </c>
      <c r="C574" t="s">
        <v>83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5.3421000000000003</v>
      </c>
      <c r="K574" t="s">
        <v>37</v>
      </c>
    </row>
    <row r="575" spans="1:11" x14ac:dyDescent="0.45">
      <c r="A575" t="s">
        <v>23</v>
      </c>
      <c r="B575" t="s">
        <v>2</v>
      </c>
      <c r="C575" t="s">
        <v>83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5.4485000000000001</v>
      </c>
      <c r="K575" t="s">
        <v>37</v>
      </c>
    </row>
    <row r="576" spans="1:11" x14ac:dyDescent="0.45">
      <c r="A576" t="s">
        <v>23</v>
      </c>
      <c r="B576" t="s">
        <v>2</v>
      </c>
      <c r="C576" t="s">
        <v>83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269.8562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83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282.53980000000001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83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264.75700000000001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83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254.5213</v>
      </c>
      <c r="K579" t="s">
        <v>48</v>
      </c>
    </row>
    <row r="580" spans="1:11" x14ac:dyDescent="0.45">
      <c r="A580" t="s">
        <v>23</v>
      </c>
      <c r="B580" t="s">
        <v>2</v>
      </c>
      <c r="C580" t="s">
        <v>83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187.55080000000001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83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159.09569999999999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83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153.04910000000001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83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223.46010000000001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83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239.37</v>
      </c>
      <c r="K584" t="s">
        <v>51</v>
      </c>
    </row>
    <row r="585" spans="1:11" x14ac:dyDescent="0.45">
      <c r="A585" t="s">
        <v>23</v>
      </c>
      <c r="B585" t="s">
        <v>2</v>
      </c>
      <c r="C585" t="s">
        <v>83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229.3939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83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228.75370000000001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83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172.9162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83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154.5685</v>
      </c>
      <c r="K588" t="s">
        <v>51</v>
      </c>
    </row>
    <row r="589" spans="1:11" x14ac:dyDescent="0.45">
      <c r="A589" t="s">
        <v>23</v>
      </c>
      <c r="B589" t="s">
        <v>2</v>
      </c>
      <c r="C589" t="s">
        <v>83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155.81450000000001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83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83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83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12.4369</v>
      </c>
      <c r="K592" t="s">
        <v>45</v>
      </c>
    </row>
    <row r="593" spans="1:11" x14ac:dyDescent="0.45">
      <c r="A593" t="s">
        <v>23</v>
      </c>
      <c r="B593" t="s">
        <v>1</v>
      </c>
      <c r="C593" t="s">
        <v>83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19.4511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83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20.899100000000001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83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17.125599999999999</v>
      </c>
      <c r="K595" t="s">
        <v>45</v>
      </c>
    </row>
    <row r="596" spans="1:11" x14ac:dyDescent="0.45">
      <c r="A596" t="s">
        <v>23</v>
      </c>
      <c r="B596" t="s">
        <v>1</v>
      </c>
      <c r="C596" t="s">
        <v>83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17.992000000000001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83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0.1237</v>
      </c>
      <c r="K597" t="s">
        <v>24</v>
      </c>
    </row>
    <row r="598" spans="1:11" x14ac:dyDescent="0.45">
      <c r="A598" t="s">
        <v>23</v>
      </c>
      <c r="B598" t="s">
        <v>1</v>
      </c>
      <c r="C598" t="s">
        <v>83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0.14399999999999999</v>
      </c>
      <c r="K598" t="s">
        <v>24</v>
      </c>
    </row>
    <row r="599" spans="1:11" x14ac:dyDescent="0.45">
      <c r="A599" t="s">
        <v>23</v>
      </c>
      <c r="B599" t="s">
        <v>1</v>
      </c>
      <c r="C599" t="s">
        <v>83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0.16039999999999999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83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0.1804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83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0.26250000000000001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83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0.33210000000000001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83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0.31440000000000001</v>
      </c>
      <c r="K603" t="s">
        <v>24</v>
      </c>
    </row>
    <row r="604" spans="1:11" x14ac:dyDescent="0.45">
      <c r="A604" t="s">
        <v>23</v>
      </c>
      <c r="B604" t="s">
        <v>1</v>
      </c>
      <c r="C604" t="s">
        <v>83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0.1195</v>
      </c>
      <c r="K604" t="s">
        <v>28</v>
      </c>
    </row>
    <row r="605" spans="1:11" x14ac:dyDescent="0.45">
      <c r="A605" t="s">
        <v>23</v>
      </c>
      <c r="B605" t="s">
        <v>1</v>
      </c>
      <c r="C605" t="s">
        <v>83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0.14799999999999999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83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0.1772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83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0.2437</v>
      </c>
      <c r="K607" t="s">
        <v>28</v>
      </c>
    </row>
    <row r="608" spans="1:11" x14ac:dyDescent="0.45">
      <c r="A608" t="s">
        <v>23</v>
      </c>
      <c r="B608" t="s">
        <v>1</v>
      </c>
      <c r="C608" t="s">
        <v>83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0.3276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83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0.41199999999999998</v>
      </c>
      <c r="K609" t="s">
        <v>28</v>
      </c>
    </row>
    <row r="610" spans="1:11" x14ac:dyDescent="0.45">
      <c r="A610" t="s">
        <v>23</v>
      </c>
      <c r="B610" t="s">
        <v>1</v>
      </c>
      <c r="C610" t="s">
        <v>83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0.51100000000000001</v>
      </c>
      <c r="K610" t="s">
        <v>28</v>
      </c>
    </row>
    <row r="611" spans="1:11" x14ac:dyDescent="0.45">
      <c r="A611" t="s">
        <v>23</v>
      </c>
      <c r="B611" t="s">
        <v>1</v>
      </c>
      <c r="C611" t="s">
        <v>83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2.6100000000000002E-2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83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2.4400000000000002E-2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83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5.9700000000000003E-2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83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0.15690000000000001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83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0.24479999999999999</v>
      </c>
      <c r="K615" t="s">
        <v>27</v>
      </c>
    </row>
    <row r="616" spans="1:11" x14ac:dyDescent="0.45">
      <c r="A616" t="s">
        <v>23</v>
      </c>
      <c r="B616" t="s">
        <v>1</v>
      </c>
      <c r="C616" t="s">
        <v>83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0.2419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83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0.21490000000000001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83</v>
      </c>
      <c r="D618" t="s">
        <v>84</v>
      </c>
      <c r="E618" t="s">
        <v>25</v>
      </c>
      <c r="F618" t="s">
        <v>84</v>
      </c>
      <c r="G618" t="s">
        <v>26</v>
      </c>
      <c r="H618" t="s">
        <v>81</v>
      </c>
      <c r="I618">
        <v>2020</v>
      </c>
      <c r="J618">
        <v>0</v>
      </c>
      <c r="K618" t="s">
        <v>84</v>
      </c>
    </row>
    <row r="619" spans="1:11" x14ac:dyDescent="0.45">
      <c r="A619" t="s">
        <v>23</v>
      </c>
      <c r="B619" t="s">
        <v>1</v>
      </c>
      <c r="C619" t="s">
        <v>83</v>
      </c>
      <c r="D619" t="s">
        <v>84</v>
      </c>
      <c r="E619" t="s">
        <v>25</v>
      </c>
      <c r="F619" t="s">
        <v>84</v>
      </c>
      <c r="G619" t="s">
        <v>26</v>
      </c>
      <c r="H619" t="s">
        <v>81</v>
      </c>
      <c r="I619">
        <v>2025</v>
      </c>
      <c r="J619">
        <v>0</v>
      </c>
      <c r="K619" t="s">
        <v>84</v>
      </c>
    </row>
    <row r="620" spans="1:11" x14ac:dyDescent="0.45">
      <c r="A620" t="s">
        <v>23</v>
      </c>
      <c r="B620" t="s">
        <v>1</v>
      </c>
      <c r="C620" t="s">
        <v>83</v>
      </c>
      <c r="D620" t="s">
        <v>84</v>
      </c>
      <c r="E620" t="s">
        <v>25</v>
      </c>
      <c r="F620" t="s">
        <v>84</v>
      </c>
      <c r="G620" t="s">
        <v>26</v>
      </c>
      <c r="H620" t="s">
        <v>81</v>
      </c>
      <c r="I620">
        <v>2030</v>
      </c>
      <c r="J620">
        <v>2.3E-2</v>
      </c>
      <c r="K620" t="s">
        <v>84</v>
      </c>
    </row>
    <row r="621" spans="1:11" x14ac:dyDescent="0.45">
      <c r="A621" t="s">
        <v>23</v>
      </c>
      <c r="B621" t="s">
        <v>1</v>
      </c>
      <c r="C621" t="s">
        <v>83</v>
      </c>
      <c r="D621" t="s">
        <v>84</v>
      </c>
      <c r="E621" t="s">
        <v>25</v>
      </c>
      <c r="F621" t="s">
        <v>84</v>
      </c>
      <c r="G621" t="s">
        <v>26</v>
      </c>
      <c r="H621" t="s">
        <v>81</v>
      </c>
      <c r="I621">
        <v>2035</v>
      </c>
      <c r="J621">
        <v>4.6699999999999998E-2</v>
      </c>
      <c r="K621" t="s">
        <v>84</v>
      </c>
    </row>
    <row r="622" spans="1:11" x14ac:dyDescent="0.45">
      <c r="A622" t="s">
        <v>23</v>
      </c>
      <c r="B622" t="s">
        <v>1</v>
      </c>
      <c r="C622" t="s">
        <v>83</v>
      </c>
      <c r="D622" t="s">
        <v>84</v>
      </c>
      <c r="E622" t="s">
        <v>25</v>
      </c>
      <c r="F622" t="s">
        <v>84</v>
      </c>
      <c r="G622" t="s">
        <v>26</v>
      </c>
      <c r="H622" t="s">
        <v>81</v>
      </c>
      <c r="I622">
        <v>2040</v>
      </c>
      <c r="J622">
        <v>6.6799999999999998E-2</v>
      </c>
      <c r="K622" t="s">
        <v>84</v>
      </c>
    </row>
    <row r="623" spans="1:11" x14ac:dyDescent="0.45">
      <c r="A623" t="s">
        <v>23</v>
      </c>
      <c r="B623" t="s">
        <v>1</v>
      </c>
      <c r="C623" t="s">
        <v>83</v>
      </c>
      <c r="D623" t="s">
        <v>84</v>
      </c>
      <c r="E623" t="s">
        <v>25</v>
      </c>
      <c r="F623" t="s">
        <v>84</v>
      </c>
      <c r="G623" t="s">
        <v>26</v>
      </c>
      <c r="H623" t="s">
        <v>81</v>
      </c>
      <c r="I623">
        <v>2045</v>
      </c>
      <c r="J623">
        <v>9.5699999999999993E-2</v>
      </c>
      <c r="K623" t="s">
        <v>84</v>
      </c>
    </row>
    <row r="624" spans="1:11" x14ac:dyDescent="0.45">
      <c r="A624" t="s">
        <v>23</v>
      </c>
      <c r="B624" t="s">
        <v>1</v>
      </c>
      <c r="C624" t="s">
        <v>83</v>
      </c>
      <c r="D624" t="s">
        <v>84</v>
      </c>
      <c r="E624" t="s">
        <v>25</v>
      </c>
      <c r="F624" t="s">
        <v>84</v>
      </c>
      <c r="G624" t="s">
        <v>26</v>
      </c>
      <c r="H624" t="s">
        <v>81</v>
      </c>
      <c r="I624">
        <v>2050</v>
      </c>
      <c r="J624">
        <v>0.1235</v>
      </c>
      <c r="K624" t="s">
        <v>84</v>
      </c>
    </row>
    <row r="625" spans="1:12" x14ac:dyDescent="0.45">
      <c r="A625" t="s">
        <v>23</v>
      </c>
      <c r="B625" t="s">
        <v>1</v>
      </c>
      <c r="C625" t="s">
        <v>83</v>
      </c>
      <c r="D625" t="s">
        <v>68</v>
      </c>
      <c r="E625" t="s">
        <v>69</v>
      </c>
      <c r="F625" t="s">
        <v>52</v>
      </c>
      <c r="G625" t="s">
        <v>70</v>
      </c>
      <c r="I625">
        <v>2020</v>
      </c>
      <c r="J625">
        <v>31.151599999999998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83</v>
      </c>
      <c r="D626" t="s">
        <v>68</v>
      </c>
      <c r="E626" t="s">
        <v>69</v>
      </c>
      <c r="F626" t="s">
        <v>52</v>
      </c>
      <c r="G626" t="s">
        <v>70</v>
      </c>
      <c r="I626">
        <v>2025</v>
      </c>
      <c r="J626">
        <v>34.874000000000002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83</v>
      </c>
      <c r="D627" t="s">
        <v>68</v>
      </c>
      <c r="E627" t="s">
        <v>69</v>
      </c>
      <c r="F627" t="s">
        <v>52</v>
      </c>
      <c r="G627" t="s">
        <v>70</v>
      </c>
      <c r="I627">
        <v>2030</v>
      </c>
      <c r="J627">
        <v>1.4946000000000002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83</v>
      </c>
      <c r="D628" t="s">
        <v>68</v>
      </c>
      <c r="E628" t="s">
        <v>69</v>
      </c>
      <c r="F628" t="s">
        <v>52</v>
      </c>
      <c r="G628" t="s">
        <v>70</v>
      </c>
      <c r="I628">
        <v>2035</v>
      </c>
      <c r="J628">
        <v>0.3196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83</v>
      </c>
      <c r="D629" t="s">
        <v>68</v>
      </c>
      <c r="E629" t="s">
        <v>69</v>
      </c>
      <c r="F629" t="s">
        <v>52</v>
      </c>
      <c r="G629" t="s">
        <v>70</v>
      </c>
      <c r="I629">
        <v>2040</v>
      </c>
      <c r="J629">
        <v>0.43240000000000001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83</v>
      </c>
      <c r="D630" t="s">
        <v>68</v>
      </c>
      <c r="E630" t="s">
        <v>69</v>
      </c>
      <c r="F630" t="s">
        <v>52</v>
      </c>
      <c r="G630" t="s">
        <v>70</v>
      </c>
      <c r="I630">
        <v>2045</v>
      </c>
      <c r="J630">
        <v>0.11279999999999998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83</v>
      </c>
      <c r="D631" t="s">
        <v>68</v>
      </c>
      <c r="E631" t="s">
        <v>69</v>
      </c>
      <c r="F631" t="s">
        <v>52</v>
      </c>
      <c r="G631" t="s">
        <v>70</v>
      </c>
      <c r="I631">
        <v>2050</v>
      </c>
      <c r="J631">
        <v>7.5200000000000003E-2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83</v>
      </c>
      <c r="D632" t="s">
        <v>68</v>
      </c>
      <c r="E632" t="s">
        <v>69</v>
      </c>
      <c r="F632" t="s">
        <v>53</v>
      </c>
      <c r="G632" t="s">
        <v>70</v>
      </c>
      <c r="I632">
        <v>2020</v>
      </c>
      <c r="J632">
        <v>2.673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83</v>
      </c>
      <c r="D633" t="s">
        <v>68</v>
      </c>
      <c r="E633" t="s">
        <v>69</v>
      </c>
      <c r="F633" t="s">
        <v>53</v>
      </c>
      <c r="G633" t="s">
        <v>70</v>
      </c>
      <c r="I633">
        <v>2025</v>
      </c>
      <c r="J633">
        <v>5.2690000000000001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83</v>
      </c>
      <c r="D634" t="s">
        <v>68</v>
      </c>
      <c r="E634" t="s">
        <v>69</v>
      </c>
      <c r="F634" t="s">
        <v>53</v>
      </c>
      <c r="G634" t="s">
        <v>70</v>
      </c>
      <c r="I634">
        <v>2030</v>
      </c>
      <c r="J634">
        <v>5.7255000000000003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83</v>
      </c>
      <c r="D635" t="s">
        <v>68</v>
      </c>
      <c r="E635" t="s">
        <v>69</v>
      </c>
      <c r="F635" t="s">
        <v>53</v>
      </c>
      <c r="G635" t="s">
        <v>70</v>
      </c>
      <c r="I635">
        <v>2035</v>
      </c>
      <c r="J635">
        <v>0.81400000000000006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83</v>
      </c>
      <c r="D636" t="s">
        <v>68</v>
      </c>
      <c r="E636" t="s">
        <v>69</v>
      </c>
      <c r="F636" t="s">
        <v>53</v>
      </c>
      <c r="G636" t="s">
        <v>70</v>
      </c>
      <c r="I636">
        <v>2040</v>
      </c>
      <c r="J636">
        <v>1.7985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83</v>
      </c>
      <c r="D637" t="s">
        <v>68</v>
      </c>
      <c r="E637" t="s">
        <v>69</v>
      </c>
      <c r="F637" t="s">
        <v>53</v>
      </c>
      <c r="G637" t="s">
        <v>70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83</v>
      </c>
      <c r="D638" t="s">
        <v>68</v>
      </c>
      <c r="E638" t="s">
        <v>69</v>
      </c>
      <c r="F638" t="s">
        <v>53</v>
      </c>
      <c r="G638" t="s">
        <v>70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83</v>
      </c>
      <c r="D639" t="s">
        <v>68</v>
      </c>
      <c r="E639" t="s">
        <v>69</v>
      </c>
      <c r="F639" t="s">
        <v>54</v>
      </c>
      <c r="G639" t="s">
        <v>70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83</v>
      </c>
      <c r="D640" t="s">
        <v>68</v>
      </c>
      <c r="E640" t="s">
        <v>69</v>
      </c>
      <c r="F640" t="s">
        <v>54</v>
      </c>
      <c r="G640" t="s">
        <v>70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83</v>
      </c>
      <c r="D641" t="s">
        <v>68</v>
      </c>
      <c r="E641" t="s">
        <v>69</v>
      </c>
      <c r="F641" t="s">
        <v>54</v>
      </c>
      <c r="G641" t="s">
        <v>70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83</v>
      </c>
      <c r="D642" t="s">
        <v>68</v>
      </c>
      <c r="E642" t="s">
        <v>69</v>
      </c>
      <c r="F642" t="s">
        <v>54</v>
      </c>
      <c r="G642" t="s">
        <v>70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83</v>
      </c>
      <c r="D643" t="s">
        <v>68</v>
      </c>
      <c r="E643" t="s">
        <v>69</v>
      </c>
      <c r="F643" t="s">
        <v>54</v>
      </c>
      <c r="G643" t="s">
        <v>70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83</v>
      </c>
      <c r="D644" t="s">
        <v>68</v>
      </c>
      <c r="E644" t="s">
        <v>69</v>
      </c>
      <c r="F644" t="s">
        <v>54</v>
      </c>
      <c r="G644" t="s">
        <v>70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83</v>
      </c>
      <c r="D645" t="s">
        <v>68</v>
      </c>
      <c r="E645" t="s">
        <v>69</v>
      </c>
      <c r="F645" t="s">
        <v>54</v>
      </c>
      <c r="G645" t="s">
        <v>70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83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1.4567000000000001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83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1.5658000000000001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83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83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83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34.658700000000003</v>
      </c>
      <c r="K650" t="s">
        <v>29</v>
      </c>
    </row>
    <row r="651" spans="1:12" x14ac:dyDescent="0.45">
      <c r="A651" t="s">
        <v>23</v>
      </c>
      <c r="B651" t="s">
        <v>1</v>
      </c>
      <c r="C651" t="s">
        <v>83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40.086599999999997</v>
      </c>
      <c r="K651" t="s">
        <v>29</v>
      </c>
    </row>
    <row r="652" spans="1:12" x14ac:dyDescent="0.45">
      <c r="A652" t="s">
        <v>23</v>
      </c>
      <c r="B652" t="s">
        <v>1</v>
      </c>
      <c r="C652" t="s">
        <v>83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40.713799999999999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83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1.2613000000000001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83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1.2619</v>
      </c>
      <c r="K654" t="s">
        <v>33</v>
      </c>
    </row>
    <row r="655" spans="1:12" x14ac:dyDescent="0.45">
      <c r="A655" t="s">
        <v>23</v>
      </c>
      <c r="B655" t="s">
        <v>1</v>
      </c>
      <c r="C655" t="s">
        <v>83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9.7329000000000008</v>
      </c>
      <c r="K655" t="s">
        <v>33</v>
      </c>
    </row>
    <row r="656" spans="1:12" x14ac:dyDescent="0.45">
      <c r="A656" t="s">
        <v>23</v>
      </c>
      <c r="B656" t="s">
        <v>1</v>
      </c>
      <c r="C656" t="s">
        <v>83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9.9440000000000008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83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11.2</v>
      </c>
      <c r="K657" t="s">
        <v>33</v>
      </c>
    </row>
    <row r="658" spans="1:11" x14ac:dyDescent="0.45">
      <c r="A658" t="s">
        <v>23</v>
      </c>
      <c r="B658" t="s">
        <v>1</v>
      </c>
      <c r="C658" t="s">
        <v>83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11.162000000000001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83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9.4883000000000006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83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2.1600999999999999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83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2.2212000000000001</v>
      </c>
      <c r="K661" t="s">
        <v>35</v>
      </c>
    </row>
    <row r="662" spans="1:11" x14ac:dyDescent="0.45">
      <c r="A662" t="s">
        <v>23</v>
      </c>
      <c r="B662" t="s">
        <v>1</v>
      </c>
      <c r="C662" t="s">
        <v>83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5.6520000000000001</v>
      </c>
      <c r="K662" t="s">
        <v>35</v>
      </c>
    </row>
    <row r="663" spans="1:11" x14ac:dyDescent="0.45">
      <c r="A663" t="s">
        <v>23</v>
      </c>
      <c r="B663" t="s">
        <v>1</v>
      </c>
      <c r="C663" t="s">
        <v>83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0.72760000000000002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83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4.8739999999999997</v>
      </c>
      <c r="K664" t="s">
        <v>35</v>
      </c>
    </row>
    <row r="665" spans="1:11" x14ac:dyDescent="0.45">
      <c r="A665" t="s">
        <v>23</v>
      </c>
      <c r="B665" t="s">
        <v>1</v>
      </c>
      <c r="C665" t="s">
        <v>83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5.5965999999999996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83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6.4611000000000001</v>
      </c>
      <c r="K666" t="s">
        <v>35</v>
      </c>
    </row>
    <row r="667" spans="1:11" x14ac:dyDescent="0.45">
      <c r="A667" t="s">
        <v>23</v>
      </c>
      <c r="B667" t="s">
        <v>1</v>
      </c>
      <c r="C667" t="s">
        <v>83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2.2349999999999999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83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4.0782999999999996</v>
      </c>
      <c r="K668" t="s">
        <v>37</v>
      </c>
    </row>
    <row r="669" spans="1:11" x14ac:dyDescent="0.45">
      <c r="A669" t="s">
        <v>23</v>
      </c>
      <c r="B669" t="s">
        <v>1</v>
      </c>
      <c r="C669" t="s">
        <v>83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6.0044000000000004</v>
      </c>
      <c r="K669" t="s">
        <v>37</v>
      </c>
    </row>
    <row r="670" spans="1:11" x14ac:dyDescent="0.45">
      <c r="A670" t="s">
        <v>23</v>
      </c>
      <c r="B670" t="s">
        <v>1</v>
      </c>
      <c r="C670" t="s">
        <v>83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4.6619999999999999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83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8.8016000000000005</v>
      </c>
      <c r="K671" t="s">
        <v>37</v>
      </c>
    </row>
    <row r="672" spans="1:11" x14ac:dyDescent="0.45">
      <c r="A672" t="s">
        <v>23</v>
      </c>
      <c r="B672" t="s">
        <v>1</v>
      </c>
      <c r="C672" t="s">
        <v>83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2.9769000000000001</v>
      </c>
      <c r="K672" t="s">
        <v>37</v>
      </c>
    </row>
    <row r="673" spans="1:11" x14ac:dyDescent="0.45">
      <c r="A673" t="s">
        <v>23</v>
      </c>
      <c r="B673" t="s">
        <v>1</v>
      </c>
      <c r="C673" t="s">
        <v>83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3.7044999999999999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83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268.34570000000002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83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281.75319999999999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83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154.24279999999999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83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86.688500000000005</v>
      </c>
      <c r="K677" t="s">
        <v>48</v>
      </c>
    </row>
    <row r="678" spans="1:11" x14ac:dyDescent="0.45">
      <c r="A678" t="s">
        <v>23</v>
      </c>
      <c r="B678" t="s">
        <v>1</v>
      </c>
      <c r="C678" t="s">
        <v>83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43.600700000000003</v>
      </c>
      <c r="K678" t="s">
        <v>48</v>
      </c>
    </row>
    <row r="679" spans="1:11" x14ac:dyDescent="0.45">
      <c r="A679" t="s">
        <v>23</v>
      </c>
      <c r="B679" t="s">
        <v>1</v>
      </c>
      <c r="C679" t="s">
        <v>83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25.3154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83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16.395700000000001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83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222.11510000000001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83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236.929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83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123.1041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83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69.258600000000001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83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39.824100000000001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83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26.5474</v>
      </c>
      <c r="K686" t="s">
        <v>51</v>
      </c>
    </row>
    <row r="687" spans="1:11" x14ac:dyDescent="0.45">
      <c r="A687" t="s">
        <v>23</v>
      </c>
      <c r="B687" t="s">
        <v>1</v>
      </c>
      <c r="C687" t="s">
        <v>83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20.607199999999999</v>
      </c>
      <c r="K687" t="s">
        <v>51</v>
      </c>
    </row>
    <row r="688" spans="1:11" x14ac:dyDescent="0.45">
      <c r="A688" t="s">
        <v>85</v>
      </c>
      <c r="B688" t="s">
        <v>3</v>
      </c>
      <c r="C688" t="s">
        <v>83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85</v>
      </c>
      <c r="B689" t="s">
        <v>3</v>
      </c>
      <c r="C689" t="s">
        <v>83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85</v>
      </c>
      <c r="B690" t="s">
        <v>3</v>
      </c>
      <c r="C690" t="s">
        <v>83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1.2735000000000001</v>
      </c>
      <c r="K690" t="s">
        <v>45</v>
      </c>
    </row>
    <row r="691" spans="1:11" x14ac:dyDescent="0.45">
      <c r="A691" t="s">
        <v>85</v>
      </c>
      <c r="B691" t="s">
        <v>3</v>
      </c>
      <c r="C691" t="s">
        <v>83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6.6351000000000004</v>
      </c>
      <c r="K691" t="s">
        <v>45</v>
      </c>
    </row>
    <row r="692" spans="1:11" x14ac:dyDescent="0.45">
      <c r="A692" t="s">
        <v>85</v>
      </c>
      <c r="B692" t="s">
        <v>3</v>
      </c>
      <c r="C692" t="s">
        <v>83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13.0877</v>
      </c>
      <c r="K692" t="s">
        <v>45</v>
      </c>
    </row>
    <row r="693" spans="1:11" x14ac:dyDescent="0.45">
      <c r="A693" t="s">
        <v>85</v>
      </c>
      <c r="B693" t="s">
        <v>3</v>
      </c>
      <c r="C693" t="s">
        <v>83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16.031199999999998</v>
      </c>
      <c r="K693" t="s">
        <v>45</v>
      </c>
    </row>
    <row r="694" spans="1:11" x14ac:dyDescent="0.45">
      <c r="A694" t="s">
        <v>85</v>
      </c>
      <c r="B694" t="s">
        <v>3</v>
      </c>
      <c r="C694" t="s">
        <v>83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17.203800000000001</v>
      </c>
      <c r="K694" t="s">
        <v>45</v>
      </c>
    </row>
    <row r="695" spans="1:11" x14ac:dyDescent="0.45">
      <c r="A695" t="s">
        <v>85</v>
      </c>
      <c r="B695" t="s">
        <v>3</v>
      </c>
      <c r="C695" t="s">
        <v>83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16.888999999999999</v>
      </c>
      <c r="K695" t="s">
        <v>45</v>
      </c>
    </row>
    <row r="696" spans="1:11" x14ac:dyDescent="0.45">
      <c r="A696" t="s">
        <v>85</v>
      </c>
      <c r="B696" t="s">
        <v>3</v>
      </c>
      <c r="C696" t="s">
        <v>83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13.6525</v>
      </c>
      <c r="K696" t="s">
        <v>45</v>
      </c>
    </row>
    <row r="697" spans="1:11" x14ac:dyDescent="0.45">
      <c r="A697" t="s">
        <v>85</v>
      </c>
      <c r="B697" t="s">
        <v>3</v>
      </c>
      <c r="C697" t="s">
        <v>83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11.6617</v>
      </c>
      <c r="K697" t="s">
        <v>45</v>
      </c>
    </row>
    <row r="698" spans="1:11" x14ac:dyDescent="0.45">
      <c r="A698" t="s">
        <v>85</v>
      </c>
      <c r="B698" t="s">
        <v>3</v>
      </c>
      <c r="C698" t="s">
        <v>83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9.4795999999999996</v>
      </c>
      <c r="K698" t="s">
        <v>45</v>
      </c>
    </row>
    <row r="699" spans="1:11" x14ac:dyDescent="0.45">
      <c r="A699" t="s">
        <v>85</v>
      </c>
      <c r="B699" t="s">
        <v>3</v>
      </c>
      <c r="C699" t="s">
        <v>83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7.2333999999999996</v>
      </c>
      <c r="K699" t="s">
        <v>45</v>
      </c>
    </row>
    <row r="700" spans="1:11" x14ac:dyDescent="0.45">
      <c r="A700" t="s">
        <v>85</v>
      </c>
      <c r="B700" t="s">
        <v>3</v>
      </c>
      <c r="C700" t="s">
        <v>83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4.7545999999999999</v>
      </c>
      <c r="K700" t="s">
        <v>45</v>
      </c>
    </row>
    <row r="701" spans="1:11" x14ac:dyDescent="0.45">
      <c r="A701" t="s">
        <v>85</v>
      </c>
      <c r="B701" t="s">
        <v>3</v>
      </c>
      <c r="C701" t="s">
        <v>83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3.2339000000000002</v>
      </c>
      <c r="K701" t="s">
        <v>45</v>
      </c>
    </row>
    <row r="702" spans="1:11" x14ac:dyDescent="0.45">
      <c r="A702" t="s">
        <v>85</v>
      </c>
      <c r="B702" t="s">
        <v>3</v>
      </c>
      <c r="C702" t="s">
        <v>83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1.4581999999999999</v>
      </c>
      <c r="K702" t="s">
        <v>45</v>
      </c>
    </row>
    <row r="703" spans="1:11" x14ac:dyDescent="0.45">
      <c r="A703" t="s">
        <v>85</v>
      </c>
      <c r="B703" t="s">
        <v>3</v>
      </c>
      <c r="C703" t="s">
        <v>83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1.0347</v>
      </c>
      <c r="K703" t="s">
        <v>45</v>
      </c>
    </row>
    <row r="704" spans="1:11" x14ac:dyDescent="0.45">
      <c r="A704" t="s">
        <v>85</v>
      </c>
      <c r="B704" t="s">
        <v>3</v>
      </c>
      <c r="C704" t="s">
        <v>83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0.53110000000000002</v>
      </c>
      <c r="K704" t="s">
        <v>45</v>
      </c>
    </row>
    <row r="705" spans="1:11" x14ac:dyDescent="0.45">
      <c r="A705" t="s">
        <v>85</v>
      </c>
      <c r="B705" t="s">
        <v>3</v>
      </c>
      <c r="C705" t="s">
        <v>83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0.15709999999999999</v>
      </c>
      <c r="K705" t="s">
        <v>24</v>
      </c>
    </row>
    <row r="706" spans="1:11" x14ac:dyDescent="0.45">
      <c r="A706" t="s">
        <v>85</v>
      </c>
      <c r="B706" t="s">
        <v>3</v>
      </c>
      <c r="C706" t="s">
        <v>83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0.1696</v>
      </c>
      <c r="K706" t="s">
        <v>24</v>
      </c>
    </row>
    <row r="707" spans="1:11" x14ac:dyDescent="0.45">
      <c r="A707" t="s">
        <v>85</v>
      </c>
      <c r="B707" t="s">
        <v>3</v>
      </c>
      <c r="C707" t="s">
        <v>83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0.25240000000000001</v>
      </c>
      <c r="K707" t="s">
        <v>24</v>
      </c>
    </row>
    <row r="708" spans="1:11" x14ac:dyDescent="0.45">
      <c r="A708" t="s">
        <v>85</v>
      </c>
      <c r="B708" t="s">
        <v>3</v>
      </c>
      <c r="C708" t="s">
        <v>83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0.34939999999999999</v>
      </c>
      <c r="K708" t="s">
        <v>24</v>
      </c>
    </row>
    <row r="709" spans="1:11" x14ac:dyDescent="0.45">
      <c r="A709" t="s">
        <v>85</v>
      </c>
      <c r="B709" t="s">
        <v>3</v>
      </c>
      <c r="C709" t="s">
        <v>83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0.43070000000000003</v>
      </c>
      <c r="K709" t="s">
        <v>24</v>
      </c>
    </row>
    <row r="710" spans="1:11" x14ac:dyDescent="0.45">
      <c r="A710" t="s">
        <v>85</v>
      </c>
      <c r="B710" t="s">
        <v>3</v>
      </c>
      <c r="C710" t="s">
        <v>83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0.47610000000000002</v>
      </c>
      <c r="K710" t="s">
        <v>24</v>
      </c>
    </row>
    <row r="711" spans="1:11" x14ac:dyDescent="0.45">
      <c r="A711" t="s">
        <v>85</v>
      </c>
      <c r="B711" t="s">
        <v>3</v>
      </c>
      <c r="C711" t="s">
        <v>83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0.50429999999999997</v>
      </c>
      <c r="K711" t="s">
        <v>24</v>
      </c>
    </row>
    <row r="712" spans="1:11" x14ac:dyDescent="0.45">
      <c r="A712" t="s">
        <v>85</v>
      </c>
      <c r="B712" t="s">
        <v>3</v>
      </c>
      <c r="C712" t="s">
        <v>83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0.51649999999999996</v>
      </c>
      <c r="K712" t="s">
        <v>24</v>
      </c>
    </row>
    <row r="713" spans="1:11" x14ac:dyDescent="0.45">
      <c r="A713" t="s">
        <v>85</v>
      </c>
      <c r="B713" t="s">
        <v>3</v>
      </c>
      <c r="C713" t="s">
        <v>83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0.51490000000000002</v>
      </c>
      <c r="K713" t="s">
        <v>24</v>
      </c>
    </row>
    <row r="714" spans="1:11" x14ac:dyDescent="0.45">
      <c r="A714" t="s">
        <v>85</v>
      </c>
      <c r="B714" t="s">
        <v>3</v>
      </c>
      <c r="C714" t="s">
        <v>83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0.51170000000000004</v>
      </c>
      <c r="K714" t="s">
        <v>24</v>
      </c>
    </row>
    <row r="715" spans="1:11" x14ac:dyDescent="0.45">
      <c r="A715" t="s">
        <v>85</v>
      </c>
      <c r="B715" t="s">
        <v>3</v>
      </c>
      <c r="C715" t="s">
        <v>83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0.50980000000000003</v>
      </c>
      <c r="K715" t="s">
        <v>24</v>
      </c>
    </row>
    <row r="716" spans="1:11" x14ac:dyDescent="0.45">
      <c r="A716" t="s">
        <v>85</v>
      </c>
      <c r="B716" t="s">
        <v>3</v>
      </c>
      <c r="C716" t="s">
        <v>83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0.4788</v>
      </c>
      <c r="K716" t="s">
        <v>24</v>
      </c>
    </row>
    <row r="717" spans="1:11" x14ac:dyDescent="0.45">
      <c r="A717" t="s">
        <v>85</v>
      </c>
      <c r="B717" t="s">
        <v>3</v>
      </c>
      <c r="C717" t="s">
        <v>83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0.4506</v>
      </c>
      <c r="K717" t="s">
        <v>24</v>
      </c>
    </row>
    <row r="718" spans="1:11" x14ac:dyDescent="0.45">
      <c r="A718" t="s">
        <v>85</v>
      </c>
      <c r="B718" t="s">
        <v>3</v>
      </c>
      <c r="C718" t="s">
        <v>83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0.42420000000000002</v>
      </c>
      <c r="K718" t="s">
        <v>24</v>
      </c>
    </row>
    <row r="719" spans="1:11" x14ac:dyDescent="0.45">
      <c r="A719" t="s">
        <v>85</v>
      </c>
      <c r="B719" t="s">
        <v>3</v>
      </c>
      <c r="C719" t="s">
        <v>83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0.40089999999999998</v>
      </c>
      <c r="K719" t="s">
        <v>24</v>
      </c>
    </row>
    <row r="720" spans="1:11" x14ac:dyDescent="0.45">
      <c r="A720" t="s">
        <v>85</v>
      </c>
      <c r="B720" t="s">
        <v>3</v>
      </c>
      <c r="C720" t="s">
        <v>83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0.38090000000000002</v>
      </c>
      <c r="K720" t="s">
        <v>24</v>
      </c>
    </row>
    <row r="721" spans="1:11" x14ac:dyDescent="0.45">
      <c r="A721" t="s">
        <v>85</v>
      </c>
      <c r="B721" t="s">
        <v>3</v>
      </c>
      <c r="C721" t="s">
        <v>83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0.36449999999999999</v>
      </c>
      <c r="K721" t="s">
        <v>24</v>
      </c>
    </row>
    <row r="722" spans="1:11" x14ac:dyDescent="0.45">
      <c r="A722" t="s">
        <v>85</v>
      </c>
      <c r="B722" t="s">
        <v>3</v>
      </c>
      <c r="C722" t="s">
        <v>83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9.4200000000000006E-2</v>
      </c>
      <c r="K722" t="s">
        <v>28</v>
      </c>
    </row>
    <row r="723" spans="1:11" x14ac:dyDescent="0.45">
      <c r="A723" t="s">
        <v>85</v>
      </c>
      <c r="B723" t="s">
        <v>3</v>
      </c>
      <c r="C723" t="s">
        <v>83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0.1123</v>
      </c>
      <c r="K723" t="s">
        <v>28</v>
      </c>
    </row>
    <row r="724" spans="1:11" x14ac:dyDescent="0.45">
      <c r="A724" t="s">
        <v>85</v>
      </c>
      <c r="B724" t="s">
        <v>3</v>
      </c>
      <c r="C724" t="s">
        <v>83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0.15240000000000001</v>
      </c>
      <c r="K724" t="s">
        <v>28</v>
      </c>
    </row>
    <row r="725" spans="1:11" x14ac:dyDescent="0.45">
      <c r="A725" t="s">
        <v>85</v>
      </c>
      <c r="B725" t="s">
        <v>3</v>
      </c>
      <c r="C725" t="s">
        <v>83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0.20799999999999999</v>
      </c>
      <c r="K725" t="s">
        <v>28</v>
      </c>
    </row>
    <row r="726" spans="1:11" x14ac:dyDescent="0.45">
      <c r="A726" t="s">
        <v>85</v>
      </c>
      <c r="B726" t="s">
        <v>3</v>
      </c>
      <c r="C726" t="s">
        <v>83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0.2427</v>
      </c>
      <c r="K726" t="s">
        <v>28</v>
      </c>
    </row>
    <row r="727" spans="1:11" x14ac:dyDescent="0.45">
      <c r="A727" t="s">
        <v>85</v>
      </c>
      <c r="B727" t="s">
        <v>3</v>
      </c>
      <c r="C727" t="s">
        <v>83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0.26640000000000003</v>
      </c>
      <c r="K727" t="s">
        <v>28</v>
      </c>
    </row>
    <row r="728" spans="1:11" x14ac:dyDescent="0.45">
      <c r="A728" t="s">
        <v>85</v>
      </c>
      <c r="B728" t="s">
        <v>3</v>
      </c>
      <c r="C728" t="s">
        <v>83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0.28489999999999999</v>
      </c>
      <c r="K728" t="s">
        <v>28</v>
      </c>
    </row>
    <row r="729" spans="1:11" x14ac:dyDescent="0.45">
      <c r="A729" t="s">
        <v>85</v>
      </c>
      <c r="B729" t="s">
        <v>3</v>
      </c>
      <c r="C729" t="s">
        <v>83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0.28689999999999999</v>
      </c>
      <c r="K729" t="s">
        <v>28</v>
      </c>
    </row>
    <row r="730" spans="1:11" x14ac:dyDescent="0.45">
      <c r="A730" t="s">
        <v>85</v>
      </c>
      <c r="B730" t="s">
        <v>3</v>
      </c>
      <c r="C730" t="s">
        <v>83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0.3125</v>
      </c>
      <c r="K730" t="s">
        <v>28</v>
      </c>
    </row>
    <row r="731" spans="1:11" x14ac:dyDescent="0.45">
      <c r="A731" t="s">
        <v>85</v>
      </c>
      <c r="B731" t="s">
        <v>3</v>
      </c>
      <c r="C731" t="s">
        <v>83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0.32</v>
      </c>
      <c r="K731" t="s">
        <v>28</v>
      </c>
    </row>
    <row r="732" spans="1:11" x14ac:dyDescent="0.45">
      <c r="A732" t="s">
        <v>85</v>
      </c>
      <c r="B732" t="s">
        <v>3</v>
      </c>
      <c r="C732" t="s">
        <v>83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0.32829999999999998</v>
      </c>
      <c r="K732" t="s">
        <v>28</v>
      </c>
    </row>
    <row r="733" spans="1:11" x14ac:dyDescent="0.45">
      <c r="A733" t="s">
        <v>85</v>
      </c>
      <c r="B733" t="s">
        <v>3</v>
      </c>
      <c r="C733" t="s">
        <v>83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0.33289999999999997</v>
      </c>
      <c r="K733" t="s">
        <v>28</v>
      </c>
    </row>
    <row r="734" spans="1:11" x14ac:dyDescent="0.45">
      <c r="A734" t="s">
        <v>85</v>
      </c>
      <c r="B734" t="s">
        <v>3</v>
      </c>
      <c r="C734" t="s">
        <v>83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0.33829999999999999</v>
      </c>
      <c r="K734" t="s">
        <v>28</v>
      </c>
    </row>
    <row r="735" spans="1:11" x14ac:dyDescent="0.45">
      <c r="A735" t="s">
        <v>85</v>
      </c>
      <c r="B735" t="s">
        <v>3</v>
      </c>
      <c r="C735" t="s">
        <v>83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0.3427</v>
      </c>
      <c r="K735" t="s">
        <v>28</v>
      </c>
    </row>
    <row r="736" spans="1:11" x14ac:dyDescent="0.45">
      <c r="A736" t="s">
        <v>85</v>
      </c>
      <c r="B736" t="s">
        <v>3</v>
      </c>
      <c r="C736" t="s">
        <v>83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0.35089999999999999</v>
      </c>
      <c r="K736" t="s">
        <v>28</v>
      </c>
    </row>
    <row r="737" spans="1:11" x14ac:dyDescent="0.45">
      <c r="A737" t="s">
        <v>85</v>
      </c>
      <c r="B737" t="s">
        <v>3</v>
      </c>
      <c r="C737" t="s">
        <v>83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0.35470000000000002</v>
      </c>
      <c r="K737" t="s">
        <v>28</v>
      </c>
    </row>
    <row r="738" spans="1:11" x14ac:dyDescent="0.45">
      <c r="A738" t="s">
        <v>85</v>
      </c>
      <c r="B738" t="s">
        <v>3</v>
      </c>
      <c r="C738" t="s">
        <v>83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0.36109999999999998</v>
      </c>
      <c r="K738" t="s">
        <v>28</v>
      </c>
    </row>
    <row r="739" spans="1:11" x14ac:dyDescent="0.45">
      <c r="A739" t="s">
        <v>85</v>
      </c>
      <c r="B739" t="s">
        <v>3</v>
      </c>
      <c r="C739" t="s">
        <v>83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1.0699999999999999E-2</v>
      </c>
      <c r="K739" t="s">
        <v>27</v>
      </c>
    </row>
    <row r="740" spans="1:11" x14ac:dyDescent="0.45">
      <c r="A740" t="s">
        <v>85</v>
      </c>
      <c r="B740" t="s">
        <v>3</v>
      </c>
      <c r="C740" t="s">
        <v>83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1.7899999999999999E-2</v>
      </c>
      <c r="K740" t="s">
        <v>27</v>
      </c>
    </row>
    <row r="741" spans="1:11" x14ac:dyDescent="0.45">
      <c r="A741" t="s">
        <v>85</v>
      </c>
      <c r="B741" t="s">
        <v>3</v>
      </c>
      <c r="C741" t="s">
        <v>83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3.9800000000000002E-2</v>
      </c>
      <c r="K741" t="s">
        <v>27</v>
      </c>
    </row>
    <row r="742" spans="1:11" x14ac:dyDescent="0.45">
      <c r="A742" t="s">
        <v>85</v>
      </c>
      <c r="B742" t="s">
        <v>3</v>
      </c>
      <c r="C742" t="s">
        <v>83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7.7799999999999994E-2</v>
      </c>
      <c r="K742" t="s">
        <v>27</v>
      </c>
    </row>
    <row r="743" spans="1:11" x14ac:dyDescent="0.45">
      <c r="A743" t="s">
        <v>85</v>
      </c>
      <c r="B743" t="s">
        <v>3</v>
      </c>
      <c r="C743" t="s">
        <v>83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0.13</v>
      </c>
      <c r="K743" t="s">
        <v>27</v>
      </c>
    </row>
    <row r="744" spans="1:11" x14ac:dyDescent="0.45">
      <c r="A744" t="s">
        <v>85</v>
      </c>
      <c r="B744" t="s">
        <v>3</v>
      </c>
      <c r="C744" t="s">
        <v>83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0.13450000000000001</v>
      </c>
      <c r="K744" t="s">
        <v>27</v>
      </c>
    </row>
    <row r="745" spans="1:11" x14ac:dyDescent="0.45">
      <c r="A745" t="s">
        <v>85</v>
      </c>
      <c r="B745" t="s">
        <v>3</v>
      </c>
      <c r="C745" t="s">
        <v>83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0.13550000000000001</v>
      </c>
      <c r="K745" t="s">
        <v>27</v>
      </c>
    </row>
    <row r="746" spans="1:11" x14ac:dyDescent="0.45">
      <c r="A746" t="s">
        <v>85</v>
      </c>
      <c r="B746" t="s">
        <v>3</v>
      </c>
      <c r="C746" t="s">
        <v>83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0.1346</v>
      </c>
      <c r="K746" t="s">
        <v>27</v>
      </c>
    </row>
    <row r="747" spans="1:11" x14ac:dyDescent="0.45">
      <c r="A747" t="s">
        <v>85</v>
      </c>
      <c r="B747" t="s">
        <v>3</v>
      </c>
      <c r="C747" t="s">
        <v>83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0.13170000000000001</v>
      </c>
      <c r="K747" t="s">
        <v>27</v>
      </c>
    </row>
    <row r="748" spans="1:11" x14ac:dyDescent="0.45">
      <c r="A748" t="s">
        <v>85</v>
      </c>
      <c r="B748" t="s">
        <v>3</v>
      </c>
      <c r="C748" t="s">
        <v>83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0.12920000000000001</v>
      </c>
      <c r="K748" t="s">
        <v>27</v>
      </c>
    </row>
    <row r="749" spans="1:11" x14ac:dyDescent="0.45">
      <c r="A749" t="s">
        <v>85</v>
      </c>
      <c r="B749" t="s">
        <v>3</v>
      </c>
      <c r="C749" t="s">
        <v>83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0.12709999999999999</v>
      </c>
      <c r="K749" t="s">
        <v>27</v>
      </c>
    </row>
    <row r="750" spans="1:11" x14ac:dyDescent="0.45">
      <c r="A750" t="s">
        <v>85</v>
      </c>
      <c r="B750" t="s">
        <v>3</v>
      </c>
      <c r="C750" t="s">
        <v>83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0.1226</v>
      </c>
      <c r="K750" t="s">
        <v>27</v>
      </c>
    </row>
    <row r="751" spans="1:11" x14ac:dyDescent="0.45">
      <c r="A751" t="s">
        <v>85</v>
      </c>
      <c r="B751" t="s">
        <v>3</v>
      </c>
      <c r="C751" t="s">
        <v>83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0.1196</v>
      </c>
      <c r="K751" t="s">
        <v>27</v>
      </c>
    </row>
    <row r="752" spans="1:11" x14ac:dyDescent="0.45">
      <c r="A752" t="s">
        <v>85</v>
      </c>
      <c r="B752" t="s">
        <v>3</v>
      </c>
      <c r="C752" t="s">
        <v>83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0.1171</v>
      </c>
      <c r="K752" t="s">
        <v>27</v>
      </c>
    </row>
    <row r="753" spans="1:11" x14ac:dyDescent="0.45">
      <c r="A753" t="s">
        <v>85</v>
      </c>
      <c r="B753" t="s">
        <v>3</v>
      </c>
      <c r="C753" t="s">
        <v>83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0.1159</v>
      </c>
      <c r="K753" t="s">
        <v>27</v>
      </c>
    </row>
    <row r="754" spans="1:11" x14ac:dyDescent="0.45">
      <c r="A754" t="s">
        <v>85</v>
      </c>
      <c r="B754" t="s">
        <v>3</v>
      </c>
      <c r="C754" t="s">
        <v>83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0.11559999999999999</v>
      </c>
      <c r="K754" t="s">
        <v>27</v>
      </c>
    </row>
    <row r="755" spans="1:11" x14ac:dyDescent="0.45">
      <c r="A755" t="s">
        <v>85</v>
      </c>
      <c r="B755" t="s">
        <v>3</v>
      </c>
      <c r="C755" t="s">
        <v>83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0.1164</v>
      </c>
      <c r="K755" t="s">
        <v>27</v>
      </c>
    </row>
    <row r="756" spans="1:11" x14ac:dyDescent="0.45">
      <c r="A756" t="s">
        <v>85</v>
      </c>
      <c r="B756" t="s">
        <v>3</v>
      </c>
      <c r="C756" t="s">
        <v>83</v>
      </c>
      <c r="D756" t="s">
        <v>84</v>
      </c>
      <c r="E756" t="s">
        <v>25</v>
      </c>
      <c r="F756" t="s">
        <v>84</v>
      </c>
      <c r="G756" t="s">
        <v>26</v>
      </c>
      <c r="H756" t="s">
        <v>81</v>
      </c>
      <c r="I756">
        <v>2020</v>
      </c>
      <c r="J756">
        <v>4.7999999999999996E-3</v>
      </c>
      <c r="K756" t="s">
        <v>84</v>
      </c>
    </row>
    <row r="757" spans="1:11" x14ac:dyDescent="0.45">
      <c r="A757" t="s">
        <v>85</v>
      </c>
      <c r="B757" t="s">
        <v>3</v>
      </c>
      <c r="C757" t="s">
        <v>83</v>
      </c>
      <c r="D757" t="s">
        <v>84</v>
      </c>
      <c r="E757" t="s">
        <v>25</v>
      </c>
      <c r="F757" t="s">
        <v>84</v>
      </c>
      <c r="G757" t="s">
        <v>26</v>
      </c>
      <c r="H757" t="s">
        <v>81</v>
      </c>
      <c r="I757">
        <v>2025</v>
      </c>
      <c r="J757">
        <v>2.0199999999999999E-2</v>
      </c>
      <c r="K757" t="s">
        <v>84</v>
      </c>
    </row>
    <row r="758" spans="1:11" x14ac:dyDescent="0.45">
      <c r="A758" t="s">
        <v>85</v>
      </c>
      <c r="B758" t="s">
        <v>3</v>
      </c>
      <c r="C758" t="s">
        <v>83</v>
      </c>
      <c r="D758" t="s">
        <v>84</v>
      </c>
      <c r="E758" t="s">
        <v>25</v>
      </c>
      <c r="F758" t="s">
        <v>84</v>
      </c>
      <c r="G758" t="s">
        <v>26</v>
      </c>
      <c r="H758" t="s">
        <v>81</v>
      </c>
      <c r="I758">
        <v>2030</v>
      </c>
      <c r="J758">
        <v>4.8399999999999999E-2</v>
      </c>
      <c r="K758" t="s">
        <v>84</v>
      </c>
    </row>
    <row r="759" spans="1:11" x14ac:dyDescent="0.45">
      <c r="A759" t="s">
        <v>85</v>
      </c>
      <c r="B759" t="s">
        <v>3</v>
      </c>
      <c r="C759" t="s">
        <v>83</v>
      </c>
      <c r="D759" t="s">
        <v>84</v>
      </c>
      <c r="E759" t="s">
        <v>25</v>
      </c>
      <c r="F759" t="s">
        <v>84</v>
      </c>
      <c r="G759" t="s">
        <v>26</v>
      </c>
      <c r="H759" t="s">
        <v>81</v>
      </c>
      <c r="I759">
        <v>2035</v>
      </c>
      <c r="J759">
        <v>6.3299999999999995E-2</v>
      </c>
      <c r="K759" t="s">
        <v>84</v>
      </c>
    </row>
    <row r="760" spans="1:11" x14ac:dyDescent="0.45">
      <c r="A760" t="s">
        <v>85</v>
      </c>
      <c r="B760" t="s">
        <v>3</v>
      </c>
      <c r="C760" t="s">
        <v>83</v>
      </c>
      <c r="D760" t="s">
        <v>84</v>
      </c>
      <c r="E760" t="s">
        <v>25</v>
      </c>
      <c r="F760" t="s">
        <v>84</v>
      </c>
      <c r="G760" t="s">
        <v>26</v>
      </c>
      <c r="H760" t="s">
        <v>81</v>
      </c>
      <c r="I760">
        <v>2040</v>
      </c>
      <c r="J760">
        <v>6.4600000000000005E-2</v>
      </c>
      <c r="K760" t="s">
        <v>84</v>
      </c>
    </row>
    <row r="761" spans="1:11" x14ac:dyDescent="0.45">
      <c r="A761" t="s">
        <v>85</v>
      </c>
      <c r="B761" t="s">
        <v>3</v>
      </c>
      <c r="C761" t="s">
        <v>83</v>
      </c>
      <c r="D761" t="s">
        <v>84</v>
      </c>
      <c r="E761" t="s">
        <v>25</v>
      </c>
      <c r="F761" t="s">
        <v>84</v>
      </c>
      <c r="G761" t="s">
        <v>26</v>
      </c>
      <c r="H761" t="s">
        <v>81</v>
      </c>
      <c r="I761">
        <v>2045</v>
      </c>
      <c r="J761">
        <v>6.0600000000000001E-2</v>
      </c>
      <c r="K761" t="s">
        <v>84</v>
      </c>
    </row>
    <row r="762" spans="1:11" x14ac:dyDescent="0.45">
      <c r="A762" t="s">
        <v>85</v>
      </c>
      <c r="B762" t="s">
        <v>3</v>
      </c>
      <c r="C762" t="s">
        <v>83</v>
      </c>
      <c r="D762" t="s">
        <v>84</v>
      </c>
      <c r="E762" t="s">
        <v>25</v>
      </c>
      <c r="F762" t="s">
        <v>84</v>
      </c>
      <c r="G762" t="s">
        <v>26</v>
      </c>
      <c r="H762" t="s">
        <v>81</v>
      </c>
      <c r="I762">
        <v>2050</v>
      </c>
      <c r="J762">
        <v>6.4699999999999994E-2</v>
      </c>
      <c r="K762" t="s">
        <v>84</v>
      </c>
    </row>
    <row r="763" spans="1:11" x14ac:dyDescent="0.45">
      <c r="A763" t="s">
        <v>85</v>
      </c>
      <c r="B763" t="s">
        <v>3</v>
      </c>
      <c r="C763" t="s">
        <v>83</v>
      </c>
      <c r="D763" t="s">
        <v>84</v>
      </c>
      <c r="E763" t="s">
        <v>25</v>
      </c>
      <c r="F763" t="s">
        <v>84</v>
      </c>
      <c r="G763" t="s">
        <v>26</v>
      </c>
      <c r="H763" t="s">
        <v>81</v>
      </c>
      <c r="I763">
        <v>2055</v>
      </c>
      <c r="J763">
        <v>6.7599999999999993E-2</v>
      </c>
      <c r="K763" t="s">
        <v>84</v>
      </c>
    </row>
    <row r="764" spans="1:11" x14ac:dyDescent="0.45">
      <c r="A764" t="s">
        <v>85</v>
      </c>
      <c r="B764" t="s">
        <v>3</v>
      </c>
      <c r="C764" t="s">
        <v>83</v>
      </c>
      <c r="D764" t="s">
        <v>84</v>
      </c>
      <c r="E764" t="s">
        <v>25</v>
      </c>
      <c r="F764" t="s">
        <v>84</v>
      </c>
      <c r="G764" t="s">
        <v>26</v>
      </c>
      <c r="H764" t="s">
        <v>81</v>
      </c>
      <c r="I764">
        <v>2060</v>
      </c>
      <c r="J764">
        <v>9.74E-2</v>
      </c>
      <c r="K764" t="s">
        <v>84</v>
      </c>
    </row>
    <row r="765" spans="1:11" x14ac:dyDescent="0.45">
      <c r="A765" t="s">
        <v>85</v>
      </c>
      <c r="B765" t="s">
        <v>3</v>
      </c>
      <c r="C765" t="s">
        <v>83</v>
      </c>
      <c r="D765" t="s">
        <v>84</v>
      </c>
      <c r="E765" t="s">
        <v>25</v>
      </c>
      <c r="F765" t="s">
        <v>84</v>
      </c>
      <c r="G765" t="s">
        <v>26</v>
      </c>
      <c r="H765" t="s">
        <v>81</v>
      </c>
      <c r="I765">
        <v>2065</v>
      </c>
      <c r="J765">
        <v>0.1075</v>
      </c>
      <c r="K765" t="s">
        <v>84</v>
      </c>
    </row>
    <row r="766" spans="1:11" x14ac:dyDescent="0.45">
      <c r="A766" t="s">
        <v>85</v>
      </c>
      <c r="B766" t="s">
        <v>3</v>
      </c>
      <c r="C766" t="s">
        <v>83</v>
      </c>
      <c r="D766" t="s">
        <v>84</v>
      </c>
      <c r="E766" t="s">
        <v>25</v>
      </c>
      <c r="F766" t="s">
        <v>84</v>
      </c>
      <c r="G766" t="s">
        <v>26</v>
      </c>
      <c r="H766" t="s">
        <v>81</v>
      </c>
      <c r="I766">
        <v>2070</v>
      </c>
      <c r="J766">
        <v>0.10929999999999999</v>
      </c>
      <c r="K766" t="s">
        <v>84</v>
      </c>
    </row>
    <row r="767" spans="1:11" x14ac:dyDescent="0.45">
      <c r="A767" t="s">
        <v>85</v>
      </c>
      <c r="B767" t="s">
        <v>3</v>
      </c>
      <c r="C767" t="s">
        <v>83</v>
      </c>
      <c r="D767" t="s">
        <v>84</v>
      </c>
      <c r="E767" t="s">
        <v>25</v>
      </c>
      <c r="F767" t="s">
        <v>84</v>
      </c>
      <c r="G767" t="s">
        <v>26</v>
      </c>
      <c r="H767" t="s">
        <v>81</v>
      </c>
      <c r="I767">
        <v>2075</v>
      </c>
      <c r="J767">
        <v>0.1208</v>
      </c>
      <c r="K767" t="s">
        <v>84</v>
      </c>
    </row>
    <row r="768" spans="1:11" x14ac:dyDescent="0.45">
      <c r="A768" t="s">
        <v>85</v>
      </c>
      <c r="B768" t="s">
        <v>3</v>
      </c>
      <c r="C768" t="s">
        <v>83</v>
      </c>
      <c r="D768" t="s">
        <v>84</v>
      </c>
      <c r="E768" t="s">
        <v>25</v>
      </c>
      <c r="F768" t="s">
        <v>84</v>
      </c>
      <c r="G768" t="s">
        <v>26</v>
      </c>
      <c r="H768" t="s">
        <v>81</v>
      </c>
      <c r="I768">
        <v>2080</v>
      </c>
      <c r="J768">
        <v>0.11890000000000001</v>
      </c>
      <c r="K768" t="s">
        <v>84</v>
      </c>
    </row>
    <row r="769" spans="1:12" x14ac:dyDescent="0.45">
      <c r="A769" t="s">
        <v>85</v>
      </c>
      <c r="B769" t="s">
        <v>3</v>
      </c>
      <c r="C769" t="s">
        <v>83</v>
      </c>
      <c r="D769" t="s">
        <v>84</v>
      </c>
      <c r="E769" t="s">
        <v>25</v>
      </c>
      <c r="F769" t="s">
        <v>84</v>
      </c>
      <c r="G769" t="s">
        <v>26</v>
      </c>
      <c r="H769" t="s">
        <v>81</v>
      </c>
      <c r="I769">
        <v>2085</v>
      </c>
      <c r="J769">
        <v>0.11550000000000001</v>
      </c>
      <c r="K769" t="s">
        <v>84</v>
      </c>
    </row>
    <row r="770" spans="1:12" x14ac:dyDescent="0.45">
      <c r="A770" t="s">
        <v>85</v>
      </c>
      <c r="B770" t="s">
        <v>3</v>
      </c>
      <c r="C770" t="s">
        <v>83</v>
      </c>
      <c r="D770" t="s">
        <v>84</v>
      </c>
      <c r="E770" t="s">
        <v>25</v>
      </c>
      <c r="F770" t="s">
        <v>84</v>
      </c>
      <c r="G770" t="s">
        <v>26</v>
      </c>
      <c r="H770" t="s">
        <v>81</v>
      </c>
      <c r="I770">
        <v>2090</v>
      </c>
      <c r="J770">
        <v>0.108</v>
      </c>
      <c r="K770" t="s">
        <v>84</v>
      </c>
    </row>
    <row r="771" spans="1:12" x14ac:dyDescent="0.45">
      <c r="A771" t="s">
        <v>85</v>
      </c>
      <c r="B771" t="s">
        <v>3</v>
      </c>
      <c r="C771" t="s">
        <v>83</v>
      </c>
      <c r="D771" t="s">
        <v>84</v>
      </c>
      <c r="E771" t="s">
        <v>25</v>
      </c>
      <c r="F771" t="s">
        <v>84</v>
      </c>
      <c r="G771" t="s">
        <v>26</v>
      </c>
      <c r="H771" t="s">
        <v>81</v>
      </c>
      <c r="I771">
        <v>2095</v>
      </c>
      <c r="J771">
        <v>0.1021</v>
      </c>
      <c r="K771" t="s">
        <v>84</v>
      </c>
    </row>
    <row r="772" spans="1:12" x14ac:dyDescent="0.45">
      <c r="A772" t="s">
        <v>85</v>
      </c>
      <c r="B772" t="s">
        <v>3</v>
      </c>
      <c r="C772" t="s">
        <v>83</v>
      </c>
      <c r="D772" t="s">
        <v>84</v>
      </c>
      <c r="E772" t="s">
        <v>25</v>
      </c>
      <c r="F772" t="s">
        <v>84</v>
      </c>
      <c r="G772" t="s">
        <v>26</v>
      </c>
      <c r="H772" t="s">
        <v>81</v>
      </c>
      <c r="I772">
        <v>2100</v>
      </c>
      <c r="J772">
        <v>9.5600000000000004E-2</v>
      </c>
      <c r="K772" t="s">
        <v>84</v>
      </c>
    </row>
    <row r="773" spans="1:12" x14ac:dyDescent="0.45">
      <c r="A773" t="s">
        <v>85</v>
      </c>
      <c r="B773" t="s">
        <v>3</v>
      </c>
      <c r="C773" t="s">
        <v>83</v>
      </c>
      <c r="D773" t="s">
        <v>52</v>
      </c>
      <c r="E773" t="s">
        <v>25</v>
      </c>
      <c r="F773" t="s">
        <v>52</v>
      </c>
      <c r="G773" t="s">
        <v>70</v>
      </c>
      <c r="I773">
        <v>2020</v>
      </c>
      <c r="J773">
        <v>0.32690000000000002</v>
      </c>
      <c r="K773" t="s">
        <v>52</v>
      </c>
      <c r="L773">
        <v>94</v>
      </c>
    </row>
    <row r="774" spans="1:12" x14ac:dyDescent="0.45">
      <c r="A774" t="s">
        <v>85</v>
      </c>
      <c r="B774" t="s">
        <v>3</v>
      </c>
      <c r="C774" t="s">
        <v>83</v>
      </c>
      <c r="D774" t="s">
        <v>52</v>
      </c>
      <c r="E774" t="s">
        <v>25</v>
      </c>
      <c r="F774" t="s">
        <v>52</v>
      </c>
      <c r="G774" t="s">
        <v>70</v>
      </c>
      <c r="I774">
        <v>2025</v>
      </c>
      <c r="J774">
        <v>0.29399999999999998</v>
      </c>
      <c r="K774" t="s">
        <v>52</v>
      </c>
      <c r="L774">
        <v>94</v>
      </c>
    </row>
    <row r="775" spans="1:12" x14ac:dyDescent="0.45">
      <c r="A775" t="s">
        <v>85</v>
      </c>
      <c r="B775" t="s">
        <v>3</v>
      </c>
      <c r="C775" t="s">
        <v>83</v>
      </c>
      <c r="D775" t="s">
        <v>52</v>
      </c>
      <c r="E775" t="s">
        <v>25</v>
      </c>
      <c r="F775" t="s">
        <v>52</v>
      </c>
      <c r="G775" t="s">
        <v>70</v>
      </c>
      <c r="I775">
        <v>2030</v>
      </c>
      <c r="J775">
        <v>0.21</v>
      </c>
      <c r="K775" t="s">
        <v>52</v>
      </c>
      <c r="L775">
        <v>94</v>
      </c>
    </row>
    <row r="776" spans="1:12" x14ac:dyDescent="0.45">
      <c r="A776" t="s">
        <v>85</v>
      </c>
      <c r="B776" t="s">
        <v>3</v>
      </c>
      <c r="C776" t="s">
        <v>83</v>
      </c>
      <c r="D776" t="s">
        <v>52</v>
      </c>
      <c r="E776" t="s">
        <v>25</v>
      </c>
      <c r="F776" t="s">
        <v>52</v>
      </c>
      <c r="G776" t="s">
        <v>70</v>
      </c>
      <c r="I776">
        <v>2035</v>
      </c>
      <c r="J776">
        <v>9.4100000000000003E-2</v>
      </c>
      <c r="K776" t="s">
        <v>52</v>
      </c>
      <c r="L776">
        <v>94</v>
      </c>
    </row>
    <row r="777" spans="1:12" x14ac:dyDescent="0.45">
      <c r="A777" t="s">
        <v>85</v>
      </c>
      <c r="B777" t="s">
        <v>3</v>
      </c>
      <c r="C777" t="s">
        <v>83</v>
      </c>
      <c r="D777" t="s">
        <v>52</v>
      </c>
      <c r="E777" t="s">
        <v>25</v>
      </c>
      <c r="F777" t="s">
        <v>52</v>
      </c>
      <c r="G777" t="s">
        <v>70</v>
      </c>
      <c r="I777">
        <v>2040</v>
      </c>
      <c r="J777">
        <v>3.9E-2</v>
      </c>
      <c r="K777" t="s">
        <v>52</v>
      </c>
      <c r="L777">
        <v>94</v>
      </c>
    </row>
    <row r="778" spans="1:12" x14ac:dyDescent="0.45">
      <c r="A778" t="s">
        <v>85</v>
      </c>
      <c r="B778" t="s">
        <v>3</v>
      </c>
      <c r="C778" t="s">
        <v>83</v>
      </c>
      <c r="D778" t="s">
        <v>52</v>
      </c>
      <c r="E778" t="s">
        <v>25</v>
      </c>
      <c r="F778" t="s">
        <v>52</v>
      </c>
      <c r="G778" t="s">
        <v>70</v>
      </c>
      <c r="I778">
        <v>2045</v>
      </c>
      <c r="J778">
        <v>6.7999999999999996E-3</v>
      </c>
      <c r="K778" t="s">
        <v>52</v>
      </c>
      <c r="L778">
        <v>94</v>
      </c>
    </row>
    <row r="779" spans="1:12" x14ac:dyDescent="0.45">
      <c r="A779" t="s">
        <v>85</v>
      </c>
      <c r="B779" t="s">
        <v>3</v>
      </c>
      <c r="C779" t="s">
        <v>83</v>
      </c>
      <c r="D779" t="s">
        <v>52</v>
      </c>
      <c r="E779" t="s">
        <v>25</v>
      </c>
      <c r="F779" t="s">
        <v>52</v>
      </c>
      <c r="G779" t="s">
        <v>70</v>
      </c>
      <c r="I779">
        <v>2050</v>
      </c>
      <c r="J779">
        <v>1E-4</v>
      </c>
      <c r="K779" t="s">
        <v>52</v>
      </c>
      <c r="L779">
        <v>94</v>
      </c>
    </row>
    <row r="780" spans="1:12" x14ac:dyDescent="0.45">
      <c r="A780" t="s">
        <v>85</v>
      </c>
      <c r="B780" t="s">
        <v>3</v>
      </c>
      <c r="C780" t="s">
        <v>83</v>
      </c>
      <c r="D780" t="s">
        <v>52</v>
      </c>
      <c r="E780" t="s">
        <v>25</v>
      </c>
      <c r="F780" t="s">
        <v>52</v>
      </c>
      <c r="G780" t="s">
        <v>70</v>
      </c>
      <c r="I780">
        <v>2055</v>
      </c>
      <c r="J780">
        <v>1E-4</v>
      </c>
      <c r="K780" t="s">
        <v>52</v>
      </c>
      <c r="L780">
        <v>94</v>
      </c>
    </row>
    <row r="781" spans="1:12" x14ac:dyDescent="0.45">
      <c r="A781" t="s">
        <v>85</v>
      </c>
      <c r="B781" t="s">
        <v>3</v>
      </c>
      <c r="C781" t="s">
        <v>83</v>
      </c>
      <c r="D781" t="s">
        <v>52</v>
      </c>
      <c r="E781" t="s">
        <v>25</v>
      </c>
      <c r="F781" t="s">
        <v>52</v>
      </c>
      <c r="G781" t="s">
        <v>70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85</v>
      </c>
      <c r="B782" t="s">
        <v>3</v>
      </c>
      <c r="C782" t="s">
        <v>83</v>
      </c>
      <c r="D782" t="s">
        <v>52</v>
      </c>
      <c r="E782" t="s">
        <v>25</v>
      </c>
      <c r="F782" t="s">
        <v>52</v>
      </c>
      <c r="G782" t="s">
        <v>70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85</v>
      </c>
      <c r="B783" t="s">
        <v>3</v>
      </c>
      <c r="C783" t="s">
        <v>83</v>
      </c>
      <c r="D783" t="s">
        <v>52</v>
      </c>
      <c r="E783" t="s">
        <v>25</v>
      </c>
      <c r="F783" t="s">
        <v>52</v>
      </c>
      <c r="G783" t="s">
        <v>70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85</v>
      </c>
      <c r="B784" t="s">
        <v>3</v>
      </c>
      <c r="C784" t="s">
        <v>83</v>
      </c>
      <c r="D784" t="s">
        <v>52</v>
      </c>
      <c r="E784" t="s">
        <v>25</v>
      </c>
      <c r="F784" t="s">
        <v>52</v>
      </c>
      <c r="G784" t="s">
        <v>70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85</v>
      </c>
      <c r="B785" t="s">
        <v>3</v>
      </c>
      <c r="C785" t="s">
        <v>83</v>
      </c>
      <c r="D785" t="s">
        <v>52</v>
      </c>
      <c r="E785" t="s">
        <v>25</v>
      </c>
      <c r="F785" t="s">
        <v>52</v>
      </c>
      <c r="G785" t="s">
        <v>70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85</v>
      </c>
      <c r="B786" t="s">
        <v>3</v>
      </c>
      <c r="C786" t="s">
        <v>83</v>
      </c>
      <c r="D786" t="s">
        <v>52</v>
      </c>
      <c r="E786" t="s">
        <v>25</v>
      </c>
      <c r="F786" t="s">
        <v>52</v>
      </c>
      <c r="G786" t="s">
        <v>70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85</v>
      </c>
      <c r="B787" t="s">
        <v>3</v>
      </c>
      <c r="C787" t="s">
        <v>83</v>
      </c>
      <c r="D787" t="s">
        <v>52</v>
      </c>
      <c r="E787" t="s">
        <v>25</v>
      </c>
      <c r="F787" t="s">
        <v>52</v>
      </c>
      <c r="G787" t="s">
        <v>70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85</v>
      </c>
      <c r="B788" t="s">
        <v>3</v>
      </c>
      <c r="C788" t="s">
        <v>83</v>
      </c>
      <c r="D788" t="s">
        <v>52</v>
      </c>
      <c r="E788" t="s">
        <v>25</v>
      </c>
      <c r="F788" t="s">
        <v>52</v>
      </c>
      <c r="G788" t="s">
        <v>70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85</v>
      </c>
      <c r="B789" t="s">
        <v>3</v>
      </c>
      <c r="C789" t="s">
        <v>83</v>
      </c>
      <c r="D789" t="s">
        <v>52</v>
      </c>
      <c r="E789" t="s">
        <v>25</v>
      </c>
      <c r="F789" t="s">
        <v>52</v>
      </c>
      <c r="G789" t="s">
        <v>70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85</v>
      </c>
      <c r="B790" t="s">
        <v>3</v>
      </c>
      <c r="C790" t="s">
        <v>83</v>
      </c>
      <c r="D790" t="s">
        <v>53</v>
      </c>
      <c r="E790" t="s">
        <v>25</v>
      </c>
      <c r="F790" t="s">
        <v>53</v>
      </c>
      <c r="G790" t="s">
        <v>70</v>
      </c>
      <c r="I790">
        <v>2020</v>
      </c>
      <c r="J790">
        <v>0.1085</v>
      </c>
      <c r="K790" t="s">
        <v>53</v>
      </c>
      <c r="L790">
        <v>55</v>
      </c>
    </row>
    <row r="791" spans="1:12" x14ac:dyDescent="0.45">
      <c r="A791" t="s">
        <v>85</v>
      </c>
      <c r="B791" t="s">
        <v>3</v>
      </c>
      <c r="C791" t="s">
        <v>83</v>
      </c>
      <c r="D791" t="s">
        <v>53</v>
      </c>
      <c r="E791" t="s">
        <v>25</v>
      </c>
      <c r="F791" t="s">
        <v>53</v>
      </c>
      <c r="G791" t="s">
        <v>70</v>
      </c>
      <c r="I791">
        <v>2025</v>
      </c>
      <c r="J791">
        <v>0.1217</v>
      </c>
      <c r="K791" t="s">
        <v>53</v>
      </c>
      <c r="L791">
        <v>55</v>
      </c>
    </row>
    <row r="792" spans="1:12" x14ac:dyDescent="0.45">
      <c r="A792" t="s">
        <v>85</v>
      </c>
      <c r="B792" t="s">
        <v>3</v>
      </c>
      <c r="C792" t="s">
        <v>83</v>
      </c>
      <c r="D792" t="s">
        <v>53</v>
      </c>
      <c r="E792" t="s">
        <v>25</v>
      </c>
      <c r="F792" t="s">
        <v>53</v>
      </c>
      <c r="G792" t="s">
        <v>70</v>
      </c>
      <c r="I792">
        <v>2030</v>
      </c>
      <c r="J792">
        <v>0.13</v>
      </c>
      <c r="K792" t="s">
        <v>53</v>
      </c>
      <c r="L792">
        <v>55</v>
      </c>
    </row>
    <row r="793" spans="1:12" x14ac:dyDescent="0.45">
      <c r="A793" t="s">
        <v>85</v>
      </c>
      <c r="B793" t="s">
        <v>3</v>
      </c>
      <c r="C793" t="s">
        <v>83</v>
      </c>
      <c r="D793" t="s">
        <v>53</v>
      </c>
      <c r="E793" t="s">
        <v>25</v>
      </c>
      <c r="F793" t="s">
        <v>53</v>
      </c>
      <c r="G793" t="s">
        <v>70</v>
      </c>
      <c r="I793">
        <v>2035</v>
      </c>
      <c r="J793">
        <v>8.4699999999999998E-2</v>
      </c>
      <c r="K793" t="s">
        <v>53</v>
      </c>
      <c r="L793">
        <v>55</v>
      </c>
    </row>
    <row r="794" spans="1:12" x14ac:dyDescent="0.45">
      <c r="A794" t="s">
        <v>85</v>
      </c>
      <c r="B794" t="s">
        <v>3</v>
      </c>
      <c r="C794" t="s">
        <v>83</v>
      </c>
      <c r="D794" t="s">
        <v>53</v>
      </c>
      <c r="E794" t="s">
        <v>25</v>
      </c>
      <c r="F794" t="s">
        <v>53</v>
      </c>
      <c r="G794" t="s">
        <v>70</v>
      </c>
      <c r="I794">
        <v>2040</v>
      </c>
      <c r="J794">
        <v>3.6700000000000003E-2</v>
      </c>
      <c r="K794" t="s">
        <v>53</v>
      </c>
      <c r="L794">
        <v>55</v>
      </c>
    </row>
    <row r="795" spans="1:12" x14ac:dyDescent="0.45">
      <c r="A795" t="s">
        <v>85</v>
      </c>
      <c r="B795" t="s">
        <v>3</v>
      </c>
      <c r="C795" t="s">
        <v>83</v>
      </c>
      <c r="D795" t="s">
        <v>53</v>
      </c>
      <c r="E795" t="s">
        <v>25</v>
      </c>
      <c r="F795" t="s">
        <v>53</v>
      </c>
      <c r="G795" t="s">
        <v>70</v>
      </c>
      <c r="I795">
        <v>2045</v>
      </c>
      <c r="J795">
        <v>9.7999999999999997E-3</v>
      </c>
      <c r="K795" t="s">
        <v>53</v>
      </c>
      <c r="L795">
        <v>55</v>
      </c>
    </row>
    <row r="796" spans="1:12" x14ac:dyDescent="0.45">
      <c r="A796" t="s">
        <v>85</v>
      </c>
      <c r="B796" t="s">
        <v>3</v>
      </c>
      <c r="C796" t="s">
        <v>83</v>
      </c>
      <c r="D796" t="s">
        <v>53</v>
      </c>
      <c r="E796" t="s">
        <v>25</v>
      </c>
      <c r="F796" t="s">
        <v>53</v>
      </c>
      <c r="G796" t="s">
        <v>70</v>
      </c>
      <c r="I796">
        <v>2050</v>
      </c>
      <c r="J796">
        <v>3.5000000000000001E-3</v>
      </c>
      <c r="K796" t="s">
        <v>53</v>
      </c>
      <c r="L796">
        <v>55</v>
      </c>
    </row>
    <row r="797" spans="1:12" x14ac:dyDescent="0.45">
      <c r="A797" t="s">
        <v>85</v>
      </c>
      <c r="B797" t="s">
        <v>3</v>
      </c>
      <c r="C797" t="s">
        <v>83</v>
      </c>
      <c r="D797" t="s">
        <v>53</v>
      </c>
      <c r="E797" t="s">
        <v>25</v>
      </c>
      <c r="F797" t="s">
        <v>53</v>
      </c>
      <c r="G797" t="s">
        <v>70</v>
      </c>
      <c r="I797">
        <v>2055</v>
      </c>
      <c r="J797">
        <v>2.0999999999999999E-3</v>
      </c>
      <c r="K797" t="s">
        <v>53</v>
      </c>
      <c r="L797">
        <v>55</v>
      </c>
    </row>
    <row r="798" spans="1:12" x14ac:dyDescent="0.45">
      <c r="A798" t="s">
        <v>85</v>
      </c>
      <c r="B798" t="s">
        <v>3</v>
      </c>
      <c r="C798" t="s">
        <v>83</v>
      </c>
      <c r="D798" t="s">
        <v>53</v>
      </c>
      <c r="E798" t="s">
        <v>25</v>
      </c>
      <c r="F798" t="s">
        <v>53</v>
      </c>
      <c r="G798" t="s">
        <v>70</v>
      </c>
      <c r="I798">
        <v>2060</v>
      </c>
      <c r="J798">
        <v>2E-3</v>
      </c>
      <c r="K798" t="s">
        <v>53</v>
      </c>
      <c r="L798">
        <v>55</v>
      </c>
    </row>
    <row r="799" spans="1:12" x14ac:dyDescent="0.45">
      <c r="A799" t="s">
        <v>85</v>
      </c>
      <c r="B799" t="s">
        <v>3</v>
      </c>
      <c r="C799" t="s">
        <v>83</v>
      </c>
      <c r="D799" t="s">
        <v>53</v>
      </c>
      <c r="E799" t="s">
        <v>25</v>
      </c>
      <c r="F799" t="s">
        <v>53</v>
      </c>
      <c r="G799" t="s">
        <v>70</v>
      </c>
      <c r="I799">
        <v>2065</v>
      </c>
      <c r="J799">
        <v>1.8E-3</v>
      </c>
      <c r="K799" t="s">
        <v>53</v>
      </c>
      <c r="L799">
        <v>55</v>
      </c>
    </row>
    <row r="800" spans="1:12" x14ac:dyDescent="0.45">
      <c r="A800" t="s">
        <v>85</v>
      </c>
      <c r="B800" t="s">
        <v>3</v>
      </c>
      <c r="C800" t="s">
        <v>83</v>
      </c>
      <c r="D800" t="s">
        <v>53</v>
      </c>
      <c r="E800" t="s">
        <v>25</v>
      </c>
      <c r="F800" t="s">
        <v>53</v>
      </c>
      <c r="G800" t="s">
        <v>70</v>
      </c>
      <c r="I800">
        <v>2070</v>
      </c>
      <c r="J800">
        <v>1.6000000000000001E-3</v>
      </c>
      <c r="K800" t="s">
        <v>53</v>
      </c>
      <c r="L800">
        <v>55</v>
      </c>
    </row>
    <row r="801" spans="1:12" x14ac:dyDescent="0.45">
      <c r="A801" t="s">
        <v>85</v>
      </c>
      <c r="B801" t="s">
        <v>3</v>
      </c>
      <c r="C801" t="s">
        <v>83</v>
      </c>
      <c r="D801" t="s">
        <v>53</v>
      </c>
      <c r="E801" t="s">
        <v>25</v>
      </c>
      <c r="F801" t="s">
        <v>53</v>
      </c>
      <c r="G801" t="s">
        <v>70</v>
      </c>
      <c r="I801">
        <v>2075</v>
      </c>
      <c r="J801">
        <v>1.2999999999999999E-3</v>
      </c>
      <c r="K801" t="s">
        <v>53</v>
      </c>
      <c r="L801">
        <v>55</v>
      </c>
    </row>
    <row r="802" spans="1:12" x14ac:dyDescent="0.45">
      <c r="A802" t="s">
        <v>85</v>
      </c>
      <c r="B802" t="s">
        <v>3</v>
      </c>
      <c r="C802" t="s">
        <v>83</v>
      </c>
      <c r="D802" t="s">
        <v>53</v>
      </c>
      <c r="E802" t="s">
        <v>25</v>
      </c>
      <c r="F802" t="s">
        <v>53</v>
      </c>
      <c r="G802" t="s">
        <v>70</v>
      </c>
      <c r="I802">
        <v>2080</v>
      </c>
      <c r="J802">
        <v>1E-3</v>
      </c>
      <c r="K802" t="s">
        <v>53</v>
      </c>
      <c r="L802">
        <v>55</v>
      </c>
    </row>
    <row r="803" spans="1:12" x14ac:dyDescent="0.45">
      <c r="A803" t="s">
        <v>85</v>
      </c>
      <c r="B803" t="s">
        <v>3</v>
      </c>
      <c r="C803" t="s">
        <v>83</v>
      </c>
      <c r="D803" t="s">
        <v>53</v>
      </c>
      <c r="E803" t="s">
        <v>25</v>
      </c>
      <c r="F803" t="s">
        <v>53</v>
      </c>
      <c r="G803" t="s">
        <v>70</v>
      </c>
      <c r="I803">
        <v>2085</v>
      </c>
      <c r="J803">
        <v>6.9999999999999999E-4</v>
      </c>
      <c r="K803" t="s">
        <v>53</v>
      </c>
      <c r="L803">
        <v>55</v>
      </c>
    </row>
    <row r="804" spans="1:12" x14ac:dyDescent="0.45">
      <c r="A804" t="s">
        <v>85</v>
      </c>
      <c r="B804" t="s">
        <v>3</v>
      </c>
      <c r="C804" t="s">
        <v>83</v>
      </c>
      <c r="D804" t="s">
        <v>53</v>
      </c>
      <c r="E804" t="s">
        <v>25</v>
      </c>
      <c r="F804" t="s">
        <v>53</v>
      </c>
      <c r="G804" t="s">
        <v>70</v>
      </c>
      <c r="I804">
        <v>2090</v>
      </c>
      <c r="J804">
        <v>2.9999999999999997E-4</v>
      </c>
      <c r="K804" t="s">
        <v>53</v>
      </c>
      <c r="L804">
        <v>55</v>
      </c>
    </row>
    <row r="805" spans="1:12" x14ac:dyDescent="0.45">
      <c r="A805" t="s">
        <v>85</v>
      </c>
      <c r="B805" t="s">
        <v>3</v>
      </c>
      <c r="C805" t="s">
        <v>83</v>
      </c>
      <c r="D805" t="s">
        <v>53</v>
      </c>
      <c r="E805" t="s">
        <v>25</v>
      </c>
      <c r="F805" t="s">
        <v>53</v>
      </c>
      <c r="G805" t="s">
        <v>70</v>
      </c>
      <c r="I805">
        <v>2095</v>
      </c>
      <c r="J805">
        <v>2.0000000000000001E-4</v>
      </c>
      <c r="K805" t="s">
        <v>53</v>
      </c>
      <c r="L805">
        <v>55</v>
      </c>
    </row>
    <row r="806" spans="1:12" x14ac:dyDescent="0.45">
      <c r="A806" t="s">
        <v>85</v>
      </c>
      <c r="B806" t="s">
        <v>3</v>
      </c>
      <c r="C806" t="s">
        <v>83</v>
      </c>
      <c r="D806" t="s">
        <v>53</v>
      </c>
      <c r="E806" t="s">
        <v>25</v>
      </c>
      <c r="F806" t="s">
        <v>53</v>
      </c>
      <c r="G806" t="s">
        <v>70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85</v>
      </c>
      <c r="B807" t="s">
        <v>3</v>
      </c>
      <c r="C807" t="s">
        <v>83</v>
      </c>
      <c r="D807" t="s">
        <v>54</v>
      </c>
      <c r="E807" t="s">
        <v>25</v>
      </c>
      <c r="F807" t="s">
        <v>54</v>
      </c>
      <c r="G807" t="s">
        <v>70</v>
      </c>
      <c r="I807">
        <v>2020</v>
      </c>
      <c r="J807">
        <v>0</v>
      </c>
      <c r="K807" t="s">
        <v>54</v>
      </c>
      <c r="L807">
        <v>70</v>
      </c>
    </row>
    <row r="808" spans="1:12" x14ac:dyDescent="0.45">
      <c r="A808" t="s">
        <v>85</v>
      </c>
      <c r="B808" t="s">
        <v>3</v>
      </c>
      <c r="C808" t="s">
        <v>83</v>
      </c>
      <c r="D808" t="s">
        <v>54</v>
      </c>
      <c r="E808" t="s">
        <v>25</v>
      </c>
      <c r="F808" t="s">
        <v>54</v>
      </c>
      <c r="G808" t="s">
        <v>70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85</v>
      </c>
      <c r="B809" t="s">
        <v>3</v>
      </c>
      <c r="C809" t="s">
        <v>83</v>
      </c>
      <c r="D809" t="s">
        <v>54</v>
      </c>
      <c r="E809" t="s">
        <v>25</v>
      </c>
      <c r="F809" t="s">
        <v>54</v>
      </c>
      <c r="G809" t="s">
        <v>70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85</v>
      </c>
      <c r="B810" t="s">
        <v>3</v>
      </c>
      <c r="C810" t="s">
        <v>83</v>
      </c>
      <c r="D810" t="s">
        <v>54</v>
      </c>
      <c r="E810" t="s">
        <v>25</v>
      </c>
      <c r="F810" t="s">
        <v>54</v>
      </c>
      <c r="G810" t="s">
        <v>70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85</v>
      </c>
      <c r="B811" t="s">
        <v>3</v>
      </c>
      <c r="C811" t="s">
        <v>83</v>
      </c>
      <c r="D811" t="s">
        <v>54</v>
      </c>
      <c r="E811" t="s">
        <v>25</v>
      </c>
      <c r="F811" t="s">
        <v>54</v>
      </c>
      <c r="G811" t="s">
        <v>70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85</v>
      </c>
      <c r="B812" t="s">
        <v>3</v>
      </c>
      <c r="C812" t="s">
        <v>83</v>
      </c>
      <c r="D812" t="s">
        <v>54</v>
      </c>
      <c r="E812" t="s">
        <v>25</v>
      </c>
      <c r="F812" t="s">
        <v>54</v>
      </c>
      <c r="G812" t="s">
        <v>70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85</v>
      </c>
      <c r="B813" t="s">
        <v>3</v>
      </c>
      <c r="C813" t="s">
        <v>83</v>
      </c>
      <c r="D813" t="s">
        <v>54</v>
      </c>
      <c r="E813" t="s">
        <v>25</v>
      </c>
      <c r="F813" t="s">
        <v>54</v>
      </c>
      <c r="G813" t="s">
        <v>70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85</v>
      </c>
      <c r="B814" t="s">
        <v>3</v>
      </c>
      <c r="C814" t="s">
        <v>83</v>
      </c>
      <c r="D814" t="s">
        <v>54</v>
      </c>
      <c r="E814" t="s">
        <v>25</v>
      </c>
      <c r="F814" t="s">
        <v>54</v>
      </c>
      <c r="G814" t="s">
        <v>70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85</v>
      </c>
      <c r="B815" t="s">
        <v>3</v>
      </c>
      <c r="C815" t="s">
        <v>83</v>
      </c>
      <c r="D815" t="s">
        <v>54</v>
      </c>
      <c r="E815" t="s">
        <v>25</v>
      </c>
      <c r="F815" t="s">
        <v>54</v>
      </c>
      <c r="G815" t="s">
        <v>70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85</v>
      </c>
      <c r="B816" t="s">
        <v>3</v>
      </c>
      <c r="C816" t="s">
        <v>83</v>
      </c>
      <c r="D816" t="s">
        <v>54</v>
      </c>
      <c r="E816" t="s">
        <v>25</v>
      </c>
      <c r="F816" t="s">
        <v>54</v>
      </c>
      <c r="G816" t="s">
        <v>70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85</v>
      </c>
      <c r="B817" t="s">
        <v>3</v>
      </c>
      <c r="C817" t="s">
        <v>83</v>
      </c>
      <c r="D817" t="s">
        <v>54</v>
      </c>
      <c r="E817" t="s">
        <v>25</v>
      </c>
      <c r="F817" t="s">
        <v>54</v>
      </c>
      <c r="G817" t="s">
        <v>70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85</v>
      </c>
      <c r="B818" t="s">
        <v>3</v>
      </c>
      <c r="C818" t="s">
        <v>83</v>
      </c>
      <c r="D818" t="s">
        <v>54</v>
      </c>
      <c r="E818" t="s">
        <v>25</v>
      </c>
      <c r="F818" t="s">
        <v>54</v>
      </c>
      <c r="G818" t="s">
        <v>70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85</v>
      </c>
      <c r="B819" t="s">
        <v>3</v>
      </c>
      <c r="C819" t="s">
        <v>83</v>
      </c>
      <c r="D819" t="s">
        <v>54</v>
      </c>
      <c r="E819" t="s">
        <v>25</v>
      </c>
      <c r="F819" t="s">
        <v>54</v>
      </c>
      <c r="G819" t="s">
        <v>70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85</v>
      </c>
      <c r="B820" t="s">
        <v>3</v>
      </c>
      <c r="C820" t="s">
        <v>83</v>
      </c>
      <c r="D820" t="s">
        <v>54</v>
      </c>
      <c r="E820" t="s">
        <v>25</v>
      </c>
      <c r="F820" t="s">
        <v>54</v>
      </c>
      <c r="G820" t="s">
        <v>70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85</v>
      </c>
      <c r="B821" t="s">
        <v>3</v>
      </c>
      <c r="C821" t="s">
        <v>83</v>
      </c>
      <c r="D821" t="s">
        <v>54</v>
      </c>
      <c r="E821" t="s">
        <v>25</v>
      </c>
      <c r="F821" t="s">
        <v>54</v>
      </c>
      <c r="G821" t="s">
        <v>70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85</v>
      </c>
      <c r="B822" t="s">
        <v>3</v>
      </c>
      <c r="C822" t="s">
        <v>83</v>
      </c>
      <c r="D822" t="s">
        <v>54</v>
      </c>
      <c r="E822" t="s">
        <v>25</v>
      </c>
      <c r="F822" t="s">
        <v>54</v>
      </c>
      <c r="G822" t="s">
        <v>70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85</v>
      </c>
      <c r="B823" t="s">
        <v>3</v>
      </c>
      <c r="C823" t="s">
        <v>83</v>
      </c>
      <c r="D823" t="s">
        <v>54</v>
      </c>
      <c r="E823" t="s">
        <v>25</v>
      </c>
      <c r="F823" t="s">
        <v>54</v>
      </c>
      <c r="G823" t="s">
        <v>70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85</v>
      </c>
      <c r="B824" t="s">
        <v>3</v>
      </c>
      <c r="C824" t="s">
        <v>83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85</v>
      </c>
      <c r="B825" t="s">
        <v>3</v>
      </c>
      <c r="C825" t="s">
        <v>83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85</v>
      </c>
      <c r="B826" t="s">
        <v>3</v>
      </c>
      <c r="C826" t="s">
        <v>83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85</v>
      </c>
      <c r="B827" t="s">
        <v>3</v>
      </c>
      <c r="C827" t="s">
        <v>83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85</v>
      </c>
      <c r="B828" t="s">
        <v>3</v>
      </c>
      <c r="C828" t="s">
        <v>83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85</v>
      </c>
      <c r="B829" t="s">
        <v>3</v>
      </c>
      <c r="C829" t="s">
        <v>83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85</v>
      </c>
      <c r="B830" t="s">
        <v>3</v>
      </c>
      <c r="C830" t="s">
        <v>83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85</v>
      </c>
      <c r="B831" t="s">
        <v>3</v>
      </c>
      <c r="C831" t="s">
        <v>83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85</v>
      </c>
      <c r="B832" t="s">
        <v>3</v>
      </c>
      <c r="C832" t="s">
        <v>83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85</v>
      </c>
      <c r="B833" t="s">
        <v>3</v>
      </c>
      <c r="C833" t="s">
        <v>83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85</v>
      </c>
      <c r="B834" t="s">
        <v>3</v>
      </c>
      <c r="C834" t="s">
        <v>83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85</v>
      </c>
      <c r="B835" t="s">
        <v>3</v>
      </c>
      <c r="C835" t="s">
        <v>83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85</v>
      </c>
      <c r="B836" t="s">
        <v>3</v>
      </c>
      <c r="C836" t="s">
        <v>83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85</v>
      </c>
      <c r="B837" t="s">
        <v>3</v>
      </c>
      <c r="C837" t="s">
        <v>83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85</v>
      </c>
      <c r="B838" t="s">
        <v>3</v>
      </c>
      <c r="C838" t="s">
        <v>83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85</v>
      </c>
      <c r="B839" t="s">
        <v>3</v>
      </c>
      <c r="C839" t="s">
        <v>83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85</v>
      </c>
      <c r="B840" t="s">
        <v>3</v>
      </c>
      <c r="C840" t="s">
        <v>83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85</v>
      </c>
      <c r="B841" t="s">
        <v>3</v>
      </c>
      <c r="C841" t="s">
        <v>83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85</v>
      </c>
      <c r="B842" t="s">
        <v>3</v>
      </c>
      <c r="C842" t="s">
        <v>83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85</v>
      </c>
      <c r="B843" t="s">
        <v>3</v>
      </c>
      <c r="C843" t="s">
        <v>83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85</v>
      </c>
      <c r="B844" t="s">
        <v>3</v>
      </c>
      <c r="C844" t="s">
        <v>83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85</v>
      </c>
      <c r="B845" t="s">
        <v>3</v>
      </c>
      <c r="C845" t="s">
        <v>83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85</v>
      </c>
      <c r="B846" t="s">
        <v>3</v>
      </c>
      <c r="C846" t="s">
        <v>83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85</v>
      </c>
      <c r="B847" t="s">
        <v>3</v>
      </c>
      <c r="C847" t="s">
        <v>83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85</v>
      </c>
      <c r="B848" t="s">
        <v>3</v>
      </c>
      <c r="C848" t="s">
        <v>83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85</v>
      </c>
      <c r="B849" t="s">
        <v>3</v>
      </c>
      <c r="C849" t="s">
        <v>83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85</v>
      </c>
      <c r="B850" t="s">
        <v>3</v>
      </c>
      <c r="C850" t="s">
        <v>83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85</v>
      </c>
      <c r="B851" t="s">
        <v>3</v>
      </c>
      <c r="C851" t="s">
        <v>83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85</v>
      </c>
      <c r="B852" t="s">
        <v>3</v>
      </c>
      <c r="C852" t="s">
        <v>83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85</v>
      </c>
      <c r="B853" t="s">
        <v>3</v>
      </c>
      <c r="C853" t="s">
        <v>83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85</v>
      </c>
      <c r="B854" t="s">
        <v>3</v>
      </c>
      <c r="C854" t="s">
        <v>83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85</v>
      </c>
      <c r="B855" t="s">
        <v>3</v>
      </c>
      <c r="C855" t="s">
        <v>83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85</v>
      </c>
      <c r="B856" t="s">
        <v>3</v>
      </c>
      <c r="C856" t="s">
        <v>83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85</v>
      </c>
      <c r="B857" t="s">
        <v>3</v>
      </c>
      <c r="C857" t="s">
        <v>83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85</v>
      </c>
      <c r="B858" t="s">
        <v>3</v>
      </c>
      <c r="C858" t="s">
        <v>83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85</v>
      </c>
      <c r="B859" t="s">
        <v>3</v>
      </c>
      <c r="C859" t="s">
        <v>83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85</v>
      </c>
      <c r="B860" t="s">
        <v>3</v>
      </c>
      <c r="C860" t="s">
        <v>83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85</v>
      </c>
      <c r="B861" t="s">
        <v>3</v>
      </c>
      <c r="C861" t="s">
        <v>83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85</v>
      </c>
      <c r="B862" t="s">
        <v>3</v>
      </c>
      <c r="C862" t="s">
        <v>83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85</v>
      </c>
      <c r="B863" t="s">
        <v>3</v>
      </c>
      <c r="C863" t="s">
        <v>83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85</v>
      </c>
      <c r="B864" t="s">
        <v>3</v>
      </c>
      <c r="C864" t="s">
        <v>83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85</v>
      </c>
      <c r="B865" t="s">
        <v>3</v>
      </c>
      <c r="C865" t="s">
        <v>83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85</v>
      </c>
      <c r="B866" t="s">
        <v>3</v>
      </c>
      <c r="C866" t="s">
        <v>83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85</v>
      </c>
      <c r="B867" t="s">
        <v>3</v>
      </c>
      <c r="C867" t="s">
        <v>83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85</v>
      </c>
      <c r="B868" t="s">
        <v>3</v>
      </c>
      <c r="C868" t="s">
        <v>83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85</v>
      </c>
      <c r="B869" t="s">
        <v>3</v>
      </c>
      <c r="C869" t="s">
        <v>83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85</v>
      </c>
      <c r="B870" t="s">
        <v>3</v>
      </c>
      <c r="C870" t="s">
        <v>83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85</v>
      </c>
      <c r="B871" t="s">
        <v>3</v>
      </c>
      <c r="C871" t="s">
        <v>83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85</v>
      </c>
      <c r="B872" t="s">
        <v>3</v>
      </c>
      <c r="C872" t="s">
        <v>83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85</v>
      </c>
      <c r="B873" t="s">
        <v>3</v>
      </c>
      <c r="C873" t="s">
        <v>83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85</v>
      </c>
      <c r="B874" t="s">
        <v>3</v>
      </c>
      <c r="C874" t="s">
        <v>83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85</v>
      </c>
      <c r="B875" t="s">
        <v>3</v>
      </c>
      <c r="C875" t="s">
        <v>83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56.074300000000001</v>
      </c>
      <c r="K875" t="s">
        <v>37</v>
      </c>
    </row>
    <row r="876" spans="1:11" x14ac:dyDescent="0.45">
      <c r="A876" t="s">
        <v>85</v>
      </c>
      <c r="B876" t="s">
        <v>3</v>
      </c>
      <c r="C876" t="s">
        <v>83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60.266800000000003</v>
      </c>
      <c r="K876" t="s">
        <v>37</v>
      </c>
    </row>
    <row r="877" spans="1:11" x14ac:dyDescent="0.45">
      <c r="A877" t="s">
        <v>85</v>
      </c>
      <c r="B877" t="s">
        <v>3</v>
      </c>
      <c r="C877" t="s">
        <v>83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74.063199999999995</v>
      </c>
      <c r="K877" t="s">
        <v>37</v>
      </c>
    </row>
    <row r="878" spans="1:11" x14ac:dyDescent="0.45">
      <c r="A878" t="s">
        <v>85</v>
      </c>
      <c r="B878" t="s">
        <v>3</v>
      </c>
      <c r="C878" t="s">
        <v>83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78.308099999999996</v>
      </c>
      <c r="K878" t="s">
        <v>37</v>
      </c>
    </row>
    <row r="879" spans="1:11" x14ac:dyDescent="0.45">
      <c r="A879" t="s">
        <v>85</v>
      </c>
      <c r="B879" t="s">
        <v>3</v>
      </c>
      <c r="C879" t="s">
        <v>83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84.741399999999999</v>
      </c>
      <c r="K879" t="s">
        <v>37</v>
      </c>
    </row>
    <row r="880" spans="1:11" x14ac:dyDescent="0.45">
      <c r="A880" t="s">
        <v>85</v>
      </c>
      <c r="B880" t="s">
        <v>3</v>
      </c>
      <c r="C880" t="s">
        <v>83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87.655299999999997</v>
      </c>
      <c r="K880" t="s">
        <v>37</v>
      </c>
    </row>
    <row r="881" spans="1:11" x14ac:dyDescent="0.45">
      <c r="A881" t="s">
        <v>85</v>
      </c>
      <c r="B881" t="s">
        <v>3</v>
      </c>
      <c r="C881" t="s">
        <v>83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99.593599999999995</v>
      </c>
      <c r="K881" t="s">
        <v>37</v>
      </c>
    </row>
    <row r="882" spans="1:11" x14ac:dyDescent="0.45">
      <c r="A882" t="s">
        <v>85</v>
      </c>
      <c r="B882" t="s">
        <v>3</v>
      </c>
      <c r="C882" t="s">
        <v>83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111.973</v>
      </c>
      <c r="K882" t="s">
        <v>37</v>
      </c>
    </row>
    <row r="883" spans="1:11" x14ac:dyDescent="0.45">
      <c r="A883" t="s">
        <v>85</v>
      </c>
      <c r="B883" t="s">
        <v>3</v>
      </c>
      <c r="C883" t="s">
        <v>83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181.7011</v>
      </c>
      <c r="K883" t="s">
        <v>37</v>
      </c>
    </row>
    <row r="884" spans="1:11" x14ac:dyDescent="0.45">
      <c r="A884" t="s">
        <v>85</v>
      </c>
      <c r="B884" t="s">
        <v>3</v>
      </c>
      <c r="C884" t="s">
        <v>83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214.38910000000001</v>
      </c>
      <c r="K884" t="s">
        <v>37</v>
      </c>
    </row>
    <row r="885" spans="1:11" x14ac:dyDescent="0.45">
      <c r="A885" t="s">
        <v>85</v>
      </c>
      <c r="B885" t="s">
        <v>3</v>
      </c>
      <c r="C885" t="s">
        <v>83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247.0771</v>
      </c>
      <c r="K885" t="s">
        <v>37</v>
      </c>
    </row>
    <row r="886" spans="1:11" x14ac:dyDescent="0.45">
      <c r="A886" t="s">
        <v>85</v>
      </c>
      <c r="B886" t="s">
        <v>3</v>
      </c>
      <c r="C886" t="s">
        <v>83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268.62729999999999</v>
      </c>
      <c r="K886" t="s">
        <v>37</v>
      </c>
    </row>
    <row r="887" spans="1:11" x14ac:dyDescent="0.45">
      <c r="A887" t="s">
        <v>85</v>
      </c>
      <c r="B887" t="s">
        <v>3</v>
      </c>
      <c r="C887" t="s">
        <v>83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290.17750000000001</v>
      </c>
      <c r="K887" t="s">
        <v>37</v>
      </c>
    </row>
    <row r="888" spans="1:11" x14ac:dyDescent="0.45">
      <c r="A888" t="s">
        <v>85</v>
      </c>
      <c r="B888" t="s">
        <v>3</v>
      </c>
      <c r="C888" t="s">
        <v>83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318.87920000000003</v>
      </c>
      <c r="K888" t="s">
        <v>37</v>
      </c>
    </row>
    <row r="889" spans="1:11" x14ac:dyDescent="0.45">
      <c r="A889" t="s">
        <v>85</v>
      </c>
      <c r="B889" t="s">
        <v>3</v>
      </c>
      <c r="C889" t="s">
        <v>83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347.58089999999999</v>
      </c>
      <c r="K889" t="s">
        <v>37</v>
      </c>
    </row>
    <row r="890" spans="1:11" x14ac:dyDescent="0.45">
      <c r="A890" t="s">
        <v>85</v>
      </c>
      <c r="B890" t="s">
        <v>3</v>
      </c>
      <c r="C890" t="s">
        <v>83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383.53750000000002</v>
      </c>
      <c r="K890" t="s">
        <v>37</v>
      </c>
    </row>
    <row r="891" spans="1:11" x14ac:dyDescent="0.45">
      <c r="A891" t="s">
        <v>85</v>
      </c>
      <c r="B891" t="s">
        <v>3</v>
      </c>
      <c r="C891" t="s">
        <v>83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419.49400000000003</v>
      </c>
      <c r="K891" t="s">
        <v>37</v>
      </c>
    </row>
    <row r="892" spans="1:11" x14ac:dyDescent="0.45">
      <c r="A892" t="s">
        <v>85</v>
      </c>
      <c r="B892" t="s">
        <v>3</v>
      </c>
      <c r="C892" t="s">
        <v>83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376.01499999999999</v>
      </c>
      <c r="K892" t="s">
        <v>48</v>
      </c>
    </row>
    <row r="893" spans="1:11" x14ac:dyDescent="0.45">
      <c r="A893" t="s">
        <v>85</v>
      </c>
      <c r="B893" t="s">
        <v>3</v>
      </c>
      <c r="C893" t="s">
        <v>83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389.82549999999998</v>
      </c>
      <c r="K893" t="s">
        <v>48</v>
      </c>
    </row>
    <row r="894" spans="1:11" x14ac:dyDescent="0.45">
      <c r="A894" t="s">
        <v>85</v>
      </c>
      <c r="B894" t="s">
        <v>3</v>
      </c>
      <c r="C894" t="s">
        <v>83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317.92720000000003</v>
      </c>
      <c r="K894" t="s">
        <v>48</v>
      </c>
    </row>
    <row r="895" spans="1:11" x14ac:dyDescent="0.45">
      <c r="A895" t="s">
        <v>85</v>
      </c>
      <c r="B895" t="s">
        <v>3</v>
      </c>
      <c r="C895" t="s">
        <v>83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216.9016</v>
      </c>
      <c r="K895" t="s">
        <v>48</v>
      </c>
    </row>
    <row r="896" spans="1:11" x14ac:dyDescent="0.45">
      <c r="A896" t="s">
        <v>85</v>
      </c>
      <c r="B896" t="s">
        <v>3</v>
      </c>
      <c r="C896" t="s">
        <v>83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153.9718</v>
      </c>
      <c r="K896" t="s">
        <v>48</v>
      </c>
    </row>
    <row r="897" spans="1:11" x14ac:dyDescent="0.45">
      <c r="A897" t="s">
        <v>85</v>
      </c>
      <c r="B897" t="s">
        <v>3</v>
      </c>
      <c r="C897" t="s">
        <v>83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111.40770000000001</v>
      </c>
      <c r="K897" t="s">
        <v>48</v>
      </c>
    </row>
    <row r="898" spans="1:11" x14ac:dyDescent="0.45">
      <c r="A898" t="s">
        <v>85</v>
      </c>
      <c r="B898" t="s">
        <v>3</v>
      </c>
      <c r="C898" t="s">
        <v>83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91.194800000000001</v>
      </c>
      <c r="K898" t="s">
        <v>48</v>
      </c>
    </row>
    <row r="899" spans="1:11" x14ac:dyDescent="0.45">
      <c r="A899" t="s">
        <v>85</v>
      </c>
      <c r="B899" t="s">
        <v>3</v>
      </c>
      <c r="C899" t="s">
        <v>83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85.033100000000005</v>
      </c>
      <c r="K899" t="s">
        <v>48</v>
      </c>
    </row>
    <row r="900" spans="1:11" x14ac:dyDescent="0.45">
      <c r="A900" t="s">
        <v>85</v>
      </c>
      <c r="B900" t="s">
        <v>3</v>
      </c>
      <c r="C900" t="s">
        <v>83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83.242500000000007</v>
      </c>
      <c r="K900" t="s">
        <v>48</v>
      </c>
    </row>
    <row r="901" spans="1:11" x14ac:dyDescent="0.45">
      <c r="A901" t="s">
        <v>85</v>
      </c>
      <c r="B901" t="s">
        <v>3</v>
      </c>
      <c r="C901" t="s">
        <v>83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80.212400000000002</v>
      </c>
      <c r="K901" t="s">
        <v>48</v>
      </c>
    </row>
    <row r="902" spans="1:11" x14ac:dyDescent="0.45">
      <c r="A902" t="s">
        <v>85</v>
      </c>
      <c r="B902" t="s">
        <v>3</v>
      </c>
      <c r="C902" t="s">
        <v>83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76.974999999999994</v>
      </c>
      <c r="K902" t="s">
        <v>48</v>
      </c>
    </row>
    <row r="903" spans="1:11" x14ac:dyDescent="0.45">
      <c r="A903" t="s">
        <v>85</v>
      </c>
      <c r="B903" t="s">
        <v>3</v>
      </c>
      <c r="C903" t="s">
        <v>83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71.666700000000006</v>
      </c>
      <c r="K903" t="s">
        <v>48</v>
      </c>
    </row>
    <row r="904" spans="1:11" x14ac:dyDescent="0.45">
      <c r="A904" t="s">
        <v>85</v>
      </c>
      <c r="B904" t="s">
        <v>3</v>
      </c>
      <c r="C904" t="s">
        <v>83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66.065100000000001</v>
      </c>
      <c r="K904" t="s">
        <v>48</v>
      </c>
    </row>
    <row r="905" spans="1:11" x14ac:dyDescent="0.45">
      <c r="A905" t="s">
        <v>85</v>
      </c>
      <c r="B905" t="s">
        <v>3</v>
      </c>
      <c r="C905" t="s">
        <v>83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66.186800000000005</v>
      </c>
      <c r="K905" t="s">
        <v>48</v>
      </c>
    </row>
    <row r="906" spans="1:11" x14ac:dyDescent="0.45">
      <c r="A906" t="s">
        <v>85</v>
      </c>
      <c r="B906" t="s">
        <v>3</v>
      </c>
      <c r="C906" t="s">
        <v>83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66.683300000000003</v>
      </c>
      <c r="K906" t="s">
        <v>48</v>
      </c>
    </row>
    <row r="907" spans="1:11" x14ac:dyDescent="0.45">
      <c r="A907" t="s">
        <v>85</v>
      </c>
      <c r="B907" t="s">
        <v>3</v>
      </c>
      <c r="C907" t="s">
        <v>83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53.964399999999998</v>
      </c>
      <c r="K907" t="s">
        <v>48</v>
      </c>
    </row>
    <row r="908" spans="1:11" x14ac:dyDescent="0.45">
      <c r="A908" t="s">
        <v>85</v>
      </c>
      <c r="B908" t="s">
        <v>3</v>
      </c>
      <c r="C908" t="s">
        <v>83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41.3337</v>
      </c>
      <c r="K908" t="s">
        <v>48</v>
      </c>
    </row>
    <row r="909" spans="1:11" x14ac:dyDescent="0.45">
      <c r="A909" t="s">
        <v>85</v>
      </c>
      <c r="B909" t="s">
        <v>3</v>
      </c>
      <c r="C909" t="s">
        <v>83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334.26400000000001</v>
      </c>
      <c r="K909" t="s">
        <v>51</v>
      </c>
    </row>
    <row r="910" spans="1:11" x14ac:dyDescent="0.45">
      <c r="A910" t="s">
        <v>85</v>
      </c>
      <c r="B910" t="s">
        <v>3</v>
      </c>
      <c r="C910" t="s">
        <v>83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331.07380000000001</v>
      </c>
      <c r="K910" t="s">
        <v>51</v>
      </c>
    </row>
    <row r="911" spans="1:11" x14ac:dyDescent="0.45">
      <c r="A911" t="s">
        <v>85</v>
      </c>
      <c r="B911" t="s">
        <v>3</v>
      </c>
      <c r="C911" t="s">
        <v>83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260.48230000000001</v>
      </c>
      <c r="K911" t="s">
        <v>51</v>
      </c>
    </row>
    <row r="912" spans="1:11" x14ac:dyDescent="0.45">
      <c r="A912" t="s">
        <v>85</v>
      </c>
      <c r="B912" t="s">
        <v>3</v>
      </c>
      <c r="C912" t="s">
        <v>83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171.76920000000001</v>
      </c>
      <c r="K912" t="s">
        <v>51</v>
      </c>
    </row>
    <row r="913" spans="1:11" x14ac:dyDescent="0.45">
      <c r="A913" t="s">
        <v>85</v>
      </c>
      <c r="B913" t="s">
        <v>3</v>
      </c>
      <c r="C913" t="s">
        <v>83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111.938</v>
      </c>
      <c r="K913" t="s">
        <v>51</v>
      </c>
    </row>
    <row r="914" spans="1:11" x14ac:dyDescent="0.45">
      <c r="A914" t="s">
        <v>85</v>
      </c>
      <c r="B914" t="s">
        <v>3</v>
      </c>
      <c r="C914" t="s">
        <v>83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70.628399999999999</v>
      </c>
      <c r="K914" t="s">
        <v>51</v>
      </c>
    </row>
    <row r="915" spans="1:11" x14ac:dyDescent="0.45">
      <c r="A915" t="s">
        <v>85</v>
      </c>
      <c r="B915" t="s">
        <v>3</v>
      </c>
      <c r="C915" t="s">
        <v>83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50.159199999999998</v>
      </c>
      <c r="K915" t="s">
        <v>51</v>
      </c>
    </row>
    <row r="916" spans="1:11" x14ac:dyDescent="0.45">
      <c r="A916" t="s">
        <v>85</v>
      </c>
      <c r="B916" t="s">
        <v>3</v>
      </c>
      <c r="C916" t="s">
        <v>83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40.500399999999999</v>
      </c>
      <c r="K916" t="s">
        <v>51</v>
      </c>
    </row>
    <row r="917" spans="1:11" x14ac:dyDescent="0.45">
      <c r="A917" t="s">
        <v>85</v>
      </c>
      <c r="B917" t="s">
        <v>3</v>
      </c>
      <c r="C917" t="s">
        <v>83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32.265999999999998</v>
      </c>
      <c r="K917" t="s">
        <v>51</v>
      </c>
    </row>
    <row r="918" spans="1:11" x14ac:dyDescent="0.45">
      <c r="A918" t="s">
        <v>85</v>
      </c>
      <c r="B918" t="s">
        <v>3</v>
      </c>
      <c r="C918" t="s">
        <v>83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27.2242</v>
      </c>
      <c r="K918" t="s">
        <v>51</v>
      </c>
    </row>
    <row r="919" spans="1:11" x14ac:dyDescent="0.45">
      <c r="A919" t="s">
        <v>85</v>
      </c>
      <c r="B919" t="s">
        <v>3</v>
      </c>
      <c r="C919" t="s">
        <v>83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21.979399999999998</v>
      </c>
      <c r="K919" t="s">
        <v>51</v>
      </c>
    </row>
    <row r="920" spans="1:11" x14ac:dyDescent="0.45">
      <c r="A920" t="s">
        <v>85</v>
      </c>
      <c r="B920" t="s">
        <v>3</v>
      </c>
      <c r="C920" t="s">
        <v>83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17.400700000000001</v>
      </c>
      <c r="K920" t="s">
        <v>51</v>
      </c>
    </row>
    <row r="921" spans="1:11" x14ac:dyDescent="0.45">
      <c r="A921" t="s">
        <v>85</v>
      </c>
      <c r="B921" t="s">
        <v>3</v>
      </c>
      <c r="C921" t="s">
        <v>83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12.540100000000001</v>
      </c>
      <c r="K921" t="s">
        <v>51</v>
      </c>
    </row>
    <row r="922" spans="1:11" x14ac:dyDescent="0.45">
      <c r="A922" t="s">
        <v>85</v>
      </c>
      <c r="B922" t="s">
        <v>3</v>
      </c>
      <c r="C922" t="s">
        <v>83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11.0838</v>
      </c>
      <c r="K922" t="s">
        <v>51</v>
      </c>
    </row>
    <row r="923" spans="1:11" x14ac:dyDescent="0.45">
      <c r="A923" t="s">
        <v>85</v>
      </c>
      <c r="B923" t="s">
        <v>3</v>
      </c>
      <c r="C923" t="s">
        <v>83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9.9966000000000008</v>
      </c>
      <c r="K923" t="s">
        <v>51</v>
      </c>
    </row>
    <row r="924" spans="1:11" x14ac:dyDescent="0.45">
      <c r="A924" t="s">
        <v>85</v>
      </c>
      <c r="B924" t="s">
        <v>3</v>
      </c>
      <c r="C924" t="s">
        <v>83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8.2208000000000006</v>
      </c>
      <c r="K924" t="s">
        <v>51</v>
      </c>
    </row>
    <row r="925" spans="1:11" x14ac:dyDescent="0.45">
      <c r="A925" t="s">
        <v>85</v>
      </c>
      <c r="B925" t="s">
        <v>3</v>
      </c>
      <c r="C925" t="s">
        <v>83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6.5202999999999998</v>
      </c>
      <c r="K925" t="s">
        <v>51</v>
      </c>
    </row>
    <row r="926" spans="1:11" x14ac:dyDescent="0.45">
      <c r="A926" t="s">
        <v>85</v>
      </c>
      <c r="B926" t="s">
        <v>4</v>
      </c>
      <c r="C926" t="s">
        <v>83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85</v>
      </c>
      <c r="B927" t="s">
        <v>4</v>
      </c>
      <c r="C927" t="s">
        <v>83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85</v>
      </c>
      <c r="B928" t="s">
        <v>4</v>
      </c>
      <c r="C928" t="s">
        <v>83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85</v>
      </c>
      <c r="B929" t="s">
        <v>4</v>
      </c>
      <c r="C929" t="s">
        <v>83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85</v>
      </c>
      <c r="B930" t="s">
        <v>4</v>
      </c>
      <c r="C930" t="s">
        <v>83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85</v>
      </c>
      <c r="B931" t="s">
        <v>4</v>
      </c>
      <c r="C931" t="s">
        <v>83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85</v>
      </c>
      <c r="B932" t="s">
        <v>4</v>
      </c>
      <c r="C932" t="s">
        <v>83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85</v>
      </c>
      <c r="B933" t="s">
        <v>4</v>
      </c>
      <c r="C933" t="s">
        <v>83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85</v>
      </c>
      <c r="B934" t="s">
        <v>4</v>
      </c>
      <c r="C934" t="s">
        <v>83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85</v>
      </c>
      <c r="B935" t="s">
        <v>4</v>
      </c>
      <c r="C935" t="s">
        <v>83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85</v>
      </c>
      <c r="B936" t="s">
        <v>4</v>
      </c>
      <c r="C936" t="s">
        <v>83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85</v>
      </c>
      <c r="B937" t="s">
        <v>4</v>
      </c>
      <c r="C937" t="s">
        <v>83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85</v>
      </c>
      <c r="B938" t="s">
        <v>4</v>
      </c>
      <c r="C938" t="s">
        <v>83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85</v>
      </c>
      <c r="B939" t="s">
        <v>4</v>
      </c>
      <c r="C939" t="s">
        <v>83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85</v>
      </c>
      <c r="B940" t="s">
        <v>4</v>
      </c>
      <c r="C940" t="s">
        <v>83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85</v>
      </c>
      <c r="B941" t="s">
        <v>4</v>
      </c>
      <c r="C941" t="s">
        <v>83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85</v>
      </c>
      <c r="B942" t="s">
        <v>4</v>
      </c>
      <c r="C942" t="s">
        <v>83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85</v>
      </c>
      <c r="B943" t="s">
        <v>4</v>
      </c>
      <c r="C943" t="s">
        <v>83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0.1641</v>
      </c>
      <c r="K943" t="s">
        <v>24</v>
      </c>
    </row>
    <row r="944" spans="1:11" x14ac:dyDescent="0.45">
      <c r="A944" t="s">
        <v>85</v>
      </c>
      <c r="B944" t="s">
        <v>4</v>
      </c>
      <c r="C944" t="s">
        <v>83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0.1782</v>
      </c>
      <c r="K944" t="s">
        <v>24</v>
      </c>
    </row>
    <row r="945" spans="1:11" x14ac:dyDescent="0.45">
      <c r="A945" t="s">
        <v>85</v>
      </c>
      <c r="B945" t="s">
        <v>4</v>
      </c>
      <c r="C945" t="s">
        <v>83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0.2165</v>
      </c>
      <c r="K945" t="s">
        <v>24</v>
      </c>
    </row>
    <row r="946" spans="1:11" x14ac:dyDescent="0.45">
      <c r="A946" t="s">
        <v>85</v>
      </c>
      <c r="B946" t="s">
        <v>4</v>
      </c>
      <c r="C946" t="s">
        <v>83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0.2792</v>
      </c>
      <c r="K946" t="s">
        <v>24</v>
      </c>
    </row>
    <row r="947" spans="1:11" x14ac:dyDescent="0.45">
      <c r="A947" t="s">
        <v>85</v>
      </c>
      <c r="B947" t="s">
        <v>4</v>
      </c>
      <c r="C947" t="s">
        <v>83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0.36009999999999998</v>
      </c>
      <c r="K947" t="s">
        <v>24</v>
      </c>
    </row>
    <row r="948" spans="1:11" x14ac:dyDescent="0.45">
      <c r="A948" t="s">
        <v>85</v>
      </c>
      <c r="B948" t="s">
        <v>4</v>
      </c>
      <c r="C948" t="s">
        <v>83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0.43049999999999999</v>
      </c>
      <c r="K948" t="s">
        <v>24</v>
      </c>
    </row>
    <row r="949" spans="1:11" x14ac:dyDescent="0.45">
      <c r="A949" t="s">
        <v>85</v>
      </c>
      <c r="B949" t="s">
        <v>4</v>
      </c>
      <c r="C949" t="s">
        <v>83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0.45219999999999999</v>
      </c>
      <c r="K949" t="s">
        <v>24</v>
      </c>
    </row>
    <row r="950" spans="1:11" x14ac:dyDescent="0.45">
      <c r="A950" t="s">
        <v>85</v>
      </c>
      <c r="B950" t="s">
        <v>4</v>
      </c>
      <c r="C950" t="s">
        <v>83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0.45150000000000001</v>
      </c>
      <c r="K950" t="s">
        <v>24</v>
      </c>
    </row>
    <row r="951" spans="1:11" x14ac:dyDescent="0.45">
      <c r="A951" t="s">
        <v>85</v>
      </c>
      <c r="B951" t="s">
        <v>4</v>
      </c>
      <c r="C951" t="s">
        <v>83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0.45040000000000002</v>
      </c>
      <c r="K951" t="s">
        <v>24</v>
      </c>
    </row>
    <row r="952" spans="1:11" x14ac:dyDescent="0.45">
      <c r="A952" t="s">
        <v>85</v>
      </c>
      <c r="B952" t="s">
        <v>4</v>
      </c>
      <c r="C952" t="s">
        <v>83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0.4375</v>
      </c>
      <c r="K952" t="s">
        <v>24</v>
      </c>
    </row>
    <row r="953" spans="1:11" x14ac:dyDescent="0.45">
      <c r="A953" t="s">
        <v>85</v>
      </c>
      <c r="B953" t="s">
        <v>4</v>
      </c>
      <c r="C953" t="s">
        <v>83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0.42530000000000001</v>
      </c>
      <c r="K953" t="s">
        <v>24</v>
      </c>
    </row>
    <row r="954" spans="1:11" x14ac:dyDescent="0.45">
      <c r="A954" t="s">
        <v>85</v>
      </c>
      <c r="B954" t="s">
        <v>4</v>
      </c>
      <c r="C954" t="s">
        <v>83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0.40450000000000003</v>
      </c>
      <c r="K954" t="s">
        <v>24</v>
      </c>
    </row>
    <row r="955" spans="1:11" x14ac:dyDescent="0.45">
      <c r="A955" t="s">
        <v>85</v>
      </c>
      <c r="B955" t="s">
        <v>4</v>
      </c>
      <c r="C955" t="s">
        <v>83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0.3851</v>
      </c>
      <c r="K955" t="s">
        <v>24</v>
      </c>
    </row>
    <row r="956" spans="1:11" x14ac:dyDescent="0.45">
      <c r="A956" t="s">
        <v>85</v>
      </c>
      <c r="B956" t="s">
        <v>4</v>
      </c>
      <c r="C956" t="s">
        <v>83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0.36980000000000002</v>
      </c>
      <c r="K956" t="s">
        <v>24</v>
      </c>
    </row>
    <row r="957" spans="1:11" x14ac:dyDescent="0.45">
      <c r="A957" t="s">
        <v>85</v>
      </c>
      <c r="B957" t="s">
        <v>4</v>
      </c>
      <c r="C957" t="s">
        <v>83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0.35780000000000001</v>
      </c>
      <c r="K957" t="s">
        <v>24</v>
      </c>
    </row>
    <row r="958" spans="1:11" x14ac:dyDescent="0.45">
      <c r="A958" t="s">
        <v>85</v>
      </c>
      <c r="B958" t="s">
        <v>4</v>
      </c>
      <c r="C958" t="s">
        <v>83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0.34289999999999998</v>
      </c>
      <c r="K958" t="s">
        <v>24</v>
      </c>
    </row>
    <row r="959" spans="1:11" x14ac:dyDescent="0.45">
      <c r="A959" t="s">
        <v>85</v>
      </c>
      <c r="B959" t="s">
        <v>4</v>
      </c>
      <c r="C959" t="s">
        <v>83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0.32819999999999999</v>
      </c>
      <c r="K959" t="s">
        <v>24</v>
      </c>
    </row>
    <row r="960" spans="1:11" x14ac:dyDescent="0.45">
      <c r="A960" t="s">
        <v>85</v>
      </c>
      <c r="B960" t="s">
        <v>4</v>
      </c>
      <c r="C960" t="s">
        <v>83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9.74E-2</v>
      </c>
      <c r="K960" t="s">
        <v>28</v>
      </c>
    </row>
    <row r="961" spans="1:11" x14ac:dyDescent="0.45">
      <c r="A961" t="s">
        <v>85</v>
      </c>
      <c r="B961" t="s">
        <v>4</v>
      </c>
      <c r="C961" t="s">
        <v>83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0.1169</v>
      </c>
      <c r="K961" t="s">
        <v>28</v>
      </c>
    </row>
    <row r="962" spans="1:11" x14ac:dyDescent="0.45">
      <c r="A962" t="s">
        <v>85</v>
      </c>
      <c r="B962" t="s">
        <v>4</v>
      </c>
      <c r="C962" t="s">
        <v>83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0.1439</v>
      </c>
      <c r="K962" t="s">
        <v>28</v>
      </c>
    </row>
    <row r="963" spans="1:11" x14ac:dyDescent="0.45">
      <c r="A963" t="s">
        <v>85</v>
      </c>
      <c r="B963" t="s">
        <v>4</v>
      </c>
      <c r="C963" t="s">
        <v>83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0.18279999999999999</v>
      </c>
      <c r="K963" t="s">
        <v>28</v>
      </c>
    </row>
    <row r="964" spans="1:11" x14ac:dyDescent="0.45">
      <c r="A964" t="s">
        <v>85</v>
      </c>
      <c r="B964" t="s">
        <v>4</v>
      </c>
      <c r="C964" t="s">
        <v>83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0.21879999999999999</v>
      </c>
      <c r="K964" t="s">
        <v>28</v>
      </c>
    </row>
    <row r="965" spans="1:11" x14ac:dyDescent="0.45">
      <c r="A965" t="s">
        <v>85</v>
      </c>
      <c r="B965" t="s">
        <v>4</v>
      </c>
      <c r="C965" t="s">
        <v>83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0.2422</v>
      </c>
      <c r="K965" t="s">
        <v>28</v>
      </c>
    </row>
    <row r="966" spans="1:11" x14ac:dyDescent="0.45">
      <c r="A966" t="s">
        <v>85</v>
      </c>
      <c r="B966" t="s">
        <v>4</v>
      </c>
      <c r="C966" t="s">
        <v>83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0.25330000000000003</v>
      </c>
      <c r="K966" t="s">
        <v>28</v>
      </c>
    </row>
    <row r="967" spans="1:11" x14ac:dyDescent="0.45">
      <c r="A967" t="s">
        <v>85</v>
      </c>
      <c r="B967" t="s">
        <v>4</v>
      </c>
      <c r="C967" t="s">
        <v>83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0.25359999999999999</v>
      </c>
      <c r="K967" t="s">
        <v>28</v>
      </c>
    </row>
    <row r="968" spans="1:11" x14ac:dyDescent="0.45">
      <c r="A968" t="s">
        <v>85</v>
      </c>
      <c r="B968" t="s">
        <v>4</v>
      </c>
      <c r="C968" t="s">
        <v>83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0.2742</v>
      </c>
      <c r="K968" t="s">
        <v>28</v>
      </c>
    </row>
    <row r="969" spans="1:11" x14ac:dyDescent="0.45">
      <c r="A969" t="s">
        <v>85</v>
      </c>
      <c r="B969" t="s">
        <v>4</v>
      </c>
      <c r="C969" t="s">
        <v>83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0.27650000000000002</v>
      </c>
      <c r="K969" t="s">
        <v>28</v>
      </c>
    </row>
    <row r="970" spans="1:11" x14ac:dyDescent="0.45">
      <c r="A970" t="s">
        <v>85</v>
      </c>
      <c r="B970" t="s">
        <v>4</v>
      </c>
      <c r="C970" t="s">
        <v>83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0.27900000000000003</v>
      </c>
      <c r="K970" t="s">
        <v>28</v>
      </c>
    </row>
    <row r="971" spans="1:11" x14ac:dyDescent="0.45">
      <c r="A971" t="s">
        <v>85</v>
      </c>
      <c r="B971" t="s">
        <v>4</v>
      </c>
      <c r="C971" t="s">
        <v>83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0.2873</v>
      </c>
      <c r="K971" t="s">
        <v>28</v>
      </c>
    </row>
    <row r="972" spans="1:11" x14ac:dyDescent="0.45">
      <c r="A972" t="s">
        <v>85</v>
      </c>
      <c r="B972" t="s">
        <v>4</v>
      </c>
      <c r="C972" t="s">
        <v>83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0.29599999999999999</v>
      </c>
      <c r="K972" t="s">
        <v>28</v>
      </c>
    </row>
    <row r="973" spans="1:11" x14ac:dyDescent="0.45">
      <c r="A973" t="s">
        <v>85</v>
      </c>
      <c r="B973" t="s">
        <v>4</v>
      </c>
      <c r="C973" t="s">
        <v>83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0.30530000000000002</v>
      </c>
      <c r="K973" t="s">
        <v>28</v>
      </c>
    </row>
    <row r="974" spans="1:11" x14ac:dyDescent="0.45">
      <c r="A974" t="s">
        <v>85</v>
      </c>
      <c r="B974" t="s">
        <v>4</v>
      </c>
      <c r="C974" t="s">
        <v>83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0.317</v>
      </c>
      <c r="K974" t="s">
        <v>28</v>
      </c>
    </row>
    <row r="975" spans="1:11" x14ac:dyDescent="0.45">
      <c r="A975" t="s">
        <v>85</v>
      </c>
      <c r="B975" t="s">
        <v>4</v>
      </c>
      <c r="C975" t="s">
        <v>83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0.31979999999999997</v>
      </c>
      <c r="K975" t="s">
        <v>28</v>
      </c>
    </row>
    <row r="976" spans="1:11" x14ac:dyDescent="0.45">
      <c r="A976" t="s">
        <v>85</v>
      </c>
      <c r="B976" t="s">
        <v>4</v>
      </c>
      <c r="C976" t="s">
        <v>83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0.32229999999999998</v>
      </c>
      <c r="K976" t="s">
        <v>28</v>
      </c>
    </row>
    <row r="977" spans="1:11" x14ac:dyDescent="0.45">
      <c r="A977" t="s">
        <v>85</v>
      </c>
      <c r="B977" t="s">
        <v>4</v>
      </c>
      <c r="C977" t="s">
        <v>83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1.0999999999999999E-2</v>
      </c>
      <c r="K977" t="s">
        <v>27</v>
      </c>
    </row>
    <row r="978" spans="1:11" x14ac:dyDescent="0.45">
      <c r="A978" t="s">
        <v>85</v>
      </c>
      <c r="B978" t="s">
        <v>4</v>
      </c>
      <c r="C978" t="s">
        <v>83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1.8200000000000001E-2</v>
      </c>
      <c r="K978" t="s">
        <v>27</v>
      </c>
    </row>
    <row r="979" spans="1:11" x14ac:dyDescent="0.45">
      <c r="A979" t="s">
        <v>85</v>
      </c>
      <c r="B979" t="s">
        <v>4</v>
      </c>
      <c r="C979" t="s">
        <v>83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3.49E-2</v>
      </c>
      <c r="K979" t="s">
        <v>27</v>
      </c>
    </row>
    <row r="980" spans="1:11" x14ac:dyDescent="0.45">
      <c r="A980" t="s">
        <v>85</v>
      </c>
      <c r="B980" t="s">
        <v>4</v>
      </c>
      <c r="C980" t="s">
        <v>83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6.3399999999999998E-2</v>
      </c>
      <c r="K980" t="s">
        <v>27</v>
      </c>
    </row>
    <row r="981" spans="1:11" x14ac:dyDescent="0.45">
      <c r="A981" t="s">
        <v>85</v>
      </c>
      <c r="B981" t="s">
        <v>4</v>
      </c>
      <c r="C981" t="s">
        <v>83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0.1037</v>
      </c>
      <c r="K981" t="s">
        <v>27</v>
      </c>
    </row>
    <row r="982" spans="1:11" x14ac:dyDescent="0.45">
      <c r="A982" t="s">
        <v>85</v>
      </c>
      <c r="B982" t="s">
        <v>4</v>
      </c>
      <c r="C982" t="s">
        <v>83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0.1143</v>
      </c>
      <c r="K982" t="s">
        <v>27</v>
      </c>
    </row>
    <row r="983" spans="1:11" x14ac:dyDescent="0.45">
      <c r="A983" t="s">
        <v>85</v>
      </c>
      <c r="B983" t="s">
        <v>4</v>
      </c>
      <c r="C983" t="s">
        <v>83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0.1153</v>
      </c>
      <c r="K983" t="s">
        <v>27</v>
      </c>
    </row>
    <row r="984" spans="1:11" x14ac:dyDescent="0.45">
      <c r="A984" t="s">
        <v>85</v>
      </c>
      <c r="B984" t="s">
        <v>4</v>
      </c>
      <c r="C984" t="s">
        <v>83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0.11459999999999999</v>
      </c>
      <c r="K984" t="s">
        <v>27</v>
      </c>
    </row>
    <row r="985" spans="1:11" x14ac:dyDescent="0.45">
      <c r="A985" t="s">
        <v>85</v>
      </c>
      <c r="B985" t="s">
        <v>4</v>
      </c>
      <c r="C985" t="s">
        <v>83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0.1123</v>
      </c>
      <c r="K985" t="s">
        <v>27</v>
      </c>
    </row>
    <row r="986" spans="1:11" x14ac:dyDescent="0.45">
      <c r="A986" t="s">
        <v>85</v>
      </c>
      <c r="B986" t="s">
        <v>4</v>
      </c>
      <c r="C986" t="s">
        <v>83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0.10829999999999999</v>
      </c>
      <c r="K986" t="s">
        <v>27</v>
      </c>
    </row>
    <row r="987" spans="1:11" x14ac:dyDescent="0.45">
      <c r="A987" t="s">
        <v>85</v>
      </c>
      <c r="B987" t="s">
        <v>4</v>
      </c>
      <c r="C987" t="s">
        <v>83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0.1048</v>
      </c>
      <c r="K987" t="s">
        <v>27</v>
      </c>
    </row>
    <row r="988" spans="1:11" x14ac:dyDescent="0.45">
      <c r="A988" t="s">
        <v>85</v>
      </c>
      <c r="B988" t="s">
        <v>4</v>
      </c>
      <c r="C988" t="s">
        <v>83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0.1032</v>
      </c>
      <c r="K988" t="s">
        <v>27</v>
      </c>
    </row>
    <row r="989" spans="1:11" x14ac:dyDescent="0.45">
      <c r="A989" t="s">
        <v>85</v>
      </c>
      <c r="B989" t="s">
        <v>4</v>
      </c>
      <c r="C989" t="s">
        <v>83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0.1022</v>
      </c>
      <c r="K989" t="s">
        <v>27</v>
      </c>
    </row>
    <row r="990" spans="1:11" x14ac:dyDescent="0.45">
      <c r="A990" t="s">
        <v>85</v>
      </c>
      <c r="B990" t="s">
        <v>4</v>
      </c>
      <c r="C990" t="s">
        <v>83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0.1012</v>
      </c>
      <c r="K990" t="s">
        <v>27</v>
      </c>
    </row>
    <row r="991" spans="1:11" x14ac:dyDescent="0.45">
      <c r="A991" t="s">
        <v>85</v>
      </c>
      <c r="B991" t="s">
        <v>4</v>
      </c>
      <c r="C991" t="s">
        <v>83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0.1011</v>
      </c>
      <c r="K991" t="s">
        <v>27</v>
      </c>
    </row>
    <row r="992" spans="1:11" x14ac:dyDescent="0.45">
      <c r="A992" t="s">
        <v>85</v>
      </c>
      <c r="B992" t="s">
        <v>4</v>
      </c>
      <c r="C992" t="s">
        <v>83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0.1011</v>
      </c>
      <c r="K992" t="s">
        <v>27</v>
      </c>
    </row>
    <row r="993" spans="1:11" x14ac:dyDescent="0.45">
      <c r="A993" t="s">
        <v>85</v>
      </c>
      <c r="B993" t="s">
        <v>4</v>
      </c>
      <c r="C993" t="s">
        <v>83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0.10100000000000001</v>
      </c>
      <c r="K993" t="s">
        <v>27</v>
      </c>
    </row>
    <row r="994" spans="1:11" x14ac:dyDescent="0.45">
      <c r="A994" t="s">
        <v>85</v>
      </c>
      <c r="B994" t="s">
        <v>4</v>
      </c>
      <c r="C994" t="s">
        <v>83</v>
      </c>
      <c r="D994" t="s">
        <v>84</v>
      </c>
      <c r="E994" t="s">
        <v>25</v>
      </c>
      <c r="F994" t="s">
        <v>84</v>
      </c>
      <c r="G994" t="s">
        <v>26</v>
      </c>
      <c r="H994" t="s">
        <v>81</v>
      </c>
      <c r="I994">
        <v>2020</v>
      </c>
      <c r="J994">
        <v>4.7999999999999996E-3</v>
      </c>
      <c r="K994" t="s">
        <v>84</v>
      </c>
    </row>
    <row r="995" spans="1:11" x14ac:dyDescent="0.45">
      <c r="A995" t="s">
        <v>85</v>
      </c>
      <c r="B995" t="s">
        <v>4</v>
      </c>
      <c r="C995" t="s">
        <v>83</v>
      </c>
      <c r="D995" t="s">
        <v>84</v>
      </c>
      <c r="E995" t="s">
        <v>25</v>
      </c>
      <c r="F995" t="s">
        <v>84</v>
      </c>
      <c r="G995" t="s">
        <v>26</v>
      </c>
      <c r="H995" t="s">
        <v>81</v>
      </c>
      <c r="I995">
        <v>2025</v>
      </c>
      <c r="J995">
        <v>2.0299999999999999E-2</v>
      </c>
      <c r="K995" t="s">
        <v>84</v>
      </c>
    </row>
    <row r="996" spans="1:11" x14ac:dyDescent="0.45">
      <c r="A996" t="s">
        <v>85</v>
      </c>
      <c r="B996" t="s">
        <v>4</v>
      </c>
      <c r="C996" t="s">
        <v>83</v>
      </c>
      <c r="D996" t="s">
        <v>84</v>
      </c>
      <c r="E996" t="s">
        <v>25</v>
      </c>
      <c r="F996" t="s">
        <v>84</v>
      </c>
      <c r="G996" t="s">
        <v>26</v>
      </c>
      <c r="H996" t="s">
        <v>81</v>
      </c>
      <c r="I996">
        <v>2030</v>
      </c>
      <c r="J996">
        <v>4.4600000000000001E-2</v>
      </c>
      <c r="K996" t="s">
        <v>84</v>
      </c>
    </row>
    <row r="997" spans="1:11" x14ac:dyDescent="0.45">
      <c r="A997" t="s">
        <v>85</v>
      </c>
      <c r="B997" t="s">
        <v>4</v>
      </c>
      <c r="C997" t="s">
        <v>83</v>
      </c>
      <c r="D997" t="s">
        <v>84</v>
      </c>
      <c r="E997" t="s">
        <v>25</v>
      </c>
      <c r="F997" t="s">
        <v>84</v>
      </c>
      <c r="G997" t="s">
        <v>26</v>
      </c>
      <c r="H997" t="s">
        <v>81</v>
      </c>
      <c r="I997">
        <v>2035</v>
      </c>
      <c r="J997">
        <v>7.0400000000000004E-2</v>
      </c>
      <c r="K997" t="s">
        <v>84</v>
      </c>
    </row>
    <row r="998" spans="1:11" x14ac:dyDescent="0.45">
      <c r="A998" t="s">
        <v>85</v>
      </c>
      <c r="B998" t="s">
        <v>4</v>
      </c>
      <c r="C998" t="s">
        <v>83</v>
      </c>
      <c r="D998" t="s">
        <v>84</v>
      </c>
      <c r="E998" t="s">
        <v>25</v>
      </c>
      <c r="F998" t="s">
        <v>84</v>
      </c>
      <c r="G998" t="s">
        <v>26</v>
      </c>
      <c r="H998" t="s">
        <v>81</v>
      </c>
      <c r="I998">
        <v>2040</v>
      </c>
      <c r="J998">
        <v>9.5799999999999996E-2</v>
      </c>
      <c r="K998" t="s">
        <v>84</v>
      </c>
    </row>
    <row r="999" spans="1:11" x14ac:dyDescent="0.45">
      <c r="A999" t="s">
        <v>85</v>
      </c>
      <c r="B999" t="s">
        <v>4</v>
      </c>
      <c r="C999" t="s">
        <v>83</v>
      </c>
      <c r="D999" t="s">
        <v>84</v>
      </c>
      <c r="E999" t="s">
        <v>25</v>
      </c>
      <c r="F999" t="s">
        <v>84</v>
      </c>
      <c r="G999" t="s">
        <v>26</v>
      </c>
      <c r="H999" t="s">
        <v>81</v>
      </c>
      <c r="I999">
        <v>2045</v>
      </c>
      <c r="J999">
        <v>0.1105</v>
      </c>
      <c r="K999" t="s">
        <v>84</v>
      </c>
    </row>
    <row r="1000" spans="1:11" x14ac:dyDescent="0.45">
      <c r="A1000" t="s">
        <v>85</v>
      </c>
      <c r="B1000" t="s">
        <v>4</v>
      </c>
      <c r="C1000" t="s">
        <v>83</v>
      </c>
      <c r="D1000" t="s">
        <v>84</v>
      </c>
      <c r="E1000" t="s">
        <v>25</v>
      </c>
      <c r="F1000" t="s">
        <v>84</v>
      </c>
      <c r="G1000" t="s">
        <v>26</v>
      </c>
      <c r="H1000" t="s">
        <v>81</v>
      </c>
      <c r="I1000">
        <v>2050</v>
      </c>
      <c r="J1000">
        <v>0.11650000000000001</v>
      </c>
      <c r="K1000" t="s">
        <v>84</v>
      </c>
    </row>
    <row r="1001" spans="1:11" x14ac:dyDescent="0.45">
      <c r="A1001" t="s">
        <v>85</v>
      </c>
      <c r="B1001" t="s">
        <v>4</v>
      </c>
      <c r="C1001" t="s">
        <v>83</v>
      </c>
      <c r="D1001" t="s">
        <v>84</v>
      </c>
      <c r="E1001" t="s">
        <v>25</v>
      </c>
      <c r="F1001" t="s">
        <v>84</v>
      </c>
      <c r="G1001" t="s">
        <v>26</v>
      </c>
      <c r="H1001" t="s">
        <v>81</v>
      </c>
      <c r="I1001">
        <v>2055</v>
      </c>
      <c r="J1001">
        <v>0.1086</v>
      </c>
      <c r="K1001" t="s">
        <v>84</v>
      </c>
    </row>
    <row r="1002" spans="1:11" x14ac:dyDescent="0.45">
      <c r="A1002" t="s">
        <v>85</v>
      </c>
      <c r="B1002" t="s">
        <v>4</v>
      </c>
      <c r="C1002" t="s">
        <v>83</v>
      </c>
      <c r="D1002" t="s">
        <v>84</v>
      </c>
      <c r="E1002" t="s">
        <v>25</v>
      </c>
      <c r="F1002" t="s">
        <v>84</v>
      </c>
      <c r="G1002" t="s">
        <v>26</v>
      </c>
      <c r="H1002" t="s">
        <v>81</v>
      </c>
      <c r="I1002">
        <v>2060</v>
      </c>
      <c r="J1002">
        <v>9.7000000000000003E-2</v>
      </c>
      <c r="K1002" t="s">
        <v>84</v>
      </c>
    </row>
    <row r="1003" spans="1:11" x14ac:dyDescent="0.45">
      <c r="A1003" t="s">
        <v>85</v>
      </c>
      <c r="B1003" t="s">
        <v>4</v>
      </c>
      <c r="C1003" t="s">
        <v>83</v>
      </c>
      <c r="D1003" t="s">
        <v>84</v>
      </c>
      <c r="E1003" t="s">
        <v>25</v>
      </c>
      <c r="F1003" t="s">
        <v>84</v>
      </c>
      <c r="G1003" t="s">
        <v>26</v>
      </c>
      <c r="H1003" t="s">
        <v>81</v>
      </c>
      <c r="I1003">
        <v>2065</v>
      </c>
      <c r="J1003">
        <v>9.06E-2</v>
      </c>
      <c r="K1003" t="s">
        <v>84</v>
      </c>
    </row>
    <row r="1004" spans="1:11" x14ac:dyDescent="0.45">
      <c r="A1004" t="s">
        <v>85</v>
      </c>
      <c r="B1004" t="s">
        <v>4</v>
      </c>
      <c r="C1004" t="s">
        <v>83</v>
      </c>
      <c r="D1004" t="s">
        <v>84</v>
      </c>
      <c r="E1004" t="s">
        <v>25</v>
      </c>
      <c r="F1004" t="s">
        <v>84</v>
      </c>
      <c r="G1004" t="s">
        <v>26</v>
      </c>
      <c r="H1004" t="s">
        <v>81</v>
      </c>
      <c r="I1004">
        <v>2070</v>
      </c>
      <c r="J1004">
        <v>8.5999999999999993E-2</v>
      </c>
      <c r="K1004" t="s">
        <v>84</v>
      </c>
    </row>
    <row r="1005" spans="1:11" x14ac:dyDescent="0.45">
      <c r="A1005" t="s">
        <v>85</v>
      </c>
      <c r="B1005" t="s">
        <v>4</v>
      </c>
      <c r="C1005" t="s">
        <v>83</v>
      </c>
      <c r="D1005" t="s">
        <v>84</v>
      </c>
      <c r="E1005" t="s">
        <v>25</v>
      </c>
      <c r="F1005" t="s">
        <v>84</v>
      </c>
      <c r="G1005" t="s">
        <v>26</v>
      </c>
      <c r="H1005" t="s">
        <v>81</v>
      </c>
      <c r="I1005">
        <v>2075</v>
      </c>
      <c r="J1005">
        <v>8.6400000000000005E-2</v>
      </c>
      <c r="K1005" t="s">
        <v>84</v>
      </c>
    </row>
    <row r="1006" spans="1:11" x14ac:dyDescent="0.45">
      <c r="A1006" t="s">
        <v>85</v>
      </c>
      <c r="B1006" t="s">
        <v>4</v>
      </c>
      <c r="C1006" t="s">
        <v>83</v>
      </c>
      <c r="D1006" t="s">
        <v>84</v>
      </c>
      <c r="E1006" t="s">
        <v>25</v>
      </c>
      <c r="F1006" t="s">
        <v>84</v>
      </c>
      <c r="G1006" t="s">
        <v>26</v>
      </c>
      <c r="H1006" t="s">
        <v>81</v>
      </c>
      <c r="I1006">
        <v>2080</v>
      </c>
      <c r="J1006">
        <v>8.7099999999999997E-2</v>
      </c>
      <c r="K1006" t="s">
        <v>84</v>
      </c>
    </row>
    <row r="1007" spans="1:11" x14ac:dyDescent="0.45">
      <c r="A1007" t="s">
        <v>85</v>
      </c>
      <c r="B1007" t="s">
        <v>4</v>
      </c>
      <c r="C1007" t="s">
        <v>83</v>
      </c>
      <c r="D1007" t="s">
        <v>84</v>
      </c>
      <c r="E1007" t="s">
        <v>25</v>
      </c>
      <c r="F1007" t="s">
        <v>84</v>
      </c>
      <c r="G1007" t="s">
        <v>26</v>
      </c>
      <c r="H1007" t="s">
        <v>81</v>
      </c>
      <c r="I1007">
        <v>2085</v>
      </c>
      <c r="J1007">
        <v>0.1009</v>
      </c>
      <c r="K1007" t="s">
        <v>84</v>
      </c>
    </row>
    <row r="1008" spans="1:11" x14ac:dyDescent="0.45">
      <c r="A1008" t="s">
        <v>85</v>
      </c>
      <c r="B1008" t="s">
        <v>4</v>
      </c>
      <c r="C1008" t="s">
        <v>83</v>
      </c>
      <c r="D1008" t="s">
        <v>84</v>
      </c>
      <c r="E1008" t="s">
        <v>25</v>
      </c>
      <c r="F1008" t="s">
        <v>84</v>
      </c>
      <c r="G1008" t="s">
        <v>26</v>
      </c>
      <c r="H1008" t="s">
        <v>81</v>
      </c>
      <c r="I1008">
        <v>2090</v>
      </c>
      <c r="J1008">
        <v>0.1149</v>
      </c>
      <c r="K1008" t="s">
        <v>84</v>
      </c>
    </row>
    <row r="1009" spans="1:12" x14ac:dyDescent="0.45">
      <c r="A1009" t="s">
        <v>85</v>
      </c>
      <c r="B1009" t="s">
        <v>4</v>
      </c>
      <c r="C1009" t="s">
        <v>83</v>
      </c>
      <c r="D1009" t="s">
        <v>84</v>
      </c>
      <c r="E1009" t="s">
        <v>25</v>
      </c>
      <c r="F1009" t="s">
        <v>84</v>
      </c>
      <c r="G1009" t="s">
        <v>26</v>
      </c>
      <c r="H1009" t="s">
        <v>81</v>
      </c>
      <c r="I1009">
        <v>2095</v>
      </c>
      <c r="J1009">
        <v>0.15770000000000001</v>
      </c>
      <c r="K1009" t="s">
        <v>84</v>
      </c>
    </row>
    <row r="1010" spans="1:12" x14ac:dyDescent="0.45">
      <c r="A1010" t="s">
        <v>85</v>
      </c>
      <c r="B1010" t="s">
        <v>4</v>
      </c>
      <c r="C1010" t="s">
        <v>83</v>
      </c>
      <c r="D1010" t="s">
        <v>84</v>
      </c>
      <c r="E1010" t="s">
        <v>25</v>
      </c>
      <c r="F1010" t="s">
        <v>84</v>
      </c>
      <c r="G1010" t="s">
        <v>26</v>
      </c>
      <c r="H1010" t="s">
        <v>81</v>
      </c>
      <c r="I1010">
        <v>2100</v>
      </c>
      <c r="J1010">
        <v>0.19520000000000001</v>
      </c>
      <c r="K1010" t="s">
        <v>84</v>
      </c>
    </row>
    <row r="1011" spans="1:12" x14ac:dyDescent="0.45">
      <c r="A1011" t="s">
        <v>85</v>
      </c>
      <c r="B1011" t="s">
        <v>4</v>
      </c>
      <c r="C1011" t="s">
        <v>83</v>
      </c>
      <c r="D1011" t="s">
        <v>52</v>
      </c>
      <c r="E1011" t="s">
        <v>25</v>
      </c>
      <c r="F1011" t="s">
        <v>52</v>
      </c>
      <c r="G1011" t="s">
        <v>70</v>
      </c>
      <c r="I1011">
        <v>2020</v>
      </c>
      <c r="J1011">
        <v>0.33260000000000001</v>
      </c>
      <c r="K1011" t="s">
        <v>52</v>
      </c>
      <c r="L1011">
        <v>94</v>
      </c>
    </row>
    <row r="1012" spans="1:12" x14ac:dyDescent="0.45">
      <c r="A1012" t="s">
        <v>85</v>
      </c>
      <c r="B1012" t="s">
        <v>4</v>
      </c>
      <c r="C1012" t="s">
        <v>83</v>
      </c>
      <c r="D1012" t="s">
        <v>52</v>
      </c>
      <c r="E1012" t="s">
        <v>25</v>
      </c>
      <c r="F1012" t="s">
        <v>52</v>
      </c>
      <c r="G1012" t="s">
        <v>70</v>
      </c>
      <c r="I1012">
        <v>2025</v>
      </c>
      <c r="J1012">
        <v>0.31359999999999999</v>
      </c>
      <c r="K1012" t="s">
        <v>52</v>
      </c>
      <c r="L1012">
        <v>94</v>
      </c>
    </row>
    <row r="1013" spans="1:12" x14ac:dyDescent="0.45">
      <c r="A1013" t="s">
        <v>85</v>
      </c>
      <c r="B1013" t="s">
        <v>4</v>
      </c>
      <c r="C1013" t="s">
        <v>83</v>
      </c>
      <c r="D1013" t="s">
        <v>52</v>
      </c>
      <c r="E1013" t="s">
        <v>25</v>
      </c>
      <c r="F1013" t="s">
        <v>52</v>
      </c>
      <c r="G1013" t="s">
        <v>70</v>
      </c>
      <c r="I1013">
        <v>2030</v>
      </c>
      <c r="J1013">
        <v>0.29499999999999998</v>
      </c>
      <c r="K1013" t="s">
        <v>52</v>
      </c>
      <c r="L1013">
        <v>94</v>
      </c>
    </row>
    <row r="1014" spans="1:12" x14ac:dyDescent="0.45">
      <c r="A1014" t="s">
        <v>85</v>
      </c>
      <c r="B1014" t="s">
        <v>4</v>
      </c>
      <c r="C1014" t="s">
        <v>83</v>
      </c>
      <c r="D1014" t="s">
        <v>52</v>
      </c>
      <c r="E1014" t="s">
        <v>25</v>
      </c>
      <c r="F1014" t="s">
        <v>52</v>
      </c>
      <c r="G1014" t="s">
        <v>70</v>
      </c>
      <c r="I1014">
        <v>2035</v>
      </c>
      <c r="J1014">
        <v>0.28499999999999998</v>
      </c>
      <c r="K1014" t="s">
        <v>52</v>
      </c>
      <c r="L1014">
        <v>94</v>
      </c>
    </row>
    <row r="1015" spans="1:12" x14ac:dyDescent="0.45">
      <c r="A1015" t="s">
        <v>85</v>
      </c>
      <c r="B1015" t="s">
        <v>4</v>
      </c>
      <c r="C1015" t="s">
        <v>83</v>
      </c>
      <c r="D1015" t="s">
        <v>52</v>
      </c>
      <c r="E1015" t="s">
        <v>25</v>
      </c>
      <c r="F1015" t="s">
        <v>52</v>
      </c>
      <c r="G1015" t="s">
        <v>70</v>
      </c>
      <c r="I1015">
        <v>2040</v>
      </c>
      <c r="J1015">
        <v>0.2586</v>
      </c>
      <c r="K1015" t="s">
        <v>52</v>
      </c>
      <c r="L1015">
        <v>94</v>
      </c>
    </row>
    <row r="1016" spans="1:12" x14ac:dyDescent="0.45">
      <c r="A1016" t="s">
        <v>85</v>
      </c>
      <c r="B1016" t="s">
        <v>4</v>
      </c>
      <c r="C1016" t="s">
        <v>83</v>
      </c>
      <c r="D1016" t="s">
        <v>52</v>
      </c>
      <c r="E1016" t="s">
        <v>25</v>
      </c>
      <c r="F1016" t="s">
        <v>52</v>
      </c>
      <c r="G1016" t="s">
        <v>70</v>
      </c>
      <c r="I1016">
        <v>2045</v>
      </c>
      <c r="J1016">
        <v>0.1888</v>
      </c>
      <c r="K1016" t="s">
        <v>52</v>
      </c>
      <c r="L1016">
        <v>94</v>
      </c>
    </row>
    <row r="1017" spans="1:12" x14ac:dyDescent="0.45">
      <c r="A1017" t="s">
        <v>85</v>
      </c>
      <c r="B1017" t="s">
        <v>4</v>
      </c>
      <c r="C1017" t="s">
        <v>83</v>
      </c>
      <c r="D1017" t="s">
        <v>52</v>
      </c>
      <c r="E1017" t="s">
        <v>25</v>
      </c>
      <c r="F1017" t="s">
        <v>52</v>
      </c>
      <c r="G1017" t="s">
        <v>70</v>
      </c>
      <c r="I1017">
        <v>2050</v>
      </c>
      <c r="J1017">
        <v>0.1196</v>
      </c>
      <c r="K1017" t="s">
        <v>52</v>
      </c>
      <c r="L1017">
        <v>94</v>
      </c>
    </row>
    <row r="1018" spans="1:12" x14ac:dyDescent="0.45">
      <c r="A1018" t="s">
        <v>85</v>
      </c>
      <c r="B1018" t="s">
        <v>4</v>
      </c>
      <c r="C1018" t="s">
        <v>83</v>
      </c>
      <c r="D1018" t="s">
        <v>52</v>
      </c>
      <c r="E1018" t="s">
        <v>25</v>
      </c>
      <c r="F1018" t="s">
        <v>52</v>
      </c>
      <c r="G1018" t="s">
        <v>70</v>
      </c>
      <c r="I1018">
        <v>2055</v>
      </c>
      <c r="J1018">
        <v>6.7599999999999993E-2</v>
      </c>
      <c r="K1018" t="s">
        <v>52</v>
      </c>
      <c r="L1018">
        <v>94</v>
      </c>
    </row>
    <row r="1019" spans="1:12" x14ac:dyDescent="0.45">
      <c r="A1019" t="s">
        <v>85</v>
      </c>
      <c r="B1019" t="s">
        <v>4</v>
      </c>
      <c r="C1019" t="s">
        <v>83</v>
      </c>
      <c r="D1019" t="s">
        <v>52</v>
      </c>
      <c r="E1019" t="s">
        <v>25</v>
      </c>
      <c r="F1019" t="s">
        <v>52</v>
      </c>
      <c r="G1019" t="s">
        <v>70</v>
      </c>
      <c r="I1019">
        <v>2060</v>
      </c>
      <c r="J1019">
        <v>1.9E-2</v>
      </c>
      <c r="K1019" t="s">
        <v>52</v>
      </c>
      <c r="L1019">
        <v>94</v>
      </c>
    </row>
    <row r="1020" spans="1:12" x14ac:dyDescent="0.45">
      <c r="A1020" t="s">
        <v>85</v>
      </c>
      <c r="B1020" t="s">
        <v>4</v>
      </c>
      <c r="C1020" t="s">
        <v>83</v>
      </c>
      <c r="D1020" t="s">
        <v>52</v>
      </c>
      <c r="E1020" t="s">
        <v>25</v>
      </c>
      <c r="F1020" t="s">
        <v>52</v>
      </c>
      <c r="G1020" t="s">
        <v>70</v>
      </c>
      <c r="I1020">
        <v>2065</v>
      </c>
      <c r="J1020">
        <v>6.6E-3</v>
      </c>
      <c r="K1020" t="s">
        <v>52</v>
      </c>
      <c r="L1020">
        <v>94</v>
      </c>
    </row>
    <row r="1021" spans="1:12" x14ac:dyDescent="0.45">
      <c r="A1021" t="s">
        <v>85</v>
      </c>
      <c r="B1021" t="s">
        <v>4</v>
      </c>
      <c r="C1021" t="s">
        <v>83</v>
      </c>
      <c r="D1021" t="s">
        <v>52</v>
      </c>
      <c r="E1021" t="s">
        <v>25</v>
      </c>
      <c r="F1021" t="s">
        <v>52</v>
      </c>
      <c r="G1021" t="s">
        <v>70</v>
      </c>
      <c r="I1021">
        <v>2070</v>
      </c>
      <c r="J1021">
        <v>2.0000000000000001E-4</v>
      </c>
      <c r="K1021" t="s">
        <v>52</v>
      </c>
      <c r="L1021">
        <v>94</v>
      </c>
    </row>
    <row r="1022" spans="1:12" x14ac:dyDescent="0.45">
      <c r="A1022" t="s">
        <v>85</v>
      </c>
      <c r="B1022" t="s">
        <v>4</v>
      </c>
      <c r="C1022" t="s">
        <v>83</v>
      </c>
      <c r="D1022" t="s">
        <v>52</v>
      </c>
      <c r="E1022" t="s">
        <v>25</v>
      </c>
      <c r="F1022" t="s">
        <v>52</v>
      </c>
      <c r="G1022" t="s">
        <v>70</v>
      </c>
      <c r="I1022">
        <v>2075</v>
      </c>
      <c r="J1022">
        <v>1E-4</v>
      </c>
      <c r="K1022" t="s">
        <v>52</v>
      </c>
      <c r="L1022">
        <v>94</v>
      </c>
    </row>
    <row r="1023" spans="1:12" x14ac:dyDescent="0.45">
      <c r="A1023" t="s">
        <v>85</v>
      </c>
      <c r="B1023" t="s">
        <v>4</v>
      </c>
      <c r="C1023" t="s">
        <v>83</v>
      </c>
      <c r="D1023" t="s">
        <v>52</v>
      </c>
      <c r="E1023" t="s">
        <v>25</v>
      </c>
      <c r="F1023" t="s">
        <v>52</v>
      </c>
      <c r="G1023" t="s">
        <v>70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85</v>
      </c>
      <c r="B1024" t="s">
        <v>4</v>
      </c>
      <c r="C1024" t="s">
        <v>83</v>
      </c>
      <c r="D1024" t="s">
        <v>52</v>
      </c>
      <c r="E1024" t="s">
        <v>25</v>
      </c>
      <c r="F1024" t="s">
        <v>52</v>
      </c>
      <c r="G1024" t="s">
        <v>70</v>
      </c>
      <c r="I1024">
        <v>2085</v>
      </c>
      <c r="J1024">
        <v>0</v>
      </c>
      <c r="K1024" t="s">
        <v>52</v>
      </c>
      <c r="L1024">
        <v>94</v>
      </c>
    </row>
    <row r="1025" spans="1:12" x14ac:dyDescent="0.45">
      <c r="A1025" t="s">
        <v>85</v>
      </c>
      <c r="B1025" t="s">
        <v>4</v>
      </c>
      <c r="C1025" t="s">
        <v>83</v>
      </c>
      <c r="D1025" t="s">
        <v>52</v>
      </c>
      <c r="E1025" t="s">
        <v>25</v>
      </c>
      <c r="F1025" t="s">
        <v>52</v>
      </c>
      <c r="G1025" t="s">
        <v>70</v>
      </c>
      <c r="I1025">
        <v>2090</v>
      </c>
      <c r="J1025">
        <v>0</v>
      </c>
      <c r="K1025" t="s">
        <v>52</v>
      </c>
      <c r="L1025">
        <v>94</v>
      </c>
    </row>
    <row r="1026" spans="1:12" x14ac:dyDescent="0.45">
      <c r="A1026" t="s">
        <v>85</v>
      </c>
      <c r="B1026" t="s">
        <v>4</v>
      </c>
      <c r="C1026" t="s">
        <v>83</v>
      </c>
      <c r="D1026" t="s">
        <v>52</v>
      </c>
      <c r="E1026" t="s">
        <v>25</v>
      </c>
      <c r="F1026" t="s">
        <v>52</v>
      </c>
      <c r="G1026" t="s">
        <v>70</v>
      </c>
      <c r="I1026">
        <v>2095</v>
      </c>
      <c r="J1026">
        <v>2.0000000000000001E-4</v>
      </c>
      <c r="K1026" t="s">
        <v>52</v>
      </c>
      <c r="L1026">
        <v>94</v>
      </c>
    </row>
    <row r="1027" spans="1:12" x14ac:dyDescent="0.45">
      <c r="A1027" t="s">
        <v>85</v>
      </c>
      <c r="B1027" t="s">
        <v>4</v>
      </c>
      <c r="C1027" t="s">
        <v>83</v>
      </c>
      <c r="D1027" t="s">
        <v>52</v>
      </c>
      <c r="E1027" t="s">
        <v>25</v>
      </c>
      <c r="F1027" t="s">
        <v>52</v>
      </c>
      <c r="G1027" t="s">
        <v>70</v>
      </c>
      <c r="I1027">
        <v>2100</v>
      </c>
      <c r="J1027">
        <v>5.0000000000000001E-4</v>
      </c>
      <c r="K1027" t="s">
        <v>52</v>
      </c>
      <c r="L1027">
        <v>94</v>
      </c>
    </row>
    <row r="1028" spans="1:12" x14ac:dyDescent="0.45">
      <c r="A1028" t="s">
        <v>85</v>
      </c>
      <c r="B1028" t="s">
        <v>4</v>
      </c>
      <c r="C1028" t="s">
        <v>83</v>
      </c>
      <c r="D1028" t="s">
        <v>53</v>
      </c>
      <c r="E1028" t="s">
        <v>25</v>
      </c>
      <c r="F1028" t="s">
        <v>53</v>
      </c>
      <c r="G1028" t="s">
        <v>70</v>
      </c>
      <c r="I1028">
        <v>2020</v>
      </c>
      <c r="J1028">
        <v>0.11119999999999999</v>
      </c>
      <c r="K1028" t="s">
        <v>53</v>
      </c>
      <c r="L1028">
        <v>55</v>
      </c>
    </row>
    <row r="1029" spans="1:12" x14ac:dyDescent="0.45">
      <c r="A1029" t="s">
        <v>85</v>
      </c>
      <c r="B1029" t="s">
        <v>4</v>
      </c>
      <c r="C1029" t="s">
        <v>83</v>
      </c>
      <c r="D1029" t="s">
        <v>53</v>
      </c>
      <c r="E1029" t="s">
        <v>25</v>
      </c>
      <c r="F1029" t="s">
        <v>53</v>
      </c>
      <c r="G1029" t="s">
        <v>70</v>
      </c>
      <c r="I1029">
        <v>2025</v>
      </c>
      <c r="J1029">
        <v>0.13450000000000001</v>
      </c>
      <c r="K1029" t="s">
        <v>53</v>
      </c>
      <c r="L1029">
        <v>55</v>
      </c>
    </row>
    <row r="1030" spans="1:12" x14ac:dyDescent="0.45">
      <c r="A1030" t="s">
        <v>85</v>
      </c>
      <c r="B1030" t="s">
        <v>4</v>
      </c>
      <c r="C1030" t="s">
        <v>83</v>
      </c>
      <c r="D1030" t="s">
        <v>53</v>
      </c>
      <c r="E1030" t="s">
        <v>25</v>
      </c>
      <c r="F1030" t="s">
        <v>53</v>
      </c>
      <c r="G1030" t="s">
        <v>70</v>
      </c>
      <c r="I1030">
        <v>2030</v>
      </c>
      <c r="J1030">
        <v>0.1915</v>
      </c>
      <c r="K1030" t="s">
        <v>53</v>
      </c>
      <c r="L1030">
        <v>55</v>
      </c>
    </row>
    <row r="1031" spans="1:12" x14ac:dyDescent="0.45">
      <c r="A1031" t="s">
        <v>85</v>
      </c>
      <c r="B1031" t="s">
        <v>4</v>
      </c>
      <c r="C1031" t="s">
        <v>83</v>
      </c>
      <c r="D1031" t="s">
        <v>53</v>
      </c>
      <c r="E1031" t="s">
        <v>25</v>
      </c>
      <c r="F1031" t="s">
        <v>53</v>
      </c>
      <c r="G1031" t="s">
        <v>70</v>
      </c>
      <c r="I1031">
        <v>2035</v>
      </c>
      <c r="J1031">
        <v>0.27800000000000002</v>
      </c>
      <c r="K1031" t="s">
        <v>53</v>
      </c>
      <c r="L1031">
        <v>55</v>
      </c>
    </row>
    <row r="1032" spans="1:12" x14ac:dyDescent="0.45">
      <c r="A1032" t="s">
        <v>85</v>
      </c>
      <c r="B1032" t="s">
        <v>4</v>
      </c>
      <c r="C1032" t="s">
        <v>83</v>
      </c>
      <c r="D1032" t="s">
        <v>53</v>
      </c>
      <c r="E1032" t="s">
        <v>25</v>
      </c>
      <c r="F1032" t="s">
        <v>53</v>
      </c>
      <c r="G1032" t="s">
        <v>70</v>
      </c>
      <c r="I1032">
        <v>2040</v>
      </c>
      <c r="J1032">
        <v>0.37109999999999999</v>
      </c>
      <c r="K1032" t="s">
        <v>53</v>
      </c>
      <c r="L1032">
        <v>55</v>
      </c>
    </row>
    <row r="1033" spans="1:12" x14ac:dyDescent="0.45">
      <c r="A1033" t="s">
        <v>85</v>
      </c>
      <c r="B1033" t="s">
        <v>4</v>
      </c>
      <c r="C1033" t="s">
        <v>83</v>
      </c>
      <c r="D1033" t="s">
        <v>53</v>
      </c>
      <c r="E1033" t="s">
        <v>25</v>
      </c>
      <c r="F1033" t="s">
        <v>53</v>
      </c>
      <c r="G1033" t="s">
        <v>70</v>
      </c>
      <c r="I1033">
        <v>2045</v>
      </c>
      <c r="J1033">
        <v>0.40350000000000003</v>
      </c>
      <c r="K1033" t="s">
        <v>53</v>
      </c>
      <c r="L1033">
        <v>55</v>
      </c>
    </row>
    <row r="1034" spans="1:12" x14ac:dyDescent="0.45">
      <c r="A1034" t="s">
        <v>85</v>
      </c>
      <c r="B1034" t="s">
        <v>4</v>
      </c>
      <c r="C1034" t="s">
        <v>83</v>
      </c>
      <c r="D1034" t="s">
        <v>53</v>
      </c>
      <c r="E1034" t="s">
        <v>25</v>
      </c>
      <c r="F1034" t="s">
        <v>53</v>
      </c>
      <c r="G1034" t="s">
        <v>70</v>
      </c>
      <c r="I1034">
        <v>2050</v>
      </c>
      <c r="J1034">
        <v>0.36749999999999999</v>
      </c>
      <c r="K1034" t="s">
        <v>53</v>
      </c>
      <c r="L1034">
        <v>55</v>
      </c>
    </row>
    <row r="1035" spans="1:12" x14ac:dyDescent="0.45">
      <c r="A1035" t="s">
        <v>85</v>
      </c>
      <c r="B1035" t="s">
        <v>4</v>
      </c>
      <c r="C1035" t="s">
        <v>83</v>
      </c>
      <c r="D1035" t="s">
        <v>53</v>
      </c>
      <c r="E1035" t="s">
        <v>25</v>
      </c>
      <c r="F1035" t="s">
        <v>53</v>
      </c>
      <c r="G1035" t="s">
        <v>70</v>
      </c>
      <c r="I1035">
        <v>2055</v>
      </c>
      <c r="J1035">
        <v>0.32800000000000001</v>
      </c>
      <c r="K1035" t="s">
        <v>53</v>
      </c>
      <c r="L1035">
        <v>55</v>
      </c>
    </row>
    <row r="1036" spans="1:12" x14ac:dyDescent="0.45">
      <c r="A1036" t="s">
        <v>85</v>
      </c>
      <c r="B1036" t="s">
        <v>4</v>
      </c>
      <c r="C1036" t="s">
        <v>83</v>
      </c>
      <c r="D1036" t="s">
        <v>53</v>
      </c>
      <c r="E1036" t="s">
        <v>25</v>
      </c>
      <c r="F1036" t="s">
        <v>53</v>
      </c>
      <c r="G1036" t="s">
        <v>70</v>
      </c>
      <c r="I1036">
        <v>2060</v>
      </c>
      <c r="J1036">
        <v>0.25719999999999998</v>
      </c>
      <c r="K1036" t="s">
        <v>53</v>
      </c>
      <c r="L1036">
        <v>55</v>
      </c>
    </row>
    <row r="1037" spans="1:12" x14ac:dyDescent="0.45">
      <c r="A1037" t="s">
        <v>85</v>
      </c>
      <c r="B1037" t="s">
        <v>4</v>
      </c>
      <c r="C1037" t="s">
        <v>83</v>
      </c>
      <c r="D1037" t="s">
        <v>53</v>
      </c>
      <c r="E1037" t="s">
        <v>25</v>
      </c>
      <c r="F1037" t="s">
        <v>53</v>
      </c>
      <c r="G1037" t="s">
        <v>70</v>
      </c>
      <c r="I1037">
        <v>2065</v>
      </c>
      <c r="J1037">
        <v>0.1973</v>
      </c>
      <c r="K1037" t="s">
        <v>53</v>
      </c>
      <c r="L1037">
        <v>55</v>
      </c>
    </row>
    <row r="1038" spans="1:12" x14ac:dyDescent="0.45">
      <c r="A1038" t="s">
        <v>85</v>
      </c>
      <c r="B1038" t="s">
        <v>4</v>
      </c>
      <c r="C1038" t="s">
        <v>83</v>
      </c>
      <c r="D1038" t="s">
        <v>53</v>
      </c>
      <c r="E1038" t="s">
        <v>25</v>
      </c>
      <c r="F1038" t="s">
        <v>53</v>
      </c>
      <c r="G1038" t="s">
        <v>70</v>
      </c>
      <c r="I1038">
        <v>2070</v>
      </c>
      <c r="J1038">
        <v>0.15590000000000001</v>
      </c>
      <c r="K1038" t="s">
        <v>53</v>
      </c>
      <c r="L1038">
        <v>55</v>
      </c>
    </row>
    <row r="1039" spans="1:12" x14ac:dyDescent="0.45">
      <c r="A1039" t="s">
        <v>85</v>
      </c>
      <c r="B1039" t="s">
        <v>4</v>
      </c>
      <c r="C1039" t="s">
        <v>83</v>
      </c>
      <c r="D1039" t="s">
        <v>53</v>
      </c>
      <c r="E1039" t="s">
        <v>25</v>
      </c>
      <c r="F1039" t="s">
        <v>53</v>
      </c>
      <c r="G1039" t="s">
        <v>70</v>
      </c>
      <c r="I1039">
        <v>2075</v>
      </c>
      <c r="J1039">
        <v>0.1198</v>
      </c>
      <c r="K1039" t="s">
        <v>53</v>
      </c>
      <c r="L1039">
        <v>55</v>
      </c>
    </row>
    <row r="1040" spans="1:12" x14ac:dyDescent="0.45">
      <c r="A1040" t="s">
        <v>85</v>
      </c>
      <c r="B1040" t="s">
        <v>4</v>
      </c>
      <c r="C1040" t="s">
        <v>83</v>
      </c>
      <c r="D1040" t="s">
        <v>53</v>
      </c>
      <c r="E1040" t="s">
        <v>25</v>
      </c>
      <c r="F1040" t="s">
        <v>53</v>
      </c>
      <c r="G1040" t="s">
        <v>70</v>
      </c>
      <c r="I1040">
        <v>2080</v>
      </c>
      <c r="J1040">
        <v>9.1600000000000001E-2</v>
      </c>
      <c r="K1040" t="s">
        <v>53</v>
      </c>
      <c r="L1040">
        <v>55</v>
      </c>
    </row>
    <row r="1041" spans="1:12" x14ac:dyDescent="0.45">
      <c r="A1041" t="s">
        <v>85</v>
      </c>
      <c r="B1041" t="s">
        <v>4</v>
      </c>
      <c r="C1041" t="s">
        <v>83</v>
      </c>
      <c r="D1041" t="s">
        <v>53</v>
      </c>
      <c r="E1041" t="s">
        <v>25</v>
      </c>
      <c r="F1041" t="s">
        <v>53</v>
      </c>
      <c r="G1041" t="s">
        <v>70</v>
      </c>
      <c r="I1041">
        <v>2085</v>
      </c>
      <c r="J1041">
        <v>7.6899999999999996E-2</v>
      </c>
      <c r="K1041" t="s">
        <v>53</v>
      </c>
      <c r="L1041">
        <v>55</v>
      </c>
    </row>
    <row r="1042" spans="1:12" x14ac:dyDescent="0.45">
      <c r="A1042" t="s">
        <v>85</v>
      </c>
      <c r="B1042" t="s">
        <v>4</v>
      </c>
      <c r="C1042" t="s">
        <v>83</v>
      </c>
      <c r="D1042" t="s">
        <v>53</v>
      </c>
      <c r="E1042" t="s">
        <v>25</v>
      </c>
      <c r="F1042" t="s">
        <v>53</v>
      </c>
      <c r="G1042" t="s">
        <v>70</v>
      </c>
      <c r="I1042">
        <v>2090</v>
      </c>
      <c r="J1042">
        <v>6.2899999999999998E-2</v>
      </c>
      <c r="K1042" t="s">
        <v>53</v>
      </c>
      <c r="L1042">
        <v>55</v>
      </c>
    </row>
    <row r="1043" spans="1:12" x14ac:dyDescent="0.45">
      <c r="A1043" t="s">
        <v>85</v>
      </c>
      <c r="B1043" t="s">
        <v>4</v>
      </c>
      <c r="C1043" t="s">
        <v>83</v>
      </c>
      <c r="D1043" t="s">
        <v>53</v>
      </c>
      <c r="E1043" t="s">
        <v>25</v>
      </c>
      <c r="F1043" t="s">
        <v>53</v>
      </c>
      <c r="G1043" t="s">
        <v>70</v>
      </c>
      <c r="I1043">
        <v>2095</v>
      </c>
      <c r="J1043">
        <v>5.6099999999999997E-2</v>
      </c>
      <c r="K1043" t="s">
        <v>53</v>
      </c>
      <c r="L1043">
        <v>55</v>
      </c>
    </row>
    <row r="1044" spans="1:12" x14ac:dyDescent="0.45">
      <c r="A1044" t="s">
        <v>85</v>
      </c>
      <c r="B1044" t="s">
        <v>4</v>
      </c>
      <c r="C1044" t="s">
        <v>83</v>
      </c>
      <c r="D1044" t="s">
        <v>53</v>
      </c>
      <c r="E1044" t="s">
        <v>25</v>
      </c>
      <c r="F1044" t="s">
        <v>53</v>
      </c>
      <c r="G1044" t="s">
        <v>70</v>
      </c>
      <c r="I1044">
        <v>2100</v>
      </c>
      <c r="J1044">
        <v>4.8899999999999999E-2</v>
      </c>
      <c r="K1044" t="s">
        <v>53</v>
      </c>
      <c r="L1044">
        <v>55</v>
      </c>
    </row>
    <row r="1045" spans="1:12" x14ac:dyDescent="0.45">
      <c r="A1045" t="s">
        <v>85</v>
      </c>
      <c r="B1045" t="s">
        <v>4</v>
      </c>
      <c r="C1045" t="s">
        <v>83</v>
      </c>
      <c r="D1045" t="s">
        <v>54</v>
      </c>
      <c r="E1045" t="s">
        <v>25</v>
      </c>
      <c r="F1045" t="s">
        <v>54</v>
      </c>
      <c r="G1045" t="s">
        <v>70</v>
      </c>
      <c r="I1045">
        <v>2020</v>
      </c>
      <c r="J1045">
        <v>0</v>
      </c>
      <c r="K1045" t="s">
        <v>54</v>
      </c>
      <c r="L1045">
        <v>70</v>
      </c>
    </row>
    <row r="1046" spans="1:12" x14ac:dyDescent="0.45">
      <c r="A1046" t="s">
        <v>85</v>
      </c>
      <c r="B1046" t="s">
        <v>4</v>
      </c>
      <c r="C1046" t="s">
        <v>83</v>
      </c>
      <c r="D1046" t="s">
        <v>54</v>
      </c>
      <c r="E1046" t="s">
        <v>25</v>
      </c>
      <c r="F1046" t="s">
        <v>54</v>
      </c>
      <c r="G1046" t="s">
        <v>70</v>
      </c>
      <c r="I1046">
        <v>2025</v>
      </c>
      <c r="J1046">
        <v>0</v>
      </c>
      <c r="K1046" t="s">
        <v>54</v>
      </c>
      <c r="L1046">
        <v>70</v>
      </c>
    </row>
    <row r="1047" spans="1:12" x14ac:dyDescent="0.45">
      <c r="A1047" t="s">
        <v>85</v>
      </c>
      <c r="B1047" t="s">
        <v>4</v>
      </c>
      <c r="C1047" t="s">
        <v>83</v>
      </c>
      <c r="D1047" t="s">
        <v>54</v>
      </c>
      <c r="E1047" t="s">
        <v>25</v>
      </c>
      <c r="F1047" t="s">
        <v>54</v>
      </c>
      <c r="G1047" t="s">
        <v>70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85</v>
      </c>
      <c r="B1048" t="s">
        <v>4</v>
      </c>
      <c r="C1048" t="s">
        <v>83</v>
      </c>
      <c r="D1048" t="s">
        <v>54</v>
      </c>
      <c r="E1048" t="s">
        <v>25</v>
      </c>
      <c r="F1048" t="s">
        <v>54</v>
      </c>
      <c r="G1048" t="s">
        <v>70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85</v>
      </c>
      <c r="B1049" t="s">
        <v>4</v>
      </c>
      <c r="C1049" t="s">
        <v>83</v>
      </c>
      <c r="D1049" t="s">
        <v>54</v>
      </c>
      <c r="E1049" t="s">
        <v>25</v>
      </c>
      <c r="F1049" t="s">
        <v>54</v>
      </c>
      <c r="G1049" t="s">
        <v>70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85</v>
      </c>
      <c r="B1050" t="s">
        <v>4</v>
      </c>
      <c r="C1050" t="s">
        <v>83</v>
      </c>
      <c r="D1050" t="s">
        <v>54</v>
      </c>
      <c r="E1050" t="s">
        <v>25</v>
      </c>
      <c r="F1050" t="s">
        <v>54</v>
      </c>
      <c r="G1050" t="s">
        <v>70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85</v>
      </c>
      <c r="B1051" t="s">
        <v>4</v>
      </c>
      <c r="C1051" t="s">
        <v>83</v>
      </c>
      <c r="D1051" t="s">
        <v>54</v>
      </c>
      <c r="E1051" t="s">
        <v>25</v>
      </c>
      <c r="F1051" t="s">
        <v>54</v>
      </c>
      <c r="G1051" t="s">
        <v>70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85</v>
      </c>
      <c r="B1052" t="s">
        <v>4</v>
      </c>
      <c r="C1052" t="s">
        <v>83</v>
      </c>
      <c r="D1052" t="s">
        <v>54</v>
      </c>
      <c r="E1052" t="s">
        <v>25</v>
      </c>
      <c r="F1052" t="s">
        <v>54</v>
      </c>
      <c r="G1052" t="s">
        <v>70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85</v>
      </c>
      <c r="B1053" t="s">
        <v>4</v>
      </c>
      <c r="C1053" t="s">
        <v>83</v>
      </c>
      <c r="D1053" t="s">
        <v>54</v>
      </c>
      <c r="E1053" t="s">
        <v>25</v>
      </c>
      <c r="F1053" t="s">
        <v>54</v>
      </c>
      <c r="G1053" t="s">
        <v>70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85</v>
      </c>
      <c r="B1054" t="s">
        <v>4</v>
      </c>
      <c r="C1054" t="s">
        <v>83</v>
      </c>
      <c r="D1054" t="s">
        <v>54</v>
      </c>
      <c r="E1054" t="s">
        <v>25</v>
      </c>
      <c r="F1054" t="s">
        <v>54</v>
      </c>
      <c r="G1054" t="s">
        <v>70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85</v>
      </c>
      <c r="B1055" t="s">
        <v>4</v>
      </c>
      <c r="C1055" t="s">
        <v>83</v>
      </c>
      <c r="D1055" t="s">
        <v>54</v>
      </c>
      <c r="E1055" t="s">
        <v>25</v>
      </c>
      <c r="F1055" t="s">
        <v>54</v>
      </c>
      <c r="G1055" t="s">
        <v>70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85</v>
      </c>
      <c r="B1056" t="s">
        <v>4</v>
      </c>
      <c r="C1056" t="s">
        <v>83</v>
      </c>
      <c r="D1056" t="s">
        <v>54</v>
      </c>
      <c r="E1056" t="s">
        <v>25</v>
      </c>
      <c r="F1056" t="s">
        <v>54</v>
      </c>
      <c r="G1056" t="s">
        <v>70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85</v>
      </c>
      <c r="B1057" t="s">
        <v>4</v>
      </c>
      <c r="C1057" t="s">
        <v>83</v>
      </c>
      <c r="D1057" t="s">
        <v>54</v>
      </c>
      <c r="E1057" t="s">
        <v>25</v>
      </c>
      <c r="F1057" t="s">
        <v>54</v>
      </c>
      <c r="G1057" t="s">
        <v>70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85</v>
      </c>
      <c r="B1058" t="s">
        <v>4</v>
      </c>
      <c r="C1058" t="s">
        <v>83</v>
      </c>
      <c r="D1058" t="s">
        <v>54</v>
      </c>
      <c r="E1058" t="s">
        <v>25</v>
      </c>
      <c r="F1058" t="s">
        <v>54</v>
      </c>
      <c r="G1058" t="s">
        <v>70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85</v>
      </c>
      <c r="B1059" t="s">
        <v>4</v>
      </c>
      <c r="C1059" t="s">
        <v>83</v>
      </c>
      <c r="D1059" t="s">
        <v>54</v>
      </c>
      <c r="E1059" t="s">
        <v>25</v>
      </c>
      <c r="F1059" t="s">
        <v>54</v>
      </c>
      <c r="G1059" t="s">
        <v>70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85</v>
      </c>
      <c r="B1060" t="s">
        <v>4</v>
      </c>
      <c r="C1060" t="s">
        <v>83</v>
      </c>
      <c r="D1060" t="s">
        <v>54</v>
      </c>
      <c r="E1060" t="s">
        <v>25</v>
      </c>
      <c r="F1060" t="s">
        <v>54</v>
      </c>
      <c r="G1060" t="s">
        <v>70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85</v>
      </c>
      <c r="B1061" t="s">
        <v>4</v>
      </c>
      <c r="C1061" t="s">
        <v>83</v>
      </c>
      <c r="D1061" t="s">
        <v>54</v>
      </c>
      <c r="E1061" t="s">
        <v>25</v>
      </c>
      <c r="F1061" t="s">
        <v>54</v>
      </c>
      <c r="G1061" t="s">
        <v>70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85</v>
      </c>
      <c r="B1062" t="s">
        <v>4</v>
      </c>
      <c r="C1062" t="s">
        <v>83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85</v>
      </c>
      <c r="B1063" t="s">
        <v>4</v>
      </c>
      <c r="C1063" t="s">
        <v>83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85</v>
      </c>
      <c r="B1064" t="s">
        <v>4</v>
      </c>
      <c r="C1064" t="s">
        <v>83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85</v>
      </c>
      <c r="B1065" t="s">
        <v>4</v>
      </c>
      <c r="C1065" t="s">
        <v>83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85</v>
      </c>
      <c r="B1066" t="s">
        <v>4</v>
      </c>
      <c r="C1066" t="s">
        <v>83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85</v>
      </c>
      <c r="B1067" t="s">
        <v>4</v>
      </c>
      <c r="C1067" t="s">
        <v>83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85</v>
      </c>
      <c r="B1068" t="s">
        <v>4</v>
      </c>
      <c r="C1068" t="s">
        <v>83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85</v>
      </c>
      <c r="B1069" t="s">
        <v>4</v>
      </c>
      <c r="C1069" t="s">
        <v>83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85</v>
      </c>
      <c r="B1070" t="s">
        <v>4</v>
      </c>
      <c r="C1070" t="s">
        <v>83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85</v>
      </c>
      <c r="B1071" t="s">
        <v>4</v>
      </c>
      <c r="C1071" t="s">
        <v>83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85</v>
      </c>
      <c r="B1072" t="s">
        <v>4</v>
      </c>
      <c r="C1072" t="s">
        <v>83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85</v>
      </c>
      <c r="B1073" t="s">
        <v>4</v>
      </c>
      <c r="C1073" t="s">
        <v>83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85</v>
      </c>
      <c r="B1074" t="s">
        <v>4</v>
      </c>
      <c r="C1074" t="s">
        <v>83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85</v>
      </c>
      <c r="B1075" t="s">
        <v>4</v>
      </c>
      <c r="C1075" t="s">
        <v>83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85</v>
      </c>
      <c r="B1076" t="s">
        <v>4</v>
      </c>
      <c r="C1076" t="s">
        <v>83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85</v>
      </c>
      <c r="B1077" t="s">
        <v>4</v>
      </c>
      <c r="C1077" t="s">
        <v>83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85</v>
      </c>
      <c r="B1078" t="s">
        <v>4</v>
      </c>
      <c r="C1078" t="s">
        <v>83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85</v>
      </c>
      <c r="B1079" t="s">
        <v>4</v>
      </c>
      <c r="C1079" t="s">
        <v>83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85</v>
      </c>
      <c r="B1080" t="s">
        <v>4</v>
      </c>
      <c r="C1080" t="s">
        <v>83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85</v>
      </c>
      <c r="B1081" t="s">
        <v>4</v>
      </c>
      <c r="C1081" t="s">
        <v>83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85</v>
      </c>
      <c r="B1082" t="s">
        <v>4</v>
      </c>
      <c r="C1082" t="s">
        <v>83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85</v>
      </c>
      <c r="B1083" t="s">
        <v>4</v>
      </c>
      <c r="C1083" t="s">
        <v>83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85</v>
      </c>
      <c r="B1084" t="s">
        <v>4</v>
      </c>
      <c r="C1084" t="s">
        <v>83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85</v>
      </c>
      <c r="B1085" t="s">
        <v>4</v>
      </c>
      <c r="C1085" t="s">
        <v>83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85</v>
      </c>
      <c r="B1086" t="s">
        <v>4</v>
      </c>
      <c r="C1086" t="s">
        <v>83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85</v>
      </c>
      <c r="B1087" t="s">
        <v>4</v>
      </c>
      <c r="C1087" t="s">
        <v>83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85</v>
      </c>
      <c r="B1088" t="s">
        <v>4</v>
      </c>
      <c r="C1088" t="s">
        <v>83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85</v>
      </c>
      <c r="B1089" t="s">
        <v>4</v>
      </c>
      <c r="C1089" t="s">
        <v>83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85</v>
      </c>
      <c r="B1090" t="s">
        <v>4</v>
      </c>
      <c r="C1090" t="s">
        <v>83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85</v>
      </c>
      <c r="B1091" t="s">
        <v>4</v>
      </c>
      <c r="C1091" t="s">
        <v>83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85</v>
      </c>
      <c r="B1092" t="s">
        <v>4</v>
      </c>
      <c r="C1092" t="s">
        <v>83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85</v>
      </c>
      <c r="B1093" t="s">
        <v>4</v>
      </c>
      <c r="C1093" t="s">
        <v>83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85</v>
      </c>
      <c r="B1094" t="s">
        <v>4</v>
      </c>
      <c r="C1094" t="s">
        <v>83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85</v>
      </c>
      <c r="B1095" t="s">
        <v>4</v>
      </c>
      <c r="C1095" t="s">
        <v>83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85</v>
      </c>
      <c r="B1096" t="s">
        <v>4</v>
      </c>
      <c r="C1096" t="s">
        <v>83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85</v>
      </c>
      <c r="B1097" t="s">
        <v>4</v>
      </c>
      <c r="C1097" t="s">
        <v>83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85</v>
      </c>
      <c r="B1098" t="s">
        <v>4</v>
      </c>
      <c r="C1098" t="s">
        <v>83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85</v>
      </c>
      <c r="B1099" t="s">
        <v>4</v>
      </c>
      <c r="C1099" t="s">
        <v>83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85</v>
      </c>
      <c r="B1100" t="s">
        <v>4</v>
      </c>
      <c r="C1100" t="s">
        <v>83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85</v>
      </c>
      <c r="B1101" t="s">
        <v>4</v>
      </c>
      <c r="C1101" t="s">
        <v>83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85</v>
      </c>
      <c r="B1102" t="s">
        <v>4</v>
      </c>
      <c r="C1102" t="s">
        <v>83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85</v>
      </c>
      <c r="B1103" t="s">
        <v>4</v>
      </c>
      <c r="C1103" t="s">
        <v>83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85</v>
      </c>
      <c r="B1104" t="s">
        <v>4</v>
      </c>
      <c r="C1104" t="s">
        <v>83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85</v>
      </c>
      <c r="B1105" t="s">
        <v>4</v>
      </c>
      <c r="C1105" t="s">
        <v>83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85</v>
      </c>
      <c r="B1106" t="s">
        <v>4</v>
      </c>
      <c r="C1106" t="s">
        <v>83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85</v>
      </c>
      <c r="B1107" t="s">
        <v>4</v>
      </c>
      <c r="C1107" t="s">
        <v>83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85</v>
      </c>
      <c r="B1108" t="s">
        <v>4</v>
      </c>
      <c r="C1108" t="s">
        <v>83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85</v>
      </c>
      <c r="B1109" t="s">
        <v>4</v>
      </c>
      <c r="C1109" t="s">
        <v>83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85</v>
      </c>
      <c r="B1110" t="s">
        <v>4</v>
      </c>
      <c r="C1110" t="s">
        <v>83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85</v>
      </c>
      <c r="B1111" t="s">
        <v>4</v>
      </c>
      <c r="C1111" t="s">
        <v>83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85</v>
      </c>
      <c r="B1112" t="s">
        <v>4</v>
      </c>
      <c r="C1112" t="s">
        <v>83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85</v>
      </c>
      <c r="B1113" t="s">
        <v>4</v>
      </c>
      <c r="C1113" t="s">
        <v>83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56.074300000000001</v>
      </c>
      <c r="K1113" t="s">
        <v>37</v>
      </c>
    </row>
    <row r="1114" spans="1:11" x14ac:dyDescent="0.45">
      <c r="A1114" t="s">
        <v>85</v>
      </c>
      <c r="B1114" t="s">
        <v>4</v>
      </c>
      <c r="C1114" t="s">
        <v>83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66.789100000000005</v>
      </c>
      <c r="K1114" t="s">
        <v>37</v>
      </c>
    </row>
    <row r="1115" spans="1:11" x14ac:dyDescent="0.45">
      <c r="A1115" t="s">
        <v>85</v>
      </c>
      <c r="B1115" t="s">
        <v>4</v>
      </c>
      <c r="C1115" t="s">
        <v>83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75.3339</v>
      </c>
      <c r="K1115" t="s">
        <v>37</v>
      </c>
    </row>
    <row r="1116" spans="1:11" x14ac:dyDescent="0.45">
      <c r="A1116" t="s">
        <v>85</v>
      </c>
      <c r="B1116" t="s">
        <v>4</v>
      </c>
      <c r="C1116" t="s">
        <v>83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85.170599999999993</v>
      </c>
      <c r="K1116" t="s">
        <v>37</v>
      </c>
    </row>
    <row r="1117" spans="1:11" x14ac:dyDescent="0.45">
      <c r="A1117" t="s">
        <v>85</v>
      </c>
      <c r="B1117" t="s">
        <v>4</v>
      </c>
      <c r="C1117" t="s">
        <v>83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94.949799999999996</v>
      </c>
      <c r="K1117" t="s">
        <v>37</v>
      </c>
    </row>
    <row r="1118" spans="1:11" x14ac:dyDescent="0.45">
      <c r="A1118" t="s">
        <v>85</v>
      </c>
      <c r="B1118" t="s">
        <v>4</v>
      </c>
      <c r="C1118" t="s">
        <v>83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98.349599999999995</v>
      </c>
      <c r="K1118" t="s">
        <v>37</v>
      </c>
    </row>
    <row r="1119" spans="1:11" x14ac:dyDescent="0.45">
      <c r="A1119" t="s">
        <v>85</v>
      </c>
      <c r="B1119" t="s">
        <v>4</v>
      </c>
      <c r="C1119" t="s">
        <v>83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105.5684</v>
      </c>
      <c r="K1119" t="s">
        <v>37</v>
      </c>
    </row>
    <row r="1120" spans="1:11" x14ac:dyDescent="0.45">
      <c r="A1120" t="s">
        <v>85</v>
      </c>
      <c r="B1120" t="s">
        <v>4</v>
      </c>
      <c r="C1120" t="s">
        <v>83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110.6143</v>
      </c>
      <c r="K1120" t="s">
        <v>37</v>
      </c>
    </row>
    <row r="1121" spans="1:11" x14ac:dyDescent="0.45">
      <c r="A1121" t="s">
        <v>85</v>
      </c>
      <c r="B1121" t="s">
        <v>4</v>
      </c>
      <c r="C1121" t="s">
        <v>83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176.8544</v>
      </c>
      <c r="K1121" t="s">
        <v>37</v>
      </c>
    </row>
    <row r="1122" spans="1:11" x14ac:dyDescent="0.45">
      <c r="A1122" t="s">
        <v>85</v>
      </c>
      <c r="B1122" t="s">
        <v>4</v>
      </c>
      <c r="C1122" t="s">
        <v>83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188.74789999999999</v>
      </c>
      <c r="K1122" t="s">
        <v>37</v>
      </c>
    </row>
    <row r="1123" spans="1:11" x14ac:dyDescent="0.45">
      <c r="A1123" t="s">
        <v>85</v>
      </c>
      <c r="B1123" t="s">
        <v>4</v>
      </c>
      <c r="C1123" t="s">
        <v>83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200.6413</v>
      </c>
      <c r="K1123" t="s">
        <v>37</v>
      </c>
    </row>
    <row r="1124" spans="1:11" x14ac:dyDescent="0.45">
      <c r="A1124" t="s">
        <v>85</v>
      </c>
      <c r="B1124" t="s">
        <v>4</v>
      </c>
      <c r="C1124" t="s">
        <v>83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210.94659999999999</v>
      </c>
      <c r="K1124" t="s">
        <v>37</v>
      </c>
    </row>
    <row r="1125" spans="1:11" x14ac:dyDescent="0.45">
      <c r="A1125" t="s">
        <v>85</v>
      </c>
      <c r="B1125" t="s">
        <v>4</v>
      </c>
      <c r="C1125" t="s">
        <v>83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221.25200000000001</v>
      </c>
      <c r="K1125" t="s">
        <v>37</v>
      </c>
    </row>
    <row r="1126" spans="1:11" x14ac:dyDescent="0.45">
      <c r="A1126" t="s">
        <v>85</v>
      </c>
      <c r="B1126" t="s">
        <v>4</v>
      </c>
      <c r="C1126" t="s">
        <v>83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235.57839999999999</v>
      </c>
      <c r="K1126" t="s">
        <v>37</v>
      </c>
    </row>
    <row r="1127" spans="1:11" x14ac:dyDescent="0.45">
      <c r="A1127" t="s">
        <v>85</v>
      </c>
      <c r="B1127" t="s">
        <v>4</v>
      </c>
      <c r="C1127" t="s">
        <v>83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249.90479999999999</v>
      </c>
      <c r="K1127" t="s">
        <v>37</v>
      </c>
    </row>
    <row r="1128" spans="1:11" x14ac:dyDescent="0.45">
      <c r="A1128" t="s">
        <v>85</v>
      </c>
      <c r="B1128" t="s">
        <v>4</v>
      </c>
      <c r="C1128" t="s">
        <v>83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282.18490000000003</v>
      </c>
      <c r="K1128" t="s">
        <v>37</v>
      </c>
    </row>
    <row r="1129" spans="1:11" x14ac:dyDescent="0.45">
      <c r="A1129" t="s">
        <v>85</v>
      </c>
      <c r="B1129" t="s">
        <v>4</v>
      </c>
      <c r="C1129" t="s">
        <v>83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314.46510000000001</v>
      </c>
      <c r="K1129" t="s">
        <v>37</v>
      </c>
    </row>
    <row r="1130" spans="1:11" x14ac:dyDescent="0.45">
      <c r="A1130" t="s">
        <v>85</v>
      </c>
      <c r="B1130" t="s">
        <v>4</v>
      </c>
      <c r="C1130" t="s">
        <v>83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375.89120000000003</v>
      </c>
      <c r="K1130" t="s">
        <v>48</v>
      </c>
    </row>
    <row r="1131" spans="1:11" x14ac:dyDescent="0.45">
      <c r="A1131" t="s">
        <v>85</v>
      </c>
      <c r="B1131" t="s">
        <v>4</v>
      </c>
      <c r="C1131" t="s">
        <v>83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399.31099999999998</v>
      </c>
      <c r="K1131" t="s">
        <v>48</v>
      </c>
    </row>
    <row r="1132" spans="1:11" x14ac:dyDescent="0.45">
      <c r="A1132" t="s">
        <v>85</v>
      </c>
      <c r="B1132" t="s">
        <v>4</v>
      </c>
      <c r="C1132" t="s">
        <v>83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403.16680000000002</v>
      </c>
      <c r="K1132" t="s">
        <v>48</v>
      </c>
    </row>
    <row r="1133" spans="1:11" x14ac:dyDescent="0.45">
      <c r="A1133" t="s">
        <v>85</v>
      </c>
      <c r="B1133" t="s">
        <v>4</v>
      </c>
      <c r="C1133" t="s">
        <v>83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409.23070000000001</v>
      </c>
      <c r="K1133" t="s">
        <v>48</v>
      </c>
    </row>
    <row r="1134" spans="1:11" x14ac:dyDescent="0.45">
      <c r="A1134" t="s">
        <v>85</v>
      </c>
      <c r="B1134" t="s">
        <v>4</v>
      </c>
      <c r="C1134" t="s">
        <v>83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405.93709999999999</v>
      </c>
      <c r="K1134" t="s">
        <v>48</v>
      </c>
    </row>
    <row r="1135" spans="1:11" x14ac:dyDescent="0.45">
      <c r="A1135" t="s">
        <v>85</v>
      </c>
      <c r="B1135" t="s">
        <v>4</v>
      </c>
      <c r="C1135" t="s">
        <v>83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384.57650000000001</v>
      </c>
      <c r="K1135" t="s">
        <v>48</v>
      </c>
    </row>
    <row r="1136" spans="1:11" x14ac:dyDescent="0.45">
      <c r="A1136" t="s">
        <v>85</v>
      </c>
      <c r="B1136" t="s">
        <v>4</v>
      </c>
      <c r="C1136" t="s">
        <v>83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371.5951</v>
      </c>
      <c r="K1136" t="s">
        <v>48</v>
      </c>
    </row>
    <row r="1137" spans="1:11" x14ac:dyDescent="0.45">
      <c r="A1137" t="s">
        <v>85</v>
      </c>
      <c r="B1137" t="s">
        <v>4</v>
      </c>
      <c r="C1137" t="s">
        <v>83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366.38470000000001</v>
      </c>
      <c r="K1137" t="s">
        <v>48</v>
      </c>
    </row>
    <row r="1138" spans="1:11" x14ac:dyDescent="0.45">
      <c r="A1138" t="s">
        <v>85</v>
      </c>
      <c r="B1138" t="s">
        <v>4</v>
      </c>
      <c r="C1138" t="s">
        <v>83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368.06470000000002</v>
      </c>
      <c r="K1138" t="s">
        <v>48</v>
      </c>
    </row>
    <row r="1139" spans="1:11" x14ac:dyDescent="0.45">
      <c r="A1139" t="s">
        <v>85</v>
      </c>
      <c r="B1139" t="s">
        <v>4</v>
      </c>
      <c r="C1139" t="s">
        <v>83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363.19110000000001</v>
      </c>
      <c r="K1139" t="s">
        <v>48</v>
      </c>
    </row>
    <row r="1140" spans="1:11" x14ac:dyDescent="0.45">
      <c r="A1140" t="s">
        <v>85</v>
      </c>
      <c r="B1140" t="s">
        <v>4</v>
      </c>
      <c r="C1140" t="s">
        <v>83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362.91149999999999</v>
      </c>
      <c r="K1140" t="s">
        <v>48</v>
      </c>
    </row>
    <row r="1141" spans="1:11" x14ac:dyDescent="0.45">
      <c r="A1141" t="s">
        <v>85</v>
      </c>
      <c r="B1141" t="s">
        <v>4</v>
      </c>
      <c r="C1141" t="s">
        <v>83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359.1277</v>
      </c>
      <c r="K1141" t="s">
        <v>48</v>
      </c>
    </row>
    <row r="1142" spans="1:11" x14ac:dyDescent="0.45">
      <c r="A1142" t="s">
        <v>85</v>
      </c>
      <c r="B1142" t="s">
        <v>4</v>
      </c>
      <c r="C1142" t="s">
        <v>83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355.9674</v>
      </c>
      <c r="K1142" t="s">
        <v>48</v>
      </c>
    </row>
    <row r="1143" spans="1:11" x14ac:dyDescent="0.45">
      <c r="A1143" t="s">
        <v>85</v>
      </c>
      <c r="B1143" t="s">
        <v>4</v>
      </c>
      <c r="C1143" t="s">
        <v>83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347.20420000000001</v>
      </c>
      <c r="K1143" t="s">
        <v>48</v>
      </c>
    </row>
    <row r="1144" spans="1:11" x14ac:dyDescent="0.45">
      <c r="A1144" t="s">
        <v>85</v>
      </c>
      <c r="B1144" t="s">
        <v>4</v>
      </c>
      <c r="C1144" t="s">
        <v>83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340.85660000000001</v>
      </c>
      <c r="K1144" t="s">
        <v>48</v>
      </c>
    </row>
    <row r="1145" spans="1:11" x14ac:dyDescent="0.45">
      <c r="A1145" t="s">
        <v>85</v>
      </c>
      <c r="B1145" t="s">
        <v>4</v>
      </c>
      <c r="C1145" t="s">
        <v>83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309.88799999999998</v>
      </c>
      <c r="K1145" t="s">
        <v>48</v>
      </c>
    </row>
    <row r="1146" spans="1:11" x14ac:dyDescent="0.45">
      <c r="A1146" t="s">
        <v>85</v>
      </c>
      <c r="B1146" t="s">
        <v>4</v>
      </c>
      <c r="C1146" t="s">
        <v>83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278.2346</v>
      </c>
      <c r="K1146" t="s">
        <v>48</v>
      </c>
    </row>
    <row r="1147" spans="1:11" x14ac:dyDescent="0.45">
      <c r="A1147" t="s">
        <v>85</v>
      </c>
      <c r="B1147" t="s">
        <v>4</v>
      </c>
      <c r="C1147" t="s">
        <v>83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334.12830000000002</v>
      </c>
      <c r="K1147" t="s">
        <v>51</v>
      </c>
    </row>
    <row r="1148" spans="1:11" x14ac:dyDescent="0.45">
      <c r="A1148" t="s">
        <v>85</v>
      </c>
      <c r="B1148" t="s">
        <v>4</v>
      </c>
      <c r="C1148" t="s">
        <v>83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337.9008</v>
      </c>
      <c r="K1148" t="s">
        <v>51</v>
      </c>
    </row>
    <row r="1149" spans="1:11" x14ac:dyDescent="0.45">
      <c r="A1149" t="s">
        <v>85</v>
      </c>
      <c r="B1149" t="s">
        <v>4</v>
      </c>
      <c r="C1149" t="s">
        <v>83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338.24239999999998</v>
      </c>
      <c r="K1149" t="s">
        <v>51</v>
      </c>
    </row>
    <row r="1150" spans="1:11" x14ac:dyDescent="0.45">
      <c r="A1150" t="s">
        <v>85</v>
      </c>
      <c r="B1150" t="s">
        <v>4</v>
      </c>
      <c r="C1150" t="s">
        <v>83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340.71100000000001</v>
      </c>
      <c r="K1150" t="s">
        <v>51</v>
      </c>
    </row>
    <row r="1151" spans="1:11" x14ac:dyDescent="0.45">
      <c r="A1151" t="s">
        <v>85</v>
      </c>
      <c r="B1151" t="s">
        <v>4</v>
      </c>
      <c r="C1151" t="s">
        <v>83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335.99900000000002</v>
      </c>
      <c r="K1151" t="s">
        <v>51</v>
      </c>
    </row>
    <row r="1152" spans="1:11" x14ac:dyDescent="0.45">
      <c r="A1152" t="s">
        <v>85</v>
      </c>
      <c r="B1152" t="s">
        <v>4</v>
      </c>
      <c r="C1152" t="s">
        <v>83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312.41989999999998</v>
      </c>
      <c r="K1152" t="s">
        <v>51</v>
      </c>
    </row>
    <row r="1153" spans="1:11" x14ac:dyDescent="0.45">
      <c r="A1153" t="s">
        <v>85</v>
      </c>
      <c r="B1153" t="s">
        <v>4</v>
      </c>
      <c r="C1153" t="s">
        <v>83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299.68849999999998</v>
      </c>
      <c r="K1153" t="s">
        <v>51</v>
      </c>
    </row>
    <row r="1154" spans="1:11" x14ac:dyDescent="0.45">
      <c r="A1154" t="s">
        <v>85</v>
      </c>
      <c r="B1154" t="s">
        <v>4</v>
      </c>
      <c r="C1154" t="s">
        <v>83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294.03190000000001</v>
      </c>
      <c r="K1154" t="s">
        <v>51</v>
      </c>
    </row>
    <row r="1155" spans="1:11" x14ac:dyDescent="0.45">
      <c r="A1155" t="s">
        <v>85</v>
      </c>
      <c r="B1155" t="s">
        <v>4</v>
      </c>
      <c r="C1155" t="s">
        <v>83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295.85019999999997</v>
      </c>
      <c r="K1155" t="s">
        <v>51</v>
      </c>
    </row>
    <row r="1156" spans="1:11" x14ac:dyDescent="0.45">
      <c r="A1156" t="s">
        <v>85</v>
      </c>
      <c r="B1156" t="s">
        <v>4</v>
      </c>
      <c r="C1156" t="s">
        <v>83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291.64280000000002</v>
      </c>
      <c r="K1156" t="s">
        <v>51</v>
      </c>
    </row>
    <row r="1157" spans="1:11" x14ac:dyDescent="0.45">
      <c r="A1157" t="s">
        <v>85</v>
      </c>
      <c r="B1157" t="s">
        <v>4</v>
      </c>
      <c r="C1157" t="s">
        <v>83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292.03660000000002</v>
      </c>
      <c r="K1157" t="s">
        <v>51</v>
      </c>
    </row>
    <row r="1158" spans="1:11" x14ac:dyDescent="0.45">
      <c r="A1158" t="s">
        <v>85</v>
      </c>
      <c r="B1158" t="s">
        <v>4</v>
      </c>
      <c r="C1158" t="s">
        <v>83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288.82380000000001</v>
      </c>
      <c r="K1158" t="s">
        <v>51</v>
      </c>
    </row>
    <row r="1159" spans="1:11" x14ac:dyDescent="0.45">
      <c r="A1159" t="s">
        <v>85</v>
      </c>
      <c r="B1159" t="s">
        <v>4</v>
      </c>
      <c r="C1159" t="s">
        <v>83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286.23489999999998</v>
      </c>
      <c r="K1159" t="s">
        <v>51</v>
      </c>
    </row>
    <row r="1160" spans="1:11" x14ac:dyDescent="0.45">
      <c r="A1160" t="s">
        <v>85</v>
      </c>
      <c r="B1160" t="s">
        <v>4</v>
      </c>
      <c r="C1160" t="s">
        <v>83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271.23860000000002</v>
      </c>
      <c r="K1160" t="s">
        <v>51</v>
      </c>
    </row>
    <row r="1161" spans="1:11" x14ac:dyDescent="0.45">
      <c r="A1161" t="s">
        <v>85</v>
      </c>
      <c r="B1161" t="s">
        <v>4</v>
      </c>
      <c r="C1161" t="s">
        <v>83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258.6277</v>
      </c>
      <c r="K1161" t="s">
        <v>51</v>
      </c>
    </row>
    <row r="1162" spans="1:11" x14ac:dyDescent="0.45">
      <c r="A1162" t="s">
        <v>85</v>
      </c>
      <c r="B1162" t="s">
        <v>4</v>
      </c>
      <c r="C1162" t="s">
        <v>83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232.74340000000001</v>
      </c>
      <c r="K1162" t="s">
        <v>51</v>
      </c>
    </row>
    <row r="1163" spans="1:11" x14ac:dyDescent="0.45">
      <c r="A1163" t="s">
        <v>85</v>
      </c>
      <c r="B1163" t="s">
        <v>4</v>
      </c>
      <c r="C1163" t="s">
        <v>83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206.17760000000001</v>
      </c>
      <c r="K1163" t="s">
        <v>51</v>
      </c>
    </row>
    <row r="1164" spans="1:11" x14ac:dyDescent="0.45">
      <c r="A1164" t="s">
        <v>85</v>
      </c>
      <c r="B1164" t="s">
        <v>0</v>
      </c>
      <c r="C1164" t="s">
        <v>83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85</v>
      </c>
      <c r="B1165" t="s">
        <v>0</v>
      </c>
      <c r="C1165" t="s">
        <v>83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85</v>
      </c>
      <c r="B1166" t="s">
        <v>0</v>
      </c>
      <c r="C1166" t="s">
        <v>83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85</v>
      </c>
      <c r="B1167" t="s">
        <v>0</v>
      </c>
      <c r="C1167" t="s">
        <v>83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1.6E-2</v>
      </c>
      <c r="K1167" t="s">
        <v>45</v>
      </c>
    </row>
    <row r="1168" spans="1:11" x14ac:dyDescent="0.45">
      <c r="A1168" t="s">
        <v>85</v>
      </c>
      <c r="B1168" t="s">
        <v>0</v>
      </c>
      <c r="C1168" t="s">
        <v>83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8.2544000000000004</v>
      </c>
      <c r="K1168" t="s">
        <v>45</v>
      </c>
    </row>
    <row r="1169" spans="1:11" x14ac:dyDescent="0.45">
      <c r="A1169" t="s">
        <v>85</v>
      </c>
      <c r="B1169" t="s">
        <v>0</v>
      </c>
      <c r="C1169" t="s">
        <v>83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18.975100000000001</v>
      </c>
      <c r="K1169" t="s">
        <v>45</v>
      </c>
    </row>
    <row r="1170" spans="1:11" x14ac:dyDescent="0.45">
      <c r="A1170" t="s">
        <v>85</v>
      </c>
      <c r="B1170" t="s">
        <v>0</v>
      </c>
      <c r="C1170" t="s">
        <v>83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16.843499999999999</v>
      </c>
      <c r="K1170" t="s">
        <v>45</v>
      </c>
    </row>
    <row r="1171" spans="1:11" x14ac:dyDescent="0.45">
      <c r="A1171" t="s">
        <v>85</v>
      </c>
      <c r="B1171" t="s">
        <v>0</v>
      </c>
      <c r="C1171" t="s">
        <v>83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16.718900000000001</v>
      </c>
      <c r="K1171" t="s">
        <v>45</v>
      </c>
    </row>
    <row r="1172" spans="1:11" x14ac:dyDescent="0.45">
      <c r="A1172" t="s">
        <v>85</v>
      </c>
      <c r="B1172" t="s">
        <v>0</v>
      </c>
      <c r="C1172" t="s">
        <v>83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12.1386</v>
      </c>
      <c r="K1172" t="s">
        <v>45</v>
      </c>
    </row>
    <row r="1173" spans="1:11" x14ac:dyDescent="0.45">
      <c r="A1173" t="s">
        <v>85</v>
      </c>
      <c r="B1173" t="s">
        <v>0</v>
      </c>
      <c r="C1173" t="s">
        <v>83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10.684100000000001</v>
      </c>
      <c r="K1173" t="s">
        <v>45</v>
      </c>
    </row>
    <row r="1174" spans="1:11" x14ac:dyDescent="0.45">
      <c r="A1174" t="s">
        <v>85</v>
      </c>
      <c r="B1174" t="s">
        <v>0</v>
      </c>
      <c r="C1174" t="s">
        <v>83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9.4878</v>
      </c>
      <c r="K1174" t="s">
        <v>45</v>
      </c>
    </row>
    <row r="1175" spans="1:11" x14ac:dyDescent="0.45">
      <c r="A1175" t="s">
        <v>85</v>
      </c>
      <c r="B1175" t="s">
        <v>0</v>
      </c>
      <c r="C1175" t="s">
        <v>83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9.6288</v>
      </c>
      <c r="K1175" t="s">
        <v>45</v>
      </c>
    </row>
    <row r="1176" spans="1:11" x14ac:dyDescent="0.45">
      <c r="A1176" t="s">
        <v>85</v>
      </c>
      <c r="B1176" t="s">
        <v>0</v>
      </c>
      <c r="C1176" t="s">
        <v>83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9.6913</v>
      </c>
      <c r="K1176" t="s">
        <v>45</v>
      </c>
    </row>
    <row r="1177" spans="1:11" x14ac:dyDescent="0.45">
      <c r="A1177" t="s">
        <v>85</v>
      </c>
      <c r="B1177" t="s">
        <v>0</v>
      </c>
      <c r="C1177" t="s">
        <v>83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8.5571000000000002</v>
      </c>
      <c r="K1177" t="s">
        <v>45</v>
      </c>
    </row>
    <row r="1178" spans="1:11" x14ac:dyDescent="0.45">
      <c r="A1178" t="s">
        <v>85</v>
      </c>
      <c r="B1178" t="s">
        <v>0</v>
      </c>
      <c r="C1178" t="s">
        <v>83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7.1173000000000002</v>
      </c>
      <c r="K1178" t="s">
        <v>45</v>
      </c>
    </row>
    <row r="1179" spans="1:11" x14ac:dyDescent="0.45">
      <c r="A1179" t="s">
        <v>85</v>
      </c>
      <c r="B1179" t="s">
        <v>0</v>
      </c>
      <c r="C1179" t="s">
        <v>83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6.4486999999999997</v>
      </c>
      <c r="K1179" t="s">
        <v>45</v>
      </c>
    </row>
    <row r="1180" spans="1:11" x14ac:dyDescent="0.45">
      <c r="A1180" t="s">
        <v>85</v>
      </c>
      <c r="B1180" t="s">
        <v>0</v>
      </c>
      <c r="C1180" t="s">
        <v>83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5.3238000000000003</v>
      </c>
      <c r="K1180" t="s">
        <v>45</v>
      </c>
    </row>
    <row r="1181" spans="1:11" x14ac:dyDescent="0.45">
      <c r="A1181" t="s">
        <v>85</v>
      </c>
      <c r="B1181" t="s">
        <v>0</v>
      </c>
      <c r="C1181" t="s">
        <v>83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0.15190000000000001</v>
      </c>
      <c r="K1181" t="s">
        <v>24</v>
      </c>
    </row>
    <row r="1182" spans="1:11" x14ac:dyDescent="0.45">
      <c r="A1182" t="s">
        <v>85</v>
      </c>
      <c r="B1182" t="s">
        <v>0</v>
      </c>
      <c r="C1182" t="s">
        <v>83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0.1681</v>
      </c>
      <c r="K1182" t="s">
        <v>24</v>
      </c>
    </row>
    <row r="1183" spans="1:11" x14ac:dyDescent="0.45">
      <c r="A1183" t="s">
        <v>85</v>
      </c>
      <c r="B1183" t="s">
        <v>0</v>
      </c>
      <c r="C1183" t="s">
        <v>83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0.21179999999999999</v>
      </c>
      <c r="K1183" t="s">
        <v>24</v>
      </c>
    </row>
    <row r="1184" spans="1:11" x14ac:dyDescent="0.45">
      <c r="A1184" t="s">
        <v>85</v>
      </c>
      <c r="B1184" t="s">
        <v>0</v>
      </c>
      <c r="C1184" t="s">
        <v>83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0.26250000000000001</v>
      </c>
      <c r="K1184" t="s">
        <v>24</v>
      </c>
    </row>
    <row r="1185" spans="1:11" x14ac:dyDescent="0.45">
      <c r="A1185" t="s">
        <v>85</v>
      </c>
      <c r="B1185" t="s">
        <v>0</v>
      </c>
      <c r="C1185" t="s">
        <v>83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0.4098</v>
      </c>
      <c r="K1185" t="s">
        <v>24</v>
      </c>
    </row>
    <row r="1186" spans="1:11" x14ac:dyDescent="0.45">
      <c r="A1186" t="s">
        <v>85</v>
      </c>
      <c r="B1186" t="s">
        <v>0</v>
      </c>
      <c r="C1186" t="s">
        <v>83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0.45150000000000001</v>
      </c>
      <c r="K1186" t="s">
        <v>24</v>
      </c>
    </row>
    <row r="1187" spans="1:11" x14ac:dyDescent="0.45">
      <c r="A1187" t="s">
        <v>85</v>
      </c>
      <c r="B1187" t="s">
        <v>0</v>
      </c>
      <c r="C1187" t="s">
        <v>83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0.4708</v>
      </c>
      <c r="K1187" t="s">
        <v>24</v>
      </c>
    </row>
    <row r="1188" spans="1:11" x14ac:dyDescent="0.45">
      <c r="A1188" t="s">
        <v>85</v>
      </c>
      <c r="B1188" t="s">
        <v>0</v>
      </c>
      <c r="C1188" t="s">
        <v>83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0.496</v>
      </c>
      <c r="K1188" t="s">
        <v>24</v>
      </c>
    </row>
    <row r="1189" spans="1:11" x14ac:dyDescent="0.45">
      <c r="A1189" t="s">
        <v>85</v>
      </c>
      <c r="B1189" t="s">
        <v>0</v>
      </c>
      <c r="C1189" t="s">
        <v>83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0.51270000000000004</v>
      </c>
      <c r="K1189" t="s">
        <v>24</v>
      </c>
    </row>
    <row r="1190" spans="1:11" x14ac:dyDescent="0.45">
      <c r="A1190" t="s">
        <v>85</v>
      </c>
      <c r="B1190" t="s">
        <v>0</v>
      </c>
      <c r="C1190" t="s">
        <v>83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0.51459999999999995</v>
      </c>
      <c r="K1190" t="s">
        <v>24</v>
      </c>
    </row>
    <row r="1191" spans="1:11" x14ac:dyDescent="0.45">
      <c r="A1191" t="s">
        <v>85</v>
      </c>
      <c r="B1191" t="s">
        <v>0</v>
      </c>
      <c r="C1191" t="s">
        <v>83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0.51780000000000004</v>
      </c>
      <c r="K1191" t="s">
        <v>24</v>
      </c>
    </row>
    <row r="1192" spans="1:11" x14ac:dyDescent="0.45">
      <c r="A1192" t="s">
        <v>85</v>
      </c>
      <c r="B1192" t="s">
        <v>0</v>
      </c>
      <c r="C1192" t="s">
        <v>83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0.4914</v>
      </c>
      <c r="K1192" t="s">
        <v>24</v>
      </c>
    </row>
    <row r="1193" spans="1:11" x14ac:dyDescent="0.45">
      <c r="A1193" t="s">
        <v>85</v>
      </c>
      <c r="B1193" t="s">
        <v>0</v>
      </c>
      <c r="C1193" t="s">
        <v>83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0.46579999999999999</v>
      </c>
      <c r="K1193" t="s">
        <v>24</v>
      </c>
    </row>
    <row r="1194" spans="1:11" x14ac:dyDescent="0.45">
      <c r="A1194" t="s">
        <v>85</v>
      </c>
      <c r="B1194" t="s">
        <v>0</v>
      </c>
      <c r="C1194" t="s">
        <v>83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0.43530000000000002</v>
      </c>
      <c r="K1194" t="s">
        <v>24</v>
      </c>
    </row>
    <row r="1195" spans="1:11" x14ac:dyDescent="0.45">
      <c r="A1195" t="s">
        <v>85</v>
      </c>
      <c r="B1195" t="s">
        <v>0</v>
      </c>
      <c r="C1195" t="s">
        <v>83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0.41039999999999999</v>
      </c>
      <c r="K1195" t="s">
        <v>24</v>
      </c>
    </row>
    <row r="1196" spans="1:11" x14ac:dyDescent="0.45">
      <c r="A1196" t="s">
        <v>85</v>
      </c>
      <c r="B1196" t="s">
        <v>0</v>
      </c>
      <c r="C1196" t="s">
        <v>83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0.38790000000000002</v>
      </c>
      <c r="K1196" t="s">
        <v>24</v>
      </c>
    </row>
    <row r="1197" spans="1:11" x14ac:dyDescent="0.45">
      <c r="A1197" t="s">
        <v>85</v>
      </c>
      <c r="B1197" t="s">
        <v>0</v>
      </c>
      <c r="C1197" t="s">
        <v>83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0.3679</v>
      </c>
      <c r="K1197" t="s">
        <v>24</v>
      </c>
    </row>
    <row r="1198" spans="1:11" x14ac:dyDescent="0.45">
      <c r="A1198" t="s">
        <v>85</v>
      </c>
      <c r="B1198" t="s">
        <v>0</v>
      </c>
      <c r="C1198" t="s">
        <v>83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9.2499999999999999E-2</v>
      </c>
      <c r="K1198" t="s">
        <v>28</v>
      </c>
    </row>
    <row r="1199" spans="1:11" x14ac:dyDescent="0.45">
      <c r="A1199" t="s">
        <v>85</v>
      </c>
      <c r="B1199" t="s">
        <v>0</v>
      </c>
      <c r="C1199" t="s">
        <v>83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0.11310000000000001</v>
      </c>
      <c r="K1199" t="s">
        <v>28</v>
      </c>
    </row>
    <row r="1200" spans="1:11" x14ac:dyDescent="0.45">
      <c r="A1200" t="s">
        <v>85</v>
      </c>
      <c r="B1200" t="s">
        <v>0</v>
      </c>
      <c r="C1200" t="s">
        <v>83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0.14169999999999999</v>
      </c>
      <c r="K1200" t="s">
        <v>28</v>
      </c>
    </row>
    <row r="1201" spans="1:11" x14ac:dyDescent="0.45">
      <c r="A1201" t="s">
        <v>85</v>
      </c>
      <c r="B1201" t="s">
        <v>0</v>
      </c>
      <c r="C1201" t="s">
        <v>83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0.1719</v>
      </c>
      <c r="K1201" t="s">
        <v>28</v>
      </c>
    </row>
    <row r="1202" spans="1:11" x14ac:dyDescent="0.45">
      <c r="A1202" t="s">
        <v>85</v>
      </c>
      <c r="B1202" t="s">
        <v>0</v>
      </c>
      <c r="C1202" t="s">
        <v>83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0.21199999999999999</v>
      </c>
      <c r="K1202" t="s">
        <v>28</v>
      </c>
    </row>
    <row r="1203" spans="1:11" x14ac:dyDescent="0.45">
      <c r="A1203" t="s">
        <v>85</v>
      </c>
      <c r="B1203" t="s">
        <v>0</v>
      </c>
      <c r="C1203" t="s">
        <v>83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0.2311</v>
      </c>
      <c r="K1203" t="s">
        <v>28</v>
      </c>
    </row>
    <row r="1204" spans="1:11" x14ac:dyDescent="0.45">
      <c r="A1204" t="s">
        <v>85</v>
      </c>
      <c r="B1204" t="s">
        <v>0</v>
      </c>
      <c r="C1204" t="s">
        <v>83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0.26390000000000002</v>
      </c>
      <c r="K1204" t="s">
        <v>28</v>
      </c>
    </row>
    <row r="1205" spans="1:11" x14ac:dyDescent="0.45">
      <c r="A1205" t="s">
        <v>85</v>
      </c>
      <c r="B1205" t="s">
        <v>0</v>
      </c>
      <c r="C1205" t="s">
        <v>83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0.27329999999999999</v>
      </c>
      <c r="K1205" t="s">
        <v>28</v>
      </c>
    </row>
    <row r="1206" spans="1:11" x14ac:dyDescent="0.45">
      <c r="A1206" t="s">
        <v>85</v>
      </c>
      <c r="B1206" t="s">
        <v>0</v>
      </c>
      <c r="C1206" t="s">
        <v>83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0.30170000000000002</v>
      </c>
      <c r="K1206" t="s">
        <v>28</v>
      </c>
    </row>
    <row r="1207" spans="1:11" x14ac:dyDescent="0.45">
      <c r="A1207" t="s">
        <v>85</v>
      </c>
      <c r="B1207" t="s">
        <v>0</v>
      </c>
      <c r="C1207" t="s">
        <v>83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0.312</v>
      </c>
      <c r="K1207" t="s">
        <v>28</v>
      </c>
    </row>
    <row r="1208" spans="1:11" x14ac:dyDescent="0.45">
      <c r="A1208" t="s">
        <v>85</v>
      </c>
      <c r="B1208" t="s">
        <v>0</v>
      </c>
      <c r="C1208" t="s">
        <v>83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0.32290000000000002</v>
      </c>
      <c r="K1208" t="s">
        <v>28</v>
      </c>
    </row>
    <row r="1209" spans="1:11" x14ac:dyDescent="0.45">
      <c r="A1209" t="s">
        <v>85</v>
      </c>
      <c r="B1209" t="s">
        <v>0</v>
      </c>
      <c r="C1209" t="s">
        <v>83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0.32950000000000002</v>
      </c>
      <c r="K1209" t="s">
        <v>28</v>
      </c>
    </row>
    <row r="1210" spans="1:11" x14ac:dyDescent="0.45">
      <c r="A1210" t="s">
        <v>85</v>
      </c>
      <c r="B1210" t="s">
        <v>0</v>
      </c>
      <c r="C1210" t="s">
        <v>83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0.33629999999999999</v>
      </c>
      <c r="K1210" t="s">
        <v>28</v>
      </c>
    </row>
    <row r="1211" spans="1:11" x14ac:dyDescent="0.45">
      <c r="A1211" t="s">
        <v>85</v>
      </c>
      <c r="B1211" t="s">
        <v>0</v>
      </c>
      <c r="C1211" t="s">
        <v>83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0.34039999999999998</v>
      </c>
      <c r="K1211" t="s">
        <v>28</v>
      </c>
    </row>
    <row r="1212" spans="1:11" x14ac:dyDescent="0.45">
      <c r="A1212" t="s">
        <v>85</v>
      </c>
      <c r="B1212" t="s">
        <v>0</v>
      </c>
      <c r="C1212" t="s">
        <v>83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0.34770000000000001</v>
      </c>
      <c r="K1212" t="s">
        <v>28</v>
      </c>
    </row>
    <row r="1213" spans="1:11" x14ac:dyDescent="0.45">
      <c r="A1213" t="s">
        <v>85</v>
      </c>
      <c r="B1213" t="s">
        <v>0</v>
      </c>
      <c r="C1213" t="s">
        <v>83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0.34860000000000002</v>
      </c>
      <c r="K1213" t="s">
        <v>28</v>
      </c>
    </row>
    <row r="1214" spans="1:11" x14ac:dyDescent="0.45">
      <c r="A1214" t="s">
        <v>85</v>
      </c>
      <c r="B1214" t="s">
        <v>0</v>
      </c>
      <c r="C1214" t="s">
        <v>83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0.35099999999999998</v>
      </c>
      <c r="K1214" t="s">
        <v>28</v>
      </c>
    </row>
    <row r="1215" spans="1:11" x14ac:dyDescent="0.45">
      <c r="A1215" t="s">
        <v>85</v>
      </c>
      <c r="B1215" t="s">
        <v>0</v>
      </c>
      <c r="C1215" t="s">
        <v>83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1.06E-2</v>
      </c>
      <c r="K1215" t="s">
        <v>27</v>
      </c>
    </row>
    <row r="1216" spans="1:11" x14ac:dyDescent="0.45">
      <c r="A1216" t="s">
        <v>85</v>
      </c>
      <c r="B1216" t="s">
        <v>0</v>
      </c>
      <c r="C1216" t="s">
        <v>83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1.7999999999999999E-2</v>
      </c>
      <c r="K1216" t="s">
        <v>27</v>
      </c>
    </row>
    <row r="1217" spans="1:11" x14ac:dyDescent="0.45">
      <c r="A1217" t="s">
        <v>85</v>
      </c>
      <c r="B1217" t="s">
        <v>0</v>
      </c>
      <c r="C1217" t="s">
        <v>83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3.5499999999999997E-2</v>
      </c>
      <c r="K1217" t="s">
        <v>27</v>
      </c>
    </row>
    <row r="1218" spans="1:11" x14ac:dyDescent="0.45">
      <c r="A1218" t="s">
        <v>85</v>
      </c>
      <c r="B1218" t="s">
        <v>0</v>
      </c>
      <c r="C1218" t="s">
        <v>83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6.0999999999999999E-2</v>
      </c>
      <c r="K1218" t="s">
        <v>27</v>
      </c>
    </row>
    <row r="1219" spans="1:11" x14ac:dyDescent="0.45">
      <c r="A1219" t="s">
        <v>85</v>
      </c>
      <c r="B1219" t="s">
        <v>0</v>
      </c>
      <c r="C1219" t="s">
        <v>83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0.1245</v>
      </c>
      <c r="K1219" t="s">
        <v>27</v>
      </c>
    </row>
    <row r="1220" spans="1:11" x14ac:dyDescent="0.45">
      <c r="A1220" t="s">
        <v>85</v>
      </c>
      <c r="B1220" t="s">
        <v>0</v>
      </c>
      <c r="C1220" t="s">
        <v>83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0.1162</v>
      </c>
      <c r="K1220" t="s">
        <v>27</v>
      </c>
    </row>
    <row r="1221" spans="1:11" x14ac:dyDescent="0.45">
      <c r="A1221" t="s">
        <v>85</v>
      </c>
      <c r="B1221" t="s">
        <v>0</v>
      </c>
      <c r="C1221" t="s">
        <v>83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0.1201</v>
      </c>
      <c r="K1221" t="s">
        <v>27</v>
      </c>
    </row>
    <row r="1222" spans="1:11" x14ac:dyDescent="0.45">
      <c r="A1222" t="s">
        <v>85</v>
      </c>
      <c r="B1222" t="s">
        <v>0</v>
      </c>
      <c r="C1222" t="s">
        <v>83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0.1255</v>
      </c>
      <c r="K1222" t="s">
        <v>27</v>
      </c>
    </row>
    <row r="1223" spans="1:11" x14ac:dyDescent="0.45">
      <c r="A1223" t="s">
        <v>85</v>
      </c>
      <c r="B1223" t="s">
        <v>0</v>
      </c>
      <c r="C1223" t="s">
        <v>83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0.1255</v>
      </c>
      <c r="K1223" t="s">
        <v>27</v>
      </c>
    </row>
    <row r="1224" spans="1:11" x14ac:dyDescent="0.45">
      <c r="A1224" t="s">
        <v>85</v>
      </c>
      <c r="B1224" t="s">
        <v>0</v>
      </c>
      <c r="C1224" t="s">
        <v>83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0.1244</v>
      </c>
      <c r="K1224" t="s">
        <v>27</v>
      </c>
    </row>
    <row r="1225" spans="1:11" x14ac:dyDescent="0.45">
      <c r="A1225" t="s">
        <v>85</v>
      </c>
      <c r="B1225" t="s">
        <v>0</v>
      </c>
      <c r="C1225" t="s">
        <v>83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0.12379999999999999</v>
      </c>
      <c r="K1225" t="s">
        <v>27</v>
      </c>
    </row>
    <row r="1226" spans="1:11" x14ac:dyDescent="0.45">
      <c r="A1226" t="s">
        <v>85</v>
      </c>
      <c r="B1226" t="s">
        <v>0</v>
      </c>
      <c r="C1226" t="s">
        <v>83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0.1195</v>
      </c>
      <c r="K1226" t="s">
        <v>27</v>
      </c>
    </row>
    <row r="1227" spans="1:11" x14ac:dyDescent="0.45">
      <c r="A1227" t="s">
        <v>85</v>
      </c>
      <c r="B1227" t="s">
        <v>0</v>
      </c>
      <c r="C1227" t="s">
        <v>83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0.1163</v>
      </c>
      <c r="K1227" t="s">
        <v>27</v>
      </c>
    </row>
    <row r="1228" spans="1:11" x14ac:dyDescent="0.45">
      <c r="A1228" t="s">
        <v>85</v>
      </c>
      <c r="B1228" t="s">
        <v>0</v>
      </c>
      <c r="C1228" t="s">
        <v>83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0.11269999999999999</v>
      </c>
      <c r="K1228" t="s">
        <v>27</v>
      </c>
    </row>
    <row r="1229" spans="1:11" x14ac:dyDescent="0.45">
      <c r="A1229" t="s">
        <v>85</v>
      </c>
      <c r="B1229" t="s">
        <v>0</v>
      </c>
      <c r="C1229" t="s">
        <v>83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0.111</v>
      </c>
      <c r="K1229" t="s">
        <v>27</v>
      </c>
    </row>
    <row r="1230" spans="1:11" x14ac:dyDescent="0.45">
      <c r="A1230" t="s">
        <v>85</v>
      </c>
      <c r="B1230" t="s">
        <v>0</v>
      </c>
      <c r="C1230" t="s">
        <v>83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0.1104</v>
      </c>
      <c r="K1230" t="s">
        <v>27</v>
      </c>
    </row>
    <row r="1231" spans="1:11" x14ac:dyDescent="0.45">
      <c r="A1231" t="s">
        <v>85</v>
      </c>
      <c r="B1231" t="s">
        <v>0</v>
      </c>
      <c r="C1231" t="s">
        <v>83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0.1105</v>
      </c>
      <c r="K1231" t="s">
        <v>27</v>
      </c>
    </row>
    <row r="1232" spans="1:11" x14ac:dyDescent="0.45">
      <c r="A1232" t="s">
        <v>85</v>
      </c>
      <c r="B1232" t="s">
        <v>0</v>
      </c>
      <c r="C1232" t="s">
        <v>83</v>
      </c>
      <c r="D1232" t="s">
        <v>84</v>
      </c>
      <c r="E1232" t="s">
        <v>25</v>
      </c>
      <c r="F1232" t="s">
        <v>84</v>
      </c>
      <c r="G1232" t="s">
        <v>26</v>
      </c>
      <c r="H1232" t="s">
        <v>81</v>
      </c>
      <c r="I1232">
        <v>2020</v>
      </c>
      <c r="J1232">
        <v>4.7999999999999996E-3</v>
      </c>
      <c r="K1232" t="s">
        <v>84</v>
      </c>
    </row>
    <row r="1233" spans="1:11" x14ac:dyDescent="0.45">
      <c r="A1233" t="s">
        <v>85</v>
      </c>
      <c r="B1233" t="s">
        <v>0</v>
      </c>
      <c r="C1233" t="s">
        <v>83</v>
      </c>
      <c r="D1233" t="s">
        <v>84</v>
      </c>
      <c r="E1233" t="s">
        <v>25</v>
      </c>
      <c r="F1233" t="s">
        <v>84</v>
      </c>
      <c r="G1233" t="s">
        <v>26</v>
      </c>
      <c r="H1233" t="s">
        <v>81</v>
      </c>
      <c r="I1233">
        <v>2025</v>
      </c>
      <c r="J1233">
        <v>2.0400000000000001E-2</v>
      </c>
      <c r="K1233" t="s">
        <v>84</v>
      </c>
    </row>
    <row r="1234" spans="1:11" x14ac:dyDescent="0.45">
      <c r="A1234" t="s">
        <v>85</v>
      </c>
      <c r="B1234" t="s">
        <v>0</v>
      </c>
      <c r="C1234" t="s">
        <v>83</v>
      </c>
      <c r="D1234" t="s">
        <v>84</v>
      </c>
      <c r="E1234" t="s">
        <v>25</v>
      </c>
      <c r="F1234" t="s">
        <v>84</v>
      </c>
      <c r="G1234" t="s">
        <v>26</v>
      </c>
      <c r="H1234" t="s">
        <v>81</v>
      </c>
      <c r="I1234">
        <v>2030</v>
      </c>
      <c r="J1234">
        <v>4.5199999999999997E-2</v>
      </c>
      <c r="K1234" t="s">
        <v>84</v>
      </c>
    </row>
    <row r="1235" spans="1:11" x14ac:dyDescent="0.45">
      <c r="A1235" t="s">
        <v>85</v>
      </c>
      <c r="B1235" t="s">
        <v>0</v>
      </c>
      <c r="C1235" t="s">
        <v>83</v>
      </c>
      <c r="D1235" t="s">
        <v>84</v>
      </c>
      <c r="E1235" t="s">
        <v>25</v>
      </c>
      <c r="F1235" t="s">
        <v>84</v>
      </c>
      <c r="G1235" t="s">
        <v>26</v>
      </c>
      <c r="H1235" t="s">
        <v>81</v>
      </c>
      <c r="I1235">
        <v>2035</v>
      </c>
      <c r="J1235">
        <v>6.8000000000000005E-2</v>
      </c>
      <c r="K1235" t="s">
        <v>84</v>
      </c>
    </row>
    <row r="1236" spans="1:11" x14ac:dyDescent="0.45">
      <c r="A1236" t="s">
        <v>85</v>
      </c>
      <c r="B1236" t="s">
        <v>0</v>
      </c>
      <c r="C1236" t="s">
        <v>83</v>
      </c>
      <c r="D1236" t="s">
        <v>84</v>
      </c>
      <c r="E1236" t="s">
        <v>25</v>
      </c>
      <c r="F1236" t="s">
        <v>84</v>
      </c>
      <c r="G1236" t="s">
        <v>26</v>
      </c>
      <c r="H1236" t="s">
        <v>81</v>
      </c>
      <c r="I1236">
        <v>2040</v>
      </c>
      <c r="J1236">
        <v>6.8699999999999997E-2</v>
      </c>
      <c r="K1236" t="s">
        <v>84</v>
      </c>
    </row>
    <row r="1237" spans="1:11" x14ac:dyDescent="0.45">
      <c r="A1237" t="s">
        <v>85</v>
      </c>
      <c r="B1237" t="s">
        <v>0</v>
      </c>
      <c r="C1237" t="s">
        <v>83</v>
      </c>
      <c r="D1237" t="s">
        <v>84</v>
      </c>
      <c r="E1237" t="s">
        <v>25</v>
      </c>
      <c r="F1237" t="s">
        <v>84</v>
      </c>
      <c r="G1237" t="s">
        <v>26</v>
      </c>
      <c r="H1237" t="s">
        <v>81</v>
      </c>
      <c r="I1237">
        <v>2045</v>
      </c>
      <c r="J1237">
        <v>4.3499999999999997E-2</v>
      </c>
      <c r="K1237" t="s">
        <v>84</v>
      </c>
    </row>
    <row r="1238" spans="1:11" x14ac:dyDescent="0.45">
      <c r="A1238" t="s">
        <v>85</v>
      </c>
      <c r="B1238" t="s">
        <v>0</v>
      </c>
      <c r="C1238" t="s">
        <v>83</v>
      </c>
      <c r="D1238" t="s">
        <v>84</v>
      </c>
      <c r="E1238" t="s">
        <v>25</v>
      </c>
      <c r="F1238" t="s">
        <v>84</v>
      </c>
      <c r="G1238" t="s">
        <v>26</v>
      </c>
      <c r="H1238" t="s">
        <v>81</v>
      </c>
      <c r="I1238">
        <v>2050</v>
      </c>
      <c r="J1238">
        <v>4.7300000000000002E-2</v>
      </c>
      <c r="K1238" t="s">
        <v>84</v>
      </c>
    </row>
    <row r="1239" spans="1:11" x14ac:dyDescent="0.45">
      <c r="A1239" t="s">
        <v>85</v>
      </c>
      <c r="B1239" t="s">
        <v>0</v>
      </c>
      <c r="C1239" t="s">
        <v>83</v>
      </c>
      <c r="D1239" t="s">
        <v>84</v>
      </c>
      <c r="E1239" t="s">
        <v>25</v>
      </c>
      <c r="F1239" t="s">
        <v>84</v>
      </c>
      <c r="G1239" t="s">
        <v>26</v>
      </c>
      <c r="H1239" t="s">
        <v>81</v>
      </c>
      <c r="I1239">
        <v>2055</v>
      </c>
      <c r="J1239">
        <v>5.7000000000000002E-2</v>
      </c>
      <c r="K1239" t="s">
        <v>84</v>
      </c>
    </row>
    <row r="1240" spans="1:11" x14ac:dyDescent="0.45">
      <c r="A1240" t="s">
        <v>85</v>
      </c>
      <c r="B1240" t="s">
        <v>0</v>
      </c>
      <c r="C1240" t="s">
        <v>83</v>
      </c>
      <c r="D1240" t="s">
        <v>84</v>
      </c>
      <c r="E1240" t="s">
        <v>25</v>
      </c>
      <c r="F1240" t="s">
        <v>84</v>
      </c>
      <c r="G1240" t="s">
        <v>26</v>
      </c>
      <c r="H1240" t="s">
        <v>81</v>
      </c>
      <c r="I1240">
        <v>2060</v>
      </c>
      <c r="J1240">
        <v>6.83E-2</v>
      </c>
      <c r="K1240" t="s">
        <v>84</v>
      </c>
    </row>
    <row r="1241" spans="1:11" x14ac:dyDescent="0.45">
      <c r="A1241" t="s">
        <v>85</v>
      </c>
      <c r="B1241" t="s">
        <v>0</v>
      </c>
      <c r="C1241" t="s">
        <v>83</v>
      </c>
      <c r="D1241" t="s">
        <v>84</v>
      </c>
      <c r="E1241" t="s">
        <v>25</v>
      </c>
      <c r="F1241" t="s">
        <v>84</v>
      </c>
      <c r="G1241" t="s">
        <v>26</v>
      </c>
      <c r="H1241" t="s">
        <v>81</v>
      </c>
      <c r="I1241">
        <v>2065</v>
      </c>
      <c r="J1241">
        <v>6.88E-2</v>
      </c>
      <c r="K1241" t="s">
        <v>84</v>
      </c>
    </row>
    <row r="1242" spans="1:11" x14ac:dyDescent="0.45">
      <c r="A1242" t="s">
        <v>85</v>
      </c>
      <c r="B1242" t="s">
        <v>0</v>
      </c>
      <c r="C1242" t="s">
        <v>83</v>
      </c>
      <c r="D1242" t="s">
        <v>84</v>
      </c>
      <c r="E1242" t="s">
        <v>25</v>
      </c>
      <c r="F1242" t="s">
        <v>84</v>
      </c>
      <c r="G1242" t="s">
        <v>26</v>
      </c>
      <c r="H1242" t="s">
        <v>81</v>
      </c>
      <c r="I1242">
        <v>2070</v>
      </c>
      <c r="J1242">
        <v>6.4699999999999994E-2</v>
      </c>
      <c r="K1242" t="s">
        <v>84</v>
      </c>
    </row>
    <row r="1243" spans="1:11" x14ac:dyDescent="0.45">
      <c r="A1243" t="s">
        <v>85</v>
      </c>
      <c r="B1243" t="s">
        <v>0</v>
      </c>
      <c r="C1243" t="s">
        <v>83</v>
      </c>
      <c r="D1243" t="s">
        <v>84</v>
      </c>
      <c r="E1243" t="s">
        <v>25</v>
      </c>
      <c r="F1243" t="s">
        <v>84</v>
      </c>
      <c r="G1243" t="s">
        <v>26</v>
      </c>
      <c r="H1243" t="s">
        <v>81</v>
      </c>
      <c r="I1243">
        <v>2075</v>
      </c>
      <c r="J1243">
        <v>7.3300000000000004E-2</v>
      </c>
      <c r="K1243" t="s">
        <v>84</v>
      </c>
    </row>
    <row r="1244" spans="1:11" x14ac:dyDescent="0.45">
      <c r="A1244" t="s">
        <v>85</v>
      </c>
      <c r="B1244" t="s">
        <v>0</v>
      </c>
      <c r="C1244" t="s">
        <v>83</v>
      </c>
      <c r="D1244" t="s">
        <v>84</v>
      </c>
      <c r="E1244" t="s">
        <v>25</v>
      </c>
      <c r="F1244" t="s">
        <v>84</v>
      </c>
      <c r="G1244" t="s">
        <v>26</v>
      </c>
      <c r="H1244" t="s">
        <v>81</v>
      </c>
      <c r="I1244">
        <v>2080</v>
      </c>
      <c r="J1244">
        <v>8.0600000000000005E-2</v>
      </c>
      <c r="K1244" t="s">
        <v>84</v>
      </c>
    </row>
    <row r="1245" spans="1:11" x14ac:dyDescent="0.45">
      <c r="A1245" t="s">
        <v>85</v>
      </c>
      <c r="B1245" t="s">
        <v>0</v>
      </c>
      <c r="C1245" t="s">
        <v>83</v>
      </c>
      <c r="D1245" t="s">
        <v>84</v>
      </c>
      <c r="E1245" t="s">
        <v>25</v>
      </c>
      <c r="F1245" t="s">
        <v>84</v>
      </c>
      <c r="G1245" t="s">
        <v>26</v>
      </c>
      <c r="H1245" t="s">
        <v>81</v>
      </c>
      <c r="I1245">
        <v>2085</v>
      </c>
      <c r="J1245">
        <v>8.9200000000000002E-2</v>
      </c>
      <c r="K1245" t="s">
        <v>84</v>
      </c>
    </row>
    <row r="1246" spans="1:11" x14ac:dyDescent="0.45">
      <c r="A1246" t="s">
        <v>85</v>
      </c>
      <c r="B1246" t="s">
        <v>0</v>
      </c>
      <c r="C1246" t="s">
        <v>83</v>
      </c>
      <c r="D1246" t="s">
        <v>84</v>
      </c>
      <c r="E1246" t="s">
        <v>25</v>
      </c>
      <c r="F1246" t="s">
        <v>84</v>
      </c>
      <c r="G1246" t="s">
        <v>26</v>
      </c>
      <c r="H1246" t="s">
        <v>81</v>
      </c>
      <c r="I1246">
        <v>2090</v>
      </c>
      <c r="J1246">
        <v>9.7199999999999995E-2</v>
      </c>
      <c r="K1246" t="s">
        <v>84</v>
      </c>
    </row>
    <row r="1247" spans="1:11" x14ac:dyDescent="0.45">
      <c r="A1247" t="s">
        <v>85</v>
      </c>
      <c r="B1247" t="s">
        <v>0</v>
      </c>
      <c r="C1247" t="s">
        <v>83</v>
      </c>
      <c r="D1247" t="s">
        <v>84</v>
      </c>
      <c r="E1247" t="s">
        <v>25</v>
      </c>
      <c r="F1247" t="s">
        <v>84</v>
      </c>
      <c r="G1247" t="s">
        <v>26</v>
      </c>
      <c r="H1247" t="s">
        <v>81</v>
      </c>
      <c r="I1247">
        <v>2095</v>
      </c>
      <c r="J1247">
        <v>0.10630000000000001</v>
      </c>
      <c r="K1247" t="s">
        <v>84</v>
      </c>
    </row>
    <row r="1248" spans="1:11" x14ac:dyDescent="0.45">
      <c r="A1248" t="s">
        <v>85</v>
      </c>
      <c r="B1248" t="s">
        <v>0</v>
      </c>
      <c r="C1248" t="s">
        <v>83</v>
      </c>
      <c r="D1248" t="s">
        <v>84</v>
      </c>
      <c r="E1248" t="s">
        <v>25</v>
      </c>
      <c r="F1248" t="s">
        <v>84</v>
      </c>
      <c r="G1248" t="s">
        <v>26</v>
      </c>
      <c r="H1248" t="s">
        <v>81</v>
      </c>
      <c r="I1248">
        <v>2100</v>
      </c>
      <c r="J1248">
        <v>0.1164</v>
      </c>
      <c r="K1248" t="s">
        <v>84</v>
      </c>
    </row>
    <row r="1249" spans="1:12" x14ac:dyDescent="0.45">
      <c r="A1249" t="s">
        <v>85</v>
      </c>
      <c r="B1249" t="s">
        <v>0</v>
      </c>
      <c r="C1249" t="s">
        <v>83</v>
      </c>
      <c r="D1249" t="s">
        <v>52</v>
      </c>
      <c r="E1249" t="s">
        <v>25</v>
      </c>
      <c r="F1249" t="s">
        <v>52</v>
      </c>
      <c r="G1249" t="s">
        <v>70</v>
      </c>
      <c r="I1249">
        <v>2020</v>
      </c>
      <c r="J1249">
        <v>0.32419999999999999</v>
      </c>
      <c r="K1249" t="s">
        <v>52</v>
      </c>
      <c r="L1249">
        <v>94</v>
      </c>
    </row>
    <row r="1250" spans="1:12" x14ac:dyDescent="0.45">
      <c r="A1250" t="s">
        <v>85</v>
      </c>
      <c r="B1250" t="s">
        <v>0</v>
      </c>
      <c r="C1250" t="s">
        <v>83</v>
      </c>
      <c r="D1250" t="s">
        <v>52</v>
      </c>
      <c r="E1250" t="s">
        <v>25</v>
      </c>
      <c r="F1250" t="s">
        <v>52</v>
      </c>
      <c r="G1250" t="s">
        <v>70</v>
      </c>
      <c r="I1250">
        <v>2025</v>
      </c>
      <c r="J1250">
        <v>0.30880000000000002</v>
      </c>
      <c r="K1250" t="s">
        <v>52</v>
      </c>
      <c r="L1250">
        <v>94</v>
      </c>
    </row>
    <row r="1251" spans="1:12" x14ac:dyDescent="0.45">
      <c r="A1251" t="s">
        <v>85</v>
      </c>
      <c r="B1251" t="s">
        <v>0</v>
      </c>
      <c r="C1251" t="s">
        <v>83</v>
      </c>
      <c r="D1251" t="s">
        <v>52</v>
      </c>
      <c r="E1251" t="s">
        <v>25</v>
      </c>
      <c r="F1251" t="s">
        <v>52</v>
      </c>
      <c r="G1251" t="s">
        <v>70</v>
      </c>
      <c r="I1251">
        <v>2030</v>
      </c>
      <c r="J1251">
        <v>0.29730000000000001</v>
      </c>
      <c r="K1251" t="s">
        <v>52</v>
      </c>
      <c r="L1251">
        <v>94</v>
      </c>
    </row>
    <row r="1252" spans="1:12" x14ac:dyDescent="0.45">
      <c r="A1252" t="s">
        <v>85</v>
      </c>
      <c r="B1252" t="s">
        <v>0</v>
      </c>
      <c r="C1252" t="s">
        <v>83</v>
      </c>
      <c r="D1252" t="s">
        <v>52</v>
      </c>
      <c r="E1252" t="s">
        <v>25</v>
      </c>
      <c r="F1252" t="s">
        <v>52</v>
      </c>
      <c r="G1252" t="s">
        <v>70</v>
      </c>
      <c r="I1252">
        <v>2035</v>
      </c>
      <c r="J1252">
        <v>0.2162</v>
      </c>
      <c r="K1252" t="s">
        <v>52</v>
      </c>
      <c r="L1252">
        <v>94</v>
      </c>
    </row>
    <row r="1253" spans="1:12" x14ac:dyDescent="0.45">
      <c r="A1253" t="s">
        <v>85</v>
      </c>
      <c r="B1253" t="s">
        <v>0</v>
      </c>
      <c r="C1253" t="s">
        <v>83</v>
      </c>
      <c r="D1253" t="s">
        <v>52</v>
      </c>
      <c r="E1253" t="s">
        <v>25</v>
      </c>
      <c r="F1253" t="s">
        <v>52</v>
      </c>
      <c r="G1253" t="s">
        <v>70</v>
      </c>
      <c r="I1253">
        <v>2040</v>
      </c>
      <c r="J1253">
        <v>0.1303</v>
      </c>
      <c r="K1253" t="s">
        <v>52</v>
      </c>
      <c r="L1253">
        <v>94</v>
      </c>
    </row>
    <row r="1254" spans="1:12" x14ac:dyDescent="0.45">
      <c r="A1254" t="s">
        <v>85</v>
      </c>
      <c r="B1254" t="s">
        <v>0</v>
      </c>
      <c r="C1254" t="s">
        <v>83</v>
      </c>
      <c r="D1254" t="s">
        <v>52</v>
      </c>
      <c r="E1254" t="s">
        <v>25</v>
      </c>
      <c r="F1254" t="s">
        <v>52</v>
      </c>
      <c r="G1254" t="s">
        <v>70</v>
      </c>
      <c r="I1254">
        <v>2045</v>
      </c>
      <c r="J1254">
        <v>3.4200000000000001E-2</v>
      </c>
      <c r="K1254" t="s">
        <v>52</v>
      </c>
      <c r="L1254">
        <v>94</v>
      </c>
    </row>
    <row r="1255" spans="1:12" x14ac:dyDescent="0.45">
      <c r="A1255" t="s">
        <v>85</v>
      </c>
      <c r="B1255" t="s">
        <v>0</v>
      </c>
      <c r="C1255" t="s">
        <v>83</v>
      </c>
      <c r="D1255" t="s">
        <v>52</v>
      </c>
      <c r="E1255" t="s">
        <v>25</v>
      </c>
      <c r="F1255" t="s">
        <v>52</v>
      </c>
      <c r="G1255" t="s">
        <v>70</v>
      </c>
      <c r="I1255">
        <v>2050</v>
      </c>
      <c r="J1255">
        <v>6.7999999999999996E-3</v>
      </c>
      <c r="K1255" t="s">
        <v>52</v>
      </c>
      <c r="L1255">
        <v>94</v>
      </c>
    </row>
    <row r="1256" spans="1:12" x14ac:dyDescent="0.45">
      <c r="A1256" t="s">
        <v>85</v>
      </c>
      <c r="B1256" t="s">
        <v>0</v>
      </c>
      <c r="C1256" t="s">
        <v>83</v>
      </c>
      <c r="D1256" t="s">
        <v>52</v>
      </c>
      <c r="E1256" t="s">
        <v>25</v>
      </c>
      <c r="F1256" t="s">
        <v>52</v>
      </c>
      <c r="G1256" t="s">
        <v>70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85</v>
      </c>
      <c r="B1257" t="s">
        <v>0</v>
      </c>
      <c r="C1257" t="s">
        <v>83</v>
      </c>
      <c r="D1257" t="s">
        <v>52</v>
      </c>
      <c r="E1257" t="s">
        <v>25</v>
      </c>
      <c r="F1257" t="s">
        <v>52</v>
      </c>
      <c r="G1257" t="s">
        <v>70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85</v>
      </c>
      <c r="B1258" t="s">
        <v>0</v>
      </c>
      <c r="C1258" t="s">
        <v>83</v>
      </c>
      <c r="D1258" t="s">
        <v>52</v>
      </c>
      <c r="E1258" t="s">
        <v>25</v>
      </c>
      <c r="F1258" t="s">
        <v>52</v>
      </c>
      <c r="G1258" t="s">
        <v>70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85</v>
      </c>
      <c r="B1259" t="s">
        <v>0</v>
      </c>
      <c r="C1259" t="s">
        <v>83</v>
      </c>
      <c r="D1259" t="s">
        <v>52</v>
      </c>
      <c r="E1259" t="s">
        <v>25</v>
      </c>
      <c r="F1259" t="s">
        <v>52</v>
      </c>
      <c r="G1259" t="s">
        <v>70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85</v>
      </c>
      <c r="B1260" t="s">
        <v>0</v>
      </c>
      <c r="C1260" t="s">
        <v>83</v>
      </c>
      <c r="D1260" t="s">
        <v>52</v>
      </c>
      <c r="E1260" t="s">
        <v>25</v>
      </c>
      <c r="F1260" t="s">
        <v>52</v>
      </c>
      <c r="G1260" t="s">
        <v>70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85</v>
      </c>
      <c r="B1261" t="s">
        <v>0</v>
      </c>
      <c r="C1261" t="s">
        <v>83</v>
      </c>
      <c r="D1261" t="s">
        <v>52</v>
      </c>
      <c r="E1261" t="s">
        <v>25</v>
      </c>
      <c r="F1261" t="s">
        <v>52</v>
      </c>
      <c r="G1261" t="s">
        <v>70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85</v>
      </c>
      <c r="B1262" t="s">
        <v>0</v>
      </c>
      <c r="C1262" t="s">
        <v>83</v>
      </c>
      <c r="D1262" t="s">
        <v>52</v>
      </c>
      <c r="E1262" t="s">
        <v>25</v>
      </c>
      <c r="F1262" t="s">
        <v>52</v>
      </c>
      <c r="G1262" t="s">
        <v>70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85</v>
      </c>
      <c r="B1263" t="s">
        <v>0</v>
      </c>
      <c r="C1263" t="s">
        <v>83</v>
      </c>
      <c r="D1263" t="s">
        <v>52</v>
      </c>
      <c r="E1263" t="s">
        <v>25</v>
      </c>
      <c r="F1263" t="s">
        <v>52</v>
      </c>
      <c r="G1263" t="s">
        <v>70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85</v>
      </c>
      <c r="B1264" t="s">
        <v>0</v>
      </c>
      <c r="C1264" t="s">
        <v>83</v>
      </c>
      <c r="D1264" t="s">
        <v>52</v>
      </c>
      <c r="E1264" t="s">
        <v>25</v>
      </c>
      <c r="F1264" t="s">
        <v>52</v>
      </c>
      <c r="G1264" t="s">
        <v>70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85</v>
      </c>
      <c r="B1265" t="s">
        <v>0</v>
      </c>
      <c r="C1265" t="s">
        <v>83</v>
      </c>
      <c r="D1265" t="s">
        <v>52</v>
      </c>
      <c r="E1265" t="s">
        <v>25</v>
      </c>
      <c r="F1265" t="s">
        <v>52</v>
      </c>
      <c r="G1265" t="s">
        <v>70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85</v>
      </c>
      <c r="B1266" t="s">
        <v>0</v>
      </c>
      <c r="C1266" t="s">
        <v>83</v>
      </c>
      <c r="D1266" t="s">
        <v>53</v>
      </c>
      <c r="E1266" t="s">
        <v>25</v>
      </c>
      <c r="F1266" t="s">
        <v>53</v>
      </c>
      <c r="G1266" t="s">
        <v>70</v>
      </c>
      <c r="I1266">
        <v>2020</v>
      </c>
      <c r="J1266">
        <v>0.1074</v>
      </c>
      <c r="K1266" t="s">
        <v>53</v>
      </c>
      <c r="L1266">
        <v>55</v>
      </c>
    </row>
    <row r="1267" spans="1:12" x14ac:dyDescent="0.45">
      <c r="A1267" t="s">
        <v>85</v>
      </c>
      <c r="B1267" t="s">
        <v>0</v>
      </c>
      <c r="C1267" t="s">
        <v>83</v>
      </c>
      <c r="D1267" t="s">
        <v>53</v>
      </c>
      <c r="E1267" t="s">
        <v>25</v>
      </c>
      <c r="F1267" t="s">
        <v>53</v>
      </c>
      <c r="G1267" t="s">
        <v>70</v>
      </c>
      <c r="I1267">
        <v>2025</v>
      </c>
      <c r="J1267">
        <v>0.1333</v>
      </c>
      <c r="K1267" t="s">
        <v>53</v>
      </c>
      <c r="L1267">
        <v>55</v>
      </c>
    </row>
    <row r="1268" spans="1:12" x14ac:dyDescent="0.45">
      <c r="A1268" t="s">
        <v>85</v>
      </c>
      <c r="B1268" t="s">
        <v>0</v>
      </c>
      <c r="C1268" t="s">
        <v>83</v>
      </c>
      <c r="D1268" t="s">
        <v>53</v>
      </c>
      <c r="E1268" t="s">
        <v>25</v>
      </c>
      <c r="F1268" t="s">
        <v>53</v>
      </c>
      <c r="G1268" t="s">
        <v>70</v>
      </c>
      <c r="I1268">
        <v>2030</v>
      </c>
      <c r="J1268">
        <v>0.1961</v>
      </c>
      <c r="K1268" t="s">
        <v>53</v>
      </c>
      <c r="L1268">
        <v>55</v>
      </c>
    </row>
    <row r="1269" spans="1:12" x14ac:dyDescent="0.45">
      <c r="A1269" t="s">
        <v>85</v>
      </c>
      <c r="B1269" t="s">
        <v>0</v>
      </c>
      <c r="C1269" t="s">
        <v>83</v>
      </c>
      <c r="D1269" t="s">
        <v>53</v>
      </c>
      <c r="E1269" t="s">
        <v>25</v>
      </c>
      <c r="F1269" t="s">
        <v>53</v>
      </c>
      <c r="G1269" t="s">
        <v>70</v>
      </c>
      <c r="I1269">
        <v>2035</v>
      </c>
      <c r="J1269">
        <v>0.2243</v>
      </c>
      <c r="K1269" t="s">
        <v>53</v>
      </c>
      <c r="L1269">
        <v>55</v>
      </c>
    </row>
    <row r="1270" spans="1:12" x14ac:dyDescent="0.45">
      <c r="A1270" t="s">
        <v>85</v>
      </c>
      <c r="B1270" t="s">
        <v>0</v>
      </c>
      <c r="C1270" t="s">
        <v>83</v>
      </c>
      <c r="D1270" t="s">
        <v>53</v>
      </c>
      <c r="E1270" t="s">
        <v>25</v>
      </c>
      <c r="F1270" t="s">
        <v>53</v>
      </c>
      <c r="G1270" t="s">
        <v>70</v>
      </c>
      <c r="I1270">
        <v>2040</v>
      </c>
      <c r="J1270">
        <v>0.1186</v>
      </c>
      <c r="K1270" t="s">
        <v>53</v>
      </c>
      <c r="L1270">
        <v>55</v>
      </c>
    </row>
    <row r="1271" spans="1:12" x14ac:dyDescent="0.45">
      <c r="A1271" t="s">
        <v>85</v>
      </c>
      <c r="B1271" t="s">
        <v>0</v>
      </c>
      <c r="C1271" t="s">
        <v>83</v>
      </c>
      <c r="D1271" t="s">
        <v>53</v>
      </c>
      <c r="E1271" t="s">
        <v>25</v>
      </c>
      <c r="F1271" t="s">
        <v>53</v>
      </c>
      <c r="G1271" t="s">
        <v>70</v>
      </c>
      <c r="I1271">
        <v>2045</v>
      </c>
      <c r="J1271">
        <v>1.9800000000000002E-2</v>
      </c>
      <c r="K1271" t="s">
        <v>53</v>
      </c>
      <c r="L1271">
        <v>55</v>
      </c>
    </row>
    <row r="1272" spans="1:12" x14ac:dyDescent="0.45">
      <c r="A1272" t="s">
        <v>85</v>
      </c>
      <c r="B1272" t="s">
        <v>0</v>
      </c>
      <c r="C1272" t="s">
        <v>83</v>
      </c>
      <c r="D1272" t="s">
        <v>53</v>
      </c>
      <c r="E1272" t="s">
        <v>25</v>
      </c>
      <c r="F1272" t="s">
        <v>53</v>
      </c>
      <c r="G1272" t="s">
        <v>70</v>
      </c>
      <c r="I1272">
        <v>2050</v>
      </c>
      <c r="J1272">
        <v>4.4000000000000003E-3</v>
      </c>
      <c r="K1272" t="s">
        <v>53</v>
      </c>
      <c r="L1272">
        <v>55</v>
      </c>
    </row>
    <row r="1273" spans="1:12" x14ac:dyDescent="0.45">
      <c r="A1273" t="s">
        <v>85</v>
      </c>
      <c r="B1273" t="s">
        <v>0</v>
      </c>
      <c r="C1273" t="s">
        <v>83</v>
      </c>
      <c r="D1273" t="s">
        <v>53</v>
      </c>
      <c r="E1273" t="s">
        <v>25</v>
      </c>
      <c r="F1273" t="s">
        <v>53</v>
      </c>
      <c r="G1273" t="s">
        <v>70</v>
      </c>
      <c r="I1273">
        <v>2055</v>
      </c>
      <c r="J1273">
        <v>6.9999999999999999E-4</v>
      </c>
      <c r="K1273" t="s">
        <v>53</v>
      </c>
      <c r="L1273">
        <v>55</v>
      </c>
    </row>
    <row r="1274" spans="1:12" x14ac:dyDescent="0.45">
      <c r="A1274" t="s">
        <v>85</v>
      </c>
      <c r="B1274" t="s">
        <v>0</v>
      </c>
      <c r="C1274" t="s">
        <v>83</v>
      </c>
      <c r="D1274" t="s">
        <v>53</v>
      </c>
      <c r="E1274" t="s">
        <v>25</v>
      </c>
      <c r="F1274" t="s">
        <v>53</v>
      </c>
      <c r="G1274" t="s">
        <v>70</v>
      </c>
      <c r="I1274">
        <v>2060</v>
      </c>
      <c r="J1274">
        <v>2.9999999999999997E-4</v>
      </c>
      <c r="K1274" t="s">
        <v>53</v>
      </c>
      <c r="L1274">
        <v>55</v>
      </c>
    </row>
    <row r="1275" spans="1:12" x14ac:dyDescent="0.45">
      <c r="A1275" t="s">
        <v>85</v>
      </c>
      <c r="B1275" t="s">
        <v>0</v>
      </c>
      <c r="C1275" t="s">
        <v>83</v>
      </c>
      <c r="D1275" t="s">
        <v>53</v>
      </c>
      <c r="E1275" t="s">
        <v>25</v>
      </c>
      <c r="F1275" t="s">
        <v>53</v>
      </c>
      <c r="G1275" t="s">
        <v>70</v>
      </c>
      <c r="I1275">
        <v>2065</v>
      </c>
      <c r="J1275">
        <v>2.0000000000000001E-4</v>
      </c>
      <c r="K1275" t="s">
        <v>53</v>
      </c>
      <c r="L1275">
        <v>55</v>
      </c>
    </row>
    <row r="1276" spans="1:12" x14ac:dyDescent="0.45">
      <c r="A1276" t="s">
        <v>85</v>
      </c>
      <c r="B1276" t="s">
        <v>0</v>
      </c>
      <c r="C1276" t="s">
        <v>83</v>
      </c>
      <c r="D1276" t="s">
        <v>53</v>
      </c>
      <c r="E1276" t="s">
        <v>25</v>
      </c>
      <c r="F1276" t="s">
        <v>53</v>
      </c>
      <c r="G1276" t="s">
        <v>70</v>
      </c>
      <c r="I1276">
        <v>2070</v>
      </c>
      <c r="J1276">
        <v>1E-4</v>
      </c>
      <c r="K1276" t="s">
        <v>53</v>
      </c>
      <c r="L1276">
        <v>55</v>
      </c>
    </row>
    <row r="1277" spans="1:12" x14ac:dyDescent="0.45">
      <c r="A1277" t="s">
        <v>85</v>
      </c>
      <c r="B1277" t="s">
        <v>0</v>
      </c>
      <c r="C1277" t="s">
        <v>83</v>
      </c>
      <c r="D1277" t="s">
        <v>53</v>
      </c>
      <c r="E1277" t="s">
        <v>25</v>
      </c>
      <c r="F1277" t="s">
        <v>53</v>
      </c>
      <c r="G1277" t="s">
        <v>70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85</v>
      </c>
      <c r="B1278" t="s">
        <v>0</v>
      </c>
      <c r="C1278" t="s">
        <v>83</v>
      </c>
      <c r="D1278" t="s">
        <v>53</v>
      </c>
      <c r="E1278" t="s">
        <v>25</v>
      </c>
      <c r="F1278" t="s">
        <v>53</v>
      </c>
      <c r="G1278" t="s">
        <v>70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85</v>
      </c>
      <c r="B1279" t="s">
        <v>0</v>
      </c>
      <c r="C1279" t="s">
        <v>83</v>
      </c>
      <c r="D1279" t="s">
        <v>53</v>
      </c>
      <c r="E1279" t="s">
        <v>25</v>
      </c>
      <c r="F1279" t="s">
        <v>53</v>
      </c>
      <c r="G1279" t="s">
        <v>70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85</v>
      </c>
      <c r="B1280" t="s">
        <v>0</v>
      </c>
      <c r="C1280" t="s">
        <v>83</v>
      </c>
      <c r="D1280" t="s">
        <v>53</v>
      </c>
      <c r="E1280" t="s">
        <v>25</v>
      </c>
      <c r="F1280" t="s">
        <v>53</v>
      </c>
      <c r="G1280" t="s">
        <v>70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85</v>
      </c>
      <c r="B1281" t="s">
        <v>0</v>
      </c>
      <c r="C1281" t="s">
        <v>83</v>
      </c>
      <c r="D1281" t="s">
        <v>53</v>
      </c>
      <c r="E1281" t="s">
        <v>25</v>
      </c>
      <c r="F1281" t="s">
        <v>53</v>
      </c>
      <c r="G1281" t="s">
        <v>70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85</v>
      </c>
      <c r="B1282" t="s">
        <v>0</v>
      </c>
      <c r="C1282" t="s">
        <v>83</v>
      </c>
      <c r="D1282" t="s">
        <v>53</v>
      </c>
      <c r="E1282" t="s">
        <v>25</v>
      </c>
      <c r="F1282" t="s">
        <v>53</v>
      </c>
      <c r="G1282" t="s">
        <v>70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85</v>
      </c>
      <c r="B1283" t="s">
        <v>0</v>
      </c>
      <c r="C1283" t="s">
        <v>83</v>
      </c>
      <c r="D1283" t="s">
        <v>54</v>
      </c>
      <c r="E1283" t="s">
        <v>25</v>
      </c>
      <c r="F1283" t="s">
        <v>54</v>
      </c>
      <c r="G1283" t="s">
        <v>70</v>
      </c>
      <c r="I1283">
        <v>2020</v>
      </c>
      <c r="J1283">
        <v>0</v>
      </c>
      <c r="K1283" t="s">
        <v>54</v>
      </c>
      <c r="L1283">
        <v>70</v>
      </c>
    </row>
    <row r="1284" spans="1:12" x14ac:dyDescent="0.45">
      <c r="A1284" t="s">
        <v>85</v>
      </c>
      <c r="B1284" t="s">
        <v>0</v>
      </c>
      <c r="C1284" t="s">
        <v>83</v>
      </c>
      <c r="D1284" t="s">
        <v>54</v>
      </c>
      <c r="E1284" t="s">
        <v>25</v>
      </c>
      <c r="F1284" t="s">
        <v>54</v>
      </c>
      <c r="G1284" t="s">
        <v>70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85</v>
      </c>
      <c r="B1285" t="s">
        <v>0</v>
      </c>
      <c r="C1285" t="s">
        <v>83</v>
      </c>
      <c r="D1285" t="s">
        <v>54</v>
      </c>
      <c r="E1285" t="s">
        <v>25</v>
      </c>
      <c r="F1285" t="s">
        <v>54</v>
      </c>
      <c r="G1285" t="s">
        <v>70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85</v>
      </c>
      <c r="B1286" t="s">
        <v>0</v>
      </c>
      <c r="C1286" t="s">
        <v>83</v>
      </c>
      <c r="D1286" t="s">
        <v>54</v>
      </c>
      <c r="E1286" t="s">
        <v>25</v>
      </c>
      <c r="F1286" t="s">
        <v>54</v>
      </c>
      <c r="G1286" t="s">
        <v>70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85</v>
      </c>
      <c r="B1287" t="s">
        <v>0</v>
      </c>
      <c r="C1287" t="s">
        <v>83</v>
      </c>
      <c r="D1287" t="s">
        <v>54</v>
      </c>
      <c r="E1287" t="s">
        <v>25</v>
      </c>
      <c r="F1287" t="s">
        <v>54</v>
      </c>
      <c r="G1287" t="s">
        <v>70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85</v>
      </c>
      <c r="B1288" t="s">
        <v>0</v>
      </c>
      <c r="C1288" t="s">
        <v>83</v>
      </c>
      <c r="D1288" t="s">
        <v>54</v>
      </c>
      <c r="E1288" t="s">
        <v>25</v>
      </c>
      <c r="F1288" t="s">
        <v>54</v>
      </c>
      <c r="G1288" t="s">
        <v>70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85</v>
      </c>
      <c r="B1289" t="s">
        <v>0</v>
      </c>
      <c r="C1289" t="s">
        <v>83</v>
      </c>
      <c r="D1289" t="s">
        <v>54</v>
      </c>
      <c r="E1289" t="s">
        <v>25</v>
      </c>
      <c r="F1289" t="s">
        <v>54</v>
      </c>
      <c r="G1289" t="s">
        <v>70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85</v>
      </c>
      <c r="B1290" t="s">
        <v>0</v>
      </c>
      <c r="C1290" t="s">
        <v>83</v>
      </c>
      <c r="D1290" t="s">
        <v>54</v>
      </c>
      <c r="E1290" t="s">
        <v>25</v>
      </c>
      <c r="F1290" t="s">
        <v>54</v>
      </c>
      <c r="G1290" t="s">
        <v>70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85</v>
      </c>
      <c r="B1291" t="s">
        <v>0</v>
      </c>
      <c r="C1291" t="s">
        <v>83</v>
      </c>
      <c r="D1291" t="s">
        <v>54</v>
      </c>
      <c r="E1291" t="s">
        <v>25</v>
      </c>
      <c r="F1291" t="s">
        <v>54</v>
      </c>
      <c r="G1291" t="s">
        <v>70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85</v>
      </c>
      <c r="B1292" t="s">
        <v>0</v>
      </c>
      <c r="C1292" t="s">
        <v>83</v>
      </c>
      <c r="D1292" t="s">
        <v>54</v>
      </c>
      <c r="E1292" t="s">
        <v>25</v>
      </c>
      <c r="F1292" t="s">
        <v>54</v>
      </c>
      <c r="G1292" t="s">
        <v>70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85</v>
      </c>
      <c r="B1293" t="s">
        <v>0</v>
      </c>
      <c r="C1293" t="s">
        <v>83</v>
      </c>
      <c r="D1293" t="s">
        <v>54</v>
      </c>
      <c r="E1293" t="s">
        <v>25</v>
      </c>
      <c r="F1293" t="s">
        <v>54</v>
      </c>
      <c r="G1293" t="s">
        <v>70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85</v>
      </c>
      <c r="B1294" t="s">
        <v>0</v>
      </c>
      <c r="C1294" t="s">
        <v>83</v>
      </c>
      <c r="D1294" t="s">
        <v>54</v>
      </c>
      <c r="E1294" t="s">
        <v>25</v>
      </c>
      <c r="F1294" t="s">
        <v>54</v>
      </c>
      <c r="G1294" t="s">
        <v>70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85</v>
      </c>
      <c r="B1295" t="s">
        <v>0</v>
      </c>
      <c r="C1295" t="s">
        <v>83</v>
      </c>
      <c r="D1295" t="s">
        <v>54</v>
      </c>
      <c r="E1295" t="s">
        <v>25</v>
      </c>
      <c r="F1295" t="s">
        <v>54</v>
      </c>
      <c r="G1295" t="s">
        <v>70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85</v>
      </c>
      <c r="B1296" t="s">
        <v>0</v>
      </c>
      <c r="C1296" t="s">
        <v>83</v>
      </c>
      <c r="D1296" t="s">
        <v>54</v>
      </c>
      <c r="E1296" t="s">
        <v>25</v>
      </c>
      <c r="F1296" t="s">
        <v>54</v>
      </c>
      <c r="G1296" t="s">
        <v>70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85</v>
      </c>
      <c r="B1297" t="s">
        <v>0</v>
      </c>
      <c r="C1297" t="s">
        <v>83</v>
      </c>
      <c r="D1297" t="s">
        <v>54</v>
      </c>
      <c r="E1297" t="s">
        <v>25</v>
      </c>
      <c r="F1297" t="s">
        <v>54</v>
      </c>
      <c r="G1297" t="s">
        <v>70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85</v>
      </c>
      <c r="B1298" t="s">
        <v>0</v>
      </c>
      <c r="C1298" t="s">
        <v>83</v>
      </c>
      <c r="D1298" t="s">
        <v>54</v>
      </c>
      <c r="E1298" t="s">
        <v>25</v>
      </c>
      <c r="F1298" t="s">
        <v>54</v>
      </c>
      <c r="G1298" t="s">
        <v>70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85</v>
      </c>
      <c r="B1299" t="s">
        <v>0</v>
      </c>
      <c r="C1299" t="s">
        <v>83</v>
      </c>
      <c r="D1299" t="s">
        <v>54</v>
      </c>
      <c r="E1299" t="s">
        <v>25</v>
      </c>
      <c r="F1299" t="s">
        <v>54</v>
      </c>
      <c r="G1299" t="s">
        <v>70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85</v>
      </c>
      <c r="B1300" t="s">
        <v>0</v>
      </c>
      <c r="C1300" t="s">
        <v>83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85</v>
      </c>
      <c r="B1301" t="s">
        <v>0</v>
      </c>
      <c r="C1301" t="s">
        <v>83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85</v>
      </c>
      <c r="B1302" t="s">
        <v>0</v>
      </c>
      <c r="C1302" t="s">
        <v>83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85</v>
      </c>
      <c r="B1303" t="s">
        <v>0</v>
      </c>
      <c r="C1303" t="s">
        <v>83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85</v>
      </c>
      <c r="B1304" t="s">
        <v>0</v>
      </c>
      <c r="C1304" t="s">
        <v>83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85</v>
      </c>
      <c r="B1305" t="s">
        <v>0</v>
      </c>
      <c r="C1305" t="s">
        <v>83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85</v>
      </c>
      <c r="B1306" t="s">
        <v>0</v>
      </c>
      <c r="C1306" t="s">
        <v>83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85</v>
      </c>
      <c r="B1307" t="s">
        <v>0</v>
      </c>
      <c r="C1307" t="s">
        <v>83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85</v>
      </c>
      <c r="B1308" t="s">
        <v>0</v>
      </c>
      <c r="C1308" t="s">
        <v>83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85</v>
      </c>
      <c r="B1309" t="s">
        <v>0</v>
      </c>
      <c r="C1309" t="s">
        <v>83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85</v>
      </c>
      <c r="B1310" t="s">
        <v>0</v>
      </c>
      <c r="C1310" t="s">
        <v>83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85</v>
      </c>
      <c r="B1311" t="s">
        <v>0</v>
      </c>
      <c r="C1311" t="s">
        <v>83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85</v>
      </c>
      <c r="B1312" t="s">
        <v>0</v>
      </c>
      <c r="C1312" t="s">
        <v>83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85</v>
      </c>
      <c r="B1313" t="s">
        <v>0</v>
      </c>
      <c r="C1313" t="s">
        <v>83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85</v>
      </c>
      <c r="B1314" t="s">
        <v>0</v>
      </c>
      <c r="C1314" t="s">
        <v>83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85</v>
      </c>
      <c r="B1315" t="s">
        <v>0</v>
      </c>
      <c r="C1315" t="s">
        <v>83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85</v>
      </c>
      <c r="B1316" t="s">
        <v>0</v>
      </c>
      <c r="C1316" t="s">
        <v>83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85</v>
      </c>
      <c r="B1317" t="s">
        <v>0</v>
      </c>
      <c r="C1317" t="s">
        <v>83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85</v>
      </c>
      <c r="B1318" t="s">
        <v>0</v>
      </c>
      <c r="C1318" t="s">
        <v>83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85</v>
      </c>
      <c r="B1319" t="s">
        <v>0</v>
      </c>
      <c r="C1319" t="s">
        <v>83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85</v>
      </c>
      <c r="B1320" t="s">
        <v>0</v>
      </c>
      <c r="C1320" t="s">
        <v>83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85</v>
      </c>
      <c r="B1321" t="s">
        <v>0</v>
      </c>
      <c r="C1321" t="s">
        <v>83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85</v>
      </c>
      <c r="B1322" t="s">
        <v>0</v>
      </c>
      <c r="C1322" t="s">
        <v>83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85</v>
      </c>
      <c r="B1323" t="s">
        <v>0</v>
      </c>
      <c r="C1323" t="s">
        <v>83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85</v>
      </c>
      <c r="B1324" t="s">
        <v>0</v>
      </c>
      <c r="C1324" t="s">
        <v>83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85</v>
      </c>
      <c r="B1325" t="s">
        <v>0</v>
      </c>
      <c r="C1325" t="s">
        <v>83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85</v>
      </c>
      <c r="B1326" t="s">
        <v>0</v>
      </c>
      <c r="C1326" t="s">
        <v>83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85</v>
      </c>
      <c r="B1327" t="s">
        <v>0</v>
      </c>
      <c r="C1327" t="s">
        <v>83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85</v>
      </c>
      <c r="B1328" t="s">
        <v>0</v>
      </c>
      <c r="C1328" t="s">
        <v>83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85</v>
      </c>
      <c r="B1329" t="s">
        <v>0</v>
      </c>
      <c r="C1329" t="s">
        <v>83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85</v>
      </c>
      <c r="B1330" t="s">
        <v>0</v>
      </c>
      <c r="C1330" t="s">
        <v>83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85</v>
      </c>
      <c r="B1331" t="s">
        <v>0</v>
      </c>
      <c r="C1331" t="s">
        <v>83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85</v>
      </c>
      <c r="B1332" t="s">
        <v>0</v>
      </c>
      <c r="C1332" t="s">
        <v>83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85</v>
      </c>
      <c r="B1333" t="s">
        <v>0</v>
      </c>
      <c r="C1333" t="s">
        <v>83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85</v>
      </c>
      <c r="B1334" t="s">
        <v>0</v>
      </c>
      <c r="C1334" t="s">
        <v>83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85</v>
      </c>
      <c r="B1335" t="s">
        <v>0</v>
      </c>
      <c r="C1335" t="s">
        <v>83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85</v>
      </c>
      <c r="B1336" t="s">
        <v>0</v>
      </c>
      <c r="C1336" t="s">
        <v>83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85</v>
      </c>
      <c r="B1337" t="s">
        <v>0</v>
      </c>
      <c r="C1337" t="s">
        <v>83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85</v>
      </c>
      <c r="B1338" t="s">
        <v>0</v>
      </c>
      <c r="C1338" t="s">
        <v>83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85</v>
      </c>
      <c r="B1339" t="s">
        <v>0</v>
      </c>
      <c r="C1339" t="s">
        <v>83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85</v>
      </c>
      <c r="B1340" t="s">
        <v>0</v>
      </c>
      <c r="C1340" t="s">
        <v>83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85</v>
      </c>
      <c r="B1341" t="s">
        <v>0</v>
      </c>
      <c r="C1341" t="s">
        <v>83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85</v>
      </c>
      <c r="B1342" t="s">
        <v>0</v>
      </c>
      <c r="C1342" t="s">
        <v>83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85</v>
      </c>
      <c r="B1343" t="s">
        <v>0</v>
      </c>
      <c r="C1343" t="s">
        <v>83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85</v>
      </c>
      <c r="B1344" t="s">
        <v>0</v>
      </c>
      <c r="C1344" t="s">
        <v>83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85</v>
      </c>
      <c r="B1345" t="s">
        <v>0</v>
      </c>
      <c r="C1345" t="s">
        <v>83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85</v>
      </c>
      <c r="B1346" t="s">
        <v>0</v>
      </c>
      <c r="C1346" t="s">
        <v>83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85</v>
      </c>
      <c r="B1347" t="s">
        <v>0</v>
      </c>
      <c r="C1347" t="s">
        <v>83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85</v>
      </c>
      <c r="B1348" t="s">
        <v>0</v>
      </c>
      <c r="C1348" t="s">
        <v>83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85</v>
      </c>
      <c r="B1349" t="s">
        <v>0</v>
      </c>
      <c r="C1349" t="s">
        <v>83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85</v>
      </c>
      <c r="B1350" t="s">
        <v>0</v>
      </c>
      <c r="C1350" t="s">
        <v>83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85</v>
      </c>
      <c r="B1351" t="s">
        <v>0</v>
      </c>
      <c r="C1351" t="s">
        <v>83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56.074300000000001</v>
      </c>
      <c r="K1351" t="s">
        <v>37</v>
      </c>
    </row>
    <row r="1352" spans="1:11" x14ac:dyDescent="0.45">
      <c r="A1352" t="s">
        <v>85</v>
      </c>
      <c r="B1352" t="s">
        <v>0</v>
      </c>
      <c r="C1352" t="s">
        <v>83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66.789100000000005</v>
      </c>
      <c r="K1352" t="s">
        <v>37</v>
      </c>
    </row>
    <row r="1353" spans="1:11" x14ac:dyDescent="0.45">
      <c r="A1353" t="s">
        <v>85</v>
      </c>
      <c r="B1353" t="s">
        <v>0</v>
      </c>
      <c r="C1353" t="s">
        <v>83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75.3339</v>
      </c>
      <c r="K1353" t="s">
        <v>37</v>
      </c>
    </row>
    <row r="1354" spans="1:11" x14ac:dyDescent="0.45">
      <c r="A1354" t="s">
        <v>85</v>
      </c>
      <c r="B1354" t="s">
        <v>0</v>
      </c>
      <c r="C1354" t="s">
        <v>83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57.565399999999997</v>
      </c>
      <c r="K1354" t="s">
        <v>37</v>
      </c>
    </row>
    <row r="1355" spans="1:11" x14ac:dyDescent="0.45">
      <c r="A1355" t="s">
        <v>85</v>
      </c>
      <c r="B1355" t="s">
        <v>0</v>
      </c>
      <c r="C1355" t="s">
        <v>83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84.912899999999993</v>
      </c>
      <c r="K1355" t="s">
        <v>37</v>
      </c>
    </row>
    <row r="1356" spans="1:11" x14ac:dyDescent="0.45">
      <c r="A1356" t="s">
        <v>85</v>
      </c>
      <c r="B1356" t="s">
        <v>0</v>
      </c>
      <c r="C1356" t="s">
        <v>83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96.081800000000001</v>
      </c>
      <c r="K1356" t="s">
        <v>37</v>
      </c>
    </row>
    <row r="1357" spans="1:11" x14ac:dyDescent="0.45">
      <c r="A1357" t="s">
        <v>85</v>
      </c>
      <c r="B1357" t="s">
        <v>0</v>
      </c>
      <c r="C1357" t="s">
        <v>83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89.106499999999997</v>
      </c>
      <c r="K1357" t="s">
        <v>37</v>
      </c>
    </row>
    <row r="1358" spans="1:11" x14ac:dyDescent="0.45">
      <c r="A1358" t="s">
        <v>85</v>
      </c>
      <c r="B1358" t="s">
        <v>0</v>
      </c>
      <c r="C1358" t="s">
        <v>83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140.88650000000001</v>
      </c>
      <c r="K1358" t="s">
        <v>37</v>
      </c>
    </row>
    <row r="1359" spans="1:11" x14ac:dyDescent="0.45">
      <c r="A1359" t="s">
        <v>85</v>
      </c>
      <c r="B1359" t="s">
        <v>0</v>
      </c>
      <c r="C1359" t="s">
        <v>83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194.3081</v>
      </c>
      <c r="K1359" t="s">
        <v>37</v>
      </c>
    </row>
    <row r="1360" spans="1:11" x14ac:dyDescent="0.45">
      <c r="A1360" t="s">
        <v>85</v>
      </c>
      <c r="B1360" t="s">
        <v>0</v>
      </c>
      <c r="C1360" t="s">
        <v>83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251.34690000000001</v>
      </c>
      <c r="K1360" t="s">
        <v>37</v>
      </c>
    </row>
    <row r="1361" spans="1:11" x14ac:dyDescent="0.45">
      <c r="A1361" t="s">
        <v>85</v>
      </c>
      <c r="B1361" t="s">
        <v>0</v>
      </c>
      <c r="C1361" t="s">
        <v>83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308.38560000000001</v>
      </c>
      <c r="K1361" t="s">
        <v>37</v>
      </c>
    </row>
    <row r="1362" spans="1:11" x14ac:dyDescent="0.45">
      <c r="A1362" t="s">
        <v>85</v>
      </c>
      <c r="B1362" t="s">
        <v>0</v>
      </c>
      <c r="C1362" t="s">
        <v>83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370.69510000000002</v>
      </c>
      <c r="K1362" t="s">
        <v>37</v>
      </c>
    </row>
    <row r="1363" spans="1:11" x14ac:dyDescent="0.45">
      <c r="A1363" t="s">
        <v>85</v>
      </c>
      <c r="B1363" t="s">
        <v>0</v>
      </c>
      <c r="C1363" t="s">
        <v>83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433.00459999999998</v>
      </c>
      <c r="K1363" t="s">
        <v>37</v>
      </c>
    </row>
    <row r="1364" spans="1:11" x14ac:dyDescent="0.45">
      <c r="A1364" t="s">
        <v>85</v>
      </c>
      <c r="B1364" t="s">
        <v>0</v>
      </c>
      <c r="C1364" t="s">
        <v>83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437.12430000000001</v>
      </c>
      <c r="K1364" t="s">
        <v>37</v>
      </c>
    </row>
    <row r="1365" spans="1:11" x14ac:dyDescent="0.45">
      <c r="A1365" t="s">
        <v>85</v>
      </c>
      <c r="B1365" t="s">
        <v>0</v>
      </c>
      <c r="C1365" t="s">
        <v>83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441.24400000000003</v>
      </c>
      <c r="K1365" t="s">
        <v>37</v>
      </c>
    </row>
    <row r="1366" spans="1:11" x14ac:dyDescent="0.45">
      <c r="A1366" t="s">
        <v>85</v>
      </c>
      <c r="B1366" t="s">
        <v>0</v>
      </c>
      <c r="C1366" t="s">
        <v>83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464.3732</v>
      </c>
      <c r="K1366" t="s">
        <v>37</v>
      </c>
    </row>
    <row r="1367" spans="1:11" x14ac:dyDescent="0.45">
      <c r="A1367" t="s">
        <v>85</v>
      </c>
      <c r="B1367" t="s">
        <v>0</v>
      </c>
      <c r="C1367" t="s">
        <v>83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487.5025</v>
      </c>
      <c r="K1367" t="s">
        <v>37</v>
      </c>
    </row>
    <row r="1368" spans="1:11" x14ac:dyDescent="0.45">
      <c r="A1368" t="s">
        <v>85</v>
      </c>
      <c r="B1368" t="s">
        <v>0</v>
      </c>
      <c r="C1368" t="s">
        <v>83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376.95030000000003</v>
      </c>
      <c r="K1368" t="s">
        <v>48</v>
      </c>
    </row>
    <row r="1369" spans="1:11" x14ac:dyDescent="0.45">
      <c r="A1369" t="s">
        <v>85</v>
      </c>
      <c r="B1369" t="s">
        <v>0</v>
      </c>
      <c r="C1369" t="s">
        <v>83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403.39749999999998</v>
      </c>
      <c r="K1369" t="s">
        <v>48</v>
      </c>
    </row>
    <row r="1370" spans="1:11" x14ac:dyDescent="0.45">
      <c r="A1370" t="s">
        <v>85</v>
      </c>
      <c r="B1370" t="s">
        <v>0</v>
      </c>
      <c r="C1370" t="s">
        <v>83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410.63189999999997</v>
      </c>
      <c r="K1370" t="s">
        <v>48</v>
      </c>
    </row>
    <row r="1371" spans="1:11" x14ac:dyDescent="0.45">
      <c r="A1371" t="s">
        <v>85</v>
      </c>
      <c r="B1371" t="s">
        <v>0</v>
      </c>
      <c r="C1371" t="s">
        <v>83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350.51850000000002</v>
      </c>
      <c r="K1371" t="s">
        <v>48</v>
      </c>
    </row>
    <row r="1372" spans="1:11" x14ac:dyDescent="0.45">
      <c r="A1372" t="s">
        <v>85</v>
      </c>
      <c r="B1372" t="s">
        <v>0</v>
      </c>
      <c r="C1372" t="s">
        <v>83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183.07409999999999</v>
      </c>
      <c r="K1372" t="s">
        <v>48</v>
      </c>
    </row>
    <row r="1373" spans="1:11" x14ac:dyDescent="0.45">
      <c r="A1373" t="s">
        <v>85</v>
      </c>
      <c r="B1373" t="s">
        <v>0</v>
      </c>
      <c r="C1373" t="s">
        <v>83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81.150000000000006</v>
      </c>
      <c r="K1373" t="s">
        <v>48</v>
      </c>
    </row>
    <row r="1374" spans="1:11" x14ac:dyDescent="0.45">
      <c r="A1374" t="s">
        <v>85</v>
      </c>
      <c r="B1374" t="s">
        <v>0</v>
      </c>
      <c r="C1374" t="s">
        <v>83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52.789099999999998</v>
      </c>
      <c r="K1374" t="s">
        <v>48</v>
      </c>
    </row>
    <row r="1375" spans="1:11" x14ac:dyDescent="0.45">
      <c r="A1375" t="s">
        <v>85</v>
      </c>
      <c r="B1375" t="s">
        <v>0</v>
      </c>
      <c r="C1375" t="s">
        <v>83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32.766500000000001</v>
      </c>
      <c r="K1375" t="s">
        <v>48</v>
      </c>
    </row>
    <row r="1376" spans="1:11" x14ac:dyDescent="0.45">
      <c r="A1376" t="s">
        <v>85</v>
      </c>
      <c r="B1376" t="s">
        <v>0</v>
      </c>
      <c r="C1376" t="s">
        <v>83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7.0495000000000001</v>
      </c>
      <c r="K1376" t="s">
        <v>48</v>
      </c>
    </row>
    <row r="1377" spans="1:11" x14ac:dyDescent="0.45">
      <c r="A1377" t="s">
        <v>85</v>
      </c>
      <c r="B1377" t="s">
        <v>0</v>
      </c>
      <c r="C1377" t="s">
        <v>83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-1.8429</v>
      </c>
      <c r="K1377" t="s">
        <v>48</v>
      </c>
    </row>
    <row r="1378" spans="1:11" x14ac:dyDescent="0.45">
      <c r="A1378" t="s">
        <v>85</v>
      </c>
      <c r="B1378" t="s">
        <v>0</v>
      </c>
      <c r="C1378" t="s">
        <v>83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-11.325100000000001</v>
      </c>
      <c r="K1378" t="s">
        <v>48</v>
      </c>
    </row>
    <row r="1379" spans="1:11" x14ac:dyDescent="0.45">
      <c r="A1379" t="s">
        <v>85</v>
      </c>
      <c r="B1379" t="s">
        <v>0</v>
      </c>
      <c r="C1379" t="s">
        <v>83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-14.9688</v>
      </c>
      <c r="K1379" t="s">
        <v>48</v>
      </c>
    </row>
    <row r="1380" spans="1:11" x14ac:dyDescent="0.45">
      <c r="A1380" t="s">
        <v>85</v>
      </c>
      <c r="B1380" t="s">
        <v>0</v>
      </c>
      <c r="C1380" t="s">
        <v>83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-19.4497</v>
      </c>
      <c r="K1380" t="s">
        <v>48</v>
      </c>
    </row>
    <row r="1381" spans="1:11" x14ac:dyDescent="0.45">
      <c r="A1381" t="s">
        <v>85</v>
      </c>
      <c r="B1381" t="s">
        <v>0</v>
      </c>
      <c r="C1381" t="s">
        <v>83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-10.7279</v>
      </c>
      <c r="K1381" t="s">
        <v>48</v>
      </c>
    </row>
    <row r="1382" spans="1:11" x14ac:dyDescent="0.45">
      <c r="A1382" t="s">
        <v>85</v>
      </c>
      <c r="B1382" t="s">
        <v>0</v>
      </c>
      <c r="C1382" t="s">
        <v>83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-1.8171999999999999</v>
      </c>
      <c r="K1382" t="s">
        <v>48</v>
      </c>
    </row>
    <row r="1383" spans="1:11" x14ac:dyDescent="0.45">
      <c r="A1383" t="s">
        <v>85</v>
      </c>
      <c r="B1383" t="s">
        <v>0</v>
      </c>
      <c r="C1383" t="s">
        <v>83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-1.9935</v>
      </c>
      <c r="K1383" t="s">
        <v>48</v>
      </c>
    </row>
    <row r="1384" spans="1:11" x14ac:dyDescent="0.45">
      <c r="A1384" t="s">
        <v>85</v>
      </c>
      <c r="B1384" t="s">
        <v>0</v>
      </c>
      <c r="C1384" t="s">
        <v>83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-1.5468999999999999</v>
      </c>
      <c r="K1384" t="s">
        <v>48</v>
      </c>
    </row>
    <row r="1385" spans="1:11" x14ac:dyDescent="0.45">
      <c r="A1385" t="s">
        <v>85</v>
      </c>
      <c r="B1385" t="s">
        <v>0</v>
      </c>
      <c r="C1385" t="s">
        <v>83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335.17540000000002</v>
      </c>
      <c r="K1385" t="s">
        <v>51</v>
      </c>
    </row>
    <row r="1386" spans="1:11" x14ac:dyDescent="0.45">
      <c r="A1386" t="s">
        <v>85</v>
      </c>
      <c r="B1386" t="s">
        <v>0</v>
      </c>
      <c r="C1386" t="s">
        <v>83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341.03620000000001</v>
      </c>
      <c r="K1386" t="s">
        <v>51</v>
      </c>
    </row>
    <row r="1387" spans="1:11" x14ac:dyDescent="0.45">
      <c r="A1387" t="s">
        <v>85</v>
      </c>
      <c r="B1387" t="s">
        <v>0</v>
      </c>
      <c r="C1387" t="s">
        <v>83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343.78969999999998</v>
      </c>
      <c r="K1387" t="s">
        <v>51</v>
      </c>
    </row>
    <row r="1388" spans="1:11" x14ac:dyDescent="0.45">
      <c r="A1388" t="s">
        <v>85</v>
      </c>
      <c r="B1388" t="s">
        <v>0</v>
      </c>
      <c r="C1388" t="s">
        <v>83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313.82369999999997</v>
      </c>
      <c r="K1388" t="s">
        <v>51</v>
      </c>
    </row>
    <row r="1389" spans="1:11" x14ac:dyDescent="0.45">
      <c r="A1389" t="s">
        <v>85</v>
      </c>
      <c r="B1389" t="s">
        <v>0</v>
      </c>
      <c r="C1389" t="s">
        <v>83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147.72819999999999</v>
      </c>
      <c r="K1389" t="s">
        <v>51</v>
      </c>
    </row>
    <row r="1390" spans="1:11" x14ac:dyDescent="0.45">
      <c r="A1390" t="s">
        <v>85</v>
      </c>
      <c r="B1390" t="s">
        <v>0</v>
      </c>
      <c r="C1390" t="s">
        <v>83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45.513300000000001</v>
      </c>
      <c r="K1390" t="s">
        <v>51</v>
      </c>
    </row>
    <row r="1391" spans="1:11" x14ac:dyDescent="0.45">
      <c r="A1391" t="s">
        <v>85</v>
      </c>
      <c r="B1391" t="s">
        <v>0</v>
      </c>
      <c r="C1391" t="s">
        <v>83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20.842099999999999</v>
      </c>
      <c r="K1391" t="s">
        <v>51</v>
      </c>
    </row>
    <row r="1392" spans="1:11" x14ac:dyDescent="0.45">
      <c r="A1392" t="s">
        <v>85</v>
      </c>
      <c r="B1392" t="s">
        <v>0</v>
      </c>
      <c r="C1392" t="s">
        <v>83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11.6356</v>
      </c>
      <c r="K1392" t="s">
        <v>51</v>
      </c>
    </row>
    <row r="1393" spans="1:11" x14ac:dyDescent="0.45">
      <c r="A1393" t="s">
        <v>85</v>
      </c>
      <c r="B1393" t="s">
        <v>0</v>
      </c>
      <c r="C1393" t="s">
        <v>83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2.5956000000000001</v>
      </c>
      <c r="K1393" t="s">
        <v>51</v>
      </c>
    </row>
    <row r="1394" spans="1:11" x14ac:dyDescent="0.45">
      <c r="A1394" t="s">
        <v>85</v>
      </c>
      <c r="B1394" t="s">
        <v>0</v>
      </c>
      <c r="C1394" t="s">
        <v>83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-1.6874</v>
      </c>
      <c r="K1394" t="s">
        <v>51</v>
      </c>
    </row>
    <row r="1395" spans="1:11" x14ac:dyDescent="0.45">
      <c r="A1395" t="s">
        <v>85</v>
      </c>
      <c r="B1395" t="s">
        <v>0</v>
      </c>
      <c r="C1395" t="s">
        <v>83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-6.5587999999999997</v>
      </c>
      <c r="K1395" t="s">
        <v>51</v>
      </c>
    </row>
    <row r="1396" spans="1:11" x14ac:dyDescent="0.45">
      <c r="A1396" t="s">
        <v>85</v>
      </c>
      <c r="B1396" t="s">
        <v>0</v>
      </c>
      <c r="C1396" t="s">
        <v>83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-9.5360999999999994</v>
      </c>
      <c r="K1396" t="s">
        <v>51</v>
      </c>
    </row>
    <row r="1397" spans="1:11" x14ac:dyDescent="0.45">
      <c r="A1397" t="s">
        <v>85</v>
      </c>
      <c r="B1397" t="s">
        <v>0</v>
      </c>
      <c r="C1397" t="s">
        <v>83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-13.3467</v>
      </c>
      <c r="K1397" t="s">
        <v>51</v>
      </c>
    </row>
    <row r="1398" spans="1:11" x14ac:dyDescent="0.45">
      <c r="A1398" t="s">
        <v>85</v>
      </c>
      <c r="B1398" t="s">
        <v>0</v>
      </c>
      <c r="C1398" t="s">
        <v>83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-12.745100000000001</v>
      </c>
      <c r="K1398" t="s">
        <v>51</v>
      </c>
    </row>
    <row r="1399" spans="1:11" x14ac:dyDescent="0.45">
      <c r="A1399" t="s">
        <v>85</v>
      </c>
      <c r="B1399" t="s">
        <v>0</v>
      </c>
      <c r="C1399" t="s">
        <v>83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-11.971</v>
      </c>
      <c r="K1399" t="s">
        <v>51</v>
      </c>
    </row>
    <row r="1400" spans="1:11" x14ac:dyDescent="0.45">
      <c r="A1400" t="s">
        <v>85</v>
      </c>
      <c r="B1400" t="s">
        <v>0</v>
      </c>
      <c r="C1400" t="s">
        <v>83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-10.305899999999999</v>
      </c>
      <c r="K1400" t="s">
        <v>51</v>
      </c>
    </row>
    <row r="1401" spans="1:11" x14ac:dyDescent="0.45">
      <c r="A1401" t="s">
        <v>85</v>
      </c>
      <c r="B1401" t="s">
        <v>0</v>
      </c>
      <c r="C1401" t="s">
        <v>83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-8.0235000000000003</v>
      </c>
      <c r="K1401" t="s">
        <v>51</v>
      </c>
    </row>
    <row r="1402" spans="1:11" x14ac:dyDescent="0.45">
      <c r="A1402" t="s">
        <v>85</v>
      </c>
      <c r="B1402" t="s">
        <v>6</v>
      </c>
      <c r="C1402" t="s">
        <v>83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85</v>
      </c>
      <c r="B1403" t="s">
        <v>6</v>
      </c>
      <c r="C1403" t="s">
        <v>83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85</v>
      </c>
      <c r="B1404" t="s">
        <v>6</v>
      </c>
      <c r="C1404" t="s">
        <v>83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85</v>
      </c>
      <c r="B1405" t="s">
        <v>6</v>
      </c>
      <c r="C1405" t="s">
        <v>83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4.8099999999999997E-2</v>
      </c>
      <c r="K1405" t="s">
        <v>45</v>
      </c>
    </row>
    <row r="1406" spans="1:11" x14ac:dyDescent="0.45">
      <c r="A1406" t="s">
        <v>85</v>
      </c>
      <c r="B1406" t="s">
        <v>6</v>
      </c>
      <c r="C1406" t="s">
        <v>83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3.4632999999999998</v>
      </c>
      <c r="K1406" t="s">
        <v>45</v>
      </c>
    </row>
    <row r="1407" spans="1:11" x14ac:dyDescent="0.45">
      <c r="A1407" t="s">
        <v>85</v>
      </c>
      <c r="B1407" t="s">
        <v>6</v>
      </c>
      <c r="C1407" t="s">
        <v>83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9.5456000000000003</v>
      </c>
      <c r="K1407" t="s">
        <v>45</v>
      </c>
    </row>
    <row r="1408" spans="1:11" x14ac:dyDescent="0.45">
      <c r="A1408" t="s">
        <v>85</v>
      </c>
      <c r="B1408" t="s">
        <v>6</v>
      </c>
      <c r="C1408" t="s">
        <v>83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12.2105</v>
      </c>
      <c r="K1408" t="s">
        <v>45</v>
      </c>
    </row>
    <row r="1409" spans="1:11" x14ac:dyDescent="0.45">
      <c r="A1409" t="s">
        <v>85</v>
      </c>
      <c r="B1409" t="s">
        <v>6</v>
      </c>
      <c r="C1409" t="s">
        <v>83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14.1844</v>
      </c>
      <c r="K1409" t="s">
        <v>45</v>
      </c>
    </row>
    <row r="1410" spans="1:11" x14ac:dyDescent="0.45">
      <c r="A1410" t="s">
        <v>85</v>
      </c>
      <c r="B1410" t="s">
        <v>6</v>
      </c>
      <c r="C1410" t="s">
        <v>83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16.8034</v>
      </c>
      <c r="K1410" t="s">
        <v>45</v>
      </c>
    </row>
    <row r="1411" spans="1:11" x14ac:dyDescent="0.45">
      <c r="A1411" t="s">
        <v>85</v>
      </c>
      <c r="B1411" t="s">
        <v>6</v>
      </c>
      <c r="C1411" t="s">
        <v>83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15.9282</v>
      </c>
      <c r="K1411" t="s">
        <v>45</v>
      </c>
    </row>
    <row r="1412" spans="1:11" x14ac:dyDescent="0.45">
      <c r="A1412" t="s">
        <v>85</v>
      </c>
      <c r="B1412" t="s">
        <v>6</v>
      </c>
      <c r="C1412" t="s">
        <v>83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14.811299999999999</v>
      </c>
      <c r="K1412" t="s">
        <v>45</v>
      </c>
    </row>
    <row r="1413" spans="1:11" x14ac:dyDescent="0.45">
      <c r="A1413" t="s">
        <v>85</v>
      </c>
      <c r="B1413" t="s">
        <v>6</v>
      </c>
      <c r="C1413" t="s">
        <v>83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12.2271</v>
      </c>
      <c r="K1413" t="s">
        <v>45</v>
      </c>
    </row>
    <row r="1414" spans="1:11" x14ac:dyDescent="0.45">
      <c r="A1414" t="s">
        <v>85</v>
      </c>
      <c r="B1414" t="s">
        <v>6</v>
      </c>
      <c r="C1414" t="s">
        <v>83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9.2995999999999999</v>
      </c>
      <c r="K1414" t="s">
        <v>45</v>
      </c>
    </row>
    <row r="1415" spans="1:11" x14ac:dyDescent="0.45">
      <c r="A1415" t="s">
        <v>85</v>
      </c>
      <c r="B1415" t="s">
        <v>6</v>
      </c>
      <c r="C1415" t="s">
        <v>83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6.6923000000000004</v>
      </c>
      <c r="K1415" t="s">
        <v>45</v>
      </c>
    </row>
    <row r="1416" spans="1:11" x14ac:dyDescent="0.45">
      <c r="A1416" t="s">
        <v>85</v>
      </c>
      <c r="B1416" t="s">
        <v>6</v>
      </c>
      <c r="C1416" t="s">
        <v>83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3.8708</v>
      </c>
      <c r="K1416" t="s">
        <v>45</v>
      </c>
    </row>
    <row r="1417" spans="1:11" x14ac:dyDescent="0.45">
      <c r="A1417" t="s">
        <v>85</v>
      </c>
      <c r="B1417" t="s">
        <v>6</v>
      </c>
      <c r="C1417" t="s">
        <v>83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2.4986999999999999</v>
      </c>
      <c r="K1417" t="s">
        <v>45</v>
      </c>
    </row>
    <row r="1418" spans="1:11" x14ac:dyDescent="0.45">
      <c r="A1418" t="s">
        <v>85</v>
      </c>
      <c r="B1418" t="s">
        <v>6</v>
      </c>
      <c r="C1418" t="s">
        <v>83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0.85450000000000004</v>
      </c>
      <c r="K1418" t="s">
        <v>45</v>
      </c>
    </row>
    <row r="1419" spans="1:11" x14ac:dyDescent="0.45">
      <c r="A1419" t="s">
        <v>85</v>
      </c>
      <c r="B1419" t="s">
        <v>6</v>
      </c>
      <c r="C1419" t="s">
        <v>83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0.15579999999999999</v>
      </c>
      <c r="K1419" t="s">
        <v>24</v>
      </c>
    </row>
    <row r="1420" spans="1:11" x14ac:dyDescent="0.45">
      <c r="A1420" t="s">
        <v>85</v>
      </c>
      <c r="B1420" t="s">
        <v>6</v>
      </c>
      <c r="C1420" t="s">
        <v>83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0.16869999999999999</v>
      </c>
      <c r="K1420" t="s">
        <v>24</v>
      </c>
    </row>
    <row r="1421" spans="1:11" x14ac:dyDescent="0.45">
      <c r="A1421" t="s">
        <v>85</v>
      </c>
      <c r="B1421" t="s">
        <v>6</v>
      </c>
      <c r="C1421" t="s">
        <v>83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0.2094</v>
      </c>
      <c r="K1421" t="s">
        <v>24</v>
      </c>
    </row>
    <row r="1422" spans="1:11" x14ac:dyDescent="0.45">
      <c r="A1422" t="s">
        <v>85</v>
      </c>
      <c r="B1422" t="s">
        <v>6</v>
      </c>
      <c r="C1422" t="s">
        <v>83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0.26960000000000001</v>
      </c>
      <c r="K1422" t="s">
        <v>24</v>
      </c>
    </row>
    <row r="1423" spans="1:11" x14ac:dyDescent="0.45">
      <c r="A1423" t="s">
        <v>85</v>
      </c>
      <c r="B1423" t="s">
        <v>6</v>
      </c>
      <c r="C1423" t="s">
        <v>83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0.43859999999999999</v>
      </c>
      <c r="K1423" t="s">
        <v>24</v>
      </c>
    </row>
    <row r="1424" spans="1:11" x14ac:dyDescent="0.45">
      <c r="A1424" t="s">
        <v>85</v>
      </c>
      <c r="B1424" t="s">
        <v>6</v>
      </c>
      <c r="C1424" t="s">
        <v>83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0.46860000000000002</v>
      </c>
      <c r="K1424" t="s">
        <v>24</v>
      </c>
    </row>
    <row r="1425" spans="1:11" x14ac:dyDescent="0.45">
      <c r="A1425" t="s">
        <v>85</v>
      </c>
      <c r="B1425" t="s">
        <v>6</v>
      </c>
      <c r="C1425" t="s">
        <v>83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0.46200000000000002</v>
      </c>
      <c r="K1425" t="s">
        <v>24</v>
      </c>
    </row>
    <row r="1426" spans="1:11" x14ac:dyDescent="0.45">
      <c r="A1426" t="s">
        <v>85</v>
      </c>
      <c r="B1426" t="s">
        <v>6</v>
      </c>
      <c r="C1426" t="s">
        <v>83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0.47189999999999999</v>
      </c>
      <c r="K1426" t="s">
        <v>24</v>
      </c>
    </row>
    <row r="1427" spans="1:11" x14ac:dyDescent="0.45">
      <c r="A1427" t="s">
        <v>85</v>
      </c>
      <c r="B1427" t="s">
        <v>6</v>
      </c>
      <c r="C1427" t="s">
        <v>83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0.49320000000000003</v>
      </c>
      <c r="K1427" t="s">
        <v>24</v>
      </c>
    </row>
    <row r="1428" spans="1:11" x14ac:dyDescent="0.45">
      <c r="A1428" t="s">
        <v>85</v>
      </c>
      <c r="B1428" t="s">
        <v>6</v>
      </c>
      <c r="C1428" t="s">
        <v>83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0.49740000000000001</v>
      </c>
      <c r="K1428" t="s">
        <v>24</v>
      </c>
    </row>
    <row r="1429" spans="1:11" x14ac:dyDescent="0.45">
      <c r="A1429" t="s">
        <v>85</v>
      </c>
      <c r="B1429" t="s">
        <v>6</v>
      </c>
      <c r="C1429" t="s">
        <v>83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0.50029999999999997</v>
      </c>
      <c r="K1429" t="s">
        <v>24</v>
      </c>
    </row>
    <row r="1430" spans="1:11" x14ac:dyDescent="0.45">
      <c r="A1430" t="s">
        <v>85</v>
      </c>
      <c r="B1430" t="s">
        <v>6</v>
      </c>
      <c r="C1430" t="s">
        <v>83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0.4718</v>
      </c>
      <c r="K1430" t="s">
        <v>24</v>
      </c>
    </row>
    <row r="1431" spans="1:11" x14ac:dyDescent="0.45">
      <c r="A1431" t="s">
        <v>85</v>
      </c>
      <c r="B1431" t="s">
        <v>6</v>
      </c>
      <c r="C1431" t="s">
        <v>83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0.44590000000000002</v>
      </c>
      <c r="K1431" t="s">
        <v>24</v>
      </c>
    </row>
    <row r="1432" spans="1:11" x14ac:dyDescent="0.45">
      <c r="A1432" t="s">
        <v>85</v>
      </c>
      <c r="B1432" t="s">
        <v>6</v>
      </c>
      <c r="C1432" t="s">
        <v>83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0.41959999999999997</v>
      </c>
      <c r="K1432" t="s">
        <v>24</v>
      </c>
    </row>
    <row r="1433" spans="1:11" x14ac:dyDescent="0.45">
      <c r="A1433" t="s">
        <v>85</v>
      </c>
      <c r="B1433" t="s">
        <v>6</v>
      </c>
      <c r="C1433" t="s">
        <v>83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0.39729999999999999</v>
      </c>
      <c r="K1433" t="s">
        <v>24</v>
      </c>
    </row>
    <row r="1434" spans="1:11" x14ac:dyDescent="0.45">
      <c r="A1434" t="s">
        <v>85</v>
      </c>
      <c r="B1434" t="s">
        <v>6</v>
      </c>
      <c r="C1434" t="s">
        <v>83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0.37619999999999998</v>
      </c>
      <c r="K1434" t="s">
        <v>24</v>
      </c>
    </row>
    <row r="1435" spans="1:11" x14ac:dyDescent="0.45">
      <c r="A1435" t="s">
        <v>85</v>
      </c>
      <c r="B1435" t="s">
        <v>6</v>
      </c>
      <c r="C1435" t="s">
        <v>83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0.36059999999999998</v>
      </c>
      <c r="K1435" t="s">
        <v>24</v>
      </c>
    </row>
    <row r="1436" spans="1:11" x14ac:dyDescent="0.45">
      <c r="A1436" t="s">
        <v>85</v>
      </c>
      <c r="B1436" t="s">
        <v>6</v>
      </c>
      <c r="C1436" t="s">
        <v>83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9.4100000000000003E-2</v>
      </c>
      <c r="K1436" t="s">
        <v>28</v>
      </c>
    </row>
    <row r="1437" spans="1:11" x14ac:dyDescent="0.45">
      <c r="A1437" t="s">
        <v>85</v>
      </c>
      <c r="B1437" t="s">
        <v>6</v>
      </c>
      <c r="C1437" t="s">
        <v>83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0.1138</v>
      </c>
      <c r="K1437" t="s">
        <v>28</v>
      </c>
    </row>
    <row r="1438" spans="1:11" x14ac:dyDescent="0.45">
      <c r="A1438" t="s">
        <v>85</v>
      </c>
      <c r="B1438" t="s">
        <v>6</v>
      </c>
      <c r="C1438" t="s">
        <v>83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0.14199999999999999</v>
      </c>
      <c r="K1438" t="s">
        <v>28</v>
      </c>
    </row>
    <row r="1439" spans="1:11" x14ac:dyDescent="0.45">
      <c r="A1439" t="s">
        <v>85</v>
      </c>
      <c r="B1439" t="s">
        <v>6</v>
      </c>
      <c r="C1439" t="s">
        <v>83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0.17560000000000001</v>
      </c>
      <c r="K1439" t="s">
        <v>28</v>
      </c>
    </row>
    <row r="1440" spans="1:11" x14ac:dyDescent="0.45">
      <c r="A1440" t="s">
        <v>85</v>
      </c>
      <c r="B1440" t="s">
        <v>6</v>
      </c>
      <c r="C1440" t="s">
        <v>83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0.26429999999999998</v>
      </c>
      <c r="K1440" t="s">
        <v>28</v>
      </c>
    </row>
    <row r="1441" spans="1:11" x14ac:dyDescent="0.45">
      <c r="A1441" t="s">
        <v>85</v>
      </c>
      <c r="B1441" t="s">
        <v>6</v>
      </c>
      <c r="C1441" t="s">
        <v>83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0.2596</v>
      </c>
      <c r="K1441" t="s">
        <v>28</v>
      </c>
    </row>
    <row r="1442" spans="1:11" x14ac:dyDescent="0.45">
      <c r="A1442" t="s">
        <v>85</v>
      </c>
      <c r="B1442" t="s">
        <v>6</v>
      </c>
      <c r="C1442" t="s">
        <v>83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0.25600000000000001</v>
      </c>
      <c r="K1442" t="s">
        <v>28</v>
      </c>
    </row>
    <row r="1443" spans="1:11" x14ac:dyDescent="0.45">
      <c r="A1443" t="s">
        <v>85</v>
      </c>
      <c r="B1443" t="s">
        <v>6</v>
      </c>
      <c r="C1443" t="s">
        <v>83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0.2631</v>
      </c>
      <c r="K1443" t="s">
        <v>28</v>
      </c>
    </row>
    <row r="1444" spans="1:11" x14ac:dyDescent="0.45">
      <c r="A1444" t="s">
        <v>85</v>
      </c>
      <c r="B1444" t="s">
        <v>6</v>
      </c>
      <c r="C1444" t="s">
        <v>83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0.29549999999999998</v>
      </c>
      <c r="K1444" t="s">
        <v>28</v>
      </c>
    </row>
    <row r="1445" spans="1:11" x14ac:dyDescent="0.45">
      <c r="A1445" t="s">
        <v>85</v>
      </c>
      <c r="B1445" t="s">
        <v>6</v>
      </c>
      <c r="C1445" t="s">
        <v>83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0.30830000000000002</v>
      </c>
      <c r="K1445" t="s">
        <v>28</v>
      </c>
    </row>
    <row r="1446" spans="1:11" x14ac:dyDescent="0.45">
      <c r="A1446" t="s">
        <v>85</v>
      </c>
      <c r="B1446" t="s">
        <v>6</v>
      </c>
      <c r="C1446" t="s">
        <v>83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0.32329999999999998</v>
      </c>
      <c r="K1446" t="s">
        <v>28</v>
      </c>
    </row>
    <row r="1447" spans="1:11" x14ac:dyDescent="0.45">
      <c r="A1447" t="s">
        <v>85</v>
      </c>
      <c r="B1447" t="s">
        <v>6</v>
      </c>
      <c r="C1447" t="s">
        <v>83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0.32850000000000001</v>
      </c>
      <c r="K1447" t="s">
        <v>28</v>
      </c>
    </row>
    <row r="1448" spans="1:11" x14ac:dyDescent="0.45">
      <c r="A1448" t="s">
        <v>85</v>
      </c>
      <c r="B1448" t="s">
        <v>6</v>
      </c>
      <c r="C1448" t="s">
        <v>83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0.3342</v>
      </c>
      <c r="K1448" t="s">
        <v>28</v>
      </c>
    </row>
    <row r="1449" spans="1:11" x14ac:dyDescent="0.45">
      <c r="A1449" t="s">
        <v>85</v>
      </c>
      <c r="B1449" t="s">
        <v>6</v>
      </c>
      <c r="C1449" t="s">
        <v>83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0.33800000000000002</v>
      </c>
      <c r="K1449" t="s">
        <v>28</v>
      </c>
    </row>
    <row r="1450" spans="1:11" x14ac:dyDescent="0.45">
      <c r="A1450" t="s">
        <v>85</v>
      </c>
      <c r="B1450" t="s">
        <v>6</v>
      </c>
      <c r="C1450" t="s">
        <v>83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0.34560000000000002</v>
      </c>
      <c r="K1450" t="s">
        <v>28</v>
      </c>
    </row>
    <row r="1451" spans="1:11" x14ac:dyDescent="0.45">
      <c r="A1451" t="s">
        <v>85</v>
      </c>
      <c r="B1451" t="s">
        <v>6</v>
      </c>
      <c r="C1451" t="s">
        <v>83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0.3488</v>
      </c>
      <c r="K1451" t="s">
        <v>28</v>
      </c>
    </row>
    <row r="1452" spans="1:11" x14ac:dyDescent="0.45">
      <c r="A1452" t="s">
        <v>85</v>
      </c>
      <c r="B1452" t="s">
        <v>6</v>
      </c>
      <c r="C1452" t="s">
        <v>83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0.35449999999999998</v>
      </c>
      <c r="K1452" t="s">
        <v>28</v>
      </c>
    </row>
    <row r="1453" spans="1:11" x14ac:dyDescent="0.45">
      <c r="A1453" t="s">
        <v>85</v>
      </c>
      <c r="B1453" t="s">
        <v>6</v>
      </c>
      <c r="C1453" t="s">
        <v>83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1.0699999999999999E-2</v>
      </c>
      <c r="K1453" t="s">
        <v>27</v>
      </c>
    </row>
    <row r="1454" spans="1:11" x14ac:dyDescent="0.45">
      <c r="A1454" t="s">
        <v>85</v>
      </c>
      <c r="B1454" t="s">
        <v>6</v>
      </c>
      <c r="C1454" t="s">
        <v>83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1.7899999999999999E-2</v>
      </c>
      <c r="K1454" t="s">
        <v>27</v>
      </c>
    </row>
    <row r="1455" spans="1:11" x14ac:dyDescent="0.45">
      <c r="A1455" t="s">
        <v>85</v>
      </c>
      <c r="B1455" t="s">
        <v>6</v>
      </c>
      <c r="C1455" t="s">
        <v>83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3.4799999999999998E-2</v>
      </c>
      <c r="K1455" t="s">
        <v>27</v>
      </c>
    </row>
    <row r="1456" spans="1:11" x14ac:dyDescent="0.45">
      <c r="A1456" t="s">
        <v>85</v>
      </c>
      <c r="B1456" t="s">
        <v>6</v>
      </c>
      <c r="C1456" t="s">
        <v>83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6.0999999999999999E-2</v>
      </c>
      <c r="K1456" t="s">
        <v>27</v>
      </c>
    </row>
    <row r="1457" spans="1:11" x14ac:dyDescent="0.45">
      <c r="A1457" t="s">
        <v>85</v>
      </c>
      <c r="B1457" t="s">
        <v>6</v>
      </c>
      <c r="C1457" t="s">
        <v>83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0.1318</v>
      </c>
      <c r="K1457" t="s">
        <v>27</v>
      </c>
    </row>
    <row r="1458" spans="1:11" x14ac:dyDescent="0.45">
      <c r="A1458" t="s">
        <v>85</v>
      </c>
      <c r="B1458" t="s">
        <v>6</v>
      </c>
      <c r="C1458" t="s">
        <v>83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0.12909999999999999</v>
      </c>
      <c r="K1458" t="s">
        <v>27</v>
      </c>
    </row>
    <row r="1459" spans="1:11" x14ac:dyDescent="0.45">
      <c r="A1459" t="s">
        <v>85</v>
      </c>
      <c r="B1459" t="s">
        <v>6</v>
      </c>
      <c r="C1459" t="s">
        <v>83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0.12559999999999999</v>
      </c>
      <c r="K1459" t="s">
        <v>27</v>
      </c>
    </row>
    <row r="1460" spans="1:11" x14ac:dyDescent="0.45">
      <c r="A1460" t="s">
        <v>85</v>
      </c>
      <c r="B1460" t="s">
        <v>6</v>
      </c>
      <c r="C1460" t="s">
        <v>83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0.12280000000000001</v>
      </c>
      <c r="K1460" t="s">
        <v>27</v>
      </c>
    </row>
    <row r="1461" spans="1:11" x14ac:dyDescent="0.45">
      <c r="A1461" t="s">
        <v>85</v>
      </c>
      <c r="B1461" t="s">
        <v>6</v>
      </c>
      <c r="C1461" t="s">
        <v>83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0.1244</v>
      </c>
      <c r="K1461" t="s">
        <v>27</v>
      </c>
    </row>
    <row r="1462" spans="1:11" x14ac:dyDescent="0.45">
      <c r="A1462" t="s">
        <v>85</v>
      </c>
      <c r="B1462" t="s">
        <v>6</v>
      </c>
      <c r="C1462" t="s">
        <v>83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0.1231</v>
      </c>
      <c r="K1462" t="s">
        <v>27</v>
      </c>
    </row>
    <row r="1463" spans="1:11" x14ac:dyDescent="0.45">
      <c r="A1463" t="s">
        <v>85</v>
      </c>
      <c r="B1463" t="s">
        <v>6</v>
      </c>
      <c r="C1463" t="s">
        <v>83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0.12139999999999999</v>
      </c>
      <c r="K1463" t="s">
        <v>27</v>
      </c>
    </row>
    <row r="1464" spans="1:11" x14ac:dyDescent="0.45">
      <c r="A1464" t="s">
        <v>85</v>
      </c>
      <c r="B1464" t="s">
        <v>6</v>
      </c>
      <c r="C1464" t="s">
        <v>83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0.1171</v>
      </c>
      <c r="K1464" t="s">
        <v>27</v>
      </c>
    </row>
    <row r="1465" spans="1:11" x14ac:dyDescent="0.45">
      <c r="A1465" t="s">
        <v>85</v>
      </c>
      <c r="B1465" t="s">
        <v>6</v>
      </c>
      <c r="C1465" t="s">
        <v>83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0.11409999999999999</v>
      </c>
      <c r="K1465" t="s">
        <v>27</v>
      </c>
    </row>
    <row r="1466" spans="1:11" x14ac:dyDescent="0.45">
      <c r="A1466" t="s">
        <v>85</v>
      </c>
      <c r="B1466" t="s">
        <v>6</v>
      </c>
      <c r="C1466" t="s">
        <v>83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0.11119999999999999</v>
      </c>
      <c r="K1466" t="s">
        <v>27</v>
      </c>
    </row>
    <row r="1467" spans="1:11" x14ac:dyDescent="0.45">
      <c r="A1467" t="s">
        <v>85</v>
      </c>
      <c r="B1467" t="s">
        <v>6</v>
      </c>
      <c r="C1467" t="s">
        <v>83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0.10979999999999999</v>
      </c>
      <c r="K1467" t="s">
        <v>27</v>
      </c>
    </row>
    <row r="1468" spans="1:11" x14ac:dyDescent="0.45">
      <c r="A1468" t="s">
        <v>85</v>
      </c>
      <c r="B1468" t="s">
        <v>6</v>
      </c>
      <c r="C1468" t="s">
        <v>83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0.1091</v>
      </c>
      <c r="K1468" t="s">
        <v>27</v>
      </c>
    </row>
    <row r="1469" spans="1:11" x14ac:dyDescent="0.45">
      <c r="A1469" t="s">
        <v>85</v>
      </c>
      <c r="B1469" t="s">
        <v>6</v>
      </c>
      <c r="C1469" t="s">
        <v>83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0.1099</v>
      </c>
      <c r="K1469" t="s">
        <v>27</v>
      </c>
    </row>
    <row r="1470" spans="1:11" x14ac:dyDescent="0.45">
      <c r="A1470" t="s">
        <v>85</v>
      </c>
      <c r="B1470" t="s">
        <v>6</v>
      </c>
      <c r="C1470" t="s">
        <v>83</v>
      </c>
      <c r="D1470" t="s">
        <v>84</v>
      </c>
      <c r="E1470" t="s">
        <v>25</v>
      </c>
      <c r="F1470" t="s">
        <v>84</v>
      </c>
      <c r="G1470" t="s">
        <v>26</v>
      </c>
      <c r="H1470" t="s">
        <v>81</v>
      </c>
      <c r="I1470">
        <v>2020</v>
      </c>
      <c r="J1470">
        <v>4.7999999999999996E-3</v>
      </c>
      <c r="K1470" t="s">
        <v>84</v>
      </c>
    </row>
    <row r="1471" spans="1:11" x14ac:dyDescent="0.45">
      <c r="A1471" t="s">
        <v>85</v>
      </c>
      <c r="B1471" t="s">
        <v>6</v>
      </c>
      <c r="C1471" t="s">
        <v>83</v>
      </c>
      <c r="D1471" t="s">
        <v>84</v>
      </c>
      <c r="E1471" t="s">
        <v>25</v>
      </c>
      <c r="F1471" t="s">
        <v>84</v>
      </c>
      <c r="G1471" t="s">
        <v>26</v>
      </c>
      <c r="H1471" t="s">
        <v>81</v>
      </c>
      <c r="I1471">
        <v>2025</v>
      </c>
      <c r="J1471">
        <v>2.0400000000000001E-2</v>
      </c>
      <c r="K1471" t="s">
        <v>84</v>
      </c>
    </row>
    <row r="1472" spans="1:11" x14ac:dyDescent="0.45">
      <c r="A1472" t="s">
        <v>85</v>
      </c>
      <c r="B1472" t="s">
        <v>6</v>
      </c>
      <c r="C1472" t="s">
        <v>83</v>
      </c>
      <c r="D1472" t="s">
        <v>84</v>
      </c>
      <c r="E1472" t="s">
        <v>25</v>
      </c>
      <c r="F1472" t="s">
        <v>84</v>
      </c>
      <c r="G1472" t="s">
        <v>26</v>
      </c>
      <c r="H1472" t="s">
        <v>81</v>
      </c>
      <c r="I1472">
        <v>2030</v>
      </c>
      <c r="J1472">
        <v>4.5100000000000001E-2</v>
      </c>
      <c r="K1472" t="s">
        <v>84</v>
      </c>
    </row>
    <row r="1473" spans="1:12" x14ac:dyDescent="0.45">
      <c r="A1473" t="s">
        <v>85</v>
      </c>
      <c r="B1473" t="s">
        <v>6</v>
      </c>
      <c r="C1473" t="s">
        <v>83</v>
      </c>
      <c r="D1473" t="s">
        <v>84</v>
      </c>
      <c r="E1473" t="s">
        <v>25</v>
      </c>
      <c r="F1473" t="s">
        <v>84</v>
      </c>
      <c r="G1473" t="s">
        <v>26</v>
      </c>
      <c r="H1473" t="s">
        <v>81</v>
      </c>
      <c r="I1473">
        <v>2035</v>
      </c>
      <c r="J1473">
        <v>7.0099999999999996E-2</v>
      </c>
      <c r="K1473" t="s">
        <v>84</v>
      </c>
    </row>
    <row r="1474" spans="1:12" x14ac:dyDescent="0.45">
      <c r="A1474" t="s">
        <v>85</v>
      </c>
      <c r="B1474" t="s">
        <v>6</v>
      </c>
      <c r="C1474" t="s">
        <v>83</v>
      </c>
      <c r="D1474" t="s">
        <v>84</v>
      </c>
      <c r="E1474" t="s">
        <v>25</v>
      </c>
      <c r="F1474" t="s">
        <v>84</v>
      </c>
      <c r="G1474" t="s">
        <v>26</v>
      </c>
      <c r="H1474" t="s">
        <v>81</v>
      </c>
      <c r="I1474">
        <v>2040</v>
      </c>
      <c r="J1474">
        <v>0.1104</v>
      </c>
      <c r="K1474" t="s">
        <v>84</v>
      </c>
    </row>
    <row r="1475" spans="1:12" x14ac:dyDescent="0.45">
      <c r="A1475" t="s">
        <v>85</v>
      </c>
      <c r="B1475" t="s">
        <v>6</v>
      </c>
      <c r="C1475" t="s">
        <v>83</v>
      </c>
      <c r="D1475" t="s">
        <v>84</v>
      </c>
      <c r="E1475" t="s">
        <v>25</v>
      </c>
      <c r="F1475" t="s">
        <v>84</v>
      </c>
      <c r="G1475" t="s">
        <v>26</v>
      </c>
      <c r="H1475" t="s">
        <v>81</v>
      </c>
      <c r="I1475">
        <v>2045</v>
      </c>
      <c r="J1475">
        <v>8.14E-2</v>
      </c>
      <c r="K1475" t="s">
        <v>84</v>
      </c>
    </row>
    <row r="1476" spans="1:12" x14ac:dyDescent="0.45">
      <c r="A1476" t="s">
        <v>85</v>
      </c>
      <c r="B1476" t="s">
        <v>6</v>
      </c>
      <c r="C1476" t="s">
        <v>83</v>
      </c>
      <c r="D1476" t="s">
        <v>84</v>
      </c>
      <c r="E1476" t="s">
        <v>25</v>
      </c>
      <c r="F1476" t="s">
        <v>84</v>
      </c>
      <c r="G1476" t="s">
        <v>26</v>
      </c>
      <c r="H1476" t="s">
        <v>81</v>
      </c>
      <c r="I1476">
        <v>2050</v>
      </c>
      <c r="J1476">
        <v>7.2499999999999995E-2</v>
      </c>
      <c r="K1476" t="s">
        <v>84</v>
      </c>
    </row>
    <row r="1477" spans="1:12" x14ac:dyDescent="0.45">
      <c r="A1477" t="s">
        <v>85</v>
      </c>
      <c r="B1477" t="s">
        <v>6</v>
      </c>
      <c r="C1477" t="s">
        <v>83</v>
      </c>
      <c r="D1477" t="s">
        <v>84</v>
      </c>
      <c r="E1477" t="s">
        <v>25</v>
      </c>
      <c r="F1477" t="s">
        <v>84</v>
      </c>
      <c r="G1477" t="s">
        <v>26</v>
      </c>
      <c r="H1477" t="s">
        <v>81</v>
      </c>
      <c r="I1477">
        <v>2055</v>
      </c>
      <c r="J1477">
        <v>6.1499999999999999E-2</v>
      </c>
      <c r="K1477" t="s">
        <v>84</v>
      </c>
    </row>
    <row r="1478" spans="1:12" x14ac:dyDescent="0.45">
      <c r="A1478" t="s">
        <v>85</v>
      </c>
      <c r="B1478" t="s">
        <v>6</v>
      </c>
      <c r="C1478" t="s">
        <v>83</v>
      </c>
      <c r="D1478" t="s">
        <v>84</v>
      </c>
      <c r="E1478" t="s">
        <v>25</v>
      </c>
      <c r="F1478" t="s">
        <v>84</v>
      </c>
      <c r="G1478" t="s">
        <v>26</v>
      </c>
      <c r="H1478" t="s">
        <v>81</v>
      </c>
      <c r="I1478">
        <v>2060</v>
      </c>
      <c r="J1478">
        <v>7.0599999999999996E-2</v>
      </c>
      <c r="K1478" t="s">
        <v>84</v>
      </c>
    </row>
    <row r="1479" spans="1:12" x14ac:dyDescent="0.45">
      <c r="A1479" t="s">
        <v>85</v>
      </c>
      <c r="B1479" t="s">
        <v>6</v>
      </c>
      <c r="C1479" t="s">
        <v>83</v>
      </c>
      <c r="D1479" t="s">
        <v>84</v>
      </c>
      <c r="E1479" t="s">
        <v>25</v>
      </c>
      <c r="F1479" t="s">
        <v>84</v>
      </c>
      <c r="G1479" t="s">
        <v>26</v>
      </c>
      <c r="H1479" t="s">
        <v>81</v>
      </c>
      <c r="I1479">
        <v>2065</v>
      </c>
      <c r="J1479">
        <v>8.1699999999999995E-2</v>
      </c>
      <c r="K1479" t="s">
        <v>84</v>
      </c>
    </row>
    <row r="1480" spans="1:12" x14ac:dyDescent="0.45">
      <c r="A1480" t="s">
        <v>85</v>
      </c>
      <c r="B1480" t="s">
        <v>6</v>
      </c>
      <c r="C1480" t="s">
        <v>83</v>
      </c>
      <c r="D1480" t="s">
        <v>84</v>
      </c>
      <c r="E1480" t="s">
        <v>25</v>
      </c>
      <c r="F1480" t="s">
        <v>84</v>
      </c>
      <c r="G1480" t="s">
        <v>26</v>
      </c>
      <c r="H1480" t="s">
        <v>81</v>
      </c>
      <c r="I1480">
        <v>2070</v>
      </c>
      <c r="J1480">
        <v>8.5300000000000001E-2</v>
      </c>
      <c r="K1480" t="s">
        <v>84</v>
      </c>
    </row>
    <row r="1481" spans="1:12" x14ac:dyDescent="0.45">
      <c r="A1481" t="s">
        <v>85</v>
      </c>
      <c r="B1481" t="s">
        <v>6</v>
      </c>
      <c r="C1481" t="s">
        <v>83</v>
      </c>
      <c r="D1481" t="s">
        <v>84</v>
      </c>
      <c r="E1481" t="s">
        <v>25</v>
      </c>
      <c r="F1481" t="s">
        <v>84</v>
      </c>
      <c r="G1481" t="s">
        <v>26</v>
      </c>
      <c r="H1481" t="s">
        <v>81</v>
      </c>
      <c r="I1481">
        <v>2075</v>
      </c>
      <c r="J1481">
        <v>0.1045</v>
      </c>
      <c r="K1481" t="s">
        <v>84</v>
      </c>
    </row>
    <row r="1482" spans="1:12" x14ac:dyDescent="0.45">
      <c r="A1482" t="s">
        <v>85</v>
      </c>
      <c r="B1482" t="s">
        <v>6</v>
      </c>
      <c r="C1482" t="s">
        <v>83</v>
      </c>
      <c r="D1482" t="s">
        <v>84</v>
      </c>
      <c r="E1482" t="s">
        <v>25</v>
      </c>
      <c r="F1482" t="s">
        <v>84</v>
      </c>
      <c r="G1482" t="s">
        <v>26</v>
      </c>
      <c r="H1482" t="s">
        <v>81</v>
      </c>
      <c r="I1482">
        <v>2080</v>
      </c>
      <c r="J1482">
        <v>0.11409999999999999</v>
      </c>
      <c r="K1482" t="s">
        <v>84</v>
      </c>
    </row>
    <row r="1483" spans="1:12" x14ac:dyDescent="0.45">
      <c r="A1483" t="s">
        <v>85</v>
      </c>
      <c r="B1483" t="s">
        <v>6</v>
      </c>
      <c r="C1483" t="s">
        <v>83</v>
      </c>
      <c r="D1483" t="s">
        <v>84</v>
      </c>
      <c r="E1483" t="s">
        <v>25</v>
      </c>
      <c r="F1483" t="s">
        <v>84</v>
      </c>
      <c r="G1483" t="s">
        <v>26</v>
      </c>
      <c r="H1483" t="s">
        <v>81</v>
      </c>
      <c r="I1483">
        <v>2085</v>
      </c>
      <c r="J1483">
        <v>0.11990000000000001</v>
      </c>
      <c r="K1483" t="s">
        <v>84</v>
      </c>
    </row>
    <row r="1484" spans="1:12" x14ac:dyDescent="0.45">
      <c r="A1484" t="s">
        <v>85</v>
      </c>
      <c r="B1484" t="s">
        <v>6</v>
      </c>
      <c r="C1484" t="s">
        <v>83</v>
      </c>
      <c r="D1484" t="s">
        <v>84</v>
      </c>
      <c r="E1484" t="s">
        <v>25</v>
      </c>
      <c r="F1484" t="s">
        <v>84</v>
      </c>
      <c r="G1484" t="s">
        <v>26</v>
      </c>
      <c r="H1484" t="s">
        <v>81</v>
      </c>
      <c r="I1484">
        <v>2090</v>
      </c>
      <c r="J1484">
        <v>0.1207</v>
      </c>
      <c r="K1484" t="s">
        <v>84</v>
      </c>
    </row>
    <row r="1485" spans="1:12" x14ac:dyDescent="0.45">
      <c r="A1485" t="s">
        <v>85</v>
      </c>
      <c r="B1485" t="s">
        <v>6</v>
      </c>
      <c r="C1485" t="s">
        <v>83</v>
      </c>
      <c r="D1485" t="s">
        <v>84</v>
      </c>
      <c r="E1485" t="s">
        <v>25</v>
      </c>
      <c r="F1485" t="s">
        <v>84</v>
      </c>
      <c r="G1485" t="s">
        <v>26</v>
      </c>
      <c r="H1485" t="s">
        <v>81</v>
      </c>
      <c r="I1485">
        <v>2095</v>
      </c>
      <c r="J1485">
        <v>0.1148</v>
      </c>
      <c r="K1485" t="s">
        <v>84</v>
      </c>
    </row>
    <row r="1486" spans="1:12" x14ac:dyDescent="0.45">
      <c r="A1486" t="s">
        <v>85</v>
      </c>
      <c r="B1486" t="s">
        <v>6</v>
      </c>
      <c r="C1486" t="s">
        <v>83</v>
      </c>
      <c r="D1486" t="s">
        <v>84</v>
      </c>
      <c r="E1486" t="s">
        <v>25</v>
      </c>
      <c r="F1486" t="s">
        <v>84</v>
      </c>
      <c r="G1486" t="s">
        <v>26</v>
      </c>
      <c r="H1486" t="s">
        <v>81</v>
      </c>
      <c r="I1486">
        <v>2100</v>
      </c>
      <c r="J1486">
        <v>0.1071</v>
      </c>
      <c r="K1486" t="s">
        <v>84</v>
      </c>
    </row>
    <row r="1487" spans="1:12" x14ac:dyDescent="0.45">
      <c r="A1487" t="s">
        <v>85</v>
      </c>
      <c r="B1487" t="s">
        <v>6</v>
      </c>
      <c r="C1487" t="s">
        <v>83</v>
      </c>
      <c r="D1487" t="s">
        <v>52</v>
      </c>
      <c r="E1487" t="s">
        <v>25</v>
      </c>
      <c r="F1487" t="s">
        <v>52</v>
      </c>
      <c r="G1487" t="s">
        <v>70</v>
      </c>
      <c r="I1487">
        <v>2020</v>
      </c>
      <c r="J1487">
        <v>0.32550000000000001</v>
      </c>
      <c r="K1487" t="s">
        <v>52</v>
      </c>
      <c r="L1487">
        <v>94</v>
      </c>
    </row>
    <row r="1488" spans="1:12" x14ac:dyDescent="0.45">
      <c r="A1488" t="s">
        <v>85</v>
      </c>
      <c r="B1488" t="s">
        <v>6</v>
      </c>
      <c r="C1488" t="s">
        <v>83</v>
      </c>
      <c r="D1488" t="s">
        <v>52</v>
      </c>
      <c r="E1488" t="s">
        <v>25</v>
      </c>
      <c r="F1488" t="s">
        <v>52</v>
      </c>
      <c r="G1488" t="s">
        <v>70</v>
      </c>
      <c r="I1488">
        <v>2025</v>
      </c>
      <c r="J1488">
        <v>0.30630000000000002</v>
      </c>
      <c r="K1488" t="s">
        <v>52</v>
      </c>
      <c r="L1488">
        <v>94</v>
      </c>
    </row>
    <row r="1489" spans="1:12" x14ac:dyDescent="0.45">
      <c r="A1489" t="s">
        <v>85</v>
      </c>
      <c r="B1489" t="s">
        <v>6</v>
      </c>
      <c r="C1489" t="s">
        <v>83</v>
      </c>
      <c r="D1489" t="s">
        <v>52</v>
      </c>
      <c r="E1489" t="s">
        <v>25</v>
      </c>
      <c r="F1489" t="s">
        <v>52</v>
      </c>
      <c r="G1489" t="s">
        <v>70</v>
      </c>
      <c r="I1489">
        <v>2030</v>
      </c>
      <c r="J1489">
        <v>0.29260000000000003</v>
      </c>
      <c r="K1489" t="s">
        <v>52</v>
      </c>
      <c r="L1489">
        <v>94</v>
      </c>
    </row>
    <row r="1490" spans="1:12" x14ac:dyDescent="0.45">
      <c r="A1490" t="s">
        <v>85</v>
      </c>
      <c r="B1490" t="s">
        <v>6</v>
      </c>
      <c r="C1490" t="s">
        <v>83</v>
      </c>
      <c r="D1490" t="s">
        <v>52</v>
      </c>
      <c r="E1490" t="s">
        <v>25</v>
      </c>
      <c r="F1490" t="s">
        <v>52</v>
      </c>
      <c r="G1490" t="s">
        <v>70</v>
      </c>
      <c r="I1490">
        <v>2035</v>
      </c>
      <c r="J1490">
        <v>0.2505</v>
      </c>
      <c r="K1490" t="s">
        <v>52</v>
      </c>
      <c r="L1490">
        <v>94</v>
      </c>
    </row>
    <row r="1491" spans="1:12" x14ac:dyDescent="0.45">
      <c r="A1491" t="s">
        <v>85</v>
      </c>
      <c r="B1491" t="s">
        <v>6</v>
      </c>
      <c r="C1491" t="s">
        <v>83</v>
      </c>
      <c r="D1491" t="s">
        <v>52</v>
      </c>
      <c r="E1491" t="s">
        <v>25</v>
      </c>
      <c r="F1491" t="s">
        <v>52</v>
      </c>
      <c r="G1491" t="s">
        <v>70</v>
      </c>
      <c r="I1491">
        <v>2040</v>
      </c>
      <c r="J1491">
        <v>0.22090000000000001</v>
      </c>
      <c r="K1491" t="s">
        <v>52</v>
      </c>
      <c r="L1491">
        <v>94</v>
      </c>
    </row>
    <row r="1492" spans="1:12" x14ac:dyDescent="0.45">
      <c r="A1492" t="s">
        <v>85</v>
      </c>
      <c r="B1492" t="s">
        <v>6</v>
      </c>
      <c r="C1492" t="s">
        <v>83</v>
      </c>
      <c r="D1492" t="s">
        <v>52</v>
      </c>
      <c r="E1492" t="s">
        <v>25</v>
      </c>
      <c r="F1492" t="s">
        <v>52</v>
      </c>
      <c r="G1492" t="s">
        <v>70</v>
      </c>
      <c r="I1492">
        <v>2045</v>
      </c>
      <c r="J1492">
        <v>7.4999999999999997E-2</v>
      </c>
      <c r="K1492" t="s">
        <v>52</v>
      </c>
      <c r="L1492">
        <v>94</v>
      </c>
    </row>
    <row r="1493" spans="1:12" x14ac:dyDescent="0.45">
      <c r="A1493" t="s">
        <v>85</v>
      </c>
      <c r="B1493" t="s">
        <v>6</v>
      </c>
      <c r="C1493" t="s">
        <v>83</v>
      </c>
      <c r="D1493" t="s">
        <v>52</v>
      </c>
      <c r="E1493" t="s">
        <v>25</v>
      </c>
      <c r="F1493" t="s">
        <v>52</v>
      </c>
      <c r="G1493" t="s">
        <v>70</v>
      </c>
      <c r="I1493">
        <v>2050</v>
      </c>
      <c r="J1493">
        <v>1.6E-2</v>
      </c>
      <c r="K1493" t="s">
        <v>52</v>
      </c>
      <c r="L1493">
        <v>94</v>
      </c>
    </row>
    <row r="1494" spans="1:12" x14ac:dyDescent="0.45">
      <c r="A1494" t="s">
        <v>85</v>
      </c>
      <c r="B1494" t="s">
        <v>6</v>
      </c>
      <c r="C1494" t="s">
        <v>83</v>
      </c>
      <c r="D1494" t="s">
        <v>52</v>
      </c>
      <c r="E1494" t="s">
        <v>25</v>
      </c>
      <c r="F1494" t="s">
        <v>52</v>
      </c>
      <c r="G1494" t="s">
        <v>70</v>
      </c>
      <c r="I1494">
        <v>2055</v>
      </c>
      <c r="J1494">
        <v>5.9999999999999995E-4</v>
      </c>
      <c r="K1494" t="s">
        <v>52</v>
      </c>
      <c r="L1494">
        <v>94</v>
      </c>
    </row>
    <row r="1495" spans="1:12" x14ac:dyDescent="0.45">
      <c r="A1495" t="s">
        <v>85</v>
      </c>
      <c r="B1495" t="s">
        <v>6</v>
      </c>
      <c r="C1495" t="s">
        <v>83</v>
      </c>
      <c r="D1495" t="s">
        <v>52</v>
      </c>
      <c r="E1495" t="s">
        <v>25</v>
      </c>
      <c r="F1495" t="s">
        <v>52</v>
      </c>
      <c r="G1495" t="s">
        <v>70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85</v>
      </c>
      <c r="B1496" t="s">
        <v>6</v>
      </c>
      <c r="C1496" t="s">
        <v>83</v>
      </c>
      <c r="D1496" t="s">
        <v>52</v>
      </c>
      <c r="E1496" t="s">
        <v>25</v>
      </c>
      <c r="F1496" t="s">
        <v>52</v>
      </c>
      <c r="G1496" t="s">
        <v>70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85</v>
      </c>
      <c r="B1497" t="s">
        <v>6</v>
      </c>
      <c r="C1497" t="s">
        <v>83</v>
      </c>
      <c r="D1497" t="s">
        <v>52</v>
      </c>
      <c r="E1497" t="s">
        <v>25</v>
      </c>
      <c r="F1497" t="s">
        <v>52</v>
      </c>
      <c r="G1497" t="s">
        <v>70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85</v>
      </c>
      <c r="B1498" t="s">
        <v>6</v>
      </c>
      <c r="C1498" t="s">
        <v>83</v>
      </c>
      <c r="D1498" t="s">
        <v>52</v>
      </c>
      <c r="E1498" t="s">
        <v>25</v>
      </c>
      <c r="F1498" t="s">
        <v>52</v>
      </c>
      <c r="G1498" t="s">
        <v>70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85</v>
      </c>
      <c r="B1499" t="s">
        <v>6</v>
      </c>
      <c r="C1499" t="s">
        <v>83</v>
      </c>
      <c r="D1499" t="s">
        <v>52</v>
      </c>
      <c r="E1499" t="s">
        <v>25</v>
      </c>
      <c r="F1499" t="s">
        <v>52</v>
      </c>
      <c r="G1499" t="s">
        <v>70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85</v>
      </c>
      <c r="B1500" t="s">
        <v>6</v>
      </c>
      <c r="C1500" t="s">
        <v>83</v>
      </c>
      <c r="D1500" t="s">
        <v>52</v>
      </c>
      <c r="E1500" t="s">
        <v>25</v>
      </c>
      <c r="F1500" t="s">
        <v>52</v>
      </c>
      <c r="G1500" t="s">
        <v>70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85</v>
      </c>
      <c r="B1501" t="s">
        <v>6</v>
      </c>
      <c r="C1501" t="s">
        <v>83</v>
      </c>
      <c r="D1501" t="s">
        <v>52</v>
      </c>
      <c r="E1501" t="s">
        <v>25</v>
      </c>
      <c r="F1501" t="s">
        <v>52</v>
      </c>
      <c r="G1501" t="s">
        <v>70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85</v>
      </c>
      <c r="B1502" t="s">
        <v>6</v>
      </c>
      <c r="C1502" t="s">
        <v>83</v>
      </c>
      <c r="D1502" t="s">
        <v>52</v>
      </c>
      <c r="E1502" t="s">
        <v>25</v>
      </c>
      <c r="F1502" t="s">
        <v>52</v>
      </c>
      <c r="G1502" t="s">
        <v>70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85</v>
      </c>
      <c r="B1503" t="s">
        <v>6</v>
      </c>
      <c r="C1503" t="s">
        <v>83</v>
      </c>
      <c r="D1503" t="s">
        <v>52</v>
      </c>
      <c r="E1503" t="s">
        <v>25</v>
      </c>
      <c r="F1503" t="s">
        <v>52</v>
      </c>
      <c r="G1503" t="s">
        <v>70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85</v>
      </c>
      <c r="B1504" t="s">
        <v>6</v>
      </c>
      <c r="C1504" t="s">
        <v>83</v>
      </c>
      <c r="D1504" t="s">
        <v>53</v>
      </c>
      <c r="E1504" t="s">
        <v>25</v>
      </c>
      <c r="F1504" t="s">
        <v>53</v>
      </c>
      <c r="G1504" t="s">
        <v>70</v>
      </c>
      <c r="I1504">
        <v>2020</v>
      </c>
      <c r="J1504">
        <v>0.10780000000000001</v>
      </c>
      <c r="K1504" t="s">
        <v>53</v>
      </c>
      <c r="L1504">
        <v>55</v>
      </c>
    </row>
    <row r="1505" spans="1:12" x14ac:dyDescent="0.45">
      <c r="A1505" t="s">
        <v>85</v>
      </c>
      <c r="B1505" t="s">
        <v>6</v>
      </c>
      <c r="C1505" t="s">
        <v>83</v>
      </c>
      <c r="D1505" t="s">
        <v>53</v>
      </c>
      <c r="E1505" t="s">
        <v>25</v>
      </c>
      <c r="F1505" t="s">
        <v>53</v>
      </c>
      <c r="G1505" t="s">
        <v>70</v>
      </c>
      <c r="I1505">
        <v>2025</v>
      </c>
      <c r="J1505">
        <v>0.1318</v>
      </c>
      <c r="K1505" t="s">
        <v>53</v>
      </c>
      <c r="L1505">
        <v>55</v>
      </c>
    </row>
    <row r="1506" spans="1:12" x14ac:dyDescent="0.45">
      <c r="A1506" t="s">
        <v>85</v>
      </c>
      <c r="B1506" t="s">
        <v>6</v>
      </c>
      <c r="C1506" t="s">
        <v>83</v>
      </c>
      <c r="D1506" t="s">
        <v>53</v>
      </c>
      <c r="E1506" t="s">
        <v>25</v>
      </c>
      <c r="F1506" t="s">
        <v>53</v>
      </c>
      <c r="G1506" t="s">
        <v>70</v>
      </c>
      <c r="I1506">
        <v>2030</v>
      </c>
      <c r="J1506">
        <v>0.19209999999999999</v>
      </c>
      <c r="K1506" t="s">
        <v>53</v>
      </c>
      <c r="L1506">
        <v>55</v>
      </c>
    </row>
    <row r="1507" spans="1:12" x14ac:dyDescent="0.45">
      <c r="A1507" t="s">
        <v>85</v>
      </c>
      <c r="B1507" t="s">
        <v>6</v>
      </c>
      <c r="C1507" t="s">
        <v>83</v>
      </c>
      <c r="D1507" t="s">
        <v>53</v>
      </c>
      <c r="E1507" t="s">
        <v>25</v>
      </c>
      <c r="F1507" t="s">
        <v>53</v>
      </c>
      <c r="G1507" t="s">
        <v>70</v>
      </c>
      <c r="I1507">
        <v>2035</v>
      </c>
      <c r="J1507">
        <v>0.24529999999999999</v>
      </c>
      <c r="K1507" t="s">
        <v>53</v>
      </c>
      <c r="L1507">
        <v>55</v>
      </c>
    </row>
    <row r="1508" spans="1:12" x14ac:dyDescent="0.45">
      <c r="A1508" t="s">
        <v>85</v>
      </c>
      <c r="B1508" t="s">
        <v>6</v>
      </c>
      <c r="C1508" t="s">
        <v>83</v>
      </c>
      <c r="D1508" t="s">
        <v>53</v>
      </c>
      <c r="E1508" t="s">
        <v>25</v>
      </c>
      <c r="F1508" t="s">
        <v>53</v>
      </c>
      <c r="G1508" t="s">
        <v>70</v>
      </c>
      <c r="I1508">
        <v>2040</v>
      </c>
      <c r="J1508">
        <v>0.30149999999999999</v>
      </c>
      <c r="K1508" t="s">
        <v>53</v>
      </c>
      <c r="L1508">
        <v>55</v>
      </c>
    </row>
    <row r="1509" spans="1:12" x14ac:dyDescent="0.45">
      <c r="A1509" t="s">
        <v>85</v>
      </c>
      <c r="B1509" t="s">
        <v>6</v>
      </c>
      <c r="C1509" t="s">
        <v>83</v>
      </c>
      <c r="D1509" t="s">
        <v>53</v>
      </c>
      <c r="E1509" t="s">
        <v>25</v>
      </c>
      <c r="F1509" t="s">
        <v>53</v>
      </c>
      <c r="G1509" t="s">
        <v>70</v>
      </c>
      <c r="I1509">
        <v>2045</v>
      </c>
      <c r="J1509">
        <v>0.1167</v>
      </c>
      <c r="K1509" t="s">
        <v>53</v>
      </c>
      <c r="L1509">
        <v>55</v>
      </c>
    </row>
    <row r="1510" spans="1:12" x14ac:dyDescent="0.45">
      <c r="A1510" t="s">
        <v>85</v>
      </c>
      <c r="B1510" t="s">
        <v>6</v>
      </c>
      <c r="C1510" t="s">
        <v>83</v>
      </c>
      <c r="D1510" t="s">
        <v>53</v>
      </c>
      <c r="E1510" t="s">
        <v>25</v>
      </c>
      <c r="F1510" t="s">
        <v>53</v>
      </c>
      <c r="G1510" t="s">
        <v>70</v>
      </c>
      <c r="I1510">
        <v>2050</v>
      </c>
      <c r="J1510">
        <v>2.6499999999999999E-2</v>
      </c>
      <c r="K1510" t="s">
        <v>53</v>
      </c>
      <c r="L1510">
        <v>55</v>
      </c>
    </row>
    <row r="1511" spans="1:12" x14ac:dyDescent="0.45">
      <c r="A1511" t="s">
        <v>85</v>
      </c>
      <c r="B1511" t="s">
        <v>6</v>
      </c>
      <c r="C1511" t="s">
        <v>83</v>
      </c>
      <c r="D1511" t="s">
        <v>53</v>
      </c>
      <c r="E1511" t="s">
        <v>25</v>
      </c>
      <c r="F1511" t="s">
        <v>53</v>
      </c>
      <c r="G1511" t="s">
        <v>70</v>
      </c>
      <c r="I1511">
        <v>2055</v>
      </c>
      <c r="J1511">
        <v>1.0699999999999999E-2</v>
      </c>
      <c r="K1511" t="s">
        <v>53</v>
      </c>
      <c r="L1511">
        <v>55</v>
      </c>
    </row>
    <row r="1512" spans="1:12" x14ac:dyDescent="0.45">
      <c r="A1512" t="s">
        <v>85</v>
      </c>
      <c r="B1512" t="s">
        <v>6</v>
      </c>
      <c r="C1512" t="s">
        <v>83</v>
      </c>
      <c r="D1512" t="s">
        <v>53</v>
      </c>
      <c r="E1512" t="s">
        <v>25</v>
      </c>
      <c r="F1512" t="s">
        <v>53</v>
      </c>
      <c r="G1512" t="s">
        <v>70</v>
      </c>
      <c r="I1512">
        <v>2060</v>
      </c>
      <c r="J1512">
        <v>1.8E-3</v>
      </c>
      <c r="K1512" t="s">
        <v>53</v>
      </c>
      <c r="L1512">
        <v>55</v>
      </c>
    </row>
    <row r="1513" spans="1:12" x14ac:dyDescent="0.45">
      <c r="A1513" t="s">
        <v>85</v>
      </c>
      <c r="B1513" t="s">
        <v>6</v>
      </c>
      <c r="C1513" t="s">
        <v>83</v>
      </c>
      <c r="D1513" t="s">
        <v>53</v>
      </c>
      <c r="E1513" t="s">
        <v>25</v>
      </c>
      <c r="F1513" t="s">
        <v>53</v>
      </c>
      <c r="G1513" t="s">
        <v>70</v>
      </c>
      <c r="I1513">
        <v>2065</v>
      </c>
      <c r="J1513">
        <v>1.6999999999999999E-3</v>
      </c>
      <c r="K1513" t="s">
        <v>53</v>
      </c>
      <c r="L1513">
        <v>55</v>
      </c>
    </row>
    <row r="1514" spans="1:12" x14ac:dyDescent="0.45">
      <c r="A1514" t="s">
        <v>85</v>
      </c>
      <c r="B1514" t="s">
        <v>6</v>
      </c>
      <c r="C1514" t="s">
        <v>83</v>
      </c>
      <c r="D1514" t="s">
        <v>53</v>
      </c>
      <c r="E1514" t="s">
        <v>25</v>
      </c>
      <c r="F1514" t="s">
        <v>53</v>
      </c>
      <c r="G1514" t="s">
        <v>70</v>
      </c>
      <c r="I1514">
        <v>2070</v>
      </c>
      <c r="J1514">
        <v>1.6000000000000001E-3</v>
      </c>
      <c r="K1514" t="s">
        <v>53</v>
      </c>
      <c r="L1514">
        <v>55</v>
      </c>
    </row>
    <row r="1515" spans="1:12" x14ac:dyDescent="0.45">
      <c r="A1515" t="s">
        <v>85</v>
      </c>
      <c r="B1515" t="s">
        <v>6</v>
      </c>
      <c r="C1515" t="s">
        <v>83</v>
      </c>
      <c r="D1515" t="s">
        <v>53</v>
      </c>
      <c r="E1515" t="s">
        <v>25</v>
      </c>
      <c r="F1515" t="s">
        <v>53</v>
      </c>
      <c r="G1515" t="s">
        <v>70</v>
      </c>
      <c r="I1515">
        <v>2075</v>
      </c>
      <c r="J1515">
        <v>1.4E-3</v>
      </c>
      <c r="K1515" t="s">
        <v>53</v>
      </c>
      <c r="L1515">
        <v>55</v>
      </c>
    </row>
    <row r="1516" spans="1:12" x14ac:dyDescent="0.45">
      <c r="A1516" t="s">
        <v>85</v>
      </c>
      <c r="B1516" t="s">
        <v>6</v>
      </c>
      <c r="C1516" t="s">
        <v>83</v>
      </c>
      <c r="D1516" t="s">
        <v>53</v>
      </c>
      <c r="E1516" t="s">
        <v>25</v>
      </c>
      <c r="F1516" t="s">
        <v>53</v>
      </c>
      <c r="G1516" t="s">
        <v>70</v>
      </c>
      <c r="I1516">
        <v>2080</v>
      </c>
      <c r="J1516">
        <v>1.1000000000000001E-3</v>
      </c>
      <c r="K1516" t="s">
        <v>53</v>
      </c>
      <c r="L1516">
        <v>55</v>
      </c>
    </row>
    <row r="1517" spans="1:12" x14ac:dyDescent="0.45">
      <c r="A1517" t="s">
        <v>85</v>
      </c>
      <c r="B1517" t="s">
        <v>6</v>
      </c>
      <c r="C1517" t="s">
        <v>83</v>
      </c>
      <c r="D1517" t="s">
        <v>53</v>
      </c>
      <c r="E1517" t="s">
        <v>25</v>
      </c>
      <c r="F1517" t="s">
        <v>53</v>
      </c>
      <c r="G1517" t="s">
        <v>70</v>
      </c>
      <c r="I1517">
        <v>2085</v>
      </c>
      <c r="J1517">
        <v>8.0000000000000004E-4</v>
      </c>
      <c r="K1517" t="s">
        <v>53</v>
      </c>
      <c r="L1517">
        <v>55</v>
      </c>
    </row>
    <row r="1518" spans="1:12" x14ac:dyDescent="0.45">
      <c r="A1518" t="s">
        <v>85</v>
      </c>
      <c r="B1518" t="s">
        <v>6</v>
      </c>
      <c r="C1518" t="s">
        <v>83</v>
      </c>
      <c r="D1518" t="s">
        <v>53</v>
      </c>
      <c r="E1518" t="s">
        <v>25</v>
      </c>
      <c r="F1518" t="s">
        <v>53</v>
      </c>
      <c r="G1518" t="s">
        <v>70</v>
      </c>
      <c r="I1518">
        <v>2090</v>
      </c>
      <c r="J1518">
        <v>4.0000000000000002E-4</v>
      </c>
      <c r="K1518" t="s">
        <v>53</v>
      </c>
      <c r="L1518">
        <v>55</v>
      </c>
    </row>
    <row r="1519" spans="1:12" x14ac:dyDescent="0.45">
      <c r="A1519" t="s">
        <v>85</v>
      </c>
      <c r="B1519" t="s">
        <v>6</v>
      </c>
      <c r="C1519" t="s">
        <v>83</v>
      </c>
      <c r="D1519" t="s">
        <v>53</v>
      </c>
      <c r="E1519" t="s">
        <v>25</v>
      </c>
      <c r="F1519" t="s">
        <v>53</v>
      </c>
      <c r="G1519" t="s">
        <v>70</v>
      </c>
      <c r="I1519">
        <v>2095</v>
      </c>
      <c r="J1519">
        <v>2.0000000000000001E-4</v>
      </c>
      <c r="K1519" t="s">
        <v>53</v>
      </c>
      <c r="L1519">
        <v>55</v>
      </c>
    </row>
    <row r="1520" spans="1:12" x14ac:dyDescent="0.45">
      <c r="A1520" t="s">
        <v>85</v>
      </c>
      <c r="B1520" t="s">
        <v>6</v>
      </c>
      <c r="C1520" t="s">
        <v>83</v>
      </c>
      <c r="D1520" t="s">
        <v>53</v>
      </c>
      <c r="E1520" t="s">
        <v>25</v>
      </c>
      <c r="F1520" t="s">
        <v>53</v>
      </c>
      <c r="G1520" t="s">
        <v>70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85</v>
      </c>
      <c r="B1521" t="s">
        <v>6</v>
      </c>
      <c r="C1521" t="s">
        <v>83</v>
      </c>
      <c r="D1521" t="s">
        <v>54</v>
      </c>
      <c r="E1521" t="s">
        <v>25</v>
      </c>
      <c r="F1521" t="s">
        <v>54</v>
      </c>
      <c r="G1521" t="s">
        <v>70</v>
      </c>
      <c r="I1521">
        <v>2020</v>
      </c>
      <c r="J1521">
        <v>0</v>
      </c>
      <c r="K1521" t="s">
        <v>54</v>
      </c>
      <c r="L1521">
        <v>70</v>
      </c>
    </row>
    <row r="1522" spans="1:12" x14ac:dyDescent="0.45">
      <c r="A1522" t="s">
        <v>85</v>
      </c>
      <c r="B1522" t="s">
        <v>6</v>
      </c>
      <c r="C1522" t="s">
        <v>83</v>
      </c>
      <c r="D1522" t="s">
        <v>54</v>
      </c>
      <c r="E1522" t="s">
        <v>25</v>
      </c>
      <c r="F1522" t="s">
        <v>54</v>
      </c>
      <c r="G1522" t="s">
        <v>70</v>
      </c>
      <c r="I1522">
        <v>2025</v>
      </c>
      <c r="J1522">
        <v>0</v>
      </c>
      <c r="K1522" t="s">
        <v>54</v>
      </c>
      <c r="L1522">
        <v>70</v>
      </c>
    </row>
    <row r="1523" spans="1:12" x14ac:dyDescent="0.45">
      <c r="A1523" t="s">
        <v>85</v>
      </c>
      <c r="B1523" t="s">
        <v>6</v>
      </c>
      <c r="C1523" t="s">
        <v>83</v>
      </c>
      <c r="D1523" t="s">
        <v>54</v>
      </c>
      <c r="E1523" t="s">
        <v>25</v>
      </c>
      <c r="F1523" t="s">
        <v>54</v>
      </c>
      <c r="G1523" t="s">
        <v>70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85</v>
      </c>
      <c r="B1524" t="s">
        <v>6</v>
      </c>
      <c r="C1524" t="s">
        <v>83</v>
      </c>
      <c r="D1524" t="s">
        <v>54</v>
      </c>
      <c r="E1524" t="s">
        <v>25</v>
      </c>
      <c r="F1524" t="s">
        <v>54</v>
      </c>
      <c r="G1524" t="s">
        <v>70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85</v>
      </c>
      <c r="B1525" t="s">
        <v>6</v>
      </c>
      <c r="C1525" t="s">
        <v>83</v>
      </c>
      <c r="D1525" t="s">
        <v>54</v>
      </c>
      <c r="E1525" t="s">
        <v>25</v>
      </c>
      <c r="F1525" t="s">
        <v>54</v>
      </c>
      <c r="G1525" t="s">
        <v>70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85</v>
      </c>
      <c r="B1526" t="s">
        <v>6</v>
      </c>
      <c r="C1526" t="s">
        <v>83</v>
      </c>
      <c r="D1526" t="s">
        <v>54</v>
      </c>
      <c r="E1526" t="s">
        <v>25</v>
      </c>
      <c r="F1526" t="s">
        <v>54</v>
      </c>
      <c r="G1526" t="s">
        <v>70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85</v>
      </c>
      <c r="B1527" t="s">
        <v>6</v>
      </c>
      <c r="C1527" t="s">
        <v>83</v>
      </c>
      <c r="D1527" t="s">
        <v>54</v>
      </c>
      <c r="E1527" t="s">
        <v>25</v>
      </c>
      <c r="F1527" t="s">
        <v>54</v>
      </c>
      <c r="G1527" t="s">
        <v>70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85</v>
      </c>
      <c r="B1528" t="s">
        <v>6</v>
      </c>
      <c r="C1528" t="s">
        <v>83</v>
      </c>
      <c r="D1528" t="s">
        <v>54</v>
      </c>
      <c r="E1528" t="s">
        <v>25</v>
      </c>
      <c r="F1528" t="s">
        <v>54</v>
      </c>
      <c r="G1528" t="s">
        <v>70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85</v>
      </c>
      <c r="B1529" t="s">
        <v>6</v>
      </c>
      <c r="C1529" t="s">
        <v>83</v>
      </c>
      <c r="D1529" t="s">
        <v>54</v>
      </c>
      <c r="E1529" t="s">
        <v>25</v>
      </c>
      <c r="F1529" t="s">
        <v>54</v>
      </c>
      <c r="G1529" t="s">
        <v>70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85</v>
      </c>
      <c r="B1530" t="s">
        <v>6</v>
      </c>
      <c r="C1530" t="s">
        <v>83</v>
      </c>
      <c r="D1530" t="s">
        <v>54</v>
      </c>
      <c r="E1530" t="s">
        <v>25</v>
      </c>
      <c r="F1530" t="s">
        <v>54</v>
      </c>
      <c r="G1530" t="s">
        <v>70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85</v>
      </c>
      <c r="B1531" t="s">
        <v>6</v>
      </c>
      <c r="C1531" t="s">
        <v>83</v>
      </c>
      <c r="D1531" t="s">
        <v>54</v>
      </c>
      <c r="E1531" t="s">
        <v>25</v>
      </c>
      <c r="F1531" t="s">
        <v>54</v>
      </c>
      <c r="G1531" t="s">
        <v>70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85</v>
      </c>
      <c r="B1532" t="s">
        <v>6</v>
      </c>
      <c r="C1532" t="s">
        <v>83</v>
      </c>
      <c r="D1532" t="s">
        <v>54</v>
      </c>
      <c r="E1532" t="s">
        <v>25</v>
      </c>
      <c r="F1532" t="s">
        <v>54</v>
      </c>
      <c r="G1532" t="s">
        <v>70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85</v>
      </c>
      <c r="B1533" t="s">
        <v>6</v>
      </c>
      <c r="C1533" t="s">
        <v>83</v>
      </c>
      <c r="D1533" t="s">
        <v>54</v>
      </c>
      <c r="E1533" t="s">
        <v>25</v>
      </c>
      <c r="F1533" t="s">
        <v>54</v>
      </c>
      <c r="G1533" t="s">
        <v>70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85</v>
      </c>
      <c r="B1534" t="s">
        <v>6</v>
      </c>
      <c r="C1534" t="s">
        <v>83</v>
      </c>
      <c r="D1534" t="s">
        <v>54</v>
      </c>
      <c r="E1534" t="s">
        <v>25</v>
      </c>
      <c r="F1534" t="s">
        <v>54</v>
      </c>
      <c r="G1534" t="s">
        <v>70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85</v>
      </c>
      <c r="B1535" t="s">
        <v>6</v>
      </c>
      <c r="C1535" t="s">
        <v>83</v>
      </c>
      <c r="D1535" t="s">
        <v>54</v>
      </c>
      <c r="E1535" t="s">
        <v>25</v>
      </c>
      <c r="F1535" t="s">
        <v>54</v>
      </c>
      <c r="G1535" t="s">
        <v>70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85</v>
      </c>
      <c r="B1536" t="s">
        <v>6</v>
      </c>
      <c r="C1536" t="s">
        <v>83</v>
      </c>
      <c r="D1536" t="s">
        <v>54</v>
      </c>
      <c r="E1536" t="s">
        <v>25</v>
      </c>
      <c r="F1536" t="s">
        <v>54</v>
      </c>
      <c r="G1536" t="s">
        <v>70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85</v>
      </c>
      <c r="B1537" t="s">
        <v>6</v>
      </c>
      <c r="C1537" t="s">
        <v>83</v>
      </c>
      <c r="D1537" t="s">
        <v>54</v>
      </c>
      <c r="E1537" t="s">
        <v>25</v>
      </c>
      <c r="F1537" t="s">
        <v>54</v>
      </c>
      <c r="G1537" t="s">
        <v>70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85</v>
      </c>
      <c r="B1538" t="s">
        <v>6</v>
      </c>
      <c r="C1538" t="s">
        <v>83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85</v>
      </c>
      <c r="B1539" t="s">
        <v>6</v>
      </c>
      <c r="C1539" t="s">
        <v>83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85</v>
      </c>
      <c r="B1540" t="s">
        <v>6</v>
      </c>
      <c r="C1540" t="s">
        <v>83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85</v>
      </c>
      <c r="B1541" t="s">
        <v>6</v>
      </c>
      <c r="C1541" t="s">
        <v>83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85</v>
      </c>
      <c r="B1542" t="s">
        <v>6</v>
      </c>
      <c r="C1542" t="s">
        <v>83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85</v>
      </c>
      <c r="B1543" t="s">
        <v>6</v>
      </c>
      <c r="C1543" t="s">
        <v>83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85</v>
      </c>
      <c r="B1544" t="s">
        <v>6</v>
      </c>
      <c r="C1544" t="s">
        <v>83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85</v>
      </c>
      <c r="B1545" t="s">
        <v>6</v>
      </c>
      <c r="C1545" t="s">
        <v>83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85</v>
      </c>
      <c r="B1546" t="s">
        <v>6</v>
      </c>
      <c r="C1546" t="s">
        <v>83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85</v>
      </c>
      <c r="B1547" t="s">
        <v>6</v>
      </c>
      <c r="C1547" t="s">
        <v>83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85</v>
      </c>
      <c r="B1548" t="s">
        <v>6</v>
      </c>
      <c r="C1548" t="s">
        <v>83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85</v>
      </c>
      <c r="B1549" t="s">
        <v>6</v>
      </c>
      <c r="C1549" t="s">
        <v>83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85</v>
      </c>
      <c r="B1550" t="s">
        <v>6</v>
      </c>
      <c r="C1550" t="s">
        <v>83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85</v>
      </c>
      <c r="B1551" t="s">
        <v>6</v>
      </c>
      <c r="C1551" t="s">
        <v>83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85</v>
      </c>
      <c r="B1552" t="s">
        <v>6</v>
      </c>
      <c r="C1552" t="s">
        <v>83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85</v>
      </c>
      <c r="B1553" t="s">
        <v>6</v>
      </c>
      <c r="C1553" t="s">
        <v>83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85</v>
      </c>
      <c r="B1554" t="s">
        <v>6</v>
      </c>
      <c r="C1554" t="s">
        <v>83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85</v>
      </c>
      <c r="B1555" t="s">
        <v>6</v>
      </c>
      <c r="C1555" t="s">
        <v>83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85</v>
      </c>
      <c r="B1556" t="s">
        <v>6</v>
      </c>
      <c r="C1556" t="s">
        <v>83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85</v>
      </c>
      <c r="B1557" t="s">
        <v>6</v>
      </c>
      <c r="C1557" t="s">
        <v>83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85</v>
      </c>
      <c r="B1558" t="s">
        <v>6</v>
      </c>
      <c r="C1558" t="s">
        <v>83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85</v>
      </c>
      <c r="B1559" t="s">
        <v>6</v>
      </c>
      <c r="C1559" t="s">
        <v>83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85</v>
      </c>
      <c r="B1560" t="s">
        <v>6</v>
      </c>
      <c r="C1560" t="s">
        <v>83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85</v>
      </c>
      <c r="B1561" t="s">
        <v>6</v>
      </c>
      <c r="C1561" t="s">
        <v>83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85</v>
      </c>
      <c r="B1562" t="s">
        <v>6</v>
      </c>
      <c r="C1562" t="s">
        <v>83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85</v>
      </c>
      <c r="B1563" t="s">
        <v>6</v>
      </c>
      <c r="C1563" t="s">
        <v>83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85</v>
      </c>
      <c r="B1564" t="s">
        <v>6</v>
      </c>
      <c r="C1564" t="s">
        <v>83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85</v>
      </c>
      <c r="B1565" t="s">
        <v>6</v>
      </c>
      <c r="C1565" t="s">
        <v>83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85</v>
      </c>
      <c r="B1566" t="s">
        <v>6</v>
      </c>
      <c r="C1566" t="s">
        <v>83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85</v>
      </c>
      <c r="B1567" t="s">
        <v>6</v>
      </c>
      <c r="C1567" t="s">
        <v>83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85</v>
      </c>
      <c r="B1568" t="s">
        <v>6</v>
      </c>
      <c r="C1568" t="s">
        <v>83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85</v>
      </c>
      <c r="B1569" t="s">
        <v>6</v>
      </c>
      <c r="C1569" t="s">
        <v>83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85</v>
      </c>
      <c r="B1570" t="s">
        <v>6</v>
      </c>
      <c r="C1570" t="s">
        <v>83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85</v>
      </c>
      <c r="B1571" t="s">
        <v>6</v>
      </c>
      <c r="C1571" t="s">
        <v>83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85</v>
      </c>
      <c r="B1572" t="s">
        <v>6</v>
      </c>
      <c r="C1572" t="s">
        <v>83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85</v>
      </c>
      <c r="B1573" t="s">
        <v>6</v>
      </c>
      <c r="C1573" t="s">
        <v>83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85</v>
      </c>
      <c r="B1574" t="s">
        <v>6</v>
      </c>
      <c r="C1574" t="s">
        <v>83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85</v>
      </c>
      <c r="B1575" t="s">
        <v>6</v>
      </c>
      <c r="C1575" t="s">
        <v>83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85</v>
      </c>
      <c r="B1576" t="s">
        <v>6</v>
      </c>
      <c r="C1576" t="s">
        <v>83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85</v>
      </c>
      <c r="B1577" t="s">
        <v>6</v>
      </c>
      <c r="C1577" t="s">
        <v>83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85</v>
      </c>
      <c r="B1578" t="s">
        <v>6</v>
      </c>
      <c r="C1578" t="s">
        <v>83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85</v>
      </c>
      <c r="B1579" t="s">
        <v>6</v>
      </c>
      <c r="C1579" t="s">
        <v>83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85</v>
      </c>
      <c r="B1580" t="s">
        <v>6</v>
      </c>
      <c r="C1580" t="s">
        <v>83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85</v>
      </c>
      <c r="B1581" t="s">
        <v>6</v>
      </c>
      <c r="C1581" t="s">
        <v>83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85</v>
      </c>
      <c r="B1582" t="s">
        <v>6</v>
      </c>
      <c r="C1582" t="s">
        <v>83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85</v>
      </c>
      <c r="B1583" t="s">
        <v>6</v>
      </c>
      <c r="C1583" t="s">
        <v>83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85</v>
      </c>
      <c r="B1584" t="s">
        <v>6</v>
      </c>
      <c r="C1584" t="s">
        <v>83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85</v>
      </c>
      <c r="B1585" t="s">
        <v>6</v>
      </c>
      <c r="C1585" t="s">
        <v>83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85</v>
      </c>
      <c r="B1586" t="s">
        <v>6</v>
      </c>
      <c r="C1586" t="s">
        <v>83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85</v>
      </c>
      <c r="B1587" t="s">
        <v>6</v>
      </c>
      <c r="C1587" t="s">
        <v>83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85</v>
      </c>
      <c r="B1588" t="s">
        <v>6</v>
      </c>
      <c r="C1588" t="s">
        <v>83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85</v>
      </c>
      <c r="B1589" t="s">
        <v>6</v>
      </c>
      <c r="C1589" t="s">
        <v>83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56.074300000000001</v>
      </c>
      <c r="K1589" t="s">
        <v>37</v>
      </c>
    </row>
    <row r="1590" spans="1:11" x14ac:dyDescent="0.45">
      <c r="A1590" t="s">
        <v>85</v>
      </c>
      <c r="B1590" t="s">
        <v>6</v>
      </c>
      <c r="C1590" t="s">
        <v>83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66.789100000000005</v>
      </c>
      <c r="K1590" t="s">
        <v>37</v>
      </c>
    </row>
    <row r="1591" spans="1:11" x14ac:dyDescent="0.45">
      <c r="A1591" t="s">
        <v>85</v>
      </c>
      <c r="B1591" t="s">
        <v>6</v>
      </c>
      <c r="C1591" t="s">
        <v>83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75.3339</v>
      </c>
      <c r="K1591" t="s">
        <v>37</v>
      </c>
    </row>
    <row r="1592" spans="1:11" x14ac:dyDescent="0.45">
      <c r="A1592" t="s">
        <v>85</v>
      </c>
      <c r="B1592" t="s">
        <v>6</v>
      </c>
      <c r="C1592" t="s">
        <v>83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57.872100000000003</v>
      </c>
      <c r="K1592" t="s">
        <v>37</v>
      </c>
    </row>
    <row r="1593" spans="1:11" x14ac:dyDescent="0.45">
      <c r="A1593" t="s">
        <v>85</v>
      </c>
      <c r="B1593" t="s">
        <v>6</v>
      </c>
      <c r="C1593" t="s">
        <v>83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77.280199999999994</v>
      </c>
      <c r="K1593" t="s">
        <v>37</v>
      </c>
    </row>
    <row r="1594" spans="1:11" x14ac:dyDescent="0.45">
      <c r="A1594" t="s">
        <v>85</v>
      </c>
      <c r="B1594" t="s">
        <v>6</v>
      </c>
      <c r="C1594" t="s">
        <v>83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81.996700000000004</v>
      </c>
      <c r="K1594" t="s">
        <v>37</v>
      </c>
    </row>
    <row r="1595" spans="1:11" x14ac:dyDescent="0.45">
      <c r="A1595" t="s">
        <v>85</v>
      </c>
      <c r="B1595" t="s">
        <v>6</v>
      </c>
      <c r="C1595" t="s">
        <v>83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106.3197</v>
      </c>
      <c r="K1595" t="s">
        <v>37</v>
      </c>
    </row>
    <row r="1596" spans="1:11" x14ac:dyDescent="0.45">
      <c r="A1596" t="s">
        <v>85</v>
      </c>
      <c r="B1596" t="s">
        <v>6</v>
      </c>
      <c r="C1596" t="s">
        <v>83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119.22320000000001</v>
      </c>
      <c r="K1596" t="s">
        <v>37</v>
      </c>
    </row>
    <row r="1597" spans="1:11" x14ac:dyDescent="0.45">
      <c r="A1597" t="s">
        <v>85</v>
      </c>
      <c r="B1597" t="s">
        <v>6</v>
      </c>
      <c r="C1597" t="s">
        <v>83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180.07149999999999</v>
      </c>
      <c r="K1597" t="s">
        <v>37</v>
      </c>
    </row>
    <row r="1598" spans="1:11" x14ac:dyDescent="0.45">
      <c r="A1598" t="s">
        <v>85</v>
      </c>
      <c r="B1598" t="s">
        <v>6</v>
      </c>
      <c r="C1598" t="s">
        <v>83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218.36099999999999</v>
      </c>
      <c r="K1598" t="s">
        <v>37</v>
      </c>
    </row>
    <row r="1599" spans="1:11" x14ac:dyDescent="0.45">
      <c r="A1599" t="s">
        <v>85</v>
      </c>
      <c r="B1599" t="s">
        <v>6</v>
      </c>
      <c r="C1599" t="s">
        <v>83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256.65050000000002</v>
      </c>
      <c r="K1599" t="s">
        <v>37</v>
      </c>
    </row>
    <row r="1600" spans="1:11" x14ac:dyDescent="0.45">
      <c r="A1600" t="s">
        <v>85</v>
      </c>
      <c r="B1600" t="s">
        <v>6</v>
      </c>
      <c r="C1600" t="s">
        <v>83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280.28680000000003</v>
      </c>
      <c r="K1600" t="s">
        <v>37</v>
      </c>
    </row>
    <row r="1601" spans="1:11" x14ac:dyDescent="0.45">
      <c r="A1601" t="s">
        <v>85</v>
      </c>
      <c r="B1601" t="s">
        <v>6</v>
      </c>
      <c r="C1601" t="s">
        <v>83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303.923</v>
      </c>
      <c r="K1601" t="s">
        <v>37</v>
      </c>
    </row>
    <row r="1602" spans="1:11" x14ac:dyDescent="0.45">
      <c r="A1602" t="s">
        <v>85</v>
      </c>
      <c r="B1602" t="s">
        <v>6</v>
      </c>
      <c r="C1602" t="s">
        <v>83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307.60000000000002</v>
      </c>
      <c r="K1602" t="s">
        <v>37</v>
      </c>
    </row>
    <row r="1603" spans="1:11" x14ac:dyDescent="0.45">
      <c r="A1603" t="s">
        <v>85</v>
      </c>
      <c r="B1603" t="s">
        <v>6</v>
      </c>
      <c r="C1603" t="s">
        <v>83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311.27690000000001</v>
      </c>
      <c r="K1603" t="s">
        <v>37</v>
      </c>
    </row>
    <row r="1604" spans="1:11" x14ac:dyDescent="0.45">
      <c r="A1604" t="s">
        <v>85</v>
      </c>
      <c r="B1604" t="s">
        <v>6</v>
      </c>
      <c r="C1604" t="s">
        <v>83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337.82470000000001</v>
      </c>
      <c r="K1604" t="s">
        <v>37</v>
      </c>
    </row>
    <row r="1605" spans="1:11" x14ac:dyDescent="0.45">
      <c r="A1605" t="s">
        <v>85</v>
      </c>
      <c r="B1605" t="s">
        <v>6</v>
      </c>
      <c r="C1605" t="s">
        <v>83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364.37259999999998</v>
      </c>
      <c r="K1605" t="s">
        <v>37</v>
      </c>
    </row>
    <row r="1606" spans="1:11" x14ac:dyDescent="0.45">
      <c r="A1606" t="s">
        <v>85</v>
      </c>
      <c r="B1606" t="s">
        <v>6</v>
      </c>
      <c r="C1606" t="s">
        <v>83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375.82760000000002</v>
      </c>
      <c r="K1606" t="s">
        <v>48</v>
      </c>
    </row>
    <row r="1607" spans="1:11" x14ac:dyDescent="0.45">
      <c r="A1607" t="s">
        <v>85</v>
      </c>
      <c r="B1607" t="s">
        <v>6</v>
      </c>
      <c r="C1607" t="s">
        <v>83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401.32159999999999</v>
      </c>
      <c r="K1607" t="s">
        <v>48</v>
      </c>
    </row>
    <row r="1608" spans="1:11" x14ac:dyDescent="0.45">
      <c r="A1608" t="s">
        <v>85</v>
      </c>
      <c r="B1608" t="s">
        <v>6</v>
      </c>
      <c r="C1608" t="s">
        <v>83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408.40730000000002</v>
      </c>
      <c r="K1608" t="s">
        <v>48</v>
      </c>
    </row>
    <row r="1609" spans="1:11" x14ac:dyDescent="0.45">
      <c r="A1609" t="s">
        <v>85</v>
      </c>
      <c r="B1609" t="s">
        <v>6</v>
      </c>
      <c r="C1609" t="s">
        <v>83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366.0394</v>
      </c>
      <c r="K1609" t="s">
        <v>48</v>
      </c>
    </row>
    <row r="1610" spans="1:11" x14ac:dyDescent="0.45">
      <c r="A1610" t="s">
        <v>85</v>
      </c>
      <c r="B1610" t="s">
        <v>6</v>
      </c>
      <c r="C1610" t="s">
        <v>83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262.64420000000001</v>
      </c>
      <c r="K1610" t="s">
        <v>48</v>
      </c>
    </row>
    <row r="1611" spans="1:11" x14ac:dyDescent="0.45">
      <c r="A1611" t="s">
        <v>85</v>
      </c>
      <c r="B1611" t="s">
        <v>6</v>
      </c>
      <c r="C1611" t="s">
        <v>83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131.68819999999999</v>
      </c>
      <c r="K1611" t="s">
        <v>48</v>
      </c>
    </row>
    <row r="1612" spans="1:11" x14ac:dyDescent="0.45">
      <c r="A1612" t="s">
        <v>85</v>
      </c>
      <c r="B1612" t="s">
        <v>6</v>
      </c>
      <c r="C1612" t="s">
        <v>83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92.813999999999993</v>
      </c>
      <c r="K1612" t="s">
        <v>48</v>
      </c>
    </row>
    <row r="1613" spans="1:11" x14ac:dyDescent="0.45">
      <c r="A1613" t="s">
        <v>85</v>
      </c>
      <c r="B1613" t="s">
        <v>6</v>
      </c>
      <c r="C1613" t="s">
        <v>83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80.404200000000003</v>
      </c>
      <c r="K1613" t="s">
        <v>48</v>
      </c>
    </row>
    <row r="1614" spans="1:11" x14ac:dyDescent="0.45">
      <c r="A1614" t="s">
        <v>85</v>
      </c>
      <c r="B1614" t="s">
        <v>6</v>
      </c>
      <c r="C1614" t="s">
        <v>83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77.346299999999999</v>
      </c>
      <c r="K1614" t="s">
        <v>48</v>
      </c>
    </row>
    <row r="1615" spans="1:11" x14ac:dyDescent="0.45">
      <c r="A1615" t="s">
        <v>85</v>
      </c>
      <c r="B1615" t="s">
        <v>6</v>
      </c>
      <c r="C1615" t="s">
        <v>83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74.884699999999995</v>
      </c>
      <c r="K1615" t="s">
        <v>48</v>
      </c>
    </row>
    <row r="1616" spans="1:11" x14ac:dyDescent="0.45">
      <c r="A1616" t="s">
        <v>85</v>
      </c>
      <c r="B1616" t="s">
        <v>6</v>
      </c>
      <c r="C1616" t="s">
        <v>83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71.911199999999994</v>
      </c>
      <c r="K1616" t="s">
        <v>48</v>
      </c>
    </row>
    <row r="1617" spans="1:11" x14ac:dyDescent="0.45">
      <c r="A1617" t="s">
        <v>85</v>
      </c>
      <c r="B1617" t="s">
        <v>6</v>
      </c>
      <c r="C1617" t="s">
        <v>83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66.568799999999996</v>
      </c>
      <c r="K1617" t="s">
        <v>48</v>
      </c>
    </row>
    <row r="1618" spans="1:11" x14ac:dyDescent="0.45">
      <c r="A1618" t="s">
        <v>85</v>
      </c>
      <c r="B1618" t="s">
        <v>6</v>
      </c>
      <c r="C1618" t="s">
        <v>83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60.894799999999996</v>
      </c>
      <c r="K1618" t="s">
        <v>48</v>
      </c>
    </row>
    <row r="1619" spans="1:11" x14ac:dyDescent="0.45">
      <c r="A1619" t="s">
        <v>85</v>
      </c>
      <c r="B1619" t="s">
        <v>6</v>
      </c>
      <c r="C1619" t="s">
        <v>83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59.260599999999997</v>
      </c>
      <c r="K1619" t="s">
        <v>48</v>
      </c>
    </row>
    <row r="1620" spans="1:11" x14ac:dyDescent="0.45">
      <c r="A1620" t="s">
        <v>85</v>
      </c>
      <c r="B1620" t="s">
        <v>6</v>
      </c>
      <c r="C1620" t="s">
        <v>83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57.875599999999999</v>
      </c>
      <c r="K1620" t="s">
        <v>48</v>
      </c>
    </row>
    <row r="1621" spans="1:11" x14ac:dyDescent="0.45">
      <c r="A1621" t="s">
        <v>85</v>
      </c>
      <c r="B1621" t="s">
        <v>6</v>
      </c>
      <c r="C1621" t="s">
        <v>83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41.878599999999999</v>
      </c>
      <c r="K1621" t="s">
        <v>48</v>
      </c>
    </row>
    <row r="1622" spans="1:11" x14ac:dyDescent="0.45">
      <c r="A1622" t="s">
        <v>85</v>
      </c>
      <c r="B1622" t="s">
        <v>6</v>
      </c>
      <c r="C1622" t="s">
        <v>83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26.013100000000001</v>
      </c>
      <c r="K1622" t="s">
        <v>48</v>
      </c>
    </row>
    <row r="1623" spans="1:11" x14ac:dyDescent="0.45">
      <c r="A1623" t="s">
        <v>85</v>
      </c>
      <c r="B1623" t="s">
        <v>6</v>
      </c>
      <c r="C1623" t="s">
        <v>83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334.0772</v>
      </c>
      <c r="K1623" t="s">
        <v>51</v>
      </c>
    </row>
    <row r="1624" spans="1:11" x14ac:dyDescent="0.45">
      <c r="A1624" t="s">
        <v>85</v>
      </c>
      <c r="B1624" t="s">
        <v>6</v>
      </c>
      <c r="C1624" t="s">
        <v>83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339.9221</v>
      </c>
      <c r="K1624" t="s">
        <v>51</v>
      </c>
    </row>
    <row r="1625" spans="1:11" x14ac:dyDescent="0.45">
      <c r="A1625" t="s">
        <v>85</v>
      </c>
      <c r="B1625" t="s">
        <v>6</v>
      </c>
      <c r="C1625" t="s">
        <v>83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343.48099999999999</v>
      </c>
      <c r="K1625" t="s">
        <v>51</v>
      </c>
    </row>
    <row r="1626" spans="1:11" x14ac:dyDescent="0.45">
      <c r="A1626" t="s">
        <v>85</v>
      </c>
      <c r="B1626" t="s">
        <v>6</v>
      </c>
      <c r="C1626" t="s">
        <v>83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327.27170000000001</v>
      </c>
      <c r="K1626" t="s">
        <v>51</v>
      </c>
    </row>
    <row r="1627" spans="1:11" x14ac:dyDescent="0.45">
      <c r="A1627" t="s">
        <v>85</v>
      </c>
      <c r="B1627" t="s">
        <v>6</v>
      </c>
      <c r="C1627" t="s">
        <v>83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227.07769999999999</v>
      </c>
      <c r="K1627" t="s">
        <v>51</v>
      </c>
    </row>
    <row r="1628" spans="1:11" x14ac:dyDescent="0.45">
      <c r="A1628" t="s">
        <v>85</v>
      </c>
      <c r="B1628" t="s">
        <v>6</v>
      </c>
      <c r="C1628" t="s">
        <v>83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95.83</v>
      </c>
      <c r="K1628" t="s">
        <v>51</v>
      </c>
    </row>
    <row r="1629" spans="1:11" x14ac:dyDescent="0.45">
      <c r="A1629" t="s">
        <v>85</v>
      </c>
      <c r="B1629" t="s">
        <v>6</v>
      </c>
      <c r="C1629" t="s">
        <v>83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56.060299999999998</v>
      </c>
      <c r="K1629" t="s">
        <v>51</v>
      </c>
    </row>
    <row r="1630" spans="1:11" x14ac:dyDescent="0.45">
      <c r="A1630" t="s">
        <v>85</v>
      </c>
      <c r="B1630" t="s">
        <v>6</v>
      </c>
      <c r="C1630" t="s">
        <v>83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41.1922</v>
      </c>
      <c r="K1630" t="s">
        <v>51</v>
      </c>
    </row>
    <row r="1631" spans="1:11" x14ac:dyDescent="0.45">
      <c r="A1631" t="s">
        <v>85</v>
      </c>
      <c r="B1631" t="s">
        <v>6</v>
      </c>
      <c r="C1631" t="s">
        <v>83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33.593899999999998</v>
      </c>
      <c r="K1631" t="s">
        <v>51</v>
      </c>
    </row>
    <row r="1632" spans="1:11" x14ac:dyDescent="0.45">
      <c r="A1632" t="s">
        <v>85</v>
      </c>
      <c r="B1632" t="s">
        <v>6</v>
      </c>
      <c r="C1632" t="s">
        <v>83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28.463799999999999</v>
      </c>
      <c r="K1632" t="s">
        <v>51</v>
      </c>
    </row>
    <row r="1633" spans="1:11" x14ac:dyDescent="0.45">
      <c r="A1633" t="s">
        <v>85</v>
      </c>
      <c r="B1633" t="s">
        <v>6</v>
      </c>
      <c r="C1633" t="s">
        <v>83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22.831</v>
      </c>
      <c r="K1633" t="s">
        <v>51</v>
      </c>
    </row>
    <row r="1634" spans="1:11" x14ac:dyDescent="0.45">
      <c r="A1634" t="s">
        <v>85</v>
      </c>
      <c r="B1634" t="s">
        <v>6</v>
      </c>
      <c r="C1634" t="s">
        <v>83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19.823599999999999</v>
      </c>
      <c r="K1634" t="s">
        <v>51</v>
      </c>
    </row>
    <row r="1635" spans="1:11" x14ac:dyDescent="0.45">
      <c r="A1635" t="s">
        <v>85</v>
      </c>
      <c r="B1635" t="s">
        <v>6</v>
      </c>
      <c r="C1635" t="s">
        <v>83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16.493500000000001</v>
      </c>
      <c r="K1635" t="s">
        <v>51</v>
      </c>
    </row>
    <row r="1636" spans="1:11" x14ac:dyDescent="0.45">
      <c r="A1636" t="s">
        <v>85</v>
      </c>
      <c r="B1636" t="s">
        <v>6</v>
      </c>
      <c r="C1636" t="s">
        <v>83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15.1348</v>
      </c>
      <c r="K1636" t="s">
        <v>51</v>
      </c>
    </row>
    <row r="1637" spans="1:11" x14ac:dyDescent="0.45">
      <c r="A1637" t="s">
        <v>85</v>
      </c>
      <c r="B1637" t="s">
        <v>6</v>
      </c>
      <c r="C1637" t="s">
        <v>83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14.016299999999999</v>
      </c>
      <c r="K1637" t="s">
        <v>51</v>
      </c>
    </row>
    <row r="1638" spans="1:11" x14ac:dyDescent="0.45">
      <c r="A1638" t="s">
        <v>85</v>
      </c>
      <c r="B1638" t="s">
        <v>6</v>
      </c>
      <c r="C1638" t="s">
        <v>83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13.179500000000001</v>
      </c>
      <c r="K1638" t="s">
        <v>51</v>
      </c>
    </row>
    <row r="1639" spans="1:11" x14ac:dyDescent="0.45">
      <c r="A1639" t="s">
        <v>85</v>
      </c>
      <c r="B1639" t="s">
        <v>6</v>
      </c>
      <c r="C1639" t="s">
        <v>83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12.465</v>
      </c>
      <c r="K1639" t="s">
        <v>51</v>
      </c>
    </row>
    <row r="1640" spans="1:11" x14ac:dyDescent="0.45">
      <c r="A1640" t="s">
        <v>85</v>
      </c>
      <c r="B1640" t="s">
        <v>5</v>
      </c>
      <c r="C1640" t="s">
        <v>83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85</v>
      </c>
      <c r="B1641" t="s">
        <v>5</v>
      </c>
      <c r="C1641" t="s">
        <v>83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85</v>
      </c>
      <c r="B1642" t="s">
        <v>5</v>
      </c>
      <c r="C1642" t="s">
        <v>83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6.1680999999999999</v>
      </c>
      <c r="K1642" t="s">
        <v>45</v>
      </c>
    </row>
    <row r="1643" spans="1:11" x14ac:dyDescent="0.45">
      <c r="A1643" t="s">
        <v>85</v>
      </c>
      <c r="B1643" t="s">
        <v>5</v>
      </c>
      <c r="C1643" t="s">
        <v>83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20.024899999999999</v>
      </c>
      <c r="K1643" t="s">
        <v>45</v>
      </c>
    </row>
    <row r="1644" spans="1:11" x14ac:dyDescent="0.45">
      <c r="A1644" t="s">
        <v>85</v>
      </c>
      <c r="B1644" t="s">
        <v>5</v>
      </c>
      <c r="C1644" t="s">
        <v>83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15.014799999999999</v>
      </c>
      <c r="K1644" t="s">
        <v>45</v>
      </c>
    </row>
    <row r="1645" spans="1:11" x14ac:dyDescent="0.45">
      <c r="A1645" t="s">
        <v>85</v>
      </c>
      <c r="B1645" t="s">
        <v>5</v>
      </c>
      <c r="C1645" t="s">
        <v>83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8.6045999999999996</v>
      </c>
      <c r="K1645" t="s">
        <v>45</v>
      </c>
    </row>
    <row r="1646" spans="1:11" x14ac:dyDescent="0.45">
      <c r="A1646" t="s">
        <v>85</v>
      </c>
      <c r="B1646" t="s">
        <v>5</v>
      </c>
      <c r="C1646" t="s">
        <v>83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8.5344999999999995</v>
      </c>
      <c r="K1646" t="s">
        <v>45</v>
      </c>
    </row>
    <row r="1647" spans="1:11" x14ac:dyDescent="0.45">
      <c r="A1647" t="s">
        <v>85</v>
      </c>
      <c r="B1647" t="s">
        <v>5</v>
      </c>
      <c r="C1647" t="s">
        <v>83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9.1372999999999998</v>
      </c>
      <c r="K1647" t="s">
        <v>45</v>
      </c>
    </row>
    <row r="1648" spans="1:11" x14ac:dyDescent="0.45">
      <c r="A1648" t="s">
        <v>85</v>
      </c>
      <c r="B1648" t="s">
        <v>5</v>
      </c>
      <c r="C1648" t="s">
        <v>83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10.1783</v>
      </c>
      <c r="K1648" t="s">
        <v>45</v>
      </c>
    </row>
    <row r="1649" spans="1:11" x14ac:dyDescent="0.45">
      <c r="A1649" t="s">
        <v>85</v>
      </c>
      <c r="B1649" t="s">
        <v>5</v>
      </c>
      <c r="C1649" t="s">
        <v>83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11.2562</v>
      </c>
      <c r="K1649" t="s">
        <v>45</v>
      </c>
    </row>
    <row r="1650" spans="1:11" x14ac:dyDescent="0.45">
      <c r="A1650" t="s">
        <v>85</v>
      </c>
      <c r="B1650" t="s">
        <v>5</v>
      </c>
      <c r="C1650" t="s">
        <v>83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12.3428</v>
      </c>
      <c r="K1650" t="s">
        <v>45</v>
      </c>
    </row>
    <row r="1651" spans="1:11" x14ac:dyDescent="0.45">
      <c r="A1651" t="s">
        <v>85</v>
      </c>
      <c r="B1651" t="s">
        <v>5</v>
      </c>
      <c r="C1651" t="s">
        <v>83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13.439299999999999</v>
      </c>
      <c r="K1651" t="s">
        <v>45</v>
      </c>
    </row>
    <row r="1652" spans="1:11" x14ac:dyDescent="0.45">
      <c r="A1652" t="s">
        <v>85</v>
      </c>
      <c r="B1652" t="s">
        <v>5</v>
      </c>
      <c r="C1652" t="s">
        <v>83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14.545299999999999</v>
      </c>
      <c r="K1652" t="s">
        <v>45</v>
      </c>
    </row>
    <row r="1653" spans="1:11" x14ac:dyDescent="0.45">
      <c r="A1653" t="s">
        <v>85</v>
      </c>
      <c r="B1653" t="s">
        <v>5</v>
      </c>
      <c r="C1653" t="s">
        <v>83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15.538600000000001</v>
      </c>
      <c r="K1653" t="s">
        <v>45</v>
      </c>
    </row>
    <row r="1654" spans="1:11" x14ac:dyDescent="0.45">
      <c r="A1654" t="s">
        <v>85</v>
      </c>
      <c r="B1654" t="s">
        <v>5</v>
      </c>
      <c r="C1654" t="s">
        <v>83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16.739899999999999</v>
      </c>
      <c r="K1654" t="s">
        <v>45</v>
      </c>
    </row>
    <row r="1655" spans="1:11" x14ac:dyDescent="0.45">
      <c r="A1655" t="s">
        <v>85</v>
      </c>
      <c r="B1655" t="s">
        <v>5</v>
      </c>
      <c r="C1655" t="s">
        <v>83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16.563600000000001</v>
      </c>
      <c r="K1655" t="s">
        <v>45</v>
      </c>
    </row>
    <row r="1656" spans="1:11" x14ac:dyDescent="0.45">
      <c r="A1656" t="s">
        <v>85</v>
      </c>
      <c r="B1656" t="s">
        <v>5</v>
      </c>
      <c r="C1656" t="s">
        <v>83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16.055399999999999</v>
      </c>
      <c r="K1656" t="s">
        <v>45</v>
      </c>
    </row>
    <row r="1657" spans="1:11" x14ac:dyDescent="0.45">
      <c r="A1657" t="s">
        <v>85</v>
      </c>
      <c r="B1657" t="s">
        <v>5</v>
      </c>
      <c r="C1657" t="s">
        <v>83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0.16089999999999999</v>
      </c>
      <c r="K1657" t="s">
        <v>24</v>
      </c>
    </row>
    <row r="1658" spans="1:11" x14ac:dyDescent="0.45">
      <c r="A1658" t="s">
        <v>85</v>
      </c>
      <c r="B1658" t="s">
        <v>5</v>
      </c>
      <c r="C1658" t="s">
        <v>83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0.16700000000000001</v>
      </c>
      <c r="K1658" t="s">
        <v>24</v>
      </c>
    </row>
    <row r="1659" spans="1:11" x14ac:dyDescent="0.45">
      <c r="A1659" t="s">
        <v>85</v>
      </c>
      <c r="B1659" t="s">
        <v>5</v>
      </c>
      <c r="C1659" t="s">
        <v>83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0.19359999999999999</v>
      </c>
      <c r="K1659" t="s">
        <v>24</v>
      </c>
    </row>
    <row r="1660" spans="1:11" x14ac:dyDescent="0.45">
      <c r="A1660" t="s">
        <v>85</v>
      </c>
      <c r="B1660" t="s">
        <v>5</v>
      </c>
      <c r="C1660" t="s">
        <v>83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0.17469999999999999</v>
      </c>
      <c r="K1660" t="s">
        <v>24</v>
      </c>
    </row>
    <row r="1661" spans="1:11" x14ac:dyDescent="0.45">
      <c r="A1661" t="s">
        <v>85</v>
      </c>
      <c r="B1661" t="s">
        <v>5</v>
      </c>
      <c r="C1661" t="s">
        <v>83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0.153</v>
      </c>
      <c r="K1661" t="s">
        <v>24</v>
      </c>
    </row>
    <row r="1662" spans="1:11" x14ac:dyDescent="0.45">
      <c r="A1662" t="s">
        <v>85</v>
      </c>
      <c r="B1662" t="s">
        <v>5</v>
      </c>
      <c r="C1662" t="s">
        <v>83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0.1633</v>
      </c>
      <c r="K1662" t="s">
        <v>24</v>
      </c>
    </row>
    <row r="1663" spans="1:11" x14ac:dyDescent="0.45">
      <c r="A1663" t="s">
        <v>85</v>
      </c>
      <c r="B1663" t="s">
        <v>5</v>
      </c>
      <c r="C1663" t="s">
        <v>83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0.1668</v>
      </c>
      <c r="K1663" t="s">
        <v>24</v>
      </c>
    </row>
    <row r="1664" spans="1:11" x14ac:dyDescent="0.45">
      <c r="A1664" t="s">
        <v>85</v>
      </c>
      <c r="B1664" t="s">
        <v>5</v>
      </c>
      <c r="C1664" t="s">
        <v>83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0.16819999999999999</v>
      </c>
      <c r="K1664" t="s">
        <v>24</v>
      </c>
    </row>
    <row r="1665" spans="1:11" x14ac:dyDescent="0.45">
      <c r="A1665" t="s">
        <v>85</v>
      </c>
      <c r="B1665" t="s">
        <v>5</v>
      </c>
      <c r="C1665" t="s">
        <v>83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0.1646</v>
      </c>
      <c r="K1665" t="s">
        <v>24</v>
      </c>
    </row>
    <row r="1666" spans="1:11" x14ac:dyDescent="0.45">
      <c r="A1666" t="s">
        <v>85</v>
      </c>
      <c r="B1666" t="s">
        <v>5</v>
      </c>
      <c r="C1666" t="s">
        <v>83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0.16370000000000001</v>
      </c>
      <c r="K1666" t="s">
        <v>24</v>
      </c>
    </row>
    <row r="1667" spans="1:11" x14ac:dyDescent="0.45">
      <c r="A1667" t="s">
        <v>85</v>
      </c>
      <c r="B1667" t="s">
        <v>5</v>
      </c>
      <c r="C1667" t="s">
        <v>83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0.158</v>
      </c>
      <c r="K1667" t="s">
        <v>24</v>
      </c>
    </row>
    <row r="1668" spans="1:11" x14ac:dyDescent="0.45">
      <c r="A1668" t="s">
        <v>85</v>
      </c>
      <c r="B1668" t="s">
        <v>5</v>
      </c>
      <c r="C1668" t="s">
        <v>83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0.15690000000000001</v>
      </c>
      <c r="K1668" t="s">
        <v>24</v>
      </c>
    </row>
    <row r="1669" spans="1:11" x14ac:dyDescent="0.45">
      <c r="A1669" t="s">
        <v>85</v>
      </c>
      <c r="B1669" t="s">
        <v>5</v>
      </c>
      <c r="C1669" t="s">
        <v>83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0.1555</v>
      </c>
      <c r="K1669" t="s">
        <v>24</v>
      </c>
    </row>
    <row r="1670" spans="1:11" x14ac:dyDescent="0.45">
      <c r="A1670" t="s">
        <v>85</v>
      </c>
      <c r="B1670" t="s">
        <v>5</v>
      </c>
      <c r="C1670" t="s">
        <v>83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0.1537</v>
      </c>
      <c r="K1670" t="s">
        <v>24</v>
      </c>
    </row>
    <row r="1671" spans="1:11" x14ac:dyDescent="0.45">
      <c r="A1671" t="s">
        <v>85</v>
      </c>
      <c r="B1671" t="s">
        <v>5</v>
      </c>
      <c r="C1671" t="s">
        <v>83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0.15570000000000001</v>
      </c>
      <c r="K1671" t="s">
        <v>24</v>
      </c>
    </row>
    <row r="1672" spans="1:11" x14ac:dyDescent="0.45">
      <c r="A1672" t="s">
        <v>85</v>
      </c>
      <c r="B1672" t="s">
        <v>5</v>
      </c>
      <c r="C1672" t="s">
        <v>83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0.1537</v>
      </c>
      <c r="K1672" t="s">
        <v>24</v>
      </c>
    </row>
    <row r="1673" spans="1:11" x14ac:dyDescent="0.45">
      <c r="A1673" t="s">
        <v>85</v>
      </c>
      <c r="B1673" t="s">
        <v>5</v>
      </c>
      <c r="C1673" t="s">
        <v>83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0.15160000000000001</v>
      </c>
      <c r="K1673" t="s">
        <v>24</v>
      </c>
    </row>
    <row r="1674" spans="1:11" x14ac:dyDescent="0.45">
      <c r="A1674" t="s">
        <v>85</v>
      </c>
      <c r="B1674" t="s">
        <v>5</v>
      </c>
      <c r="C1674" t="s">
        <v>83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9.5200000000000007E-2</v>
      </c>
      <c r="K1674" t="s">
        <v>28</v>
      </c>
    </row>
    <row r="1675" spans="1:11" x14ac:dyDescent="0.45">
      <c r="A1675" t="s">
        <v>85</v>
      </c>
      <c r="B1675" t="s">
        <v>5</v>
      </c>
      <c r="C1675" t="s">
        <v>83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0.12189999999999999</v>
      </c>
      <c r="K1675" t="s">
        <v>28</v>
      </c>
    </row>
    <row r="1676" spans="1:11" x14ac:dyDescent="0.45">
      <c r="A1676" t="s">
        <v>85</v>
      </c>
      <c r="B1676" t="s">
        <v>5</v>
      </c>
      <c r="C1676" t="s">
        <v>83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0.19209999999999999</v>
      </c>
      <c r="K1676" t="s">
        <v>28</v>
      </c>
    </row>
    <row r="1677" spans="1:11" x14ac:dyDescent="0.45">
      <c r="A1677" t="s">
        <v>85</v>
      </c>
      <c r="B1677" t="s">
        <v>5</v>
      </c>
      <c r="C1677" t="s">
        <v>83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0.2424</v>
      </c>
      <c r="K1677" t="s">
        <v>28</v>
      </c>
    </row>
    <row r="1678" spans="1:11" x14ac:dyDescent="0.45">
      <c r="A1678" t="s">
        <v>85</v>
      </c>
      <c r="B1678" t="s">
        <v>5</v>
      </c>
      <c r="C1678" t="s">
        <v>83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0.26640000000000003</v>
      </c>
      <c r="K1678" t="s">
        <v>28</v>
      </c>
    </row>
    <row r="1679" spans="1:11" x14ac:dyDescent="0.45">
      <c r="A1679" t="s">
        <v>85</v>
      </c>
      <c r="B1679" t="s">
        <v>5</v>
      </c>
      <c r="C1679" t="s">
        <v>83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0.28710000000000002</v>
      </c>
      <c r="K1679" t="s">
        <v>28</v>
      </c>
    </row>
    <row r="1680" spans="1:11" x14ac:dyDescent="0.45">
      <c r="A1680" t="s">
        <v>85</v>
      </c>
      <c r="B1680" t="s">
        <v>5</v>
      </c>
      <c r="C1680" t="s">
        <v>83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0.30609999999999998</v>
      </c>
      <c r="K1680" t="s">
        <v>28</v>
      </c>
    </row>
    <row r="1681" spans="1:11" x14ac:dyDescent="0.45">
      <c r="A1681" t="s">
        <v>85</v>
      </c>
      <c r="B1681" t="s">
        <v>5</v>
      </c>
      <c r="C1681" t="s">
        <v>83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0.28789999999999999</v>
      </c>
      <c r="K1681" t="s">
        <v>28</v>
      </c>
    </row>
    <row r="1682" spans="1:11" x14ac:dyDescent="0.45">
      <c r="A1682" t="s">
        <v>85</v>
      </c>
      <c r="B1682" t="s">
        <v>5</v>
      </c>
      <c r="C1682" t="s">
        <v>83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0.29899999999999999</v>
      </c>
      <c r="K1682" t="s">
        <v>28</v>
      </c>
    </row>
    <row r="1683" spans="1:11" x14ac:dyDescent="0.45">
      <c r="A1683" t="s">
        <v>85</v>
      </c>
      <c r="B1683" t="s">
        <v>5</v>
      </c>
      <c r="C1683" t="s">
        <v>83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0.29010000000000002</v>
      </c>
      <c r="K1683" t="s">
        <v>28</v>
      </c>
    </row>
    <row r="1684" spans="1:11" x14ac:dyDescent="0.45">
      <c r="A1684" t="s">
        <v>85</v>
      </c>
      <c r="B1684" t="s">
        <v>5</v>
      </c>
      <c r="C1684" t="s">
        <v>83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0.28689999999999999</v>
      </c>
      <c r="K1684" t="s">
        <v>28</v>
      </c>
    </row>
    <row r="1685" spans="1:11" x14ac:dyDescent="0.45">
      <c r="A1685" t="s">
        <v>85</v>
      </c>
      <c r="B1685" t="s">
        <v>5</v>
      </c>
      <c r="C1685" t="s">
        <v>83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0.29770000000000002</v>
      </c>
      <c r="K1685" t="s">
        <v>28</v>
      </c>
    </row>
    <row r="1686" spans="1:11" x14ac:dyDescent="0.45">
      <c r="A1686" t="s">
        <v>85</v>
      </c>
      <c r="B1686" t="s">
        <v>5</v>
      </c>
      <c r="C1686" t="s">
        <v>83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0.30869999999999997</v>
      </c>
      <c r="K1686" t="s">
        <v>28</v>
      </c>
    </row>
    <row r="1687" spans="1:11" x14ac:dyDescent="0.45">
      <c r="A1687" t="s">
        <v>85</v>
      </c>
      <c r="B1687" t="s">
        <v>5</v>
      </c>
      <c r="C1687" t="s">
        <v>83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0.31759999999999999</v>
      </c>
      <c r="K1687" t="s">
        <v>28</v>
      </c>
    </row>
    <row r="1688" spans="1:11" x14ac:dyDescent="0.45">
      <c r="A1688" t="s">
        <v>85</v>
      </c>
      <c r="B1688" t="s">
        <v>5</v>
      </c>
      <c r="C1688" t="s">
        <v>83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0.33479999999999999</v>
      </c>
      <c r="K1688" t="s">
        <v>28</v>
      </c>
    </row>
    <row r="1689" spans="1:11" x14ac:dyDescent="0.45">
      <c r="A1689" t="s">
        <v>85</v>
      </c>
      <c r="B1689" t="s">
        <v>5</v>
      </c>
      <c r="C1689" t="s">
        <v>83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0.33960000000000001</v>
      </c>
      <c r="K1689" t="s">
        <v>28</v>
      </c>
    </row>
    <row r="1690" spans="1:11" x14ac:dyDescent="0.45">
      <c r="A1690" t="s">
        <v>85</v>
      </c>
      <c r="B1690" t="s">
        <v>5</v>
      </c>
      <c r="C1690" t="s">
        <v>83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0.34410000000000002</v>
      </c>
      <c r="K1690" t="s">
        <v>28</v>
      </c>
    </row>
    <row r="1691" spans="1:11" x14ac:dyDescent="0.45">
      <c r="A1691" t="s">
        <v>85</v>
      </c>
      <c r="B1691" t="s">
        <v>5</v>
      </c>
      <c r="C1691" t="s">
        <v>83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1.09E-2</v>
      </c>
      <c r="K1691" t="s">
        <v>27</v>
      </c>
    </row>
    <row r="1692" spans="1:11" x14ac:dyDescent="0.45">
      <c r="A1692" t="s">
        <v>85</v>
      </c>
      <c r="B1692" t="s">
        <v>5</v>
      </c>
      <c r="C1692" t="s">
        <v>83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1.8499999999999999E-2</v>
      </c>
      <c r="K1692" t="s">
        <v>27</v>
      </c>
    </row>
    <row r="1693" spans="1:11" x14ac:dyDescent="0.45">
      <c r="A1693" t="s">
        <v>85</v>
      </c>
      <c r="B1693" t="s">
        <v>5</v>
      </c>
      <c r="C1693" t="s">
        <v>83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5.3400000000000003E-2</v>
      </c>
      <c r="K1693" t="s">
        <v>27</v>
      </c>
    </row>
    <row r="1694" spans="1:11" x14ac:dyDescent="0.45">
      <c r="A1694" t="s">
        <v>85</v>
      </c>
      <c r="B1694" t="s">
        <v>5</v>
      </c>
      <c r="C1694" t="s">
        <v>83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9.9900000000000003E-2</v>
      </c>
      <c r="K1694" t="s">
        <v>27</v>
      </c>
    </row>
    <row r="1695" spans="1:11" x14ac:dyDescent="0.45">
      <c r="A1695" t="s">
        <v>85</v>
      </c>
      <c r="B1695" t="s">
        <v>5</v>
      </c>
      <c r="C1695" t="s">
        <v>83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0.13880000000000001</v>
      </c>
      <c r="K1695" t="s">
        <v>27</v>
      </c>
    </row>
    <row r="1696" spans="1:11" x14ac:dyDescent="0.45">
      <c r="A1696" t="s">
        <v>85</v>
      </c>
      <c r="B1696" t="s">
        <v>5</v>
      </c>
      <c r="C1696" t="s">
        <v>83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0.1404</v>
      </c>
      <c r="K1696" t="s">
        <v>27</v>
      </c>
    </row>
    <row r="1697" spans="1:11" x14ac:dyDescent="0.45">
      <c r="A1697" t="s">
        <v>85</v>
      </c>
      <c r="B1697" t="s">
        <v>5</v>
      </c>
      <c r="C1697" t="s">
        <v>83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0.12770000000000001</v>
      </c>
      <c r="K1697" t="s">
        <v>27</v>
      </c>
    </row>
    <row r="1698" spans="1:11" x14ac:dyDescent="0.45">
      <c r="A1698" t="s">
        <v>85</v>
      </c>
      <c r="B1698" t="s">
        <v>5</v>
      </c>
      <c r="C1698" t="s">
        <v>83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0.13150000000000001</v>
      </c>
      <c r="K1698" t="s">
        <v>27</v>
      </c>
    </row>
    <row r="1699" spans="1:11" x14ac:dyDescent="0.45">
      <c r="A1699" t="s">
        <v>85</v>
      </c>
      <c r="B1699" t="s">
        <v>5</v>
      </c>
      <c r="C1699" t="s">
        <v>83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0.12540000000000001</v>
      </c>
      <c r="K1699" t="s">
        <v>27</v>
      </c>
    </row>
    <row r="1700" spans="1:11" x14ac:dyDescent="0.45">
      <c r="A1700" t="s">
        <v>85</v>
      </c>
      <c r="B1700" t="s">
        <v>5</v>
      </c>
      <c r="C1700" t="s">
        <v>83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0.11550000000000001</v>
      </c>
      <c r="K1700" t="s">
        <v>27</v>
      </c>
    </row>
    <row r="1701" spans="1:11" x14ac:dyDescent="0.45">
      <c r="A1701" t="s">
        <v>85</v>
      </c>
      <c r="B1701" t="s">
        <v>5</v>
      </c>
      <c r="C1701" t="s">
        <v>83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0.10829999999999999</v>
      </c>
      <c r="K1701" t="s">
        <v>27</v>
      </c>
    </row>
    <row r="1702" spans="1:11" x14ac:dyDescent="0.45">
      <c r="A1702" t="s">
        <v>85</v>
      </c>
      <c r="B1702" t="s">
        <v>5</v>
      </c>
      <c r="C1702" t="s">
        <v>83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0.105</v>
      </c>
      <c r="K1702" t="s">
        <v>27</v>
      </c>
    </row>
    <row r="1703" spans="1:11" x14ac:dyDescent="0.45">
      <c r="A1703" t="s">
        <v>85</v>
      </c>
      <c r="B1703" t="s">
        <v>5</v>
      </c>
      <c r="C1703" t="s">
        <v>83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0.1021</v>
      </c>
      <c r="K1703" t="s">
        <v>27</v>
      </c>
    </row>
    <row r="1704" spans="1:11" x14ac:dyDescent="0.45">
      <c r="A1704" t="s">
        <v>85</v>
      </c>
      <c r="B1704" t="s">
        <v>5</v>
      </c>
      <c r="C1704" t="s">
        <v>83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9.9900000000000003E-2</v>
      </c>
      <c r="K1704" t="s">
        <v>27</v>
      </c>
    </row>
    <row r="1705" spans="1:11" x14ac:dyDescent="0.45">
      <c r="A1705" t="s">
        <v>85</v>
      </c>
      <c r="B1705" t="s">
        <v>5</v>
      </c>
      <c r="C1705" t="s">
        <v>83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0.1009</v>
      </c>
      <c r="K1705" t="s">
        <v>27</v>
      </c>
    </row>
    <row r="1706" spans="1:11" x14ac:dyDescent="0.45">
      <c r="A1706" t="s">
        <v>85</v>
      </c>
      <c r="B1706" t="s">
        <v>5</v>
      </c>
      <c r="C1706" t="s">
        <v>83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0.1012</v>
      </c>
      <c r="K1706" t="s">
        <v>27</v>
      </c>
    </row>
    <row r="1707" spans="1:11" x14ac:dyDescent="0.45">
      <c r="A1707" t="s">
        <v>85</v>
      </c>
      <c r="B1707" t="s">
        <v>5</v>
      </c>
      <c r="C1707" t="s">
        <v>83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0.1017</v>
      </c>
      <c r="K1707" t="s">
        <v>27</v>
      </c>
    </row>
    <row r="1708" spans="1:11" x14ac:dyDescent="0.45">
      <c r="A1708" t="s">
        <v>85</v>
      </c>
      <c r="B1708" t="s">
        <v>5</v>
      </c>
      <c r="C1708" t="s">
        <v>83</v>
      </c>
      <c r="D1708" t="s">
        <v>84</v>
      </c>
      <c r="E1708" t="s">
        <v>25</v>
      </c>
      <c r="F1708" t="s">
        <v>84</v>
      </c>
      <c r="G1708" t="s">
        <v>26</v>
      </c>
      <c r="H1708" t="s">
        <v>81</v>
      </c>
      <c r="I1708">
        <v>2020</v>
      </c>
      <c r="J1708">
        <v>4.7999999999999996E-3</v>
      </c>
      <c r="K1708" t="s">
        <v>84</v>
      </c>
    </row>
    <row r="1709" spans="1:11" x14ac:dyDescent="0.45">
      <c r="A1709" t="s">
        <v>85</v>
      </c>
      <c r="B1709" t="s">
        <v>5</v>
      </c>
      <c r="C1709" t="s">
        <v>83</v>
      </c>
      <c r="D1709" t="s">
        <v>84</v>
      </c>
      <c r="E1709" t="s">
        <v>25</v>
      </c>
      <c r="F1709" t="s">
        <v>84</v>
      </c>
      <c r="G1709" t="s">
        <v>26</v>
      </c>
      <c r="H1709" t="s">
        <v>81</v>
      </c>
      <c r="I1709">
        <v>2025</v>
      </c>
      <c r="J1709">
        <v>1.9099999999999999E-2</v>
      </c>
      <c r="K1709" t="s">
        <v>84</v>
      </c>
    </row>
    <row r="1710" spans="1:11" x14ac:dyDescent="0.45">
      <c r="A1710" t="s">
        <v>85</v>
      </c>
      <c r="B1710" t="s">
        <v>5</v>
      </c>
      <c r="C1710" t="s">
        <v>83</v>
      </c>
      <c r="D1710" t="s">
        <v>84</v>
      </c>
      <c r="E1710" t="s">
        <v>25</v>
      </c>
      <c r="F1710" t="s">
        <v>84</v>
      </c>
      <c r="G1710" t="s">
        <v>26</v>
      </c>
      <c r="H1710" t="s">
        <v>81</v>
      </c>
      <c r="I1710">
        <v>2030</v>
      </c>
      <c r="J1710">
        <v>2.7400000000000001E-2</v>
      </c>
      <c r="K1710" t="s">
        <v>84</v>
      </c>
    </row>
    <row r="1711" spans="1:11" x14ac:dyDescent="0.45">
      <c r="A1711" t="s">
        <v>85</v>
      </c>
      <c r="B1711" t="s">
        <v>5</v>
      </c>
      <c r="C1711" t="s">
        <v>83</v>
      </c>
      <c r="D1711" t="s">
        <v>84</v>
      </c>
      <c r="E1711" t="s">
        <v>25</v>
      </c>
      <c r="F1711" t="s">
        <v>84</v>
      </c>
      <c r="G1711" t="s">
        <v>26</v>
      </c>
      <c r="H1711" t="s">
        <v>81</v>
      </c>
      <c r="I1711">
        <v>2035</v>
      </c>
      <c r="J1711">
        <v>2.1499999999999998E-2</v>
      </c>
      <c r="K1711" t="s">
        <v>84</v>
      </c>
    </row>
    <row r="1712" spans="1:11" x14ac:dyDescent="0.45">
      <c r="A1712" t="s">
        <v>85</v>
      </c>
      <c r="B1712" t="s">
        <v>5</v>
      </c>
      <c r="C1712" t="s">
        <v>83</v>
      </c>
      <c r="D1712" t="s">
        <v>84</v>
      </c>
      <c r="E1712" t="s">
        <v>25</v>
      </c>
      <c r="F1712" t="s">
        <v>84</v>
      </c>
      <c r="G1712" t="s">
        <v>26</v>
      </c>
      <c r="H1712" t="s">
        <v>81</v>
      </c>
      <c r="I1712">
        <v>2040</v>
      </c>
      <c r="J1712">
        <v>1.5699999999999999E-2</v>
      </c>
      <c r="K1712" t="s">
        <v>84</v>
      </c>
    </row>
    <row r="1713" spans="1:12" x14ac:dyDescent="0.45">
      <c r="A1713" t="s">
        <v>85</v>
      </c>
      <c r="B1713" t="s">
        <v>5</v>
      </c>
      <c r="C1713" t="s">
        <v>83</v>
      </c>
      <c r="D1713" t="s">
        <v>84</v>
      </c>
      <c r="E1713" t="s">
        <v>25</v>
      </c>
      <c r="F1713" t="s">
        <v>84</v>
      </c>
      <c r="G1713" t="s">
        <v>26</v>
      </c>
      <c r="H1713" t="s">
        <v>81</v>
      </c>
      <c r="I1713">
        <v>2045</v>
      </c>
      <c r="J1713">
        <v>1.15E-2</v>
      </c>
      <c r="K1713" t="s">
        <v>84</v>
      </c>
    </row>
    <row r="1714" spans="1:12" x14ac:dyDescent="0.45">
      <c r="A1714" t="s">
        <v>85</v>
      </c>
      <c r="B1714" t="s">
        <v>5</v>
      </c>
      <c r="C1714" t="s">
        <v>83</v>
      </c>
      <c r="D1714" t="s">
        <v>84</v>
      </c>
      <c r="E1714" t="s">
        <v>25</v>
      </c>
      <c r="F1714" t="s">
        <v>84</v>
      </c>
      <c r="G1714" t="s">
        <v>26</v>
      </c>
      <c r="H1714" t="s">
        <v>81</v>
      </c>
      <c r="I1714">
        <v>2050</v>
      </c>
      <c r="J1714">
        <v>1.44E-2</v>
      </c>
      <c r="K1714" t="s">
        <v>84</v>
      </c>
    </row>
    <row r="1715" spans="1:12" x14ac:dyDescent="0.45">
      <c r="A1715" t="s">
        <v>85</v>
      </c>
      <c r="B1715" t="s">
        <v>5</v>
      </c>
      <c r="C1715" t="s">
        <v>83</v>
      </c>
      <c r="D1715" t="s">
        <v>84</v>
      </c>
      <c r="E1715" t="s">
        <v>25</v>
      </c>
      <c r="F1715" t="s">
        <v>84</v>
      </c>
      <c r="G1715" t="s">
        <v>26</v>
      </c>
      <c r="H1715" t="s">
        <v>81</v>
      </c>
      <c r="I1715">
        <v>2055</v>
      </c>
      <c r="J1715">
        <v>1.6799999999999999E-2</v>
      </c>
      <c r="K1715" t="s">
        <v>84</v>
      </c>
    </row>
    <row r="1716" spans="1:12" x14ac:dyDescent="0.45">
      <c r="A1716" t="s">
        <v>85</v>
      </c>
      <c r="B1716" t="s">
        <v>5</v>
      </c>
      <c r="C1716" t="s">
        <v>83</v>
      </c>
      <c r="D1716" t="s">
        <v>84</v>
      </c>
      <c r="E1716" t="s">
        <v>25</v>
      </c>
      <c r="F1716" t="s">
        <v>84</v>
      </c>
      <c r="G1716" t="s">
        <v>26</v>
      </c>
      <c r="H1716" t="s">
        <v>81</v>
      </c>
      <c r="I1716">
        <v>2060</v>
      </c>
      <c r="J1716">
        <v>1.9699999999999999E-2</v>
      </c>
      <c r="K1716" t="s">
        <v>84</v>
      </c>
    </row>
    <row r="1717" spans="1:12" x14ac:dyDescent="0.45">
      <c r="A1717" t="s">
        <v>85</v>
      </c>
      <c r="B1717" t="s">
        <v>5</v>
      </c>
      <c r="C1717" t="s">
        <v>83</v>
      </c>
      <c r="D1717" t="s">
        <v>84</v>
      </c>
      <c r="E1717" t="s">
        <v>25</v>
      </c>
      <c r="F1717" t="s">
        <v>84</v>
      </c>
      <c r="G1717" t="s">
        <v>26</v>
      </c>
      <c r="H1717" t="s">
        <v>81</v>
      </c>
      <c r="I1717">
        <v>2065</v>
      </c>
      <c r="J1717">
        <v>2.0199999999999999E-2</v>
      </c>
      <c r="K1717" t="s">
        <v>84</v>
      </c>
    </row>
    <row r="1718" spans="1:12" x14ac:dyDescent="0.45">
      <c r="A1718" t="s">
        <v>85</v>
      </c>
      <c r="B1718" t="s">
        <v>5</v>
      </c>
      <c r="C1718" t="s">
        <v>83</v>
      </c>
      <c r="D1718" t="s">
        <v>84</v>
      </c>
      <c r="E1718" t="s">
        <v>25</v>
      </c>
      <c r="F1718" t="s">
        <v>84</v>
      </c>
      <c r="G1718" t="s">
        <v>26</v>
      </c>
      <c r="H1718" t="s">
        <v>81</v>
      </c>
      <c r="I1718">
        <v>2070</v>
      </c>
      <c r="J1718">
        <v>2.0500000000000001E-2</v>
      </c>
      <c r="K1718" t="s">
        <v>84</v>
      </c>
    </row>
    <row r="1719" spans="1:12" x14ac:dyDescent="0.45">
      <c r="A1719" t="s">
        <v>85</v>
      </c>
      <c r="B1719" t="s">
        <v>5</v>
      </c>
      <c r="C1719" t="s">
        <v>83</v>
      </c>
      <c r="D1719" t="s">
        <v>84</v>
      </c>
      <c r="E1719" t="s">
        <v>25</v>
      </c>
      <c r="F1719" t="s">
        <v>84</v>
      </c>
      <c r="G1719" t="s">
        <v>26</v>
      </c>
      <c r="H1719" t="s">
        <v>81</v>
      </c>
      <c r="I1719">
        <v>2075</v>
      </c>
      <c r="J1719">
        <v>0.02</v>
      </c>
      <c r="K1719" t="s">
        <v>84</v>
      </c>
    </row>
    <row r="1720" spans="1:12" x14ac:dyDescent="0.45">
      <c r="A1720" t="s">
        <v>85</v>
      </c>
      <c r="B1720" t="s">
        <v>5</v>
      </c>
      <c r="C1720" t="s">
        <v>83</v>
      </c>
      <c r="D1720" t="s">
        <v>84</v>
      </c>
      <c r="E1720" t="s">
        <v>25</v>
      </c>
      <c r="F1720" t="s">
        <v>84</v>
      </c>
      <c r="G1720" t="s">
        <v>26</v>
      </c>
      <c r="H1720" t="s">
        <v>81</v>
      </c>
      <c r="I1720">
        <v>2080</v>
      </c>
      <c r="J1720">
        <v>1.9199999999999998E-2</v>
      </c>
      <c r="K1720" t="s">
        <v>84</v>
      </c>
    </row>
    <row r="1721" spans="1:12" x14ac:dyDescent="0.45">
      <c r="A1721" t="s">
        <v>85</v>
      </c>
      <c r="B1721" t="s">
        <v>5</v>
      </c>
      <c r="C1721" t="s">
        <v>83</v>
      </c>
      <c r="D1721" t="s">
        <v>84</v>
      </c>
      <c r="E1721" t="s">
        <v>25</v>
      </c>
      <c r="F1721" t="s">
        <v>84</v>
      </c>
      <c r="G1721" t="s">
        <v>26</v>
      </c>
      <c r="H1721" t="s">
        <v>81</v>
      </c>
      <c r="I1721">
        <v>2085</v>
      </c>
      <c r="J1721">
        <v>2.01E-2</v>
      </c>
      <c r="K1721" t="s">
        <v>84</v>
      </c>
    </row>
    <row r="1722" spans="1:12" x14ac:dyDescent="0.45">
      <c r="A1722" t="s">
        <v>85</v>
      </c>
      <c r="B1722" t="s">
        <v>5</v>
      </c>
      <c r="C1722" t="s">
        <v>83</v>
      </c>
      <c r="D1722" t="s">
        <v>84</v>
      </c>
      <c r="E1722" t="s">
        <v>25</v>
      </c>
      <c r="F1722" t="s">
        <v>84</v>
      </c>
      <c r="G1722" t="s">
        <v>26</v>
      </c>
      <c r="H1722" t="s">
        <v>81</v>
      </c>
      <c r="I1722">
        <v>2090</v>
      </c>
      <c r="J1722">
        <v>2.1100000000000001E-2</v>
      </c>
      <c r="K1722" t="s">
        <v>84</v>
      </c>
    </row>
    <row r="1723" spans="1:12" x14ac:dyDescent="0.45">
      <c r="A1723" t="s">
        <v>85</v>
      </c>
      <c r="B1723" t="s">
        <v>5</v>
      </c>
      <c r="C1723" t="s">
        <v>83</v>
      </c>
      <c r="D1723" t="s">
        <v>84</v>
      </c>
      <c r="E1723" t="s">
        <v>25</v>
      </c>
      <c r="F1723" t="s">
        <v>84</v>
      </c>
      <c r="G1723" t="s">
        <v>26</v>
      </c>
      <c r="H1723" t="s">
        <v>81</v>
      </c>
      <c r="I1723">
        <v>2095</v>
      </c>
      <c r="J1723">
        <v>2.7300000000000001E-2</v>
      </c>
      <c r="K1723" t="s">
        <v>84</v>
      </c>
    </row>
    <row r="1724" spans="1:12" x14ac:dyDescent="0.45">
      <c r="A1724" t="s">
        <v>85</v>
      </c>
      <c r="B1724" t="s">
        <v>5</v>
      </c>
      <c r="C1724" t="s">
        <v>83</v>
      </c>
      <c r="D1724" t="s">
        <v>84</v>
      </c>
      <c r="E1724" t="s">
        <v>25</v>
      </c>
      <c r="F1724" t="s">
        <v>84</v>
      </c>
      <c r="G1724" t="s">
        <v>26</v>
      </c>
      <c r="H1724" t="s">
        <v>81</v>
      </c>
      <c r="I1724">
        <v>2100</v>
      </c>
      <c r="J1724">
        <v>3.3399999999999999E-2</v>
      </c>
      <c r="K1724" t="s">
        <v>84</v>
      </c>
    </row>
    <row r="1725" spans="1:12" x14ac:dyDescent="0.45">
      <c r="A1725" t="s">
        <v>85</v>
      </c>
      <c r="B1725" t="s">
        <v>5</v>
      </c>
      <c r="C1725" t="s">
        <v>83</v>
      </c>
      <c r="D1725" t="s">
        <v>52</v>
      </c>
      <c r="E1725" t="s">
        <v>25</v>
      </c>
      <c r="F1725" t="s">
        <v>52</v>
      </c>
      <c r="G1725" t="s">
        <v>70</v>
      </c>
      <c r="I1725">
        <v>2020</v>
      </c>
      <c r="J1725">
        <v>0.33360000000000001</v>
      </c>
      <c r="K1725" t="s">
        <v>52</v>
      </c>
      <c r="L1725">
        <v>94</v>
      </c>
    </row>
    <row r="1726" spans="1:12" x14ac:dyDescent="0.45">
      <c r="A1726" t="s">
        <v>85</v>
      </c>
      <c r="B1726" t="s">
        <v>5</v>
      </c>
      <c r="C1726" t="s">
        <v>83</v>
      </c>
      <c r="D1726" t="s">
        <v>52</v>
      </c>
      <c r="E1726" t="s">
        <v>25</v>
      </c>
      <c r="F1726" t="s">
        <v>52</v>
      </c>
      <c r="G1726" t="s">
        <v>70</v>
      </c>
      <c r="I1726">
        <v>2025</v>
      </c>
      <c r="J1726">
        <v>0.31209999999999999</v>
      </c>
      <c r="K1726" t="s">
        <v>52</v>
      </c>
      <c r="L1726">
        <v>94</v>
      </c>
    </row>
    <row r="1727" spans="1:12" x14ac:dyDescent="0.45">
      <c r="A1727" t="s">
        <v>85</v>
      </c>
      <c r="B1727" t="s">
        <v>5</v>
      </c>
      <c r="C1727" t="s">
        <v>83</v>
      </c>
      <c r="D1727" t="s">
        <v>52</v>
      </c>
      <c r="E1727" t="s">
        <v>25</v>
      </c>
      <c r="F1727" t="s">
        <v>52</v>
      </c>
      <c r="G1727" t="s">
        <v>70</v>
      </c>
      <c r="I1727">
        <v>2030</v>
      </c>
      <c r="J1727">
        <v>0.29249999999999998</v>
      </c>
      <c r="K1727" t="s">
        <v>52</v>
      </c>
      <c r="L1727">
        <v>94</v>
      </c>
    </row>
    <row r="1728" spans="1:12" x14ac:dyDescent="0.45">
      <c r="A1728" t="s">
        <v>85</v>
      </c>
      <c r="B1728" t="s">
        <v>5</v>
      </c>
      <c r="C1728" t="s">
        <v>83</v>
      </c>
      <c r="D1728" t="s">
        <v>52</v>
      </c>
      <c r="E1728" t="s">
        <v>25</v>
      </c>
      <c r="F1728" t="s">
        <v>52</v>
      </c>
      <c r="G1728" t="s">
        <v>70</v>
      </c>
      <c r="I1728">
        <v>2035</v>
      </c>
      <c r="J1728">
        <v>0.1318</v>
      </c>
      <c r="K1728" t="s">
        <v>52</v>
      </c>
      <c r="L1728">
        <v>94</v>
      </c>
    </row>
    <row r="1729" spans="1:12" x14ac:dyDescent="0.45">
      <c r="A1729" t="s">
        <v>85</v>
      </c>
      <c r="B1729" t="s">
        <v>5</v>
      </c>
      <c r="C1729" t="s">
        <v>83</v>
      </c>
      <c r="D1729" t="s">
        <v>52</v>
      </c>
      <c r="E1729" t="s">
        <v>25</v>
      </c>
      <c r="F1729" t="s">
        <v>52</v>
      </c>
      <c r="G1729" t="s">
        <v>70</v>
      </c>
      <c r="I1729">
        <v>2040</v>
      </c>
      <c r="J1729">
        <v>3.9800000000000002E-2</v>
      </c>
      <c r="K1729" t="s">
        <v>52</v>
      </c>
      <c r="L1729">
        <v>94</v>
      </c>
    </row>
    <row r="1730" spans="1:12" x14ac:dyDescent="0.45">
      <c r="A1730" t="s">
        <v>85</v>
      </c>
      <c r="B1730" t="s">
        <v>5</v>
      </c>
      <c r="C1730" t="s">
        <v>83</v>
      </c>
      <c r="D1730" t="s">
        <v>52</v>
      </c>
      <c r="E1730" t="s">
        <v>25</v>
      </c>
      <c r="F1730" t="s">
        <v>52</v>
      </c>
      <c r="G1730" t="s">
        <v>70</v>
      </c>
      <c r="I1730">
        <v>2045</v>
      </c>
      <c r="J1730">
        <v>1E-4</v>
      </c>
      <c r="K1730" t="s">
        <v>52</v>
      </c>
      <c r="L1730">
        <v>94</v>
      </c>
    </row>
    <row r="1731" spans="1:12" x14ac:dyDescent="0.45">
      <c r="A1731" t="s">
        <v>85</v>
      </c>
      <c r="B1731" t="s">
        <v>5</v>
      </c>
      <c r="C1731" t="s">
        <v>83</v>
      </c>
      <c r="D1731" t="s">
        <v>52</v>
      </c>
      <c r="E1731" t="s">
        <v>25</v>
      </c>
      <c r="F1731" t="s">
        <v>52</v>
      </c>
      <c r="G1731" t="s">
        <v>70</v>
      </c>
      <c r="I1731">
        <v>2050</v>
      </c>
      <c r="J1731">
        <v>1E-4</v>
      </c>
      <c r="K1731" t="s">
        <v>52</v>
      </c>
      <c r="L1731">
        <v>94</v>
      </c>
    </row>
    <row r="1732" spans="1:12" x14ac:dyDescent="0.45">
      <c r="A1732" t="s">
        <v>85</v>
      </c>
      <c r="B1732" t="s">
        <v>5</v>
      </c>
      <c r="C1732" t="s">
        <v>83</v>
      </c>
      <c r="D1732" t="s">
        <v>52</v>
      </c>
      <c r="E1732" t="s">
        <v>25</v>
      </c>
      <c r="F1732" t="s">
        <v>52</v>
      </c>
      <c r="G1732" t="s">
        <v>70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85</v>
      </c>
      <c r="B1733" t="s">
        <v>5</v>
      </c>
      <c r="C1733" t="s">
        <v>83</v>
      </c>
      <c r="D1733" t="s">
        <v>52</v>
      </c>
      <c r="E1733" t="s">
        <v>25</v>
      </c>
      <c r="F1733" t="s">
        <v>52</v>
      </c>
      <c r="G1733" t="s">
        <v>70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85</v>
      </c>
      <c r="B1734" t="s">
        <v>5</v>
      </c>
      <c r="C1734" t="s">
        <v>83</v>
      </c>
      <c r="D1734" t="s">
        <v>52</v>
      </c>
      <c r="E1734" t="s">
        <v>25</v>
      </c>
      <c r="F1734" t="s">
        <v>52</v>
      </c>
      <c r="G1734" t="s">
        <v>70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85</v>
      </c>
      <c r="B1735" t="s">
        <v>5</v>
      </c>
      <c r="C1735" t="s">
        <v>83</v>
      </c>
      <c r="D1735" t="s">
        <v>52</v>
      </c>
      <c r="E1735" t="s">
        <v>25</v>
      </c>
      <c r="F1735" t="s">
        <v>52</v>
      </c>
      <c r="G1735" t="s">
        <v>70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85</v>
      </c>
      <c r="B1736" t="s">
        <v>5</v>
      </c>
      <c r="C1736" t="s">
        <v>83</v>
      </c>
      <c r="D1736" t="s">
        <v>52</v>
      </c>
      <c r="E1736" t="s">
        <v>25</v>
      </c>
      <c r="F1736" t="s">
        <v>52</v>
      </c>
      <c r="G1736" t="s">
        <v>70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85</v>
      </c>
      <c r="B1737" t="s">
        <v>5</v>
      </c>
      <c r="C1737" t="s">
        <v>83</v>
      </c>
      <c r="D1737" t="s">
        <v>52</v>
      </c>
      <c r="E1737" t="s">
        <v>25</v>
      </c>
      <c r="F1737" t="s">
        <v>52</v>
      </c>
      <c r="G1737" t="s">
        <v>70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85</v>
      </c>
      <c r="B1738" t="s">
        <v>5</v>
      </c>
      <c r="C1738" t="s">
        <v>83</v>
      </c>
      <c r="D1738" t="s">
        <v>52</v>
      </c>
      <c r="E1738" t="s">
        <v>25</v>
      </c>
      <c r="F1738" t="s">
        <v>52</v>
      </c>
      <c r="G1738" t="s">
        <v>70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85</v>
      </c>
      <c r="B1739" t="s">
        <v>5</v>
      </c>
      <c r="C1739" t="s">
        <v>83</v>
      </c>
      <c r="D1739" t="s">
        <v>52</v>
      </c>
      <c r="E1739" t="s">
        <v>25</v>
      </c>
      <c r="F1739" t="s">
        <v>52</v>
      </c>
      <c r="G1739" t="s">
        <v>70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85</v>
      </c>
      <c r="B1740" t="s">
        <v>5</v>
      </c>
      <c r="C1740" t="s">
        <v>83</v>
      </c>
      <c r="D1740" t="s">
        <v>52</v>
      </c>
      <c r="E1740" t="s">
        <v>25</v>
      </c>
      <c r="F1740" t="s">
        <v>52</v>
      </c>
      <c r="G1740" t="s">
        <v>70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85</v>
      </c>
      <c r="B1741" t="s">
        <v>5</v>
      </c>
      <c r="C1741" t="s">
        <v>83</v>
      </c>
      <c r="D1741" t="s">
        <v>52</v>
      </c>
      <c r="E1741" t="s">
        <v>25</v>
      </c>
      <c r="F1741" t="s">
        <v>52</v>
      </c>
      <c r="G1741" t="s">
        <v>70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85</v>
      </c>
      <c r="B1742" t="s">
        <v>5</v>
      </c>
      <c r="C1742" t="s">
        <v>83</v>
      </c>
      <c r="D1742" t="s">
        <v>53</v>
      </c>
      <c r="E1742" t="s">
        <v>25</v>
      </c>
      <c r="F1742" t="s">
        <v>53</v>
      </c>
      <c r="G1742" t="s">
        <v>70</v>
      </c>
      <c r="I1742">
        <v>2020</v>
      </c>
      <c r="J1742">
        <v>0.1108</v>
      </c>
      <c r="K1742" t="s">
        <v>53</v>
      </c>
      <c r="L1742">
        <v>55</v>
      </c>
    </row>
    <row r="1743" spans="1:12" x14ac:dyDescent="0.45">
      <c r="A1743" t="s">
        <v>85</v>
      </c>
      <c r="B1743" t="s">
        <v>5</v>
      </c>
      <c r="C1743" t="s">
        <v>83</v>
      </c>
      <c r="D1743" t="s">
        <v>53</v>
      </c>
      <c r="E1743" t="s">
        <v>25</v>
      </c>
      <c r="F1743" t="s">
        <v>53</v>
      </c>
      <c r="G1743" t="s">
        <v>70</v>
      </c>
      <c r="I1743">
        <v>2025</v>
      </c>
      <c r="J1743">
        <v>0.13039999999999999</v>
      </c>
      <c r="K1743" t="s">
        <v>53</v>
      </c>
      <c r="L1743">
        <v>55</v>
      </c>
    </row>
    <row r="1744" spans="1:12" x14ac:dyDescent="0.45">
      <c r="A1744" t="s">
        <v>85</v>
      </c>
      <c r="B1744" t="s">
        <v>5</v>
      </c>
      <c r="C1744" t="s">
        <v>83</v>
      </c>
      <c r="D1744" t="s">
        <v>53</v>
      </c>
      <c r="E1744" t="s">
        <v>25</v>
      </c>
      <c r="F1744" t="s">
        <v>53</v>
      </c>
      <c r="G1744" t="s">
        <v>70</v>
      </c>
      <c r="I1744">
        <v>2030</v>
      </c>
      <c r="J1744">
        <v>0.1128</v>
      </c>
      <c r="K1744" t="s">
        <v>53</v>
      </c>
      <c r="L1744">
        <v>55</v>
      </c>
    </row>
    <row r="1745" spans="1:12" x14ac:dyDescent="0.45">
      <c r="A1745" t="s">
        <v>85</v>
      </c>
      <c r="B1745" t="s">
        <v>5</v>
      </c>
      <c r="C1745" t="s">
        <v>83</v>
      </c>
      <c r="D1745" t="s">
        <v>53</v>
      </c>
      <c r="E1745" t="s">
        <v>25</v>
      </c>
      <c r="F1745" t="s">
        <v>53</v>
      </c>
      <c r="G1745" t="s">
        <v>70</v>
      </c>
      <c r="I1745">
        <v>2035</v>
      </c>
      <c r="J1745">
        <v>4.7800000000000002E-2</v>
      </c>
      <c r="K1745" t="s">
        <v>53</v>
      </c>
      <c r="L1745">
        <v>55</v>
      </c>
    </row>
    <row r="1746" spans="1:12" x14ac:dyDescent="0.45">
      <c r="A1746" t="s">
        <v>85</v>
      </c>
      <c r="B1746" t="s">
        <v>5</v>
      </c>
      <c r="C1746" t="s">
        <v>83</v>
      </c>
      <c r="D1746" t="s">
        <v>53</v>
      </c>
      <c r="E1746" t="s">
        <v>25</v>
      </c>
      <c r="F1746" t="s">
        <v>53</v>
      </c>
      <c r="G1746" t="s">
        <v>70</v>
      </c>
      <c r="I1746">
        <v>2040</v>
      </c>
      <c r="J1746">
        <v>5.1999999999999998E-3</v>
      </c>
      <c r="K1746" t="s">
        <v>53</v>
      </c>
      <c r="L1746">
        <v>55</v>
      </c>
    </row>
    <row r="1747" spans="1:12" x14ac:dyDescent="0.45">
      <c r="A1747" t="s">
        <v>85</v>
      </c>
      <c r="B1747" t="s">
        <v>5</v>
      </c>
      <c r="C1747" t="s">
        <v>83</v>
      </c>
      <c r="D1747" t="s">
        <v>53</v>
      </c>
      <c r="E1747" t="s">
        <v>25</v>
      </c>
      <c r="F1747" t="s">
        <v>53</v>
      </c>
      <c r="G1747" t="s">
        <v>70</v>
      </c>
      <c r="I1747">
        <v>2045</v>
      </c>
      <c r="J1747">
        <v>8.0000000000000004E-4</v>
      </c>
      <c r="K1747" t="s">
        <v>53</v>
      </c>
      <c r="L1747">
        <v>55</v>
      </c>
    </row>
    <row r="1748" spans="1:12" x14ac:dyDescent="0.45">
      <c r="A1748" t="s">
        <v>85</v>
      </c>
      <c r="B1748" t="s">
        <v>5</v>
      </c>
      <c r="C1748" t="s">
        <v>83</v>
      </c>
      <c r="D1748" t="s">
        <v>53</v>
      </c>
      <c r="E1748" t="s">
        <v>25</v>
      </c>
      <c r="F1748" t="s">
        <v>53</v>
      </c>
      <c r="G1748" t="s">
        <v>70</v>
      </c>
      <c r="I1748">
        <v>2050</v>
      </c>
      <c r="J1748">
        <v>2.9999999999999997E-4</v>
      </c>
      <c r="K1748" t="s">
        <v>53</v>
      </c>
      <c r="L1748">
        <v>55</v>
      </c>
    </row>
    <row r="1749" spans="1:12" x14ac:dyDescent="0.45">
      <c r="A1749" t="s">
        <v>85</v>
      </c>
      <c r="B1749" t="s">
        <v>5</v>
      </c>
      <c r="C1749" t="s">
        <v>83</v>
      </c>
      <c r="D1749" t="s">
        <v>53</v>
      </c>
      <c r="E1749" t="s">
        <v>25</v>
      </c>
      <c r="F1749" t="s">
        <v>53</v>
      </c>
      <c r="G1749" t="s">
        <v>70</v>
      </c>
      <c r="I1749">
        <v>2055</v>
      </c>
      <c r="J1749">
        <v>2.9999999999999997E-4</v>
      </c>
      <c r="K1749" t="s">
        <v>53</v>
      </c>
      <c r="L1749">
        <v>55</v>
      </c>
    </row>
    <row r="1750" spans="1:12" x14ac:dyDescent="0.45">
      <c r="A1750" t="s">
        <v>85</v>
      </c>
      <c r="B1750" t="s">
        <v>5</v>
      </c>
      <c r="C1750" t="s">
        <v>83</v>
      </c>
      <c r="D1750" t="s">
        <v>53</v>
      </c>
      <c r="E1750" t="s">
        <v>25</v>
      </c>
      <c r="F1750" t="s">
        <v>53</v>
      </c>
      <c r="G1750" t="s">
        <v>70</v>
      </c>
      <c r="I1750">
        <v>2060</v>
      </c>
      <c r="J1750">
        <v>2.0000000000000001E-4</v>
      </c>
      <c r="K1750" t="s">
        <v>53</v>
      </c>
      <c r="L1750">
        <v>55</v>
      </c>
    </row>
    <row r="1751" spans="1:12" x14ac:dyDescent="0.45">
      <c r="A1751" t="s">
        <v>85</v>
      </c>
      <c r="B1751" t="s">
        <v>5</v>
      </c>
      <c r="C1751" t="s">
        <v>83</v>
      </c>
      <c r="D1751" t="s">
        <v>53</v>
      </c>
      <c r="E1751" t="s">
        <v>25</v>
      </c>
      <c r="F1751" t="s">
        <v>53</v>
      </c>
      <c r="G1751" t="s">
        <v>70</v>
      </c>
      <c r="I1751">
        <v>2065</v>
      </c>
      <c r="J1751">
        <v>2.0000000000000001E-4</v>
      </c>
      <c r="K1751" t="s">
        <v>53</v>
      </c>
      <c r="L1751">
        <v>55</v>
      </c>
    </row>
    <row r="1752" spans="1:12" x14ac:dyDescent="0.45">
      <c r="A1752" t="s">
        <v>85</v>
      </c>
      <c r="B1752" t="s">
        <v>5</v>
      </c>
      <c r="C1752" t="s">
        <v>83</v>
      </c>
      <c r="D1752" t="s">
        <v>53</v>
      </c>
      <c r="E1752" t="s">
        <v>25</v>
      </c>
      <c r="F1752" t="s">
        <v>53</v>
      </c>
      <c r="G1752" t="s">
        <v>70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85</v>
      </c>
      <c r="B1753" t="s">
        <v>5</v>
      </c>
      <c r="C1753" t="s">
        <v>83</v>
      </c>
      <c r="D1753" t="s">
        <v>53</v>
      </c>
      <c r="E1753" t="s">
        <v>25</v>
      </c>
      <c r="F1753" t="s">
        <v>53</v>
      </c>
      <c r="G1753" t="s">
        <v>70</v>
      </c>
      <c r="I1753">
        <v>2075</v>
      </c>
      <c r="J1753">
        <v>1E-4</v>
      </c>
      <c r="K1753" t="s">
        <v>53</v>
      </c>
      <c r="L1753">
        <v>55</v>
      </c>
    </row>
    <row r="1754" spans="1:12" x14ac:dyDescent="0.45">
      <c r="A1754" t="s">
        <v>85</v>
      </c>
      <c r="B1754" t="s">
        <v>5</v>
      </c>
      <c r="C1754" t="s">
        <v>83</v>
      </c>
      <c r="D1754" t="s">
        <v>53</v>
      </c>
      <c r="E1754" t="s">
        <v>25</v>
      </c>
      <c r="F1754" t="s">
        <v>53</v>
      </c>
      <c r="G1754" t="s">
        <v>70</v>
      </c>
      <c r="I1754">
        <v>2080</v>
      </c>
      <c r="J1754">
        <v>1E-4</v>
      </c>
      <c r="K1754" t="s">
        <v>53</v>
      </c>
      <c r="L1754">
        <v>55</v>
      </c>
    </row>
    <row r="1755" spans="1:12" x14ac:dyDescent="0.45">
      <c r="A1755" t="s">
        <v>85</v>
      </c>
      <c r="B1755" t="s">
        <v>5</v>
      </c>
      <c r="C1755" t="s">
        <v>83</v>
      </c>
      <c r="D1755" t="s">
        <v>53</v>
      </c>
      <c r="E1755" t="s">
        <v>25</v>
      </c>
      <c r="F1755" t="s">
        <v>53</v>
      </c>
      <c r="G1755" t="s">
        <v>70</v>
      </c>
      <c r="I1755">
        <v>2085</v>
      </c>
      <c r="J1755">
        <v>1E-4</v>
      </c>
      <c r="K1755" t="s">
        <v>53</v>
      </c>
      <c r="L1755">
        <v>55</v>
      </c>
    </row>
    <row r="1756" spans="1:12" x14ac:dyDescent="0.45">
      <c r="A1756" t="s">
        <v>85</v>
      </c>
      <c r="B1756" t="s">
        <v>5</v>
      </c>
      <c r="C1756" t="s">
        <v>83</v>
      </c>
      <c r="D1756" t="s">
        <v>53</v>
      </c>
      <c r="E1756" t="s">
        <v>25</v>
      </c>
      <c r="F1756" t="s">
        <v>53</v>
      </c>
      <c r="G1756" t="s">
        <v>70</v>
      </c>
      <c r="I1756">
        <v>2090</v>
      </c>
      <c r="J1756">
        <v>1E-4</v>
      </c>
      <c r="K1756" t="s">
        <v>53</v>
      </c>
      <c r="L1756">
        <v>55</v>
      </c>
    </row>
    <row r="1757" spans="1:12" x14ac:dyDescent="0.45">
      <c r="A1757" t="s">
        <v>85</v>
      </c>
      <c r="B1757" t="s">
        <v>5</v>
      </c>
      <c r="C1757" t="s">
        <v>83</v>
      </c>
      <c r="D1757" t="s">
        <v>53</v>
      </c>
      <c r="E1757" t="s">
        <v>25</v>
      </c>
      <c r="F1757" t="s">
        <v>53</v>
      </c>
      <c r="G1757" t="s">
        <v>70</v>
      </c>
      <c r="I1757">
        <v>2095</v>
      </c>
      <c r="J1757">
        <v>1E-4</v>
      </c>
      <c r="K1757" t="s">
        <v>53</v>
      </c>
      <c r="L1757">
        <v>55</v>
      </c>
    </row>
    <row r="1758" spans="1:12" x14ac:dyDescent="0.45">
      <c r="A1758" t="s">
        <v>85</v>
      </c>
      <c r="B1758" t="s">
        <v>5</v>
      </c>
      <c r="C1758" t="s">
        <v>83</v>
      </c>
      <c r="D1758" t="s">
        <v>53</v>
      </c>
      <c r="E1758" t="s">
        <v>25</v>
      </c>
      <c r="F1758" t="s">
        <v>53</v>
      </c>
      <c r="G1758" t="s">
        <v>70</v>
      </c>
      <c r="I1758">
        <v>2100</v>
      </c>
      <c r="J1758">
        <v>1E-4</v>
      </c>
      <c r="K1758" t="s">
        <v>53</v>
      </c>
      <c r="L1758">
        <v>55</v>
      </c>
    </row>
    <row r="1759" spans="1:12" x14ac:dyDescent="0.45">
      <c r="A1759" t="s">
        <v>85</v>
      </c>
      <c r="B1759" t="s">
        <v>5</v>
      </c>
      <c r="C1759" t="s">
        <v>83</v>
      </c>
      <c r="D1759" t="s">
        <v>54</v>
      </c>
      <c r="E1759" t="s">
        <v>25</v>
      </c>
      <c r="F1759" t="s">
        <v>54</v>
      </c>
      <c r="G1759" t="s">
        <v>70</v>
      </c>
      <c r="I1759">
        <v>2020</v>
      </c>
      <c r="J1759">
        <v>0</v>
      </c>
      <c r="K1759" t="s">
        <v>54</v>
      </c>
      <c r="L1759">
        <v>70</v>
      </c>
    </row>
    <row r="1760" spans="1:12" x14ac:dyDescent="0.45">
      <c r="A1760" t="s">
        <v>85</v>
      </c>
      <c r="B1760" t="s">
        <v>5</v>
      </c>
      <c r="C1760" t="s">
        <v>83</v>
      </c>
      <c r="D1760" t="s">
        <v>54</v>
      </c>
      <c r="E1760" t="s">
        <v>25</v>
      </c>
      <c r="F1760" t="s">
        <v>54</v>
      </c>
      <c r="G1760" t="s">
        <v>70</v>
      </c>
      <c r="I1760">
        <v>2025</v>
      </c>
      <c r="J1760">
        <v>0</v>
      </c>
      <c r="K1760" t="s">
        <v>54</v>
      </c>
      <c r="L1760">
        <v>70</v>
      </c>
    </row>
    <row r="1761" spans="1:12" x14ac:dyDescent="0.45">
      <c r="A1761" t="s">
        <v>85</v>
      </c>
      <c r="B1761" t="s">
        <v>5</v>
      </c>
      <c r="C1761" t="s">
        <v>83</v>
      </c>
      <c r="D1761" t="s">
        <v>54</v>
      </c>
      <c r="E1761" t="s">
        <v>25</v>
      </c>
      <c r="F1761" t="s">
        <v>54</v>
      </c>
      <c r="G1761" t="s">
        <v>70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85</v>
      </c>
      <c r="B1762" t="s">
        <v>5</v>
      </c>
      <c r="C1762" t="s">
        <v>83</v>
      </c>
      <c r="D1762" t="s">
        <v>54</v>
      </c>
      <c r="E1762" t="s">
        <v>25</v>
      </c>
      <c r="F1762" t="s">
        <v>54</v>
      </c>
      <c r="G1762" t="s">
        <v>70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85</v>
      </c>
      <c r="B1763" t="s">
        <v>5</v>
      </c>
      <c r="C1763" t="s">
        <v>83</v>
      </c>
      <c r="D1763" t="s">
        <v>54</v>
      </c>
      <c r="E1763" t="s">
        <v>25</v>
      </c>
      <c r="F1763" t="s">
        <v>54</v>
      </c>
      <c r="G1763" t="s">
        <v>70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85</v>
      </c>
      <c r="B1764" t="s">
        <v>5</v>
      </c>
      <c r="C1764" t="s">
        <v>83</v>
      </c>
      <c r="D1764" t="s">
        <v>54</v>
      </c>
      <c r="E1764" t="s">
        <v>25</v>
      </c>
      <c r="F1764" t="s">
        <v>54</v>
      </c>
      <c r="G1764" t="s">
        <v>70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85</v>
      </c>
      <c r="B1765" t="s">
        <v>5</v>
      </c>
      <c r="C1765" t="s">
        <v>83</v>
      </c>
      <c r="D1765" t="s">
        <v>54</v>
      </c>
      <c r="E1765" t="s">
        <v>25</v>
      </c>
      <c r="F1765" t="s">
        <v>54</v>
      </c>
      <c r="G1765" t="s">
        <v>70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85</v>
      </c>
      <c r="B1766" t="s">
        <v>5</v>
      </c>
      <c r="C1766" t="s">
        <v>83</v>
      </c>
      <c r="D1766" t="s">
        <v>54</v>
      </c>
      <c r="E1766" t="s">
        <v>25</v>
      </c>
      <c r="F1766" t="s">
        <v>54</v>
      </c>
      <c r="G1766" t="s">
        <v>70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85</v>
      </c>
      <c r="B1767" t="s">
        <v>5</v>
      </c>
      <c r="C1767" t="s">
        <v>83</v>
      </c>
      <c r="D1767" t="s">
        <v>54</v>
      </c>
      <c r="E1767" t="s">
        <v>25</v>
      </c>
      <c r="F1767" t="s">
        <v>54</v>
      </c>
      <c r="G1767" t="s">
        <v>70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85</v>
      </c>
      <c r="B1768" t="s">
        <v>5</v>
      </c>
      <c r="C1768" t="s">
        <v>83</v>
      </c>
      <c r="D1768" t="s">
        <v>54</v>
      </c>
      <c r="E1768" t="s">
        <v>25</v>
      </c>
      <c r="F1768" t="s">
        <v>54</v>
      </c>
      <c r="G1768" t="s">
        <v>70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85</v>
      </c>
      <c r="B1769" t="s">
        <v>5</v>
      </c>
      <c r="C1769" t="s">
        <v>83</v>
      </c>
      <c r="D1769" t="s">
        <v>54</v>
      </c>
      <c r="E1769" t="s">
        <v>25</v>
      </c>
      <c r="F1769" t="s">
        <v>54</v>
      </c>
      <c r="G1769" t="s">
        <v>70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85</v>
      </c>
      <c r="B1770" t="s">
        <v>5</v>
      </c>
      <c r="C1770" t="s">
        <v>83</v>
      </c>
      <c r="D1770" t="s">
        <v>54</v>
      </c>
      <c r="E1770" t="s">
        <v>25</v>
      </c>
      <c r="F1770" t="s">
        <v>54</v>
      </c>
      <c r="G1770" t="s">
        <v>70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85</v>
      </c>
      <c r="B1771" t="s">
        <v>5</v>
      </c>
      <c r="C1771" t="s">
        <v>83</v>
      </c>
      <c r="D1771" t="s">
        <v>54</v>
      </c>
      <c r="E1771" t="s">
        <v>25</v>
      </c>
      <c r="F1771" t="s">
        <v>54</v>
      </c>
      <c r="G1771" t="s">
        <v>70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85</v>
      </c>
      <c r="B1772" t="s">
        <v>5</v>
      </c>
      <c r="C1772" t="s">
        <v>83</v>
      </c>
      <c r="D1772" t="s">
        <v>54</v>
      </c>
      <c r="E1772" t="s">
        <v>25</v>
      </c>
      <c r="F1772" t="s">
        <v>54</v>
      </c>
      <c r="G1772" t="s">
        <v>70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85</v>
      </c>
      <c r="B1773" t="s">
        <v>5</v>
      </c>
      <c r="C1773" t="s">
        <v>83</v>
      </c>
      <c r="D1773" t="s">
        <v>54</v>
      </c>
      <c r="E1773" t="s">
        <v>25</v>
      </c>
      <c r="F1773" t="s">
        <v>54</v>
      </c>
      <c r="G1773" t="s">
        <v>70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85</v>
      </c>
      <c r="B1774" t="s">
        <v>5</v>
      </c>
      <c r="C1774" t="s">
        <v>83</v>
      </c>
      <c r="D1774" t="s">
        <v>54</v>
      </c>
      <c r="E1774" t="s">
        <v>25</v>
      </c>
      <c r="F1774" t="s">
        <v>54</v>
      </c>
      <c r="G1774" t="s">
        <v>70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85</v>
      </c>
      <c r="B1775" t="s">
        <v>5</v>
      </c>
      <c r="C1775" t="s">
        <v>83</v>
      </c>
      <c r="D1775" t="s">
        <v>54</v>
      </c>
      <c r="E1775" t="s">
        <v>25</v>
      </c>
      <c r="F1775" t="s">
        <v>54</v>
      </c>
      <c r="G1775" t="s">
        <v>70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85</v>
      </c>
      <c r="B1776" t="s">
        <v>5</v>
      </c>
      <c r="C1776" t="s">
        <v>83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85</v>
      </c>
      <c r="B1777" t="s">
        <v>5</v>
      </c>
      <c r="C1777" t="s">
        <v>83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85</v>
      </c>
      <c r="B1778" t="s">
        <v>5</v>
      </c>
      <c r="C1778" t="s">
        <v>83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85</v>
      </c>
      <c r="B1779" t="s">
        <v>5</v>
      </c>
      <c r="C1779" t="s">
        <v>83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85</v>
      </c>
      <c r="B1780" t="s">
        <v>5</v>
      </c>
      <c r="C1780" t="s">
        <v>83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85</v>
      </c>
      <c r="B1781" t="s">
        <v>5</v>
      </c>
      <c r="C1781" t="s">
        <v>83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85</v>
      </c>
      <c r="B1782" t="s">
        <v>5</v>
      </c>
      <c r="C1782" t="s">
        <v>83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85</v>
      </c>
      <c r="B1783" t="s">
        <v>5</v>
      </c>
      <c r="C1783" t="s">
        <v>83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85</v>
      </c>
      <c r="B1784" t="s">
        <v>5</v>
      </c>
      <c r="C1784" t="s">
        <v>83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85</v>
      </c>
      <c r="B1785" t="s">
        <v>5</v>
      </c>
      <c r="C1785" t="s">
        <v>83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85</v>
      </c>
      <c r="B1786" t="s">
        <v>5</v>
      </c>
      <c r="C1786" t="s">
        <v>83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85</v>
      </c>
      <c r="B1787" t="s">
        <v>5</v>
      </c>
      <c r="C1787" t="s">
        <v>83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85</v>
      </c>
      <c r="B1788" t="s">
        <v>5</v>
      </c>
      <c r="C1788" t="s">
        <v>83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85</v>
      </c>
      <c r="B1789" t="s">
        <v>5</v>
      </c>
      <c r="C1789" t="s">
        <v>83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85</v>
      </c>
      <c r="B1790" t="s">
        <v>5</v>
      </c>
      <c r="C1790" t="s">
        <v>83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85</v>
      </c>
      <c r="B1791" t="s">
        <v>5</v>
      </c>
      <c r="C1791" t="s">
        <v>83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85</v>
      </c>
      <c r="B1792" t="s">
        <v>5</v>
      </c>
      <c r="C1792" t="s">
        <v>83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85</v>
      </c>
      <c r="B1793" t="s">
        <v>5</v>
      </c>
      <c r="C1793" t="s">
        <v>83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85</v>
      </c>
      <c r="B1794" t="s">
        <v>5</v>
      </c>
      <c r="C1794" t="s">
        <v>83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85</v>
      </c>
      <c r="B1795" t="s">
        <v>5</v>
      </c>
      <c r="C1795" t="s">
        <v>83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85</v>
      </c>
      <c r="B1796" t="s">
        <v>5</v>
      </c>
      <c r="C1796" t="s">
        <v>83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85</v>
      </c>
      <c r="B1797" t="s">
        <v>5</v>
      </c>
      <c r="C1797" t="s">
        <v>83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85</v>
      </c>
      <c r="B1798" t="s">
        <v>5</v>
      </c>
      <c r="C1798" t="s">
        <v>83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85</v>
      </c>
      <c r="B1799" t="s">
        <v>5</v>
      </c>
      <c r="C1799" t="s">
        <v>83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85</v>
      </c>
      <c r="B1800" t="s">
        <v>5</v>
      </c>
      <c r="C1800" t="s">
        <v>83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85</v>
      </c>
      <c r="B1801" t="s">
        <v>5</v>
      </c>
      <c r="C1801" t="s">
        <v>83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85</v>
      </c>
      <c r="B1802" t="s">
        <v>5</v>
      </c>
      <c r="C1802" t="s">
        <v>83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85</v>
      </c>
      <c r="B1803" t="s">
        <v>5</v>
      </c>
      <c r="C1803" t="s">
        <v>83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85</v>
      </c>
      <c r="B1804" t="s">
        <v>5</v>
      </c>
      <c r="C1804" t="s">
        <v>83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85</v>
      </c>
      <c r="B1805" t="s">
        <v>5</v>
      </c>
      <c r="C1805" t="s">
        <v>83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85</v>
      </c>
      <c r="B1806" t="s">
        <v>5</v>
      </c>
      <c r="C1806" t="s">
        <v>83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85</v>
      </c>
      <c r="B1807" t="s">
        <v>5</v>
      </c>
      <c r="C1807" t="s">
        <v>83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85</v>
      </c>
      <c r="B1808" t="s">
        <v>5</v>
      </c>
      <c r="C1808" t="s">
        <v>83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85</v>
      </c>
      <c r="B1809" t="s">
        <v>5</v>
      </c>
      <c r="C1809" t="s">
        <v>83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85</v>
      </c>
      <c r="B1810" t="s">
        <v>5</v>
      </c>
      <c r="C1810" t="s">
        <v>83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85</v>
      </c>
      <c r="B1811" t="s">
        <v>5</v>
      </c>
      <c r="C1811" t="s">
        <v>83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85</v>
      </c>
      <c r="B1812" t="s">
        <v>5</v>
      </c>
      <c r="C1812" t="s">
        <v>83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85</v>
      </c>
      <c r="B1813" t="s">
        <v>5</v>
      </c>
      <c r="C1813" t="s">
        <v>83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85</v>
      </c>
      <c r="B1814" t="s">
        <v>5</v>
      </c>
      <c r="C1814" t="s">
        <v>83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85</v>
      </c>
      <c r="B1815" t="s">
        <v>5</v>
      </c>
      <c r="C1815" t="s">
        <v>83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85</v>
      </c>
      <c r="B1816" t="s">
        <v>5</v>
      </c>
      <c r="C1816" t="s">
        <v>83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85</v>
      </c>
      <c r="B1817" t="s">
        <v>5</v>
      </c>
      <c r="C1817" t="s">
        <v>83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85</v>
      </c>
      <c r="B1818" t="s">
        <v>5</v>
      </c>
      <c r="C1818" t="s">
        <v>83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85</v>
      </c>
      <c r="B1819" t="s">
        <v>5</v>
      </c>
      <c r="C1819" t="s">
        <v>83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85</v>
      </c>
      <c r="B1820" t="s">
        <v>5</v>
      </c>
      <c r="C1820" t="s">
        <v>83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85</v>
      </c>
      <c r="B1821" t="s">
        <v>5</v>
      </c>
      <c r="C1821" t="s">
        <v>83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85</v>
      </c>
      <c r="B1822" t="s">
        <v>5</v>
      </c>
      <c r="C1822" t="s">
        <v>83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85</v>
      </c>
      <c r="B1823" t="s">
        <v>5</v>
      </c>
      <c r="C1823" t="s">
        <v>83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85</v>
      </c>
      <c r="B1824" t="s">
        <v>5</v>
      </c>
      <c r="C1824" t="s">
        <v>83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85</v>
      </c>
      <c r="B1825" t="s">
        <v>5</v>
      </c>
      <c r="C1825" t="s">
        <v>83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85</v>
      </c>
      <c r="B1826" t="s">
        <v>5</v>
      </c>
      <c r="C1826" t="s">
        <v>83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85</v>
      </c>
      <c r="B1827" t="s">
        <v>5</v>
      </c>
      <c r="C1827" t="s">
        <v>83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56.074300000000001</v>
      </c>
      <c r="K1827" t="s">
        <v>37</v>
      </c>
    </row>
    <row r="1828" spans="1:11" x14ac:dyDescent="0.45">
      <c r="A1828" t="s">
        <v>85</v>
      </c>
      <c r="B1828" t="s">
        <v>5</v>
      </c>
      <c r="C1828" t="s">
        <v>83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37.813200000000002</v>
      </c>
      <c r="K1828" t="s">
        <v>37</v>
      </c>
    </row>
    <row r="1829" spans="1:11" x14ac:dyDescent="0.45">
      <c r="A1829" t="s">
        <v>85</v>
      </c>
      <c r="B1829" t="s">
        <v>5</v>
      </c>
      <c r="C1829" t="s">
        <v>83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64.621499999999997</v>
      </c>
      <c r="K1829" t="s">
        <v>37</v>
      </c>
    </row>
    <row r="1830" spans="1:11" x14ac:dyDescent="0.45">
      <c r="A1830" t="s">
        <v>85</v>
      </c>
      <c r="B1830" t="s">
        <v>5</v>
      </c>
      <c r="C1830" t="s">
        <v>83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68.475200000000001</v>
      </c>
      <c r="K1830" t="s">
        <v>37</v>
      </c>
    </row>
    <row r="1831" spans="1:11" x14ac:dyDescent="0.45">
      <c r="A1831" t="s">
        <v>85</v>
      </c>
      <c r="B1831" t="s">
        <v>5</v>
      </c>
      <c r="C1831" t="s">
        <v>83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74.485100000000003</v>
      </c>
      <c r="K1831" t="s">
        <v>37</v>
      </c>
    </row>
    <row r="1832" spans="1:11" x14ac:dyDescent="0.45">
      <c r="A1832" t="s">
        <v>85</v>
      </c>
      <c r="B1832" t="s">
        <v>5</v>
      </c>
      <c r="C1832" t="s">
        <v>83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77.829400000000007</v>
      </c>
      <c r="K1832" t="s">
        <v>37</v>
      </c>
    </row>
    <row r="1833" spans="1:11" x14ac:dyDescent="0.45">
      <c r="A1833" t="s">
        <v>85</v>
      </c>
      <c r="B1833" t="s">
        <v>5</v>
      </c>
      <c r="C1833" t="s">
        <v>83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72.715999999999994</v>
      </c>
      <c r="K1833" t="s">
        <v>37</v>
      </c>
    </row>
    <row r="1834" spans="1:11" x14ac:dyDescent="0.45">
      <c r="A1834" t="s">
        <v>85</v>
      </c>
      <c r="B1834" t="s">
        <v>5</v>
      </c>
      <c r="C1834" t="s">
        <v>83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117.6114</v>
      </c>
      <c r="K1834" t="s">
        <v>37</v>
      </c>
    </row>
    <row r="1835" spans="1:11" x14ac:dyDescent="0.45">
      <c r="A1835" t="s">
        <v>85</v>
      </c>
      <c r="B1835" t="s">
        <v>5</v>
      </c>
      <c r="C1835" t="s">
        <v>83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167.6036</v>
      </c>
      <c r="K1835" t="s">
        <v>37</v>
      </c>
    </row>
    <row r="1836" spans="1:11" x14ac:dyDescent="0.45">
      <c r="A1836" t="s">
        <v>85</v>
      </c>
      <c r="B1836" t="s">
        <v>5</v>
      </c>
      <c r="C1836" t="s">
        <v>83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202.4787</v>
      </c>
      <c r="K1836" t="s">
        <v>37</v>
      </c>
    </row>
    <row r="1837" spans="1:11" x14ac:dyDescent="0.45">
      <c r="A1837" t="s">
        <v>85</v>
      </c>
      <c r="B1837" t="s">
        <v>5</v>
      </c>
      <c r="C1837" t="s">
        <v>83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237.35380000000001</v>
      </c>
      <c r="K1837" t="s">
        <v>37</v>
      </c>
    </row>
    <row r="1838" spans="1:11" x14ac:dyDescent="0.45">
      <c r="A1838" t="s">
        <v>85</v>
      </c>
      <c r="B1838" t="s">
        <v>5</v>
      </c>
      <c r="C1838" t="s">
        <v>83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239.12979999999999</v>
      </c>
      <c r="K1838" t="s">
        <v>37</v>
      </c>
    </row>
    <row r="1839" spans="1:11" x14ac:dyDescent="0.45">
      <c r="A1839" t="s">
        <v>85</v>
      </c>
      <c r="B1839" t="s">
        <v>5</v>
      </c>
      <c r="C1839" t="s">
        <v>83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240.9059</v>
      </c>
      <c r="K1839" t="s">
        <v>37</v>
      </c>
    </row>
    <row r="1840" spans="1:11" x14ac:dyDescent="0.45">
      <c r="A1840" t="s">
        <v>85</v>
      </c>
      <c r="B1840" t="s">
        <v>5</v>
      </c>
      <c r="C1840" t="s">
        <v>83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254.12360000000001</v>
      </c>
      <c r="K1840" t="s">
        <v>37</v>
      </c>
    </row>
    <row r="1841" spans="1:11" x14ac:dyDescent="0.45">
      <c r="A1841" t="s">
        <v>85</v>
      </c>
      <c r="B1841" t="s">
        <v>5</v>
      </c>
      <c r="C1841" t="s">
        <v>83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267.34140000000002</v>
      </c>
      <c r="K1841" t="s">
        <v>37</v>
      </c>
    </row>
    <row r="1842" spans="1:11" x14ac:dyDescent="0.45">
      <c r="A1842" t="s">
        <v>85</v>
      </c>
      <c r="B1842" t="s">
        <v>5</v>
      </c>
      <c r="C1842" t="s">
        <v>83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280.18380000000002</v>
      </c>
      <c r="K1842" t="s">
        <v>37</v>
      </c>
    </row>
    <row r="1843" spans="1:11" x14ac:dyDescent="0.45">
      <c r="A1843" t="s">
        <v>85</v>
      </c>
      <c r="B1843" t="s">
        <v>5</v>
      </c>
      <c r="C1843" t="s">
        <v>83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293.02620000000002</v>
      </c>
      <c r="K1843" t="s">
        <v>37</v>
      </c>
    </row>
    <row r="1844" spans="1:11" x14ac:dyDescent="0.45">
      <c r="A1844" t="s">
        <v>85</v>
      </c>
      <c r="B1844" t="s">
        <v>5</v>
      </c>
      <c r="C1844" t="s">
        <v>83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378.58859999999999</v>
      </c>
      <c r="K1844" t="s">
        <v>48</v>
      </c>
    </row>
    <row r="1845" spans="1:11" x14ac:dyDescent="0.45">
      <c r="A1845" t="s">
        <v>85</v>
      </c>
      <c r="B1845" t="s">
        <v>5</v>
      </c>
      <c r="C1845" t="s">
        <v>83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383.69069999999999</v>
      </c>
      <c r="K1845" t="s">
        <v>48</v>
      </c>
    </row>
    <row r="1846" spans="1:11" x14ac:dyDescent="0.45">
      <c r="A1846" t="s">
        <v>85</v>
      </c>
      <c r="B1846" t="s">
        <v>5</v>
      </c>
      <c r="C1846" t="s">
        <v>83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269.96949999999998</v>
      </c>
      <c r="K1846" t="s">
        <v>48</v>
      </c>
    </row>
    <row r="1847" spans="1:11" x14ac:dyDescent="0.45">
      <c r="A1847" t="s">
        <v>85</v>
      </c>
      <c r="B1847" t="s">
        <v>5</v>
      </c>
      <c r="C1847" t="s">
        <v>83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138.68629999999999</v>
      </c>
      <c r="K1847" t="s">
        <v>48</v>
      </c>
    </row>
    <row r="1848" spans="1:11" x14ac:dyDescent="0.45">
      <c r="A1848" t="s">
        <v>85</v>
      </c>
      <c r="B1848" t="s">
        <v>5</v>
      </c>
      <c r="C1848" t="s">
        <v>83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79.443799999999996</v>
      </c>
      <c r="K1848" t="s">
        <v>48</v>
      </c>
    </row>
    <row r="1849" spans="1:11" x14ac:dyDescent="0.45">
      <c r="A1849" t="s">
        <v>85</v>
      </c>
      <c r="B1849" t="s">
        <v>5</v>
      </c>
      <c r="C1849" t="s">
        <v>83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51.999699999999997</v>
      </c>
      <c r="K1849" t="s">
        <v>48</v>
      </c>
    </row>
    <row r="1850" spans="1:11" x14ac:dyDescent="0.45">
      <c r="A1850" t="s">
        <v>85</v>
      </c>
      <c r="B1850" t="s">
        <v>5</v>
      </c>
      <c r="C1850" t="s">
        <v>83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45.356400000000001</v>
      </c>
      <c r="K1850" t="s">
        <v>48</v>
      </c>
    </row>
    <row r="1851" spans="1:11" x14ac:dyDescent="0.45">
      <c r="A1851" t="s">
        <v>85</v>
      </c>
      <c r="B1851" t="s">
        <v>5</v>
      </c>
      <c r="C1851" t="s">
        <v>83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33.529400000000003</v>
      </c>
      <c r="K1851" t="s">
        <v>48</v>
      </c>
    </row>
    <row r="1852" spans="1:11" x14ac:dyDescent="0.45">
      <c r="A1852" t="s">
        <v>85</v>
      </c>
      <c r="B1852" t="s">
        <v>5</v>
      </c>
      <c r="C1852" t="s">
        <v>83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25.0335</v>
      </c>
      <c r="K1852" t="s">
        <v>48</v>
      </c>
    </row>
    <row r="1853" spans="1:11" x14ac:dyDescent="0.45">
      <c r="A1853" t="s">
        <v>85</v>
      </c>
      <c r="B1853" t="s">
        <v>5</v>
      </c>
      <c r="C1853" t="s">
        <v>83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19.496500000000001</v>
      </c>
      <c r="K1853" t="s">
        <v>48</v>
      </c>
    </row>
    <row r="1854" spans="1:11" x14ac:dyDescent="0.45">
      <c r="A1854" t="s">
        <v>85</v>
      </c>
      <c r="B1854" t="s">
        <v>5</v>
      </c>
      <c r="C1854" t="s">
        <v>83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13.7226</v>
      </c>
      <c r="K1854" t="s">
        <v>48</v>
      </c>
    </row>
    <row r="1855" spans="1:11" x14ac:dyDescent="0.45">
      <c r="A1855" t="s">
        <v>85</v>
      </c>
      <c r="B1855" t="s">
        <v>5</v>
      </c>
      <c r="C1855" t="s">
        <v>83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12.1594</v>
      </c>
      <c r="K1855" t="s">
        <v>48</v>
      </c>
    </row>
    <row r="1856" spans="1:11" x14ac:dyDescent="0.45">
      <c r="A1856" t="s">
        <v>85</v>
      </c>
      <c r="B1856" t="s">
        <v>5</v>
      </c>
      <c r="C1856" t="s">
        <v>83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10.5091</v>
      </c>
      <c r="K1856" t="s">
        <v>48</v>
      </c>
    </row>
    <row r="1857" spans="1:11" x14ac:dyDescent="0.45">
      <c r="A1857" t="s">
        <v>85</v>
      </c>
      <c r="B1857" t="s">
        <v>5</v>
      </c>
      <c r="C1857" t="s">
        <v>83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14.276999999999999</v>
      </c>
      <c r="K1857" t="s">
        <v>48</v>
      </c>
    </row>
    <row r="1858" spans="1:11" x14ac:dyDescent="0.45">
      <c r="A1858" t="s">
        <v>85</v>
      </c>
      <c r="B1858" t="s">
        <v>5</v>
      </c>
      <c r="C1858" t="s">
        <v>83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18.4085</v>
      </c>
      <c r="K1858" t="s">
        <v>48</v>
      </c>
    </row>
    <row r="1859" spans="1:11" x14ac:dyDescent="0.45">
      <c r="A1859" t="s">
        <v>85</v>
      </c>
      <c r="B1859" t="s">
        <v>5</v>
      </c>
      <c r="C1859" t="s">
        <v>83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14.587400000000001</v>
      </c>
      <c r="K1859" t="s">
        <v>48</v>
      </c>
    </row>
    <row r="1860" spans="1:11" x14ac:dyDescent="0.45">
      <c r="A1860" t="s">
        <v>85</v>
      </c>
      <c r="B1860" t="s">
        <v>5</v>
      </c>
      <c r="C1860" t="s">
        <v>83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10.800599999999999</v>
      </c>
      <c r="K1860" t="s">
        <v>48</v>
      </c>
    </row>
    <row r="1861" spans="1:11" x14ac:dyDescent="0.45">
      <c r="A1861" t="s">
        <v>85</v>
      </c>
      <c r="B1861" t="s">
        <v>5</v>
      </c>
      <c r="C1861" t="s">
        <v>83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336.77859999999998</v>
      </c>
      <c r="K1861" t="s">
        <v>51</v>
      </c>
    </row>
    <row r="1862" spans="1:11" x14ac:dyDescent="0.45">
      <c r="A1862" t="s">
        <v>85</v>
      </c>
      <c r="B1862" t="s">
        <v>5</v>
      </c>
      <c r="C1862" t="s">
        <v>83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331.62220000000002</v>
      </c>
      <c r="K1862" t="s">
        <v>51</v>
      </c>
    </row>
    <row r="1863" spans="1:11" x14ac:dyDescent="0.45">
      <c r="A1863" t="s">
        <v>85</v>
      </c>
      <c r="B1863" t="s">
        <v>5</v>
      </c>
      <c r="C1863" t="s">
        <v>83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218.03790000000001</v>
      </c>
      <c r="K1863" t="s">
        <v>51</v>
      </c>
    </row>
    <row r="1864" spans="1:11" x14ac:dyDescent="0.45">
      <c r="A1864" t="s">
        <v>85</v>
      </c>
      <c r="B1864" t="s">
        <v>5</v>
      </c>
      <c r="C1864" t="s">
        <v>83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103.3956</v>
      </c>
      <c r="K1864" t="s">
        <v>51</v>
      </c>
    </row>
    <row r="1865" spans="1:11" x14ac:dyDescent="0.45">
      <c r="A1865" t="s">
        <v>85</v>
      </c>
      <c r="B1865" t="s">
        <v>5</v>
      </c>
      <c r="C1865" t="s">
        <v>83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42.525799999999997</v>
      </c>
      <c r="K1865" t="s">
        <v>51</v>
      </c>
    </row>
    <row r="1866" spans="1:11" x14ac:dyDescent="0.45">
      <c r="A1866" t="s">
        <v>85</v>
      </c>
      <c r="B1866" t="s">
        <v>5</v>
      </c>
      <c r="C1866" t="s">
        <v>83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13.035500000000001</v>
      </c>
      <c r="K1866" t="s">
        <v>51</v>
      </c>
    </row>
    <row r="1867" spans="1:11" x14ac:dyDescent="0.45">
      <c r="A1867" t="s">
        <v>85</v>
      </c>
      <c r="B1867" t="s">
        <v>5</v>
      </c>
      <c r="C1867" t="s">
        <v>83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8.2195</v>
      </c>
      <c r="K1867" t="s">
        <v>51</v>
      </c>
    </row>
    <row r="1868" spans="1:11" x14ac:dyDescent="0.45">
      <c r="A1868" t="s">
        <v>85</v>
      </c>
      <c r="B1868" t="s">
        <v>5</v>
      </c>
      <c r="C1868" t="s">
        <v>83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6.0109000000000004</v>
      </c>
      <c r="K1868" t="s">
        <v>51</v>
      </c>
    </row>
    <row r="1869" spans="1:11" x14ac:dyDescent="0.45">
      <c r="A1869" t="s">
        <v>85</v>
      </c>
      <c r="B1869" t="s">
        <v>5</v>
      </c>
      <c r="C1869" t="s">
        <v>83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5.0038</v>
      </c>
      <c r="K1869" t="s">
        <v>51</v>
      </c>
    </row>
    <row r="1870" spans="1:11" x14ac:dyDescent="0.45">
      <c r="A1870" t="s">
        <v>85</v>
      </c>
      <c r="B1870" t="s">
        <v>5</v>
      </c>
      <c r="C1870" t="s">
        <v>83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4.0639000000000003</v>
      </c>
      <c r="K1870" t="s">
        <v>51</v>
      </c>
    </row>
    <row r="1871" spans="1:11" x14ac:dyDescent="0.45">
      <c r="A1871" t="s">
        <v>85</v>
      </c>
      <c r="B1871" t="s">
        <v>5</v>
      </c>
      <c r="C1871" t="s">
        <v>83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2.9083000000000001</v>
      </c>
      <c r="K1871" t="s">
        <v>51</v>
      </c>
    </row>
    <row r="1872" spans="1:11" x14ac:dyDescent="0.45">
      <c r="A1872" t="s">
        <v>85</v>
      </c>
      <c r="B1872" t="s">
        <v>5</v>
      </c>
      <c r="C1872" t="s">
        <v>83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1.92</v>
      </c>
      <c r="K1872" t="s">
        <v>51</v>
      </c>
    </row>
    <row r="1873" spans="1:11" x14ac:dyDescent="0.45">
      <c r="A1873" t="s">
        <v>85</v>
      </c>
      <c r="B1873" t="s">
        <v>5</v>
      </c>
      <c r="C1873" t="s">
        <v>83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0.84640000000000004</v>
      </c>
      <c r="K1873" t="s">
        <v>51</v>
      </c>
    </row>
    <row r="1874" spans="1:11" x14ac:dyDescent="0.45">
      <c r="A1874" t="s">
        <v>85</v>
      </c>
      <c r="B1874" t="s">
        <v>5</v>
      </c>
      <c r="C1874" t="s">
        <v>83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0.43630000000000002</v>
      </c>
      <c r="K1874" t="s">
        <v>51</v>
      </c>
    </row>
    <row r="1875" spans="1:11" x14ac:dyDescent="0.45">
      <c r="A1875" t="s">
        <v>85</v>
      </c>
      <c r="B1875" t="s">
        <v>5</v>
      </c>
      <c r="C1875" t="s">
        <v>83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0.3523</v>
      </c>
      <c r="K1875" t="s">
        <v>51</v>
      </c>
    </row>
    <row r="1876" spans="1:11" x14ac:dyDescent="0.45">
      <c r="A1876" t="s">
        <v>85</v>
      </c>
      <c r="B1876" t="s">
        <v>5</v>
      </c>
      <c r="C1876" t="s">
        <v>83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-0.2334</v>
      </c>
      <c r="K1876" t="s">
        <v>51</v>
      </c>
    </row>
    <row r="1877" spans="1:11" x14ac:dyDescent="0.45">
      <c r="A1877" t="s">
        <v>85</v>
      </c>
      <c r="B1877" t="s">
        <v>5</v>
      </c>
      <c r="C1877" t="s">
        <v>83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-0.79059999999999997</v>
      </c>
      <c r="K1877" t="s">
        <v>51</v>
      </c>
    </row>
    <row r="1878" spans="1:11" x14ac:dyDescent="0.45">
      <c r="A1878" t="s">
        <v>85</v>
      </c>
      <c r="B1878" t="s">
        <v>2</v>
      </c>
      <c r="C1878" t="s">
        <v>83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85</v>
      </c>
      <c r="B1879" t="s">
        <v>2</v>
      </c>
      <c r="C1879" t="s">
        <v>83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85</v>
      </c>
      <c r="B1880" t="s">
        <v>2</v>
      </c>
      <c r="C1880" t="s">
        <v>83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85</v>
      </c>
      <c r="B1881" t="s">
        <v>2</v>
      </c>
      <c r="C1881" t="s">
        <v>83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1.9E-3</v>
      </c>
      <c r="K1881" t="s">
        <v>45</v>
      </c>
    </row>
    <row r="1882" spans="1:11" x14ac:dyDescent="0.45">
      <c r="A1882" t="s">
        <v>85</v>
      </c>
      <c r="B1882" t="s">
        <v>2</v>
      </c>
      <c r="C1882" t="s">
        <v>83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9.5999999999999992E-3</v>
      </c>
      <c r="K1882" t="s">
        <v>45</v>
      </c>
    </row>
    <row r="1883" spans="1:11" x14ac:dyDescent="0.45">
      <c r="A1883" t="s">
        <v>85</v>
      </c>
      <c r="B1883" t="s">
        <v>2</v>
      </c>
      <c r="C1883" t="s">
        <v>83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3.2000000000000001E-2</v>
      </c>
      <c r="K1883" t="s">
        <v>45</v>
      </c>
    </row>
    <row r="1884" spans="1:11" x14ac:dyDescent="0.45">
      <c r="A1884" t="s">
        <v>85</v>
      </c>
      <c r="B1884" t="s">
        <v>2</v>
      </c>
      <c r="C1884" t="s">
        <v>83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3.7100000000000001E-2</v>
      </c>
      <c r="K1884" t="s">
        <v>45</v>
      </c>
    </row>
    <row r="1885" spans="1:11" x14ac:dyDescent="0.45">
      <c r="A1885" t="s">
        <v>85</v>
      </c>
      <c r="B1885" t="s">
        <v>2</v>
      </c>
      <c r="C1885" t="s">
        <v>83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4.0500000000000001E-2</v>
      </c>
      <c r="K1885" t="s">
        <v>45</v>
      </c>
    </row>
    <row r="1886" spans="1:11" x14ac:dyDescent="0.45">
      <c r="A1886" t="s">
        <v>85</v>
      </c>
      <c r="B1886" t="s">
        <v>2</v>
      </c>
      <c r="C1886" t="s">
        <v>83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4.4200000000000003E-2</v>
      </c>
      <c r="K1886" t="s">
        <v>45</v>
      </c>
    </row>
    <row r="1887" spans="1:11" x14ac:dyDescent="0.45">
      <c r="A1887" t="s">
        <v>85</v>
      </c>
      <c r="B1887" t="s">
        <v>2</v>
      </c>
      <c r="C1887" t="s">
        <v>83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9.4799999999999995E-2</v>
      </c>
      <c r="K1887" t="s">
        <v>45</v>
      </c>
    </row>
    <row r="1888" spans="1:11" x14ac:dyDescent="0.45">
      <c r="A1888" t="s">
        <v>85</v>
      </c>
      <c r="B1888" t="s">
        <v>2</v>
      </c>
      <c r="C1888" t="s">
        <v>83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0.1414</v>
      </c>
      <c r="K1888" t="s">
        <v>45</v>
      </c>
    </row>
    <row r="1889" spans="1:11" x14ac:dyDescent="0.45">
      <c r="A1889" t="s">
        <v>85</v>
      </c>
      <c r="B1889" t="s">
        <v>2</v>
      </c>
      <c r="C1889" t="s">
        <v>83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0.1024</v>
      </c>
      <c r="K1889" t="s">
        <v>45</v>
      </c>
    </row>
    <row r="1890" spans="1:11" x14ac:dyDescent="0.45">
      <c r="A1890" t="s">
        <v>85</v>
      </c>
      <c r="B1890" t="s">
        <v>2</v>
      </c>
      <c r="C1890" t="s">
        <v>83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7.3999999999999996E-2</v>
      </c>
      <c r="K1890" t="s">
        <v>45</v>
      </c>
    </row>
    <row r="1891" spans="1:11" x14ac:dyDescent="0.45">
      <c r="A1891" t="s">
        <v>85</v>
      </c>
      <c r="B1891" t="s">
        <v>2</v>
      </c>
      <c r="C1891" t="s">
        <v>83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4.3999999999999997E-2</v>
      </c>
      <c r="K1891" t="s">
        <v>45</v>
      </c>
    </row>
    <row r="1892" spans="1:11" x14ac:dyDescent="0.45">
      <c r="A1892" t="s">
        <v>85</v>
      </c>
      <c r="B1892" t="s">
        <v>2</v>
      </c>
      <c r="C1892" t="s">
        <v>83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1.47E-2</v>
      </c>
      <c r="K1892" t="s">
        <v>45</v>
      </c>
    </row>
    <row r="1893" spans="1:11" x14ac:dyDescent="0.45">
      <c r="A1893" t="s">
        <v>85</v>
      </c>
      <c r="B1893" t="s">
        <v>2</v>
      </c>
      <c r="C1893" t="s">
        <v>83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7.4000000000000003E-3</v>
      </c>
      <c r="K1893" t="s">
        <v>45</v>
      </c>
    </row>
    <row r="1894" spans="1:11" x14ac:dyDescent="0.45">
      <c r="A1894" t="s">
        <v>85</v>
      </c>
      <c r="B1894" t="s">
        <v>2</v>
      </c>
      <c r="C1894" t="s">
        <v>83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85</v>
      </c>
      <c r="B1895" t="s">
        <v>2</v>
      </c>
      <c r="C1895" t="s">
        <v>83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0.15970000000000001</v>
      </c>
      <c r="K1895" t="s">
        <v>24</v>
      </c>
    </row>
    <row r="1896" spans="1:11" x14ac:dyDescent="0.45">
      <c r="A1896" t="s">
        <v>85</v>
      </c>
      <c r="B1896" t="s">
        <v>2</v>
      </c>
      <c r="C1896" t="s">
        <v>83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0.17469999999999999</v>
      </c>
      <c r="K1896" t="s">
        <v>24</v>
      </c>
    </row>
    <row r="1897" spans="1:11" x14ac:dyDescent="0.45">
      <c r="A1897" t="s">
        <v>85</v>
      </c>
      <c r="B1897" t="s">
        <v>2</v>
      </c>
      <c r="C1897" t="s">
        <v>83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0.21299999999999999</v>
      </c>
      <c r="K1897" t="s">
        <v>24</v>
      </c>
    </row>
    <row r="1898" spans="1:11" x14ac:dyDescent="0.45">
      <c r="A1898" t="s">
        <v>85</v>
      </c>
      <c r="B1898" t="s">
        <v>2</v>
      </c>
      <c r="C1898" t="s">
        <v>83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0.27789999999999998</v>
      </c>
      <c r="K1898" t="s">
        <v>24</v>
      </c>
    </row>
    <row r="1899" spans="1:11" x14ac:dyDescent="0.45">
      <c r="A1899" t="s">
        <v>85</v>
      </c>
      <c r="B1899" t="s">
        <v>2</v>
      </c>
      <c r="C1899" t="s">
        <v>83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0.35120000000000001</v>
      </c>
      <c r="K1899" t="s">
        <v>24</v>
      </c>
    </row>
    <row r="1900" spans="1:11" x14ac:dyDescent="0.45">
      <c r="A1900" t="s">
        <v>85</v>
      </c>
      <c r="B1900" t="s">
        <v>2</v>
      </c>
      <c r="C1900" t="s">
        <v>83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0.42699999999999999</v>
      </c>
      <c r="K1900" t="s">
        <v>24</v>
      </c>
    </row>
    <row r="1901" spans="1:11" x14ac:dyDescent="0.45">
      <c r="A1901" t="s">
        <v>85</v>
      </c>
      <c r="B1901" t="s">
        <v>2</v>
      </c>
      <c r="C1901" t="s">
        <v>83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0.47689999999999999</v>
      </c>
      <c r="K1901" t="s">
        <v>24</v>
      </c>
    </row>
    <row r="1902" spans="1:11" x14ac:dyDescent="0.45">
      <c r="A1902" t="s">
        <v>85</v>
      </c>
      <c r="B1902" t="s">
        <v>2</v>
      </c>
      <c r="C1902" t="s">
        <v>83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0.51200000000000001</v>
      </c>
      <c r="K1902" t="s">
        <v>24</v>
      </c>
    </row>
    <row r="1903" spans="1:11" x14ac:dyDescent="0.45">
      <c r="A1903" t="s">
        <v>85</v>
      </c>
      <c r="B1903" t="s">
        <v>2</v>
      </c>
      <c r="C1903" t="s">
        <v>83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0.51959999999999995</v>
      </c>
      <c r="K1903" t="s">
        <v>24</v>
      </c>
    </row>
    <row r="1904" spans="1:11" x14ac:dyDescent="0.45">
      <c r="A1904" t="s">
        <v>85</v>
      </c>
      <c r="B1904" t="s">
        <v>2</v>
      </c>
      <c r="C1904" t="s">
        <v>83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0.51139999999999997</v>
      </c>
      <c r="K1904" t="s">
        <v>24</v>
      </c>
    </row>
    <row r="1905" spans="1:11" x14ac:dyDescent="0.45">
      <c r="A1905" t="s">
        <v>85</v>
      </c>
      <c r="B1905" t="s">
        <v>2</v>
      </c>
      <c r="C1905" t="s">
        <v>83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0.48859999999999998</v>
      </c>
      <c r="K1905" t="s">
        <v>24</v>
      </c>
    </row>
    <row r="1906" spans="1:11" x14ac:dyDescent="0.45">
      <c r="A1906" t="s">
        <v>85</v>
      </c>
      <c r="B1906" t="s">
        <v>2</v>
      </c>
      <c r="C1906" t="s">
        <v>83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0.46610000000000001</v>
      </c>
      <c r="K1906" t="s">
        <v>24</v>
      </c>
    </row>
    <row r="1907" spans="1:11" x14ac:dyDescent="0.45">
      <c r="A1907" t="s">
        <v>85</v>
      </c>
      <c r="B1907" t="s">
        <v>2</v>
      </c>
      <c r="C1907" t="s">
        <v>83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0.44529999999999997</v>
      </c>
      <c r="K1907" t="s">
        <v>24</v>
      </c>
    </row>
    <row r="1908" spans="1:11" x14ac:dyDescent="0.45">
      <c r="A1908" t="s">
        <v>85</v>
      </c>
      <c r="B1908" t="s">
        <v>2</v>
      </c>
      <c r="C1908" t="s">
        <v>83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0.41189999999999999</v>
      </c>
      <c r="K1908" t="s">
        <v>24</v>
      </c>
    </row>
    <row r="1909" spans="1:11" x14ac:dyDescent="0.45">
      <c r="A1909" t="s">
        <v>85</v>
      </c>
      <c r="B1909" t="s">
        <v>2</v>
      </c>
      <c r="C1909" t="s">
        <v>83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0.38940000000000002</v>
      </c>
      <c r="K1909" t="s">
        <v>24</v>
      </c>
    </row>
    <row r="1910" spans="1:11" x14ac:dyDescent="0.45">
      <c r="A1910" t="s">
        <v>85</v>
      </c>
      <c r="B1910" t="s">
        <v>2</v>
      </c>
      <c r="C1910" t="s">
        <v>83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0.37009999999999998</v>
      </c>
      <c r="K1910" t="s">
        <v>24</v>
      </c>
    </row>
    <row r="1911" spans="1:11" x14ac:dyDescent="0.45">
      <c r="A1911" t="s">
        <v>85</v>
      </c>
      <c r="B1911" t="s">
        <v>2</v>
      </c>
      <c r="C1911" t="s">
        <v>83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0.35299999999999998</v>
      </c>
      <c r="K1911" t="s">
        <v>24</v>
      </c>
    </row>
    <row r="1912" spans="1:11" x14ac:dyDescent="0.45">
      <c r="A1912" t="s">
        <v>85</v>
      </c>
      <c r="B1912" t="s">
        <v>2</v>
      </c>
      <c r="C1912" t="s">
        <v>83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9.5299999999999996E-2</v>
      </c>
      <c r="K1912" t="s">
        <v>28</v>
      </c>
    </row>
    <row r="1913" spans="1:11" x14ac:dyDescent="0.45">
      <c r="A1913" t="s">
        <v>85</v>
      </c>
      <c r="B1913" t="s">
        <v>2</v>
      </c>
      <c r="C1913" t="s">
        <v>83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0.11509999999999999</v>
      </c>
      <c r="K1913" t="s">
        <v>28</v>
      </c>
    </row>
    <row r="1914" spans="1:11" x14ac:dyDescent="0.45">
      <c r="A1914" t="s">
        <v>85</v>
      </c>
      <c r="B1914" t="s">
        <v>2</v>
      </c>
      <c r="C1914" t="s">
        <v>83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0.1411</v>
      </c>
      <c r="K1914" t="s">
        <v>28</v>
      </c>
    </row>
    <row r="1915" spans="1:11" x14ac:dyDescent="0.45">
      <c r="A1915" t="s">
        <v>85</v>
      </c>
      <c r="B1915" t="s">
        <v>2</v>
      </c>
      <c r="C1915" t="s">
        <v>83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0.1769</v>
      </c>
      <c r="K1915" t="s">
        <v>28</v>
      </c>
    </row>
    <row r="1916" spans="1:11" x14ac:dyDescent="0.45">
      <c r="A1916" t="s">
        <v>85</v>
      </c>
      <c r="B1916" t="s">
        <v>2</v>
      </c>
      <c r="C1916" t="s">
        <v>83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0.21260000000000001</v>
      </c>
      <c r="K1916" t="s">
        <v>28</v>
      </c>
    </row>
    <row r="1917" spans="1:11" x14ac:dyDescent="0.45">
      <c r="A1917" t="s">
        <v>85</v>
      </c>
      <c r="B1917" t="s">
        <v>2</v>
      </c>
      <c r="C1917" t="s">
        <v>83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0.2379</v>
      </c>
      <c r="K1917" t="s">
        <v>28</v>
      </c>
    </row>
    <row r="1918" spans="1:11" x14ac:dyDescent="0.45">
      <c r="A1918" t="s">
        <v>85</v>
      </c>
      <c r="B1918" t="s">
        <v>2</v>
      </c>
      <c r="C1918" t="s">
        <v>83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0.26340000000000002</v>
      </c>
      <c r="K1918" t="s">
        <v>28</v>
      </c>
    </row>
    <row r="1919" spans="1:11" x14ac:dyDescent="0.45">
      <c r="A1919" t="s">
        <v>85</v>
      </c>
      <c r="B1919" t="s">
        <v>2</v>
      </c>
      <c r="C1919" t="s">
        <v>83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0.28160000000000002</v>
      </c>
      <c r="K1919" t="s">
        <v>28</v>
      </c>
    </row>
    <row r="1920" spans="1:11" x14ac:dyDescent="0.45">
      <c r="A1920" t="s">
        <v>85</v>
      </c>
      <c r="B1920" t="s">
        <v>2</v>
      </c>
      <c r="C1920" t="s">
        <v>83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0.30590000000000001</v>
      </c>
      <c r="K1920" t="s">
        <v>28</v>
      </c>
    </row>
    <row r="1921" spans="1:11" x14ac:dyDescent="0.45">
      <c r="A1921" t="s">
        <v>85</v>
      </c>
      <c r="B1921" t="s">
        <v>2</v>
      </c>
      <c r="C1921" t="s">
        <v>83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0.30959999999999999</v>
      </c>
      <c r="K1921" t="s">
        <v>28</v>
      </c>
    </row>
    <row r="1922" spans="1:11" x14ac:dyDescent="0.45">
      <c r="A1922" t="s">
        <v>85</v>
      </c>
      <c r="B1922" t="s">
        <v>2</v>
      </c>
      <c r="C1922" t="s">
        <v>83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0.30470000000000003</v>
      </c>
      <c r="K1922" t="s">
        <v>28</v>
      </c>
    </row>
    <row r="1923" spans="1:11" x14ac:dyDescent="0.45">
      <c r="A1923" t="s">
        <v>85</v>
      </c>
      <c r="B1923" t="s">
        <v>2</v>
      </c>
      <c r="C1923" t="s">
        <v>83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0.32019999999999998</v>
      </c>
      <c r="K1923" t="s">
        <v>28</v>
      </c>
    </row>
    <row r="1924" spans="1:11" x14ac:dyDescent="0.45">
      <c r="A1924" t="s">
        <v>85</v>
      </c>
      <c r="B1924" t="s">
        <v>2</v>
      </c>
      <c r="C1924" t="s">
        <v>83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0.33629999999999999</v>
      </c>
      <c r="K1924" t="s">
        <v>28</v>
      </c>
    </row>
    <row r="1925" spans="1:11" x14ac:dyDescent="0.45">
      <c r="A1925" t="s">
        <v>85</v>
      </c>
      <c r="B1925" t="s">
        <v>2</v>
      </c>
      <c r="C1925" t="s">
        <v>83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0.33710000000000001</v>
      </c>
      <c r="K1925" t="s">
        <v>28</v>
      </c>
    </row>
    <row r="1926" spans="1:11" x14ac:dyDescent="0.45">
      <c r="A1926" t="s">
        <v>85</v>
      </c>
      <c r="B1926" t="s">
        <v>2</v>
      </c>
      <c r="C1926" t="s">
        <v>83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0.34520000000000001</v>
      </c>
      <c r="K1926" t="s">
        <v>28</v>
      </c>
    </row>
    <row r="1927" spans="1:11" x14ac:dyDescent="0.45">
      <c r="A1927" t="s">
        <v>85</v>
      </c>
      <c r="B1927" t="s">
        <v>2</v>
      </c>
      <c r="C1927" t="s">
        <v>83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0.34939999999999999</v>
      </c>
      <c r="K1927" t="s">
        <v>28</v>
      </c>
    </row>
    <row r="1928" spans="1:11" x14ac:dyDescent="0.45">
      <c r="A1928" t="s">
        <v>85</v>
      </c>
      <c r="B1928" t="s">
        <v>2</v>
      </c>
      <c r="C1928" t="s">
        <v>83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0.35510000000000003</v>
      </c>
      <c r="K1928" t="s">
        <v>28</v>
      </c>
    </row>
    <row r="1929" spans="1:11" x14ac:dyDescent="0.45">
      <c r="A1929" t="s">
        <v>85</v>
      </c>
      <c r="B1929" t="s">
        <v>2</v>
      </c>
      <c r="C1929" t="s">
        <v>83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1.09E-2</v>
      </c>
      <c r="K1929" t="s">
        <v>27</v>
      </c>
    </row>
    <row r="1930" spans="1:11" x14ac:dyDescent="0.45">
      <c r="A1930" t="s">
        <v>85</v>
      </c>
      <c r="B1930" t="s">
        <v>2</v>
      </c>
      <c r="C1930" t="s">
        <v>83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1.8200000000000001E-2</v>
      </c>
      <c r="K1930" t="s">
        <v>27</v>
      </c>
    </row>
    <row r="1931" spans="1:11" x14ac:dyDescent="0.45">
      <c r="A1931" t="s">
        <v>85</v>
      </c>
      <c r="B1931" t="s">
        <v>2</v>
      </c>
      <c r="C1931" t="s">
        <v>83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3.4799999999999998E-2</v>
      </c>
      <c r="K1931" t="s">
        <v>27</v>
      </c>
    </row>
    <row r="1932" spans="1:11" x14ac:dyDescent="0.45">
      <c r="A1932" t="s">
        <v>85</v>
      </c>
      <c r="B1932" t="s">
        <v>2</v>
      </c>
      <c r="C1932" t="s">
        <v>83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6.1899999999999997E-2</v>
      </c>
      <c r="K1932" t="s">
        <v>27</v>
      </c>
    </row>
    <row r="1933" spans="1:11" x14ac:dyDescent="0.45">
      <c r="A1933" t="s">
        <v>85</v>
      </c>
      <c r="B1933" t="s">
        <v>2</v>
      </c>
      <c r="C1933" t="s">
        <v>83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0.1031</v>
      </c>
      <c r="K1933" t="s">
        <v>27</v>
      </c>
    </row>
    <row r="1934" spans="1:11" x14ac:dyDescent="0.45">
      <c r="A1934" t="s">
        <v>85</v>
      </c>
      <c r="B1934" t="s">
        <v>2</v>
      </c>
      <c r="C1934" t="s">
        <v>83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0.1164</v>
      </c>
      <c r="K1934" t="s">
        <v>27</v>
      </c>
    </row>
    <row r="1935" spans="1:11" x14ac:dyDescent="0.45">
      <c r="A1935" t="s">
        <v>85</v>
      </c>
      <c r="B1935" t="s">
        <v>2</v>
      </c>
      <c r="C1935" t="s">
        <v>83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0.1245</v>
      </c>
      <c r="K1935" t="s">
        <v>27</v>
      </c>
    </row>
    <row r="1936" spans="1:11" x14ac:dyDescent="0.45">
      <c r="A1936" t="s">
        <v>85</v>
      </c>
      <c r="B1936" t="s">
        <v>2</v>
      </c>
      <c r="C1936" t="s">
        <v>83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0.1313</v>
      </c>
      <c r="K1936" t="s">
        <v>27</v>
      </c>
    </row>
    <row r="1937" spans="1:11" x14ac:dyDescent="0.45">
      <c r="A1937" t="s">
        <v>85</v>
      </c>
      <c r="B1937" t="s">
        <v>2</v>
      </c>
      <c r="C1937" t="s">
        <v>83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0.13109999999999999</v>
      </c>
      <c r="K1937" t="s">
        <v>27</v>
      </c>
    </row>
    <row r="1938" spans="1:11" x14ac:dyDescent="0.45">
      <c r="A1938" t="s">
        <v>85</v>
      </c>
      <c r="B1938" t="s">
        <v>2</v>
      </c>
      <c r="C1938" t="s">
        <v>83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0.1273</v>
      </c>
      <c r="K1938" t="s">
        <v>27</v>
      </c>
    </row>
    <row r="1939" spans="1:11" x14ac:dyDescent="0.45">
      <c r="A1939" t="s">
        <v>85</v>
      </c>
      <c r="B1939" t="s">
        <v>2</v>
      </c>
      <c r="C1939" t="s">
        <v>83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0.12</v>
      </c>
      <c r="K1939" t="s">
        <v>27</v>
      </c>
    </row>
    <row r="1940" spans="1:11" x14ac:dyDescent="0.45">
      <c r="A1940" t="s">
        <v>85</v>
      </c>
      <c r="B1940" t="s">
        <v>2</v>
      </c>
      <c r="C1940" t="s">
        <v>83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0.1167</v>
      </c>
      <c r="K1940" t="s">
        <v>27</v>
      </c>
    </row>
    <row r="1941" spans="1:11" x14ac:dyDescent="0.45">
      <c r="A1941" t="s">
        <v>85</v>
      </c>
      <c r="B1941" t="s">
        <v>2</v>
      </c>
      <c r="C1941" t="s">
        <v>83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0.1144</v>
      </c>
      <c r="K1941" t="s">
        <v>27</v>
      </c>
    </row>
    <row r="1942" spans="1:11" x14ac:dyDescent="0.45">
      <c r="A1942" t="s">
        <v>85</v>
      </c>
      <c r="B1942" t="s">
        <v>2</v>
      </c>
      <c r="C1942" t="s">
        <v>83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0.11020000000000001</v>
      </c>
      <c r="K1942" t="s">
        <v>27</v>
      </c>
    </row>
    <row r="1943" spans="1:11" x14ac:dyDescent="0.45">
      <c r="A1943" t="s">
        <v>85</v>
      </c>
      <c r="B1943" t="s">
        <v>2</v>
      </c>
      <c r="C1943" t="s">
        <v>83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0.10970000000000001</v>
      </c>
      <c r="K1943" t="s">
        <v>27</v>
      </c>
    </row>
    <row r="1944" spans="1:11" x14ac:dyDescent="0.45">
      <c r="A1944" t="s">
        <v>85</v>
      </c>
      <c r="B1944" t="s">
        <v>2</v>
      </c>
      <c r="C1944" t="s">
        <v>83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0.1094</v>
      </c>
      <c r="K1944" t="s">
        <v>27</v>
      </c>
    </row>
    <row r="1945" spans="1:11" x14ac:dyDescent="0.45">
      <c r="A1945" t="s">
        <v>85</v>
      </c>
      <c r="B1945" t="s">
        <v>2</v>
      </c>
      <c r="C1945" t="s">
        <v>83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0.10970000000000001</v>
      </c>
      <c r="K1945" t="s">
        <v>27</v>
      </c>
    </row>
    <row r="1946" spans="1:11" x14ac:dyDescent="0.45">
      <c r="A1946" t="s">
        <v>85</v>
      </c>
      <c r="B1946" t="s">
        <v>2</v>
      </c>
      <c r="C1946" t="s">
        <v>83</v>
      </c>
      <c r="D1946" t="s">
        <v>84</v>
      </c>
      <c r="E1946" t="s">
        <v>25</v>
      </c>
      <c r="F1946" t="s">
        <v>84</v>
      </c>
      <c r="G1946" t="s">
        <v>26</v>
      </c>
      <c r="H1946" t="s">
        <v>81</v>
      </c>
      <c r="I1946">
        <v>2020</v>
      </c>
      <c r="J1946">
        <v>4.7999999999999996E-3</v>
      </c>
      <c r="K1946" t="s">
        <v>84</v>
      </c>
    </row>
    <row r="1947" spans="1:11" x14ac:dyDescent="0.45">
      <c r="A1947" t="s">
        <v>85</v>
      </c>
      <c r="B1947" t="s">
        <v>2</v>
      </c>
      <c r="C1947" t="s">
        <v>83</v>
      </c>
      <c r="D1947" t="s">
        <v>84</v>
      </c>
      <c r="E1947" t="s">
        <v>25</v>
      </c>
      <c r="F1947" t="s">
        <v>84</v>
      </c>
      <c r="G1947" t="s">
        <v>26</v>
      </c>
      <c r="H1947" t="s">
        <v>81</v>
      </c>
      <c r="I1947">
        <v>2025</v>
      </c>
      <c r="J1947">
        <v>2.0299999999999999E-2</v>
      </c>
      <c r="K1947" t="s">
        <v>84</v>
      </c>
    </row>
    <row r="1948" spans="1:11" x14ac:dyDescent="0.45">
      <c r="A1948" t="s">
        <v>85</v>
      </c>
      <c r="B1948" t="s">
        <v>2</v>
      </c>
      <c r="C1948" t="s">
        <v>83</v>
      </c>
      <c r="D1948" t="s">
        <v>84</v>
      </c>
      <c r="E1948" t="s">
        <v>25</v>
      </c>
      <c r="F1948" t="s">
        <v>84</v>
      </c>
      <c r="G1948" t="s">
        <v>26</v>
      </c>
      <c r="H1948" t="s">
        <v>81</v>
      </c>
      <c r="I1948">
        <v>2030</v>
      </c>
      <c r="J1948">
        <v>4.3700000000000003E-2</v>
      </c>
      <c r="K1948" t="s">
        <v>84</v>
      </c>
    </row>
    <row r="1949" spans="1:11" x14ac:dyDescent="0.45">
      <c r="A1949" t="s">
        <v>85</v>
      </c>
      <c r="B1949" t="s">
        <v>2</v>
      </c>
      <c r="C1949" t="s">
        <v>83</v>
      </c>
      <c r="D1949" t="s">
        <v>84</v>
      </c>
      <c r="E1949" t="s">
        <v>25</v>
      </c>
      <c r="F1949" t="s">
        <v>84</v>
      </c>
      <c r="G1949" t="s">
        <v>26</v>
      </c>
      <c r="H1949" t="s">
        <v>81</v>
      </c>
      <c r="I1949">
        <v>2035</v>
      </c>
      <c r="J1949">
        <v>6.5799999999999997E-2</v>
      </c>
      <c r="K1949" t="s">
        <v>84</v>
      </c>
    </row>
    <row r="1950" spans="1:11" x14ac:dyDescent="0.45">
      <c r="A1950" t="s">
        <v>85</v>
      </c>
      <c r="B1950" t="s">
        <v>2</v>
      </c>
      <c r="C1950" t="s">
        <v>83</v>
      </c>
      <c r="D1950" t="s">
        <v>84</v>
      </c>
      <c r="E1950" t="s">
        <v>25</v>
      </c>
      <c r="F1950" t="s">
        <v>84</v>
      </c>
      <c r="G1950" t="s">
        <v>26</v>
      </c>
      <c r="H1950" t="s">
        <v>81</v>
      </c>
      <c r="I1950">
        <v>2040</v>
      </c>
      <c r="J1950">
        <v>8.2000000000000003E-2</v>
      </c>
      <c r="K1950" t="s">
        <v>84</v>
      </c>
    </row>
    <row r="1951" spans="1:11" x14ac:dyDescent="0.45">
      <c r="A1951" t="s">
        <v>85</v>
      </c>
      <c r="B1951" t="s">
        <v>2</v>
      </c>
      <c r="C1951" t="s">
        <v>83</v>
      </c>
      <c r="D1951" t="s">
        <v>84</v>
      </c>
      <c r="E1951" t="s">
        <v>25</v>
      </c>
      <c r="F1951" t="s">
        <v>84</v>
      </c>
      <c r="G1951" t="s">
        <v>26</v>
      </c>
      <c r="H1951" t="s">
        <v>81</v>
      </c>
      <c r="I1951">
        <v>2045</v>
      </c>
      <c r="J1951">
        <v>8.7400000000000005E-2</v>
      </c>
      <c r="K1951" t="s">
        <v>84</v>
      </c>
    </row>
    <row r="1952" spans="1:11" x14ac:dyDescent="0.45">
      <c r="A1952" t="s">
        <v>85</v>
      </c>
      <c r="B1952" t="s">
        <v>2</v>
      </c>
      <c r="C1952" t="s">
        <v>83</v>
      </c>
      <c r="D1952" t="s">
        <v>84</v>
      </c>
      <c r="E1952" t="s">
        <v>25</v>
      </c>
      <c r="F1952" t="s">
        <v>84</v>
      </c>
      <c r="G1952" t="s">
        <v>26</v>
      </c>
      <c r="H1952" t="s">
        <v>81</v>
      </c>
      <c r="I1952">
        <v>2050</v>
      </c>
      <c r="J1952">
        <v>9.2299999999999993E-2</v>
      </c>
      <c r="K1952" t="s">
        <v>84</v>
      </c>
    </row>
    <row r="1953" spans="1:12" x14ac:dyDescent="0.45">
      <c r="A1953" t="s">
        <v>85</v>
      </c>
      <c r="B1953" t="s">
        <v>2</v>
      </c>
      <c r="C1953" t="s">
        <v>83</v>
      </c>
      <c r="D1953" t="s">
        <v>84</v>
      </c>
      <c r="E1953" t="s">
        <v>25</v>
      </c>
      <c r="F1953" t="s">
        <v>84</v>
      </c>
      <c r="G1953" t="s">
        <v>26</v>
      </c>
      <c r="H1953" t="s">
        <v>81</v>
      </c>
      <c r="I1953">
        <v>2055</v>
      </c>
      <c r="J1953">
        <v>9.5600000000000004E-2</v>
      </c>
      <c r="K1953" t="s">
        <v>84</v>
      </c>
    </row>
    <row r="1954" spans="1:12" x14ac:dyDescent="0.45">
      <c r="A1954" t="s">
        <v>85</v>
      </c>
      <c r="B1954" t="s">
        <v>2</v>
      </c>
      <c r="C1954" t="s">
        <v>83</v>
      </c>
      <c r="D1954" t="s">
        <v>84</v>
      </c>
      <c r="E1954" t="s">
        <v>25</v>
      </c>
      <c r="F1954" t="s">
        <v>84</v>
      </c>
      <c r="G1954" t="s">
        <v>26</v>
      </c>
      <c r="H1954" t="s">
        <v>81</v>
      </c>
      <c r="I1954">
        <v>2060</v>
      </c>
      <c r="J1954">
        <v>0.1004</v>
      </c>
      <c r="K1954" t="s">
        <v>84</v>
      </c>
    </row>
    <row r="1955" spans="1:12" x14ac:dyDescent="0.45">
      <c r="A1955" t="s">
        <v>85</v>
      </c>
      <c r="B1955" t="s">
        <v>2</v>
      </c>
      <c r="C1955" t="s">
        <v>83</v>
      </c>
      <c r="D1955" t="s">
        <v>84</v>
      </c>
      <c r="E1955" t="s">
        <v>25</v>
      </c>
      <c r="F1955" t="s">
        <v>84</v>
      </c>
      <c r="G1955" t="s">
        <v>26</v>
      </c>
      <c r="H1955" t="s">
        <v>81</v>
      </c>
      <c r="I1955">
        <v>2065</v>
      </c>
      <c r="J1955">
        <v>0.16980000000000001</v>
      </c>
      <c r="K1955" t="s">
        <v>84</v>
      </c>
    </row>
    <row r="1956" spans="1:12" x14ac:dyDescent="0.45">
      <c r="A1956" t="s">
        <v>85</v>
      </c>
      <c r="B1956" t="s">
        <v>2</v>
      </c>
      <c r="C1956" t="s">
        <v>83</v>
      </c>
      <c r="D1956" t="s">
        <v>84</v>
      </c>
      <c r="E1956" t="s">
        <v>25</v>
      </c>
      <c r="F1956" t="s">
        <v>84</v>
      </c>
      <c r="G1956" t="s">
        <v>26</v>
      </c>
      <c r="H1956" t="s">
        <v>81</v>
      </c>
      <c r="I1956">
        <v>2070</v>
      </c>
      <c r="J1956">
        <v>0.20960000000000001</v>
      </c>
      <c r="K1956" t="s">
        <v>84</v>
      </c>
    </row>
    <row r="1957" spans="1:12" x14ac:dyDescent="0.45">
      <c r="A1957" t="s">
        <v>85</v>
      </c>
      <c r="B1957" t="s">
        <v>2</v>
      </c>
      <c r="C1957" t="s">
        <v>83</v>
      </c>
      <c r="D1957" t="s">
        <v>84</v>
      </c>
      <c r="E1957" t="s">
        <v>25</v>
      </c>
      <c r="F1957" t="s">
        <v>84</v>
      </c>
      <c r="G1957" t="s">
        <v>26</v>
      </c>
      <c r="H1957" t="s">
        <v>81</v>
      </c>
      <c r="I1957">
        <v>2075</v>
      </c>
      <c r="J1957">
        <v>0.23219999999999999</v>
      </c>
      <c r="K1957" t="s">
        <v>84</v>
      </c>
    </row>
    <row r="1958" spans="1:12" x14ac:dyDescent="0.45">
      <c r="A1958" t="s">
        <v>85</v>
      </c>
      <c r="B1958" t="s">
        <v>2</v>
      </c>
      <c r="C1958" t="s">
        <v>83</v>
      </c>
      <c r="D1958" t="s">
        <v>84</v>
      </c>
      <c r="E1958" t="s">
        <v>25</v>
      </c>
      <c r="F1958" t="s">
        <v>84</v>
      </c>
      <c r="G1958" t="s">
        <v>26</v>
      </c>
      <c r="H1958" t="s">
        <v>81</v>
      </c>
      <c r="I1958">
        <v>2080</v>
      </c>
      <c r="J1958">
        <v>0.2404</v>
      </c>
      <c r="K1958" t="s">
        <v>84</v>
      </c>
    </row>
    <row r="1959" spans="1:12" x14ac:dyDescent="0.45">
      <c r="A1959" t="s">
        <v>85</v>
      </c>
      <c r="B1959" t="s">
        <v>2</v>
      </c>
      <c r="C1959" t="s">
        <v>83</v>
      </c>
      <c r="D1959" t="s">
        <v>84</v>
      </c>
      <c r="E1959" t="s">
        <v>25</v>
      </c>
      <c r="F1959" t="s">
        <v>84</v>
      </c>
      <c r="G1959" t="s">
        <v>26</v>
      </c>
      <c r="H1959" t="s">
        <v>81</v>
      </c>
      <c r="I1959">
        <v>2085</v>
      </c>
      <c r="J1959">
        <v>0.2427</v>
      </c>
      <c r="K1959" t="s">
        <v>84</v>
      </c>
    </row>
    <row r="1960" spans="1:12" x14ac:dyDescent="0.45">
      <c r="A1960" t="s">
        <v>85</v>
      </c>
      <c r="B1960" t="s">
        <v>2</v>
      </c>
      <c r="C1960" t="s">
        <v>83</v>
      </c>
      <c r="D1960" t="s">
        <v>84</v>
      </c>
      <c r="E1960" t="s">
        <v>25</v>
      </c>
      <c r="F1960" t="s">
        <v>84</v>
      </c>
      <c r="G1960" t="s">
        <v>26</v>
      </c>
      <c r="H1960" t="s">
        <v>81</v>
      </c>
      <c r="I1960">
        <v>2090</v>
      </c>
      <c r="J1960">
        <v>0.2402</v>
      </c>
      <c r="K1960" t="s">
        <v>84</v>
      </c>
    </row>
    <row r="1961" spans="1:12" x14ac:dyDescent="0.45">
      <c r="A1961" t="s">
        <v>85</v>
      </c>
      <c r="B1961" t="s">
        <v>2</v>
      </c>
      <c r="C1961" t="s">
        <v>83</v>
      </c>
      <c r="D1961" t="s">
        <v>84</v>
      </c>
      <c r="E1961" t="s">
        <v>25</v>
      </c>
      <c r="F1961" t="s">
        <v>84</v>
      </c>
      <c r="G1961" t="s">
        <v>26</v>
      </c>
      <c r="H1961" t="s">
        <v>81</v>
      </c>
      <c r="I1961">
        <v>2095</v>
      </c>
      <c r="J1961">
        <v>0.22750000000000001</v>
      </c>
      <c r="K1961" t="s">
        <v>84</v>
      </c>
    </row>
    <row r="1962" spans="1:12" x14ac:dyDescent="0.45">
      <c r="A1962" t="s">
        <v>85</v>
      </c>
      <c r="B1962" t="s">
        <v>2</v>
      </c>
      <c r="C1962" t="s">
        <v>83</v>
      </c>
      <c r="D1962" t="s">
        <v>84</v>
      </c>
      <c r="E1962" t="s">
        <v>25</v>
      </c>
      <c r="F1962" t="s">
        <v>84</v>
      </c>
      <c r="G1962" t="s">
        <v>26</v>
      </c>
      <c r="H1962" t="s">
        <v>81</v>
      </c>
      <c r="I1962">
        <v>2100</v>
      </c>
      <c r="J1962">
        <v>0.21540000000000001</v>
      </c>
      <c r="K1962" t="s">
        <v>84</v>
      </c>
    </row>
    <row r="1963" spans="1:12" x14ac:dyDescent="0.45">
      <c r="A1963" t="s">
        <v>85</v>
      </c>
      <c r="B1963" t="s">
        <v>2</v>
      </c>
      <c r="C1963" t="s">
        <v>83</v>
      </c>
      <c r="D1963" t="s">
        <v>52</v>
      </c>
      <c r="E1963" t="s">
        <v>25</v>
      </c>
      <c r="F1963" t="s">
        <v>52</v>
      </c>
      <c r="G1963" t="s">
        <v>70</v>
      </c>
      <c r="I1963">
        <v>2020</v>
      </c>
      <c r="J1963">
        <v>0.3286</v>
      </c>
      <c r="K1963" t="s">
        <v>52</v>
      </c>
      <c r="L1963">
        <v>94</v>
      </c>
    </row>
    <row r="1964" spans="1:12" x14ac:dyDescent="0.45">
      <c r="A1964" t="s">
        <v>85</v>
      </c>
      <c r="B1964" t="s">
        <v>2</v>
      </c>
      <c r="C1964" t="s">
        <v>83</v>
      </c>
      <c r="D1964" t="s">
        <v>52</v>
      </c>
      <c r="E1964" t="s">
        <v>25</v>
      </c>
      <c r="F1964" t="s">
        <v>52</v>
      </c>
      <c r="G1964" t="s">
        <v>70</v>
      </c>
      <c r="I1964">
        <v>2025</v>
      </c>
      <c r="J1964">
        <v>0.30759999999999998</v>
      </c>
      <c r="K1964" t="s">
        <v>52</v>
      </c>
      <c r="L1964">
        <v>94</v>
      </c>
    </row>
    <row r="1965" spans="1:12" x14ac:dyDescent="0.45">
      <c r="A1965" t="s">
        <v>85</v>
      </c>
      <c r="B1965" t="s">
        <v>2</v>
      </c>
      <c r="C1965" t="s">
        <v>83</v>
      </c>
      <c r="D1965" t="s">
        <v>52</v>
      </c>
      <c r="E1965" t="s">
        <v>25</v>
      </c>
      <c r="F1965" t="s">
        <v>52</v>
      </c>
      <c r="G1965" t="s">
        <v>70</v>
      </c>
      <c r="I1965">
        <v>2030</v>
      </c>
      <c r="J1965">
        <v>0.26929999999999998</v>
      </c>
      <c r="K1965" t="s">
        <v>52</v>
      </c>
      <c r="L1965">
        <v>94</v>
      </c>
    </row>
    <row r="1966" spans="1:12" x14ac:dyDescent="0.45">
      <c r="A1966" t="s">
        <v>85</v>
      </c>
      <c r="B1966" t="s">
        <v>2</v>
      </c>
      <c r="C1966" t="s">
        <v>83</v>
      </c>
      <c r="D1966" t="s">
        <v>52</v>
      </c>
      <c r="E1966" t="s">
        <v>25</v>
      </c>
      <c r="F1966" t="s">
        <v>52</v>
      </c>
      <c r="G1966" t="s">
        <v>70</v>
      </c>
      <c r="I1966">
        <v>2035</v>
      </c>
      <c r="J1966">
        <v>0.2142</v>
      </c>
      <c r="K1966" t="s">
        <v>52</v>
      </c>
      <c r="L1966">
        <v>94</v>
      </c>
    </row>
    <row r="1967" spans="1:12" x14ac:dyDescent="0.45">
      <c r="A1967" t="s">
        <v>85</v>
      </c>
      <c r="B1967" t="s">
        <v>2</v>
      </c>
      <c r="C1967" t="s">
        <v>83</v>
      </c>
      <c r="D1967" t="s">
        <v>52</v>
      </c>
      <c r="E1967" t="s">
        <v>25</v>
      </c>
      <c r="F1967" t="s">
        <v>52</v>
      </c>
      <c r="G1967" t="s">
        <v>70</v>
      </c>
      <c r="I1967">
        <v>2040</v>
      </c>
      <c r="J1967">
        <v>0.1527</v>
      </c>
      <c r="K1967" t="s">
        <v>52</v>
      </c>
      <c r="L1967">
        <v>94</v>
      </c>
    </row>
    <row r="1968" spans="1:12" x14ac:dyDescent="0.45">
      <c r="A1968" t="s">
        <v>85</v>
      </c>
      <c r="B1968" t="s">
        <v>2</v>
      </c>
      <c r="C1968" t="s">
        <v>83</v>
      </c>
      <c r="D1968" t="s">
        <v>52</v>
      </c>
      <c r="E1968" t="s">
        <v>25</v>
      </c>
      <c r="F1968" t="s">
        <v>52</v>
      </c>
      <c r="G1968" t="s">
        <v>70</v>
      </c>
      <c r="I1968">
        <v>2045</v>
      </c>
      <c r="J1968">
        <v>7.3099999999999998E-2</v>
      </c>
      <c r="K1968" t="s">
        <v>52</v>
      </c>
      <c r="L1968">
        <v>94</v>
      </c>
    </row>
    <row r="1969" spans="1:12" x14ac:dyDescent="0.45">
      <c r="A1969" t="s">
        <v>85</v>
      </c>
      <c r="B1969" t="s">
        <v>2</v>
      </c>
      <c r="C1969" t="s">
        <v>83</v>
      </c>
      <c r="D1969" t="s">
        <v>52</v>
      </c>
      <c r="E1969" t="s">
        <v>25</v>
      </c>
      <c r="F1969" t="s">
        <v>52</v>
      </c>
      <c r="G1969" t="s">
        <v>70</v>
      </c>
      <c r="I1969">
        <v>2050</v>
      </c>
      <c r="J1969">
        <v>2.98E-2</v>
      </c>
      <c r="K1969" t="s">
        <v>52</v>
      </c>
      <c r="L1969">
        <v>94</v>
      </c>
    </row>
    <row r="1970" spans="1:12" x14ac:dyDescent="0.45">
      <c r="A1970" t="s">
        <v>85</v>
      </c>
      <c r="B1970" t="s">
        <v>2</v>
      </c>
      <c r="C1970" t="s">
        <v>83</v>
      </c>
      <c r="D1970" t="s">
        <v>52</v>
      </c>
      <c r="E1970" t="s">
        <v>25</v>
      </c>
      <c r="F1970" t="s">
        <v>52</v>
      </c>
      <c r="G1970" t="s">
        <v>70</v>
      </c>
      <c r="I1970">
        <v>2055</v>
      </c>
      <c r="J1970">
        <v>9.1999999999999998E-3</v>
      </c>
      <c r="K1970" t="s">
        <v>52</v>
      </c>
      <c r="L1970">
        <v>94</v>
      </c>
    </row>
    <row r="1971" spans="1:12" x14ac:dyDescent="0.45">
      <c r="A1971" t="s">
        <v>85</v>
      </c>
      <c r="B1971" t="s">
        <v>2</v>
      </c>
      <c r="C1971" t="s">
        <v>83</v>
      </c>
      <c r="D1971" t="s">
        <v>52</v>
      </c>
      <c r="E1971" t="s">
        <v>25</v>
      </c>
      <c r="F1971" t="s">
        <v>52</v>
      </c>
      <c r="G1971" t="s">
        <v>70</v>
      </c>
      <c r="I1971">
        <v>2060</v>
      </c>
      <c r="J1971">
        <v>1E-3</v>
      </c>
      <c r="K1971" t="s">
        <v>52</v>
      </c>
      <c r="L1971">
        <v>94</v>
      </c>
    </row>
    <row r="1972" spans="1:12" x14ac:dyDescent="0.45">
      <c r="A1972" t="s">
        <v>85</v>
      </c>
      <c r="B1972" t="s">
        <v>2</v>
      </c>
      <c r="C1972" t="s">
        <v>83</v>
      </c>
      <c r="D1972" t="s">
        <v>52</v>
      </c>
      <c r="E1972" t="s">
        <v>25</v>
      </c>
      <c r="F1972" t="s">
        <v>52</v>
      </c>
      <c r="G1972" t="s">
        <v>70</v>
      </c>
      <c r="I1972">
        <v>2065</v>
      </c>
      <c r="J1972">
        <v>4.0000000000000002E-4</v>
      </c>
      <c r="K1972" t="s">
        <v>52</v>
      </c>
      <c r="L1972">
        <v>94</v>
      </c>
    </row>
    <row r="1973" spans="1:12" x14ac:dyDescent="0.45">
      <c r="A1973" t="s">
        <v>85</v>
      </c>
      <c r="B1973" t="s">
        <v>2</v>
      </c>
      <c r="C1973" t="s">
        <v>83</v>
      </c>
      <c r="D1973" t="s">
        <v>52</v>
      </c>
      <c r="E1973" t="s">
        <v>25</v>
      </c>
      <c r="F1973" t="s">
        <v>52</v>
      </c>
      <c r="G1973" t="s">
        <v>70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85</v>
      </c>
      <c r="B1974" t="s">
        <v>2</v>
      </c>
      <c r="C1974" t="s">
        <v>83</v>
      </c>
      <c r="D1974" t="s">
        <v>52</v>
      </c>
      <c r="E1974" t="s">
        <v>25</v>
      </c>
      <c r="F1974" t="s">
        <v>52</v>
      </c>
      <c r="G1974" t="s">
        <v>70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85</v>
      </c>
      <c r="B1975" t="s">
        <v>2</v>
      </c>
      <c r="C1975" t="s">
        <v>83</v>
      </c>
      <c r="D1975" t="s">
        <v>52</v>
      </c>
      <c r="E1975" t="s">
        <v>25</v>
      </c>
      <c r="F1975" t="s">
        <v>52</v>
      </c>
      <c r="G1975" t="s">
        <v>70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85</v>
      </c>
      <c r="B1976" t="s">
        <v>2</v>
      </c>
      <c r="C1976" t="s">
        <v>83</v>
      </c>
      <c r="D1976" t="s">
        <v>52</v>
      </c>
      <c r="E1976" t="s">
        <v>25</v>
      </c>
      <c r="F1976" t="s">
        <v>52</v>
      </c>
      <c r="G1976" t="s">
        <v>70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85</v>
      </c>
      <c r="B1977" t="s">
        <v>2</v>
      </c>
      <c r="C1977" t="s">
        <v>83</v>
      </c>
      <c r="D1977" t="s">
        <v>52</v>
      </c>
      <c r="E1977" t="s">
        <v>25</v>
      </c>
      <c r="F1977" t="s">
        <v>52</v>
      </c>
      <c r="G1977" t="s">
        <v>70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85</v>
      </c>
      <c r="B1978" t="s">
        <v>2</v>
      </c>
      <c r="C1978" t="s">
        <v>83</v>
      </c>
      <c r="D1978" t="s">
        <v>52</v>
      </c>
      <c r="E1978" t="s">
        <v>25</v>
      </c>
      <c r="F1978" t="s">
        <v>52</v>
      </c>
      <c r="G1978" t="s">
        <v>70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85</v>
      </c>
      <c r="B1979" t="s">
        <v>2</v>
      </c>
      <c r="C1979" t="s">
        <v>83</v>
      </c>
      <c r="D1979" t="s">
        <v>52</v>
      </c>
      <c r="E1979" t="s">
        <v>25</v>
      </c>
      <c r="F1979" t="s">
        <v>52</v>
      </c>
      <c r="G1979" t="s">
        <v>70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85</v>
      </c>
      <c r="B1980" t="s">
        <v>2</v>
      </c>
      <c r="C1980" t="s">
        <v>83</v>
      </c>
      <c r="D1980" t="s">
        <v>53</v>
      </c>
      <c r="E1980" t="s">
        <v>25</v>
      </c>
      <c r="F1980" t="s">
        <v>53</v>
      </c>
      <c r="G1980" t="s">
        <v>70</v>
      </c>
      <c r="I1980">
        <v>2020</v>
      </c>
      <c r="J1980">
        <v>0.10970000000000001</v>
      </c>
      <c r="K1980" t="s">
        <v>53</v>
      </c>
      <c r="L1980">
        <v>55</v>
      </c>
    </row>
    <row r="1981" spans="1:12" x14ac:dyDescent="0.45">
      <c r="A1981" t="s">
        <v>85</v>
      </c>
      <c r="B1981" t="s">
        <v>2</v>
      </c>
      <c r="C1981" t="s">
        <v>83</v>
      </c>
      <c r="D1981" t="s">
        <v>53</v>
      </c>
      <c r="E1981" t="s">
        <v>25</v>
      </c>
      <c r="F1981" t="s">
        <v>53</v>
      </c>
      <c r="G1981" t="s">
        <v>70</v>
      </c>
      <c r="I1981">
        <v>2025</v>
      </c>
      <c r="J1981">
        <v>0.12959999999999999</v>
      </c>
      <c r="K1981" t="s">
        <v>53</v>
      </c>
      <c r="L1981">
        <v>55</v>
      </c>
    </row>
    <row r="1982" spans="1:12" x14ac:dyDescent="0.45">
      <c r="A1982" t="s">
        <v>85</v>
      </c>
      <c r="B1982" t="s">
        <v>2</v>
      </c>
      <c r="C1982" t="s">
        <v>83</v>
      </c>
      <c r="D1982" t="s">
        <v>53</v>
      </c>
      <c r="E1982" t="s">
        <v>25</v>
      </c>
      <c r="F1982" t="s">
        <v>53</v>
      </c>
      <c r="G1982" t="s">
        <v>70</v>
      </c>
      <c r="I1982">
        <v>2030</v>
      </c>
      <c r="J1982">
        <v>0.15570000000000001</v>
      </c>
      <c r="K1982" t="s">
        <v>53</v>
      </c>
      <c r="L1982">
        <v>55</v>
      </c>
    </row>
    <row r="1983" spans="1:12" x14ac:dyDescent="0.45">
      <c r="A1983" t="s">
        <v>85</v>
      </c>
      <c r="B1983" t="s">
        <v>2</v>
      </c>
      <c r="C1983" t="s">
        <v>83</v>
      </c>
      <c r="D1983" t="s">
        <v>53</v>
      </c>
      <c r="E1983" t="s">
        <v>25</v>
      </c>
      <c r="F1983" t="s">
        <v>53</v>
      </c>
      <c r="G1983" t="s">
        <v>70</v>
      </c>
      <c r="I1983">
        <v>2035</v>
      </c>
      <c r="J1983">
        <v>0.16259999999999999</v>
      </c>
      <c r="K1983" t="s">
        <v>53</v>
      </c>
      <c r="L1983">
        <v>55</v>
      </c>
    </row>
    <row r="1984" spans="1:12" x14ac:dyDescent="0.45">
      <c r="A1984" t="s">
        <v>85</v>
      </c>
      <c r="B1984" t="s">
        <v>2</v>
      </c>
      <c r="C1984" t="s">
        <v>83</v>
      </c>
      <c r="D1984" t="s">
        <v>53</v>
      </c>
      <c r="E1984" t="s">
        <v>25</v>
      </c>
      <c r="F1984" t="s">
        <v>53</v>
      </c>
      <c r="G1984" t="s">
        <v>70</v>
      </c>
      <c r="I1984">
        <v>2040</v>
      </c>
      <c r="J1984">
        <v>0.14580000000000001</v>
      </c>
      <c r="K1984" t="s">
        <v>53</v>
      </c>
      <c r="L1984">
        <v>55</v>
      </c>
    </row>
    <row r="1985" spans="1:12" x14ac:dyDescent="0.45">
      <c r="A1985" t="s">
        <v>85</v>
      </c>
      <c r="B1985" t="s">
        <v>2</v>
      </c>
      <c r="C1985" t="s">
        <v>83</v>
      </c>
      <c r="D1985" t="s">
        <v>53</v>
      </c>
      <c r="E1985" t="s">
        <v>25</v>
      </c>
      <c r="F1985" t="s">
        <v>53</v>
      </c>
      <c r="G1985" t="s">
        <v>70</v>
      </c>
      <c r="I1985">
        <v>2045</v>
      </c>
      <c r="J1985">
        <v>0.1159</v>
      </c>
      <c r="K1985" t="s">
        <v>53</v>
      </c>
      <c r="L1985">
        <v>55</v>
      </c>
    </row>
    <row r="1986" spans="1:12" x14ac:dyDescent="0.45">
      <c r="A1986" t="s">
        <v>85</v>
      </c>
      <c r="B1986" t="s">
        <v>2</v>
      </c>
      <c r="C1986" t="s">
        <v>83</v>
      </c>
      <c r="D1986" t="s">
        <v>53</v>
      </c>
      <c r="E1986" t="s">
        <v>25</v>
      </c>
      <c r="F1986" t="s">
        <v>53</v>
      </c>
      <c r="G1986" t="s">
        <v>70</v>
      </c>
      <c r="I1986">
        <v>2050</v>
      </c>
      <c r="J1986">
        <v>8.7400000000000005E-2</v>
      </c>
      <c r="K1986" t="s">
        <v>53</v>
      </c>
      <c r="L1986">
        <v>55</v>
      </c>
    </row>
    <row r="1987" spans="1:12" x14ac:dyDescent="0.45">
      <c r="A1987" t="s">
        <v>85</v>
      </c>
      <c r="B1987" t="s">
        <v>2</v>
      </c>
      <c r="C1987" t="s">
        <v>83</v>
      </c>
      <c r="D1987" t="s">
        <v>53</v>
      </c>
      <c r="E1987" t="s">
        <v>25</v>
      </c>
      <c r="F1987" t="s">
        <v>53</v>
      </c>
      <c r="G1987" t="s">
        <v>70</v>
      </c>
      <c r="I1987">
        <v>2055</v>
      </c>
      <c r="J1987">
        <v>6.7299999999999999E-2</v>
      </c>
      <c r="K1987" t="s">
        <v>53</v>
      </c>
      <c r="L1987">
        <v>55</v>
      </c>
    </row>
    <row r="1988" spans="1:12" x14ac:dyDescent="0.45">
      <c r="A1988" t="s">
        <v>85</v>
      </c>
      <c r="B1988" t="s">
        <v>2</v>
      </c>
      <c r="C1988" t="s">
        <v>83</v>
      </c>
      <c r="D1988" t="s">
        <v>53</v>
      </c>
      <c r="E1988" t="s">
        <v>25</v>
      </c>
      <c r="F1988" t="s">
        <v>53</v>
      </c>
      <c r="G1988" t="s">
        <v>70</v>
      </c>
      <c r="I1988">
        <v>2060</v>
      </c>
      <c r="J1988">
        <v>2.1299999999999999E-2</v>
      </c>
      <c r="K1988" t="s">
        <v>53</v>
      </c>
      <c r="L1988">
        <v>55</v>
      </c>
    </row>
    <row r="1989" spans="1:12" x14ac:dyDescent="0.45">
      <c r="A1989" t="s">
        <v>85</v>
      </c>
      <c r="B1989" t="s">
        <v>2</v>
      </c>
      <c r="C1989" t="s">
        <v>83</v>
      </c>
      <c r="D1989" t="s">
        <v>53</v>
      </c>
      <c r="E1989" t="s">
        <v>25</v>
      </c>
      <c r="F1989" t="s">
        <v>53</v>
      </c>
      <c r="G1989" t="s">
        <v>70</v>
      </c>
      <c r="I1989">
        <v>2065</v>
      </c>
      <c r="J1989">
        <v>1.67E-2</v>
      </c>
      <c r="K1989" t="s">
        <v>53</v>
      </c>
      <c r="L1989">
        <v>55</v>
      </c>
    </row>
    <row r="1990" spans="1:12" x14ac:dyDescent="0.45">
      <c r="A1990" t="s">
        <v>85</v>
      </c>
      <c r="B1990" t="s">
        <v>2</v>
      </c>
      <c r="C1990" t="s">
        <v>83</v>
      </c>
      <c r="D1990" t="s">
        <v>53</v>
      </c>
      <c r="E1990" t="s">
        <v>25</v>
      </c>
      <c r="F1990" t="s">
        <v>53</v>
      </c>
      <c r="G1990" t="s">
        <v>70</v>
      </c>
      <c r="I1990">
        <v>2070</v>
      </c>
      <c r="J1990">
        <v>1.15E-2</v>
      </c>
      <c r="K1990" t="s">
        <v>53</v>
      </c>
      <c r="L1990">
        <v>55</v>
      </c>
    </row>
    <row r="1991" spans="1:12" x14ac:dyDescent="0.45">
      <c r="A1991" t="s">
        <v>85</v>
      </c>
      <c r="B1991" t="s">
        <v>2</v>
      </c>
      <c r="C1991" t="s">
        <v>83</v>
      </c>
      <c r="D1991" t="s">
        <v>53</v>
      </c>
      <c r="E1991" t="s">
        <v>25</v>
      </c>
      <c r="F1991" t="s">
        <v>53</v>
      </c>
      <c r="G1991" t="s">
        <v>70</v>
      </c>
      <c r="I1991">
        <v>2075</v>
      </c>
      <c r="J1991">
        <v>8.6999999999999994E-3</v>
      </c>
      <c r="K1991" t="s">
        <v>53</v>
      </c>
      <c r="L1991">
        <v>55</v>
      </c>
    </row>
    <row r="1992" spans="1:12" x14ac:dyDescent="0.45">
      <c r="A1992" t="s">
        <v>85</v>
      </c>
      <c r="B1992" t="s">
        <v>2</v>
      </c>
      <c r="C1992" t="s">
        <v>83</v>
      </c>
      <c r="D1992" t="s">
        <v>53</v>
      </c>
      <c r="E1992" t="s">
        <v>25</v>
      </c>
      <c r="F1992" t="s">
        <v>53</v>
      </c>
      <c r="G1992" t="s">
        <v>70</v>
      </c>
      <c r="I1992">
        <v>2080</v>
      </c>
      <c r="J1992">
        <v>5.4999999999999997E-3</v>
      </c>
      <c r="K1992" t="s">
        <v>53</v>
      </c>
      <c r="L1992">
        <v>55</v>
      </c>
    </row>
    <row r="1993" spans="1:12" x14ac:dyDescent="0.45">
      <c r="A1993" t="s">
        <v>85</v>
      </c>
      <c r="B1993" t="s">
        <v>2</v>
      </c>
      <c r="C1993" t="s">
        <v>83</v>
      </c>
      <c r="D1993" t="s">
        <v>53</v>
      </c>
      <c r="E1993" t="s">
        <v>25</v>
      </c>
      <c r="F1993" t="s">
        <v>53</v>
      </c>
      <c r="G1993" t="s">
        <v>70</v>
      </c>
      <c r="I1993">
        <v>2085</v>
      </c>
      <c r="J1993">
        <v>6.4000000000000003E-3</v>
      </c>
      <c r="K1993" t="s">
        <v>53</v>
      </c>
      <c r="L1993">
        <v>55</v>
      </c>
    </row>
    <row r="1994" spans="1:12" x14ac:dyDescent="0.45">
      <c r="A1994" t="s">
        <v>85</v>
      </c>
      <c r="B1994" t="s">
        <v>2</v>
      </c>
      <c r="C1994" t="s">
        <v>83</v>
      </c>
      <c r="D1994" t="s">
        <v>53</v>
      </c>
      <c r="E1994" t="s">
        <v>25</v>
      </c>
      <c r="F1994" t="s">
        <v>53</v>
      </c>
      <c r="G1994" t="s">
        <v>70</v>
      </c>
      <c r="I1994">
        <v>2090</v>
      </c>
      <c r="J1994">
        <v>7.3000000000000001E-3</v>
      </c>
      <c r="K1994" t="s">
        <v>53</v>
      </c>
      <c r="L1994">
        <v>55</v>
      </c>
    </row>
    <row r="1995" spans="1:12" x14ac:dyDescent="0.45">
      <c r="A1995" t="s">
        <v>85</v>
      </c>
      <c r="B1995" t="s">
        <v>2</v>
      </c>
      <c r="C1995" t="s">
        <v>83</v>
      </c>
      <c r="D1995" t="s">
        <v>53</v>
      </c>
      <c r="E1995" t="s">
        <v>25</v>
      </c>
      <c r="F1995" t="s">
        <v>53</v>
      </c>
      <c r="G1995" t="s">
        <v>70</v>
      </c>
      <c r="I1995">
        <v>2095</v>
      </c>
      <c r="J1995">
        <v>7.0000000000000001E-3</v>
      </c>
      <c r="K1995" t="s">
        <v>53</v>
      </c>
      <c r="L1995">
        <v>55</v>
      </c>
    </row>
    <row r="1996" spans="1:12" x14ac:dyDescent="0.45">
      <c r="A1996" t="s">
        <v>85</v>
      </c>
      <c r="B1996" t="s">
        <v>2</v>
      </c>
      <c r="C1996" t="s">
        <v>83</v>
      </c>
      <c r="D1996" t="s">
        <v>53</v>
      </c>
      <c r="E1996" t="s">
        <v>25</v>
      </c>
      <c r="F1996" t="s">
        <v>53</v>
      </c>
      <c r="G1996" t="s">
        <v>70</v>
      </c>
      <c r="I1996">
        <v>2100</v>
      </c>
      <c r="J1996">
        <v>6.6E-3</v>
      </c>
      <c r="K1996" t="s">
        <v>53</v>
      </c>
      <c r="L1996">
        <v>55</v>
      </c>
    </row>
    <row r="1997" spans="1:12" x14ac:dyDescent="0.45">
      <c r="A1997" t="s">
        <v>85</v>
      </c>
      <c r="B1997" t="s">
        <v>2</v>
      </c>
      <c r="C1997" t="s">
        <v>83</v>
      </c>
      <c r="D1997" t="s">
        <v>54</v>
      </c>
      <c r="E1997" t="s">
        <v>25</v>
      </c>
      <c r="F1997" t="s">
        <v>54</v>
      </c>
      <c r="G1997" t="s">
        <v>70</v>
      </c>
      <c r="I1997">
        <v>2020</v>
      </c>
      <c r="J1997">
        <v>0</v>
      </c>
      <c r="K1997" t="s">
        <v>54</v>
      </c>
      <c r="L1997">
        <v>70</v>
      </c>
    </row>
    <row r="1998" spans="1:12" x14ac:dyDescent="0.45">
      <c r="A1998" t="s">
        <v>85</v>
      </c>
      <c r="B1998" t="s">
        <v>2</v>
      </c>
      <c r="C1998" t="s">
        <v>83</v>
      </c>
      <c r="D1998" t="s">
        <v>54</v>
      </c>
      <c r="E1998" t="s">
        <v>25</v>
      </c>
      <c r="F1998" t="s">
        <v>54</v>
      </c>
      <c r="G1998" t="s">
        <v>70</v>
      </c>
      <c r="I1998">
        <v>2025</v>
      </c>
      <c r="J1998">
        <v>0</v>
      </c>
      <c r="K1998" t="s">
        <v>54</v>
      </c>
      <c r="L1998">
        <v>70</v>
      </c>
    </row>
    <row r="1999" spans="1:12" x14ac:dyDescent="0.45">
      <c r="A1999" t="s">
        <v>85</v>
      </c>
      <c r="B1999" t="s">
        <v>2</v>
      </c>
      <c r="C1999" t="s">
        <v>83</v>
      </c>
      <c r="D1999" t="s">
        <v>54</v>
      </c>
      <c r="E1999" t="s">
        <v>25</v>
      </c>
      <c r="F1999" t="s">
        <v>54</v>
      </c>
      <c r="G1999" t="s">
        <v>70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85</v>
      </c>
      <c r="B2000" t="s">
        <v>2</v>
      </c>
      <c r="C2000" t="s">
        <v>83</v>
      </c>
      <c r="D2000" t="s">
        <v>54</v>
      </c>
      <c r="E2000" t="s">
        <v>25</v>
      </c>
      <c r="F2000" t="s">
        <v>54</v>
      </c>
      <c r="G2000" t="s">
        <v>70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85</v>
      </c>
      <c r="B2001" t="s">
        <v>2</v>
      </c>
      <c r="C2001" t="s">
        <v>83</v>
      </c>
      <c r="D2001" t="s">
        <v>54</v>
      </c>
      <c r="E2001" t="s">
        <v>25</v>
      </c>
      <c r="F2001" t="s">
        <v>54</v>
      </c>
      <c r="G2001" t="s">
        <v>70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85</v>
      </c>
      <c r="B2002" t="s">
        <v>2</v>
      </c>
      <c r="C2002" t="s">
        <v>83</v>
      </c>
      <c r="D2002" t="s">
        <v>54</v>
      </c>
      <c r="E2002" t="s">
        <v>25</v>
      </c>
      <c r="F2002" t="s">
        <v>54</v>
      </c>
      <c r="G2002" t="s">
        <v>70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85</v>
      </c>
      <c r="B2003" t="s">
        <v>2</v>
      </c>
      <c r="C2003" t="s">
        <v>83</v>
      </c>
      <c r="D2003" t="s">
        <v>54</v>
      </c>
      <c r="E2003" t="s">
        <v>25</v>
      </c>
      <c r="F2003" t="s">
        <v>54</v>
      </c>
      <c r="G2003" t="s">
        <v>70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85</v>
      </c>
      <c r="B2004" t="s">
        <v>2</v>
      </c>
      <c r="C2004" t="s">
        <v>83</v>
      </c>
      <c r="D2004" t="s">
        <v>54</v>
      </c>
      <c r="E2004" t="s">
        <v>25</v>
      </c>
      <c r="F2004" t="s">
        <v>54</v>
      </c>
      <c r="G2004" t="s">
        <v>70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85</v>
      </c>
      <c r="B2005" t="s">
        <v>2</v>
      </c>
      <c r="C2005" t="s">
        <v>83</v>
      </c>
      <c r="D2005" t="s">
        <v>54</v>
      </c>
      <c r="E2005" t="s">
        <v>25</v>
      </c>
      <c r="F2005" t="s">
        <v>54</v>
      </c>
      <c r="G2005" t="s">
        <v>70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85</v>
      </c>
      <c r="B2006" t="s">
        <v>2</v>
      </c>
      <c r="C2006" t="s">
        <v>83</v>
      </c>
      <c r="D2006" t="s">
        <v>54</v>
      </c>
      <c r="E2006" t="s">
        <v>25</v>
      </c>
      <c r="F2006" t="s">
        <v>54</v>
      </c>
      <c r="G2006" t="s">
        <v>70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85</v>
      </c>
      <c r="B2007" t="s">
        <v>2</v>
      </c>
      <c r="C2007" t="s">
        <v>83</v>
      </c>
      <c r="D2007" t="s">
        <v>54</v>
      </c>
      <c r="E2007" t="s">
        <v>25</v>
      </c>
      <c r="F2007" t="s">
        <v>54</v>
      </c>
      <c r="G2007" t="s">
        <v>70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85</v>
      </c>
      <c r="B2008" t="s">
        <v>2</v>
      </c>
      <c r="C2008" t="s">
        <v>83</v>
      </c>
      <c r="D2008" t="s">
        <v>54</v>
      </c>
      <c r="E2008" t="s">
        <v>25</v>
      </c>
      <c r="F2008" t="s">
        <v>54</v>
      </c>
      <c r="G2008" t="s">
        <v>70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85</v>
      </c>
      <c r="B2009" t="s">
        <v>2</v>
      </c>
      <c r="C2009" t="s">
        <v>83</v>
      </c>
      <c r="D2009" t="s">
        <v>54</v>
      </c>
      <c r="E2009" t="s">
        <v>25</v>
      </c>
      <c r="F2009" t="s">
        <v>54</v>
      </c>
      <c r="G2009" t="s">
        <v>70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85</v>
      </c>
      <c r="B2010" t="s">
        <v>2</v>
      </c>
      <c r="C2010" t="s">
        <v>83</v>
      </c>
      <c r="D2010" t="s">
        <v>54</v>
      </c>
      <c r="E2010" t="s">
        <v>25</v>
      </c>
      <c r="F2010" t="s">
        <v>54</v>
      </c>
      <c r="G2010" t="s">
        <v>70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85</v>
      </c>
      <c r="B2011" t="s">
        <v>2</v>
      </c>
      <c r="C2011" t="s">
        <v>83</v>
      </c>
      <c r="D2011" t="s">
        <v>54</v>
      </c>
      <c r="E2011" t="s">
        <v>25</v>
      </c>
      <c r="F2011" t="s">
        <v>54</v>
      </c>
      <c r="G2011" t="s">
        <v>70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85</v>
      </c>
      <c r="B2012" t="s">
        <v>2</v>
      </c>
      <c r="C2012" t="s">
        <v>83</v>
      </c>
      <c r="D2012" t="s">
        <v>54</v>
      </c>
      <c r="E2012" t="s">
        <v>25</v>
      </c>
      <c r="F2012" t="s">
        <v>54</v>
      </c>
      <c r="G2012" t="s">
        <v>70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85</v>
      </c>
      <c r="B2013" t="s">
        <v>2</v>
      </c>
      <c r="C2013" t="s">
        <v>83</v>
      </c>
      <c r="D2013" t="s">
        <v>54</v>
      </c>
      <c r="E2013" t="s">
        <v>25</v>
      </c>
      <c r="F2013" t="s">
        <v>54</v>
      </c>
      <c r="G2013" t="s">
        <v>70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85</v>
      </c>
      <c r="B2014" t="s">
        <v>2</v>
      </c>
      <c r="C2014" t="s">
        <v>83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85</v>
      </c>
      <c r="B2015" t="s">
        <v>2</v>
      </c>
      <c r="C2015" t="s">
        <v>83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85</v>
      </c>
      <c r="B2016" t="s">
        <v>2</v>
      </c>
      <c r="C2016" t="s">
        <v>83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85</v>
      </c>
      <c r="B2017" t="s">
        <v>2</v>
      </c>
      <c r="C2017" t="s">
        <v>83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85</v>
      </c>
      <c r="B2018" t="s">
        <v>2</v>
      </c>
      <c r="C2018" t="s">
        <v>83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85</v>
      </c>
      <c r="B2019" t="s">
        <v>2</v>
      </c>
      <c r="C2019" t="s">
        <v>83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85</v>
      </c>
      <c r="B2020" t="s">
        <v>2</v>
      </c>
      <c r="C2020" t="s">
        <v>83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85</v>
      </c>
      <c r="B2021" t="s">
        <v>2</v>
      </c>
      <c r="C2021" t="s">
        <v>83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85</v>
      </c>
      <c r="B2022" t="s">
        <v>2</v>
      </c>
      <c r="C2022" t="s">
        <v>83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85</v>
      </c>
      <c r="B2023" t="s">
        <v>2</v>
      </c>
      <c r="C2023" t="s">
        <v>83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85</v>
      </c>
      <c r="B2024" t="s">
        <v>2</v>
      </c>
      <c r="C2024" t="s">
        <v>83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85</v>
      </c>
      <c r="B2025" t="s">
        <v>2</v>
      </c>
      <c r="C2025" t="s">
        <v>83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85</v>
      </c>
      <c r="B2026" t="s">
        <v>2</v>
      </c>
      <c r="C2026" t="s">
        <v>83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85</v>
      </c>
      <c r="B2027" t="s">
        <v>2</v>
      </c>
      <c r="C2027" t="s">
        <v>83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85</v>
      </c>
      <c r="B2028" t="s">
        <v>2</v>
      </c>
      <c r="C2028" t="s">
        <v>83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85</v>
      </c>
      <c r="B2029" t="s">
        <v>2</v>
      </c>
      <c r="C2029" t="s">
        <v>83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85</v>
      </c>
      <c r="B2030" t="s">
        <v>2</v>
      </c>
      <c r="C2030" t="s">
        <v>83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85</v>
      </c>
      <c r="B2031" t="s">
        <v>2</v>
      </c>
      <c r="C2031" t="s">
        <v>83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85</v>
      </c>
      <c r="B2032" t="s">
        <v>2</v>
      </c>
      <c r="C2032" t="s">
        <v>83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85</v>
      </c>
      <c r="B2033" t="s">
        <v>2</v>
      </c>
      <c r="C2033" t="s">
        <v>83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85</v>
      </c>
      <c r="B2034" t="s">
        <v>2</v>
      </c>
      <c r="C2034" t="s">
        <v>83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85</v>
      </c>
      <c r="B2035" t="s">
        <v>2</v>
      </c>
      <c r="C2035" t="s">
        <v>83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85</v>
      </c>
      <c r="B2036" t="s">
        <v>2</v>
      </c>
      <c r="C2036" t="s">
        <v>83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85</v>
      </c>
      <c r="B2037" t="s">
        <v>2</v>
      </c>
      <c r="C2037" t="s">
        <v>83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85</v>
      </c>
      <c r="B2038" t="s">
        <v>2</v>
      </c>
      <c r="C2038" t="s">
        <v>83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85</v>
      </c>
      <c r="B2039" t="s">
        <v>2</v>
      </c>
      <c r="C2039" t="s">
        <v>83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85</v>
      </c>
      <c r="B2040" t="s">
        <v>2</v>
      </c>
      <c r="C2040" t="s">
        <v>83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85</v>
      </c>
      <c r="B2041" t="s">
        <v>2</v>
      </c>
      <c r="C2041" t="s">
        <v>83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85</v>
      </c>
      <c r="B2042" t="s">
        <v>2</v>
      </c>
      <c r="C2042" t="s">
        <v>83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85</v>
      </c>
      <c r="B2043" t="s">
        <v>2</v>
      </c>
      <c r="C2043" t="s">
        <v>83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85</v>
      </c>
      <c r="B2044" t="s">
        <v>2</v>
      </c>
      <c r="C2044" t="s">
        <v>83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85</v>
      </c>
      <c r="B2045" t="s">
        <v>2</v>
      </c>
      <c r="C2045" t="s">
        <v>83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85</v>
      </c>
      <c r="B2046" t="s">
        <v>2</v>
      </c>
      <c r="C2046" t="s">
        <v>83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85</v>
      </c>
      <c r="B2047" t="s">
        <v>2</v>
      </c>
      <c r="C2047" t="s">
        <v>83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85</v>
      </c>
      <c r="B2048" t="s">
        <v>2</v>
      </c>
      <c r="C2048" t="s">
        <v>83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85</v>
      </c>
      <c r="B2049" t="s">
        <v>2</v>
      </c>
      <c r="C2049" t="s">
        <v>83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85</v>
      </c>
      <c r="B2050" t="s">
        <v>2</v>
      </c>
      <c r="C2050" t="s">
        <v>83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85</v>
      </c>
      <c r="B2051" t="s">
        <v>2</v>
      </c>
      <c r="C2051" t="s">
        <v>83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85</v>
      </c>
      <c r="B2052" t="s">
        <v>2</v>
      </c>
      <c r="C2052" t="s">
        <v>83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85</v>
      </c>
      <c r="B2053" t="s">
        <v>2</v>
      </c>
      <c r="C2053" t="s">
        <v>83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85</v>
      </c>
      <c r="B2054" t="s">
        <v>2</v>
      </c>
      <c r="C2054" t="s">
        <v>83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85</v>
      </c>
      <c r="B2055" t="s">
        <v>2</v>
      </c>
      <c r="C2055" t="s">
        <v>83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85</v>
      </c>
      <c r="B2056" t="s">
        <v>2</v>
      </c>
      <c r="C2056" t="s">
        <v>83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85</v>
      </c>
      <c r="B2057" t="s">
        <v>2</v>
      </c>
      <c r="C2057" t="s">
        <v>83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85</v>
      </c>
      <c r="B2058" t="s">
        <v>2</v>
      </c>
      <c r="C2058" t="s">
        <v>83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85</v>
      </c>
      <c r="B2059" t="s">
        <v>2</v>
      </c>
      <c r="C2059" t="s">
        <v>83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85</v>
      </c>
      <c r="B2060" t="s">
        <v>2</v>
      </c>
      <c r="C2060" t="s">
        <v>83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85</v>
      </c>
      <c r="B2061" t="s">
        <v>2</v>
      </c>
      <c r="C2061" t="s">
        <v>83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85</v>
      </c>
      <c r="B2062" t="s">
        <v>2</v>
      </c>
      <c r="C2062" t="s">
        <v>83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85</v>
      </c>
      <c r="B2063" t="s">
        <v>2</v>
      </c>
      <c r="C2063" t="s">
        <v>83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85</v>
      </c>
      <c r="B2064" t="s">
        <v>2</v>
      </c>
      <c r="C2064" t="s">
        <v>83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85</v>
      </c>
      <c r="B2065" t="s">
        <v>2</v>
      </c>
      <c r="C2065" t="s">
        <v>83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56.074300000000001</v>
      </c>
      <c r="K2065" t="s">
        <v>37</v>
      </c>
    </row>
    <row r="2066" spans="1:11" x14ac:dyDescent="0.45">
      <c r="A2066" t="s">
        <v>85</v>
      </c>
      <c r="B2066" t="s">
        <v>2</v>
      </c>
      <c r="C2066" t="s">
        <v>83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66.489400000000003</v>
      </c>
      <c r="K2066" t="s">
        <v>37</v>
      </c>
    </row>
    <row r="2067" spans="1:11" x14ac:dyDescent="0.45">
      <c r="A2067" t="s">
        <v>85</v>
      </c>
      <c r="B2067" t="s">
        <v>2</v>
      </c>
      <c r="C2067" t="s">
        <v>83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73.537400000000005</v>
      </c>
      <c r="K2067" t="s">
        <v>37</v>
      </c>
    </row>
    <row r="2068" spans="1:11" x14ac:dyDescent="0.45">
      <c r="A2068" t="s">
        <v>85</v>
      </c>
      <c r="B2068" t="s">
        <v>2</v>
      </c>
      <c r="C2068" t="s">
        <v>83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82.174300000000002</v>
      </c>
      <c r="K2068" t="s">
        <v>37</v>
      </c>
    </row>
    <row r="2069" spans="1:11" x14ac:dyDescent="0.45">
      <c r="A2069" t="s">
        <v>85</v>
      </c>
      <c r="B2069" t="s">
        <v>2</v>
      </c>
      <c r="C2069" t="s">
        <v>83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88.4392</v>
      </c>
      <c r="K2069" t="s">
        <v>37</v>
      </c>
    </row>
    <row r="2070" spans="1:11" x14ac:dyDescent="0.45">
      <c r="A2070" t="s">
        <v>85</v>
      </c>
      <c r="B2070" t="s">
        <v>2</v>
      </c>
      <c r="C2070" t="s">
        <v>83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92.795000000000002</v>
      </c>
      <c r="K2070" t="s">
        <v>37</v>
      </c>
    </row>
    <row r="2071" spans="1:11" x14ac:dyDescent="0.45">
      <c r="A2071" t="s">
        <v>85</v>
      </c>
      <c r="B2071" t="s">
        <v>2</v>
      </c>
      <c r="C2071" t="s">
        <v>83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104.0561</v>
      </c>
      <c r="K2071" t="s">
        <v>37</v>
      </c>
    </row>
    <row r="2072" spans="1:11" x14ac:dyDescent="0.45">
      <c r="A2072" t="s">
        <v>85</v>
      </c>
      <c r="B2072" t="s">
        <v>2</v>
      </c>
      <c r="C2072" t="s">
        <v>83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115.1815</v>
      </c>
      <c r="K2072" t="s">
        <v>37</v>
      </c>
    </row>
    <row r="2073" spans="1:11" x14ac:dyDescent="0.45">
      <c r="A2073" t="s">
        <v>85</v>
      </c>
      <c r="B2073" t="s">
        <v>2</v>
      </c>
      <c r="C2073" t="s">
        <v>83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190.7475</v>
      </c>
      <c r="K2073" t="s">
        <v>37</v>
      </c>
    </row>
    <row r="2074" spans="1:11" x14ac:dyDescent="0.45">
      <c r="A2074" t="s">
        <v>85</v>
      </c>
      <c r="B2074" t="s">
        <v>2</v>
      </c>
      <c r="C2074" t="s">
        <v>83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215.6173</v>
      </c>
      <c r="K2074" t="s">
        <v>37</v>
      </c>
    </row>
    <row r="2075" spans="1:11" x14ac:dyDescent="0.45">
      <c r="A2075" t="s">
        <v>85</v>
      </c>
      <c r="B2075" t="s">
        <v>2</v>
      </c>
      <c r="C2075" t="s">
        <v>83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240.48699999999999</v>
      </c>
      <c r="K2075" t="s">
        <v>37</v>
      </c>
    </row>
    <row r="2076" spans="1:11" x14ac:dyDescent="0.45">
      <c r="A2076" t="s">
        <v>85</v>
      </c>
      <c r="B2076" t="s">
        <v>2</v>
      </c>
      <c r="C2076" t="s">
        <v>83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263.26780000000002</v>
      </c>
      <c r="K2076" t="s">
        <v>37</v>
      </c>
    </row>
    <row r="2077" spans="1:11" x14ac:dyDescent="0.45">
      <c r="A2077" t="s">
        <v>85</v>
      </c>
      <c r="B2077" t="s">
        <v>2</v>
      </c>
      <c r="C2077" t="s">
        <v>83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286.04849999999999</v>
      </c>
      <c r="K2077" t="s">
        <v>37</v>
      </c>
    </row>
    <row r="2078" spans="1:11" x14ac:dyDescent="0.45">
      <c r="A2078" t="s">
        <v>85</v>
      </c>
      <c r="B2078" t="s">
        <v>2</v>
      </c>
      <c r="C2078" t="s">
        <v>83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290.21679999999998</v>
      </c>
      <c r="K2078" t="s">
        <v>37</v>
      </c>
    </row>
    <row r="2079" spans="1:11" x14ac:dyDescent="0.45">
      <c r="A2079" t="s">
        <v>85</v>
      </c>
      <c r="B2079" t="s">
        <v>2</v>
      </c>
      <c r="C2079" t="s">
        <v>83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294.38510000000002</v>
      </c>
      <c r="K2079" t="s">
        <v>37</v>
      </c>
    </row>
    <row r="2080" spans="1:11" x14ac:dyDescent="0.45">
      <c r="A2080" t="s">
        <v>85</v>
      </c>
      <c r="B2080" t="s">
        <v>2</v>
      </c>
      <c r="C2080" t="s">
        <v>83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304.76510000000002</v>
      </c>
      <c r="K2080" t="s">
        <v>37</v>
      </c>
    </row>
    <row r="2081" spans="1:11" x14ac:dyDescent="0.45">
      <c r="A2081" t="s">
        <v>85</v>
      </c>
      <c r="B2081" t="s">
        <v>2</v>
      </c>
      <c r="C2081" t="s">
        <v>83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315.14510000000001</v>
      </c>
      <c r="K2081" t="s">
        <v>37</v>
      </c>
    </row>
    <row r="2082" spans="1:11" x14ac:dyDescent="0.45">
      <c r="A2082" t="s">
        <v>85</v>
      </c>
      <c r="B2082" t="s">
        <v>2</v>
      </c>
      <c r="C2082" t="s">
        <v>83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375.91070000000002</v>
      </c>
      <c r="K2082" t="s">
        <v>48</v>
      </c>
    </row>
    <row r="2083" spans="1:11" x14ac:dyDescent="0.45">
      <c r="A2083" t="s">
        <v>85</v>
      </c>
      <c r="B2083" t="s">
        <v>2</v>
      </c>
      <c r="C2083" t="s">
        <v>83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396.00479999999999</v>
      </c>
      <c r="K2083" t="s">
        <v>48</v>
      </c>
    </row>
    <row r="2084" spans="1:11" x14ac:dyDescent="0.45">
      <c r="A2084" t="s">
        <v>85</v>
      </c>
      <c r="B2084" t="s">
        <v>2</v>
      </c>
      <c r="C2084" t="s">
        <v>83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386.9742</v>
      </c>
      <c r="K2084" t="s">
        <v>48</v>
      </c>
    </row>
    <row r="2085" spans="1:11" x14ac:dyDescent="0.45">
      <c r="A2085" t="s">
        <v>85</v>
      </c>
      <c r="B2085" t="s">
        <v>2</v>
      </c>
      <c r="C2085" t="s">
        <v>83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362.28489999999999</v>
      </c>
      <c r="K2085" t="s">
        <v>48</v>
      </c>
    </row>
    <row r="2086" spans="1:11" x14ac:dyDescent="0.45">
      <c r="A2086" t="s">
        <v>85</v>
      </c>
      <c r="B2086" t="s">
        <v>2</v>
      </c>
      <c r="C2086" t="s">
        <v>83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321.04509999999999</v>
      </c>
      <c r="K2086" t="s">
        <v>48</v>
      </c>
    </row>
    <row r="2087" spans="1:11" x14ac:dyDescent="0.45">
      <c r="A2087" t="s">
        <v>85</v>
      </c>
      <c r="B2087" t="s">
        <v>2</v>
      </c>
      <c r="C2087" t="s">
        <v>83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268.52</v>
      </c>
      <c r="K2087" t="s">
        <v>48</v>
      </c>
    </row>
    <row r="2088" spans="1:11" x14ac:dyDescent="0.45">
      <c r="A2088" t="s">
        <v>85</v>
      </c>
      <c r="B2088" t="s">
        <v>2</v>
      </c>
      <c r="C2088" t="s">
        <v>83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230.59119999999999</v>
      </c>
      <c r="K2088" t="s">
        <v>48</v>
      </c>
    </row>
    <row r="2089" spans="1:11" x14ac:dyDescent="0.45">
      <c r="A2089" t="s">
        <v>85</v>
      </c>
      <c r="B2089" t="s">
        <v>2</v>
      </c>
      <c r="C2089" t="s">
        <v>83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206.64500000000001</v>
      </c>
      <c r="K2089" t="s">
        <v>48</v>
      </c>
    </row>
    <row r="2090" spans="1:11" x14ac:dyDescent="0.45">
      <c r="A2090" t="s">
        <v>85</v>
      </c>
      <c r="B2090" t="s">
        <v>2</v>
      </c>
      <c r="C2090" t="s">
        <v>83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185.40039999999999</v>
      </c>
      <c r="K2090" t="s">
        <v>48</v>
      </c>
    </row>
    <row r="2091" spans="1:11" x14ac:dyDescent="0.45">
      <c r="A2091" t="s">
        <v>85</v>
      </c>
      <c r="B2091" t="s">
        <v>2</v>
      </c>
      <c r="C2091" t="s">
        <v>83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172.48509999999999</v>
      </c>
      <c r="K2091" t="s">
        <v>48</v>
      </c>
    </row>
    <row r="2092" spans="1:11" x14ac:dyDescent="0.45">
      <c r="A2092" t="s">
        <v>85</v>
      </c>
      <c r="B2092" t="s">
        <v>2</v>
      </c>
      <c r="C2092" t="s">
        <v>83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157.3605</v>
      </c>
      <c r="K2092" t="s">
        <v>48</v>
      </c>
    </row>
    <row r="2093" spans="1:11" x14ac:dyDescent="0.45">
      <c r="A2093" t="s">
        <v>85</v>
      </c>
      <c r="B2093" t="s">
        <v>2</v>
      </c>
      <c r="C2093" t="s">
        <v>83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148.90770000000001</v>
      </c>
      <c r="K2093" t="s">
        <v>48</v>
      </c>
    </row>
    <row r="2094" spans="1:11" x14ac:dyDescent="0.45">
      <c r="A2094" t="s">
        <v>85</v>
      </c>
      <c r="B2094" t="s">
        <v>2</v>
      </c>
      <c r="C2094" t="s">
        <v>83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139.9898</v>
      </c>
      <c r="K2094" t="s">
        <v>48</v>
      </c>
    </row>
    <row r="2095" spans="1:11" x14ac:dyDescent="0.45">
      <c r="A2095" t="s">
        <v>85</v>
      </c>
      <c r="B2095" t="s">
        <v>2</v>
      </c>
      <c r="C2095" t="s">
        <v>83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136.10220000000001</v>
      </c>
      <c r="K2095" t="s">
        <v>48</v>
      </c>
    </row>
    <row r="2096" spans="1:11" x14ac:dyDescent="0.45">
      <c r="A2096" t="s">
        <v>85</v>
      </c>
      <c r="B2096" t="s">
        <v>2</v>
      </c>
      <c r="C2096" t="s">
        <v>83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133.70570000000001</v>
      </c>
      <c r="K2096" t="s">
        <v>48</v>
      </c>
    </row>
    <row r="2097" spans="1:11" x14ac:dyDescent="0.45">
      <c r="A2097" t="s">
        <v>85</v>
      </c>
      <c r="B2097" t="s">
        <v>2</v>
      </c>
      <c r="C2097" t="s">
        <v>83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123.8399</v>
      </c>
      <c r="K2097" t="s">
        <v>48</v>
      </c>
    </row>
    <row r="2098" spans="1:11" x14ac:dyDescent="0.45">
      <c r="A2098" t="s">
        <v>85</v>
      </c>
      <c r="B2098" t="s">
        <v>2</v>
      </c>
      <c r="C2098" t="s">
        <v>83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114.3524</v>
      </c>
      <c r="K2098" t="s">
        <v>48</v>
      </c>
    </row>
    <row r="2099" spans="1:11" x14ac:dyDescent="0.45">
      <c r="A2099" t="s">
        <v>85</v>
      </c>
      <c r="B2099" t="s">
        <v>2</v>
      </c>
      <c r="C2099" t="s">
        <v>83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334.15589999999997</v>
      </c>
      <c r="K2099" t="s">
        <v>51</v>
      </c>
    </row>
    <row r="2100" spans="1:11" x14ac:dyDescent="0.45">
      <c r="A2100" t="s">
        <v>85</v>
      </c>
      <c r="B2100" t="s">
        <v>2</v>
      </c>
      <c r="C2100" t="s">
        <v>83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336.33640000000003</v>
      </c>
      <c r="K2100" t="s">
        <v>51</v>
      </c>
    </row>
    <row r="2101" spans="1:11" x14ac:dyDescent="0.45">
      <c r="A2101" t="s">
        <v>85</v>
      </c>
      <c r="B2101" t="s">
        <v>2</v>
      </c>
      <c r="C2101" t="s">
        <v>83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324.12479999999999</v>
      </c>
      <c r="K2101" t="s">
        <v>51</v>
      </c>
    </row>
    <row r="2102" spans="1:11" x14ac:dyDescent="0.45">
      <c r="A2102" t="s">
        <v>85</v>
      </c>
      <c r="B2102" t="s">
        <v>2</v>
      </c>
      <c r="C2102" t="s">
        <v>83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295.08550000000002</v>
      </c>
      <c r="K2102" t="s">
        <v>51</v>
      </c>
    </row>
    <row r="2103" spans="1:11" x14ac:dyDescent="0.45">
      <c r="A2103" t="s">
        <v>85</v>
      </c>
      <c r="B2103" t="s">
        <v>2</v>
      </c>
      <c r="C2103" t="s">
        <v>83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251.77789999999999</v>
      </c>
      <c r="K2103" t="s">
        <v>51</v>
      </c>
    </row>
    <row r="2104" spans="1:11" x14ac:dyDescent="0.45">
      <c r="A2104" t="s">
        <v>85</v>
      </c>
      <c r="B2104" t="s">
        <v>2</v>
      </c>
      <c r="C2104" t="s">
        <v>83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196.5112</v>
      </c>
      <c r="K2104" t="s">
        <v>51</v>
      </c>
    </row>
    <row r="2105" spans="1:11" x14ac:dyDescent="0.45">
      <c r="A2105" t="s">
        <v>85</v>
      </c>
      <c r="B2105" t="s">
        <v>2</v>
      </c>
      <c r="C2105" t="s">
        <v>83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158.39599999999999</v>
      </c>
      <c r="K2105" t="s">
        <v>51</v>
      </c>
    </row>
    <row r="2106" spans="1:11" x14ac:dyDescent="0.45">
      <c r="A2106" t="s">
        <v>85</v>
      </c>
      <c r="B2106" t="s">
        <v>2</v>
      </c>
      <c r="C2106" t="s">
        <v>83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134.55109999999999</v>
      </c>
      <c r="K2106" t="s">
        <v>51</v>
      </c>
    </row>
    <row r="2107" spans="1:11" x14ac:dyDescent="0.45">
      <c r="A2107" t="s">
        <v>85</v>
      </c>
      <c r="B2107" t="s">
        <v>2</v>
      </c>
      <c r="C2107" t="s">
        <v>83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114.0262</v>
      </c>
      <c r="K2107" t="s">
        <v>51</v>
      </c>
    </row>
    <row r="2108" spans="1:11" x14ac:dyDescent="0.45">
      <c r="A2108" t="s">
        <v>85</v>
      </c>
      <c r="B2108" t="s">
        <v>2</v>
      </c>
      <c r="C2108" t="s">
        <v>83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100.2058</v>
      </c>
      <c r="K2108" t="s">
        <v>51</v>
      </c>
    </row>
    <row r="2109" spans="1:11" x14ac:dyDescent="0.45">
      <c r="A2109" t="s">
        <v>85</v>
      </c>
      <c r="B2109" t="s">
        <v>2</v>
      </c>
      <c r="C2109" t="s">
        <v>83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84.287300000000002</v>
      </c>
      <c r="K2109" t="s">
        <v>51</v>
      </c>
    </row>
    <row r="2110" spans="1:11" x14ac:dyDescent="0.45">
      <c r="A2110" t="s">
        <v>85</v>
      </c>
      <c r="B2110" t="s">
        <v>2</v>
      </c>
      <c r="C2110" t="s">
        <v>83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76.367800000000003</v>
      </c>
      <c r="K2110" t="s">
        <v>51</v>
      </c>
    </row>
    <row r="2111" spans="1:11" x14ac:dyDescent="0.45">
      <c r="A2111" t="s">
        <v>85</v>
      </c>
      <c r="B2111" t="s">
        <v>2</v>
      </c>
      <c r="C2111" t="s">
        <v>83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67.996399999999994</v>
      </c>
      <c r="K2111" t="s">
        <v>51</v>
      </c>
    </row>
    <row r="2112" spans="1:11" x14ac:dyDescent="0.45">
      <c r="A2112" t="s">
        <v>85</v>
      </c>
      <c r="B2112" t="s">
        <v>2</v>
      </c>
      <c r="C2112" t="s">
        <v>83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57.9968</v>
      </c>
      <c r="K2112" t="s">
        <v>51</v>
      </c>
    </row>
    <row r="2113" spans="1:11" x14ac:dyDescent="0.45">
      <c r="A2113" t="s">
        <v>85</v>
      </c>
      <c r="B2113" t="s">
        <v>2</v>
      </c>
      <c r="C2113" t="s">
        <v>83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49.484499999999997</v>
      </c>
      <c r="K2113" t="s">
        <v>51</v>
      </c>
    </row>
    <row r="2114" spans="1:11" x14ac:dyDescent="0.45">
      <c r="A2114" t="s">
        <v>85</v>
      </c>
      <c r="B2114" t="s">
        <v>2</v>
      </c>
      <c r="C2114" t="s">
        <v>83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44.7303</v>
      </c>
      <c r="K2114" t="s">
        <v>51</v>
      </c>
    </row>
    <row r="2115" spans="1:11" x14ac:dyDescent="0.45">
      <c r="A2115" t="s">
        <v>85</v>
      </c>
      <c r="B2115" t="s">
        <v>2</v>
      </c>
      <c r="C2115" t="s">
        <v>83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40.332799999999999</v>
      </c>
      <c r="K2115" t="s">
        <v>51</v>
      </c>
    </row>
    <row r="2116" spans="1:11" x14ac:dyDescent="0.45">
      <c r="A2116" t="s">
        <v>85</v>
      </c>
      <c r="B2116" t="s">
        <v>1</v>
      </c>
      <c r="C2116" t="s">
        <v>83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85</v>
      </c>
      <c r="B2117" t="s">
        <v>1</v>
      </c>
      <c r="C2117" t="s">
        <v>83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85</v>
      </c>
      <c r="B2118" t="s">
        <v>1</v>
      </c>
      <c r="C2118" t="s">
        <v>83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2.0924</v>
      </c>
      <c r="K2118" t="s">
        <v>45</v>
      </c>
    </row>
    <row r="2119" spans="1:11" x14ac:dyDescent="0.45">
      <c r="A2119" t="s">
        <v>85</v>
      </c>
      <c r="B2119" t="s">
        <v>1</v>
      </c>
      <c r="C2119" t="s">
        <v>83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9.6064000000000007</v>
      </c>
      <c r="K2119" t="s">
        <v>45</v>
      </c>
    </row>
    <row r="2120" spans="1:11" x14ac:dyDescent="0.45">
      <c r="A2120" t="s">
        <v>85</v>
      </c>
      <c r="B2120" t="s">
        <v>1</v>
      </c>
      <c r="C2120" t="s">
        <v>83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8.4263999999999992</v>
      </c>
      <c r="K2120" t="s">
        <v>45</v>
      </c>
    </row>
    <row r="2121" spans="1:11" x14ac:dyDescent="0.45">
      <c r="A2121" t="s">
        <v>85</v>
      </c>
      <c r="B2121" t="s">
        <v>1</v>
      </c>
      <c r="C2121" t="s">
        <v>83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8.0406999999999993</v>
      </c>
      <c r="K2121" t="s">
        <v>45</v>
      </c>
    </row>
    <row r="2122" spans="1:11" x14ac:dyDescent="0.45">
      <c r="A2122" t="s">
        <v>85</v>
      </c>
      <c r="B2122" t="s">
        <v>1</v>
      </c>
      <c r="C2122" t="s">
        <v>83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9.5016999999999996</v>
      </c>
      <c r="K2122" t="s">
        <v>45</v>
      </c>
    </row>
    <row r="2123" spans="1:11" x14ac:dyDescent="0.45">
      <c r="A2123" t="s">
        <v>85</v>
      </c>
      <c r="B2123" t="s">
        <v>1</v>
      </c>
      <c r="C2123" t="s">
        <v>83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11.8697</v>
      </c>
      <c r="K2123" t="s">
        <v>45</v>
      </c>
    </row>
    <row r="2124" spans="1:11" x14ac:dyDescent="0.45">
      <c r="A2124" t="s">
        <v>85</v>
      </c>
      <c r="B2124" t="s">
        <v>1</v>
      </c>
      <c r="C2124" t="s">
        <v>83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12.9589</v>
      </c>
      <c r="K2124" t="s">
        <v>45</v>
      </c>
    </row>
    <row r="2125" spans="1:11" x14ac:dyDescent="0.45">
      <c r="A2125" t="s">
        <v>85</v>
      </c>
      <c r="B2125" t="s">
        <v>1</v>
      </c>
      <c r="C2125" t="s">
        <v>83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14.209099999999999</v>
      </c>
      <c r="K2125" t="s">
        <v>45</v>
      </c>
    </row>
    <row r="2126" spans="1:11" x14ac:dyDescent="0.45">
      <c r="A2126" t="s">
        <v>85</v>
      </c>
      <c r="B2126" t="s">
        <v>1</v>
      </c>
      <c r="C2126" t="s">
        <v>83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15.381600000000001</v>
      </c>
      <c r="K2126" t="s">
        <v>45</v>
      </c>
    </row>
    <row r="2127" spans="1:11" x14ac:dyDescent="0.45">
      <c r="A2127" t="s">
        <v>85</v>
      </c>
      <c r="B2127" t="s">
        <v>1</v>
      </c>
      <c r="C2127" t="s">
        <v>83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15.8811</v>
      </c>
      <c r="K2127" t="s">
        <v>45</v>
      </c>
    </row>
    <row r="2128" spans="1:11" x14ac:dyDescent="0.45">
      <c r="A2128" t="s">
        <v>85</v>
      </c>
      <c r="B2128" t="s">
        <v>1</v>
      </c>
      <c r="C2128" t="s">
        <v>83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20.623000000000001</v>
      </c>
      <c r="K2128" t="s">
        <v>45</v>
      </c>
    </row>
    <row r="2129" spans="1:11" x14ac:dyDescent="0.45">
      <c r="A2129" t="s">
        <v>85</v>
      </c>
      <c r="B2129" t="s">
        <v>1</v>
      </c>
      <c r="C2129" t="s">
        <v>83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17.7287</v>
      </c>
      <c r="K2129" t="s">
        <v>45</v>
      </c>
    </row>
    <row r="2130" spans="1:11" x14ac:dyDescent="0.45">
      <c r="A2130" t="s">
        <v>85</v>
      </c>
      <c r="B2130" t="s">
        <v>1</v>
      </c>
      <c r="C2130" t="s">
        <v>83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14.3576</v>
      </c>
      <c r="K2130" t="s">
        <v>45</v>
      </c>
    </row>
    <row r="2131" spans="1:11" x14ac:dyDescent="0.45">
      <c r="A2131" t="s">
        <v>85</v>
      </c>
      <c r="B2131" t="s">
        <v>1</v>
      </c>
      <c r="C2131" t="s">
        <v>83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11.7403</v>
      </c>
      <c r="K2131" t="s">
        <v>45</v>
      </c>
    </row>
    <row r="2132" spans="1:11" x14ac:dyDescent="0.45">
      <c r="A2132" t="s">
        <v>85</v>
      </c>
      <c r="B2132" t="s">
        <v>1</v>
      </c>
      <c r="C2132" t="s">
        <v>83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8.8356999999999992</v>
      </c>
      <c r="K2132" t="s">
        <v>45</v>
      </c>
    </row>
    <row r="2133" spans="1:11" x14ac:dyDescent="0.45">
      <c r="A2133" t="s">
        <v>85</v>
      </c>
      <c r="B2133" t="s">
        <v>1</v>
      </c>
      <c r="C2133" t="s">
        <v>83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0.15290000000000001</v>
      </c>
      <c r="K2133" t="s">
        <v>24</v>
      </c>
    </row>
    <row r="2134" spans="1:11" x14ac:dyDescent="0.45">
      <c r="A2134" t="s">
        <v>85</v>
      </c>
      <c r="B2134" t="s">
        <v>1</v>
      </c>
      <c r="C2134" t="s">
        <v>83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0.1673</v>
      </c>
      <c r="K2134" t="s">
        <v>24</v>
      </c>
    </row>
    <row r="2135" spans="1:11" x14ac:dyDescent="0.45">
      <c r="A2135" t="s">
        <v>85</v>
      </c>
      <c r="B2135" t="s">
        <v>1</v>
      </c>
      <c r="C2135" t="s">
        <v>83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0.28710000000000002</v>
      </c>
      <c r="K2135" t="s">
        <v>24</v>
      </c>
    </row>
    <row r="2136" spans="1:11" x14ac:dyDescent="0.45">
      <c r="A2136" t="s">
        <v>85</v>
      </c>
      <c r="B2136" t="s">
        <v>1</v>
      </c>
      <c r="C2136" t="s">
        <v>83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0.35599999999999998</v>
      </c>
      <c r="K2136" t="s">
        <v>24</v>
      </c>
    </row>
    <row r="2137" spans="1:11" x14ac:dyDescent="0.45">
      <c r="A2137" t="s">
        <v>85</v>
      </c>
      <c r="B2137" t="s">
        <v>1</v>
      </c>
      <c r="C2137" t="s">
        <v>83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0.42059999999999997</v>
      </c>
      <c r="K2137" t="s">
        <v>24</v>
      </c>
    </row>
    <row r="2138" spans="1:11" x14ac:dyDescent="0.45">
      <c r="A2138" t="s">
        <v>85</v>
      </c>
      <c r="B2138" t="s">
        <v>1</v>
      </c>
      <c r="C2138" t="s">
        <v>83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0.48549999999999999</v>
      </c>
      <c r="K2138" t="s">
        <v>24</v>
      </c>
    </row>
    <row r="2139" spans="1:11" x14ac:dyDescent="0.45">
      <c r="A2139" t="s">
        <v>85</v>
      </c>
      <c r="B2139" t="s">
        <v>1</v>
      </c>
      <c r="C2139" t="s">
        <v>83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0.5121</v>
      </c>
      <c r="K2139" t="s">
        <v>24</v>
      </c>
    </row>
    <row r="2140" spans="1:11" x14ac:dyDescent="0.45">
      <c r="A2140" t="s">
        <v>85</v>
      </c>
      <c r="B2140" t="s">
        <v>1</v>
      </c>
      <c r="C2140" t="s">
        <v>83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0.52329999999999999</v>
      </c>
      <c r="K2140" t="s">
        <v>24</v>
      </c>
    </row>
    <row r="2141" spans="1:11" x14ac:dyDescent="0.45">
      <c r="A2141" t="s">
        <v>85</v>
      </c>
      <c r="B2141" t="s">
        <v>1</v>
      </c>
      <c r="C2141" t="s">
        <v>83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0.52990000000000004</v>
      </c>
      <c r="K2141" t="s">
        <v>24</v>
      </c>
    </row>
    <row r="2142" spans="1:11" x14ac:dyDescent="0.45">
      <c r="A2142" t="s">
        <v>85</v>
      </c>
      <c r="B2142" t="s">
        <v>1</v>
      </c>
      <c r="C2142" t="s">
        <v>83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0.52239999999999998</v>
      </c>
      <c r="K2142" t="s">
        <v>24</v>
      </c>
    </row>
    <row r="2143" spans="1:11" x14ac:dyDescent="0.45">
      <c r="A2143" t="s">
        <v>85</v>
      </c>
      <c r="B2143" t="s">
        <v>1</v>
      </c>
      <c r="C2143" t="s">
        <v>83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0.51619999999999999</v>
      </c>
      <c r="K2143" t="s">
        <v>24</v>
      </c>
    </row>
    <row r="2144" spans="1:11" x14ac:dyDescent="0.45">
      <c r="A2144" t="s">
        <v>85</v>
      </c>
      <c r="B2144" t="s">
        <v>1</v>
      </c>
      <c r="C2144" t="s">
        <v>83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0.49740000000000001</v>
      </c>
      <c r="K2144" t="s">
        <v>24</v>
      </c>
    </row>
    <row r="2145" spans="1:11" x14ac:dyDescent="0.45">
      <c r="A2145" t="s">
        <v>85</v>
      </c>
      <c r="B2145" t="s">
        <v>1</v>
      </c>
      <c r="C2145" t="s">
        <v>83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0.47949999999999998</v>
      </c>
      <c r="K2145" t="s">
        <v>24</v>
      </c>
    </row>
    <row r="2146" spans="1:11" x14ac:dyDescent="0.45">
      <c r="A2146" t="s">
        <v>85</v>
      </c>
      <c r="B2146" t="s">
        <v>1</v>
      </c>
      <c r="C2146" t="s">
        <v>83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0.4471</v>
      </c>
      <c r="K2146" t="s">
        <v>24</v>
      </c>
    </row>
    <row r="2147" spans="1:11" x14ac:dyDescent="0.45">
      <c r="A2147" t="s">
        <v>85</v>
      </c>
      <c r="B2147" t="s">
        <v>1</v>
      </c>
      <c r="C2147" t="s">
        <v>83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0.4209</v>
      </c>
      <c r="K2147" t="s">
        <v>24</v>
      </c>
    </row>
    <row r="2148" spans="1:11" x14ac:dyDescent="0.45">
      <c r="A2148" t="s">
        <v>85</v>
      </c>
      <c r="B2148" t="s">
        <v>1</v>
      </c>
      <c r="C2148" t="s">
        <v>83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0.40300000000000002</v>
      </c>
      <c r="K2148" t="s">
        <v>24</v>
      </c>
    </row>
    <row r="2149" spans="1:11" x14ac:dyDescent="0.45">
      <c r="A2149" t="s">
        <v>85</v>
      </c>
      <c r="B2149" t="s">
        <v>1</v>
      </c>
      <c r="C2149" t="s">
        <v>83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0.38679999999999998</v>
      </c>
      <c r="K2149" t="s">
        <v>24</v>
      </c>
    </row>
    <row r="2150" spans="1:11" x14ac:dyDescent="0.45">
      <c r="A2150" t="s">
        <v>85</v>
      </c>
      <c r="B2150" t="s">
        <v>1</v>
      </c>
      <c r="C2150" t="s">
        <v>83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9.2600000000000002E-2</v>
      </c>
      <c r="K2150" t="s">
        <v>28</v>
      </c>
    </row>
    <row r="2151" spans="1:11" x14ac:dyDescent="0.45">
      <c r="A2151" t="s">
        <v>85</v>
      </c>
      <c r="B2151" t="s">
        <v>1</v>
      </c>
      <c r="C2151" t="s">
        <v>83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0.1111</v>
      </c>
      <c r="K2151" t="s">
        <v>28</v>
      </c>
    </row>
    <row r="2152" spans="1:11" x14ac:dyDescent="0.45">
      <c r="A2152" t="s">
        <v>85</v>
      </c>
      <c r="B2152" t="s">
        <v>1</v>
      </c>
      <c r="C2152" t="s">
        <v>83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0.1588</v>
      </c>
      <c r="K2152" t="s">
        <v>28</v>
      </c>
    </row>
    <row r="2153" spans="1:11" x14ac:dyDescent="0.45">
      <c r="A2153" t="s">
        <v>85</v>
      </c>
      <c r="B2153" t="s">
        <v>1</v>
      </c>
      <c r="C2153" t="s">
        <v>83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0.19339999999999999</v>
      </c>
      <c r="K2153" t="s">
        <v>28</v>
      </c>
    </row>
    <row r="2154" spans="1:11" x14ac:dyDescent="0.45">
      <c r="A2154" t="s">
        <v>85</v>
      </c>
      <c r="B2154" t="s">
        <v>1</v>
      </c>
      <c r="C2154" t="s">
        <v>83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0.24829999999999999</v>
      </c>
      <c r="K2154" t="s">
        <v>28</v>
      </c>
    </row>
    <row r="2155" spans="1:11" x14ac:dyDescent="0.45">
      <c r="A2155" t="s">
        <v>85</v>
      </c>
      <c r="B2155" t="s">
        <v>1</v>
      </c>
      <c r="C2155" t="s">
        <v>83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0.27060000000000001</v>
      </c>
      <c r="K2155" t="s">
        <v>28</v>
      </c>
    </row>
    <row r="2156" spans="1:11" x14ac:dyDescent="0.45">
      <c r="A2156" t="s">
        <v>85</v>
      </c>
      <c r="B2156" t="s">
        <v>1</v>
      </c>
      <c r="C2156" t="s">
        <v>83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0.29060000000000002</v>
      </c>
      <c r="K2156" t="s">
        <v>28</v>
      </c>
    </row>
    <row r="2157" spans="1:11" x14ac:dyDescent="0.45">
      <c r="A2157" t="s">
        <v>85</v>
      </c>
      <c r="B2157" t="s">
        <v>1</v>
      </c>
      <c r="C2157" t="s">
        <v>83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0.28610000000000002</v>
      </c>
      <c r="K2157" t="s">
        <v>28</v>
      </c>
    </row>
    <row r="2158" spans="1:11" x14ac:dyDescent="0.45">
      <c r="A2158" t="s">
        <v>85</v>
      </c>
      <c r="B2158" t="s">
        <v>1</v>
      </c>
      <c r="C2158" t="s">
        <v>83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0.30940000000000001</v>
      </c>
      <c r="K2158" t="s">
        <v>28</v>
      </c>
    </row>
    <row r="2159" spans="1:11" x14ac:dyDescent="0.45">
      <c r="A2159" t="s">
        <v>85</v>
      </c>
      <c r="B2159" t="s">
        <v>1</v>
      </c>
      <c r="C2159" t="s">
        <v>83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0.31619999999999998</v>
      </c>
      <c r="K2159" t="s">
        <v>28</v>
      </c>
    </row>
    <row r="2160" spans="1:11" x14ac:dyDescent="0.45">
      <c r="A2160" t="s">
        <v>85</v>
      </c>
      <c r="B2160" t="s">
        <v>1</v>
      </c>
      <c r="C2160" t="s">
        <v>83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0.32350000000000001</v>
      </c>
      <c r="K2160" t="s">
        <v>28</v>
      </c>
    </row>
    <row r="2161" spans="1:11" x14ac:dyDescent="0.45">
      <c r="A2161" t="s">
        <v>85</v>
      </c>
      <c r="B2161" t="s">
        <v>1</v>
      </c>
      <c r="C2161" t="s">
        <v>83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0.33579999999999999</v>
      </c>
      <c r="K2161" t="s">
        <v>28</v>
      </c>
    </row>
    <row r="2162" spans="1:11" x14ac:dyDescent="0.45">
      <c r="A2162" t="s">
        <v>85</v>
      </c>
      <c r="B2162" t="s">
        <v>1</v>
      </c>
      <c r="C2162" t="s">
        <v>83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0.34810000000000002</v>
      </c>
      <c r="K2162" t="s">
        <v>28</v>
      </c>
    </row>
    <row r="2163" spans="1:11" x14ac:dyDescent="0.45">
      <c r="A2163" t="s">
        <v>85</v>
      </c>
      <c r="B2163" t="s">
        <v>1</v>
      </c>
      <c r="C2163" t="s">
        <v>83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0.34660000000000002</v>
      </c>
      <c r="K2163" t="s">
        <v>28</v>
      </c>
    </row>
    <row r="2164" spans="1:11" x14ac:dyDescent="0.45">
      <c r="A2164" t="s">
        <v>85</v>
      </c>
      <c r="B2164" t="s">
        <v>1</v>
      </c>
      <c r="C2164" t="s">
        <v>83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0.3488</v>
      </c>
      <c r="K2164" t="s">
        <v>28</v>
      </c>
    </row>
    <row r="2165" spans="1:11" x14ac:dyDescent="0.45">
      <c r="A2165" t="s">
        <v>85</v>
      </c>
      <c r="B2165" t="s">
        <v>1</v>
      </c>
      <c r="C2165" t="s">
        <v>83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0.35449999999999998</v>
      </c>
      <c r="K2165" t="s">
        <v>28</v>
      </c>
    </row>
    <row r="2166" spans="1:11" x14ac:dyDescent="0.45">
      <c r="A2166" t="s">
        <v>85</v>
      </c>
      <c r="B2166" t="s">
        <v>1</v>
      </c>
      <c r="C2166" t="s">
        <v>83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0.36230000000000001</v>
      </c>
      <c r="K2166" t="s">
        <v>28</v>
      </c>
    </row>
    <row r="2167" spans="1:11" x14ac:dyDescent="0.45">
      <c r="A2167" t="s">
        <v>85</v>
      </c>
      <c r="B2167" t="s">
        <v>1</v>
      </c>
      <c r="C2167" t="s">
        <v>83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1.0699999999999999E-2</v>
      </c>
      <c r="K2167" t="s">
        <v>27</v>
      </c>
    </row>
    <row r="2168" spans="1:11" x14ac:dyDescent="0.45">
      <c r="A2168" t="s">
        <v>85</v>
      </c>
      <c r="B2168" t="s">
        <v>1</v>
      </c>
      <c r="C2168" t="s">
        <v>83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1.84E-2</v>
      </c>
      <c r="K2168" t="s">
        <v>27</v>
      </c>
    </row>
    <row r="2169" spans="1:11" x14ac:dyDescent="0.45">
      <c r="A2169" t="s">
        <v>85</v>
      </c>
      <c r="B2169" t="s">
        <v>1</v>
      </c>
      <c r="C2169" t="s">
        <v>83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4.4699999999999997E-2</v>
      </c>
      <c r="K2169" t="s">
        <v>27</v>
      </c>
    </row>
    <row r="2170" spans="1:11" x14ac:dyDescent="0.45">
      <c r="A2170" t="s">
        <v>85</v>
      </c>
      <c r="B2170" t="s">
        <v>1</v>
      </c>
      <c r="C2170" t="s">
        <v>83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8.4199999999999997E-2</v>
      </c>
      <c r="K2170" t="s">
        <v>27</v>
      </c>
    </row>
    <row r="2171" spans="1:11" x14ac:dyDescent="0.45">
      <c r="A2171" t="s">
        <v>85</v>
      </c>
      <c r="B2171" t="s">
        <v>1</v>
      </c>
      <c r="C2171" t="s">
        <v>83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0.1215</v>
      </c>
      <c r="K2171" t="s">
        <v>27</v>
      </c>
    </row>
    <row r="2172" spans="1:11" x14ac:dyDescent="0.45">
      <c r="A2172" t="s">
        <v>85</v>
      </c>
      <c r="B2172" t="s">
        <v>1</v>
      </c>
      <c r="C2172" t="s">
        <v>83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0.13120000000000001</v>
      </c>
      <c r="K2172" t="s">
        <v>27</v>
      </c>
    </row>
    <row r="2173" spans="1:11" x14ac:dyDescent="0.45">
      <c r="A2173" t="s">
        <v>85</v>
      </c>
      <c r="B2173" t="s">
        <v>1</v>
      </c>
      <c r="C2173" t="s">
        <v>83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0.1356</v>
      </c>
      <c r="K2173" t="s">
        <v>27</v>
      </c>
    </row>
    <row r="2174" spans="1:11" x14ac:dyDescent="0.45">
      <c r="A2174" t="s">
        <v>85</v>
      </c>
      <c r="B2174" t="s">
        <v>1</v>
      </c>
      <c r="C2174" t="s">
        <v>83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0.13450000000000001</v>
      </c>
      <c r="K2174" t="s">
        <v>27</v>
      </c>
    </row>
    <row r="2175" spans="1:11" x14ac:dyDescent="0.45">
      <c r="A2175" t="s">
        <v>85</v>
      </c>
      <c r="B2175" t="s">
        <v>1</v>
      </c>
      <c r="C2175" t="s">
        <v>83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0.13289999999999999</v>
      </c>
      <c r="K2175" t="s">
        <v>27</v>
      </c>
    </row>
    <row r="2176" spans="1:11" x14ac:dyDescent="0.45">
      <c r="A2176" t="s">
        <v>85</v>
      </c>
      <c r="B2176" t="s">
        <v>1</v>
      </c>
      <c r="C2176" t="s">
        <v>83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0.12989999999999999</v>
      </c>
      <c r="K2176" t="s">
        <v>27</v>
      </c>
    </row>
    <row r="2177" spans="1:11" x14ac:dyDescent="0.45">
      <c r="A2177" t="s">
        <v>85</v>
      </c>
      <c r="B2177" t="s">
        <v>1</v>
      </c>
      <c r="C2177" t="s">
        <v>83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0.1275</v>
      </c>
      <c r="K2177" t="s">
        <v>27</v>
      </c>
    </row>
    <row r="2178" spans="1:11" x14ac:dyDescent="0.45">
      <c r="A2178" t="s">
        <v>85</v>
      </c>
      <c r="B2178" t="s">
        <v>1</v>
      </c>
      <c r="C2178" t="s">
        <v>83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0.1245</v>
      </c>
      <c r="K2178" t="s">
        <v>27</v>
      </c>
    </row>
    <row r="2179" spans="1:11" x14ac:dyDescent="0.45">
      <c r="A2179" t="s">
        <v>85</v>
      </c>
      <c r="B2179" t="s">
        <v>1</v>
      </c>
      <c r="C2179" t="s">
        <v>83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0.12239999999999999</v>
      </c>
      <c r="K2179" t="s">
        <v>27</v>
      </c>
    </row>
    <row r="2180" spans="1:11" x14ac:dyDescent="0.45">
      <c r="A2180" t="s">
        <v>85</v>
      </c>
      <c r="B2180" t="s">
        <v>1</v>
      </c>
      <c r="C2180" t="s">
        <v>83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0.1187</v>
      </c>
      <c r="K2180" t="s">
        <v>27</v>
      </c>
    </row>
    <row r="2181" spans="1:11" x14ac:dyDescent="0.45">
      <c r="A2181" t="s">
        <v>85</v>
      </c>
      <c r="B2181" t="s">
        <v>1</v>
      </c>
      <c r="C2181" t="s">
        <v>83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0.11700000000000001</v>
      </c>
      <c r="K2181" t="s">
        <v>27</v>
      </c>
    </row>
    <row r="2182" spans="1:11" x14ac:dyDescent="0.45">
      <c r="A2182" t="s">
        <v>85</v>
      </c>
      <c r="B2182" t="s">
        <v>1</v>
      </c>
      <c r="C2182" t="s">
        <v>83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0.1171</v>
      </c>
      <c r="K2182" t="s">
        <v>27</v>
      </c>
    </row>
    <row r="2183" spans="1:11" x14ac:dyDescent="0.45">
      <c r="A2183" t="s">
        <v>85</v>
      </c>
      <c r="B2183" t="s">
        <v>1</v>
      </c>
      <c r="C2183" t="s">
        <v>83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0.11799999999999999</v>
      </c>
      <c r="K2183" t="s">
        <v>27</v>
      </c>
    </row>
    <row r="2184" spans="1:11" x14ac:dyDescent="0.45">
      <c r="A2184" t="s">
        <v>85</v>
      </c>
      <c r="B2184" t="s">
        <v>1</v>
      </c>
      <c r="C2184" t="s">
        <v>83</v>
      </c>
      <c r="D2184" t="s">
        <v>84</v>
      </c>
      <c r="E2184" t="s">
        <v>25</v>
      </c>
      <c r="F2184" t="s">
        <v>84</v>
      </c>
      <c r="G2184" t="s">
        <v>26</v>
      </c>
      <c r="H2184" t="s">
        <v>81</v>
      </c>
      <c r="I2184">
        <v>2020</v>
      </c>
      <c r="J2184">
        <v>4.7999999999999996E-3</v>
      </c>
      <c r="K2184" t="s">
        <v>84</v>
      </c>
    </row>
    <row r="2185" spans="1:11" x14ac:dyDescent="0.45">
      <c r="A2185" t="s">
        <v>85</v>
      </c>
      <c r="B2185" t="s">
        <v>1</v>
      </c>
      <c r="C2185" t="s">
        <v>83</v>
      </c>
      <c r="D2185" t="s">
        <v>84</v>
      </c>
      <c r="E2185" t="s">
        <v>25</v>
      </c>
      <c r="F2185" t="s">
        <v>84</v>
      </c>
      <c r="G2185" t="s">
        <v>26</v>
      </c>
      <c r="H2185" t="s">
        <v>81</v>
      </c>
      <c r="I2185">
        <v>2025</v>
      </c>
      <c r="J2185">
        <v>2.0299999999999999E-2</v>
      </c>
      <c r="K2185" t="s">
        <v>84</v>
      </c>
    </row>
    <row r="2186" spans="1:11" x14ac:dyDescent="0.45">
      <c r="A2186" t="s">
        <v>85</v>
      </c>
      <c r="B2186" t="s">
        <v>1</v>
      </c>
      <c r="C2186" t="s">
        <v>83</v>
      </c>
      <c r="D2186" t="s">
        <v>84</v>
      </c>
      <c r="E2186" t="s">
        <v>25</v>
      </c>
      <c r="F2186" t="s">
        <v>84</v>
      </c>
      <c r="G2186" t="s">
        <v>26</v>
      </c>
      <c r="H2186" t="s">
        <v>81</v>
      </c>
      <c r="I2186">
        <v>2030</v>
      </c>
      <c r="J2186">
        <v>4.8300000000000003E-2</v>
      </c>
      <c r="K2186" t="s">
        <v>84</v>
      </c>
    </row>
    <row r="2187" spans="1:11" x14ac:dyDescent="0.45">
      <c r="A2187" t="s">
        <v>85</v>
      </c>
      <c r="B2187" t="s">
        <v>1</v>
      </c>
      <c r="C2187" t="s">
        <v>83</v>
      </c>
      <c r="D2187" t="s">
        <v>84</v>
      </c>
      <c r="E2187" t="s">
        <v>25</v>
      </c>
      <c r="F2187" t="s">
        <v>84</v>
      </c>
      <c r="G2187" t="s">
        <v>26</v>
      </c>
      <c r="H2187" t="s">
        <v>81</v>
      </c>
      <c r="I2187">
        <v>2035</v>
      </c>
      <c r="J2187">
        <v>4.36E-2</v>
      </c>
      <c r="K2187" t="s">
        <v>84</v>
      </c>
    </row>
    <row r="2188" spans="1:11" x14ac:dyDescent="0.45">
      <c r="A2188" t="s">
        <v>85</v>
      </c>
      <c r="B2188" t="s">
        <v>1</v>
      </c>
      <c r="C2188" t="s">
        <v>83</v>
      </c>
      <c r="D2188" t="s">
        <v>84</v>
      </c>
      <c r="E2188" t="s">
        <v>25</v>
      </c>
      <c r="F2188" t="s">
        <v>84</v>
      </c>
      <c r="G2188" t="s">
        <v>26</v>
      </c>
      <c r="H2188" t="s">
        <v>81</v>
      </c>
      <c r="I2188">
        <v>2040</v>
      </c>
      <c r="J2188">
        <v>4.24E-2</v>
      </c>
      <c r="K2188" t="s">
        <v>84</v>
      </c>
    </row>
    <row r="2189" spans="1:11" x14ac:dyDescent="0.45">
      <c r="A2189" t="s">
        <v>85</v>
      </c>
      <c r="B2189" t="s">
        <v>1</v>
      </c>
      <c r="C2189" t="s">
        <v>83</v>
      </c>
      <c r="D2189" t="s">
        <v>84</v>
      </c>
      <c r="E2189" t="s">
        <v>25</v>
      </c>
      <c r="F2189" t="s">
        <v>84</v>
      </c>
      <c r="G2189" t="s">
        <v>26</v>
      </c>
      <c r="H2189" t="s">
        <v>81</v>
      </c>
      <c r="I2189">
        <v>2045</v>
      </c>
      <c r="J2189">
        <v>4.0500000000000001E-2</v>
      </c>
      <c r="K2189" t="s">
        <v>84</v>
      </c>
    </row>
    <row r="2190" spans="1:11" x14ac:dyDescent="0.45">
      <c r="A2190" t="s">
        <v>85</v>
      </c>
      <c r="B2190" t="s">
        <v>1</v>
      </c>
      <c r="C2190" t="s">
        <v>83</v>
      </c>
      <c r="D2190" t="s">
        <v>84</v>
      </c>
      <c r="E2190" t="s">
        <v>25</v>
      </c>
      <c r="F2190" t="s">
        <v>84</v>
      </c>
      <c r="G2190" t="s">
        <v>26</v>
      </c>
      <c r="H2190" t="s">
        <v>81</v>
      </c>
      <c r="I2190">
        <v>2050</v>
      </c>
      <c r="J2190">
        <v>4.7600000000000003E-2</v>
      </c>
      <c r="K2190" t="s">
        <v>84</v>
      </c>
    </row>
    <row r="2191" spans="1:11" x14ac:dyDescent="0.45">
      <c r="A2191" t="s">
        <v>85</v>
      </c>
      <c r="B2191" t="s">
        <v>1</v>
      </c>
      <c r="C2191" t="s">
        <v>83</v>
      </c>
      <c r="D2191" t="s">
        <v>84</v>
      </c>
      <c r="E2191" t="s">
        <v>25</v>
      </c>
      <c r="F2191" t="s">
        <v>84</v>
      </c>
      <c r="G2191" t="s">
        <v>26</v>
      </c>
      <c r="H2191" t="s">
        <v>81</v>
      </c>
      <c r="I2191">
        <v>2055</v>
      </c>
      <c r="J2191">
        <v>5.6800000000000003E-2</v>
      </c>
      <c r="K2191" t="s">
        <v>84</v>
      </c>
    </row>
    <row r="2192" spans="1:11" x14ac:dyDescent="0.45">
      <c r="A2192" t="s">
        <v>85</v>
      </c>
      <c r="B2192" t="s">
        <v>1</v>
      </c>
      <c r="C2192" t="s">
        <v>83</v>
      </c>
      <c r="D2192" t="s">
        <v>84</v>
      </c>
      <c r="E2192" t="s">
        <v>25</v>
      </c>
      <c r="F2192" t="s">
        <v>84</v>
      </c>
      <c r="G2192" t="s">
        <v>26</v>
      </c>
      <c r="H2192" t="s">
        <v>81</v>
      </c>
      <c r="I2192">
        <v>2060</v>
      </c>
      <c r="J2192">
        <v>6.8500000000000005E-2</v>
      </c>
      <c r="K2192" t="s">
        <v>84</v>
      </c>
    </row>
    <row r="2193" spans="1:12" x14ac:dyDescent="0.45">
      <c r="A2193" t="s">
        <v>85</v>
      </c>
      <c r="B2193" t="s">
        <v>1</v>
      </c>
      <c r="C2193" t="s">
        <v>83</v>
      </c>
      <c r="D2193" t="s">
        <v>84</v>
      </c>
      <c r="E2193" t="s">
        <v>25</v>
      </c>
      <c r="F2193" t="s">
        <v>84</v>
      </c>
      <c r="G2193" t="s">
        <v>26</v>
      </c>
      <c r="H2193" t="s">
        <v>81</v>
      </c>
      <c r="I2193">
        <v>2065</v>
      </c>
      <c r="J2193">
        <v>7.1199999999999999E-2</v>
      </c>
      <c r="K2193" t="s">
        <v>84</v>
      </c>
    </row>
    <row r="2194" spans="1:12" x14ac:dyDescent="0.45">
      <c r="A2194" t="s">
        <v>85</v>
      </c>
      <c r="B2194" t="s">
        <v>1</v>
      </c>
      <c r="C2194" t="s">
        <v>83</v>
      </c>
      <c r="D2194" t="s">
        <v>84</v>
      </c>
      <c r="E2194" t="s">
        <v>25</v>
      </c>
      <c r="F2194" t="s">
        <v>84</v>
      </c>
      <c r="G2194" t="s">
        <v>26</v>
      </c>
      <c r="H2194" t="s">
        <v>81</v>
      </c>
      <c r="I2194">
        <v>2070</v>
      </c>
      <c r="J2194">
        <v>7.2599999999999998E-2</v>
      </c>
      <c r="K2194" t="s">
        <v>84</v>
      </c>
    </row>
    <row r="2195" spans="1:12" x14ac:dyDescent="0.45">
      <c r="A2195" t="s">
        <v>85</v>
      </c>
      <c r="B2195" t="s">
        <v>1</v>
      </c>
      <c r="C2195" t="s">
        <v>83</v>
      </c>
      <c r="D2195" t="s">
        <v>84</v>
      </c>
      <c r="E2195" t="s">
        <v>25</v>
      </c>
      <c r="F2195" t="s">
        <v>84</v>
      </c>
      <c r="G2195" t="s">
        <v>26</v>
      </c>
      <c r="H2195" t="s">
        <v>81</v>
      </c>
      <c r="I2195">
        <v>2075</v>
      </c>
      <c r="J2195">
        <v>8.7599999999999997E-2</v>
      </c>
      <c r="K2195" t="s">
        <v>84</v>
      </c>
    </row>
    <row r="2196" spans="1:12" x14ac:dyDescent="0.45">
      <c r="A2196" t="s">
        <v>85</v>
      </c>
      <c r="B2196" t="s">
        <v>1</v>
      </c>
      <c r="C2196" t="s">
        <v>83</v>
      </c>
      <c r="D2196" t="s">
        <v>84</v>
      </c>
      <c r="E2196" t="s">
        <v>25</v>
      </c>
      <c r="F2196" t="s">
        <v>84</v>
      </c>
      <c r="G2196" t="s">
        <v>26</v>
      </c>
      <c r="H2196" t="s">
        <v>81</v>
      </c>
      <c r="I2196">
        <v>2080</v>
      </c>
      <c r="J2196">
        <v>0.10150000000000001</v>
      </c>
      <c r="K2196" t="s">
        <v>84</v>
      </c>
    </row>
    <row r="2197" spans="1:12" x14ac:dyDescent="0.45">
      <c r="A2197" t="s">
        <v>85</v>
      </c>
      <c r="B2197" t="s">
        <v>1</v>
      </c>
      <c r="C2197" t="s">
        <v>83</v>
      </c>
      <c r="D2197" t="s">
        <v>84</v>
      </c>
      <c r="E2197" t="s">
        <v>25</v>
      </c>
      <c r="F2197" t="s">
        <v>84</v>
      </c>
      <c r="G2197" t="s">
        <v>26</v>
      </c>
      <c r="H2197" t="s">
        <v>81</v>
      </c>
      <c r="I2197">
        <v>2085</v>
      </c>
      <c r="J2197">
        <v>0.1139</v>
      </c>
      <c r="K2197" t="s">
        <v>84</v>
      </c>
    </row>
    <row r="2198" spans="1:12" x14ac:dyDescent="0.45">
      <c r="A2198" t="s">
        <v>85</v>
      </c>
      <c r="B2198" t="s">
        <v>1</v>
      </c>
      <c r="C2198" t="s">
        <v>83</v>
      </c>
      <c r="D2198" t="s">
        <v>84</v>
      </c>
      <c r="E2198" t="s">
        <v>25</v>
      </c>
      <c r="F2198" t="s">
        <v>84</v>
      </c>
      <c r="G2198" t="s">
        <v>26</v>
      </c>
      <c r="H2198" t="s">
        <v>81</v>
      </c>
      <c r="I2198">
        <v>2090</v>
      </c>
      <c r="J2198">
        <v>0.1237</v>
      </c>
      <c r="K2198" t="s">
        <v>84</v>
      </c>
    </row>
    <row r="2199" spans="1:12" x14ac:dyDescent="0.45">
      <c r="A2199" t="s">
        <v>85</v>
      </c>
      <c r="B2199" t="s">
        <v>1</v>
      </c>
      <c r="C2199" t="s">
        <v>83</v>
      </c>
      <c r="D2199" t="s">
        <v>84</v>
      </c>
      <c r="E2199" t="s">
        <v>25</v>
      </c>
      <c r="F2199" t="s">
        <v>84</v>
      </c>
      <c r="G2199" t="s">
        <v>26</v>
      </c>
      <c r="H2199" t="s">
        <v>81</v>
      </c>
      <c r="I2199">
        <v>2095</v>
      </c>
      <c r="J2199">
        <v>0.12130000000000001</v>
      </c>
      <c r="K2199" t="s">
        <v>84</v>
      </c>
    </row>
    <row r="2200" spans="1:12" x14ac:dyDescent="0.45">
      <c r="A2200" t="s">
        <v>85</v>
      </c>
      <c r="B2200" t="s">
        <v>1</v>
      </c>
      <c r="C2200" t="s">
        <v>83</v>
      </c>
      <c r="D2200" t="s">
        <v>84</v>
      </c>
      <c r="E2200" t="s">
        <v>25</v>
      </c>
      <c r="F2200" t="s">
        <v>84</v>
      </c>
      <c r="G2200" t="s">
        <v>26</v>
      </c>
      <c r="H2200" t="s">
        <v>81</v>
      </c>
      <c r="I2200">
        <v>2100</v>
      </c>
      <c r="J2200">
        <v>0.1172</v>
      </c>
      <c r="K2200" t="s">
        <v>84</v>
      </c>
    </row>
    <row r="2201" spans="1:12" x14ac:dyDescent="0.45">
      <c r="A2201" t="s">
        <v>85</v>
      </c>
      <c r="B2201" t="s">
        <v>1</v>
      </c>
      <c r="C2201" t="s">
        <v>83</v>
      </c>
      <c r="D2201" t="s">
        <v>52</v>
      </c>
      <c r="E2201" t="s">
        <v>25</v>
      </c>
      <c r="F2201" t="s">
        <v>52</v>
      </c>
      <c r="G2201" t="s">
        <v>70</v>
      </c>
      <c r="I2201">
        <v>2020</v>
      </c>
      <c r="J2201">
        <v>0.32519999999999999</v>
      </c>
      <c r="K2201" t="s">
        <v>52</v>
      </c>
      <c r="L2201">
        <v>94</v>
      </c>
    </row>
    <row r="2202" spans="1:12" x14ac:dyDescent="0.45">
      <c r="A2202" t="s">
        <v>85</v>
      </c>
      <c r="B2202" t="s">
        <v>1</v>
      </c>
      <c r="C2202" t="s">
        <v>83</v>
      </c>
      <c r="D2202" t="s">
        <v>52</v>
      </c>
      <c r="E2202" t="s">
        <v>25</v>
      </c>
      <c r="F2202" t="s">
        <v>52</v>
      </c>
      <c r="G2202" t="s">
        <v>70</v>
      </c>
      <c r="I2202">
        <v>2025</v>
      </c>
      <c r="J2202">
        <v>0.28789999999999999</v>
      </c>
      <c r="K2202" t="s">
        <v>52</v>
      </c>
      <c r="L2202">
        <v>94</v>
      </c>
    </row>
    <row r="2203" spans="1:12" x14ac:dyDescent="0.45">
      <c r="A2203" t="s">
        <v>85</v>
      </c>
      <c r="B2203" t="s">
        <v>1</v>
      </c>
      <c r="C2203" t="s">
        <v>83</v>
      </c>
      <c r="D2203" t="s">
        <v>52</v>
      </c>
      <c r="E2203" t="s">
        <v>25</v>
      </c>
      <c r="F2203" t="s">
        <v>52</v>
      </c>
      <c r="G2203" t="s">
        <v>70</v>
      </c>
      <c r="I2203">
        <v>2030</v>
      </c>
      <c r="J2203">
        <v>0.2051</v>
      </c>
      <c r="K2203" t="s">
        <v>52</v>
      </c>
      <c r="L2203">
        <v>94</v>
      </c>
    </row>
    <row r="2204" spans="1:12" x14ac:dyDescent="0.45">
      <c r="A2204" t="s">
        <v>85</v>
      </c>
      <c r="B2204" t="s">
        <v>1</v>
      </c>
      <c r="C2204" t="s">
        <v>83</v>
      </c>
      <c r="D2204" t="s">
        <v>52</v>
      </c>
      <c r="E2204" t="s">
        <v>25</v>
      </c>
      <c r="F2204" t="s">
        <v>52</v>
      </c>
      <c r="G2204" t="s">
        <v>70</v>
      </c>
      <c r="I2204">
        <v>2035</v>
      </c>
      <c r="J2204">
        <v>6.3500000000000001E-2</v>
      </c>
      <c r="K2204" t="s">
        <v>52</v>
      </c>
      <c r="L2204">
        <v>94</v>
      </c>
    </row>
    <row r="2205" spans="1:12" x14ac:dyDescent="0.45">
      <c r="A2205" t="s">
        <v>85</v>
      </c>
      <c r="B2205" t="s">
        <v>1</v>
      </c>
      <c r="C2205" t="s">
        <v>83</v>
      </c>
      <c r="D2205" t="s">
        <v>52</v>
      </c>
      <c r="E2205" t="s">
        <v>25</v>
      </c>
      <c r="F2205" t="s">
        <v>52</v>
      </c>
      <c r="G2205" t="s">
        <v>70</v>
      </c>
      <c r="I2205">
        <v>2040</v>
      </c>
      <c r="J2205">
        <v>2.1999999999999999E-2</v>
      </c>
      <c r="K2205" t="s">
        <v>52</v>
      </c>
      <c r="L2205">
        <v>94</v>
      </c>
    </row>
    <row r="2206" spans="1:12" x14ac:dyDescent="0.45">
      <c r="A2206" t="s">
        <v>85</v>
      </c>
      <c r="B2206" t="s">
        <v>1</v>
      </c>
      <c r="C2206" t="s">
        <v>83</v>
      </c>
      <c r="D2206" t="s">
        <v>52</v>
      </c>
      <c r="E2206" t="s">
        <v>25</v>
      </c>
      <c r="F2206" t="s">
        <v>52</v>
      </c>
      <c r="G2206" t="s">
        <v>70</v>
      </c>
      <c r="I2206">
        <v>2045</v>
      </c>
      <c r="J2206">
        <v>1E-4</v>
      </c>
      <c r="K2206" t="s">
        <v>52</v>
      </c>
      <c r="L2206">
        <v>94</v>
      </c>
    </row>
    <row r="2207" spans="1:12" x14ac:dyDescent="0.45">
      <c r="A2207" t="s">
        <v>85</v>
      </c>
      <c r="B2207" t="s">
        <v>1</v>
      </c>
      <c r="C2207" t="s">
        <v>83</v>
      </c>
      <c r="D2207" t="s">
        <v>52</v>
      </c>
      <c r="E2207" t="s">
        <v>25</v>
      </c>
      <c r="F2207" t="s">
        <v>52</v>
      </c>
      <c r="G2207" t="s">
        <v>70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85</v>
      </c>
      <c r="B2208" t="s">
        <v>1</v>
      </c>
      <c r="C2208" t="s">
        <v>83</v>
      </c>
      <c r="D2208" t="s">
        <v>52</v>
      </c>
      <c r="E2208" t="s">
        <v>25</v>
      </c>
      <c r="F2208" t="s">
        <v>52</v>
      </c>
      <c r="G2208" t="s">
        <v>70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85</v>
      </c>
      <c r="B2209" t="s">
        <v>1</v>
      </c>
      <c r="C2209" t="s">
        <v>83</v>
      </c>
      <c r="D2209" t="s">
        <v>52</v>
      </c>
      <c r="E2209" t="s">
        <v>25</v>
      </c>
      <c r="F2209" t="s">
        <v>52</v>
      </c>
      <c r="G2209" t="s">
        <v>70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85</v>
      </c>
      <c r="B2210" t="s">
        <v>1</v>
      </c>
      <c r="C2210" t="s">
        <v>83</v>
      </c>
      <c r="D2210" t="s">
        <v>52</v>
      </c>
      <c r="E2210" t="s">
        <v>25</v>
      </c>
      <c r="F2210" t="s">
        <v>52</v>
      </c>
      <c r="G2210" t="s">
        <v>70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85</v>
      </c>
      <c r="B2211" t="s">
        <v>1</v>
      </c>
      <c r="C2211" t="s">
        <v>83</v>
      </c>
      <c r="D2211" t="s">
        <v>52</v>
      </c>
      <c r="E2211" t="s">
        <v>25</v>
      </c>
      <c r="F2211" t="s">
        <v>52</v>
      </c>
      <c r="G2211" t="s">
        <v>70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85</v>
      </c>
      <c r="B2212" t="s">
        <v>1</v>
      </c>
      <c r="C2212" t="s">
        <v>83</v>
      </c>
      <c r="D2212" t="s">
        <v>52</v>
      </c>
      <c r="E2212" t="s">
        <v>25</v>
      </c>
      <c r="F2212" t="s">
        <v>52</v>
      </c>
      <c r="G2212" t="s">
        <v>70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85</v>
      </c>
      <c r="B2213" t="s">
        <v>1</v>
      </c>
      <c r="C2213" t="s">
        <v>83</v>
      </c>
      <c r="D2213" t="s">
        <v>52</v>
      </c>
      <c r="E2213" t="s">
        <v>25</v>
      </c>
      <c r="F2213" t="s">
        <v>52</v>
      </c>
      <c r="G2213" t="s">
        <v>70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85</v>
      </c>
      <c r="B2214" t="s">
        <v>1</v>
      </c>
      <c r="C2214" t="s">
        <v>83</v>
      </c>
      <c r="D2214" t="s">
        <v>52</v>
      </c>
      <c r="E2214" t="s">
        <v>25</v>
      </c>
      <c r="F2214" t="s">
        <v>52</v>
      </c>
      <c r="G2214" t="s">
        <v>70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85</v>
      </c>
      <c r="B2215" t="s">
        <v>1</v>
      </c>
      <c r="C2215" t="s">
        <v>83</v>
      </c>
      <c r="D2215" t="s">
        <v>52</v>
      </c>
      <c r="E2215" t="s">
        <v>25</v>
      </c>
      <c r="F2215" t="s">
        <v>52</v>
      </c>
      <c r="G2215" t="s">
        <v>70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85</v>
      </c>
      <c r="B2216" t="s">
        <v>1</v>
      </c>
      <c r="C2216" t="s">
        <v>83</v>
      </c>
      <c r="D2216" t="s">
        <v>52</v>
      </c>
      <c r="E2216" t="s">
        <v>25</v>
      </c>
      <c r="F2216" t="s">
        <v>52</v>
      </c>
      <c r="G2216" t="s">
        <v>70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85</v>
      </c>
      <c r="B2217" t="s">
        <v>1</v>
      </c>
      <c r="C2217" t="s">
        <v>83</v>
      </c>
      <c r="D2217" t="s">
        <v>52</v>
      </c>
      <c r="E2217" t="s">
        <v>25</v>
      </c>
      <c r="F2217" t="s">
        <v>52</v>
      </c>
      <c r="G2217" t="s">
        <v>70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85</v>
      </c>
      <c r="B2218" t="s">
        <v>1</v>
      </c>
      <c r="C2218" t="s">
        <v>83</v>
      </c>
      <c r="D2218" t="s">
        <v>53</v>
      </c>
      <c r="E2218" t="s">
        <v>25</v>
      </c>
      <c r="F2218" t="s">
        <v>53</v>
      </c>
      <c r="G2218" t="s">
        <v>70</v>
      </c>
      <c r="I2218">
        <v>2020</v>
      </c>
      <c r="J2218">
        <v>0.1079</v>
      </c>
      <c r="K2218" t="s">
        <v>53</v>
      </c>
      <c r="L2218">
        <v>55</v>
      </c>
    </row>
    <row r="2219" spans="1:12" x14ac:dyDescent="0.45">
      <c r="A2219" t="s">
        <v>85</v>
      </c>
      <c r="B2219" t="s">
        <v>1</v>
      </c>
      <c r="C2219" t="s">
        <v>83</v>
      </c>
      <c r="D2219" t="s">
        <v>53</v>
      </c>
      <c r="E2219" t="s">
        <v>25</v>
      </c>
      <c r="F2219" t="s">
        <v>53</v>
      </c>
      <c r="G2219" t="s">
        <v>70</v>
      </c>
      <c r="I2219">
        <v>2025</v>
      </c>
      <c r="J2219">
        <v>0.125</v>
      </c>
      <c r="K2219" t="s">
        <v>53</v>
      </c>
      <c r="L2219">
        <v>55</v>
      </c>
    </row>
    <row r="2220" spans="1:12" x14ac:dyDescent="0.45">
      <c r="A2220" t="s">
        <v>85</v>
      </c>
      <c r="B2220" t="s">
        <v>1</v>
      </c>
      <c r="C2220" t="s">
        <v>83</v>
      </c>
      <c r="D2220" t="s">
        <v>53</v>
      </c>
      <c r="E2220" t="s">
        <v>25</v>
      </c>
      <c r="F2220" t="s">
        <v>53</v>
      </c>
      <c r="G2220" t="s">
        <v>70</v>
      </c>
      <c r="I2220">
        <v>2030</v>
      </c>
      <c r="J2220">
        <v>8.2299999999999998E-2</v>
      </c>
      <c r="K2220" t="s">
        <v>53</v>
      </c>
      <c r="L2220">
        <v>55</v>
      </c>
    </row>
    <row r="2221" spans="1:12" x14ac:dyDescent="0.45">
      <c r="A2221" t="s">
        <v>85</v>
      </c>
      <c r="B2221" t="s">
        <v>1</v>
      </c>
      <c r="C2221" t="s">
        <v>83</v>
      </c>
      <c r="D2221" t="s">
        <v>53</v>
      </c>
      <c r="E2221" t="s">
        <v>25</v>
      </c>
      <c r="F2221" t="s">
        <v>53</v>
      </c>
      <c r="G2221" t="s">
        <v>70</v>
      </c>
      <c r="I2221">
        <v>2035</v>
      </c>
      <c r="J2221">
        <v>1.84E-2</v>
      </c>
      <c r="K2221" t="s">
        <v>53</v>
      </c>
      <c r="L2221">
        <v>55</v>
      </c>
    </row>
    <row r="2222" spans="1:12" x14ac:dyDescent="0.45">
      <c r="A2222" t="s">
        <v>85</v>
      </c>
      <c r="B2222" t="s">
        <v>1</v>
      </c>
      <c r="C2222" t="s">
        <v>83</v>
      </c>
      <c r="D2222" t="s">
        <v>53</v>
      </c>
      <c r="E2222" t="s">
        <v>25</v>
      </c>
      <c r="F2222" t="s">
        <v>53</v>
      </c>
      <c r="G2222" t="s">
        <v>70</v>
      </c>
      <c r="I2222">
        <v>2040</v>
      </c>
      <c r="J2222">
        <v>4.8999999999999998E-3</v>
      </c>
      <c r="K2222" t="s">
        <v>53</v>
      </c>
      <c r="L2222">
        <v>55</v>
      </c>
    </row>
    <row r="2223" spans="1:12" x14ac:dyDescent="0.45">
      <c r="A2223" t="s">
        <v>85</v>
      </c>
      <c r="B2223" t="s">
        <v>1</v>
      </c>
      <c r="C2223" t="s">
        <v>83</v>
      </c>
      <c r="D2223" t="s">
        <v>53</v>
      </c>
      <c r="E2223" t="s">
        <v>25</v>
      </c>
      <c r="F2223" t="s">
        <v>53</v>
      </c>
      <c r="G2223" t="s">
        <v>70</v>
      </c>
      <c r="I2223">
        <v>2045</v>
      </c>
      <c r="J2223">
        <v>1E-3</v>
      </c>
      <c r="K2223" t="s">
        <v>53</v>
      </c>
      <c r="L2223">
        <v>55</v>
      </c>
    </row>
    <row r="2224" spans="1:12" x14ac:dyDescent="0.45">
      <c r="A2224" t="s">
        <v>85</v>
      </c>
      <c r="B2224" t="s">
        <v>1</v>
      </c>
      <c r="C2224" t="s">
        <v>83</v>
      </c>
      <c r="D2224" t="s">
        <v>53</v>
      </c>
      <c r="E2224" t="s">
        <v>25</v>
      </c>
      <c r="F2224" t="s">
        <v>53</v>
      </c>
      <c r="G2224" t="s">
        <v>70</v>
      </c>
      <c r="I2224">
        <v>2050</v>
      </c>
      <c r="J2224">
        <v>2.9999999999999997E-4</v>
      </c>
      <c r="K2224" t="s">
        <v>53</v>
      </c>
      <c r="L2224">
        <v>55</v>
      </c>
    </row>
    <row r="2225" spans="1:12" x14ac:dyDescent="0.45">
      <c r="A2225" t="s">
        <v>85</v>
      </c>
      <c r="B2225" t="s">
        <v>1</v>
      </c>
      <c r="C2225" t="s">
        <v>83</v>
      </c>
      <c r="D2225" t="s">
        <v>53</v>
      </c>
      <c r="E2225" t="s">
        <v>25</v>
      </c>
      <c r="F2225" t="s">
        <v>53</v>
      </c>
      <c r="G2225" t="s">
        <v>70</v>
      </c>
      <c r="I2225">
        <v>2055</v>
      </c>
      <c r="J2225">
        <v>2.0000000000000001E-4</v>
      </c>
      <c r="K2225" t="s">
        <v>53</v>
      </c>
      <c r="L2225">
        <v>55</v>
      </c>
    </row>
    <row r="2226" spans="1:12" x14ac:dyDescent="0.45">
      <c r="A2226" t="s">
        <v>85</v>
      </c>
      <c r="B2226" t="s">
        <v>1</v>
      </c>
      <c r="C2226" t="s">
        <v>83</v>
      </c>
      <c r="D2226" t="s">
        <v>53</v>
      </c>
      <c r="E2226" t="s">
        <v>25</v>
      </c>
      <c r="F2226" t="s">
        <v>53</v>
      </c>
      <c r="G2226" t="s">
        <v>70</v>
      </c>
      <c r="I2226">
        <v>2060</v>
      </c>
      <c r="J2226">
        <v>1E-4</v>
      </c>
      <c r="K2226" t="s">
        <v>53</v>
      </c>
      <c r="L2226">
        <v>55</v>
      </c>
    </row>
    <row r="2227" spans="1:12" x14ac:dyDescent="0.45">
      <c r="A2227" t="s">
        <v>85</v>
      </c>
      <c r="B2227" t="s">
        <v>1</v>
      </c>
      <c r="C2227" t="s">
        <v>83</v>
      </c>
      <c r="D2227" t="s">
        <v>53</v>
      </c>
      <c r="E2227" t="s">
        <v>25</v>
      </c>
      <c r="F2227" t="s">
        <v>53</v>
      </c>
      <c r="G2227" t="s">
        <v>70</v>
      </c>
      <c r="I2227">
        <v>2065</v>
      </c>
      <c r="J2227">
        <v>1E-4</v>
      </c>
      <c r="K2227" t="s">
        <v>53</v>
      </c>
      <c r="L2227">
        <v>55</v>
      </c>
    </row>
    <row r="2228" spans="1:12" x14ac:dyDescent="0.45">
      <c r="A2228" t="s">
        <v>85</v>
      </c>
      <c r="B2228" t="s">
        <v>1</v>
      </c>
      <c r="C2228" t="s">
        <v>83</v>
      </c>
      <c r="D2228" t="s">
        <v>53</v>
      </c>
      <c r="E2228" t="s">
        <v>25</v>
      </c>
      <c r="F2228" t="s">
        <v>53</v>
      </c>
      <c r="G2228" t="s">
        <v>70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85</v>
      </c>
      <c r="B2229" t="s">
        <v>1</v>
      </c>
      <c r="C2229" t="s">
        <v>83</v>
      </c>
      <c r="D2229" t="s">
        <v>53</v>
      </c>
      <c r="E2229" t="s">
        <v>25</v>
      </c>
      <c r="F2229" t="s">
        <v>53</v>
      </c>
      <c r="G2229" t="s">
        <v>70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85</v>
      </c>
      <c r="B2230" t="s">
        <v>1</v>
      </c>
      <c r="C2230" t="s">
        <v>83</v>
      </c>
      <c r="D2230" t="s">
        <v>53</v>
      </c>
      <c r="E2230" t="s">
        <v>25</v>
      </c>
      <c r="F2230" t="s">
        <v>53</v>
      </c>
      <c r="G2230" t="s">
        <v>70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85</v>
      </c>
      <c r="B2231" t="s">
        <v>1</v>
      </c>
      <c r="C2231" t="s">
        <v>83</v>
      </c>
      <c r="D2231" t="s">
        <v>53</v>
      </c>
      <c r="E2231" t="s">
        <v>25</v>
      </c>
      <c r="F2231" t="s">
        <v>53</v>
      </c>
      <c r="G2231" t="s">
        <v>70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85</v>
      </c>
      <c r="B2232" t="s">
        <v>1</v>
      </c>
      <c r="C2232" t="s">
        <v>83</v>
      </c>
      <c r="D2232" t="s">
        <v>53</v>
      </c>
      <c r="E2232" t="s">
        <v>25</v>
      </c>
      <c r="F2232" t="s">
        <v>53</v>
      </c>
      <c r="G2232" t="s">
        <v>70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85</v>
      </c>
      <c r="B2233" t="s">
        <v>1</v>
      </c>
      <c r="C2233" t="s">
        <v>83</v>
      </c>
      <c r="D2233" t="s">
        <v>53</v>
      </c>
      <c r="E2233" t="s">
        <v>25</v>
      </c>
      <c r="F2233" t="s">
        <v>53</v>
      </c>
      <c r="G2233" t="s">
        <v>70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85</v>
      </c>
      <c r="B2234" t="s">
        <v>1</v>
      </c>
      <c r="C2234" t="s">
        <v>83</v>
      </c>
      <c r="D2234" t="s">
        <v>53</v>
      </c>
      <c r="E2234" t="s">
        <v>25</v>
      </c>
      <c r="F2234" t="s">
        <v>53</v>
      </c>
      <c r="G2234" t="s">
        <v>70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85</v>
      </c>
      <c r="B2235" t="s">
        <v>1</v>
      </c>
      <c r="C2235" t="s">
        <v>83</v>
      </c>
      <c r="D2235" t="s">
        <v>54</v>
      </c>
      <c r="E2235" t="s">
        <v>25</v>
      </c>
      <c r="F2235" t="s">
        <v>54</v>
      </c>
      <c r="G2235" t="s">
        <v>70</v>
      </c>
      <c r="I2235">
        <v>2020</v>
      </c>
      <c r="J2235">
        <v>0</v>
      </c>
      <c r="K2235" t="s">
        <v>54</v>
      </c>
      <c r="L2235">
        <v>70</v>
      </c>
    </row>
    <row r="2236" spans="1:12" x14ac:dyDescent="0.45">
      <c r="A2236" t="s">
        <v>85</v>
      </c>
      <c r="B2236" t="s">
        <v>1</v>
      </c>
      <c r="C2236" t="s">
        <v>83</v>
      </c>
      <c r="D2236" t="s">
        <v>54</v>
      </c>
      <c r="E2236" t="s">
        <v>25</v>
      </c>
      <c r="F2236" t="s">
        <v>54</v>
      </c>
      <c r="G2236" t="s">
        <v>70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85</v>
      </c>
      <c r="B2237" t="s">
        <v>1</v>
      </c>
      <c r="C2237" t="s">
        <v>83</v>
      </c>
      <c r="D2237" t="s">
        <v>54</v>
      </c>
      <c r="E2237" t="s">
        <v>25</v>
      </c>
      <c r="F2237" t="s">
        <v>54</v>
      </c>
      <c r="G2237" t="s">
        <v>70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85</v>
      </c>
      <c r="B2238" t="s">
        <v>1</v>
      </c>
      <c r="C2238" t="s">
        <v>83</v>
      </c>
      <c r="D2238" t="s">
        <v>54</v>
      </c>
      <c r="E2238" t="s">
        <v>25</v>
      </c>
      <c r="F2238" t="s">
        <v>54</v>
      </c>
      <c r="G2238" t="s">
        <v>70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85</v>
      </c>
      <c r="B2239" t="s">
        <v>1</v>
      </c>
      <c r="C2239" t="s">
        <v>83</v>
      </c>
      <c r="D2239" t="s">
        <v>54</v>
      </c>
      <c r="E2239" t="s">
        <v>25</v>
      </c>
      <c r="F2239" t="s">
        <v>54</v>
      </c>
      <c r="G2239" t="s">
        <v>70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85</v>
      </c>
      <c r="B2240" t="s">
        <v>1</v>
      </c>
      <c r="C2240" t="s">
        <v>83</v>
      </c>
      <c r="D2240" t="s">
        <v>54</v>
      </c>
      <c r="E2240" t="s">
        <v>25</v>
      </c>
      <c r="F2240" t="s">
        <v>54</v>
      </c>
      <c r="G2240" t="s">
        <v>70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85</v>
      </c>
      <c r="B2241" t="s">
        <v>1</v>
      </c>
      <c r="C2241" t="s">
        <v>83</v>
      </c>
      <c r="D2241" t="s">
        <v>54</v>
      </c>
      <c r="E2241" t="s">
        <v>25</v>
      </c>
      <c r="F2241" t="s">
        <v>54</v>
      </c>
      <c r="G2241" t="s">
        <v>70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85</v>
      </c>
      <c r="B2242" t="s">
        <v>1</v>
      </c>
      <c r="C2242" t="s">
        <v>83</v>
      </c>
      <c r="D2242" t="s">
        <v>54</v>
      </c>
      <c r="E2242" t="s">
        <v>25</v>
      </c>
      <c r="F2242" t="s">
        <v>54</v>
      </c>
      <c r="G2242" t="s">
        <v>70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85</v>
      </c>
      <c r="B2243" t="s">
        <v>1</v>
      </c>
      <c r="C2243" t="s">
        <v>83</v>
      </c>
      <c r="D2243" t="s">
        <v>54</v>
      </c>
      <c r="E2243" t="s">
        <v>25</v>
      </c>
      <c r="F2243" t="s">
        <v>54</v>
      </c>
      <c r="G2243" t="s">
        <v>70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85</v>
      </c>
      <c r="B2244" t="s">
        <v>1</v>
      </c>
      <c r="C2244" t="s">
        <v>83</v>
      </c>
      <c r="D2244" t="s">
        <v>54</v>
      </c>
      <c r="E2244" t="s">
        <v>25</v>
      </c>
      <c r="F2244" t="s">
        <v>54</v>
      </c>
      <c r="G2244" t="s">
        <v>70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85</v>
      </c>
      <c r="B2245" t="s">
        <v>1</v>
      </c>
      <c r="C2245" t="s">
        <v>83</v>
      </c>
      <c r="D2245" t="s">
        <v>54</v>
      </c>
      <c r="E2245" t="s">
        <v>25</v>
      </c>
      <c r="F2245" t="s">
        <v>54</v>
      </c>
      <c r="G2245" t="s">
        <v>70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85</v>
      </c>
      <c r="B2246" t="s">
        <v>1</v>
      </c>
      <c r="C2246" t="s">
        <v>83</v>
      </c>
      <c r="D2246" t="s">
        <v>54</v>
      </c>
      <c r="E2246" t="s">
        <v>25</v>
      </c>
      <c r="F2246" t="s">
        <v>54</v>
      </c>
      <c r="G2246" t="s">
        <v>70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85</v>
      </c>
      <c r="B2247" t="s">
        <v>1</v>
      </c>
      <c r="C2247" t="s">
        <v>83</v>
      </c>
      <c r="D2247" t="s">
        <v>54</v>
      </c>
      <c r="E2247" t="s">
        <v>25</v>
      </c>
      <c r="F2247" t="s">
        <v>54</v>
      </c>
      <c r="G2247" t="s">
        <v>70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85</v>
      </c>
      <c r="B2248" t="s">
        <v>1</v>
      </c>
      <c r="C2248" t="s">
        <v>83</v>
      </c>
      <c r="D2248" t="s">
        <v>54</v>
      </c>
      <c r="E2248" t="s">
        <v>25</v>
      </c>
      <c r="F2248" t="s">
        <v>54</v>
      </c>
      <c r="G2248" t="s">
        <v>70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85</v>
      </c>
      <c r="B2249" t="s">
        <v>1</v>
      </c>
      <c r="C2249" t="s">
        <v>83</v>
      </c>
      <c r="D2249" t="s">
        <v>54</v>
      </c>
      <c r="E2249" t="s">
        <v>25</v>
      </c>
      <c r="F2249" t="s">
        <v>54</v>
      </c>
      <c r="G2249" t="s">
        <v>70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85</v>
      </c>
      <c r="B2250" t="s">
        <v>1</v>
      </c>
      <c r="C2250" t="s">
        <v>83</v>
      </c>
      <c r="D2250" t="s">
        <v>54</v>
      </c>
      <c r="E2250" t="s">
        <v>25</v>
      </c>
      <c r="F2250" t="s">
        <v>54</v>
      </c>
      <c r="G2250" t="s">
        <v>70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85</v>
      </c>
      <c r="B2251" t="s">
        <v>1</v>
      </c>
      <c r="C2251" t="s">
        <v>83</v>
      </c>
      <c r="D2251" t="s">
        <v>54</v>
      </c>
      <c r="E2251" t="s">
        <v>25</v>
      </c>
      <c r="F2251" t="s">
        <v>54</v>
      </c>
      <c r="G2251" t="s">
        <v>70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85</v>
      </c>
      <c r="B2252" t="s">
        <v>1</v>
      </c>
      <c r="C2252" t="s">
        <v>83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85</v>
      </c>
      <c r="B2253" t="s">
        <v>1</v>
      </c>
      <c r="C2253" t="s">
        <v>83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85</v>
      </c>
      <c r="B2254" t="s">
        <v>1</v>
      </c>
      <c r="C2254" t="s">
        <v>83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85</v>
      </c>
      <c r="B2255" t="s">
        <v>1</v>
      </c>
      <c r="C2255" t="s">
        <v>83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85</v>
      </c>
      <c r="B2256" t="s">
        <v>1</v>
      </c>
      <c r="C2256" t="s">
        <v>83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85</v>
      </c>
      <c r="B2257" t="s">
        <v>1</v>
      </c>
      <c r="C2257" t="s">
        <v>83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85</v>
      </c>
      <c r="B2258" t="s">
        <v>1</v>
      </c>
      <c r="C2258" t="s">
        <v>83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85</v>
      </c>
      <c r="B2259" t="s">
        <v>1</v>
      </c>
      <c r="C2259" t="s">
        <v>83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85</v>
      </c>
      <c r="B2260" t="s">
        <v>1</v>
      </c>
      <c r="C2260" t="s">
        <v>83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85</v>
      </c>
      <c r="B2261" t="s">
        <v>1</v>
      </c>
      <c r="C2261" t="s">
        <v>83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85</v>
      </c>
      <c r="B2262" t="s">
        <v>1</v>
      </c>
      <c r="C2262" t="s">
        <v>83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85</v>
      </c>
      <c r="B2263" t="s">
        <v>1</v>
      </c>
      <c r="C2263" t="s">
        <v>83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85</v>
      </c>
      <c r="B2264" t="s">
        <v>1</v>
      </c>
      <c r="C2264" t="s">
        <v>83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85</v>
      </c>
      <c r="B2265" t="s">
        <v>1</v>
      </c>
      <c r="C2265" t="s">
        <v>83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85</v>
      </c>
      <c r="B2266" t="s">
        <v>1</v>
      </c>
      <c r="C2266" t="s">
        <v>83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85</v>
      </c>
      <c r="B2267" t="s">
        <v>1</v>
      </c>
      <c r="C2267" t="s">
        <v>83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85</v>
      </c>
      <c r="B2268" t="s">
        <v>1</v>
      </c>
      <c r="C2268" t="s">
        <v>83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85</v>
      </c>
      <c r="B2269" t="s">
        <v>1</v>
      </c>
      <c r="C2269" t="s">
        <v>83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85</v>
      </c>
      <c r="B2270" t="s">
        <v>1</v>
      </c>
      <c r="C2270" t="s">
        <v>83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85</v>
      </c>
      <c r="B2271" t="s">
        <v>1</v>
      </c>
      <c r="C2271" t="s">
        <v>83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85</v>
      </c>
      <c r="B2272" t="s">
        <v>1</v>
      </c>
      <c r="C2272" t="s">
        <v>83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85</v>
      </c>
      <c r="B2273" t="s">
        <v>1</v>
      </c>
      <c r="C2273" t="s">
        <v>83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85</v>
      </c>
      <c r="B2274" t="s">
        <v>1</v>
      </c>
      <c r="C2274" t="s">
        <v>83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85</v>
      </c>
      <c r="B2275" t="s">
        <v>1</v>
      </c>
      <c r="C2275" t="s">
        <v>83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85</v>
      </c>
      <c r="B2276" t="s">
        <v>1</v>
      </c>
      <c r="C2276" t="s">
        <v>83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85</v>
      </c>
      <c r="B2277" t="s">
        <v>1</v>
      </c>
      <c r="C2277" t="s">
        <v>83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85</v>
      </c>
      <c r="B2278" t="s">
        <v>1</v>
      </c>
      <c r="C2278" t="s">
        <v>83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85</v>
      </c>
      <c r="B2279" t="s">
        <v>1</v>
      </c>
      <c r="C2279" t="s">
        <v>83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85</v>
      </c>
      <c r="B2280" t="s">
        <v>1</v>
      </c>
      <c r="C2280" t="s">
        <v>83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85</v>
      </c>
      <c r="B2281" t="s">
        <v>1</v>
      </c>
      <c r="C2281" t="s">
        <v>83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85</v>
      </c>
      <c r="B2282" t="s">
        <v>1</v>
      </c>
      <c r="C2282" t="s">
        <v>83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85</v>
      </c>
      <c r="B2283" t="s">
        <v>1</v>
      </c>
      <c r="C2283" t="s">
        <v>83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85</v>
      </c>
      <c r="B2284" t="s">
        <v>1</v>
      </c>
      <c r="C2284" t="s">
        <v>83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85</v>
      </c>
      <c r="B2285" t="s">
        <v>1</v>
      </c>
      <c r="C2285" t="s">
        <v>83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85</v>
      </c>
      <c r="B2286" t="s">
        <v>1</v>
      </c>
      <c r="C2286" t="s">
        <v>83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85</v>
      </c>
      <c r="B2287" t="s">
        <v>1</v>
      </c>
      <c r="C2287" t="s">
        <v>83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85</v>
      </c>
      <c r="B2288" t="s">
        <v>1</v>
      </c>
      <c r="C2288" t="s">
        <v>83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85</v>
      </c>
      <c r="B2289" t="s">
        <v>1</v>
      </c>
      <c r="C2289" t="s">
        <v>83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85</v>
      </c>
      <c r="B2290" t="s">
        <v>1</v>
      </c>
      <c r="C2290" t="s">
        <v>83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85</v>
      </c>
      <c r="B2291" t="s">
        <v>1</v>
      </c>
      <c r="C2291" t="s">
        <v>83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85</v>
      </c>
      <c r="B2292" t="s">
        <v>1</v>
      </c>
      <c r="C2292" t="s">
        <v>83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85</v>
      </c>
      <c r="B2293" t="s">
        <v>1</v>
      </c>
      <c r="C2293" t="s">
        <v>83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85</v>
      </c>
      <c r="B2294" t="s">
        <v>1</v>
      </c>
      <c r="C2294" t="s">
        <v>83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85</v>
      </c>
      <c r="B2295" t="s">
        <v>1</v>
      </c>
      <c r="C2295" t="s">
        <v>83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85</v>
      </c>
      <c r="B2296" t="s">
        <v>1</v>
      </c>
      <c r="C2296" t="s">
        <v>83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85</v>
      </c>
      <c r="B2297" t="s">
        <v>1</v>
      </c>
      <c r="C2297" t="s">
        <v>83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85</v>
      </c>
      <c r="B2298" t="s">
        <v>1</v>
      </c>
      <c r="C2298" t="s">
        <v>83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85</v>
      </c>
      <c r="B2299" t="s">
        <v>1</v>
      </c>
      <c r="C2299" t="s">
        <v>83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85</v>
      </c>
      <c r="B2300" t="s">
        <v>1</v>
      </c>
      <c r="C2300" t="s">
        <v>83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85</v>
      </c>
      <c r="B2301" t="s">
        <v>1</v>
      </c>
      <c r="C2301" t="s">
        <v>83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85</v>
      </c>
      <c r="B2302" t="s">
        <v>1</v>
      </c>
      <c r="C2302" t="s">
        <v>83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85</v>
      </c>
      <c r="B2303" t="s">
        <v>1</v>
      </c>
      <c r="C2303" t="s">
        <v>83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56.074300000000001</v>
      </c>
      <c r="K2303" t="s">
        <v>37</v>
      </c>
    </row>
    <row r="2304" spans="1:11" x14ac:dyDescent="0.45">
      <c r="A2304" t="s">
        <v>85</v>
      </c>
      <c r="B2304" t="s">
        <v>1</v>
      </c>
      <c r="C2304" t="s">
        <v>83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52.476599999999998</v>
      </c>
      <c r="K2304" t="s">
        <v>37</v>
      </c>
    </row>
    <row r="2305" spans="1:11" x14ac:dyDescent="0.45">
      <c r="A2305" t="s">
        <v>85</v>
      </c>
      <c r="B2305" t="s">
        <v>1</v>
      </c>
      <c r="C2305" t="s">
        <v>83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71.61</v>
      </c>
      <c r="K2305" t="s">
        <v>37</v>
      </c>
    </row>
    <row r="2306" spans="1:11" x14ac:dyDescent="0.45">
      <c r="A2306" t="s">
        <v>85</v>
      </c>
      <c r="B2306" t="s">
        <v>1</v>
      </c>
      <c r="C2306" t="s">
        <v>83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76.472700000000003</v>
      </c>
      <c r="K2306" t="s">
        <v>37</v>
      </c>
    </row>
    <row r="2307" spans="1:11" x14ac:dyDescent="0.45">
      <c r="A2307" t="s">
        <v>85</v>
      </c>
      <c r="B2307" t="s">
        <v>1</v>
      </c>
      <c r="C2307" t="s">
        <v>83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81.493700000000004</v>
      </c>
      <c r="K2307" t="s">
        <v>37</v>
      </c>
    </row>
    <row r="2308" spans="1:11" x14ac:dyDescent="0.45">
      <c r="A2308" t="s">
        <v>85</v>
      </c>
      <c r="B2308" t="s">
        <v>1</v>
      </c>
      <c r="C2308" t="s">
        <v>83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66.628600000000006</v>
      </c>
      <c r="K2308" t="s">
        <v>37</v>
      </c>
    </row>
    <row r="2309" spans="1:11" x14ac:dyDescent="0.45">
      <c r="A2309" t="s">
        <v>85</v>
      </c>
      <c r="B2309" t="s">
        <v>1</v>
      </c>
      <c r="C2309" t="s">
        <v>83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103.9486</v>
      </c>
      <c r="K2309" t="s">
        <v>37</v>
      </c>
    </row>
    <row r="2310" spans="1:11" x14ac:dyDescent="0.45">
      <c r="A2310" t="s">
        <v>85</v>
      </c>
      <c r="B2310" t="s">
        <v>1</v>
      </c>
      <c r="C2310" t="s">
        <v>83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110.6159</v>
      </c>
      <c r="K2310" t="s">
        <v>37</v>
      </c>
    </row>
    <row r="2311" spans="1:11" x14ac:dyDescent="0.45">
      <c r="A2311" t="s">
        <v>85</v>
      </c>
      <c r="B2311" t="s">
        <v>1</v>
      </c>
      <c r="C2311" t="s">
        <v>83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160.82749999999999</v>
      </c>
      <c r="K2311" t="s">
        <v>37</v>
      </c>
    </row>
    <row r="2312" spans="1:11" x14ac:dyDescent="0.45">
      <c r="A2312" t="s">
        <v>85</v>
      </c>
      <c r="B2312" t="s">
        <v>1</v>
      </c>
      <c r="C2312" t="s">
        <v>83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184.2037</v>
      </c>
      <c r="K2312" t="s">
        <v>37</v>
      </c>
    </row>
    <row r="2313" spans="1:11" x14ac:dyDescent="0.45">
      <c r="A2313" t="s">
        <v>85</v>
      </c>
      <c r="B2313" t="s">
        <v>1</v>
      </c>
      <c r="C2313" t="s">
        <v>83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207.58</v>
      </c>
      <c r="K2313" t="s">
        <v>37</v>
      </c>
    </row>
    <row r="2314" spans="1:11" x14ac:dyDescent="0.45">
      <c r="A2314" t="s">
        <v>85</v>
      </c>
      <c r="B2314" t="s">
        <v>1</v>
      </c>
      <c r="C2314" t="s">
        <v>83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216.04769999999999</v>
      </c>
      <c r="K2314" t="s">
        <v>37</v>
      </c>
    </row>
    <row r="2315" spans="1:11" x14ac:dyDescent="0.45">
      <c r="A2315" t="s">
        <v>85</v>
      </c>
      <c r="B2315" t="s">
        <v>1</v>
      </c>
      <c r="C2315" t="s">
        <v>83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224.5155</v>
      </c>
      <c r="K2315" t="s">
        <v>37</v>
      </c>
    </row>
    <row r="2316" spans="1:11" x14ac:dyDescent="0.45">
      <c r="A2316" t="s">
        <v>85</v>
      </c>
      <c r="B2316" t="s">
        <v>1</v>
      </c>
      <c r="C2316" t="s">
        <v>83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213.85149999999999</v>
      </c>
      <c r="K2316" t="s">
        <v>37</v>
      </c>
    </row>
    <row r="2317" spans="1:11" x14ac:dyDescent="0.45">
      <c r="A2317" t="s">
        <v>85</v>
      </c>
      <c r="B2317" t="s">
        <v>1</v>
      </c>
      <c r="C2317" t="s">
        <v>83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203.1876</v>
      </c>
      <c r="K2317" t="s">
        <v>37</v>
      </c>
    </row>
    <row r="2318" spans="1:11" x14ac:dyDescent="0.45">
      <c r="A2318" t="s">
        <v>85</v>
      </c>
      <c r="B2318" t="s">
        <v>1</v>
      </c>
      <c r="C2318" t="s">
        <v>83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223.6327</v>
      </c>
      <c r="K2318" t="s">
        <v>37</v>
      </c>
    </row>
    <row r="2319" spans="1:11" x14ac:dyDescent="0.45">
      <c r="A2319" t="s">
        <v>85</v>
      </c>
      <c r="B2319" t="s">
        <v>1</v>
      </c>
      <c r="C2319" t="s">
        <v>83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244.0779</v>
      </c>
      <c r="K2319" t="s">
        <v>37</v>
      </c>
    </row>
    <row r="2320" spans="1:11" x14ac:dyDescent="0.45">
      <c r="A2320" t="s">
        <v>85</v>
      </c>
      <c r="B2320" t="s">
        <v>1</v>
      </c>
      <c r="C2320" t="s">
        <v>83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376.47379999999998</v>
      </c>
      <c r="K2320" t="s">
        <v>48</v>
      </c>
    </row>
    <row r="2321" spans="1:11" x14ac:dyDescent="0.45">
      <c r="A2321" t="s">
        <v>85</v>
      </c>
      <c r="B2321" t="s">
        <v>1</v>
      </c>
      <c r="C2321" t="s">
        <v>83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385.9708</v>
      </c>
      <c r="K2321" t="s">
        <v>48</v>
      </c>
    </row>
    <row r="2322" spans="1:11" x14ac:dyDescent="0.45">
      <c r="A2322" t="s">
        <v>85</v>
      </c>
      <c r="B2322" t="s">
        <v>1</v>
      </c>
      <c r="C2322" t="s">
        <v>83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277.21129999999999</v>
      </c>
      <c r="K2322" t="s">
        <v>48</v>
      </c>
    </row>
    <row r="2323" spans="1:11" x14ac:dyDescent="0.45">
      <c r="A2323" t="s">
        <v>85</v>
      </c>
      <c r="B2323" t="s">
        <v>1</v>
      </c>
      <c r="C2323" t="s">
        <v>83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135.14400000000001</v>
      </c>
      <c r="K2323" t="s">
        <v>48</v>
      </c>
    </row>
    <row r="2324" spans="1:11" x14ac:dyDescent="0.45">
      <c r="A2324" t="s">
        <v>85</v>
      </c>
      <c r="B2324" t="s">
        <v>1</v>
      </c>
      <c r="C2324" t="s">
        <v>83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84.823300000000003</v>
      </c>
      <c r="K2324" t="s">
        <v>48</v>
      </c>
    </row>
    <row r="2325" spans="1:11" x14ac:dyDescent="0.45">
      <c r="A2325" t="s">
        <v>85</v>
      </c>
      <c r="B2325" t="s">
        <v>1</v>
      </c>
      <c r="C2325" t="s">
        <v>83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57.980699999999999</v>
      </c>
      <c r="K2325" t="s">
        <v>48</v>
      </c>
    </row>
    <row r="2326" spans="1:11" x14ac:dyDescent="0.45">
      <c r="A2326" t="s">
        <v>85</v>
      </c>
      <c r="B2326" t="s">
        <v>1</v>
      </c>
      <c r="C2326" t="s">
        <v>83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44.479799999999997</v>
      </c>
      <c r="K2326" t="s">
        <v>48</v>
      </c>
    </row>
    <row r="2327" spans="1:11" x14ac:dyDescent="0.45">
      <c r="A2327" t="s">
        <v>85</v>
      </c>
      <c r="B2327" t="s">
        <v>1</v>
      </c>
      <c r="C2327" t="s">
        <v>83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31.856999999999999</v>
      </c>
      <c r="K2327" t="s">
        <v>48</v>
      </c>
    </row>
    <row r="2328" spans="1:11" x14ac:dyDescent="0.45">
      <c r="A2328" t="s">
        <v>85</v>
      </c>
      <c r="B2328" t="s">
        <v>1</v>
      </c>
      <c r="C2328" t="s">
        <v>83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20.747399999999999</v>
      </c>
      <c r="K2328" t="s">
        <v>48</v>
      </c>
    </row>
    <row r="2329" spans="1:11" x14ac:dyDescent="0.45">
      <c r="A2329" t="s">
        <v>85</v>
      </c>
      <c r="B2329" t="s">
        <v>1</v>
      </c>
      <c r="C2329" t="s">
        <v>83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16.234500000000001</v>
      </c>
      <c r="K2329" t="s">
        <v>48</v>
      </c>
    </row>
    <row r="2330" spans="1:11" x14ac:dyDescent="0.45">
      <c r="A2330" t="s">
        <v>85</v>
      </c>
      <c r="B2330" t="s">
        <v>1</v>
      </c>
      <c r="C2330" t="s">
        <v>83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11.731999999999999</v>
      </c>
      <c r="K2330" t="s">
        <v>48</v>
      </c>
    </row>
    <row r="2331" spans="1:11" x14ac:dyDescent="0.45">
      <c r="A2331" t="s">
        <v>85</v>
      </c>
      <c r="B2331" t="s">
        <v>1</v>
      </c>
      <c r="C2331" t="s">
        <v>83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13.712300000000001</v>
      </c>
      <c r="K2331" t="s">
        <v>48</v>
      </c>
    </row>
    <row r="2332" spans="1:11" x14ac:dyDescent="0.45">
      <c r="A2332" t="s">
        <v>85</v>
      </c>
      <c r="B2332" t="s">
        <v>1</v>
      </c>
      <c r="C2332" t="s">
        <v>83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15.819599999999999</v>
      </c>
      <c r="K2332" t="s">
        <v>48</v>
      </c>
    </row>
    <row r="2333" spans="1:11" x14ac:dyDescent="0.45">
      <c r="A2333" t="s">
        <v>85</v>
      </c>
      <c r="B2333" t="s">
        <v>1</v>
      </c>
      <c r="C2333" t="s">
        <v>83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22.638999999999999</v>
      </c>
      <c r="K2333" t="s">
        <v>48</v>
      </c>
    </row>
    <row r="2334" spans="1:11" x14ac:dyDescent="0.45">
      <c r="A2334" t="s">
        <v>85</v>
      </c>
      <c r="B2334" t="s">
        <v>1</v>
      </c>
      <c r="C2334" t="s">
        <v>83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29.784500000000001</v>
      </c>
      <c r="K2334" t="s">
        <v>48</v>
      </c>
    </row>
    <row r="2335" spans="1:11" x14ac:dyDescent="0.45">
      <c r="A2335" t="s">
        <v>85</v>
      </c>
      <c r="B2335" t="s">
        <v>1</v>
      </c>
      <c r="C2335" t="s">
        <v>83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29.1769</v>
      </c>
      <c r="K2335" t="s">
        <v>48</v>
      </c>
    </row>
    <row r="2336" spans="1:11" x14ac:dyDescent="0.45">
      <c r="A2336" t="s">
        <v>85</v>
      </c>
      <c r="B2336" t="s">
        <v>1</v>
      </c>
      <c r="C2336" t="s">
        <v>83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28.636600000000001</v>
      </c>
      <c r="K2336" t="s">
        <v>48</v>
      </c>
    </row>
    <row r="2337" spans="1:11" x14ac:dyDescent="0.45">
      <c r="A2337" t="s">
        <v>85</v>
      </c>
      <c r="B2337" t="s">
        <v>1</v>
      </c>
      <c r="C2337" t="s">
        <v>83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334.71350000000001</v>
      </c>
      <c r="K2337" t="s">
        <v>51</v>
      </c>
    </row>
    <row r="2338" spans="1:11" x14ac:dyDescent="0.45">
      <c r="A2338" t="s">
        <v>85</v>
      </c>
      <c r="B2338" t="s">
        <v>1</v>
      </c>
      <c r="C2338" t="s">
        <v>83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328.70549999999997</v>
      </c>
      <c r="K2338" t="s">
        <v>51</v>
      </c>
    </row>
    <row r="2339" spans="1:11" x14ac:dyDescent="0.45">
      <c r="A2339" t="s">
        <v>85</v>
      </c>
      <c r="B2339" t="s">
        <v>1</v>
      </c>
      <c r="C2339" t="s">
        <v>83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221.48390000000001</v>
      </c>
      <c r="K2339" t="s">
        <v>51</v>
      </c>
    </row>
    <row r="2340" spans="1:11" x14ac:dyDescent="0.45">
      <c r="A2340" t="s">
        <v>85</v>
      </c>
      <c r="B2340" t="s">
        <v>1</v>
      </c>
      <c r="C2340" t="s">
        <v>83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96.878600000000006</v>
      </c>
      <c r="K2340" t="s">
        <v>51</v>
      </c>
    </row>
    <row r="2341" spans="1:11" x14ac:dyDescent="0.45">
      <c r="A2341" t="s">
        <v>85</v>
      </c>
      <c r="B2341" t="s">
        <v>1</v>
      </c>
      <c r="C2341" t="s">
        <v>83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46.932200000000002</v>
      </c>
      <c r="K2341" t="s">
        <v>51</v>
      </c>
    </row>
    <row r="2342" spans="1:11" x14ac:dyDescent="0.45">
      <c r="A2342" t="s">
        <v>85</v>
      </c>
      <c r="B2342" t="s">
        <v>1</v>
      </c>
      <c r="C2342" t="s">
        <v>83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20.398299999999999</v>
      </c>
      <c r="K2342" t="s">
        <v>51</v>
      </c>
    </row>
    <row r="2343" spans="1:11" x14ac:dyDescent="0.45">
      <c r="A2343" t="s">
        <v>85</v>
      </c>
      <c r="B2343" t="s">
        <v>1</v>
      </c>
      <c r="C2343" t="s">
        <v>83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15.368600000000001</v>
      </c>
      <c r="K2343" t="s">
        <v>51</v>
      </c>
    </row>
    <row r="2344" spans="1:11" x14ac:dyDescent="0.45">
      <c r="A2344" t="s">
        <v>85</v>
      </c>
      <c r="B2344" t="s">
        <v>1</v>
      </c>
      <c r="C2344" t="s">
        <v>83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11.9626</v>
      </c>
      <c r="K2344" t="s">
        <v>51</v>
      </c>
    </row>
    <row r="2345" spans="1:11" x14ac:dyDescent="0.45">
      <c r="A2345" t="s">
        <v>85</v>
      </c>
      <c r="B2345" t="s">
        <v>1</v>
      </c>
      <c r="C2345" t="s">
        <v>83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8.8994999999999997</v>
      </c>
      <c r="K2345" t="s">
        <v>51</v>
      </c>
    </row>
    <row r="2346" spans="1:11" x14ac:dyDescent="0.45">
      <c r="A2346" t="s">
        <v>85</v>
      </c>
      <c r="B2346" t="s">
        <v>1</v>
      </c>
      <c r="C2346" t="s">
        <v>83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6.6588000000000003</v>
      </c>
      <c r="K2346" t="s">
        <v>51</v>
      </c>
    </row>
    <row r="2347" spans="1:11" x14ac:dyDescent="0.45">
      <c r="A2347" t="s">
        <v>85</v>
      </c>
      <c r="B2347" t="s">
        <v>1</v>
      </c>
      <c r="C2347" t="s">
        <v>83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4.4287000000000001</v>
      </c>
      <c r="K2347" t="s">
        <v>51</v>
      </c>
    </row>
    <row r="2348" spans="1:11" x14ac:dyDescent="0.45">
      <c r="A2348" t="s">
        <v>85</v>
      </c>
      <c r="B2348" t="s">
        <v>1</v>
      </c>
      <c r="C2348" t="s">
        <v>83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3.7984</v>
      </c>
      <c r="K2348" t="s">
        <v>51</v>
      </c>
    </row>
    <row r="2349" spans="1:11" x14ac:dyDescent="0.45">
      <c r="A2349" t="s">
        <v>85</v>
      </c>
      <c r="B2349" t="s">
        <v>1</v>
      </c>
      <c r="C2349" t="s">
        <v>83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3.2972999999999999</v>
      </c>
      <c r="K2349" t="s">
        <v>51</v>
      </c>
    </row>
    <row r="2350" spans="1:11" x14ac:dyDescent="0.45">
      <c r="A2350" t="s">
        <v>85</v>
      </c>
      <c r="B2350" t="s">
        <v>1</v>
      </c>
      <c r="C2350" t="s">
        <v>83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2.4369999999999998</v>
      </c>
      <c r="K2350" t="s">
        <v>51</v>
      </c>
    </row>
    <row r="2351" spans="1:11" x14ac:dyDescent="0.45">
      <c r="A2351" t="s">
        <v>85</v>
      </c>
      <c r="B2351" t="s">
        <v>1</v>
      </c>
      <c r="C2351" t="s">
        <v>83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1.8896999999999999</v>
      </c>
      <c r="K2351" t="s">
        <v>51</v>
      </c>
    </row>
    <row r="2352" spans="1:11" x14ac:dyDescent="0.45">
      <c r="A2352" t="s">
        <v>85</v>
      </c>
      <c r="B2352" t="s">
        <v>1</v>
      </c>
      <c r="C2352" t="s">
        <v>83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0.91320000000000001</v>
      </c>
      <c r="K2352" t="s">
        <v>51</v>
      </c>
    </row>
    <row r="2353" spans="1:11" x14ac:dyDescent="0.45">
      <c r="A2353" t="s">
        <v>85</v>
      </c>
      <c r="B2353" t="s">
        <v>1</v>
      </c>
      <c r="C2353" t="s">
        <v>83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4.1999999999999997E-3</v>
      </c>
      <c r="K2353" t="s">
        <v>51</v>
      </c>
    </row>
    <row r="2354" spans="1:11" x14ac:dyDescent="0.45">
      <c r="A2354" t="s">
        <v>86</v>
      </c>
      <c r="B2354" t="s">
        <v>3</v>
      </c>
      <c r="C2354" t="s">
        <v>83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86</v>
      </c>
      <c r="B2355" t="s">
        <v>3</v>
      </c>
      <c r="C2355" t="s">
        <v>83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86</v>
      </c>
      <c r="B2356" t="s">
        <v>3</v>
      </c>
      <c r="C2356" t="s">
        <v>83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1.0221</v>
      </c>
      <c r="K2356" t="s">
        <v>45</v>
      </c>
    </row>
    <row r="2357" spans="1:11" x14ac:dyDescent="0.45">
      <c r="A2357" t="s">
        <v>86</v>
      </c>
      <c r="B2357" t="s">
        <v>3</v>
      </c>
      <c r="C2357" t="s">
        <v>83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5.3707000000000003</v>
      </c>
      <c r="K2357" t="s">
        <v>45</v>
      </c>
    </row>
    <row r="2358" spans="1:11" x14ac:dyDescent="0.45">
      <c r="A2358" t="s">
        <v>86</v>
      </c>
      <c r="B2358" t="s">
        <v>3</v>
      </c>
      <c r="C2358" t="s">
        <v>83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11.1652</v>
      </c>
      <c r="K2358" t="s">
        <v>45</v>
      </c>
    </row>
    <row r="2359" spans="1:11" x14ac:dyDescent="0.45">
      <c r="A2359" t="s">
        <v>86</v>
      </c>
      <c r="B2359" t="s">
        <v>3</v>
      </c>
      <c r="C2359" t="s">
        <v>83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14.629099999999999</v>
      </c>
      <c r="K2359" t="s">
        <v>45</v>
      </c>
    </row>
    <row r="2360" spans="1:11" x14ac:dyDescent="0.45">
      <c r="A2360" t="s">
        <v>86</v>
      </c>
      <c r="B2360" t="s">
        <v>3</v>
      </c>
      <c r="C2360" t="s">
        <v>83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18.909400000000002</v>
      </c>
      <c r="K2360" t="s">
        <v>45</v>
      </c>
    </row>
    <row r="2361" spans="1:11" x14ac:dyDescent="0.45">
      <c r="A2361" t="s">
        <v>86</v>
      </c>
      <c r="B2361" t="s">
        <v>3</v>
      </c>
      <c r="C2361" t="s">
        <v>83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18.242699999999999</v>
      </c>
      <c r="K2361" t="s">
        <v>45</v>
      </c>
    </row>
    <row r="2362" spans="1:11" x14ac:dyDescent="0.45">
      <c r="A2362" t="s">
        <v>86</v>
      </c>
      <c r="B2362" t="s">
        <v>3</v>
      </c>
      <c r="C2362" t="s">
        <v>83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15.095000000000001</v>
      </c>
      <c r="K2362" t="s">
        <v>45</v>
      </c>
    </row>
    <row r="2363" spans="1:11" x14ac:dyDescent="0.45">
      <c r="A2363" t="s">
        <v>86</v>
      </c>
      <c r="B2363" t="s">
        <v>3</v>
      </c>
      <c r="C2363" t="s">
        <v>83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12.6411</v>
      </c>
      <c r="K2363" t="s">
        <v>45</v>
      </c>
    </row>
    <row r="2364" spans="1:11" x14ac:dyDescent="0.45">
      <c r="A2364" t="s">
        <v>86</v>
      </c>
      <c r="B2364" t="s">
        <v>3</v>
      </c>
      <c r="C2364" t="s">
        <v>83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10.0039</v>
      </c>
      <c r="K2364" t="s">
        <v>45</v>
      </c>
    </row>
    <row r="2365" spans="1:11" x14ac:dyDescent="0.45">
      <c r="A2365" t="s">
        <v>86</v>
      </c>
      <c r="B2365" t="s">
        <v>3</v>
      </c>
      <c r="C2365" t="s">
        <v>83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7.5853000000000002</v>
      </c>
      <c r="K2365" t="s">
        <v>45</v>
      </c>
    </row>
    <row r="2366" spans="1:11" x14ac:dyDescent="0.45">
      <c r="A2366" t="s">
        <v>86</v>
      </c>
      <c r="B2366" t="s">
        <v>3</v>
      </c>
      <c r="C2366" t="s">
        <v>83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4.7716000000000003</v>
      </c>
      <c r="K2366" t="s">
        <v>45</v>
      </c>
    </row>
    <row r="2367" spans="1:11" x14ac:dyDescent="0.45">
      <c r="A2367" t="s">
        <v>86</v>
      </c>
      <c r="B2367" t="s">
        <v>3</v>
      </c>
      <c r="C2367" t="s">
        <v>83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3.4702000000000002</v>
      </c>
      <c r="K2367" t="s">
        <v>45</v>
      </c>
    </row>
    <row r="2368" spans="1:11" x14ac:dyDescent="0.45">
      <c r="A2368" t="s">
        <v>86</v>
      </c>
      <c r="B2368" t="s">
        <v>3</v>
      </c>
      <c r="C2368" t="s">
        <v>83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2.0242</v>
      </c>
      <c r="K2368" t="s">
        <v>45</v>
      </c>
    </row>
    <row r="2369" spans="1:11" x14ac:dyDescent="0.45">
      <c r="A2369" t="s">
        <v>86</v>
      </c>
      <c r="B2369" t="s">
        <v>3</v>
      </c>
      <c r="C2369" t="s">
        <v>83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1.3117000000000001</v>
      </c>
      <c r="K2369" t="s">
        <v>45</v>
      </c>
    </row>
    <row r="2370" spans="1:11" x14ac:dyDescent="0.45">
      <c r="A2370" t="s">
        <v>86</v>
      </c>
      <c r="B2370" t="s">
        <v>3</v>
      </c>
      <c r="C2370" t="s">
        <v>83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0.52559999999999996</v>
      </c>
      <c r="K2370" t="s">
        <v>45</v>
      </c>
    </row>
    <row r="2371" spans="1:11" x14ac:dyDescent="0.45">
      <c r="A2371" t="s">
        <v>86</v>
      </c>
      <c r="B2371" t="s">
        <v>3</v>
      </c>
      <c r="C2371" t="s">
        <v>83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0.15659999999999999</v>
      </c>
      <c r="K2371" t="s">
        <v>24</v>
      </c>
    </row>
    <row r="2372" spans="1:11" x14ac:dyDescent="0.45">
      <c r="A2372" t="s">
        <v>86</v>
      </c>
      <c r="B2372" t="s">
        <v>3</v>
      </c>
      <c r="C2372" t="s">
        <v>83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0.1696</v>
      </c>
      <c r="K2372" t="s">
        <v>24</v>
      </c>
    </row>
    <row r="2373" spans="1:11" x14ac:dyDescent="0.45">
      <c r="A2373" t="s">
        <v>86</v>
      </c>
      <c r="B2373" t="s">
        <v>3</v>
      </c>
      <c r="C2373" t="s">
        <v>83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0.24460000000000001</v>
      </c>
      <c r="K2373" t="s">
        <v>24</v>
      </c>
    </row>
    <row r="2374" spans="1:11" x14ac:dyDescent="0.45">
      <c r="A2374" t="s">
        <v>86</v>
      </c>
      <c r="B2374" t="s">
        <v>3</v>
      </c>
      <c r="C2374" t="s">
        <v>83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0.32279999999999998</v>
      </c>
      <c r="K2374" t="s">
        <v>24</v>
      </c>
    </row>
    <row r="2375" spans="1:11" x14ac:dyDescent="0.45">
      <c r="A2375" t="s">
        <v>86</v>
      </c>
      <c r="B2375" t="s">
        <v>3</v>
      </c>
      <c r="C2375" t="s">
        <v>83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0.4209</v>
      </c>
      <c r="K2375" t="s">
        <v>24</v>
      </c>
    </row>
    <row r="2376" spans="1:11" x14ac:dyDescent="0.45">
      <c r="A2376" t="s">
        <v>86</v>
      </c>
      <c r="B2376" t="s">
        <v>3</v>
      </c>
      <c r="C2376" t="s">
        <v>83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0.49440000000000001</v>
      </c>
      <c r="K2376" t="s">
        <v>24</v>
      </c>
    </row>
    <row r="2377" spans="1:11" x14ac:dyDescent="0.45">
      <c r="A2377" t="s">
        <v>86</v>
      </c>
      <c r="B2377" t="s">
        <v>3</v>
      </c>
      <c r="C2377" t="s">
        <v>83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0.50600000000000001</v>
      </c>
      <c r="K2377" t="s">
        <v>24</v>
      </c>
    </row>
    <row r="2378" spans="1:11" x14ac:dyDescent="0.45">
      <c r="A2378" t="s">
        <v>86</v>
      </c>
      <c r="B2378" t="s">
        <v>3</v>
      </c>
      <c r="C2378" t="s">
        <v>83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0.52480000000000004</v>
      </c>
      <c r="K2378" t="s">
        <v>24</v>
      </c>
    </row>
    <row r="2379" spans="1:11" x14ac:dyDescent="0.45">
      <c r="A2379" t="s">
        <v>86</v>
      </c>
      <c r="B2379" t="s">
        <v>3</v>
      </c>
      <c r="C2379" t="s">
        <v>83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0.52470000000000006</v>
      </c>
      <c r="K2379" t="s">
        <v>24</v>
      </c>
    </row>
    <row r="2380" spans="1:11" x14ac:dyDescent="0.45">
      <c r="A2380" t="s">
        <v>86</v>
      </c>
      <c r="B2380" t="s">
        <v>3</v>
      </c>
      <c r="C2380" t="s">
        <v>83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0.52600000000000002</v>
      </c>
      <c r="K2380" t="s">
        <v>24</v>
      </c>
    </row>
    <row r="2381" spans="1:11" x14ac:dyDescent="0.45">
      <c r="A2381" t="s">
        <v>86</v>
      </c>
      <c r="B2381" t="s">
        <v>3</v>
      </c>
      <c r="C2381" t="s">
        <v>83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0.52810000000000001</v>
      </c>
      <c r="K2381" t="s">
        <v>24</v>
      </c>
    </row>
    <row r="2382" spans="1:11" x14ac:dyDescent="0.45">
      <c r="A2382" t="s">
        <v>86</v>
      </c>
      <c r="B2382" t="s">
        <v>3</v>
      </c>
      <c r="C2382" t="s">
        <v>83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0.4985</v>
      </c>
      <c r="K2382" t="s">
        <v>24</v>
      </c>
    </row>
    <row r="2383" spans="1:11" x14ac:dyDescent="0.45">
      <c r="A2383" t="s">
        <v>86</v>
      </c>
      <c r="B2383" t="s">
        <v>3</v>
      </c>
      <c r="C2383" t="s">
        <v>83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0.47149999999999997</v>
      </c>
      <c r="K2383" t="s">
        <v>24</v>
      </c>
    </row>
    <row r="2384" spans="1:11" x14ac:dyDescent="0.45">
      <c r="A2384" t="s">
        <v>86</v>
      </c>
      <c r="B2384" t="s">
        <v>3</v>
      </c>
      <c r="C2384" t="s">
        <v>83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0.44190000000000002</v>
      </c>
      <c r="K2384" t="s">
        <v>24</v>
      </c>
    </row>
    <row r="2385" spans="1:11" x14ac:dyDescent="0.45">
      <c r="A2385" t="s">
        <v>86</v>
      </c>
      <c r="B2385" t="s">
        <v>3</v>
      </c>
      <c r="C2385" t="s">
        <v>83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0.4143</v>
      </c>
      <c r="K2385" t="s">
        <v>24</v>
      </c>
    </row>
    <row r="2386" spans="1:11" x14ac:dyDescent="0.45">
      <c r="A2386" t="s">
        <v>86</v>
      </c>
      <c r="B2386" t="s">
        <v>3</v>
      </c>
      <c r="C2386" t="s">
        <v>83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0.39179999999999998</v>
      </c>
      <c r="K2386" t="s">
        <v>24</v>
      </c>
    </row>
    <row r="2387" spans="1:11" x14ac:dyDescent="0.45">
      <c r="A2387" t="s">
        <v>86</v>
      </c>
      <c r="B2387" t="s">
        <v>3</v>
      </c>
      <c r="C2387" t="s">
        <v>83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0.37469999999999998</v>
      </c>
      <c r="K2387" t="s">
        <v>24</v>
      </c>
    </row>
    <row r="2388" spans="1:11" x14ac:dyDescent="0.45">
      <c r="A2388" t="s">
        <v>86</v>
      </c>
      <c r="B2388" t="s">
        <v>3</v>
      </c>
      <c r="C2388" t="s">
        <v>83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9.3899999999999997E-2</v>
      </c>
      <c r="K2388" t="s">
        <v>28</v>
      </c>
    </row>
    <row r="2389" spans="1:11" x14ac:dyDescent="0.45">
      <c r="A2389" t="s">
        <v>86</v>
      </c>
      <c r="B2389" t="s">
        <v>3</v>
      </c>
      <c r="C2389" t="s">
        <v>83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0.1125</v>
      </c>
      <c r="K2389" t="s">
        <v>28</v>
      </c>
    </row>
    <row r="2390" spans="1:11" x14ac:dyDescent="0.45">
      <c r="A2390" t="s">
        <v>86</v>
      </c>
      <c r="B2390" t="s">
        <v>3</v>
      </c>
      <c r="C2390" t="s">
        <v>83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0.14660000000000001</v>
      </c>
      <c r="K2390" t="s">
        <v>28</v>
      </c>
    </row>
    <row r="2391" spans="1:11" x14ac:dyDescent="0.45">
      <c r="A2391" t="s">
        <v>86</v>
      </c>
      <c r="B2391" t="s">
        <v>3</v>
      </c>
      <c r="C2391" t="s">
        <v>83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0.19500000000000001</v>
      </c>
      <c r="K2391" t="s">
        <v>28</v>
      </c>
    </row>
    <row r="2392" spans="1:11" x14ac:dyDescent="0.45">
      <c r="A2392" t="s">
        <v>86</v>
      </c>
      <c r="B2392" t="s">
        <v>3</v>
      </c>
      <c r="C2392" t="s">
        <v>83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0.23830000000000001</v>
      </c>
      <c r="K2392" t="s">
        <v>28</v>
      </c>
    </row>
    <row r="2393" spans="1:11" x14ac:dyDescent="0.45">
      <c r="A2393" t="s">
        <v>86</v>
      </c>
      <c r="B2393" t="s">
        <v>3</v>
      </c>
      <c r="C2393" t="s">
        <v>83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0.2722</v>
      </c>
      <c r="K2393" t="s">
        <v>28</v>
      </c>
    </row>
    <row r="2394" spans="1:11" x14ac:dyDescent="0.45">
      <c r="A2394" t="s">
        <v>86</v>
      </c>
      <c r="B2394" t="s">
        <v>3</v>
      </c>
      <c r="C2394" t="s">
        <v>83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0.28439999999999999</v>
      </c>
      <c r="K2394" t="s">
        <v>28</v>
      </c>
    </row>
    <row r="2395" spans="1:11" x14ac:dyDescent="0.45">
      <c r="A2395" t="s">
        <v>86</v>
      </c>
      <c r="B2395" t="s">
        <v>3</v>
      </c>
      <c r="C2395" t="s">
        <v>83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0.29160000000000003</v>
      </c>
      <c r="K2395" t="s">
        <v>28</v>
      </c>
    </row>
    <row r="2396" spans="1:11" x14ac:dyDescent="0.45">
      <c r="A2396" t="s">
        <v>86</v>
      </c>
      <c r="B2396" t="s">
        <v>3</v>
      </c>
      <c r="C2396" t="s">
        <v>83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0.3175</v>
      </c>
      <c r="K2396" t="s">
        <v>28</v>
      </c>
    </row>
    <row r="2397" spans="1:11" x14ac:dyDescent="0.45">
      <c r="A2397" t="s">
        <v>86</v>
      </c>
      <c r="B2397" t="s">
        <v>3</v>
      </c>
      <c r="C2397" t="s">
        <v>83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0.32829999999999998</v>
      </c>
      <c r="K2397" t="s">
        <v>28</v>
      </c>
    </row>
    <row r="2398" spans="1:11" x14ac:dyDescent="0.45">
      <c r="A2398" t="s">
        <v>86</v>
      </c>
      <c r="B2398" t="s">
        <v>3</v>
      </c>
      <c r="C2398" t="s">
        <v>83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0.34</v>
      </c>
      <c r="K2398" t="s">
        <v>28</v>
      </c>
    </row>
    <row r="2399" spans="1:11" x14ac:dyDescent="0.45">
      <c r="A2399" t="s">
        <v>86</v>
      </c>
      <c r="B2399" t="s">
        <v>3</v>
      </c>
      <c r="C2399" t="s">
        <v>83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0.34610000000000002</v>
      </c>
      <c r="K2399" t="s">
        <v>28</v>
      </c>
    </row>
    <row r="2400" spans="1:11" x14ac:dyDescent="0.45">
      <c r="A2400" t="s">
        <v>86</v>
      </c>
      <c r="B2400" t="s">
        <v>3</v>
      </c>
      <c r="C2400" t="s">
        <v>83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0.35289999999999999</v>
      </c>
      <c r="K2400" t="s">
        <v>28</v>
      </c>
    </row>
    <row r="2401" spans="1:11" x14ac:dyDescent="0.45">
      <c r="A2401" t="s">
        <v>86</v>
      </c>
      <c r="B2401" t="s">
        <v>3</v>
      </c>
      <c r="C2401" t="s">
        <v>83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0.35630000000000001</v>
      </c>
      <c r="K2401" t="s">
        <v>28</v>
      </c>
    </row>
    <row r="2402" spans="1:11" x14ac:dyDescent="0.45">
      <c r="A2402" t="s">
        <v>86</v>
      </c>
      <c r="B2402" t="s">
        <v>3</v>
      </c>
      <c r="C2402" t="s">
        <v>83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0.36399999999999999</v>
      </c>
      <c r="K2402" t="s">
        <v>28</v>
      </c>
    </row>
    <row r="2403" spans="1:11" x14ac:dyDescent="0.45">
      <c r="A2403" t="s">
        <v>86</v>
      </c>
      <c r="B2403" t="s">
        <v>3</v>
      </c>
      <c r="C2403" t="s">
        <v>83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0.3659</v>
      </c>
      <c r="K2403" t="s">
        <v>28</v>
      </c>
    </row>
    <row r="2404" spans="1:11" x14ac:dyDescent="0.45">
      <c r="A2404" t="s">
        <v>86</v>
      </c>
      <c r="B2404" t="s">
        <v>3</v>
      </c>
      <c r="C2404" t="s">
        <v>83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0.37040000000000001</v>
      </c>
      <c r="K2404" t="s">
        <v>28</v>
      </c>
    </row>
    <row r="2405" spans="1:11" x14ac:dyDescent="0.45">
      <c r="A2405" t="s">
        <v>86</v>
      </c>
      <c r="B2405" t="s">
        <v>3</v>
      </c>
      <c r="C2405" t="s">
        <v>83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1.0699999999999999E-2</v>
      </c>
      <c r="K2405" t="s">
        <v>27</v>
      </c>
    </row>
    <row r="2406" spans="1:11" x14ac:dyDescent="0.45">
      <c r="A2406" t="s">
        <v>86</v>
      </c>
      <c r="B2406" t="s">
        <v>3</v>
      </c>
      <c r="C2406" t="s">
        <v>83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1.78E-2</v>
      </c>
      <c r="K2406" t="s">
        <v>27</v>
      </c>
    </row>
    <row r="2407" spans="1:11" x14ac:dyDescent="0.45">
      <c r="A2407" t="s">
        <v>86</v>
      </c>
      <c r="B2407" t="s">
        <v>3</v>
      </c>
      <c r="C2407" t="s">
        <v>83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3.8300000000000001E-2</v>
      </c>
      <c r="K2407" t="s">
        <v>27</v>
      </c>
    </row>
    <row r="2408" spans="1:11" x14ac:dyDescent="0.45">
      <c r="A2408" t="s">
        <v>86</v>
      </c>
      <c r="B2408" t="s">
        <v>3</v>
      </c>
      <c r="C2408" t="s">
        <v>83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7.3200000000000001E-2</v>
      </c>
      <c r="K2408" t="s">
        <v>27</v>
      </c>
    </row>
    <row r="2409" spans="1:11" x14ac:dyDescent="0.45">
      <c r="A2409" t="s">
        <v>86</v>
      </c>
      <c r="B2409" t="s">
        <v>3</v>
      </c>
      <c r="C2409" t="s">
        <v>83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0.1275</v>
      </c>
      <c r="K2409" t="s">
        <v>27</v>
      </c>
    </row>
    <row r="2410" spans="1:11" x14ac:dyDescent="0.45">
      <c r="A2410" t="s">
        <v>86</v>
      </c>
      <c r="B2410" t="s">
        <v>3</v>
      </c>
      <c r="C2410" t="s">
        <v>83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0.13930000000000001</v>
      </c>
      <c r="K2410" t="s">
        <v>27</v>
      </c>
    </row>
    <row r="2411" spans="1:11" x14ac:dyDescent="0.45">
      <c r="A2411" t="s">
        <v>86</v>
      </c>
      <c r="B2411" t="s">
        <v>3</v>
      </c>
      <c r="C2411" t="s">
        <v>83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0.13689999999999999</v>
      </c>
      <c r="K2411" t="s">
        <v>27</v>
      </c>
    </row>
    <row r="2412" spans="1:11" x14ac:dyDescent="0.45">
      <c r="A2412" t="s">
        <v>86</v>
      </c>
      <c r="B2412" t="s">
        <v>3</v>
      </c>
      <c r="C2412" t="s">
        <v>83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0.13700000000000001</v>
      </c>
      <c r="K2412" t="s">
        <v>27</v>
      </c>
    </row>
    <row r="2413" spans="1:11" x14ac:dyDescent="0.45">
      <c r="A2413" t="s">
        <v>86</v>
      </c>
      <c r="B2413" t="s">
        <v>3</v>
      </c>
      <c r="C2413" t="s">
        <v>83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0.13420000000000001</v>
      </c>
      <c r="K2413" t="s">
        <v>27</v>
      </c>
    </row>
    <row r="2414" spans="1:11" x14ac:dyDescent="0.45">
      <c r="A2414" t="s">
        <v>86</v>
      </c>
      <c r="B2414" t="s">
        <v>3</v>
      </c>
      <c r="C2414" t="s">
        <v>83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0.13250000000000001</v>
      </c>
      <c r="K2414" t="s">
        <v>27</v>
      </c>
    </row>
    <row r="2415" spans="1:11" x14ac:dyDescent="0.45">
      <c r="A2415" t="s">
        <v>86</v>
      </c>
      <c r="B2415" t="s">
        <v>3</v>
      </c>
      <c r="C2415" t="s">
        <v>83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0.13109999999999999</v>
      </c>
      <c r="K2415" t="s">
        <v>27</v>
      </c>
    </row>
    <row r="2416" spans="1:11" x14ac:dyDescent="0.45">
      <c r="A2416" t="s">
        <v>86</v>
      </c>
      <c r="B2416" t="s">
        <v>3</v>
      </c>
      <c r="C2416" t="s">
        <v>83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0.12709999999999999</v>
      </c>
      <c r="K2416" t="s">
        <v>27</v>
      </c>
    </row>
    <row r="2417" spans="1:11" x14ac:dyDescent="0.45">
      <c r="A2417" t="s">
        <v>86</v>
      </c>
      <c r="B2417" t="s">
        <v>3</v>
      </c>
      <c r="C2417" t="s">
        <v>83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0.1245</v>
      </c>
      <c r="K2417" t="s">
        <v>27</v>
      </c>
    </row>
    <row r="2418" spans="1:11" x14ac:dyDescent="0.45">
      <c r="A2418" t="s">
        <v>86</v>
      </c>
      <c r="B2418" t="s">
        <v>3</v>
      </c>
      <c r="C2418" t="s">
        <v>83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0.1216</v>
      </c>
      <c r="K2418" t="s">
        <v>27</v>
      </c>
    </row>
    <row r="2419" spans="1:11" x14ac:dyDescent="0.45">
      <c r="A2419" t="s">
        <v>86</v>
      </c>
      <c r="B2419" t="s">
        <v>3</v>
      </c>
      <c r="C2419" t="s">
        <v>83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0.11990000000000001</v>
      </c>
      <c r="K2419" t="s">
        <v>27</v>
      </c>
    </row>
    <row r="2420" spans="1:11" x14ac:dyDescent="0.45">
      <c r="A2420" t="s">
        <v>86</v>
      </c>
      <c r="B2420" t="s">
        <v>3</v>
      </c>
      <c r="C2420" t="s">
        <v>83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0.1193</v>
      </c>
      <c r="K2420" t="s">
        <v>27</v>
      </c>
    </row>
    <row r="2421" spans="1:11" x14ac:dyDescent="0.45">
      <c r="A2421" t="s">
        <v>86</v>
      </c>
      <c r="B2421" t="s">
        <v>3</v>
      </c>
      <c r="C2421" t="s">
        <v>83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0.1202</v>
      </c>
      <c r="K2421" t="s">
        <v>27</v>
      </c>
    </row>
    <row r="2422" spans="1:11" x14ac:dyDescent="0.45">
      <c r="A2422" t="s">
        <v>86</v>
      </c>
      <c r="B2422" t="s">
        <v>3</v>
      </c>
      <c r="C2422" t="s">
        <v>83</v>
      </c>
      <c r="D2422" t="s">
        <v>84</v>
      </c>
      <c r="E2422" t="s">
        <v>25</v>
      </c>
      <c r="F2422" t="s">
        <v>84</v>
      </c>
      <c r="G2422" t="s">
        <v>26</v>
      </c>
      <c r="H2422" t="s">
        <v>81</v>
      </c>
      <c r="I2422">
        <v>2020</v>
      </c>
      <c r="J2422">
        <v>4.7999999999999996E-3</v>
      </c>
      <c r="K2422" t="s">
        <v>84</v>
      </c>
    </row>
    <row r="2423" spans="1:11" x14ac:dyDescent="0.45">
      <c r="A2423" t="s">
        <v>86</v>
      </c>
      <c r="B2423" t="s">
        <v>3</v>
      </c>
      <c r="C2423" t="s">
        <v>83</v>
      </c>
      <c r="D2423" t="s">
        <v>84</v>
      </c>
      <c r="E2423" t="s">
        <v>25</v>
      </c>
      <c r="F2423" t="s">
        <v>84</v>
      </c>
      <c r="G2423" t="s">
        <v>26</v>
      </c>
      <c r="H2423" t="s">
        <v>81</v>
      </c>
      <c r="I2423">
        <v>2025</v>
      </c>
      <c r="J2423">
        <v>2.0299999999999999E-2</v>
      </c>
      <c r="K2423" t="s">
        <v>84</v>
      </c>
    </row>
    <row r="2424" spans="1:11" x14ac:dyDescent="0.45">
      <c r="A2424" t="s">
        <v>86</v>
      </c>
      <c r="B2424" t="s">
        <v>3</v>
      </c>
      <c r="C2424" t="s">
        <v>83</v>
      </c>
      <c r="D2424" t="s">
        <v>84</v>
      </c>
      <c r="E2424" t="s">
        <v>25</v>
      </c>
      <c r="F2424" t="s">
        <v>84</v>
      </c>
      <c r="G2424" t="s">
        <v>26</v>
      </c>
      <c r="H2424" t="s">
        <v>81</v>
      </c>
      <c r="I2424">
        <v>2030</v>
      </c>
      <c r="J2424">
        <v>4.7500000000000001E-2</v>
      </c>
      <c r="K2424" t="s">
        <v>84</v>
      </c>
    </row>
    <row r="2425" spans="1:11" x14ac:dyDescent="0.45">
      <c r="A2425" t="s">
        <v>86</v>
      </c>
      <c r="B2425" t="s">
        <v>3</v>
      </c>
      <c r="C2425" t="s">
        <v>83</v>
      </c>
      <c r="D2425" t="s">
        <v>84</v>
      </c>
      <c r="E2425" t="s">
        <v>25</v>
      </c>
      <c r="F2425" t="s">
        <v>84</v>
      </c>
      <c r="G2425" t="s">
        <v>26</v>
      </c>
      <c r="H2425" t="s">
        <v>81</v>
      </c>
      <c r="I2425">
        <v>2035</v>
      </c>
      <c r="J2425">
        <v>6.3700000000000007E-2</v>
      </c>
      <c r="K2425" t="s">
        <v>84</v>
      </c>
    </row>
    <row r="2426" spans="1:11" x14ac:dyDescent="0.45">
      <c r="A2426" t="s">
        <v>86</v>
      </c>
      <c r="B2426" t="s">
        <v>3</v>
      </c>
      <c r="C2426" t="s">
        <v>83</v>
      </c>
      <c r="D2426" t="s">
        <v>84</v>
      </c>
      <c r="E2426" t="s">
        <v>25</v>
      </c>
      <c r="F2426" t="s">
        <v>84</v>
      </c>
      <c r="G2426" t="s">
        <v>26</v>
      </c>
      <c r="H2426" t="s">
        <v>81</v>
      </c>
      <c r="I2426">
        <v>2040</v>
      </c>
      <c r="J2426">
        <v>6.9500000000000006E-2</v>
      </c>
      <c r="K2426" t="s">
        <v>84</v>
      </c>
    </row>
    <row r="2427" spans="1:11" x14ac:dyDescent="0.45">
      <c r="A2427" t="s">
        <v>86</v>
      </c>
      <c r="B2427" t="s">
        <v>3</v>
      </c>
      <c r="C2427" t="s">
        <v>83</v>
      </c>
      <c r="D2427" t="s">
        <v>84</v>
      </c>
      <c r="E2427" t="s">
        <v>25</v>
      </c>
      <c r="F2427" t="s">
        <v>84</v>
      </c>
      <c r="G2427" t="s">
        <v>26</v>
      </c>
      <c r="H2427" t="s">
        <v>81</v>
      </c>
      <c r="I2427">
        <v>2045</v>
      </c>
      <c r="J2427">
        <v>7.0099999999999996E-2</v>
      </c>
      <c r="K2427" t="s">
        <v>84</v>
      </c>
    </row>
    <row r="2428" spans="1:11" x14ac:dyDescent="0.45">
      <c r="A2428" t="s">
        <v>86</v>
      </c>
      <c r="B2428" t="s">
        <v>3</v>
      </c>
      <c r="C2428" t="s">
        <v>83</v>
      </c>
      <c r="D2428" t="s">
        <v>84</v>
      </c>
      <c r="E2428" t="s">
        <v>25</v>
      </c>
      <c r="F2428" t="s">
        <v>84</v>
      </c>
      <c r="G2428" t="s">
        <v>26</v>
      </c>
      <c r="H2428" t="s">
        <v>81</v>
      </c>
      <c r="I2428">
        <v>2050</v>
      </c>
      <c r="J2428">
        <v>7.0800000000000002E-2</v>
      </c>
      <c r="K2428" t="s">
        <v>84</v>
      </c>
    </row>
    <row r="2429" spans="1:11" x14ac:dyDescent="0.45">
      <c r="A2429" t="s">
        <v>86</v>
      </c>
      <c r="B2429" t="s">
        <v>3</v>
      </c>
      <c r="C2429" t="s">
        <v>83</v>
      </c>
      <c r="D2429" t="s">
        <v>84</v>
      </c>
      <c r="E2429" t="s">
        <v>25</v>
      </c>
      <c r="F2429" t="s">
        <v>84</v>
      </c>
      <c r="G2429" t="s">
        <v>26</v>
      </c>
      <c r="H2429" t="s">
        <v>81</v>
      </c>
      <c r="I2429">
        <v>2055</v>
      </c>
      <c r="J2429">
        <v>7.2599999999999998E-2</v>
      </c>
      <c r="K2429" t="s">
        <v>84</v>
      </c>
    </row>
    <row r="2430" spans="1:11" x14ac:dyDescent="0.45">
      <c r="A2430" t="s">
        <v>86</v>
      </c>
      <c r="B2430" t="s">
        <v>3</v>
      </c>
      <c r="C2430" t="s">
        <v>83</v>
      </c>
      <c r="D2430" t="s">
        <v>84</v>
      </c>
      <c r="E2430" t="s">
        <v>25</v>
      </c>
      <c r="F2430" t="s">
        <v>84</v>
      </c>
      <c r="G2430" t="s">
        <v>26</v>
      </c>
      <c r="H2430" t="s">
        <v>81</v>
      </c>
      <c r="I2430">
        <v>2060</v>
      </c>
      <c r="J2430">
        <v>0.10290000000000001</v>
      </c>
      <c r="K2430" t="s">
        <v>84</v>
      </c>
    </row>
    <row r="2431" spans="1:11" x14ac:dyDescent="0.45">
      <c r="A2431" t="s">
        <v>86</v>
      </c>
      <c r="B2431" t="s">
        <v>3</v>
      </c>
      <c r="C2431" t="s">
        <v>83</v>
      </c>
      <c r="D2431" t="s">
        <v>84</v>
      </c>
      <c r="E2431" t="s">
        <v>25</v>
      </c>
      <c r="F2431" t="s">
        <v>84</v>
      </c>
      <c r="G2431" t="s">
        <v>26</v>
      </c>
      <c r="H2431" t="s">
        <v>81</v>
      </c>
      <c r="I2431">
        <v>2065</v>
      </c>
      <c r="J2431">
        <v>0.1109</v>
      </c>
      <c r="K2431" t="s">
        <v>84</v>
      </c>
    </row>
    <row r="2432" spans="1:11" x14ac:dyDescent="0.45">
      <c r="A2432" t="s">
        <v>86</v>
      </c>
      <c r="B2432" t="s">
        <v>3</v>
      </c>
      <c r="C2432" t="s">
        <v>83</v>
      </c>
      <c r="D2432" t="s">
        <v>84</v>
      </c>
      <c r="E2432" t="s">
        <v>25</v>
      </c>
      <c r="F2432" t="s">
        <v>84</v>
      </c>
      <c r="G2432" t="s">
        <v>26</v>
      </c>
      <c r="H2432" t="s">
        <v>81</v>
      </c>
      <c r="I2432">
        <v>2070</v>
      </c>
      <c r="J2432">
        <v>0.1081</v>
      </c>
      <c r="K2432" t="s">
        <v>84</v>
      </c>
    </row>
    <row r="2433" spans="1:12" x14ac:dyDescent="0.45">
      <c r="A2433" t="s">
        <v>86</v>
      </c>
      <c r="B2433" t="s">
        <v>3</v>
      </c>
      <c r="C2433" t="s">
        <v>83</v>
      </c>
      <c r="D2433" t="s">
        <v>84</v>
      </c>
      <c r="E2433" t="s">
        <v>25</v>
      </c>
      <c r="F2433" t="s">
        <v>84</v>
      </c>
      <c r="G2433" t="s">
        <v>26</v>
      </c>
      <c r="H2433" t="s">
        <v>81</v>
      </c>
      <c r="I2433">
        <v>2075</v>
      </c>
      <c r="J2433">
        <v>0.1198</v>
      </c>
      <c r="K2433" t="s">
        <v>84</v>
      </c>
    </row>
    <row r="2434" spans="1:12" x14ac:dyDescent="0.45">
      <c r="A2434" t="s">
        <v>86</v>
      </c>
      <c r="B2434" t="s">
        <v>3</v>
      </c>
      <c r="C2434" t="s">
        <v>83</v>
      </c>
      <c r="D2434" t="s">
        <v>84</v>
      </c>
      <c r="E2434" t="s">
        <v>25</v>
      </c>
      <c r="F2434" t="s">
        <v>84</v>
      </c>
      <c r="G2434" t="s">
        <v>26</v>
      </c>
      <c r="H2434" t="s">
        <v>81</v>
      </c>
      <c r="I2434">
        <v>2080</v>
      </c>
      <c r="J2434">
        <v>0.11940000000000001</v>
      </c>
      <c r="K2434" t="s">
        <v>84</v>
      </c>
    </row>
    <row r="2435" spans="1:12" x14ac:dyDescent="0.45">
      <c r="A2435" t="s">
        <v>86</v>
      </c>
      <c r="B2435" t="s">
        <v>3</v>
      </c>
      <c r="C2435" t="s">
        <v>83</v>
      </c>
      <c r="D2435" t="s">
        <v>84</v>
      </c>
      <c r="E2435" t="s">
        <v>25</v>
      </c>
      <c r="F2435" t="s">
        <v>84</v>
      </c>
      <c r="G2435" t="s">
        <v>26</v>
      </c>
      <c r="H2435" t="s">
        <v>81</v>
      </c>
      <c r="I2435">
        <v>2085</v>
      </c>
      <c r="J2435">
        <v>0.1197</v>
      </c>
      <c r="K2435" t="s">
        <v>84</v>
      </c>
    </row>
    <row r="2436" spans="1:12" x14ac:dyDescent="0.45">
      <c r="A2436" t="s">
        <v>86</v>
      </c>
      <c r="B2436" t="s">
        <v>3</v>
      </c>
      <c r="C2436" t="s">
        <v>83</v>
      </c>
      <c r="D2436" t="s">
        <v>84</v>
      </c>
      <c r="E2436" t="s">
        <v>25</v>
      </c>
      <c r="F2436" t="s">
        <v>84</v>
      </c>
      <c r="G2436" t="s">
        <v>26</v>
      </c>
      <c r="H2436" t="s">
        <v>81</v>
      </c>
      <c r="I2436">
        <v>2090</v>
      </c>
      <c r="J2436">
        <v>0.11609999999999999</v>
      </c>
      <c r="K2436" t="s">
        <v>84</v>
      </c>
    </row>
    <row r="2437" spans="1:12" x14ac:dyDescent="0.45">
      <c r="A2437" t="s">
        <v>86</v>
      </c>
      <c r="B2437" t="s">
        <v>3</v>
      </c>
      <c r="C2437" t="s">
        <v>83</v>
      </c>
      <c r="D2437" t="s">
        <v>84</v>
      </c>
      <c r="E2437" t="s">
        <v>25</v>
      </c>
      <c r="F2437" t="s">
        <v>84</v>
      </c>
      <c r="G2437" t="s">
        <v>26</v>
      </c>
      <c r="H2437" t="s">
        <v>81</v>
      </c>
      <c r="I2437">
        <v>2095</v>
      </c>
      <c r="J2437">
        <v>0.107</v>
      </c>
      <c r="K2437" t="s">
        <v>84</v>
      </c>
    </row>
    <row r="2438" spans="1:12" x14ac:dyDescent="0.45">
      <c r="A2438" t="s">
        <v>86</v>
      </c>
      <c r="B2438" t="s">
        <v>3</v>
      </c>
      <c r="C2438" t="s">
        <v>83</v>
      </c>
      <c r="D2438" t="s">
        <v>84</v>
      </c>
      <c r="E2438" t="s">
        <v>25</v>
      </c>
      <c r="F2438" t="s">
        <v>84</v>
      </c>
      <c r="G2438" t="s">
        <v>26</v>
      </c>
      <c r="H2438" t="s">
        <v>81</v>
      </c>
      <c r="I2438">
        <v>2100</v>
      </c>
      <c r="J2438">
        <v>9.7000000000000003E-2</v>
      </c>
      <c r="K2438" t="s">
        <v>84</v>
      </c>
    </row>
    <row r="2439" spans="1:12" x14ac:dyDescent="0.45">
      <c r="A2439" t="s">
        <v>86</v>
      </c>
      <c r="B2439" t="s">
        <v>3</v>
      </c>
      <c r="C2439" t="s">
        <v>83</v>
      </c>
      <c r="D2439" t="s">
        <v>52</v>
      </c>
      <c r="E2439" t="s">
        <v>25</v>
      </c>
      <c r="F2439" t="s">
        <v>52</v>
      </c>
      <c r="G2439" t="s">
        <v>70</v>
      </c>
      <c r="I2439">
        <v>2020</v>
      </c>
      <c r="J2439">
        <v>0.32650000000000001</v>
      </c>
      <c r="K2439" t="s">
        <v>52</v>
      </c>
      <c r="L2439">
        <v>94</v>
      </c>
    </row>
    <row r="2440" spans="1:12" x14ac:dyDescent="0.45">
      <c r="A2440" t="s">
        <v>86</v>
      </c>
      <c r="B2440" t="s">
        <v>3</v>
      </c>
      <c r="C2440" t="s">
        <v>83</v>
      </c>
      <c r="D2440" t="s">
        <v>52</v>
      </c>
      <c r="E2440" t="s">
        <v>25</v>
      </c>
      <c r="F2440" t="s">
        <v>52</v>
      </c>
      <c r="G2440" t="s">
        <v>70</v>
      </c>
      <c r="I2440">
        <v>2025</v>
      </c>
      <c r="J2440">
        <v>0.29709999999999998</v>
      </c>
      <c r="K2440" t="s">
        <v>52</v>
      </c>
      <c r="L2440">
        <v>94</v>
      </c>
    </row>
    <row r="2441" spans="1:12" x14ac:dyDescent="0.45">
      <c r="A2441" t="s">
        <v>86</v>
      </c>
      <c r="B2441" t="s">
        <v>3</v>
      </c>
      <c r="C2441" t="s">
        <v>83</v>
      </c>
      <c r="D2441" t="s">
        <v>52</v>
      </c>
      <c r="E2441" t="s">
        <v>25</v>
      </c>
      <c r="F2441" t="s">
        <v>52</v>
      </c>
      <c r="G2441" t="s">
        <v>70</v>
      </c>
      <c r="I2441">
        <v>2030</v>
      </c>
      <c r="J2441">
        <v>0.21440000000000001</v>
      </c>
      <c r="K2441" t="s">
        <v>52</v>
      </c>
      <c r="L2441">
        <v>94</v>
      </c>
    </row>
    <row r="2442" spans="1:12" x14ac:dyDescent="0.45">
      <c r="A2442" t="s">
        <v>86</v>
      </c>
      <c r="B2442" t="s">
        <v>3</v>
      </c>
      <c r="C2442" t="s">
        <v>83</v>
      </c>
      <c r="D2442" t="s">
        <v>52</v>
      </c>
      <c r="E2442" t="s">
        <v>25</v>
      </c>
      <c r="F2442" t="s">
        <v>52</v>
      </c>
      <c r="G2442" t="s">
        <v>70</v>
      </c>
      <c r="I2442">
        <v>2035</v>
      </c>
      <c r="J2442">
        <v>9.2999999999999999E-2</v>
      </c>
      <c r="K2442" t="s">
        <v>52</v>
      </c>
      <c r="L2442">
        <v>94</v>
      </c>
    </row>
    <row r="2443" spans="1:12" x14ac:dyDescent="0.45">
      <c r="A2443" t="s">
        <v>86</v>
      </c>
      <c r="B2443" t="s">
        <v>3</v>
      </c>
      <c r="C2443" t="s">
        <v>83</v>
      </c>
      <c r="D2443" t="s">
        <v>52</v>
      </c>
      <c r="E2443" t="s">
        <v>25</v>
      </c>
      <c r="F2443" t="s">
        <v>52</v>
      </c>
      <c r="G2443" t="s">
        <v>70</v>
      </c>
      <c r="I2443">
        <v>2040</v>
      </c>
      <c r="J2443">
        <v>4.2099999999999999E-2</v>
      </c>
      <c r="K2443" t="s">
        <v>52</v>
      </c>
      <c r="L2443">
        <v>94</v>
      </c>
    </row>
    <row r="2444" spans="1:12" x14ac:dyDescent="0.45">
      <c r="A2444" t="s">
        <v>86</v>
      </c>
      <c r="B2444" t="s">
        <v>3</v>
      </c>
      <c r="C2444" t="s">
        <v>83</v>
      </c>
      <c r="D2444" t="s">
        <v>52</v>
      </c>
      <c r="E2444" t="s">
        <v>25</v>
      </c>
      <c r="F2444" t="s">
        <v>52</v>
      </c>
      <c r="G2444" t="s">
        <v>70</v>
      </c>
      <c r="I2444">
        <v>2045</v>
      </c>
      <c r="J2444">
        <v>0.01</v>
      </c>
      <c r="K2444" t="s">
        <v>52</v>
      </c>
      <c r="L2444">
        <v>94</v>
      </c>
    </row>
    <row r="2445" spans="1:12" x14ac:dyDescent="0.45">
      <c r="A2445" t="s">
        <v>86</v>
      </c>
      <c r="B2445" t="s">
        <v>3</v>
      </c>
      <c r="C2445" t="s">
        <v>83</v>
      </c>
      <c r="D2445" t="s">
        <v>52</v>
      </c>
      <c r="E2445" t="s">
        <v>25</v>
      </c>
      <c r="F2445" t="s">
        <v>52</v>
      </c>
      <c r="G2445" t="s">
        <v>70</v>
      </c>
      <c r="I2445">
        <v>2050</v>
      </c>
      <c r="J2445">
        <v>1E-4</v>
      </c>
      <c r="K2445" t="s">
        <v>52</v>
      </c>
      <c r="L2445">
        <v>94</v>
      </c>
    </row>
    <row r="2446" spans="1:12" x14ac:dyDescent="0.45">
      <c r="A2446" t="s">
        <v>86</v>
      </c>
      <c r="B2446" t="s">
        <v>3</v>
      </c>
      <c r="C2446" t="s">
        <v>83</v>
      </c>
      <c r="D2446" t="s">
        <v>52</v>
      </c>
      <c r="E2446" t="s">
        <v>25</v>
      </c>
      <c r="F2446" t="s">
        <v>52</v>
      </c>
      <c r="G2446" t="s">
        <v>70</v>
      </c>
      <c r="I2446">
        <v>2055</v>
      </c>
      <c r="J2446">
        <v>1E-4</v>
      </c>
      <c r="K2446" t="s">
        <v>52</v>
      </c>
      <c r="L2446">
        <v>94</v>
      </c>
    </row>
    <row r="2447" spans="1:12" x14ac:dyDescent="0.45">
      <c r="A2447" t="s">
        <v>86</v>
      </c>
      <c r="B2447" t="s">
        <v>3</v>
      </c>
      <c r="C2447" t="s">
        <v>83</v>
      </c>
      <c r="D2447" t="s">
        <v>52</v>
      </c>
      <c r="E2447" t="s">
        <v>25</v>
      </c>
      <c r="F2447" t="s">
        <v>52</v>
      </c>
      <c r="G2447" t="s">
        <v>70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86</v>
      </c>
      <c r="B2448" t="s">
        <v>3</v>
      </c>
      <c r="C2448" t="s">
        <v>83</v>
      </c>
      <c r="D2448" t="s">
        <v>52</v>
      </c>
      <c r="E2448" t="s">
        <v>25</v>
      </c>
      <c r="F2448" t="s">
        <v>52</v>
      </c>
      <c r="G2448" t="s">
        <v>70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86</v>
      </c>
      <c r="B2449" t="s">
        <v>3</v>
      </c>
      <c r="C2449" t="s">
        <v>83</v>
      </c>
      <c r="D2449" t="s">
        <v>52</v>
      </c>
      <c r="E2449" t="s">
        <v>25</v>
      </c>
      <c r="F2449" t="s">
        <v>52</v>
      </c>
      <c r="G2449" t="s">
        <v>70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86</v>
      </c>
      <c r="B2450" t="s">
        <v>3</v>
      </c>
      <c r="C2450" t="s">
        <v>83</v>
      </c>
      <c r="D2450" t="s">
        <v>52</v>
      </c>
      <c r="E2450" t="s">
        <v>25</v>
      </c>
      <c r="F2450" t="s">
        <v>52</v>
      </c>
      <c r="G2450" t="s">
        <v>70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86</v>
      </c>
      <c r="B2451" t="s">
        <v>3</v>
      </c>
      <c r="C2451" t="s">
        <v>83</v>
      </c>
      <c r="D2451" t="s">
        <v>52</v>
      </c>
      <c r="E2451" t="s">
        <v>25</v>
      </c>
      <c r="F2451" t="s">
        <v>52</v>
      </c>
      <c r="G2451" t="s">
        <v>70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86</v>
      </c>
      <c r="B2452" t="s">
        <v>3</v>
      </c>
      <c r="C2452" t="s">
        <v>83</v>
      </c>
      <c r="D2452" t="s">
        <v>52</v>
      </c>
      <c r="E2452" t="s">
        <v>25</v>
      </c>
      <c r="F2452" t="s">
        <v>52</v>
      </c>
      <c r="G2452" t="s">
        <v>70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86</v>
      </c>
      <c r="B2453" t="s">
        <v>3</v>
      </c>
      <c r="C2453" t="s">
        <v>83</v>
      </c>
      <c r="D2453" t="s">
        <v>52</v>
      </c>
      <c r="E2453" t="s">
        <v>25</v>
      </c>
      <c r="F2453" t="s">
        <v>52</v>
      </c>
      <c r="G2453" t="s">
        <v>70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86</v>
      </c>
      <c r="B2454" t="s">
        <v>3</v>
      </c>
      <c r="C2454" t="s">
        <v>83</v>
      </c>
      <c r="D2454" t="s">
        <v>52</v>
      </c>
      <c r="E2454" t="s">
        <v>25</v>
      </c>
      <c r="F2454" t="s">
        <v>52</v>
      </c>
      <c r="G2454" t="s">
        <v>70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86</v>
      </c>
      <c r="B2455" t="s">
        <v>3</v>
      </c>
      <c r="C2455" t="s">
        <v>83</v>
      </c>
      <c r="D2455" t="s">
        <v>52</v>
      </c>
      <c r="E2455" t="s">
        <v>25</v>
      </c>
      <c r="F2455" t="s">
        <v>52</v>
      </c>
      <c r="G2455" t="s">
        <v>70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86</v>
      </c>
      <c r="B2456" t="s">
        <v>3</v>
      </c>
      <c r="C2456" t="s">
        <v>83</v>
      </c>
      <c r="D2456" t="s">
        <v>53</v>
      </c>
      <c r="E2456" t="s">
        <v>25</v>
      </c>
      <c r="F2456" t="s">
        <v>53</v>
      </c>
      <c r="G2456" t="s">
        <v>70</v>
      </c>
      <c r="I2456">
        <v>2020</v>
      </c>
      <c r="J2456">
        <v>0.10829999999999999</v>
      </c>
      <c r="K2456" t="s">
        <v>53</v>
      </c>
      <c r="L2456">
        <v>55</v>
      </c>
    </row>
    <row r="2457" spans="1:12" x14ac:dyDescent="0.45">
      <c r="A2457" t="s">
        <v>86</v>
      </c>
      <c r="B2457" t="s">
        <v>3</v>
      </c>
      <c r="C2457" t="s">
        <v>83</v>
      </c>
      <c r="D2457" t="s">
        <v>53</v>
      </c>
      <c r="E2457" t="s">
        <v>25</v>
      </c>
      <c r="F2457" t="s">
        <v>53</v>
      </c>
      <c r="G2457" t="s">
        <v>70</v>
      </c>
      <c r="I2457">
        <v>2025</v>
      </c>
      <c r="J2457">
        <v>0.1231</v>
      </c>
      <c r="K2457" t="s">
        <v>53</v>
      </c>
      <c r="L2457">
        <v>55</v>
      </c>
    </row>
    <row r="2458" spans="1:12" x14ac:dyDescent="0.45">
      <c r="A2458" t="s">
        <v>86</v>
      </c>
      <c r="B2458" t="s">
        <v>3</v>
      </c>
      <c r="C2458" t="s">
        <v>83</v>
      </c>
      <c r="D2458" t="s">
        <v>53</v>
      </c>
      <c r="E2458" t="s">
        <v>25</v>
      </c>
      <c r="F2458" t="s">
        <v>53</v>
      </c>
      <c r="G2458" t="s">
        <v>70</v>
      </c>
      <c r="I2458">
        <v>2030</v>
      </c>
      <c r="J2458">
        <v>0.14000000000000001</v>
      </c>
      <c r="K2458" t="s">
        <v>53</v>
      </c>
      <c r="L2458">
        <v>55</v>
      </c>
    </row>
    <row r="2459" spans="1:12" x14ac:dyDescent="0.45">
      <c r="A2459" t="s">
        <v>86</v>
      </c>
      <c r="B2459" t="s">
        <v>3</v>
      </c>
      <c r="C2459" t="s">
        <v>83</v>
      </c>
      <c r="D2459" t="s">
        <v>53</v>
      </c>
      <c r="E2459" t="s">
        <v>25</v>
      </c>
      <c r="F2459" t="s">
        <v>53</v>
      </c>
      <c r="G2459" t="s">
        <v>70</v>
      </c>
      <c r="I2459">
        <v>2035</v>
      </c>
      <c r="J2459">
        <v>9.2700000000000005E-2</v>
      </c>
      <c r="K2459" t="s">
        <v>53</v>
      </c>
      <c r="L2459">
        <v>55</v>
      </c>
    </row>
    <row r="2460" spans="1:12" x14ac:dyDescent="0.45">
      <c r="A2460" t="s">
        <v>86</v>
      </c>
      <c r="B2460" t="s">
        <v>3</v>
      </c>
      <c r="C2460" t="s">
        <v>83</v>
      </c>
      <c r="D2460" t="s">
        <v>53</v>
      </c>
      <c r="E2460" t="s">
        <v>25</v>
      </c>
      <c r="F2460" t="s">
        <v>53</v>
      </c>
      <c r="G2460" t="s">
        <v>70</v>
      </c>
      <c r="I2460">
        <v>2040</v>
      </c>
      <c r="J2460">
        <v>5.8099999999999999E-2</v>
      </c>
      <c r="K2460" t="s">
        <v>53</v>
      </c>
      <c r="L2460">
        <v>55</v>
      </c>
    </row>
    <row r="2461" spans="1:12" x14ac:dyDescent="0.45">
      <c r="A2461" t="s">
        <v>86</v>
      </c>
      <c r="B2461" t="s">
        <v>3</v>
      </c>
      <c r="C2461" t="s">
        <v>83</v>
      </c>
      <c r="D2461" t="s">
        <v>53</v>
      </c>
      <c r="E2461" t="s">
        <v>25</v>
      </c>
      <c r="F2461" t="s">
        <v>53</v>
      </c>
      <c r="G2461" t="s">
        <v>70</v>
      </c>
      <c r="I2461">
        <v>2045</v>
      </c>
      <c r="J2461">
        <v>2.3800000000000002E-2</v>
      </c>
      <c r="K2461" t="s">
        <v>53</v>
      </c>
      <c r="L2461">
        <v>55</v>
      </c>
    </row>
    <row r="2462" spans="1:12" x14ac:dyDescent="0.45">
      <c r="A2462" t="s">
        <v>86</v>
      </c>
      <c r="B2462" t="s">
        <v>3</v>
      </c>
      <c r="C2462" t="s">
        <v>83</v>
      </c>
      <c r="D2462" t="s">
        <v>53</v>
      </c>
      <c r="E2462" t="s">
        <v>25</v>
      </c>
      <c r="F2462" t="s">
        <v>53</v>
      </c>
      <c r="G2462" t="s">
        <v>70</v>
      </c>
      <c r="I2462">
        <v>2050</v>
      </c>
      <c r="J2462">
        <v>4.1999999999999997E-3</v>
      </c>
      <c r="K2462" t="s">
        <v>53</v>
      </c>
      <c r="L2462">
        <v>55</v>
      </c>
    </row>
    <row r="2463" spans="1:12" x14ac:dyDescent="0.45">
      <c r="A2463" t="s">
        <v>86</v>
      </c>
      <c r="B2463" t="s">
        <v>3</v>
      </c>
      <c r="C2463" t="s">
        <v>83</v>
      </c>
      <c r="D2463" t="s">
        <v>53</v>
      </c>
      <c r="E2463" t="s">
        <v>25</v>
      </c>
      <c r="F2463" t="s">
        <v>53</v>
      </c>
      <c r="G2463" t="s">
        <v>70</v>
      </c>
      <c r="I2463">
        <v>2055</v>
      </c>
      <c r="J2463">
        <v>2.2000000000000001E-3</v>
      </c>
      <c r="K2463" t="s">
        <v>53</v>
      </c>
      <c r="L2463">
        <v>55</v>
      </c>
    </row>
    <row r="2464" spans="1:12" x14ac:dyDescent="0.45">
      <c r="A2464" t="s">
        <v>86</v>
      </c>
      <c r="B2464" t="s">
        <v>3</v>
      </c>
      <c r="C2464" t="s">
        <v>83</v>
      </c>
      <c r="D2464" t="s">
        <v>53</v>
      </c>
      <c r="E2464" t="s">
        <v>25</v>
      </c>
      <c r="F2464" t="s">
        <v>53</v>
      </c>
      <c r="G2464" t="s">
        <v>70</v>
      </c>
      <c r="I2464">
        <v>2060</v>
      </c>
      <c r="J2464">
        <v>1.9E-3</v>
      </c>
      <c r="K2464" t="s">
        <v>53</v>
      </c>
      <c r="L2464">
        <v>55</v>
      </c>
    </row>
    <row r="2465" spans="1:12" x14ac:dyDescent="0.45">
      <c r="A2465" t="s">
        <v>86</v>
      </c>
      <c r="B2465" t="s">
        <v>3</v>
      </c>
      <c r="C2465" t="s">
        <v>83</v>
      </c>
      <c r="D2465" t="s">
        <v>53</v>
      </c>
      <c r="E2465" t="s">
        <v>25</v>
      </c>
      <c r="F2465" t="s">
        <v>53</v>
      </c>
      <c r="G2465" t="s">
        <v>70</v>
      </c>
      <c r="I2465">
        <v>2065</v>
      </c>
      <c r="J2465">
        <v>1.6999999999999999E-3</v>
      </c>
      <c r="K2465" t="s">
        <v>53</v>
      </c>
      <c r="L2465">
        <v>55</v>
      </c>
    </row>
    <row r="2466" spans="1:12" x14ac:dyDescent="0.45">
      <c r="A2466" t="s">
        <v>86</v>
      </c>
      <c r="B2466" t="s">
        <v>3</v>
      </c>
      <c r="C2466" t="s">
        <v>83</v>
      </c>
      <c r="D2466" t="s">
        <v>53</v>
      </c>
      <c r="E2466" t="s">
        <v>25</v>
      </c>
      <c r="F2466" t="s">
        <v>53</v>
      </c>
      <c r="G2466" t="s">
        <v>70</v>
      </c>
      <c r="I2466">
        <v>2070</v>
      </c>
      <c r="J2466">
        <v>1.5E-3</v>
      </c>
      <c r="K2466" t="s">
        <v>53</v>
      </c>
      <c r="L2466">
        <v>55</v>
      </c>
    </row>
    <row r="2467" spans="1:12" x14ac:dyDescent="0.45">
      <c r="A2467" t="s">
        <v>86</v>
      </c>
      <c r="B2467" t="s">
        <v>3</v>
      </c>
      <c r="C2467" t="s">
        <v>83</v>
      </c>
      <c r="D2467" t="s">
        <v>53</v>
      </c>
      <c r="E2467" t="s">
        <v>25</v>
      </c>
      <c r="F2467" t="s">
        <v>53</v>
      </c>
      <c r="G2467" t="s">
        <v>70</v>
      </c>
      <c r="I2467">
        <v>2075</v>
      </c>
      <c r="J2467">
        <v>1.1999999999999999E-3</v>
      </c>
      <c r="K2467" t="s">
        <v>53</v>
      </c>
      <c r="L2467">
        <v>55</v>
      </c>
    </row>
    <row r="2468" spans="1:12" x14ac:dyDescent="0.45">
      <c r="A2468" t="s">
        <v>86</v>
      </c>
      <c r="B2468" t="s">
        <v>3</v>
      </c>
      <c r="C2468" t="s">
        <v>83</v>
      </c>
      <c r="D2468" t="s">
        <v>53</v>
      </c>
      <c r="E2468" t="s">
        <v>25</v>
      </c>
      <c r="F2468" t="s">
        <v>53</v>
      </c>
      <c r="G2468" t="s">
        <v>70</v>
      </c>
      <c r="I2468">
        <v>2080</v>
      </c>
      <c r="J2468">
        <v>8.0000000000000004E-4</v>
      </c>
      <c r="K2468" t="s">
        <v>53</v>
      </c>
      <c r="L2468">
        <v>55</v>
      </c>
    </row>
    <row r="2469" spans="1:12" x14ac:dyDescent="0.45">
      <c r="A2469" t="s">
        <v>86</v>
      </c>
      <c r="B2469" t="s">
        <v>3</v>
      </c>
      <c r="C2469" t="s">
        <v>83</v>
      </c>
      <c r="D2469" t="s">
        <v>53</v>
      </c>
      <c r="E2469" t="s">
        <v>25</v>
      </c>
      <c r="F2469" t="s">
        <v>53</v>
      </c>
      <c r="G2469" t="s">
        <v>70</v>
      </c>
      <c r="I2469">
        <v>2085</v>
      </c>
      <c r="J2469">
        <v>5.0000000000000001E-4</v>
      </c>
      <c r="K2469" t="s">
        <v>53</v>
      </c>
      <c r="L2469">
        <v>55</v>
      </c>
    </row>
    <row r="2470" spans="1:12" x14ac:dyDescent="0.45">
      <c r="A2470" t="s">
        <v>86</v>
      </c>
      <c r="B2470" t="s">
        <v>3</v>
      </c>
      <c r="C2470" t="s">
        <v>83</v>
      </c>
      <c r="D2470" t="s">
        <v>53</v>
      </c>
      <c r="E2470" t="s">
        <v>25</v>
      </c>
      <c r="F2470" t="s">
        <v>53</v>
      </c>
      <c r="G2470" t="s">
        <v>70</v>
      </c>
      <c r="I2470">
        <v>2090</v>
      </c>
      <c r="J2470">
        <v>2.0000000000000001E-4</v>
      </c>
      <c r="K2470" t="s">
        <v>53</v>
      </c>
      <c r="L2470">
        <v>55</v>
      </c>
    </row>
    <row r="2471" spans="1:12" x14ac:dyDescent="0.45">
      <c r="A2471" t="s">
        <v>86</v>
      </c>
      <c r="B2471" t="s">
        <v>3</v>
      </c>
      <c r="C2471" t="s">
        <v>83</v>
      </c>
      <c r="D2471" t="s">
        <v>53</v>
      </c>
      <c r="E2471" t="s">
        <v>25</v>
      </c>
      <c r="F2471" t="s">
        <v>53</v>
      </c>
      <c r="G2471" t="s">
        <v>70</v>
      </c>
      <c r="I2471">
        <v>2095</v>
      </c>
      <c r="J2471">
        <v>1E-4</v>
      </c>
      <c r="K2471" t="s">
        <v>53</v>
      </c>
      <c r="L2471">
        <v>55</v>
      </c>
    </row>
    <row r="2472" spans="1:12" x14ac:dyDescent="0.45">
      <c r="A2472" t="s">
        <v>86</v>
      </c>
      <c r="B2472" t="s">
        <v>3</v>
      </c>
      <c r="C2472" t="s">
        <v>83</v>
      </c>
      <c r="D2472" t="s">
        <v>53</v>
      </c>
      <c r="E2472" t="s">
        <v>25</v>
      </c>
      <c r="F2472" t="s">
        <v>53</v>
      </c>
      <c r="G2472" t="s">
        <v>70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86</v>
      </c>
      <c r="B2473" t="s">
        <v>3</v>
      </c>
      <c r="C2473" t="s">
        <v>83</v>
      </c>
      <c r="D2473" t="s">
        <v>54</v>
      </c>
      <c r="E2473" t="s">
        <v>25</v>
      </c>
      <c r="F2473" t="s">
        <v>54</v>
      </c>
      <c r="G2473" t="s">
        <v>70</v>
      </c>
      <c r="I2473">
        <v>2020</v>
      </c>
      <c r="J2473">
        <v>0</v>
      </c>
      <c r="K2473" t="s">
        <v>54</v>
      </c>
      <c r="L2473">
        <v>70</v>
      </c>
    </row>
    <row r="2474" spans="1:12" x14ac:dyDescent="0.45">
      <c r="A2474" t="s">
        <v>86</v>
      </c>
      <c r="B2474" t="s">
        <v>3</v>
      </c>
      <c r="C2474" t="s">
        <v>83</v>
      </c>
      <c r="D2474" t="s">
        <v>54</v>
      </c>
      <c r="E2474" t="s">
        <v>25</v>
      </c>
      <c r="F2474" t="s">
        <v>54</v>
      </c>
      <c r="G2474" t="s">
        <v>70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86</v>
      </c>
      <c r="B2475" t="s">
        <v>3</v>
      </c>
      <c r="C2475" t="s">
        <v>83</v>
      </c>
      <c r="D2475" t="s">
        <v>54</v>
      </c>
      <c r="E2475" t="s">
        <v>25</v>
      </c>
      <c r="F2475" t="s">
        <v>54</v>
      </c>
      <c r="G2475" t="s">
        <v>70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86</v>
      </c>
      <c r="B2476" t="s">
        <v>3</v>
      </c>
      <c r="C2476" t="s">
        <v>83</v>
      </c>
      <c r="D2476" t="s">
        <v>54</v>
      </c>
      <c r="E2476" t="s">
        <v>25</v>
      </c>
      <c r="F2476" t="s">
        <v>54</v>
      </c>
      <c r="G2476" t="s">
        <v>70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86</v>
      </c>
      <c r="B2477" t="s">
        <v>3</v>
      </c>
      <c r="C2477" t="s">
        <v>83</v>
      </c>
      <c r="D2477" t="s">
        <v>54</v>
      </c>
      <c r="E2477" t="s">
        <v>25</v>
      </c>
      <c r="F2477" t="s">
        <v>54</v>
      </c>
      <c r="G2477" t="s">
        <v>70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86</v>
      </c>
      <c r="B2478" t="s">
        <v>3</v>
      </c>
      <c r="C2478" t="s">
        <v>83</v>
      </c>
      <c r="D2478" t="s">
        <v>54</v>
      </c>
      <c r="E2478" t="s">
        <v>25</v>
      </c>
      <c r="F2478" t="s">
        <v>54</v>
      </c>
      <c r="G2478" t="s">
        <v>70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86</v>
      </c>
      <c r="B2479" t="s">
        <v>3</v>
      </c>
      <c r="C2479" t="s">
        <v>83</v>
      </c>
      <c r="D2479" t="s">
        <v>54</v>
      </c>
      <c r="E2479" t="s">
        <v>25</v>
      </c>
      <c r="F2479" t="s">
        <v>54</v>
      </c>
      <c r="G2479" t="s">
        <v>70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86</v>
      </c>
      <c r="B2480" t="s">
        <v>3</v>
      </c>
      <c r="C2480" t="s">
        <v>83</v>
      </c>
      <c r="D2480" t="s">
        <v>54</v>
      </c>
      <c r="E2480" t="s">
        <v>25</v>
      </c>
      <c r="F2480" t="s">
        <v>54</v>
      </c>
      <c r="G2480" t="s">
        <v>70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86</v>
      </c>
      <c r="B2481" t="s">
        <v>3</v>
      </c>
      <c r="C2481" t="s">
        <v>83</v>
      </c>
      <c r="D2481" t="s">
        <v>54</v>
      </c>
      <c r="E2481" t="s">
        <v>25</v>
      </c>
      <c r="F2481" t="s">
        <v>54</v>
      </c>
      <c r="G2481" t="s">
        <v>70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86</v>
      </c>
      <c r="B2482" t="s">
        <v>3</v>
      </c>
      <c r="C2482" t="s">
        <v>83</v>
      </c>
      <c r="D2482" t="s">
        <v>54</v>
      </c>
      <c r="E2482" t="s">
        <v>25</v>
      </c>
      <c r="F2482" t="s">
        <v>54</v>
      </c>
      <c r="G2482" t="s">
        <v>70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86</v>
      </c>
      <c r="B2483" t="s">
        <v>3</v>
      </c>
      <c r="C2483" t="s">
        <v>83</v>
      </c>
      <c r="D2483" t="s">
        <v>54</v>
      </c>
      <c r="E2483" t="s">
        <v>25</v>
      </c>
      <c r="F2483" t="s">
        <v>54</v>
      </c>
      <c r="G2483" t="s">
        <v>70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86</v>
      </c>
      <c r="B2484" t="s">
        <v>3</v>
      </c>
      <c r="C2484" t="s">
        <v>83</v>
      </c>
      <c r="D2484" t="s">
        <v>54</v>
      </c>
      <c r="E2484" t="s">
        <v>25</v>
      </c>
      <c r="F2484" t="s">
        <v>54</v>
      </c>
      <c r="G2484" t="s">
        <v>70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86</v>
      </c>
      <c r="B2485" t="s">
        <v>3</v>
      </c>
      <c r="C2485" t="s">
        <v>83</v>
      </c>
      <c r="D2485" t="s">
        <v>54</v>
      </c>
      <c r="E2485" t="s">
        <v>25</v>
      </c>
      <c r="F2485" t="s">
        <v>54</v>
      </c>
      <c r="G2485" t="s">
        <v>70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86</v>
      </c>
      <c r="B2486" t="s">
        <v>3</v>
      </c>
      <c r="C2486" t="s">
        <v>83</v>
      </c>
      <c r="D2486" t="s">
        <v>54</v>
      </c>
      <c r="E2486" t="s">
        <v>25</v>
      </c>
      <c r="F2486" t="s">
        <v>54</v>
      </c>
      <c r="G2486" t="s">
        <v>70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86</v>
      </c>
      <c r="B2487" t="s">
        <v>3</v>
      </c>
      <c r="C2487" t="s">
        <v>83</v>
      </c>
      <c r="D2487" t="s">
        <v>54</v>
      </c>
      <c r="E2487" t="s">
        <v>25</v>
      </c>
      <c r="F2487" t="s">
        <v>54</v>
      </c>
      <c r="G2487" t="s">
        <v>70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86</v>
      </c>
      <c r="B2488" t="s">
        <v>3</v>
      </c>
      <c r="C2488" t="s">
        <v>83</v>
      </c>
      <c r="D2488" t="s">
        <v>54</v>
      </c>
      <c r="E2488" t="s">
        <v>25</v>
      </c>
      <c r="F2488" t="s">
        <v>54</v>
      </c>
      <c r="G2488" t="s">
        <v>70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86</v>
      </c>
      <c r="B2489" t="s">
        <v>3</v>
      </c>
      <c r="C2489" t="s">
        <v>83</v>
      </c>
      <c r="D2489" t="s">
        <v>54</v>
      </c>
      <c r="E2489" t="s">
        <v>25</v>
      </c>
      <c r="F2489" t="s">
        <v>54</v>
      </c>
      <c r="G2489" t="s">
        <v>70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86</v>
      </c>
      <c r="B2490" t="s">
        <v>3</v>
      </c>
      <c r="C2490" t="s">
        <v>83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86</v>
      </c>
      <c r="B2491" t="s">
        <v>3</v>
      </c>
      <c r="C2491" t="s">
        <v>83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86</v>
      </c>
      <c r="B2492" t="s">
        <v>3</v>
      </c>
      <c r="C2492" t="s">
        <v>83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86</v>
      </c>
      <c r="B2493" t="s">
        <v>3</v>
      </c>
      <c r="C2493" t="s">
        <v>83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86</v>
      </c>
      <c r="B2494" t="s">
        <v>3</v>
      </c>
      <c r="C2494" t="s">
        <v>83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86</v>
      </c>
      <c r="B2495" t="s">
        <v>3</v>
      </c>
      <c r="C2495" t="s">
        <v>83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86</v>
      </c>
      <c r="B2496" t="s">
        <v>3</v>
      </c>
      <c r="C2496" t="s">
        <v>83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86</v>
      </c>
      <c r="B2497" t="s">
        <v>3</v>
      </c>
      <c r="C2497" t="s">
        <v>83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86</v>
      </c>
      <c r="B2498" t="s">
        <v>3</v>
      </c>
      <c r="C2498" t="s">
        <v>83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86</v>
      </c>
      <c r="B2499" t="s">
        <v>3</v>
      </c>
      <c r="C2499" t="s">
        <v>83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86</v>
      </c>
      <c r="B2500" t="s">
        <v>3</v>
      </c>
      <c r="C2500" t="s">
        <v>83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86</v>
      </c>
      <c r="B2501" t="s">
        <v>3</v>
      </c>
      <c r="C2501" t="s">
        <v>83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86</v>
      </c>
      <c r="B2502" t="s">
        <v>3</v>
      </c>
      <c r="C2502" t="s">
        <v>83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86</v>
      </c>
      <c r="B2503" t="s">
        <v>3</v>
      </c>
      <c r="C2503" t="s">
        <v>83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86</v>
      </c>
      <c r="B2504" t="s">
        <v>3</v>
      </c>
      <c r="C2504" t="s">
        <v>83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86</v>
      </c>
      <c r="B2505" t="s">
        <v>3</v>
      </c>
      <c r="C2505" t="s">
        <v>83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86</v>
      </c>
      <c r="B2506" t="s">
        <v>3</v>
      </c>
      <c r="C2506" t="s">
        <v>83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86</v>
      </c>
      <c r="B2507" t="s">
        <v>3</v>
      </c>
      <c r="C2507" t="s">
        <v>83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86</v>
      </c>
      <c r="B2508" t="s">
        <v>3</v>
      </c>
      <c r="C2508" t="s">
        <v>83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86</v>
      </c>
      <c r="B2509" t="s">
        <v>3</v>
      </c>
      <c r="C2509" t="s">
        <v>83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86</v>
      </c>
      <c r="B2510" t="s">
        <v>3</v>
      </c>
      <c r="C2510" t="s">
        <v>83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86</v>
      </c>
      <c r="B2511" t="s">
        <v>3</v>
      </c>
      <c r="C2511" t="s">
        <v>83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86</v>
      </c>
      <c r="B2512" t="s">
        <v>3</v>
      </c>
      <c r="C2512" t="s">
        <v>83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86</v>
      </c>
      <c r="B2513" t="s">
        <v>3</v>
      </c>
      <c r="C2513" t="s">
        <v>83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86</v>
      </c>
      <c r="B2514" t="s">
        <v>3</v>
      </c>
      <c r="C2514" t="s">
        <v>83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86</v>
      </c>
      <c r="B2515" t="s">
        <v>3</v>
      </c>
      <c r="C2515" t="s">
        <v>83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86</v>
      </c>
      <c r="B2516" t="s">
        <v>3</v>
      </c>
      <c r="C2516" t="s">
        <v>83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86</v>
      </c>
      <c r="B2517" t="s">
        <v>3</v>
      </c>
      <c r="C2517" t="s">
        <v>83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86</v>
      </c>
      <c r="B2518" t="s">
        <v>3</v>
      </c>
      <c r="C2518" t="s">
        <v>83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86</v>
      </c>
      <c r="B2519" t="s">
        <v>3</v>
      </c>
      <c r="C2519" t="s">
        <v>83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86</v>
      </c>
      <c r="B2520" t="s">
        <v>3</v>
      </c>
      <c r="C2520" t="s">
        <v>83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86</v>
      </c>
      <c r="B2521" t="s">
        <v>3</v>
      </c>
      <c r="C2521" t="s">
        <v>83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86</v>
      </c>
      <c r="B2522" t="s">
        <v>3</v>
      </c>
      <c r="C2522" t="s">
        <v>83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86</v>
      </c>
      <c r="B2523" t="s">
        <v>3</v>
      </c>
      <c r="C2523" t="s">
        <v>83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86</v>
      </c>
      <c r="B2524" t="s">
        <v>3</v>
      </c>
      <c r="C2524" t="s">
        <v>83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86</v>
      </c>
      <c r="B2525" t="s">
        <v>3</v>
      </c>
      <c r="C2525" t="s">
        <v>83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86</v>
      </c>
      <c r="B2526" t="s">
        <v>3</v>
      </c>
      <c r="C2526" t="s">
        <v>83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86</v>
      </c>
      <c r="B2527" t="s">
        <v>3</v>
      </c>
      <c r="C2527" t="s">
        <v>83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86</v>
      </c>
      <c r="B2528" t="s">
        <v>3</v>
      </c>
      <c r="C2528" t="s">
        <v>83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86</v>
      </c>
      <c r="B2529" t="s">
        <v>3</v>
      </c>
      <c r="C2529" t="s">
        <v>83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86</v>
      </c>
      <c r="B2530" t="s">
        <v>3</v>
      </c>
      <c r="C2530" t="s">
        <v>83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86</v>
      </c>
      <c r="B2531" t="s">
        <v>3</v>
      </c>
      <c r="C2531" t="s">
        <v>83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86</v>
      </c>
      <c r="B2532" t="s">
        <v>3</v>
      </c>
      <c r="C2532" t="s">
        <v>83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86</v>
      </c>
      <c r="B2533" t="s">
        <v>3</v>
      </c>
      <c r="C2533" t="s">
        <v>83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86</v>
      </c>
      <c r="B2534" t="s">
        <v>3</v>
      </c>
      <c r="C2534" t="s">
        <v>83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86</v>
      </c>
      <c r="B2535" t="s">
        <v>3</v>
      </c>
      <c r="C2535" t="s">
        <v>83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86</v>
      </c>
      <c r="B2536" t="s">
        <v>3</v>
      </c>
      <c r="C2536" t="s">
        <v>83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86</v>
      </c>
      <c r="B2537" t="s">
        <v>3</v>
      </c>
      <c r="C2537" t="s">
        <v>83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86</v>
      </c>
      <c r="B2538" t="s">
        <v>3</v>
      </c>
      <c r="C2538" t="s">
        <v>83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86</v>
      </c>
      <c r="B2539" t="s">
        <v>3</v>
      </c>
      <c r="C2539" t="s">
        <v>83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86</v>
      </c>
      <c r="B2540" t="s">
        <v>3</v>
      </c>
      <c r="C2540" t="s">
        <v>83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86</v>
      </c>
      <c r="B2541" t="s">
        <v>3</v>
      </c>
      <c r="C2541" t="s">
        <v>83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56.074300000000001</v>
      </c>
      <c r="K2541" t="s">
        <v>37</v>
      </c>
    </row>
    <row r="2542" spans="1:11" x14ac:dyDescent="0.45">
      <c r="A2542" t="s">
        <v>86</v>
      </c>
      <c r="B2542" t="s">
        <v>3</v>
      </c>
      <c r="C2542" t="s">
        <v>83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60.649000000000001</v>
      </c>
      <c r="K2542" t="s">
        <v>37</v>
      </c>
    </row>
    <row r="2543" spans="1:11" x14ac:dyDescent="0.45">
      <c r="A2543" t="s">
        <v>86</v>
      </c>
      <c r="B2543" t="s">
        <v>3</v>
      </c>
      <c r="C2543" t="s">
        <v>83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73.878900000000002</v>
      </c>
      <c r="K2543" t="s">
        <v>37</v>
      </c>
    </row>
    <row r="2544" spans="1:11" x14ac:dyDescent="0.45">
      <c r="A2544" t="s">
        <v>86</v>
      </c>
      <c r="B2544" t="s">
        <v>3</v>
      </c>
      <c r="C2544" t="s">
        <v>83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80.255499999999998</v>
      </c>
      <c r="K2544" t="s">
        <v>37</v>
      </c>
    </row>
    <row r="2545" spans="1:11" x14ac:dyDescent="0.45">
      <c r="A2545" t="s">
        <v>86</v>
      </c>
      <c r="B2545" t="s">
        <v>3</v>
      </c>
      <c r="C2545" t="s">
        <v>83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86.509799999999998</v>
      </c>
      <c r="K2545" t="s">
        <v>37</v>
      </c>
    </row>
    <row r="2546" spans="1:11" x14ac:dyDescent="0.45">
      <c r="A2546" t="s">
        <v>86</v>
      </c>
      <c r="B2546" t="s">
        <v>3</v>
      </c>
      <c r="C2546" t="s">
        <v>83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85.959199999999996</v>
      </c>
      <c r="K2546" t="s">
        <v>37</v>
      </c>
    </row>
    <row r="2547" spans="1:11" x14ac:dyDescent="0.45">
      <c r="A2547" t="s">
        <v>86</v>
      </c>
      <c r="B2547" t="s">
        <v>3</v>
      </c>
      <c r="C2547" t="s">
        <v>83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100.4468</v>
      </c>
      <c r="K2547" t="s">
        <v>37</v>
      </c>
    </row>
    <row r="2548" spans="1:11" x14ac:dyDescent="0.45">
      <c r="A2548" t="s">
        <v>86</v>
      </c>
      <c r="B2548" t="s">
        <v>3</v>
      </c>
      <c r="C2548" t="s">
        <v>83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113.90260000000001</v>
      </c>
      <c r="K2548" t="s">
        <v>37</v>
      </c>
    </row>
    <row r="2549" spans="1:11" x14ac:dyDescent="0.45">
      <c r="A2549" t="s">
        <v>86</v>
      </c>
      <c r="B2549" t="s">
        <v>3</v>
      </c>
      <c r="C2549" t="s">
        <v>83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180.64189999999999</v>
      </c>
      <c r="K2549" t="s">
        <v>37</v>
      </c>
    </row>
    <row r="2550" spans="1:11" x14ac:dyDescent="0.45">
      <c r="A2550" t="s">
        <v>86</v>
      </c>
      <c r="B2550" t="s">
        <v>3</v>
      </c>
      <c r="C2550" t="s">
        <v>83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214.4641</v>
      </c>
      <c r="K2550" t="s">
        <v>37</v>
      </c>
    </row>
    <row r="2551" spans="1:11" x14ac:dyDescent="0.45">
      <c r="A2551" t="s">
        <v>86</v>
      </c>
      <c r="B2551" t="s">
        <v>3</v>
      </c>
      <c r="C2551" t="s">
        <v>83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248.28620000000001</v>
      </c>
      <c r="K2551" t="s">
        <v>37</v>
      </c>
    </row>
    <row r="2552" spans="1:11" x14ac:dyDescent="0.45">
      <c r="A2552" t="s">
        <v>86</v>
      </c>
      <c r="B2552" t="s">
        <v>3</v>
      </c>
      <c r="C2552" t="s">
        <v>83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276.21679999999998</v>
      </c>
      <c r="K2552" t="s">
        <v>37</v>
      </c>
    </row>
    <row r="2553" spans="1:11" x14ac:dyDescent="0.45">
      <c r="A2553" t="s">
        <v>86</v>
      </c>
      <c r="B2553" t="s">
        <v>3</v>
      </c>
      <c r="C2553" t="s">
        <v>83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304.1474</v>
      </c>
      <c r="K2553" t="s">
        <v>37</v>
      </c>
    </row>
    <row r="2554" spans="1:11" x14ac:dyDescent="0.45">
      <c r="A2554" t="s">
        <v>86</v>
      </c>
      <c r="B2554" t="s">
        <v>3</v>
      </c>
      <c r="C2554" t="s">
        <v>83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320.47590000000002</v>
      </c>
      <c r="K2554" t="s">
        <v>37</v>
      </c>
    </row>
    <row r="2555" spans="1:11" x14ac:dyDescent="0.45">
      <c r="A2555" t="s">
        <v>86</v>
      </c>
      <c r="B2555" t="s">
        <v>3</v>
      </c>
      <c r="C2555" t="s">
        <v>83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336.80439999999999</v>
      </c>
      <c r="K2555" t="s">
        <v>37</v>
      </c>
    </row>
    <row r="2556" spans="1:11" x14ac:dyDescent="0.45">
      <c r="A2556" t="s">
        <v>86</v>
      </c>
      <c r="B2556" t="s">
        <v>3</v>
      </c>
      <c r="C2556" t="s">
        <v>83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374.48270000000002</v>
      </c>
      <c r="K2556" t="s">
        <v>37</v>
      </c>
    </row>
    <row r="2557" spans="1:11" x14ac:dyDescent="0.45">
      <c r="A2557" t="s">
        <v>86</v>
      </c>
      <c r="B2557" t="s">
        <v>3</v>
      </c>
      <c r="C2557" t="s">
        <v>83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412.16090000000003</v>
      </c>
      <c r="K2557" t="s">
        <v>37</v>
      </c>
    </row>
    <row r="2558" spans="1:11" x14ac:dyDescent="0.45">
      <c r="A2558" t="s">
        <v>86</v>
      </c>
      <c r="B2558" t="s">
        <v>3</v>
      </c>
      <c r="C2558" t="s">
        <v>83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375.8587</v>
      </c>
      <c r="K2558" t="s">
        <v>48</v>
      </c>
    </row>
    <row r="2559" spans="1:11" x14ac:dyDescent="0.45">
      <c r="A2559" t="s">
        <v>86</v>
      </c>
      <c r="B2559" t="s">
        <v>3</v>
      </c>
      <c r="C2559" t="s">
        <v>83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408.38139999999999</v>
      </c>
      <c r="K2559" t="s">
        <v>48</v>
      </c>
    </row>
    <row r="2560" spans="1:11" x14ac:dyDescent="0.45">
      <c r="A2560" t="s">
        <v>86</v>
      </c>
      <c r="B2560" t="s">
        <v>3</v>
      </c>
      <c r="C2560" t="s">
        <v>83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347.82510000000002</v>
      </c>
      <c r="K2560" t="s">
        <v>48</v>
      </c>
    </row>
    <row r="2561" spans="1:11" x14ac:dyDescent="0.45">
      <c r="A2561" t="s">
        <v>86</v>
      </c>
      <c r="B2561" t="s">
        <v>3</v>
      </c>
      <c r="C2561" t="s">
        <v>83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259.06689999999998</v>
      </c>
      <c r="K2561" t="s">
        <v>48</v>
      </c>
    </row>
    <row r="2562" spans="1:11" x14ac:dyDescent="0.45">
      <c r="A2562" t="s">
        <v>86</v>
      </c>
      <c r="B2562" t="s">
        <v>3</v>
      </c>
      <c r="C2562" t="s">
        <v>83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204.3569</v>
      </c>
      <c r="K2562" t="s">
        <v>48</v>
      </c>
    </row>
    <row r="2563" spans="1:11" x14ac:dyDescent="0.45">
      <c r="A2563" t="s">
        <v>86</v>
      </c>
      <c r="B2563" t="s">
        <v>3</v>
      </c>
      <c r="C2563" t="s">
        <v>83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149.58029999999999</v>
      </c>
      <c r="K2563" t="s">
        <v>48</v>
      </c>
    </row>
    <row r="2564" spans="1:11" x14ac:dyDescent="0.45">
      <c r="A2564" t="s">
        <v>86</v>
      </c>
      <c r="B2564" t="s">
        <v>3</v>
      </c>
      <c r="C2564" t="s">
        <v>83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116.2256</v>
      </c>
      <c r="K2564" t="s">
        <v>48</v>
      </c>
    </row>
    <row r="2565" spans="1:11" x14ac:dyDescent="0.45">
      <c r="A2565" t="s">
        <v>86</v>
      </c>
      <c r="B2565" t="s">
        <v>3</v>
      </c>
      <c r="C2565" t="s">
        <v>83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95.896799999999999</v>
      </c>
      <c r="K2565" t="s">
        <v>48</v>
      </c>
    </row>
    <row r="2566" spans="1:11" x14ac:dyDescent="0.45">
      <c r="A2566" t="s">
        <v>86</v>
      </c>
      <c r="B2566" t="s">
        <v>3</v>
      </c>
      <c r="C2566" t="s">
        <v>83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87.5364</v>
      </c>
      <c r="K2566" t="s">
        <v>48</v>
      </c>
    </row>
    <row r="2567" spans="1:11" x14ac:dyDescent="0.45">
      <c r="A2567" t="s">
        <v>86</v>
      </c>
      <c r="B2567" t="s">
        <v>3</v>
      </c>
      <c r="C2567" t="s">
        <v>83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78.545199999999994</v>
      </c>
      <c r="K2567" t="s">
        <v>48</v>
      </c>
    </row>
    <row r="2568" spans="1:11" x14ac:dyDescent="0.45">
      <c r="A2568" t="s">
        <v>86</v>
      </c>
      <c r="B2568" t="s">
        <v>3</v>
      </c>
      <c r="C2568" t="s">
        <v>83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69.285399999999996</v>
      </c>
      <c r="K2568" t="s">
        <v>48</v>
      </c>
    </row>
    <row r="2569" spans="1:11" x14ac:dyDescent="0.45">
      <c r="A2569" t="s">
        <v>86</v>
      </c>
      <c r="B2569" t="s">
        <v>3</v>
      </c>
      <c r="C2569" t="s">
        <v>83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63.31</v>
      </c>
      <c r="K2569" t="s">
        <v>48</v>
      </c>
    </row>
    <row r="2570" spans="1:11" x14ac:dyDescent="0.45">
      <c r="A2570" t="s">
        <v>86</v>
      </c>
      <c r="B2570" t="s">
        <v>3</v>
      </c>
      <c r="C2570" t="s">
        <v>83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56.933900000000001</v>
      </c>
      <c r="K2570" t="s">
        <v>48</v>
      </c>
    </row>
    <row r="2571" spans="1:11" x14ac:dyDescent="0.45">
      <c r="A2571" t="s">
        <v>86</v>
      </c>
      <c r="B2571" t="s">
        <v>3</v>
      </c>
      <c r="C2571" t="s">
        <v>83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59.429099999999998</v>
      </c>
      <c r="K2571" t="s">
        <v>48</v>
      </c>
    </row>
    <row r="2572" spans="1:11" x14ac:dyDescent="0.45">
      <c r="A2572" t="s">
        <v>86</v>
      </c>
      <c r="B2572" t="s">
        <v>3</v>
      </c>
      <c r="C2572" t="s">
        <v>83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62.239400000000003</v>
      </c>
      <c r="K2572" t="s">
        <v>48</v>
      </c>
    </row>
    <row r="2573" spans="1:11" x14ac:dyDescent="0.45">
      <c r="A2573" t="s">
        <v>86</v>
      </c>
      <c r="B2573" t="s">
        <v>3</v>
      </c>
      <c r="C2573" t="s">
        <v>83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51.902900000000002</v>
      </c>
      <c r="K2573" t="s">
        <v>48</v>
      </c>
    </row>
    <row r="2574" spans="1:11" x14ac:dyDescent="0.45">
      <c r="A2574" t="s">
        <v>86</v>
      </c>
      <c r="B2574" t="s">
        <v>3</v>
      </c>
      <c r="C2574" t="s">
        <v>83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41.769399999999997</v>
      </c>
      <c r="K2574" t="s">
        <v>48</v>
      </c>
    </row>
    <row r="2575" spans="1:11" x14ac:dyDescent="0.45">
      <c r="A2575" t="s">
        <v>86</v>
      </c>
      <c r="B2575" t="s">
        <v>3</v>
      </c>
      <c r="C2575" t="s">
        <v>83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334.11270000000002</v>
      </c>
      <c r="K2575" t="s">
        <v>51</v>
      </c>
    </row>
    <row r="2576" spans="1:11" x14ac:dyDescent="0.45">
      <c r="A2576" t="s">
        <v>86</v>
      </c>
      <c r="B2576" t="s">
        <v>3</v>
      </c>
      <c r="C2576" t="s">
        <v>83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332.55099999999999</v>
      </c>
      <c r="K2576" t="s">
        <v>51</v>
      </c>
    </row>
    <row r="2577" spans="1:11" x14ac:dyDescent="0.45">
      <c r="A2577" t="s">
        <v>86</v>
      </c>
      <c r="B2577" t="s">
        <v>3</v>
      </c>
      <c r="C2577" t="s">
        <v>83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272.9101</v>
      </c>
      <c r="K2577" t="s">
        <v>51</v>
      </c>
    </row>
    <row r="2578" spans="1:11" x14ac:dyDescent="0.45">
      <c r="A2578" t="s">
        <v>86</v>
      </c>
      <c r="B2578" t="s">
        <v>3</v>
      </c>
      <c r="C2578" t="s">
        <v>83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189.21190000000001</v>
      </c>
      <c r="K2578" t="s">
        <v>51</v>
      </c>
    </row>
    <row r="2579" spans="1:11" x14ac:dyDescent="0.45">
      <c r="A2579" t="s">
        <v>86</v>
      </c>
      <c r="B2579" t="s">
        <v>3</v>
      </c>
      <c r="C2579" t="s">
        <v>83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137.1909</v>
      </c>
      <c r="K2579" t="s">
        <v>51</v>
      </c>
    </row>
    <row r="2580" spans="1:11" x14ac:dyDescent="0.45">
      <c r="A2580" t="s">
        <v>86</v>
      </c>
      <c r="B2580" t="s">
        <v>3</v>
      </c>
      <c r="C2580" t="s">
        <v>83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84.544899999999998</v>
      </c>
      <c r="K2580" t="s">
        <v>51</v>
      </c>
    </row>
    <row r="2581" spans="1:11" x14ac:dyDescent="0.45">
      <c r="A2581" t="s">
        <v>86</v>
      </c>
      <c r="B2581" t="s">
        <v>3</v>
      </c>
      <c r="C2581" t="s">
        <v>83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57.012300000000003</v>
      </c>
      <c r="K2581" t="s">
        <v>51</v>
      </c>
    </row>
    <row r="2582" spans="1:11" x14ac:dyDescent="0.45">
      <c r="A2582" t="s">
        <v>86</v>
      </c>
      <c r="B2582" t="s">
        <v>3</v>
      </c>
      <c r="C2582" t="s">
        <v>83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42.730400000000003</v>
      </c>
      <c r="K2582" t="s">
        <v>51</v>
      </c>
    </row>
    <row r="2583" spans="1:11" x14ac:dyDescent="0.45">
      <c r="A2583" t="s">
        <v>86</v>
      </c>
      <c r="B2583" t="s">
        <v>3</v>
      </c>
      <c r="C2583" t="s">
        <v>83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33.119</v>
      </c>
      <c r="K2583" t="s">
        <v>51</v>
      </c>
    </row>
    <row r="2584" spans="1:11" x14ac:dyDescent="0.45">
      <c r="A2584" t="s">
        <v>86</v>
      </c>
      <c r="B2584" t="s">
        <v>3</v>
      </c>
      <c r="C2584" t="s">
        <v>83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26.3139</v>
      </c>
      <c r="K2584" t="s">
        <v>51</v>
      </c>
    </row>
    <row r="2585" spans="1:11" x14ac:dyDescent="0.45">
      <c r="A2585" t="s">
        <v>86</v>
      </c>
      <c r="B2585" t="s">
        <v>3</v>
      </c>
      <c r="C2585" t="s">
        <v>83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19.244</v>
      </c>
      <c r="K2585" t="s">
        <v>51</v>
      </c>
    </row>
    <row r="2586" spans="1:11" x14ac:dyDescent="0.45">
      <c r="A2586" t="s">
        <v>86</v>
      </c>
      <c r="B2586" t="s">
        <v>3</v>
      </c>
      <c r="C2586" t="s">
        <v>83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14.7347</v>
      </c>
      <c r="K2586" t="s">
        <v>51</v>
      </c>
    </row>
    <row r="2587" spans="1:11" x14ac:dyDescent="0.45">
      <c r="A2587" t="s">
        <v>86</v>
      </c>
      <c r="B2587" t="s">
        <v>3</v>
      </c>
      <c r="C2587" t="s">
        <v>83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9.8339999999999996</v>
      </c>
      <c r="K2587" t="s">
        <v>51</v>
      </c>
    </row>
    <row r="2588" spans="1:11" x14ac:dyDescent="0.45">
      <c r="A2588" t="s">
        <v>86</v>
      </c>
      <c r="B2588" t="s">
        <v>3</v>
      </c>
      <c r="C2588" t="s">
        <v>83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9.4860000000000007</v>
      </c>
      <c r="K2588" t="s">
        <v>51</v>
      </c>
    </row>
    <row r="2589" spans="1:11" x14ac:dyDescent="0.45">
      <c r="A2589" t="s">
        <v>86</v>
      </c>
      <c r="B2589" t="s">
        <v>3</v>
      </c>
      <c r="C2589" t="s">
        <v>83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9.4573999999999998</v>
      </c>
      <c r="K2589" t="s">
        <v>51</v>
      </c>
    </row>
    <row r="2590" spans="1:11" x14ac:dyDescent="0.45">
      <c r="A2590" t="s">
        <v>86</v>
      </c>
      <c r="B2590" t="s">
        <v>3</v>
      </c>
      <c r="C2590" t="s">
        <v>83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8.0457999999999998</v>
      </c>
      <c r="K2590" t="s">
        <v>51</v>
      </c>
    </row>
    <row r="2591" spans="1:11" x14ac:dyDescent="0.45">
      <c r="A2591" t="s">
        <v>86</v>
      </c>
      <c r="B2591" t="s">
        <v>3</v>
      </c>
      <c r="C2591" t="s">
        <v>83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6.8243</v>
      </c>
      <c r="K2591" t="s">
        <v>51</v>
      </c>
    </row>
    <row r="2592" spans="1:11" x14ac:dyDescent="0.45">
      <c r="A2592" t="s">
        <v>86</v>
      </c>
      <c r="B2592" t="s">
        <v>4</v>
      </c>
      <c r="C2592" t="s">
        <v>83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86</v>
      </c>
      <c r="B2593" t="s">
        <v>4</v>
      </c>
      <c r="C2593" t="s">
        <v>83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86</v>
      </c>
      <c r="B2594" t="s">
        <v>4</v>
      </c>
      <c r="C2594" t="s">
        <v>83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86</v>
      </c>
      <c r="B2595" t="s">
        <v>4</v>
      </c>
      <c r="C2595" t="s">
        <v>83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86</v>
      </c>
      <c r="B2596" t="s">
        <v>4</v>
      </c>
      <c r="C2596" t="s">
        <v>83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86</v>
      </c>
      <c r="B2597" t="s">
        <v>4</v>
      </c>
      <c r="C2597" t="s">
        <v>83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86</v>
      </c>
      <c r="B2598" t="s">
        <v>4</v>
      </c>
      <c r="C2598" t="s">
        <v>83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86</v>
      </c>
      <c r="B2599" t="s">
        <v>4</v>
      </c>
      <c r="C2599" t="s">
        <v>83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86</v>
      </c>
      <c r="B2600" t="s">
        <v>4</v>
      </c>
      <c r="C2600" t="s">
        <v>83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86</v>
      </c>
      <c r="B2601" t="s">
        <v>4</v>
      </c>
      <c r="C2601" t="s">
        <v>83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86</v>
      </c>
      <c r="B2602" t="s">
        <v>4</v>
      </c>
      <c r="C2602" t="s">
        <v>83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86</v>
      </c>
      <c r="B2603" t="s">
        <v>4</v>
      </c>
      <c r="C2603" t="s">
        <v>83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86</v>
      </c>
      <c r="B2604" t="s">
        <v>4</v>
      </c>
      <c r="C2604" t="s">
        <v>83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86</v>
      </c>
      <c r="B2605" t="s">
        <v>4</v>
      </c>
      <c r="C2605" t="s">
        <v>83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86</v>
      </c>
      <c r="B2606" t="s">
        <v>4</v>
      </c>
      <c r="C2606" t="s">
        <v>83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86</v>
      </c>
      <c r="B2607" t="s">
        <v>4</v>
      </c>
      <c r="C2607" t="s">
        <v>83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86</v>
      </c>
      <c r="B2608" t="s">
        <v>4</v>
      </c>
      <c r="C2608" t="s">
        <v>83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86</v>
      </c>
      <c r="B2609" t="s">
        <v>4</v>
      </c>
      <c r="C2609" t="s">
        <v>83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0.1641</v>
      </c>
      <c r="K2609" t="s">
        <v>24</v>
      </c>
    </row>
    <row r="2610" spans="1:11" x14ac:dyDescent="0.45">
      <c r="A2610" t="s">
        <v>86</v>
      </c>
      <c r="B2610" t="s">
        <v>4</v>
      </c>
      <c r="C2610" t="s">
        <v>83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0.1782</v>
      </c>
      <c r="K2610" t="s">
        <v>24</v>
      </c>
    </row>
    <row r="2611" spans="1:11" x14ac:dyDescent="0.45">
      <c r="A2611" t="s">
        <v>86</v>
      </c>
      <c r="B2611" t="s">
        <v>4</v>
      </c>
      <c r="C2611" t="s">
        <v>83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0.2165</v>
      </c>
      <c r="K2611" t="s">
        <v>24</v>
      </c>
    </row>
    <row r="2612" spans="1:11" x14ac:dyDescent="0.45">
      <c r="A2612" t="s">
        <v>86</v>
      </c>
      <c r="B2612" t="s">
        <v>4</v>
      </c>
      <c r="C2612" t="s">
        <v>83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0.27989999999999998</v>
      </c>
      <c r="K2612" t="s">
        <v>24</v>
      </c>
    </row>
    <row r="2613" spans="1:11" x14ac:dyDescent="0.45">
      <c r="A2613" t="s">
        <v>86</v>
      </c>
      <c r="B2613" t="s">
        <v>4</v>
      </c>
      <c r="C2613" t="s">
        <v>83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0.3624</v>
      </c>
      <c r="K2613" t="s">
        <v>24</v>
      </c>
    </row>
    <row r="2614" spans="1:11" x14ac:dyDescent="0.45">
      <c r="A2614" t="s">
        <v>86</v>
      </c>
      <c r="B2614" t="s">
        <v>4</v>
      </c>
      <c r="C2614" t="s">
        <v>83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0.43469999999999998</v>
      </c>
      <c r="K2614" t="s">
        <v>24</v>
      </c>
    </row>
    <row r="2615" spans="1:11" x14ac:dyDescent="0.45">
      <c r="A2615" t="s">
        <v>86</v>
      </c>
      <c r="B2615" t="s">
        <v>4</v>
      </c>
      <c r="C2615" t="s">
        <v>83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0.4572</v>
      </c>
      <c r="K2615" t="s">
        <v>24</v>
      </c>
    </row>
    <row r="2616" spans="1:11" x14ac:dyDescent="0.45">
      <c r="A2616" t="s">
        <v>86</v>
      </c>
      <c r="B2616" t="s">
        <v>4</v>
      </c>
      <c r="C2616" t="s">
        <v>83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0.45660000000000001</v>
      </c>
      <c r="K2616" t="s">
        <v>24</v>
      </c>
    </row>
    <row r="2617" spans="1:11" x14ac:dyDescent="0.45">
      <c r="A2617" t="s">
        <v>86</v>
      </c>
      <c r="B2617" t="s">
        <v>4</v>
      </c>
      <c r="C2617" t="s">
        <v>83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0.45629999999999998</v>
      </c>
      <c r="K2617" t="s">
        <v>24</v>
      </c>
    </row>
    <row r="2618" spans="1:11" x14ac:dyDescent="0.45">
      <c r="A2618" t="s">
        <v>86</v>
      </c>
      <c r="B2618" t="s">
        <v>4</v>
      </c>
      <c r="C2618" t="s">
        <v>83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0.4446</v>
      </c>
      <c r="K2618" t="s">
        <v>24</v>
      </c>
    </row>
    <row r="2619" spans="1:11" x14ac:dyDescent="0.45">
      <c r="A2619" t="s">
        <v>86</v>
      </c>
      <c r="B2619" t="s">
        <v>4</v>
      </c>
      <c r="C2619" t="s">
        <v>83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0.43380000000000002</v>
      </c>
      <c r="K2619" t="s">
        <v>24</v>
      </c>
    </row>
    <row r="2620" spans="1:11" x14ac:dyDescent="0.45">
      <c r="A2620" t="s">
        <v>86</v>
      </c>
      <c r="B2620" t="s">
        <v>4</v>
      </c>
      <c r="C2620" t="s">
        <v>83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0.41489999999999999</v>
      </c>
      <c r="K2620" t="s">
        <v>24</v>
      </c>
    </row>
    <row r="2621" spans="1:11" x14ac:dyDescent="0.45">
      <c r="A2621" t="s">
        <v>86</v>
      </c>
      <c r="B2621" t="s">
        <v>4</v>
      </c>
      <c r="C2621" t="s">
        <v>83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0.39760000000000001</v>
      </c>
      <c r="K2621" t="s">
        <v>24</v>
      </c>
    </row>
    <row r="2622" spans="1:11" x14ac:dyDescent="0.45">
      <c r="A2622" t="s">
        <v>86</v>
      </c>
      <c r="B2622" t="s">
        <v>4</v>
      </c>
      <c r="C2622" t="s">
        <v>83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0.38290000000000002</v>
      </c>
      <c r="K2622" t="s">
        <v>24</v>
      </c>
    </row>
    <row r="2623" spans="1:11" x14ac:dyDescent="0.45">
      <c r="A2623" t="s">
        <v>86</v>
      </c>
      <c r="B2623" t="s">
        <v>4</v>
      </c>
      <c r="C2623" t="s">
        <v>83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0.37159999999999999</v>
      </c>
      <c r="K2623" t="s">
        <v>24</v>
      </c>
    </row>
    <row r="2624" spans="1:11" x14ac:dyDescent="0.45">
      <c r="A2624" t="s">
        <v>86</v>
      </c>
      <c r="B2624" t="s">
        <v>4</v>
      </c>
      <c r="C2624" t="s">
        <v>83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0.35699999999999998</v>
      </c>
      <c r="K2624" t="s">
        <v>24</v>
      </c>
    </row>
    <row r="2625" spans="1:11" x14ac:dyDescent="0.45">
      <c r="A2625" t="s">
        <v>86</v>
      </c>
      <c r="B2625" t="s">
        <v>4</v>
      </c>
      <c r="C2625" t="s">
        <v>83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0.34260000000000002</v>
      </c>
      <c r="K2625" t="s">
        <v>24</v>
      </c>
    </row>
    <row r="2626" spans="1:11" x14ac:dyDescent="0.45">
      <c r="A2626" t="s">
        <v>86</v>
      </c>
      <c r="B2626" t="s">
        <v>4</v>
      </c>
      <c r="C2626" t="s">
        <v>83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9.7500000000000003E-2</v>
      </c>
      <c r="K2626" t="s">
        <v>28</v>
      </c>
    </row>
    <row r="2627" spans="1:11" x14ac:dyDescent="0.45">
      <c r="A2627" t="s">
        <v>86</v>
      </c>
      <c r="B2627" t="s">
        <v>4</v>
      </c>
      <c r="C2627" t="s">
        <v>83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0.1169</v>
      </c>
      <c r="K2627" t="s">
        <v>28</v>
      </c>
    </row>
    <row r="2628" spans="1:11" x14ac:dyDescent="0.45">
      <c r="A2628" t="s">
        <v>86</v>
      </c>
      <c r="B2628" t="s">
        <v>4</v>
      </c>
      <c r="C2628" t="s">
        <v>83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0.14399999999999999</v>
      </c>
      <c r="K2628" t="s">
        <v>28</v>
      </c>
    </row>
    <row r="2629" spans="1:11" x14ac:dyDescent="0.45">
      <c r="A2629" t="s">
        <v>86</v>
      </c>
      <c r="B2629" t="s">
        <v>4</v>
      </c>
      <c r="C2629" t="s">
        <v>83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0.1832</v>
      </c>
      <c r="K2629" t="s">
        <v>28</v>
      </c>
    </row>
    <row r="2630" spans="1:11" x14ac:dyDescent="0.45">
      <c r="A2630" t="s">
        <v>86</v>
      </c>
      <c r="B2630" t="s">
        <v>4</v>
      </c>
      <c r="C2630" t="s">
        <v>83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0.22020000000000001</v>
      </c>
      <c r="K2630" t="s">
        <v>28</v>
      </c>
    </row>
    <row r="2631" spans="1:11" x14ac:dyDescent="0.45">
      <c r="A2631" t="s">
        <v>86</v>
      </c>
      <c r="B2631" t="s">
        <v>4</v>
      </c>
      <c r="C2631" t="s">
        <v>83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0.2442</v>
      </c>
      <c r="K2631" t="s">
        <v>28</v>
      </c>
    </row>
    <row r="2632" spans="1:11" x14ac:dyDescent="0.45">
      <c r="A2632" t="s">
        <v>86</v>
      </c>
      <c r="B2632" t="s">
        <v>4</v>
      </c>
      <c r="C2632" t="s">
        <v>83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0.25569999999999998</v>
      </c>
      <c r="K2632" t="s">
        <v>28</v>
      </c>
    </row>
    <row r="2633" spans="1:11" x14ac:dyDescent="0.45">
      <c r="A2633" t="s">
        <v>86</v>
      </c>
      <c r="B2633" t="s">
        <v>4</v>
      </c>
      <c r="C2633" t="s">
        <v>83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0.25590000000000002</v>
      </c>
      <c r="K2633" t="s">
        <v>28</v>
      </c>
    </row>
    <row r="2634" spans="1:11" x14ac:dyDescent="0.45">
      <c r="A2634" t="s">
        <v>86</v>
      </c>
      <c r="B2634" t="s">
        <v>4</v>
      </c>
      <c r="C2634" t="s">
        <v>83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0.2772</v>
      </c>
      <c r="K2634" t="s">
        <v>28</v>
      </c>
    </row>
    <row r="2635" spans="1:11" x14ac:dyDescent="0.45">
      <c r="A2635" t="s">
        <v>86</v>
      </c>
      <c r="B2635" t="s">
        <v>4</v>
      </c>
      <c r="C2635" t="s">
        <v>83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0.28050000000000003</v>
      </c>
      <c r="K2635" t="s">
        <v>28</v>
      </c>
    </row>
    <row r="2636" spans="1:11" x14ac:dyDescent="0.45">
      <c r="A2636" t="s">
        <v>86</v>
      </c>
      <c r="B2636" t="s">
        <v>4</v>
      </c>
      <c r="C2636" t="s">
        <v>83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0.28399999999999997</v>
      </c>
      <c r="K2636" t="s">
        <v>28</v>
      </c>
    </row>
    <row r="2637" spans="1:11" x14ac:dyDescent="0.45">
      <c r="A2637" t="s">
        <v>86</v>
      </c>
      <c r="B2637" t="s">
        <v>4</v>
      </c>
      <c r="C2637" t="s">
        <v>83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0.29389999999999999</v>
      </c>
      <c r="K2637" t="s">
        <v>28</v>
      </c>
    </row>
    <row r="2638" spans="1:11" x14ac:dyDescent="0.45">
      <c r="A2638" t="s">
        <v>86</v>
      </c>
      <c r="B2638" t="s">
        <v>4</v>
      </c>
      <c r="C2638" t="s">
        <v>83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0.30430000000000001</v>
      </c>
      <c r="K2638" t="s">
        <v>28</v>
      </c>
    </row>
    <row r="2639" spans="1:11" x14ac:dyDescent="0.45">
      <c r="A2639" t="s">
        <v>86</v>
      </c>
      <c r="B2639" t="s">
        <v>4</v>
      </c>
      <c r="C2639" t="s">
        <v>83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0.31440000000000001</v>
      </c>
      <c r="K2639" t="s">
        <v>28</v>
      </c>
    </row>
    <row r="2640" spans="1:11" x14ac:dyDescent="0.45">
      <c r="A2640" t="s">
        <v>86</v>
      </c>
      <c r="B2640" t="s">
        <v>4</v>
      </c>
      <c r="C2640" t="s">
        <v>83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0.32700000000000001</v>
      </c>
      <c r="K2640" t="s">
        <v>28</v>
      </c>
    </row>
    <row r="2641" spans="1:11" x14ac:dyDescent="0.45">
      <c r="A2641" t="s">
        <v>86</v>
      </c>
      <c r="B2641" t="s">
        <v>4</v>
      </c>
      <c r="C2641" t="s">
        <v>83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0.33200000000000002</v>
      </c>
      <c r="K2641" t="s">
        <v>28</v>
      </c>
    </row>
    <row r="2642" spans="1:11" x14ac:dyDescent="0.45">
      <c r="A2642" t="s">
        <v>86</v>
      </c>
      <c r="B2642" t="s">
        <v>4</v>
      </c>
      <c r="C2642" t="s">
        <v>83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0.33700000000000002</v>
      </c>
      <c r="K2642" t="s">
        <v>28</v>
      </c>
    </row>
    <row r="2643" spans="1:11" x14ac:dyDescent="0.45">
      <c r="A2643" t="s">
        <v>86</v>
      </c>
      <c r="B2643" t="s">
        <v>4</v>
      </c>
      <c r="C2643" t="s">
        <v>83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1.0999999999999999E-2</v>
      </c>
      <c r="K2643" t="s">
        <v>27</v>
      </c>
    </row>
    <row r="2644" spans="1:11" x14ac:dyDescent="0.45">
      <c r="A2644" t="s">
        <v>86</v>
      </c>
      <c r="B2644" t="s">
        <v>4</v>
      </c>
      <c r="C2644" t="s">
        <v>83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1.8200000000000001E-2</v>
      </c>
      <c r="K2644" t="s">
        <v>27</v>
      </c>
    </row>
    <row r="2645" spans="1:11" x14ac:dyDescent="0.45">
      <c r="A2645" t="s">
        <v>86</v>
      </c>
      <c r="B2645" t="s">
        <v>4</v>
      </c>
      <c r="C2645" t="s">
        <v>83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3.49E-2</v>
      </c>
      <c r="K2645" t="s">
        <v>27</v>
      </c>
    </row>
    <row r="2646" spans="1:11" x14ac:dyDescent="0.45">
      <c r="A2646" t="s">
        <v>86</v>
      </c>
      <c r="B2646" t="s">
        <v>4</v>
      </c>
      <c r="C2646" t="s">
        <v>83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6.3500000000000001E-2</v>
      </c>
      <c r="K2646" t="s">
        <v>27</v>
      </c>
    </row>
    <row r="2647" spans="1:11" x14ac:dyDescent="0.45">
      <c r="A2647" t="s">
        <v>86</v>
      </c>
      <c r="B2647" t="s">
        <v>4</v>
      </c>
      <c r="C2647" t="s">
        <v>83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0.1043</v>
      </c>
      <c r="K2647" t="s">
        <v>27</v>
      </c>
    </row>
    <row r="2648" spans="1:11" x14ac:dyDescent="0.45">
      <c r="A2648" t="s">
        <v>86</v>
      </c>
      <c r="B2648" t="s">
        <v>4</v>
      </c>
      <c r="C2648" t="s">
        <v>83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0.1152</v>
      </c>
      <c r="K2648" t="s">
        <v>27</v>
      </c>
    </row>
    <row r="2649" spans="1:11" x14ac:dyDescent="0.45">
      <c r="A2649" t="s">
        <v>86</v>
      </c>
      <c r="B2649" t="s">
        <v>4</v>
      </c>
      <c r="C2649" t="s">
        <v>83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0.11650000000000001</v>
      </c>
      <c r="K2649" t="s">
        <v>27</v>
      </c>
    </row>
    <row r="2650" spans="1:11" x14ac:dyDescent="0.45">
      <c r="A2650" t="s">
        <v>86</v>
      </c>
      <c r="B2650" t="s">
        <v>4</v>
      </c>
      <c r="C2650" t="s">
        <v>83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0.1158</v>
      </c>
      <c r="K2650" t="s">
        <v>27</v>
      </c>
    </row>
    <row r="2651" spans="1:11" x14ac:dyDescent="0.45">
      <c r="A2651" t="s">
        <v>86</v>
      </c>
      <c r="B2651" t="s">
        <v>4</v>
      </c>
      <c r="C2651" t="s">
        <v>83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0.1138</v>
      </c>
      <c r="K2651" t="s">
        <v>27</v>
      </c>
    </row>
    <row r="2652" spans="1:11" x14ac:dyDescent="0.45">
      <c r="A2652" t="s">
        <v>86</v>
      </c>
      <c r="B2652" t="s">
        <v>4</v>
      </c>
      <c r="C2652" t="s">
        <v>83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0.1101</v>
      </c>
      <c r="K2652" t="s">
        <v>27</v>
      </c>
    </row>
    <row r="2653" spans="1:11" x14ac:dyDescent="0.45">
      <c r="A2653" t="s">
        <v>86</v>
      </c>
      <c r="B2653" t="s">
        <v>4</v>
      </c>
      <c r="C2653" t="s">
        <v>83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0.107</v>
      </c>
      <c r="K2653" t="s">
        <v>27</v>
      </c>
    </row>
    <row r="2654" spans="1:11" x14ac:dyDescent="0.45">
      <c r="A2654" t="s">
        <v>86</v>
      </c>
      <c r="B2654" t="s">
        <v>4</v>
      </c>
      <c r="C2654" t="s">
        <v>83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0.10580000000000001</v>
      </c>
      <c r="K2654" t="s">
        <v>27</v>
      </c>
    </row>
    <row r="2655" spans="1:11" x14ac:dyDescent="0.45">
      <c r="A2655" t="s">
        <v>86</v>
      </c>
      <c r="B2655" t="s">
        <v>4</v>
      </c>
      <c r="C2655" t="s">
        <v>83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0.1053</v>
      </c>
      <c r="K2655" t="s">
        <v>27</v>
      </c>
    </row>
    <row r="2656" spans="1:11" x14ac:dyDescent="0.45">
      <c r="A2656" t="s">
        <v>86</v>
      </c>
      <c r="B2656" t="s">
        <v>4</v>
      </c>
      <c r="C2656" t="s">
        <v>83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0.1042</v>
      </c>
      <c r="K2656" t="s">
        <v>27</v>
      </c>
    </row>
    <row r="2657" spans="1:11" x14ac:dyDescent="0.45">
      <c r="A2657" t="s">
        <v>86</v>
      </c>
      <c r="B2657" t="s">
        <v>4</v>
      </c>
      <c r="C2657" t="s">
        <v>83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0.104</v>
      </c>
      <c r="K2657" t="s">
        <v>27</v>
      </c>
    </row>
    <row r="2658" spans="1:11" x14ac:dyDescent="0.45">
      <c r="A2658" t="s">
        <v>86</v>
      </c>
      <c r="B2658" t="s">
        <v>4</v>
      </c>
      <c r="C2658" t="s">
        <v>83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0.104</v>
      </c>
      <c r="K2658" t="s">
        <v>27</v>
      </c>
    </row>
    <row r="2659" spans="1:11" x14ac:dyDescent="0.45">
      <c r="A2659" t="s">
        <v>86</v>
      </c>
      <c r="B2659" t="s">
        <v>4</v>
      </c>
      <c r="C2659" t="s">
        <v>83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0.104</v>
      </c>
      <c r="K2659" t="s">
        <v>27</v>
      </c>
    </row>
    <row r="2660" spans="1:11" x14ac:dyDescent="0.45">
      <c r="A2660" t="s">
        <v>86</v>
      </c>
      <c r="B2660" t="s">
        <v>4</v>
      </c>
      <c r="C2660" t="s">
        <v>83</v>
      </c>
      <c r="D2660" t="s">
        <v>84</v>
      </c>
      <c r="E2660" t="s">
        <v>25</v>
      </c>
      <c r="F2660" t="s">
        <v>84</v>
      </c>
      <c r="G2660" t="s">
        <v>26</v>
      </c>
      <c r="H2660" t="s">
        <v>81</v>
      </c>
      <c r="I2660">
        <v>2020</v>
      </c>
      <c r="J2660">
        <v>4.7999999999999996E-3</v>
      </c>
      <c r="K2660" t="s">
        <v>84</v>
      </c>
    </row>
    <row r="2661" spans="1:11" x14ac:dyDescent="0.45">
      <c r="A2661" t="s">
        <v>86</v>
      </c>
      <c r="B2661" t="s">
        <v>4</v>
      </c>
      <c r="C2661" t="s">
        <v>83</v>
      </c>
      <c r="D2661" t="s">
        <v>84</v>
      </c>
      <c r="E2661" t="s">
        <v>25</v>
      </c>
      <c r="F2661" t="s">
        <v>84</v>
      </c>
      <c r="G2661" t="s">
        <v>26</v>
      </c>
      <c r="H2661" t="s">
        <v>81</v>
      </c>
      <c r="I2661">
        <v>2025</v>
      </c>
      <c r="J2661">
        <v>2.0299999999999999E-2</v>
      </c>
      <c r="K2661" t="s">
        <v>84</v>
      </c>
    </row>
    <row r="2662" spans="1:11" x14ac:dyDescent="0.45">
      <c r="A2662" t="s">
        <v>86</v>
      </c>
      <c r="B2662" t="s">
        <v>4</v>
      </c>
      <c r="C2662" t="s">
        <v>83</v>
      </c>
      <c r="D2662" t="s">
        <v>84</v>
      </c>
      <c r="E2662" t="s">
        <v>25</v>
      </c>
      <c r="F2662" t="s">
        <v>84</v>
      </c>
      <c r="G2662" t="s">
        <v>26</v>
      </c>
      <c r="H2662" t="s">
        <v>81</v>
      </c>
      <c r="I2662">
        <v>2030</v>
      </c>
      <c r="J2662">
        <v>4.4600000000000001E-2</v>
      </c>
      <c r="K2662" t="s">
        <v>84</v>
      </c>
    </row>
    <row r="2663" spans="1:11" x14ac:dyDescent="0.45">
      <c r="A2663" t="s">
        <v>86</v>
      </c>
      <c r="B2663" t="s">
        <v>4</v>
      </c>
      <c r="C2663" t="s">
        <v>83</v>
      </c>
      <c r="D2663" t="s">
        <v>84</v>
      </c>
      <c r="E2663" t="s">
        <v>25</v>
      </c>
      <c r="F2663" t="s">
        <v>84</v>
      </c>
      <c r="G2663" t="s">
        <v>26</v>
      </c>
      <c r="H2663" t="s">
        <v>81</v>
      </c>
      <c r="I2663">
        <v>2035</v>
      </c>
      <c r="J2663">
        <v>7.0699999999999999E-2</v>
      </c>
      <c r="K2663" t="s">
        <v>84</v>
      </c>
    </row>
    <row r="2664" spans="1:11" x14ac:dyDescent="0.45">
      <c r="A2664" t="s">
        <v>86</v>
      </c>
      <c r="B2664" t="s">
        <v>4</v>
      </c>
      <c r="C2664" t="s">
        <v>83</v>
      </c>
      <c r="D2664" t="s">
        <v>84</v>
      </c>
      <c r="E2664" t="s">
        <v>25</v>
      </c>
      <c r="F2664" t="s">
        <v>84</v>
      </c>
      <c r="G2664" t="s">
        <v>26</v>
      </c>
      <c r="H2664" t="s">
        <v>81</v>
      </c>
      <c r="I2664">
        <v>2040</v>
      </c>
      <c r="J2664">
        <v>9.7000000000000003E-2</v>
      </c>
      <c r="K2664" t="s">
        <v>84</v>
      </c>
    </row>
    <row r="2665" spans="1:11" x14ac:dyDescent="0.45">
      <c r="A2665" t="s">
        <v>86</v>
      </c>
      <c r="B2665" t="s">
        <v>4</v>
      </c>
      <c r="C2665" t="s">
        <v>83</v>
      </c>
      <c r="D2665" t="s">
        <v>84</v>
      </c>
      <c r="E2665" t="s">
        <v>25</v>
      </c>
      <c r="F2665" t="s">
        <v>84</v>
      </c>
      <c r="G2665" t="s">
        <v>26</v>
      </c>
      <c r="H2665" t="s">
        <v>81</v>
      </c>
      <c r="I2665">
        <v>2045</v>
      </c>
      <c r="J2665">
        <v>0.113</v>
      </c>
      <c r="K2665" t="s">
        <v>84</v>
      </c>
    </row>
    <row r="2666" spans="1:11" x14ac:dyDescent="0.45">
      <c r="A2666" t="s">
        <v>86</v>
      </c>
      <c r="B2666" t="s">
        <v>4</v>
      </c>
      <c r="C2666" t="s">
        <v>83</v>
      </c>
      <c r="D2666" t="s">
        <v>84</v>
      </c>
      <c r="E2666" t="s">
        <v>25</v>
      </c>
      <c r="F2666" t="s">
        <v>84</v>
      </c>
      <c r="G2666" t="s">
        <v>26</v>
      </c>
      <c r="H2666" t="s">
        <v>81</v>
      </c>
      <c r="I2666">
        <v>2050</v>
      </c>
      <c r="J2666">
        <v>0.1198</v>
      </c>
      <c r="K2666" t="s">
        <v>84</v>
      </c>
    </row>
    <row r="2667" spans="1:11" x14ac:dyDescent="0.45">
      <c r="A2667" t="s">
        <v>86</v>
      </c>
      <c r="B2667" t="s">
        <v>4</v>
      </c>
      <c r="C2667" t="s">
        <v>83</v>
      </c>
      <c r="D2667" t="s">
        <v>84</v>
      </c>
      <c r="E2667" t="s">
        <v>25</v>
      </c>
      <c r="F2667" t="s">
        <v>84</v>
      </c>
      <c r="G2667" t="s">
        <v>26</v>
      </c>
      <c r="H2667" t="s">
        <v>81</v>
      </c>
      <c r="I2667">
        <v>2055</v>
      </c>
      <c r="J2667">
        <v>0.1113</v>
      </c>
      <c r="K2667" t="s">
        <v>84</v>
      </c>
    </row>
    <row r="2668" spans="1:11" x14ac:dyDescent="0.45">
      <c r="A2668" t="s">
        <v>86</v>
      </c>
      <c r="B2668" t="s">
        <v>4</v>
      </c>
      <c r="C2668" t="s">
        <v>83</v>
      </c>
      <c r="D2668" t="s">
        <v>84</v>
      </c>
      <c r="E2668" t="s">
        <v>25</v>
      </c>
      <c r="F2668" t="s">
        <v>84</v>
      </c>
      <c r="G2668" t="s">
        <v>26</v>
      </c>
      <c r="H2668" t="s">
        <v>81</v>
      </c>
      <c r="I2668">
        <v>2060</v>
      </c>
      <c r="J2668">
        <v>0.1</v>
      </c>
      <c r="K2668" t="s">
        <v>84</v>
      </c>
    </row>
    <row r="2669" spans="1:11" x14ac:dyDescent="0.45">
      <c r="A2669" t="s">
        <v>86</v>
      </c>
      <c r="B2669" t="s">
        <v>4</v>
      </c>
      <c r="C2669" t="s">
        <v>83</v>
      </c>
      <c r="D2669" t="s">
        <v>84</v>
      </c>
      <c r="E2669" t="s">
        <v>25</v>
      </c>
      <c r="F2669" t="s">
        <v>84</v>
      </c>
      <c r="G2669" t="s">
        <v>26</v>
      </c>
      <c r="H2669" t="s">
        <v>81</v>
      </c>
      <c r="I2669">
        <v>2065</v>
      </c>
      <c r="J2669">
        <v>9.4899999999999998E-2</v>
      </c>
      <c r="K2669" t="s">
        <v>84</v>
      </c>
    </row>
    <row r="2670" spans="1:11" x14ac:dyDescent="0.45">
      <c r="A2670" t="s">
        <v>86</v>
      </c>
      <c r="B2670" t="s">
        <v>4</v>
      </c>
      <c r="C2670" t="s">
        <v>83</v>
      </c>
      <c r="D2670" t="s">
        <v>84</v>
      </c>
      <c r="E2670" t="s">
        <v>25</v>
      </c>
      <c r="F2670" t="s">
        <v>84</v>
      </c>
      <c r="G2670" t="s">
        <v>26</v>
      </c>
      <c r="H2670" t="s">
        <v>81</v>
      </c>
      <c r="I2670">
        <v>2070</v>
      </c>
      <c r="J2670">
        <v>9.1800000000000007E-2</v>
      </c>
      <c r="K2670" t="s">
        <v>84</v>
      </c>
    </row>
    <row r="2671" spans="1:11" x14ac:dyDescent="0.45">
      <c r="A2671" t="s">
        <v>86</v>
      </c>
      <c r="B2671" t="s">
        <v>4</v>
      </c>
      <c r="C2671" t="s">
        <v>83</v>
      </c>
      <c r="D2671" t="s">
        <v>84</v>
      </c>
      <c r="E2671" t="s">
        <v>25</v>
      </c>
      <c r="F2671" t="s">
        <v>84</v>
      </c>
      <c r="G2671" t="s">
        <v>26</v>
      </c>
      <c r="H2671" t="s">
        <v>81</v>
      </c>
      <c r="I2671">
        <v>2075</v>
      </c>
      <c r="J2671">
        <v>0.1021</v>
      </c>
      <c r="K2671" t="s">
        <v>84</v>
      </c>
    </row>
    <row r="2672" spans="1:11" x14ac:dyDescent="0.45">
      <c r="A2672" t="s">
        <v>86</v>
      </c>
      <c r="B2672" t="s">
        <v>4</v>
      </c>
      <c r="C2672" t="s">
        <v>83</v>
      </c>
      <c r="D2672" t="s">
        <v>84</v>
      </c>
      <c r="E2672" t="s">
        <v>25</v>
      </c>
      <c r="F2672" t="s">
        <v>84</v>
      </c>
      <c r="G2672" t="s">
        <v>26</v>
      </c>
      <c r="H2672" t="s">
        <v>81</v>
      </c>
      <c r="I2672">
        <v>2080</v>
      </c>
      <c r="J2672">
        <v>0.1128</v>
      </c>
      <c r="K2672" t="s">
        <v>84</v>
      </c>
    </row>
    <row r="2673" spans="1:12" x14ac:dyDescent="0.45">
      <c r="A2673" t="s">
        <v>86</v>
      </c>
      <c r="B2673" t="s">
        <v>4</v>
      </c>
      <c r="C2673" t="s">
        <v>83</v>
      </c>
      <c r="D2673" t="s">
        <v>84</v>
      </c>
      <c r="E2673" t="s">
        <v>25</v>
      </c>
      <c r="F2673" t="s">
        <v>84</v>
      </c>
      <c r="G2673" t="s">
        <v>26</v>
      </c>
      <c r="H2673" t="s">
        <v>81</v>
      </c>
      <c r="I2673">
        <v>2085</v>
      </c>
      <c r="J2673">
        <v>0.14610000000000001</v>
      </c>
      <c r="K2673" t="s">
        <v>84</v>
      </c>
    </row>
    <row r="2674" spans="1:12" x14ac:dyDescent="0.45">
      <c r="A2674" t="s">
        <v>86</v>
      </c>
      <c r="B2674" t="s">
        <v>4</v>
      </c>
      <c r="C2674" t="s">
        <v>83</v>
      </c>
      <c r="D2674" t="s">
        <v>84</v>
      </c>
      <c r="E2674" t="s">
        <v>25</v>
      </c>
      <c r="F2674" t="s">
        <v>84</v>
      </c>
      <c r="G2674" t="s">
        <v>26</v>
      </c>
      <c r="H2674" t="s">
        <v>81</v>
      </c>
      <c r="I2674">
        <v>2090</v>
      </c>
      <c r="J2674">
        <v>0.17860000000000001</v>
      </c>
      <c r="K2674" t="s">
        <v>84</v>
      </c>
    </row>
    <row r="2675" spans="1:12" x14ac:dyDescent="0.45">
      <c r="A2675" t="s">
        <v>86</v>
      </c>
      <c r="B2675" t="s">
        <v>4</v>
      </c>
      <c r="C2675" t="s">
        <v>83</v>
      </c>
      <c r="D2675" t="s">
        <v>84</v>
      </c>
      <c r="E2675" t="s">
        <v>25</v>
      </c>
      <c r="F2675" t="s">
        <v>84</v>
      </c>
      <c r="G2675" t="s">
        <v>26</v>
      </c>
      <c r="H2675" t="s">
        <v>81</v>
      </c>
      <c r="I2675">
        <v>2095</v>
      </c>
      <c r="J2675">
        <v>0.24729999999999999</v>
      </c>
      <c r="K2675" t="s">
        <v>84</v>
      </c>
    </row>
    <row r="2676" spans="1:12" x14ac:dyDescent="0.45">
      <c r="A2676" t="s">
        <v>86</v>
      </c>
      <c r="B2676" t="s">
        <v>4</v>
      </c>
      <c r="C2676" t="s">
        <v>83</v>
      </c>
      <c r="D2676" t="s">
        <v>84</v>
      </c>
      <c r="E2676" t="s">
        <v>25</v>
      </c>
      <c r="F2676" t="s">
        <v>84</v>
      </c>
      <c r="G2676" t="s">
        <v>26</v>
      </c>
      <c r="H2676" t="s">
        <v>81</v>
      </c>
      <c r="I2676">
        <v>2100</v>
      </c>
      <c r="J2676">
        <v>0.30449999999999999</v>
      </c>
      <c r="K2676" t="s">
        <v>84</v>
      </c>
    </row>
    <row r="2677" spans="1:12" x14ac:dyDescent="0.45">
      <c r="A2677" t="s">
        <v>86</v>
      </c>
      <c r="B2677" t="s">
        <v>4</v>
      </c>
      <c r="C2677" t="s">
        <v>83</v>
      </c>
      <c r="D2677" t="s">
        <v>52</v>
      </c>
      <c r="E2677" t="s">
        <v>25</v>
      </c>
      <c r="F2677" t="s">
        <v>52</v>
      </c>
      <c r="G2677" t="s">
        <v>70</v>
      </c>
      <c r="I2677">
        <v>2020</v>
      </c>
      <c r="J2677">
        <v>0.33260000000000001</v>
      </c>
      <c r="K2677" t="s">
        <v>52</v>
      </c>
      <c r="L2677">
        <v>94</v>
      </c>
    </row>
    <row r="2678" spans="1:12" x14ac:dyDescent="0.45">
      <c r="A2678" t="s">
        <v>86</v>
      </c>
      <c r="B2678" t="s">
        <v>4</v>
      </c>
      <c r="C2678" t="s">
        <v>83</v>
      </c>
      <c r="D2678" t="s">
        <v>52</v>
      </c>
      <c r="E2678" t="s">
        <v>25</v>
      </c>
      <c r="F2678" t="s">
        <v>52</v>
      </c>
      <c r="G2678" t="s">
        <v>70</v>
      </c>
      <c r="I2678">
        <v>2025</v>
      </c>
      <c r="J2678">
        <v>0.31369999999999998</v>
      </c>
      <c r="K2678" t="s">
        <v>52</v>
      </c>
      <c r="L2678">
        <v>94</v>
      </c>
    </row>
    <row r="2679" spans="1:12" x14ac:dyDescent="0.45">
      <c r="A2679" t="s">
        <v>86</v>
      </c>
      <c r="B2679" t="s">
        <v>4</v>
      </c>
      <c r="C2679" t="s">
        <v>83</v>
      </c>
      <c r="D2679" t="s">
        <v>52</v>
      </c>
      <c r="E2679" t="s">
        <v>25</v>
      </c>
      <c r="F2679" t="s">
        <v>52</v>
      </c>
      <c r="G2679" t="s">
        <v>70</v>
      </c>
      <c r="I2679">
        <v>2030</v>
      </c>
      <c r="J2679">
        <v>0.29570000000000002</v>
      </c>
      <c r="K2679" t="s">
        <v>52</v>
      </c>
      <c r="L2679">
        <v>94</v>
      </c>
    </row>
    <row r="2680" spans="1:12" x14ac:dyDescent="0.45">
      <c r="A2680" t="s">
        <v>86</v>
      </c>
      <c r="B2680" t="s">
        <v>4</v>
      </c>
      <c r="C2680" t="s">
        <v>83</v>
      </c>
      <c r="D2680" t="s">
        <v>52</v>
      </c>
      <c r="E2680" t="s">
        <v>25</v>
      </c>
      <c r="F2680" t="s">
        <v>52</v>
      </c>
      <c r="G2680" t="s">
        <v>70</v>
      </c>
      <c r="I2680">
        <v>2035</v>
      </c>
      <c r="J2680">
        <v>0.28660000000000002</v>
      </c>
      <c r="K2680" t="s">
        <v>52</v>
      </c>
      <c r="L2680">
        <v>94</v>
      </c>
    </row>
    <row r="2681" spans="1:12" x14ac:dyDescent="0.45">
      <c r="A2681" t="s">
        <v>86</v>
      </c>
      <c r="B2681" t="s">
        <v>4</v>
      </c>
      <c r="C2681" t="s">
        <v>83</v>
      </c>
      <c r="D2681" t="s">
        <v>52</v>
      </c>
      <c r="E2681" t="s">
        <v>25</v>
      </c>
      <c r="F2681" t="s">
        <v>52</v>
      </c>
      <c r="G2681" t="s">
        <v>70</v>
      </c>
      <c r="I2681">
        <v>2040</v>
      </c>
      <c r="J2681">
        <v>0.26100000000000001</v>
      </c>
      <c r="K2681" t="s">
        <v>52</v>
      </c>
      <c r="L2681">
        <v>94</v>
      </c>
    </row>
    <row r="2682" spans="1:12" x14ac:dyDescent="0.45">
      <c r="A2682" t="s">
        <v>86</v>
      </c>
      <c r="B2682" t="s">
        <v>4</v>
      </c>
      <c r="C2682" t="s">
        <v>83</v>
      </c>
      <c r="D2682" t="s">
        <v>52</v>
      </c>
      <c r="E2682" t="s">
        <v>25</v>
      </c>
      <c r="F2682" t="s">
        <v>52</v>
      </c>
      <c r="G2682" t="s">
        <v>70</v>
      </c>
      <c r="I2682">
        <v>2045</v>
      </c>
      <c r="J2682">
        <v>0.19059999999999999</v>
      </c>
      <c r="K2682" t="s">
        <v>52</v>
      </c>
      <c r="L2682">
        <v>94</v>
      </c>
    </row>
    <row r="2683" spans="1:12" x14ac:dyDescent="0.45">
      <c r="A2683" t="s">
        <v>86</v>
      </c>
      <c r="B2683" t="s">
        <v>4</v>
      </c>
      <c r="C2683" t="s">
        <v>83</v>
      </c>
      <c r="D2683" t="s">
        <v>52</v>
      </c>
      <c r="E2683" t="s">
        <v>25</v>
      </c>
      <c r="F2683" t="s">
        <v>52</v>
      </c>
      <c r="G2683" t="s">
        <v>70</v>
      </c>
      <c r="I2683">
        <v>2050</v>
      </c>
      <c r="J2683">
        <v>0.12039999999999999</v>
      </c>
      <c r="K2683" t="s">
        <v>52</v>
      </c>
      <c r="L2683">
        <v>94</v>
      </c>
    </row>
    <row r="2684" spans="1:12" x14ac:dyDescent="0.45">
      <c r="A2684" t="s">
        <v>86</v>
      </c>
      <c r="B2684" t="s">
        <v>4</v>
      </c>
      <c r="C2684" t="s">
        <v>83</v>
      </c>
      <c r="D2684" t="s">
        <v>52</v>
      </c>
      <c r="E2684" t="s">
        <v>25</v>
      </c>
      <c r="F2684" t="s">
        <v>52</v>
      </c>
      <c r="G2684" t="s">
        <v>70</v>
      </c>
      <c r="I2684">
        <v>2055</v>
      </c>
      <c r="J2684">
        <v>6.7100000000000007E-2</v>
      </c>
      <c r="K2684" t="s">
        <v>52</v>
      </c>
      <c r="L2684">
        <v>94</v>
      </c>
    </row>
    <row r="2685" spans="1:12" x14ac:dyDescent="0.45">
      <c r="A2685" t="s">
        <v>86</v>
      </c>
      <c r="B2685" t="s">
        <v>4</v>
      </c>
      <c r="C2685" t="s">
        <v>83</v>
      </c>
      <c r="D2685" t="s">
        <v>52</v>
      </c>
      <c r="E2685" t="s">
        <v>25</v>
      </c>
      <c r="F2685" t="s">
        <v>52</v>
      </c>
      <c r="G2685" t="s">
        <v>70</v>
      </c>
      <c r="I2685">
        <v>2060</v>
      </c>
      <c r="J2685">
        <v>1.8700000000000001E-2</v>
      </c>
      <c r="K2685" t="s">
        <v>52</v>
      </c>
      <c r="L2685">
        <v>94</v>
      </c>
    </row>
    <row r="2686" spans="1:12" x14ac:dyDescent="0.45">
      <c r="A2686" t="s">
        <v>86</v>
      </c>
      <c r="B2686" t="s">
        <v>4</v>
      </c>
      <c r="C2686" t="s">
        <v>83</v>
      </c>
      <c r="D2686" t="s">
        <v>52</v>
      </c>
      <c r="E2686" t="s">
        <v>25</v>
      </c>
      <c r="F2686" t="s">
        <v>52</v>
      </c>
      <c r="G2686" t="s">
        <v>70</v>
      </c>
      <c r="I2686">
        <v>2065</v>
      </c>
      <c r="J2686">
        <v>6.3E-3</v>
      </c>
      <c r="K2686" t="s">
        <v>52</v>
      </c>
      <c r="L2686">
        <v>94</v>
      </c>
    </row>
    <row r="2687" spans="1:12" x14ac:dyDescent="0.45">
      <c r="A2687" t="s">
        <v>86</v>
      </c>
      <c r="B2687" t="s">
        <v>4</v>
      </c>
      <c r="C2687" t="s">
        <v>83</v>
      </c>
      <c r="D2687" t="s">
        <v>52</v>
      </c>
      <c r="E2687" t="s">
        <v>25</v>
      </c>
      <c r="F2687" t="s">
        <v>52</v>
      </c>
      <c r="G2687" t="s">
        <v>70</v>
      </c>
      <c r="I2687">
        <v>2070</v>
      </c>
      <c r="J2687">
        <v>2.0000000000000001E-4</v>
      </c>
      <c r="K2687" t="s">
        <v>52</v>
      </c>
      <c r="L2687">
        <v>94</v>
      </c>
    </row>
    <row r="2688" spans="1:12" x14ac:dyDescent="0.45">
      <c r="A2688" t="s">
        <v>86</v>
      </c>
      <c r="B2688" t="s">
        <v>4</v>
      </c>
      <c r="C2688" t="s">
        <v>83</v>
      </c>
      <c r="D2688" t="s">
        <v>52</v>
      </c>
      <c r="E2688" t="s">
        <v>25</v>
      </c>
      <c r="F2688" t="s">
        <v>52</v>
      </c>
      <c r="G2688" t="s">
        <v>70</v>
      </c>
      <c r="I2688">
        <v>2075</v>
      </c>
      <c r="J2688">
        <v>1E-4</v>
      </c>
      <c r="K2688" t="s">
        <v>52</v>
      </c>
      <c r="L2688">
        <v>94</v>
      </c>
    </row>
    <row r="2689" spans="1:12" x14ac:dyDescent="0.45">
      <c r="A2689" t="s">
        <v>86</v>
      </c>
      <c r="B2689" t="s">
        <v>4</v>
      </c>
      <c r="C2689" t="s">
        <v>83</v>
      </c>
      <c r="D2689" t="s">
        <v>52</v>
      </c>
      <c r="E2689" t="s">
        <v>25</v>
      </c>
      <c r="F2689" t="s">
        <v>52</v>
      </c>
      <c r="G2689" t="s">
        <v>70</v>
      </c>
      <c r="I2689">
        <v>2080</v>
      </c>
      <c r="J2689">
        <v>0</v>
      </c>
      <c r="K2689" t="s">
        <v>52</v>
      </c>
      <c r="L2689">
        <v>94</v>
      </c>
    </row>
    <row r="2690" spans="1:12" x14ac:dyDescent="0.45">
      <c r="A2690" t="s">
        <v>86</v>
      </c>
      <c r="B2690" t="s">
        <v>4</v>
      </c>
      <c r="C2690" t="s">
        <v>83</v>
      </c>
      <c r="D2690" t="s">
        <v>52</v>
      </c>
      <c r="E2690" t="s">
        <v>25</v>
      </c>
      <c r="F2690" t="s">
        <v>52</v>
      </c>
      <c r="G2690" t="s">
        <v>70</v>
      </c>
      <c r="I2690">
        <v>2085</v>
      </c>
      <c r="J2690">
        <v>2.0000000000000001E-4</v>
      </c>
      <c r="K2690" t="s">
        <v>52</v>
      </c>
      <c r="L2690">
        <v>94</v>
      </c>
    </row>
    <row r="2691" spans="1:12" x14ac:dyDescent="0.45">
      <c r="A2691" t="s">
        <v>86</v>
      </c>
      <c r="B2691" t="s">
        <v>4</v>
      </c>
      <c r="C2691" t="s">
        <v>83</v>
      </c>
      <c r="D2691" t="s">
        <v>52</v>
      </c>
      <c r="E2691" t="s">
        <v>25</v>
      </c>
      <c r="F2691" t="s">
        <v>52</v>
      </c>
      <c r="G2691" t="s">
        <v>70</v>
      </c>
      <c r="I2691">
        <v>2090</v>
      </c>
      <c r="J2691">
        <v>5.0000000000000001E-4</v>
      </c>
      <c r="K2691" t="s">
        <v>52</v>
      </c>
      <c r="L2691">
        <v>94</v>
      </c>
    </row>
    <row r="2692" spans="1:12" x14ac:dyDescent="0.45">
      <c r="A2692" t="s">
        <v>86</v>
      </c>
      <c r="B2692" t="s">
        <v>4</v>
      </c>
      <c r="C2692" t="s">
        <v>83</v>
      </c>
      <c r="D2692" t="s">
        <v>52</v>
      </c>
      <c r="E2692" t="s">
        <v>25</v>
      </c>
      <c r="F2692" t="s">
        <v>52</v>
      </c>
      <c r="G2692" t="s">
        <v>70</v>
      </c>
      <c r="I2692">
        <v>2095</v>
      </c>
      <c r="J2692">
        <v>1.2999999999999999E-3</v>
      </c>
      <c r="K2692" t="s">
        <v>52</v>
      </c>
      <c r="L2692">
        <v>94</v>
      </c>
    </row>
    <row r="2693" spans="1:12" x14ac:dyDescent="0.45">
      <c r="A2693" t="s">
        <v>86</v>
      </c>
      <c r="B2693" t="s">
        <v>4</v>
      </c>
      <c r="C2693" t="s">
        <v>83</v>
      </c>
      <c r="D2693" t="s">
        <v>52</v>
      </c>
      <c r="E2693" t="s">
        <v>25</v>
      </c>
      <c r="F2693" t="s">
        <v>52</v>
      </c>
      <c r="G2693" t="s">
        <v>70</v>
      </c>
      <c r="I2693">
        <v>2100</v>
      </c>
      <c r="J2693">
        <v>2.3E-3</v>
      </c>
      <c r="K2693" t="s">
        <v>52</v>
      </c>
      <c r="L2693">
        <v>94</v>
      </c>
    </row>
    <row r="2694" spans="1:12" x14ac:dyDescent="0.45">
      <c r="A2694" t="s">
        <v>86</v>
      </c>
      <c r="B2694" t="s">
        <v>4</v>
      </c>
      <c r="C2694" t="s">
        <v>83</v>
      </c>
      <c r="D2694" t="s">
        <v>53</v>
      </c>
      <c r="E2694" t="s">
        <v>25</v>
      </c>
      <c r="F2694" t="s">
        <v>53</v>
      </c>
      <c r="G2694" t="s">
        <v>70</v>
      </c>
      <c r="I2694">
        <v>2020</v>
      </c>
      <c r="J2694">
        <v>0.11119999999999999</v>
      </c>
      <c r="K2694" t="s">
        <v>53</v>
      </c>
      <c r="L2694">
        <v>55</v>
      </c>
    </row>
    <row r="2695" spans="1:12" x14ac:dyDescent="0.45">
      <c r="A2695" t="s">
        <v>86</v>
      </c>
      <c r="B2695" t="s">
        <v>4</v>
      </c>
      <c r="C2695" t="s">
        <v>83</v>
      </c>
      <c r="D2695" t="s">
        <v>53</v>
      </c>
      <c r="E2695" t="s">
        <v>25</v>
      </c>
      <c r="F2695" t="s">
        <v>53</v>
      </c>
      <c r="G2695" t="s">
        <v>70</v>
      </c>
      <c r="I2695">
        <v>2025</v>
      </c>
      <c r="J2695">
        <v>0.1351</v>
      </c>
      <c r="K2695" t="s">
        <v>53</v>
      </c>
      <c r="L2695">
        <v>55</v>
      </c>
    </row>
    <row r="2696" spans="1:12" x14ac:dyDescent="0.45">
      <c r="A2696" t="s">
        <v>86</v>
      </c>
      <c r="B2696" t="s">
        <v>4</v>
      </c>
      <c r="C2696" t="s">
        <v>83</v>
      </c>
      <c r="D2696" t="s">
        <v>53</v>
      </c>
      <c r="E2696" t="s">
        <v>25</v>
      </c>
      <c r="F2696" t="s">
        <v>53</v>
      </c>
      <c r="G2696" t="s">
        <v>70</v>
      </c>
      <c r="I2696">
        <v>2030</v>
      </c>
      <c r="J2696">
        <v>0.19370000000000001</v>
      </c>
      <c r="K2696" t="s">
        <v>53</v>
      </c>
      <c r="L2696">
        <v>55</v>
      </c>
    </row>
    <row r="2697" spans="1:12" x14ac:dyDescent="0.45">
      <c r="A2697" t="s">
        <v>86</v>
      </c>
      <c r="B2697" t="s">
        <v>4</v>
      </c>
      <c r="C2697" t="s">
        <v>83</v>
      </c>
      <c r="D2697" t="s">
        <v>53</v>
      </c>
      <c r="E2697" t="s">
        <v>25</v>
      </c>
      <c r="F2697" t="s">
        <v>53</v>
      </c>
      <c r="G2697" t="s">
        <v>70</v>
      </c>
      <c r="I2697">
        <v>2035</v>
      </c>
      <c r="J2697">
        <v>0.28410000000000002</v>
      </c>
      <c r="K2697" t="s">
        <v>53</v>
      </c>
      <c r="L2697">
        <v>55</v>
      </c>
    </row>
    <row r="2698" spans="1:12" x14ac:dyDescent="0.45">
      <c r="A2698" t="s">
        <v>86</v>
      </c>
      <c r="B2698" t="s">
        <v>4</v>
      </c>
      <c r="C2698" t="s">
        <v>83</v>
      </c>
      <c r="D2698" t="s">
        <v>53</v>
      </c>
      <c r="E2698" t="s">
        <v>25</v>
      </c>
      <c r="F2698" t="s">
        <v>53</v>
      </c>
      <c r="G2698" t="s">
        <v>70</v>
      </c>
      <c r="I2698">
        <v>2040</v>
      </c>
      <c r="J2698">
        <v>0.38419999999999999</v>
      </c>
      <c r="K2698" t="s">
        <v>53</v>
      </c>
      <c r="L2698">
        <v>55</v>
      </c>
    </row>
    <row r="2699" spans="1:12" x14ac:dyDescent="0.45">
      <c r="A2699" t="s">
        <v>86</v>
      </c>
      <c r="B2699" t="s">
        <v>4</v>
      </c>
      <c r="C2699" t="s">
        <v>83</v>
      </c>
      <c r="D2699" t="s">
        <v>53</v>
      </c>
      <c r="E2699" t="s">
        <v>25</v>
      </c>
      <c r="F2699" t="s">
        <v>53</v>
      </c>
      <c r="G2699" t="s">
        <v>70</v>
      </c>
      <c r="I2699">
        <v>2045</v>
      </c>
      <c r="J2699">
        <v>0.4209</v>
      </c>
      <c r="K2699" t="s">
        <v>53</v>
      </c>
      <c r="L2699">
        <v>55</v>
      </c>
    </row>
    <row r="2700" spans="1:12" x14ac:dyDescent="0.45">
      <c r="A2700" t="s">
        <v>86</v>
      </c>
      <c r="B2700" t="s">
        <v>4</v>
      </c>
      <c r="C2700" t="s">
        <v>83</v>
      </c>
      <c r="D2700" t="s">
        <v>53</v>
      </c>
      <c r="E2700" t="s">
        <v>25</v>
      </c>
      <c r="F2700" t="s">
        <v>53</v>
      </c>
      <c r="G2700" t="s">
        <v>70</v>
      </c>
      <c r="I2700">
        <v>2050</v>
      </c>
      <c r="J2700">
        <v>0.38250000000000001</v>
      </c>
      <c r="K2700" t="s">
        <v>53</v>
      </c>
      <c r="L2700">
        <v>55</v>
      </c>
    </row>
    <row r="2701" spans="1:12" x14ac:dyDescent="0.45">
      <c r="A2701" t="s">
        <v>86</v>
      </c>
      <c r="B2701" t="s">
        <v>4</v>
      </c>
      <c r="C2701" t="s">
        <v>83</v>
      </c>
      <c r="D2701" t="s">
        <v>53</v>
      </c>
      <c r="E2701" t="s">
        <v>25</v>
      </c>
      <c r="F2701" t="s">
        <v>53</v>
      </c>
      <c r="G2701" t="s">
        <v>70</v>
      </c>
      <c r="I2701">
        <v>2055</v>
      </c>
      <c r="J2701">
        <v>0.33689999999999998</v>
      </c>
      <c r="K2701" t="s">
        <v>53</v>
      </c>
      <c r="L2701">
        <v>55</v>
      </c>
    </row>
    <row r="2702" spans="1:12" x14ac:dyDescent="0.45">
      <c r="A2702" t="s">
        <v>86</v>
      </c>
      <c r="B2702" t="s">
        <v>4</v>
      </c>
      <c r="C2702" t="s">
        <v>83</v>
      </c>
      <c r="D2702" t="s">
        <v>53</v>
      </c>
      <c r="E2702" t="s">
        <v>25</v>
      </c>
      <c r="F2702" t="s">
        <v>53</v>
      </c>
      <c r="G2702" t="s">
        <v>70</v>
      </c>
      <c r="I2702">
        <v>2060</v>
      </c>
      <c r="J2702">
        <v>0.26190000000000002</v>
      </c>
      <c r="K2702" t="s">
        <v>53</v>
      </c>
      <c r="L2702">
        <v>55</v>
      </c>
    </row>
    <row r="2703" spans="1:12" x14ac:dyDescent="0.45">
      <c r="A2703" t="s">
        <v>86</v>
      </c>
      <c r="B2703" t="s">
        <v>4</v>
      </c>
      <c r="C2703" t="s">
        <v>83</v>
      </c>
      <c r="D2703" t="s">
        <v>53</v>
      </c>
      <c r="E2703" t="s">
        <v>25</v>
      </c>
      <c r="F2703" t="s">
        <v>53</v>
      </c>
      <c r="G2703" t="s">
        <v>70</v>
      </c>
      <c r="I2703">
        <v>2065</v>
      </c>
      <c r="J2703">
        <v>0.19750000000000001</v>
      </c>
      <c r="K2703" t="s">
        <v>53</v>
      </c>
      <c r="L2703">
        <v>55</v>
      </c>
    </row>
    <row r="2704" spans="1:12" x14ac:dyDescent="0.45">
      <c r="A2704" t="s">
        <v>86</v>
      </c>
      <c r="B2704" t="s">
        <v>4</v>
      </c>
      <c r="C2704" t="s">
        <v>83</v>
      </c>
      <c r="D2704" t="s">
        <v>53</v>
      </c>
      <c r="E2704" t="s">
        <v>25</v>
      </c>
      <c r="F2704" t="s">
        <v>53</v>
      </c>
      <c r="G2704" t="s">
        <v>70</v>
      </c>
      <c r="I2704">
        <v>2070</v>
      </c>
      <c r="J2704">
        <v>0.1555</v>
      </c>
      <c r="K2704" t="s">
        <v>53</v>
      </c>
      <c r="L2704">
        <v>55</v>
      </c>
    </row>
    <row r="2705" spans="1:12" x14ac:dyDescent="0.45">
      <c r="A2705" t="s">
        <v>86</v>
      </c>
      <c r="B2705" t="s">
        <v>4</v>
      </c>
      <c r="C2705" t="s">
        <v>83</v>
      </c>
      <c r="D2705" t="s">
        <v>53</v>
      </c>
      <c r="E2705" t="s">
        <v>25</v>
      </c>
      <c r="F2705" t="s">
        <v>53</v>
      </c>
      <c r="G2705" t="s">
        <v>70</v>
      </c>
      <c r="I2705">
        <v>2075</v>
      </c>
      <c r="J2705">
        <v>0.11840000000000001</v>
      </c>
      <c r="K2705" t="s">
        <v>53</v>
      </c>
      <c r="L2705">
        <v>55</v>
      </c>
    </row>
    <row r="2706" spans="1:12" x14ac:dyDescent="0.45">
      <c r="A2706" t="s">
        <v>86</v>
      </c>
      <c r="B2706" t="s">
        <v>4</v>
      </c>
      <c r="C2706" t="s">
        <v>83</v>
      </c>
      <c r="D2706" t="s">
        <v>53</v>
      </c>
      <c r="E2706" t="s">
        <v>25</v>
      </c>
      <c r="F2706" t="s">
        <v>53</v>
      </c>
      <c r="G2706" t="s">
        <v>70</v>
      </c>
      <c r="I2706">
        <v>2080</v>
      </c>
      <c r="J2706">
        <v>0.09</v>
      </c>
      <c r="K2706" t="s">
        <v>53</v>
      </c>
      <c r="L2706">
        <v>55</v>
      </c>
    </row>
    <row r="2707" spans="1:12" x14ac:dyDescent="0.45">
      <c r="A2707" t="s">
        <v>86</v>
      </c>
      <c r="B2707" t="s">
        <v>4</v>
      </c>
      <c r="C2707" t="s">
        <v>83</v>
      </c>
      <c r="D2707" t="s">
        <v>53</v>
      </c>
      <c r="E2707" t="s">
        <v>25</v>
      </c>
      <c r="F2707" t="s">
        <v>53</v>
      </c>
      <c r="G2707" t="s">
        <v>70</v>
      </c>
      <c r="I2707">
        <v>2085</v>
      </c>
      <c r="J2707">
        <v>7.5700000000000003E-2</v>
      </c>
      <c r="K2707" t="s">
        <v>53</v>
      </c>
      <c r="L2707">
        <v>55</v>
      </c>
    </row>
    <row r="2708" spans="1:12" x14ac:dyDescent="0.45">
      <c r="A2708" t="s">
        <v>86</v>
      </c>
      <c r="B2708" t="s">
        <v>4</v>
      </c>
      <c r="C2708" t="s">
        <v>83</v>
      </c>
      <c r="D2708" t="s">
        <v>53</v>
      </c>
      <c r="E2708" t="s">
        <v>25</v>
      </c>
      <c r="F2708" t="s">
        <v>53</v>
      </c>
      <c r="G2708" t="s">
        <v>70</v>
      </c>
      <c r="I2708">
        <v>2090</v>
      </c>
      <c r="J2708">
        <v>6.2E-2</v>
      </c>
      <c r="K2708" t="s">
        <v>53</v>
      </c>
      <c r="L2708">
        <v>55</v>
      </c>
    </row>
    <row r="2709" spans="1:12" x14ac:dyDescent="0.45">
      <c r="A2709" t="s">
        <v>86</v>
      </c>
      <c r="B2709" t="s">
        <v>4</v>
      </c>
      <c r="C2709" t="s">
        <v>83</v>
      </c>
      <c r="D2709" t="s">
        <v>53</v>
      </c>
      <c r="E2709" t="s">
        <v>25</v>
      </c>
      <c r="F2709" t="s">
        <v>53</v>
      </c>
      <c r="G2709" t="s">
        <v>70</v>
      </c>
      <c r="I2709">
        <v>2095</v>
      </c>
      <c r="J2709">
        <v>5.6000000000000001E-2</v>
      </c>
      <c r="K2709" t="s">
        <v>53</v>
      </c>
      <c r="L2709">
        <v>55</v>
      </c>
    </row>
    <row r="2710" spans="1:12" x14ac:dyDescent="0.45">
      <c r="A2710" t="s">
        <v>86</v>
      </c>
      <c r="B2710" t="s">
        <v>4</v>
      </c>
      <c r="C2710" t="s">
        <v>83</v>
      </c>
      <c r="D2710" t="s">
        <v>53</v>
      </c>
      <c r="E2710" t="s">
        <v>25</v>
      </c>
      <c r="F2710" t="s">
        <v>53</v>
      </c>
      <c r="G2710" t="s">
        <v>70</v>
      </c>
      <c r="I2710">
        <v>2100</v>
      </c>
      <c r="J2710">
        <v>4.9500000000000002E-2</v>
      </c>
      <c r="K2710" t="s">
        <v>53</v>
      </c>
      <c r="L2710">
        <v>55</v>
      </c>
    </row>
    <row r="2711" spans="1:12" x14ac:dyDescent="0.45">
      <c r="A2711" t="s">
        <v>86</v>
      </c>
      <c r="B2711" t="s">
        <v>4</v>
      </c>
      <c r="C2711" t="s">
        <v>83</v>
      </c>
      <c r="D2711" t="s">
        <v>54</v>
      </c>
      <c r="E2711" t="s">
        <v>25</v>
      </c>
      <c r="F2711" t="s">
        <v>54</v>
      </c>
      <c r="G2711" t="s">
        <v>70</v>
      </c>
      <c r="I2711">
        <v>2020</v>
      </c>
      <c r="J2711">
        <v>0</v>
      </c>
      <c r="K2711" t="s">
        <v>54</v>
      </c>
      <c r="L2711">
        <v>70</v>
      </c>
    </row>
    <row r="2712" spans="1:12" x14ac:dyDescent="0.45">
      <c r="A2712" t="s">
        <v>86</v>
      </c>
      <c r="B2712" t="s">
        <v>4</v>
      </c>
      <c r="C2712" t="s">
        <v>83</v>
      </c>
      <c r="D2712" t="s">
        <v>54</v>
      </c>
      <c r="E2712" t="s">
        <v>25</v>
      </c>
      <c r="F2712" t="s">
        <v>54</v>
      </c>
      <c r="G2712" t="s">
        <v>70</v>
      </c>
      <c r="I2712">
        <v>2025</v>
      </c>
      <c r="J2712">
        <v>0</v>
      </c>
      <c r="K2712" t="s">
        <v>54</v>
      </c>
      <c r="L2712">
        <v>70</v>
      </c>
    </row>
    <row r="2713" spans="1:12" x14ac:dyDescent="0.45">
      <c r="A2713" t="s">
        <v>86</v>
      </c>
      <c r="B2713" t="s">
        <v>4</v>
      </c>
      <c r="C2713" t="s">
        <v>83</v>
      </c>
      <c r="D2713" t="s">
        <v>54</v>
      </c>
      <c r="E2713" t="s">
        <v>25</v>
      </c>
      <c r="F2713" t="s">
        <v>54</v>
      </c>
      <c r="G2713" t="s">
        <v>70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86</v>
      </c>
      <c r="B2714" t="s">
        <v>4</v>
      </c>
      <c r="C2714" t="s">
        <v>83</v>
      </c>
      <c r="D2714" t="s">
        <v>54</v>
      </c>
      <c r="E2714" t="s">
        <v>25</v>
      </c>
      <c r="F2714" t="s">
        <v>54</v>
      </c>
      <c r="G2714" t="s">
        <v>70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86</v>
      </c>
      <c r="B2715" t="s">
        <v>4</v>
      </c>
      <c r="C2715" t="s">
        <v>83</v>
      </c>
      <c r="D2715" t="s">
        <v>54</v>
      </c>
      <c r="E2715" t="s">
        <v>25</v>
      </c>
      <c r="F2715" t="s">
        <v>54</v>
      </c>
      <c r="G2715" t="s">
        <v>70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86</v>
      </c>
      <c r="B2716" t="s">
        <v>4</v>
      </c>
      <c r="C2716" t="s">
        <v>83</v>
      </c>
      <c r="D2716" t="s">
        <v>54</v>
      </c>
      <c r="E2716" t="s">
        <v>25</v>
      </c>
      <c r="F2716" t="s">
        <v>54</v>
      </c>
      <c r="G2716" t="s">
        <v>70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86</v>
      </c>
      <c r="B2717" t="s">
        <v>4</v>
      </c>
      <c r="C2717" t="s">
        <v>83</v>
      </c>
      <c r="D2717" t="s">
        <v>54</v>
      </c>
      <c r="E2717" t="s">
        <v>25</v>
      </c>
      <c r="F2717" t="s">
        <v>54</v>
      </c>
      <c r="G2717" t="s">
        <v>70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86</v>
      </c>
      <c r="B2718" t="s">
        <v>4</v>
      </c>
      <c r="C2718" t="s">
        <v>83</v>
      </c>
      <c r="D2718" t="s">
        <v>54</v>
      </c>
      <c r="E2718" t="s">
        <v>25</v>
      </c>
      <c r="F2718" t="s">
        <v>54</v>
      </c>
      <c r="G2718" t="s">
        <v>70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86</v>
      </c>
      <c r="B2719" t="s">
        <v>4</v>
      </c>
      <c r="C2719" t="s">
        <v>83</v>
      </c>
      <c r="D2719" t="s">
        <v>54</v>
      </c>
      <c r="E2719" t="s">
        <v>25</v>
      </c>
      <c r="F2719" t="s">
        <v>54</v>
      </c>
      <c r="G2719" t="s">
        <v>70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86</v>
      </c>
      <c r="B2720" t="s">
        <v>4</v>
      </c>
      <c r="C2720" t="s">
        <v>83</v>
      </c>
      <c r="D2720" t="s">
        <v>54</v>
      </c>
      <c r="E2720" t="s">
        <v>25</v>
      </c>
      <c r="F2720" t="s">
        <v>54</v>
      </c>
      <c r="G2720" t="s">
        <v>70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86</v>
      </c>
      <c r="B2721" t="s">
        <v>4</v>
      </c>
      <c r="C2721" t="s">
        <v>83</v>
      </c>
      <c r="D2721" t="s">
        <v>54</v>
      </c>
      <c r="E2721" t="s">
        <v>25</v>
      </c>
      <c r="F2721" t="s">
        <v>54</v>
      </c>
      <c r="G2721" t="s">
        <v>70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86</v>
      </c>
      <c r="B2722" t="s">
        <v>4</v>
      </c>
      <c r="C2722" t="s">
        <v>83</v>
      </c>
      <c r="D2722" t="s">
        <v>54</v>
      </c>
      <c r="E2722" t="s">
        <v>25</v>
      </c>
      <c r="F2722" t="s">
        <v>54</v>
      </c>
      <c r="G2722" t="s">
        <v>70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86</v>
      </c>
      <c r="B2723" t="s">
        <v>4</v>
      </c>
      <c r="C2723" t="s">
        <v>83</v>
      </c>
      <c r="D2723" t="s">
        <v>54</v>
      </c>
      <c r="E2723" t="s">
        <v>25</v>
      </c>
      <c r="F2723" t="s">
        <v>54</v>
      </c>
      <c r="G2723" t="s">
        <v>70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86</v>
      </c>
      <c r="B2724" t="s">
        <v>4</v>
      </c>
      <c r="C2724" t="s">
        <v>83</v>
      </c>
      <c r="D2724" t="s">
        <v>54</v>
      </c>
      <c r="E2724" t="s">
        <v>25</v>
      </c>
      <c r="F2724" t="s">
        <v>54</v>
      </c>
      <c r="G2724" t="s">
        <v>70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86</v>
      </c>
      <c r="B2725" t="s">
        <v>4</v>
      </c>
      <c r="C2725" t="s">
        <v>83</v>
      </c>
      <c r="D2725" t="s">
        <v>54</v>
      </c>
      <c r="E2725" t="s">
        <v>25</v>
      </c>
      <c r="F2725" t="s">
        <v>54</v>
      </c>
      <c r="G2725" t="s">
        <v>70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86</v>
      </c>
      <c r="B2726" t="s">
        <v>4</v>
      </c>
      <c r="C2726" t="s">
        <v>83</v>
      </c>
      <c r="D2726" t="s">
        <v>54</v>
      </c>
      <c r="E2726" t="s">
        <v>25</v>
      </c>
      <c r="F2726" t="s">
        <v>54</v>
      </c>
      <c r="G2726" t="s">
        <v>70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86</v>
      </c>
      <c r="B2727" t="s">
        <v>4</v>
      </c>
      <c r="C2727" t="s">
        <v>83</v>
      </c>
      <c r="D2727" t="s">
        <v>54</v>
      </c>
      <c r="E2727" t="s">
        <v>25</v>
      </c>
      <c r="F2727" t="s">
        <v>54</v>
      </c>
      <c r="G2727" t="s">
        <v>70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86</v>
      </c>
      <c r="B2728" t="s">
        <v>4</v>
      </c>
      <c r="C2728" t="s">
        <v>83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86</v>
      </c>
      <c r="B2729" t="s">
        <v>4</v>
      </c>
      <c r="C2729" t="s">
        <v>83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86</v>
      </c>
      <c r="B2730" t="s">
        <v>4</v>
      </c>
      <c r="C2730" t="s">
        <v>83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86</v>
      </c>
      <c r="B2731" t="s">
        <v>4</v>
      </c>
      <c r="C2731" t="s">
        <v>83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86</v>
      </c>
      <c r="B2732" t="s">
        <v>4</v>
      </c>
      <c r="C2732" t="s">
        <v>83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86</v>
      </c>
      <c r="B2733" t="s">
        <v>4</v>
      </c>
      <c r="C2733" t="s">
        <v>83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86</v>
      </c>
      <c r="B2734" t="s">
        <v>4</v>
      </c>
      <c r="C2734" t="s">
        <v>83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86</v>
      </c>
      <c r="B2735" t="s">
        <v>4</v>
      </c>
      <c r="C2735" t="s">
        <v>83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86</v>
      </c>
      <c r="B2736" t="s">
        <v>4</v>
      </c>
      <c r="C2736" t="s">
        <v>83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86</v>
      </c>
      <c r="B2737" t="s">
        <v>4</v>
      </c>
      <c r="C2737" t="s">
        <v>83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86</v>
      </c>
      <c r="B2738" t="s">
        <v>4</v>
      </c>
      <c r="C2738" t="s">
        <v>83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86</v>
      </c>
      <c r="B2739" t="s">
        <v>4</v>
      </c>
      <c r="C2739" t="s">
        <v>83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86</v>
      </c>
      <c r="B2740" t="s">
        <v>4</v>
      </c>
      <c r="C2740" t="s">
        <v>83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86</v>
      </c>
      <c r="B2741" t="s">
        <v>4</v>
      </c>
      <c r="C2741" t="s">
        <v>83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86</v>
      </c>
      <c r="B2742" t="s">
        <v>4</v>
      </c>
      <c r="C2742" t="s">
        <v>83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86</v>
      </c>
      <c r="B2743" t="s">
        <v>4</v>
      </c>
      <c r="C2743" t="s">
        <v>83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86</v>
      </c>
      <c r="B2744" t="s">
        <v>4</v>
      </c>
      <c r="C2744" t="s">
        <v>83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86</v>
      </c>
      <c r="B2745" t="s">
        <v>4</v>
      </c>
      <c r="C2745" t="s">
        <v>83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86</v>
      </c>
      <c r="B2746" t="s">
        <v>4</v>
      </c>
      <c r="C2746" t="s">
        <v>83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86</v>
      </c>
      <c r="B2747" t="s">
        <v>4</v>
      </c>
      <c r="C2747" t="s">
        <v>83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86</v>
      </c>
      <c r="B2748" t="s">
        <v>4</v>
      </c>
      <c r="C2748" t="s">
        <v>83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86</v>
      </c>
      <c r="B2749" t="s">
        <v>4</v>
      </c>
      <c r="C2749" t="s">
        <v>83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86</v>
      </c>
      <c r="B2750" t="s">
        <v>4</v>
      </c>
      <c r="C2750" t="s">
        <v>83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86</v>
      </c>
      <c r="B2751" t="s">
        <v>4</v>
      </c>
      <c r="C2751" t="s">
        <v>83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86</v>
      </c>
      <c r="B2752" t="s">
        <v>4</v>
      </c>
      <c r="C2752" t="s">
        <v>83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86</v>
      </c>
      <c r="B2753" t="s">
        <v>4</v>
      </c>
      <c r="C2753" t="s">
        <v>83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86</v>
      </c>
      <c r="B2754" t="s">
        <v>4</v>
      </c>
      <c r="C2754" t="s">
        <v>83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86</v>
      </c>
      <c r="B2755" t="s">
        <v>4</v>
      </c>
      <c r="C2755" t="s">
        <v>83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86</v>
      </c>
      <c r="B2756" t="s">
        <v>4</v>
      </c>
      <c r="C2756" t="s">
        <v>83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86</v>
      </c>
      <c r="B2757" t="s">
        <v>4</v>
      </c>
      <c r="C2757" t="s">
        <v>83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86</v>
      </c>
      <c r="B2758" t="s">
        <v>4</v>
      </c>
      <c r="C2758" t="s">
        <v>83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86</v>
      </c>
      <c r="B2759" t="s">
        <v>4</v>
      </c>
      <c r="C2759" t="s">
        <v>83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86</v>
      </c>
      <c r="B2760" t="s">
        <v>4</v>
      </c>
      <c r="C2760" t="s">
        <v>83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86</v>
      </c>
      <c r="B2761" t="s">
        <v>4</v>
      </c>
      <c r="C2761" t="s">
        <v>83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86</v>
      </c>
      <c r="B2762" t="s">
        <v>4</v>
      </c>
      <c r="C2762" t="s">
        <v>83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86</v>
      </c>
      <c r="B2763" t="s">
        <v>4</v>
      </c>
      <c r="C2763" t="s">
        <v>83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86</v>
      </c>
      <c r="B2764" t="s">
        <v>4</v>
      </c>
      <c r="C2764" t="s">
        <v>83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86</v>
      </c>
      <c r="B2765" t="s">
        <v>4</v>
      </c>
      <c r="C2765" t="s">
        <v>83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86</v>
      </c>
      <c r="B2766" t="s">
        <v>4</v>
      </c>
      <c r="C2766" t="s">
        <v>83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86</v>
      </c>
      <c r="B2767" t="s">
        <v>4</v>
      </c>
      <c r="C2767" t="s">
        <v>83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86</v>
      </c>
      <c r="B2768" t="s">
        <v>4</v>
      </c>
      <c r="C2768" t="s">
        <v>83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86</v>
      </c>
      <c r="B2769" t="s">
        <v>4</v>
      </c>
      <c r="C2769" t="s">
        <v>83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86</v>
      </c>
      <c r="B2770" t="s">
        <v>4</v>
      </c>
      <c r="C2770" t="s">
        <v>83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86</v>
      </c>
      <c r="B2771" t="s">
        <v>4</v>
      </c>
      <c r="C2771" t="s">
        <v>83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86</v>
      </c>
      <c r="B2772" t="s">
        <v>4</v>
      </c>
      <c r="C2772" t="s">
        <v>83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86</v>
      </c>
      <c r="B2773" t="s">
        <v>4</v>
      </c>
      <c r="C2773" t="s">
        <v>83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86</v>
      </c>
      <c r="B2774" t="s">
        <v>4</v>
      </c>
      <c r="C2774" t="s">
        <v>83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86</v>
      </c>
      <c r="B2775" t="s">
        <v>4</v>
      </c>
      <c r="C2775" t="s">
        <v>83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86</v>
      </c>
      <c r="B2776" t="s">
        <v>4</v>
      </c>
      <c r="C2776" t="s">
        <v>83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86</v>
      </c>
      <c r="B2777" t="s">
        <v>4</v>
      </c>
      <c r="C2777" t="s">
        <v>83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86</v>
      </c>
      <c r="B2778" t="s">
        <v>4</v>
      </c>
      <c r="C2778" t="s">
        <v>83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86</v>
      </c>
      <c r="B2779" t="s">
        <v>4</v>
      </c>
      <c r="C2779" t="s">
        <v>83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56.074300000000001</v>
      </c>
      <c r="K2779" t="s">
        <v>37</v>
      </c>
    </row>
    <row r="2780" spans="1:11" x14ac:dyDescent="0.45">
      <c r="A2780" t="s">
        <v>86</v>
      </c>
      <c r="B2780" t="s">
        <v>4</v>
      </c>
      <c r="C2780" t="s">
        <v>83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66.884100000000004</v>
      </c>
      <c r="K2780" t="s">
        <v>37</v>
      </c>
    </row>
    <row r="2781" spans="1:11" x14ac:dyDescent="0.45">
      <c r="A2781" t="s">
        <v>86</v>
      </c>
      <c r="B2781" t="s">
        <v>4</v>
      </c>
      <c r="C2781" t="s">
        <v>83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75.320400000000006</v>
      </c>
      <c r="K2781" t="s">
        <v>37</v>
      </c>
    </row>
    <row r="2782" spans="1:11" x14ac:dyDescent="0.45">
      <c r="A2782" t="s">
        <v>86</v>
      </c>
      <c r="B2782" t="s">
        <v>4</v>
      </c>
      <c r="C2782" t="s">
        <v>83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85.147800000000004</v>
      </c>
      <c r="K2782" t="s">
        <v>37</v>
      </c>
    </row>
    <row r="2783" spans="1:11" x14ac:dyDescent="0.45">
      <c r="A2783" t="s">
        <v>86</v>
      </c>
      <c r="B2783" t="s">
        <v>4</v>
      </c>
      <c r="C2783" t="s">
        <v>83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95.216099999999997</v>
      </c>
      <c r="K2783" t="s">
        <v>37</v>
      </c>
    </row>
    <row r="2784" spans="1:11" x14ac:dyDescent="0.45">
      <c r="A2784" t="s">
        <v>86</v>
      </c>
      <c r="B2784" t="s">
        <v>4</v>
      </c>
      <c r="C2784" t="s">
        <v>83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99.302999999999997</v>
      </c>
      <c r="K2784" t="s">
        <v>37</v>
      </c>
    </row>
    <row r="2785" spans="1:11" x14ac:dyDescent="0.45">
      <c r="A2785" t="s">
        <v>86</v>
      </c>
      <c r="B2785" t="s">
        <v>4</v>
      </c>
      <c r="C2785" t="s">
        <v>83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106.97150000000001</v>
      </c>
      <c r="K2785" t="s">
        <v>37</v>
      </c>
    </row>
    <row r="2786" spans="1:11" x14ac:dyDescent="0.45">
      <c r="A2786" t="s">
        <v>86</v>
      </c>
      <c r="B2786" t="s">
        <v>4</v>
      </c>
      <c r="C2786" t="s">
        <v>83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112.62179999999999</v>
      </c>
      <c r="K2786" t="s">
        <v>37</v>
      </c>
    </row>
    <row r="2787" spans="1:11" x14ac:dyDescent="0.45">
      <c r="A2787" t="s">
        <v>86</v>
      </c>
      <c r="B2787" t="s">
        <v>4</v>
      </c>
      <c r="C2787" t="s">
        <v>83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179.47210000000001</v>
      </c>
      <c r="K2787" t="s">
        <v>37</v>
      </c>
    </row>
    <row r="2788" spans="1:11" x14ac:dyDescent="0.45">
      <c r="A2788" t="s">
        <v>86</v>
      </c>
      <c r="B2788" t="s">
        <v>4</v>
      </c>
      <c r="C2788" t="s">
        <v>83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192.53360000000001</v>
      </c>
      <c r="K2788" t="s">
        <v>37</v>
      </c>
    </row>
    <row r="2789" spans="1:11" x14ac:dyDescent="0.45">
      <c r="A2789" t="s">
        <v>86</v>
      </c>
      <c r="B2789" t="s">
        <v>4</v>
      </c>
      <c r="C2789" t="s">
        <v>83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205.5951</v>
      </c>
      <c r="K2789" t="s">
        <v>37</v>
      </c>
    </row>
    <row r="2790" spans="1:11" x14ac:dyDescent="0.45">
      <c r="A2790" t="s">
        <v>86</v>
      </c>
      <c r="B2790" t="s">
        <v>4</v>
      </c>
      <c r="C2790" t="s">
        <v>83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217.46449999999999</v>
      </c>
      <c r="K2790" t="s">
        <v>37</v>
      </c>
    </row>
    <row r="2791" spans="1:11" x14ac:dyDescent="0.45">
      <c r="A2791" t="s">
        <v>86</v>
      </c>
      <c r="B2791" t="s">
        <v>4</v>
      </c>
      <c r="C2791" t="s">
        <v>83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229.3338</v>
      </c>
      <c r="K2791" t="s">
        <v>37</v>
      </c>
    </row>
    <row r="2792" spans="1:11" x14ac:dyDescent="0.45">
      <c r="A2792" t="s">
        <v>86</v>
      </c>
      <c r="B2792" t="s">
        <v>4</v>
      </c>
      <c r="C2792" t="s">
        <v>83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245.40020000000001</v>
      </c>
      <c r="K2792" t="s">
        <v>37</v>
      </c>
    </row>
    <row r="2793" spans="1:11" x14ac:dyDescent="0.45">
      <c r="A2793" t="s">
        <v>86</v>
      </c>
      <c r="B2793" t="s">
        <v>4</v>
      </c>
      <c r="C2793" t="s">
        <v>83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261.46660000000003</v>
      </c>
      <c r="K2793" t="s">
        <v>37</v>
      </c>
    </row>
    <row r="2794" spans="1:11" x14ac:dyDescent="0.45">
      <c r="A2794" t="s">
        <v>86</v>
      </c>
      <c r="B2794" t="s">
        <v>4</v>
      </c>
      <c r="C2794" t="s">
        <v>83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289.1574</v>
      </c>
      <c r="K2794" t="s">
        <v>37</v>
      </c>
    </row>
    <row r="2795" spans="1:11" x14ac:dyDescent="0.45">
      <c r="A2795" t="s">
        <v>86</v>
      </c>
      <c r="B2795" t="s">
        <v>4</v>
      </c>
      <c r="C2795" t="s">
        <v>83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316.84820000000002</v>
      </c>
      <c r="K2795" t="s">
        <v>37</v>
      </c>
    </row>
    <row r="2796" spans="1:11" x14ac:dyDescent="0.45">
      <c r="A2796" t="s">
        <v>86</v>
      </c>
      <c r="B2796" t="s">
        <v>4</v>
      </c>
      <c r="C2796" t="s">
        <v>83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375.90969999999999</v>
      </c>
      <c r="K2796" t="s">
        <v>48</v>
      </c>
    </row>
    <row r="2797" spans="1:11" x14ac:dyDescent="0.45">
      <c r="A2797" t="s">
        <v>86</v>
      </c>
      <c r="B2797" t="s">
        <v>4</v>
      </c>
      <c r="C2797" t="s">
        <v>83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414.9255</v>
      </c>
      <c r="K2797" t="s">
        <v>48</v>
      </c>
    </row>
    <row r="2798" spans="1:11" x14ac:dyDescent="0.45">
      <c r="A2798" t="s">
        <v>86</v>
      </c>
      <c r="B2798" t="s">
        <v>4</v>
      </c>
      <c r="C2798" t="s">
        <v>83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415.31420000000003</v>
      </c>
      <c r="K2798" t="s">
        <v>48</v>
      </c>
    </row>
    <row r="2799" spans="1:11" x14ac:dyDescent="0.45">
      <c r="A2799" t="s">
        <v>86</v>
      </c>
      <c r="B2799" t="s">
        <v>4</v>
      </c>
      <c r="C2799" t="s">
        <v>83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416.58949999999999</v>
      </c>
      <c r="K2799" t="s">
        <v>48</v>
      </c>
    </row>
    <row r="2800" spans="1:11" x14ac:dyDescent="0.45">
      <c r="A2800" t="s">
        <v>86</v>
      </c>
      <c r="B2800" t="s">
        <v>4</v>
      </c>
      <c r="C2800" t="s">
        <v>83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411.44580000000002</v>
      </c>
      <c r="K2800" t="s">
        <v>48</v>
      </c>
    </row>
    <row r="2801" spans="1:11" x14ac:dyDescent="0.45">
      <c r="A2801" t="s">
        <v>86</v>
      </c>
      <c r="B2801" t="s">
        <v>4</v>
      </c>
      <c r="C2801" t="s">
        <v>83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389.85520000000002</v>
      </c>
      <c r="K2801" t="s">
        <v>48</v>
      </c>
    </row>
    <row r="2802" spans="1:11" x14ac:dyDescent="0.45">
      <c r="A2802" t="s">
        <v>86</v>
      </c>
      <c r="B2802" t="s">
        <v>4</v>
      </c>
      <c r="C2802" t="s">
        <v>83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375.98419999999999</v>
      </c>
      <c r="K2802" t="s">
        <v>48</v>
      </c>
    </row>
    <row r="2803" spans="1:11" x14ac:dyDescent="0.45">
      <c r="A2803" t="s">
        <v>86</v>
      </c>
      <c r="B2803" t="s">
        <v>4</v>
      </c>
      <c r="C2803" t="s">
        <v>83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369.17</v>
      </c>
      <c r="K2803" t="s">
        <v>48</v>
      </c>
    </row>
    <row r="2804" spans="1:11" x14ac:dyDescent="0.45">
      <c r="A2804" t="s">
        <v>86</v>
      </c>
      <c r="B2804" t="s">
        <v>4</v>
      </c>
      <c r="C2804" t="s">
        <v>83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371.76310000000001</v>
      </c>
      <c r="K2804" t="s">
        <v>48</v>
      </c>
    </row>
    <row r="2805" spans="1:11" x14ac:dyDescent="0.45">
      <c r="A2805" t="s">
        <v>86</v>
      </c>
      <c r="B2805" t="s">
        <v>4</v>
      </c>
      <c r="C2805" t="s">
        <v>83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366.10219999999998</v>
      </c>
      <c r="K2805" t="s">
        <v>48</v>
      </c>
    </row>
    <row r="2806" spans="1:11" x14ac:dyDescent="0.45">
      <c r="A2806" t="s">
        <v>86</v>
      </c>
      <c r="B2806" t="s">
        <v>4</v>
      </c>
      <c r="C2806" t="s">
        <v>83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365.70010000000002</v>
      </c>
      <c r="K2806" t="s">
        <v>48</v>
      </c>
    </row>
    <row r="2807" spans="1:11" x14ac:dyDescent="0.45">
      <c r="A2807" t="s">
        <v>86</v>
      </c>
      <c r="B2807" t="s">
        <v>4</v>
      </c>
      <c r="C2807" t="s">
        <v>83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360.64729999999997</v>
      </c>
      <c r="K2807" t="s">
        <v>48</v>
      </c>
    </row>
    <row r="2808" spans="1:11" x14ac:dyDescent="0.45">
      <c r="A2808" t="s">
        <v>86</v>
      </c>
      <c r="B2808" t="s">
        <v>4</v>
      </c>
      <c r="C2808" t="s">
        <v>83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356.42360000000002</v>
      </c>
      <c r="K2808" t="s">
        <v>48</v>
      </c>
    </row>
    <row r="2809" spans="1:11" x14ac:dyDescent="0.45">
      <c r="A2809" t="s">
        <v>86</v>
      </c>
      <c r="B2809" t="s">
        <v>4</v>
      </c>
      <c r="C2809" t="s">
        <v>83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345.32470000000001</v>
      </c>
      <c r="K2809" t="s">
        <v>48</v>
      </c>
    </row>
    <row r="2810" spans="1:11" x14ac:dyDescent="0.45">
      <c r="A2810" t="s">
        <v>86</v>
      </c>
      <c r="B2810" t="s">
        <v>4</v>
      </c>
      <c r="C2810" t="s">
        <v>83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336.68130000000002</v>
      </c>
      <c r="K2810" t="s">
        <v>48</v>
      </c>
    </row>
    <row r="2811" spans="1:11" x14ac:dyDescent="0.45">
      <c r="A2811" t="s">
        <v>86</v>
      </c>
      <c r="B2811" t="s">
        <v>4</v>
      </c>
      <c r="C2811" t="s">
        <v>83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302.18920000000003</v>
      </c>
      <c r="K2811" t="s">
        <v>48</v>
      </c>
    </row>
    <row r="2812" spans="1:11" x14ac:dyDescent="0.45">
      <c r="A2812" t="s">
        <v>86</v>
      </c>
      <c r="B2812" t="s">
        <v>4</v>
      </c>
      <c r="C2812" t="s">
        <v>83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267.3492</v>
      </c>
      <c r="K2812" t="s">
        <v>48</v>
      </c>
    </row>
    <row r="2813" spans="1:11" x14ac:dyDescent="0.45">
      <c r="A2813" t="s">
        <v>86</v>
      </c>
      <c r="B2813" t="s">
        <v>4</v>
      </c>
      <c r="C2813" t="s">
        <v>83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334.14600000000002</v>
      </c>
      <c r="K2813" t="s">
        <v>51</v>
      </c>
    </row>
    <row r="2814" spans="1:11" x14ac:dyDescent="0.45">
      <c r="A2814" t="s">
        <v>86</v>
      </c>
      <c r="B2814" t="s">
        <v>4</v>
      </c>
      <c r="C2814" t="s">
        <v>83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337.94639999999998</v>
      </c>
      <c r="K2814" t="s">
        <v>51</v>
      </c>
    </row>
    <row r="2815" spans="1:11" x14ac:dyDescent="0.45">
      <c r="A2815" t="s">
        <v>86</v>
      </c>
      <c r="B2815" t="s">
        <v>4</v>
      </c>
      <c r="C2815" t="s">
        <v>83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338.60879999999997</v>
      </c>
      <c r="K2815" t="s">
        <v>51</v>
      </c>
    </row>
    <row r="2816" spans="1:11" x14ac:dyDescent="0.45">
      <c r="A2816" t="s">
        <v>86</v>
      </c>
      <c r="B2816" t="s">
        <v>4</v>
      </c>
      <c r="C2816" t="s">
        <v>83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342.25650000000002</v>
      </c>
      <c r="K2816" t="s">
        <v>51</v>
      </c>
    </row>
    <row r="2817" spans="1:11" x14ac:dyDescent="0.45">
      <c r="A2817" t="s">
        <v>86</v>
      </c>
      <c r="B2817" t="s">
        <v>4</v>
      </c>
      <c r="C2817" t="s">
        <v>83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339.07409999999999</v>
      </c>
      <c r="K2817" t="s">
        <v>51</v>
      </c>
    </row>
    <row r="2818" spans="1:11" x14ac:dyDescent="0.45">
      <c r="A2818" t="s">
        <v>86</v>
      </c>
      <c r="B2818" t="s">
        <v>4</v>
      </c>
      <c r="C2818" t="s">
        <v>83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316.20960000000002</v>
      </c>
      <c r="K2818" t="s">
        <v>51</v>
      </c>
    </row>
    <row r="2819" spans="1:11" x14ac:dyDescent="0.45">
      <c r="A2819" t="s">
        <v>86</v>
      </c>
      <c r="B2819" t="s">
        <v>4</v>
      </c>
      <c r="C2819" t="s">
        <v>83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303.10160000000002</v>
      </c>
      <c r="K2819" t="s">
        <v>51</v>
      </c>
    </row>
    <row r="2820" spans="1:11" x14ac:dyDescent="0.45">
      <c r="A2820" t="s">
        <v>86</v>
      </c>
      <c r="B2820" t="s">
        <v>4</v>
      </c>
      <c r="C2820" t="s">
        <v>83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296.27019999999999</v>
      </c>
      <c r="K2820" t="s">
        <v>51</v>
      </c>
    </row>
    <row r="2821" spans="1:11" x14ac:dyDescent="0.45">
      <c r="A2821" t="s">
        <v>86</v>
      </c>
      <c r="B2821" t="s">
        <v>4</v>
      </c>
      <c r="C2821" t="s">
        <v>83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299.11599999999999</v>
      </c>
      <c r="K2821" t="s">
        <v>51</v>
      </c>
    </row>
    <row r="2822" spans="1:11" x14ac:dyDescent="0.45">
      <c r="A2822" t="s">
        <v>86</v>
      </c>
      <c r="B2822" t="s">
        <v>4</v>
      </c>
      <c r="C2822" t="s">
        <v>83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294.07260000000002</v>
      </c>
      <c r="K2822" t="s">
        <v>51</v>
      </c>
    </row>
    <row r="2823" spans="1:11" x14ac:dyDescent="0.45">
      <c r="A2823" t="s">
        <v>86</v>
      </c>
      <c r="B2823" t="s">
        <v>4</v>
      </c>
      <c r="C2823" t="s">
        <v>83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294.29500000000002</v>
      </c>
      <c r="K2823" t="s">
        <v>51</v>
      </c>
    </row>
    <row r="2824" spans="1:11" x14ac:dyDescent="0.45">
      <c r="A2824" t="s">
        <v>86</v>
      </c>
      <c r="B2824" t="s">
        <v>4</v>
      </c>
      <c r="C2824" t="s">
        <v>83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289.77820000000003</v>
      </c>
      <c r="K2824" t="s">
        <v>51</v>
      </c>
    </row>
    <row r="2825" spans="1:11" x14ac:dyDescent="0.45">
      <c r="A2825" t="s">
        <v>86</v>
      </c>
      <c r="B2825" t="s">
        <v>4</v>
      </c>
      <c r="C2825" t="s">
        <v>83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286.09010000000001</v>
      </c>
      <c r="K2825" t="s">
        <v>51</v>
      </c>
    </row>
    <row r="2826" spans="1:11" x14ac:dyDescent="0.45">
      <c r="A2826" t="s">
        <v>86</v>
      </c>
      <c r="B2826" t="s">
        <v>4</v>
      </c>
      <c r="C2826" t="s">
        <v>83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268.76569999999998</v>
      </c>
      <c r="K2826" t="s">
        <v>51</v>
      </c>
    </row>
    <row r="2827" spans="1:11" x14ac:dyDescent="0.45">
      <c r="A2827" t="s">
        <v>86</v>
      </c>
      <c r="B2827" t="s">
        <v>4</v>
      </c>
      <c r="C2827" t="s">
        <v>83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253.8665</v>
      </c>
      <c r="K2827" t="s">
        <v>51</v>
      </c>
    </row>
    <row r="2828" spans="1:11" x14ac:dyDescent="0.45">
      <c r="A2828" t="s">
        <v>86</v>
      </c>
      <c r="B2828" t="s">
        <v>4</v>
      </c>
      <c r="C2828" t="s">
        <v>83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224.41550000000001</v>
      </c>
      <c r="K2828" t="s">
        <v>51</v>
      </c>
    </row>
    <row r="2829" spans="1:11" x14ac:dyDescent="0.45">
      <c r="A2829" t="s">
        <v>86</v>
      </c>
      <c r="B2829" t="s">
        <v>4</v>
      </c>
      <c r="C2829" t="s">
        <v>83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194.61959999999999</v>
      </c>
      <c r="K2829" t="s">
        <v>51</v>
      </c>
    </row>
    <row r="2830" spans="1:11" x14ac:dyDescent="0.45">
      <c r="A2830" t="s">
        <v>86</v>
      </c>
      <c r="B2830" t="s">
        <v>0</v>
      </c>
      <c r="C2830" t="s">
        <v>83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86</v>
      </c>
      <c r="B2831" t="s">
        <v>0</v>
      </c>
      <c r="C2831" t="s">
        <v>83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86</v>
      </c>
      <c r="B2832" t="s">
        <v>0</v>
      </c>
      <c r="C2832" t="s">
        <v>83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86</v>
      </c>
      <c r="B2833" t="s">
        <v>0</v>
      </c>
      <c r="C2833" t="s">
        <v>83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1.0200000000000001E-2</v>
      </c>
      <c r="K2833" t="s">
        <v>45</v>
      </c>
    </row>
    <row r="2834" spans="1:11" x14ac:dyDescent="0.45">
      <c r="A2834" t="s">
        <v>86</v>
      </c>
      <c r="B2834" t="s">
        <v>0</v>
      </c>
      <c r="C2834" t="s">
        <v>83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6.2487000000000004</v>
      </c>
      <c r="K2834" t="s">
        <v>45</v>
      </c>
    </row>
    <row r="2835" spans="1:11" x14ac:dyDescent="0.45">
      <c r="A2835" t="s">
        <v>86</v>
      </c>
      <c r="B2835" t="s">
        <v>0</v>
      </c>
      <c r="C2835" t="s">
        <v>83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16.536100000000001</v>
      </c>
      <c r="K2835" t="s">
        <v>45</v>
      </c>
    </row>
    <row r="2836" spans="1:11" x14ac:dyDescent="0.45">
      <c r="A2836" t="s">
        <v>86</v>
      </c>
      <c r="B2836" t="s">
        <v>0</v>
      </c>
      <c r="C2836" t="s">
        <v>83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16.254100000000001</v>
      </c>
      <c r="K2836" t="s">
        <v>45</v>
      </c>
    </row>
    <row r="2837" spans="1:11" x14ac:dyDescent="0.45">
      <c r="A2837" t="s">
        <v>86</v>
      </c>
      <c r="B2837" t="s">
        <v>0</v>
      </c>
      <c r="C2837" t="s">
        <v>83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16.750599999999999</v>
      </c>
      <c r="K2837" t="s">
        <v>45</v>
      </c>
    </row>
    <row r="2838" spans="1:11" x14ac:dyDescent="0.45">
      <c r="A2838" t="s">
        <v>86</v>
      </c>
      <c r="B2838" t="s">
        <v>0</v>
      </c>
      <c r="C2838" t="s">
        <v>83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11.5227</v>
      </c>
      <c r="K2838" t="s">
        <v>45</v>
      </c>
    </row>
    <row r="2839" spans="1:11" x14ac:dyDescent="0.45">
      <c r="A2839" t="s">
        <v>86</v>
      </c>
      <c r="B2839" t="s">
        <v>0</v>
      </c>
      <c r="C2839" t="s">
        <v>83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10.291499999999999</v>
      </c>
      <c r="K2839" t="s">
        <v>45</v>
      </c>
    </row>
    <row r="2840" spans="1:11" x14ac:dyDescent="0.45">
      <c r="A2840" t="s">
        <v>86</v>
      </c>
      <c r="B2840" t="s">
        <v>0</v>
      </c>
      <c r="C2840" t="s">
        <v>83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9.1984999999999992</v>
      </c>
      <c r="K2840" t="s">
        <v>45</v>
      </c>
    </row>
    <row r="2841" spans="1:11" x14ac:dyDescent="0.45">
      <c r="A2841" t="s">
        <v>86</v>
      </c>
      <c r="B2841" t="s">
        <v>0</v>
      </c>
      <c r="C2841" t="s">
        <v>83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9.2891999999999992</v>
      </c>
      <c r="K2841" t="s">
        <v>45</v>
      </c>
    </row>
    <row r="2842" spans="1:11" x14ac:dyDescent="0.45">
      <c r="A2842" t="s">
        <v>86</v>
      </c>
      <c r="B2842" t="s">
        <v>0</v>
      </c>
      <c r="C2842" t="s">
        <v>83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9.2495999999999992</v>
      </c>
      <c r="K2842" t="s">
        <v>45</v>
      </c>
    </row>
    <row r="2843" spans="1:11" x14ac:dyDescent="0.45">
      <c r="A2843" t="s">
        <v>86</v>
      </c>
      <c r="B2843" t="s">
        <v>0</v>
      </c>
      <c r="C2843" t="s">
        <v>83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8.1097999999999999</v>
      </c>
      <c r="K2843" t="s">
        <v>45</v>
      </c>
    </row>
    <row r="2844" spans="1:11" x14ac:dyDescent="0.45">
      <c r="A2844" t="s">
        <v>86</v>
      </c>
      <c r="B2844" t="s">
        <v>0</v>
      </c>
      <c r="C2844" t="s">
        <v>83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6.6814999999999998</v>
      </c>
      <c r="K2844" t="s">
        <v>45</v>
      </c>
    </row>
    <row r="2845" spans="1:11" x14ac:dyDescent="0.45">
      <c r="A2845" t="s">
        <v>86</v>
      </c>
      <c r="B2845" t="s">
        <v>0</v>
      </c>
      <c r="C2845" t="s">
        <v>83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5.9043999999999999</v>
      </c>
      <c r="K2845" t="s">
        <v>45</v>
      </c>
    </row>
    <row r="2846" spans="1:11" x14ac:dyDescent="0.45">
      <c r="A2846" t="s">
        <v>86</v>
      </c>
      <c r="B2846" t="s">
        <v>0</v>
      </c>
      <c r="C2846" t="s">
        <v>83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4.6139000000000001</v>
      </c>
      <c r="K2846" t="s">
        <v>45</v>
      </c>
    </row>
    <row r="2847" spans="1:11" x14ac:dyDescent="0.45">
      <c r="A2847" t="s">
        <v>86</v>
      </c>
      <c r="B2847" t="s">
        <v>0</v>
      </c>
      <c r="C2847" t="s">
        <v>83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0.15190000000000001</v>
      </c>
      <c r="K2847" t="s">
        <v>24</v>
      </c>
    </row>
    <row r="2848" spans="1:11" x14ac:dyDescent="0.45">
      <c r="A2848" t="s">
        <v>86</v>
      </c>
      <c r="B2848" t="s">
        <v>0</v>
      </c>
      <c r="C2848" t="s">
        <v>83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0.1678</v>
      </c>
      <c r="K2848" t="s">
        <v>24</v>
      </c>
    </row>
    <row r="2849" spans="1:11" x14ac:dyDescent="0.45">
      <c r="A2849" t="s">
        <v>86</v>
      </c>
      <c r="B2849" t="s">
        <v>0</v>
      </c>
      <c r="C2849" t="s">
        <v>83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0.2114</v>
      </c>
      <c r="K2849" t="s">
        <v>24</v>
      </c>
    </row>
    <row r="2850" spans="1:11" x14ac:dyDescent="0.45">
      <c r="A2850" t="s">
        <v>86</v>
      </c>
      <c r="B2850" t="s">
        <v>0</v>
      </c>
      <c r="C2850" t="s">
        <v>83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0.26700000000000002</v>
      </c>
      <c r="K2850" t="s">
        <v>24</v>
      </c>
    </row>
    <row r="2851" spans="1:11" x14ac:dyDescent="0.45">
      <c r="A2851" t="s">
        <v>86</v>
      </c>
      <c r="B2851" t="s">
        <v>0</v>
      </c>
      <c r="C2851" t="s">
        <v>83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0.4108</v>
      </c>
      <c r="K2851" t="s">
        <v>24</v>
      </c>
    </row>
    <row r="2852" spans="1:11" x14ac:dyDescent="0.45">
      <c r="A2852" t="s">
        <v>86</v>
      </c>
      <c r="B2852" t="s">
        <v>0</v>
      </c>
      <c r="C2852" t="s">
        <v>83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0.45760000000000001</v>
      </c>
      <c r="K2852" t="s">
        <v>24</v>
      </c>
    </row>
    <row r="2853" spans="1:11" x14ac:dyDescent="0.45">
      <c r="A2853" t="s">
        <v>86</v>
      </c>
      <c r="B2853" t="s">
        <v>0</v>
      </c>
      <c r="C2853" t="s">
        <v>83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0.48130000000000001</v>
      </c>
      <c r="K2853" t="s">
        <v>24</v>
      </c>
    </row>
    <row r="2854" spans="1:11" x14ac:dyDescent="0.45">
      <c r="A2854" t="s">
        <v>86</v>
      </c>
      <c r="B2854" t="s">
        <v>0</v>
      </c>
      <c r="C2854" t="s">
        <v>83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0.51049999999999995</v>
      </c>
      <c r="K2854" t="s">
        <v>24</v>
      </c>
    </row>
    <row r="2855" spans="1:11" x14ac:dyDescent="0.45">
      <c r="A2855" t="s">
        <v>86</v>
      </c>
      <c r="B2855" t="s">
        <v>0</v>
      </c>
      <c r="C2855" t="s">
        <v>83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0.52649999999999997</v>
      </c>
      <c r="K2855" t="s">
        <v>24</v>
      </c>
    </row>
    <row r="2856" spans="1:11" x14ac:dyDescent="0.45">
      <c r="A2856" t="s">
        <v>86</v>
      </c>
      <c r="B2856" t="s">
        <v>0</v>
      </c>
      <c r="C2856" t="s">
        <v>83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0.53220000000000001</v>
      </c>
      <c r="K2856" t="s">
        <v>24</v>
      </c>
    </row>
    <row r="2857" spans="1:11" x14ac:dyDescent="0.45">
      <c r="A2857" t="s">
        <v>86</v>
      </c>
      <c r="B2857" t="s">
        <v>0</v>
      </c>
      <c r="C2857" t="s">
        <v>83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0.53900000000000003</v>
      </c>
      <c r="K2857" t="s">
        <v>24</v>
      </c>
    </row>
    <row r="2858" spans="1:11" x14ac:dyDescent="0.45">
      <c r="A2858" t="s">
        <v>86</v>
      </c>
      <c r="B2858" t="s">
        <v>0</v>
      </c>
      <c r="C2858" t="s">
        <v>83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0.5121</v>
      </c>
      <c r="K2858" t="s">
        <v>24</v>
      </c>
    </row>
    <row r="2859" spans="1:11" x14ac:dyDescent="0.45">
      <c r="A2859" t="s">
        <v>86</v>
      </c>
      <c r="B2859" t="s">
        <v>0</v>
      </c>
      <c r="C2859" t="s">
        <v>83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0.48580000000000001</v>
      </c>
      <c r="K2859" t="s">
        <v>24</v>
      </c>
    </row>
    <row r="2860" spans="1:11" x14ac:dyDescent="0.45">
      <c r="A2860" t="s">
        <v>86</v>
      </c>
      <c r="B2860" t="s">
        <v>0</v>
      </c>
      <c r="C2860" t="s">
        <v>83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0.45300000000000001</v>
      </c>
      <c r="K2860" t="s">
        <v>24</v>
      </c>
    </row>
    <row r="2861" spans="1:11" x14ac:dyDescent="0.45">
      <c r="A2861" t="s">
        <v>86</v>
      </c>
      <c r="B2861" t="s">
        <v>0</v>
      </c>
      <c r="C2861" t="s">
        <v>83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0.42570000000000002</v>
      </c>
      <c r="K2861" t="s">
        <v>24</v>
      </c>
    </row>
    <row r="2862" spans="1:11" x14ac:dyDescent="0.45">
      <c r="A2862" t="s">
        <v>86</v>
      </c>
      <c r="B2862" t="s">
        <v>0</v>
      </c>
      <c r="C2862" t="s">
        <v>83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0.40150000000000002</v>
      </c>
      <c r="K2862" t="s">
        <v>24</v>
      </c>
    </row>
    <row r="2863" spans="1:11" x14ac:dyDescent="0.45">
      <c r="A2863" t="s">
        <v>86</v>
      </c>
      <c r="B2863" t="s">
        <v>0</v>
      </c>
      <c r="C2863" t="s">
        <v>83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0.37919999999999998</v>
      </c>
      <c r="K2863" t="s">
        <v>24</v>
      </c>
    </row>
    <row r="2864" spans="1:11" x14ac:dyDescent="0.45">
      <c r="A2864" t="s">
        <v>86</v>
      </c>
      <c r="B2864" t="s">
        <v>0</v>
      </c>
      <c r="C2864" t="s">
        <v>83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9.2600000000000002E-2</v>
      </c>
      <c r="K2864" t="s">
        <v>28</v>
      </c>
    </row>
    <row r="2865" spans="1:11" x14ac:dyDescent="0.45">
      <c r="A2865" t="s">
        <v>86</v>
      </c>
      <c r="B2865" t="s">
        <v>0</v>
      </c>
      <c r="C2865" t="s">
        <v>83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0.113</v>
      </c>
      <c r="K2865" t="s">
        <v>28</v>
      </c>
    </row>
    <row r="2866" spans="1:11" x14ac:dyDescent="0.45">
      <c r="A2866" t="s">
        <v>86</v>
      </c>
      <c r="B2866" t="s">
        <v>0</v>
      </c>
      <c r="C2866" t="s">
        <v>83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0.1416</v>
      </c>
      <c r="K2866" t="s">
        <v>28</v>
      </c>
    </row>
    <row r="2867" spans="1:11" x14ac:dyDescent="0.45">
      <c r="A2867" t="s">
        <v>86</v>
      </c>
      <c r="B2867" t="s">
        <v>0</v>
      </c>
      <c r="C2867" t="s">
        <v>83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0.17180000000000001</v>
      </c>
      <c r="K2867" t="s">
        <v>28</v>
      </c>
    </row>
    <row r="2868" spans="1:11" x14ac:dyDescent="0.45">
      <c r="A2868" t="s">
        <v>86</v>
      </c>
      <c r="B2868" t="s">
        <v>0</v>
      </c>
      <c r="C2868" t="s">
        <v>83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0.21299999999999999</v>
      </c>
      <c r="K2868" t="s">
        <v>28</v>
      </c>
    </row>
    <row r="2869" spans="1:11" x14ac:dyDescent="0.45">
      <c r="A2869" t="s">
        <v>86</v>
      </c>
      <c r="B2869" t="s">
        <v>0</v>
      </c>
      <c r="C2869" t="s">
        <v>83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0.2351</v>
      </c>
      <c r="K2869" t="s">
        <v>28</v>
      </c>
    </row>
    <row r="2870" spans="1:11" x14ac:dyDescent="0.45">
      <c r="A2870" t="s">
        <v>86</v>
      </c>
      <c r="B2870" t="s">
        <v>0</v>
      </c>
      <c r="C2870" t="s">
        <v>83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0.26919999999999999</v>
      </c>
      <c r="K2870" t="s">
        <v>28</v>
      </c>
    </row>
    <row r="2871" spans="1:11" x14ac:dyDescent="0.45">
      <c r="A2871" t="s">
        <v>86</v>
      </c>
      <c r="B2871" t="s">
        <v>0</v>
      </c>
      <c r="C2871" t="s">
        <v>83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0.28079999999999999</v>
      </c>
      <c r="K2871" t="s">
        <v>28</v>
      </c>
    </row>
    <row r="2872" spans="1:11" x14ac:dyDescent="0.45">
      <c r="A2872" t="s">
        <v>86</v>
      </c>
      <c r="B2872" t="s">
        <v>0</v>
      </c>
      <c r="C2872" t="s">
        <v>83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0.30869999999999997</v>
      </c>
      <c r="K2872" t="s">
        <v>28</v>
      </c>
    </row>
    <row r="2873" spans="1:11" x14ac:dyDescent="0.45">
      <c r="A2873" t="s">
        <v>86</v>
      </c>
      <c r="B2873" t="s">
        <v>0</v>
      </c>
      <c r="C2873" t="s">
        <v>83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0.32190000000000002</v>
      </c>
      <c r="K2873" t="s">
        <v>28</v>
      </c>
    </row>
    <row r="2874" spans="1:11" x14ac:dyDescent="0.45">
      <c r="A2874" t="s">
        <v>86</v>
      </c>
      <c r="B2874" t="s">
        <v>0</v>
      </c>
      <c r="C2874" t="s">
        <v>83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0.33600000000000002</v>
      </c>
      <c r="K2874" t="s">
        <v>28</v>
      </c>
    </row>
    <row r="2875" spans="1:11" x14ac:dyDescent="0.45">
      <c r="A2875" t="s">
        <v>86</v>
      </c>
      <c r="B2875" t="s">
        <v>0</v>
      </c>
      <c r="C2875" t="s">
        <v>83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0.34300000000000003</v>
      </c>
      <c r="K2875" t="s">
        <v>28</v>
      </c>
    </row>
    <row r="2876" spans="1:11" x14ac:dyDescent="0.45">
      <c r="A2876" t="s">
        <v>86</v>
      </c>
      <c r="B2876" t="s">
        <v>0</v>
      </c>
      <c r="C2876" t="s">
        <v>83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0.35020000000000001</v>
      </c>
      <c r="K2876" t="s">
        <v>28</v>
      </c>
    </row>
    <row r="2877" spans="1:11" x14ac:dyDescent="0.45">
      <c r="A2877" t="s">
        <v>86</v>
      </c>
      <c r="B2877" t="s">
        <v>0</v>
      </c>
      <c r="C2877" t="s">
        <v>83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0.35389999999999999</v>
      </c>
      <c r="K2877" t="s">
        <v>28</v>
      </c>
    </row>
    <row r="2878" spans="1:11" x14ac:dyDescent="0.45">
      <c r="A2878" t="s">
        <v>86</v>
      </c>
      <c r="B2878" t="s">
        <v>0</v>
      </c>
      <c r="C2878" t="s">
        <v>83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0.36070000000000002</v>
      </c>
      <c r="K2878" t="s">
        <v>28</v>
      </c>
    </row>
    <row r="2879" spans="1:11" x14ac:dyDescent="0.45">
      <c r="A2879" t="s">
        <v>86</v>
      </c>
      <c r="B2879" t="s">
        <v>0</v>
      </c>
      <c r="C2879" t="s">
        <v>83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0.36099999999999999</v>
      </c>
      <c r="K2879" t="s">
        <v>28</v>
      </c>
    </row>
    <row r="2880" spans="1:11" x14ac:dyDescent="0.45">
      <c r="A2880" t="s">
        <v>86</v>
      </c>
      <c r="B2880" t="s">
        <v>0</v>
      </c>
      <c r="C2880" t="s">
        <v>83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0.36330000000000001</v>
      </c>
      <c r="K2880" t="s">
        <v>28</v>
      </c>
    </row>
    <row r="2881" spans="1:11" x14ac:dyDescent="0.45">
      <c r="A2881" t="s">
        <v>86</v>
      </c>
      <c r="B2881" t="s">
        <v>0</v>
      </c>
      <c r="C2881" t="s">
        <v>83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1.06E-2</v>
      </c>
      <c r="K2881" t="s">
        <v>27</v>
      </c>
    </row>
    <row r="2882" spans="1:11" x14ac:dyDescent="0.45">
      <c r="A2882" t="s">
        <v>86</v>
      </c>
      <c r="B2882" t="s">
        <v>0</v>
      </c>
      <c r="C2882" t="s">
        <v>83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1.7999999999999999E-2</v>
      </c>
      <c r="K2882" t="s">
        <v>27</v>
      </c>
    </row>
    <row r="2883" spans="1:11" x14ac:dyDescent="0.45">
      <c r="A2883" t="s">
        <v>86</v>
      </c>
      <c r="B2883" t="s">
        <v>0</v>
      </c>
      <c r="C2883" t="s">
        <v>83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3.5400000000000001E-2</v>
      </c>
      <c r="K2883" t="s">
        <v>27</v>
      </c>
    </row>
    <row r="2884" spans="1:11" x14ac:dyDescent="0.45">
      <c r="A2884" t="s">
        <v>86</v>
      </c>
      <c r="B2884" t="s">
        <v>0</v>
      </c>
      <c r="C2884" t="s">
        <v>83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6.13E-2</v>
      </c>
      <c r="K2884" t="s">
        <v>27</v>
      </c>
    </row>
    <row r="2885" spans="1:11" x14ac:dyDescent="0.45">
      <c r="A2885" t="s">
        <v>86</v>
      </c>
      <c r="B2885" t="s">
        <v>0</v>
      </c>
      <c r="C2885" t="s">
        <v>83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0.12709999999999999</v>
      </c>
      <c r="K2885" t="s">
        <v>27</v>
      </c>
    </row>
    <row r="2886" spans="1:11" x14ac:dyDescent="0.45">
      <c r="A2886" t="s">
        <v>86</v>
      </c>
      <c r="B2886" t="s">
        <v>0</v>
      </c>
      <c r="C2886" t="s">
        <v>83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0.11990000000000001</v>
      </c>
      <c r="K2886" t="s">
        <v>27</v>
      </c>
    </row>
    <row r="2887" spans="1:11" x14ac:dyDescent="0.45">
      <c r="A2887" t="s">
        <v>86</v>
      </c>
      <c r="B2887" t="s">
        <v>0</v>
      </c>
      <c r="C2887" t="s">
        <v>83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0.125</v>
      </c>
      <c r="K2887" t="s">
        <v>27</v>
      </c>
    </row>
    <row r="2888" spans="1:11" x14ac:dyDescent="0.45">
      <c r="A2888" t="s">
        <v>86</v>
      </c>
      <c r="B2888" t="s">
        <v>0</v>
      </c>
      <c r="C2888" t="s">
        <v>83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0.12889999999999999</v>
      </c>
      <c r="K2888" t="s">
        <v>27</v>
      </c>
    </row>
    <row r="2889" spans="1:11" x14ac:dyDescent="0.45">
      <c r="A2889" t="s">
        <v>86</v>
      </c>
      <c r="B2889" t="s">
        <v>0</v>
      </c>
      <c r="C2889" t="s">
        <v>83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0.1288</v>
      </c>
      <c r="K2889" t="s">
        <v>27</v>
      </c>
    </row>
    <row r="2890" spans="1:11" x14ac:dyDescent="0.45">
      <c r="A2890" t="s">
        <v>86</v>
      </c>
      <c r="B2890" t="s">
        <v>0</v>
      </c>
      <c r="C2890" t="s">
        <v>83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0.1285</v>
      </c>
      <c r="K2890" t="s">
        <v>27</v>
      </c>
    </row>
    <row r="2891" spans="1:11" x14ac:dyDescent="0.45">
      <c r="A2891" t="s">
        <v>86</v>
      </c>
      <c r="B2891" t="s">
        <v>0</v>
      </c>
      <c r="C2891" t="s">
        <v>83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0.12859999999999999</v>
      </c>
      <c r="K2891" t="s">
        <v>27</v>
      </c>
    </row>
    <row r="2892" spans="1:11" x14ac:dyDescent="0.45">
      <c r="A2892" t="s">
        <v>86</v>
      </c>
      <c r="B2892" t="s">
        <v>0</v>
      </c>
      <c r="C2892" t="s">
        <v>83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0.1242</v>
      </c>
      <c r="K2892" t="s">
        <v>27</v>
      </c>
    </row>
    <row r="2893" spans="1:11" x14ac:dyDescent="0.45">
      <c r="A2893" t="s">
        <v>86</v>
      </c>
      <c r="B2893" t="s">
        <v>0</v>
      </c>
      <c r="C2893" t="s">
        <v>83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0.121</v>
      </c>
      <c r="K2893" t="s">
        <v>27</v>
      </c>
    </row>
    <row r="2894" spans="1:11" x14ac:dyDescent="0.45">
      <c r="A2894" t="s">
        <v>86</v>
      </c>
      <c r="B2894" t="s">
        <v>0</v>
      </c>
      <c r="C2894" t="s">
        <v>83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0.11700000000000001</v>
      </c>
      <c r="K2894" t="s">
        <v>27</v>
      </c>
    </row>
    <row r="2895" spans="1:11" x14ac:dyDescent="0.45">
      <c r="A2895" t="s">
        <v>86</v>
      </c>
      <c r="B2895" t="s">
        <v>0</v>
      </c>
      <c r="C2895" t="s">
        <v>83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0.1149</v>
      </c>
      <c r="K2895" t="s">
        <v>27</v>
      </c>
    </row>
    <row r="2896" spans="1:11" x14ac:dyDescent="0.45">
      <c r="A2896" t="s">
        <v>86</v>
      </c>
      <c r="B2896" t="s">
        <v>0</v>
      </c>
      <c r="C2896" t="s">
        <v>83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0.114</v>
      </c>
      <c r="K2896" t="s">
        <v>27</v>
      </c>
    </row>
    <row r="2897" spans="1:11" x14ac:dyDescent="0.45">
      <c r="A2897" t="s">
        <v>86</v>
      </c>
      <c r="B2897" t="s">
        <v>0</v>
      </c>
      <c r="C2897" t="s">
        <v>83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0.1138</v>
      </c>
      <c r="K2897" t="s">
        <v>27</v>
      </c>
    </row>
    <row r="2898" spans="1:11" x14ac:dyDescent="0.45">
      <c r="A2898" t="s">
        <v>86</v>
      </c>
      <c r="B2898" t="s">
        <v>0</v>
      </c>
      <c r="C2898" t="s">
        <v>83</v>
      </c>
      <c r="D2898" t="s">
        <v>84</v>
      </c>
      <c r="E2898" t="s">
        <v>25</v>
      </c>
      <c r="F2898" t="s">
        <v>84</v>
      </c>
      <c r="G2898" t="s">
        <v>26</v>
      </c>
      <c r="H2898" t="s">
        <v>81</v>
      </c>
      <c r="I2898">
        <v>2020</v>
      </c>
      <c r="J2898">
        <v>4.7999999999999996E-3</v>
      </c>
      <c r="K2898" t="s">
        <v>84</v>
      </c>
    </row>
    <row r="2899" spans="1:11" x14ac:dyDescent="0.45">
      <c r="A2899" t="s">
        <v>86</v>
      </c>
      <c r="B2899" t="s">
        <v>0</v>
      </c>
      <c r="C2899" t="s">
        <v>83</v>
      </c>
      <c r="D2899" t="s">
        <v>84</v>
      </c>
      <c r="E2899" t="s">
        <v>25</v>
      </c>
      <c r="F2899" t="s">
        <v>84</v>
      </c>
      <c r="G2899" t="s">
        <v>26</v>
      </c>
      <c r="H2899" t="s">
        <v>81</v>
      </c>
      <c r="I2899">
        <v>2025</v>
      </c>
      <c r="J2899">
        <v>2.0400000000000001E-2</v>
      </c>
      <c r="K2899" t="s">
        <v>84</v>
      </c>
    </row>
    <row r="2900" spans="1:11" x14ac:dyDescent="0.45">
      <c r="A2900" t="s">
        <v>86</v>
      </c>
      <c r="B2900" t="s">
        <v>0</v>
      </c>
      <c r="C2900" t="s">
        <v>83</v>
      </c>
      <c r="D2900" t="s">
        <v>84</v>
      </c>
      <c r="E2900" t="s">
        <v>25</v>
      </c>
      <c r="F2900" t="s">
        <v>84</v>
      </c>
      <c r="G2900" t="s">
        <v>26</v>
      </c>
      <c r="H2900" t="s">
        <v>81</v>
      </c>
      <c r="I2900">
        <v>2030</v>
      </c>
      <c r="J2900">
        <v>4.5199999999999997E-2</v>
      </c>
      <c r="K2900" t="s">
        <v>84</v>
      </c>
    </row>
    <row r="2901" spans="1:11" x14ac:dyDescent="0.45">
      <c r="A2901" t="s">
        <v>86</v>
      </c>
      <c r="B2901" t="s">
        <v>0</v>
      </c>
      <c r="C2901" t="s">
        <v>83</v>
      </c>
      <c r="D2901" t="s">
        <v>84</v>
      </c>
      <c r="E2901" t="s">
        <v>25</v>
      </c>
      <c r="F2901" t="s">
        <v>84</v>
      </c>
      <c r="G2901" t="s">
        <v>26</v>
      </c>
      <c r="H2901" t="s">
        <v>81</v>
      </c>
      <c r="I2901">
        <v>2035</v>
      </c>
      <c r="J2901">
        <v>6.83E-2</v>
      </c>
      <c r="K2901" t="s">
        <v>84</v>
      </c>
    </row>
    <row r="2902" spans="1:11" x14ac:dyDescent="0.45">
      <c r="A2902" t="s">
        <v>86</v>
      </c>
      <c r="B2902" t="s">
        <v>0</v>
      </c>
      <c r="C2902" t="s">
        <v>83</v>
      </c>
      <c r="D2902" t="s">
        <v>84</v>
      </c>
      <c r="E2902" t="s">
        <v>25</v>
      </c>
      <c r="F2902" t="s">
        <v>84</v>
      </c>
      <c r="G2902" t="s">
        <v>26</v>
      </c>
      <c r="H2902" t="s">
        <v>81</v>
      </c>
      <c r="I2902">
        <v>2040</v>
      </c>
      <c r="J2902">
        <v>7.1999999999999995E-2</v>
      </c>
      <c r="K2902" t="s">
        <v>84</v>
      </c>
    </row>
    <row r="2903" spans="1:11" x14ac:dyDescent="0.45">
      <c r="A2903" t="s">
        <v>86</v>
      </c>
      <c r="B2903" t="s">
        <v>0</v>
      </c>
      <c r="C2903" t="s">
        <v>83</v>
      </c>
      <c r="D2903" t="s">
        <v>84</v>
      </c>
      <c r="E2903" t="s">
        <v>25</v>
      </c>
      <c r="F2903" t="s">
        <v>84</v>
      </c>
      <c r="G2903" t="s">
        <v>26</v>
      </c>
      <c r="H2903" t="s">
        <v>81</v>
      </c>
      <c r="I2903">
        <v>2045</v>
      </c>
      <c r="J2903">
        <v>4.5499999999999999E-2</v>
      </c>
      <c r="K2903" t="s">
        <v>84</v>
      </c>
    </row>
    <row r="2904" spans="1:11" x14ac:dyDescent="0.45">
      <c r="A2904" t="s">
        <v>86</v>
      </c>
      <c r="B2904" t="s">
        <v>0</v>
      </c>
      <c r="C2904" t="s">
        <v>83</v>
      </c>
      <c r="D2904" t="s">
        <v>84</v>
      </c>
      <c r="E2904" t="s">
        <v>25</v>
      </c>
      <c r="F2904" t="s">
        <v>84</v>
      </c>
      <c r="G2904" t="s">
        <v>26</v>
      </c>
      <c r="H2904" t="s">
        <v>81</v>
      </c>
      <c r="I2904">
        <v>2050</v>
      </c>
      <c r="J2904">
        <v>4.9599999999999998E-2</v>
      </c>
      <c r="K2904" t="s">
        <v>84</v>
      </c>
    </row>
    <row r="2905" spans="1:11" x14ac:dyDescent="0.45">
      <c r="A2905" t="s">
        <v>86</v>
      </c>
      <c r="B2905" t="s">
        <v>0</v>
      </c>
      <c r="C2905" t="s">
        <v>83</v>
      </c>
      <c r="D2905" t="s">
        <v>84</v>
      </c>
      <c r="E2905" t="s">
        <v>25</v>
      </c>
      <c r="F2905" t="s">
        <v>84</v>
      </c>
      <c r="G2905" t="s">
        <v>26</v>
      </c>
      <c r="H2905" t="s">
        <v>81</v>
      </c>
      <c r="I2905">
        <v>2055</v>
      </c>
      <c r="J2905">
        <v>6.0299999999999999E-2</v>
      </c>
      <c r="K2905" t="s">
        <v>84</v>
      </c>
    </row>
    <row r="2906" spans="1:11" x14ac:dyDescent="0.45">
      <c r="A2906" t="s">
        <v>86</v>
      </c>
      <c r="B2906" t="s">
        <v>0</v>
      </c>
      <c r="C2906" t="s">
        <v>83</v>
      </c>
      <c r="D2906" t="s">
        <v>84</v>
      </c>
      <c r="E2906" t="s">
        <v>25</v>
      </c>
      <c r="F2906" t="s">
        <v>84</v>
      </c>
      <c r="G2906" t="s">
        <v>26</v>
      </c>
      <c r="H2906" t="s">
        <v>81</v>
      </c>
      <c r="I2906">
        <v>2060</v>
      </c>
      <c r="J2906">
        <v>6.9800000000000001E-2</v>
      </c>
      <c r="K2906" t="s">
        <v>84</v>
      </c>
    </row>
    <row r="2907" spans="1:11" x14ac:dyDescent="0.45">
      <c r="A2907" t="s">
        <v>86</v>
      </c>
      <c r="B2907" t="s">
        <v>0</v>
      </c>
      <c r="C2907" t="s">
        <v>83</v>
      </c>
      <c r="D2907" t="s">
        <v>84</v>
      </c>
      <c r="E2907" t="s">
        <v>25</v>
      </c>
      <c r="F2907" t="s">
        <v>84</v>
      </c>
      <c r="G2907" t="s">
        <v>26</v>
      </c>
      <c r="H2907" t="s">
        <v>81</v>
      </c>
      <c r="I2907">
        <v>2065</v>
      </c>
      <c r="J2907">
        <v>6.93E-2</v>
      </c>
      <c r="K2907" t="s">
        <v>84</v>
      </c>
    </row>
    <row r="2908" spans="1:11" x14ac:dyDescent="0.45">
      <c r="A2908" t="s">
        <v>86</v>
      </c>
      <c r="B2908" t="s">
        <v>0</v>
      </c>
      <c r="C2908" t="s">
        <v>83</v>
      </c>
      <c r="D2908" t="s">
        <v>84</v>
      </c>
      <c r="E2908" t="s">
        <v>25</v>
      </c>
      <c r="F2908" t="s">
        <v>84</v>
      </c>
      <c r="G2908" t="s">
        <v>26</v>
      </c>
      <c r="H2908" t="s">
        <v>81</v>
      </c>
      <c r="I2908">
        <v>2070</v>
      </c>
      <c r="J2908">
        <v>6.4100000000000004E-2</v>
      </c>
      <c r="K2908" t="s">
        <v>84</v>
      </c>
    </row>
    <row r="2909" spans="1:11" x14ac:dyDescent="0.45">
      <c r="A2909" t="s">
        <v>86</v>
      </c>
      <c r="B2909" t="s">
        <v>0</v>
      </c>
      <c r="C2909" t="s">
        <v>83</v>
      </c>
      <c r="D2909" t="s">
        <v>84</v>
      </c>
      <c r="E2909" t="s">
        <v>25</v>
      </c>
      <c r="F2909" t="s">
        <v>84</v>
      </c>
      <c r="G2909" t="s">
        <v>26</v>
      </c>
      <c r="H2909" t="s">
        <v>81</v>
      </c>
      <c r="I2909">
        <v>2075</v>
      </c>
      <c r="J2909">
        <v>7.2599999999999998E-2</v>
      </c>
      <c r="K2909" t="s">
        <v>84</v>
      </c>
    </row>
    <row r="2910" spans="1:11" x14ac:dyDescent="0.45">
      <c r="A2910" t="s">
        <v>86</v>
      </c>
      <c r="B2910" t="s">
        <v>0</v>
      </c>
      <c r="C2910" t="s">
        <v>83</v>
      </c>
      <c r="D2910" t="s">
        <v>84</v>
      </c>
      <c r="E2910" t="s">
        <v>25</v>
      </c>
      <c r="F2910" t="s">
        <v>84</v>
      </c>
      <c r="G2910" t="s">
        <v>26</v>
      </c>
      <c r="H2910" t="s">
        <v>81</v>
      </c>
      <c r="I2910">
        <v>2080</v>
      </c>
      <c r="J2910">
        <v>7.9399999999999998E-2</v>
      </c>
      <c r="K2910" t="s">
        <v>84</v>
      </c>
    </row>
    <row r="2911" spans="1:11" x14ac:dyDescent="0.45">
      <c r="A2911" t="s">
        <v>86</v>
      </c>
      <c r="B2911" t="s">
        <v>0</v>
      </c>
      <c r="C2911" t="s">
        <v>83</v>
      </c>
      <c r="D2911" t="s">
        <v>84</v>
      </c>
      <c r="E2911" t="s">
        <v>25</v>
      </c>
      <c r="F2911" t="s">
        <v>84</v>
      </c>
      <c r="G2911" t="s">
        <v>26</v>
      </c>
      <c r="H2911" t="s">
        <v>81</v>
      </c>
      <c r="I2911">
        <v>2085</v>
      </c>
      <c r="J2911">
        <v>8.8400000000000006E-2</v>
      </c>
      <c r="K2911" t="s">
        <v>84</v>
      </c>
    </row>
    <row r="2912" spans="1:11" x14ac:dyDescent="0.45">
      <c r="A2912" t="s">
        <v>86</v>
      </c>
      <c r="B2912" t="s">
        <v>0</v>
      </c>
      <c r="C2912" t="s">
        <v>83</v>
      </c>
      <c r="D2912" t="s">
        <v>84</v>
      </c>
      <c r="E2912" t="s">
        <v>25</v>
      </c>
      <c r="F2912" t="s">
        <v>84</v>
      </c>
      <c r="G2912" t="s">
        <v>26</v>
      </c>
      <c r="H2912" t="s">
        <v>81</v>
      </c>
      <c r="I2912">
        <v>2090</v>
      </c>
      <c r="J2912">
        <v>9.7000000000000003E-2</v>
      </c>
      <c r="K2912" t="s">
        <v>84</v>
      </c>
    </row>
    <row r="2913" spans="1:12" x14ac:dyDescent="0.45">
      <c r="A2913" t="s">
        <v>86</v>
      </c>
      <c r="B2913" t="s">
        <v>0</v>
      </c>
      <c r="C2913" t="s">
        <v>83</v>
      </c>
      <c r="D2913" t="s">
        <v>84</v>
      </c>
      <c r="E2913" t="s">
        <v>25</v>
      </c>
      <c r="F2913" t="s">
        <v>84</v>
      </c>
      <c r="G2913" t="s">
        <v>26</v>
      </c>
      <c r="H2913" t="s">
        <v>81</v>
      </c>
      <c r="I2913">
        <v>2095</v>
      </c>
      <c r="J2913">
        <v>0.1069</v>
      </c>
      <c r="K2913" t="s">
        <v>84</v>
      </c>
    </row>
    <row r="2914" spans="1:12" x14ac:dyDescent="0.45">
      <c r="A2914" t="s">
        <v>86</v>
      </c>
      <c r="B2914" t="s">
        <v>0</v>
      </c>
      <c r="C2914" t="s">
        <v>83</v>
      </c>
      <c r="D2914" t="s">
        <v>84</v>
      </c>
      <c r="E2914" t="s">
        <v>25</v>
      </c>
      <c r="F2914" t="s">
        <v>84</v>
      </c>
      <c r="G2914" t="s">
        <v>26</v>
      </c>
      <c r="H2914" t="s">
        <v>81</v>
      </c>
      <c r="I2914">
        <v>2100</v>
      </c>
      <c r="J2914">
        <v>0.11799999999999999</v>
      </c>
      <c r="K2914" t="s">
        <v>84</v>
      </c>
    </row>
    <row r="2915" spans="1:12" x14ac:dyDescent="0.45">
      <c r="A2915" t="s">
        <v>86</v>
      </c>
      <c r="B2915" t="s">
        <v>0</v>
      </c>
      <c r="C2915" t="s">
        <v>83</v>
      </c>
      <c r="D2915" t="s">
        <v>52</v>
      </c>
      <c r="E2915" t="s">
        <v>25</v>
      </c>
      <c r="F2915" t="s">
        <v>52</v>
      </c>
      <c r="G2915" t="s">
        <v>70</v>
      </c>
      <c r="I2915">
        <v>2020</v>
      </c>
      <c r="J2915">
        <v>0.3241</v>
      </c>
      <c r="K2915" t="s">
        <v>52</v>
      </c>
      <c r="L2915">
        <v>94</v>
      </c>
    </row>
    <row r="2916" spans="1:12" x14ac:dyDescent="0.45">
      <c r="A2916" t="s">
        <v>86</v>
      </c>
      <c r="B2916" t="s">
        <v>0</v>
      </c>
      <c r="C2916" t="s">
        <v>83</v>
      </c>
      <c r="D2916" t="s">
        <v>52</v>
      </c>
      <c r="E2916" t="s">
        <v>25</v>
      </c>
      <c r="F2916" t="s">
        <v>52</v>
      </c>
      <c r="G2916" t="s">
        <v>70</v>
      </c>
      <c r="I2916">
        <v>2025</v>
      </c>
      <c r="J2916">
        <v>0.30840000000000001</v>
      </c>
      <c r="K2916" t="s">
        <v>52</v>
      </c>
      <c r="L2916">
        <v>94</v>
      </c>
    </row>
    <row r="2917" spans="1:12" x14ac:dyDescent="0.45">
      <c r="A2917" t="s">
        <v>86</v>
      </c>
      <c r="B2917" t="s">
        <v>0</v>
      </c>
      <c r="C2917" t="s">
        <v>83</v>
      </c>
      <c r="D2917" t="s">
        <v>52</v>
      </c>
      <c r="E2917" t="s">
        <v>25</v>
      </c>
      <c r="F2917" t="s">
        <v>52</v>
      </c>
      <c r="G2917" t="s">
        <v>70</v>
      </c>
      <c r="I2917">
        <v>2030</v>
      </c>
      <c r="J2917">
        <v>0.29720000000000002</v>
      </c>
      <c r="K2917" t="s">
        <v>52</v>
      </c>
      <c r="L2917">
        <v>94</v>
      </c>
    </row>
    <row r="2918" spans="1:12" x14ac:dyDescent="0.45">
      <c r="A2918" t="s">
        <v>86</v>
      </c>
      <c r="B2918" t="s">
        <v>0</v>
      </c>
      <c r="C2918" t="s">
        <v>83</v>
      </c>
      <c r="D2918" t="s">
        <v>52</v>
      </c>
      <c r="E2918" t="s">
        <v>25</v>
      </c>
      <c r="F2918" t="s">
        <v>52</v>
      </c>
      <c r="G2918" t="s">
        <v>70</v>
      </c>
      <c r="I2918">
        <v>2035</v>
      </c>
      <c r="J2918">
        <v>0.2263</v>
      </c>
      <c r="K2918" t="s">
        <v>52</v>
      </c>
      <c r="L2918">
        <v>94</v>
      </c>
    </row>
    <row r="2919" spans="1:12" x14ac:dyDescent="0.45">
      <c r="A2919" t="s">
        <v>86</v>
      </c>
      <c r="B2919" t="s">
        <v>0</v>
      </c>
      <c r="C2919" t="s">
        <v>83</v>
      </c>
      <c r="D2919" t="s">
        <v>52</v>
      </c>
      <c r="E2919" t="s">
        <v>25</v>
      </c>
      <c r="F2919" t="s">
        <v>52</v>
      </c>
      <c r="G2919" t="s">
        <v>70</v>
      </c>
      <c r="I2919">
        <v>2040</v>
      </c>
      <c r="J2919">
        <v>0.13320000000000001</v>
      </c>
      <c r="K2919" t="s">
        <v>52</v>
      </c>
      <c r="L2919">
        <v>94</v>
      </c>
    </row>
    <row r="2920" spans="1:12" x14ac:dyDescent="0.45">
      <c r="A2920" t="s">
        <v>86</v>
      </c>
      <c r="B2920" t="s">
        <v>0</v>
      </c>
      <c r="C2920" t="s">
        <v>83</v>
      </c>
      <c r="D2920" t="s">
        <v>52</v>
      </c>
      <c r="E2920" t="s">
        <v>25</v>
      </c>
      <c r="F2920" t="s">
        <v>52</v>
      </c>
      <c r="G2920" t="s">
        <v>70</v>
      </c>
      <c r="I2920">
        <v>2045</v>
      </c>
      <c r="J2920">
        <v>3.5700000000000003E-2</v>
      </c>
      <c r="K2920" t="s">
        <v>52</v>
      </c>
      <c r="L2920">
        <v>94</v>
      </c>
    </row>
    <row r="2921" spans="1:12" x14ac:dyDescent="0.45">
      <c r="A2921" t="s">
        <v>86</v>
      </c>
      <c r="B2921" t="s">
        <v>0</v>
      </c>
      <c r="C2921" t="s">
        <v>83</v>
      </c>
      <c r="D2921" t="s">
        <v>52</v>
      </c>
      <c r="E2921" t="s">
        <v>25</v>
      </c>
      <c r="F2921" t="s">
        <v>52</v>
      </c>
      <c r="G2921" t="s">
        <v>70</v>
      </c>
      <c r="I2921">
        <v>2050</v>
      </c>
      <c r="J2921">
        <v>7.9000000000000008E-3</v>
      </c>
      <c r="K2921" t="s">
        <v>52</v>
      </c>
      <c r="L2921">
        <v>94</v>
      </c>
    </row>
    <row r="2922" spans="1:12" x14ac:dyDescent="0.45">
      <c r="A2922" t="s">
        <v>86</v>
      </c>
      <c r="B2922" t="s">
        <v>0</v>
      </c>
      <c r="C2922" t="s">
        <v>83</v>
      </c>
      <c r="D2922" t="s">
        <v>52</v>
      </c>
      <c r="E2922" t="s">
        <v>25</v>
      </c>
      <c r="F2922" t="s">
        <v>52</v>
      </c>
      <c r="G2922" t="s">
        <v>70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86</v>
      </c>
      <c r="B2923" t="s">
        <v>0</v>
      </c>
      <c r="C2923" t="s">
        <v>83</v>
      </c>
      <c r="D2923" t="s">
        <v>52</v>
      </c>
      <c r="E2923" t="s">
        <v>25</v>
      </c>
      <c r="F2923" t="s">
        <v>52</v>
      </c>
      <c r="G2923" t="s">
        <v>70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86</v>
      </c>
      <c r="B2924" t="s">
        <v>0</v>
      </c>
      <c r="C2924" t="s">
        <v>83</v>
      </c>
      <c r="D2924" t="s">
        <v>52</v>
      </c>
      <c r="E2924" t="s">
        <v>25</v>
      </c>
      <c r="F2924" t="s">
        <v>52</v>
      </c>
      <c r="G2924" t="s">
        <v>70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86</v>
      </c>
      <c r="B2925" t="s">
        <v>0</v>
      </c>
      <c r="C2925" t="s">
        <v>83</v>
      </c>
      <c r="D2925" t="s">
        <v>52</v>
      </c>
      <c r="E2925" t="s">
        <v>25</v>
      </c>
      <c r="F2925" t="s">
        <v>52</v>
      </c>
      <c r="G2925" t="s">
        <v>70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86</v>
      </c>
      <c r="B2926" t="s">
        <v>0</v>
      </c>
      <c r="C2926" t="s">
        <v>83</v>
      </c>
      <c r="D2926" t="s">
        <v>52</v>
      </c>
      <c r="E2926" t="s">
        <v>25</v>
      </c>
      <c r="F2926" t="s">
        <v>52</v>
      </c>
      <c r="G2926" t="s">
        <v>70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86</v>
      </c>
      <c r="B2927" t="s">
        <v>0</v>
      </c>
      <c r="C2927" t="s">
        <v>83</v>
      </c>
      <c r="D2927" t="s">
        <v>52</v>
      </c>
      <c r="E2927" t="s">
        <v>25</v>
      </c>
      <c r="F2927" t="s">
        <v>52</v>
      </c>
      <c r="G2927" t="s">
        <v>70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86</v>
      </c>
      <c r="B2928" t="s">
        <v>0</v>
      </c>
      <c r="C2928" t="s">
        <v>83</v>
      </c>
      <c r="D2928" t="s">
        <v>52</v>
      </c>
      <c r="E2928" t="s">
        <v>25</v>
      </c>
      <c r="F2928" t="s">
        <v>52</v>
      </c>
      <c r="G2928" t="s">
        <v>70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86</v>
      </c>
      <c r="B2929" t="s">
        <v>0</v>
      </c>
      <c r="C2929" t="s">
        <v>83</v>
      </c>
      <c r="D2929" t="s">
        <v>52</v>
      </c>
      <c r="E2929" t="s">
        <v>25</v>
      </c>
      <c r="F2929" t="s">
        <v>52</v>
      </c>
      <c r="G2929" t="s">
        <v>70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86</v>
      </c>
      <c r="B2930" t="s">
        <v>0</v>
      </c>
      <c r="C2930" t="s">
        <v>83</v>
      </c>
      <c r="D2930" t="s">
        <v>52</v>
      </c>
      <c r="E2930" t="s">
        <v>25</v>
      </c>
      <c r="F2930" t="s">
        <v>52</v>
      </c>
      <c r="G2930" t="s">
        <v>70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86</v>
      </c>
      <c r="B2931" t="s">
        <v>0</v>
      </c>
      <c r="C2931" t="s">
        <v>83</v>
      </c>
      <c r="D2931" t="s">
        <v>52</v>
      </c>
      <c r="E2931" t="s">
        <v>25</v>
      </c>
      <c r="F2931" t="s">
        <v>52</v>
      </c>
      <c r="G2931" t="s">
        <v>70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86</v>
      </c>
      <c r="B2932" t="s">
        <v>0</v>
      </c>
      <c r="C2932" t="s">
        <v>83</v>
      </c>
      <c r="D2932" t="s">
        <v>53</v>
      </c>
      <c r="E2932" t="s">
        <v>25</v>
      </c>
      <c r="F2932" t="s">
        <v>53</v>
      </c>
      <c r="G2932" t="s">
        <v>70</v>
      </c>
      <c r="I2932">
        <v>2020</v>
      </c>
      <c r="J2932">
        <v>0.1074</v>
      </c>
      <c r="K2932" t="s">
        <v>53</v>
      </c>
      <c r="L2932">
        <v>55</v>
      </c>
    </row>
    <row r="2933" spans="1:12" x14ac:dyDescent="0.45">
      <c r="A2933" t="s">
        <v>86</v>
      </c>
      <c r="B2933" t="s">
        <v>0</v>
      </c>
      <c r="C2933" t="s">
        <v>83</v>
      </c>
      <c r="D2933" t="s">
        <v>53</v>
      </c>
      <c r="E2933" t="s">
        <v>25</v>
      </c>
      <c r="F2933" t="s">
        <v>53</v>
      </c>
      <c r="G2933" t="s">
        <v>70</v>
      </c>
      <c r="I2933">
        <v>2025</v>
      </c>
      <c r="J2933">
        <v>0.13350000000000001</v>
      </c>
      <c r="K2933" t="s">
        <v>53</v>
      </c>
      <c r="L2933">
        <v>55</v>
      </c>
    </row>
    <row r="2934" spans="1:12" x14ac:dyDescent="0.45">
      <c r="A2934" t="s">
        <v>86</v>
      </c>
      <c r="B2934" t="s">
        <v>0</v>
      </c>
      <c r="C2934" t="s">
        <v>83</v>
      </c>
      <c r="D2934" t="s">
        <v>53</v>
      </c>
      <c r="E2934" t="s">
        <v>25</v>
      </c>
      <c r="F2934" t="s">
        <v>53</v>
      </c>
      <c r="G2934" t="s">
        <v>70</v>
      </c>
      <c r="I2934">
        <v>2030</v>
      </c>
      <c r="J2934">
        <v>0.19739999999999999</v>
      </c>
      <c r="K2934" t="s">
        <v>53</v>
      </c>
      <c r="L2934">
        <v>55</v>
      </c>
    </row>
    <row r="2935" spans="1:12" x14ac:dyDescent="0.45">
      <c r="A2935" t="s">
        <v>86</v>
      </c>
      <c r="B2935" t="s">
        <v>0</v>
      </c>
      <c r="C2935" t="s">
        <v>83</v>
      </c>
      <c r="D2935" t="s">
        <v>53</v>
      </c>
      <c r="E2935" t="s">
        <v>25</v>
      </c>
      <c r="F2935" t="s">
        <v>53</v>
      </c>
      <c r="G2935" t="s">
        <v>70</v>
      </c>
      <c r="I2935">
        <v>2035</v>
      </c>
      <c r="J2935">
        <v>0.2361</v>
      </c>
      <c r="K2935" t="s">
        <v>53</v>
      </c>
      <c r="L2935">
        <v>55</v>
      </c>
    </row>
    <row r="2936" spans="1:12" x14ac:dyDescent="0.45">
      <c r="A2936" t="s">
        <v>86</v>
      </c>
      <c r="B2936" t="s">
        <v>0</v>
      </c>
      <c r="C2936" t="s">
        <v>83</v>
      </c>
      <c r="D2936" t="s">
        <v>53</v>
      </c>
      <c r="E2936" t="s">
        <v>25</v>
      </c>
      <c r="F2936" t="s">
        <v>53</v>
      </c>
      <c r="G2936" t="s">
        <v>70</v>
      </c>
      <c r="I2936">
        <v>2040</v>
      </c>
      <c r="J2936">
        <v>0.12089999999999999</v>
      </c>
      <c r="K2936" t="s">
        <v>53</v>
      </c>
      <c r="L2936">
        <v>55</v>
      </c>
    </row>
    <row r="2937" spans="1:12" x14ac:dyDescent="0.45">
      <c r="A2937" t="s">
        <v>86</v>
      </c>
      <c r="B2937" t="s">
        <v>0</v>
      </c>
      <c r="C2937" t="s">
        <v>83</v>
      </c>
      <c r="D2937" t="s">
        <v>53</v>
      </c>
      <c r="E2937" t="s">
        <v>25</v>
      </c>
      <c r="F2937" t="s">
        <v>53</v>
      </c>
      <c r="G2937" t="s">
        <v>70</v>
      </c>
      <c r="I2937">
        <v>2045</v>
      </c>
      <c r="J2937">
        <v>2.0899999999999998E-2</v>
      </c>
      <c r="K2937" t="s">
        <v>53</v>
      </c>
      <c r="L2937">
        <v>55</v>
      </c>
    </row>
    <row r="2938" spans="1:12" x14ac:dyDescent="0.45">
      <c r="A2938" t="s">
        <v>86</v>
      </c>
      <c r="B2938" t="s">
        <v>0</v>
      </c>
      <c r="C2938" t="s">
        <v>83</v>
      </c>
      <c r="D2938" t="s">
        <v>53</v>
      </c>
      <c r="E2938" t="s">
        <v>25</v>
      </c>
      <c r="F2938" t="s">
        <v>53</v>
      </c>
      <c r="G2938" t="s">
        <v>70</v>
      </c>
      <c r="I2938">
        <v>2050</v>
      </c>
      <c r="J2938">
        <v>5.1000000000000004E-3</v>
      </c>
      <c r="K2938" t="s">
        <v>53</v>
      </c>
      <c r="L2938">
        <v>55</v>
      </c>
    </row>
    <row r="2939" spans="1:12" x14ac:dyDescent="0.45">
      <c r="A2939" t="s">
        <v>86</v>
      </c>
      <c r="B2939" t="s">
        <v>0</v>
      </c>
      <c r="C2939" t="s">
        <v>83</v>
      </c>
      <c r="D2939" t="s">
        <v>53</v>
      </c>
      <c r="E2939" t="s">
        <v>25</v>
      </c>
      <c r="F2939" t="s">
        <v>53</v>
      </c>
      <c r="G2939" t="s">
        <v>70</v>
      </c>
      <c r="I2939">
        <v>2055</v>
      </c>
      <c r="J2939">
        <v>1.1000000000000001E-3</v>
      </c>
      <c r="K2939" t="s">
        <v>53</v>
      </c>
      <c r="L2939">
        <v>55</v>
      </c>
    </row>
    <row r="2940" spans="1:12" x14ac:dyDescent="0.45">
      <c r="A2940" t="s">
        <v>86</v>
      </c>
      <c r="B2940" t="s">
        <v>0</v>
      </c>
      <c r="C2940" t="s">
        <v>83</v>
      </c>
      <c r="D2940" t="s">
        <v>53</v>
      </c>
      <c r="E2940" t="s">
        <v>25</v>
      </c>
      <c r="F2940" t="s">
        <v>53</v>
      </c>
      <c r="G2940" t="s">
        <v>70</v>
      </c>
      <c r="I2940">
        <v>2060</v>
      </c>
      <c r="J2940">
        <v>2.9999999999999997E-4</v>
      </c>
      <c r="K2940" t="s">
        <v>53</v>
      </c>
      <c r="L2940">
        <v>55</v>
      </c>
    </row>
    <row r="2941" spans="1:12" x14ac:dyDescent="0.45">
      <c r="A2941" t="s">
        <v>86</v>
      </c>
      <c r="B2941" t="s">
        <v>0</v>
      </c>
      <c r="C2941" t="s">
        <v>83</v>
      </c>
      <c r="D2941" t="s">
        <v>53</v>
      </c>
      <c r="E2941" t="s">
        <v>25</v>
      </c>
      <c r="F2941" t="s">
        <v>53</v>
      </c>
      <c r="G2941" t="s">
        <v>70</v>
      </c>
      <c r="I2941">
        <v>2065</v>
      </c>
      <c r="J2941">
        <v>2.0000000000000001E-4</v>
      </c>
      <c r="K2941" t="s">
        <v>53</v>
      </c>
      <c r="L2941">
        <v>55</v>
      </c>
    </row>
    <row r="2942" spans="1:12" x14ac:dyDescent="0.45">
      <c r="A2942" t="s">
        <v>86</v>
      </c>
      <c r="B2942" t="s">
        <v>0</v>
      </c>
      <c r="C2942" t="s">
        <v>83</v>
      </c>
      <c r="D2942" t="s">
        <v>53</v>
      </c>
      <c r="E2942" t="s">
        <v>25</v>
      </c>
      <c r="F2942" t="s">
        <v>53</v>
      </c>
      <c r="G2942" t="s">
        <v>70</v>
      </c>
      <c r="I2942">
        <v>2070</v>
      </c>
      <c r="J2942">
        <v>1E-4</v>
      </c>
      <c r="K2942" t="s">
        <v>53</v>
      </c>
      <c r="L2942">
        <v>55</v>
      </c>
    </row>
    <row r="2943" spans="1:12" x14ac:dyDescent="0.45">
      <c r="A2943" t="s">
        <v>86</v>
      </c>
      <c r="B2943" t="s">
        <v>0</v>
      </c>
      <c r="C2943" t="s">
        <v>83</v>
      </c>
      <c r="D2943" t="s">
        <v>53</v>
      </c>
      <c r="E2943" t="s">
        <v>25</v>
      </c>
      <c r="F2943" t="s">
        <v>53</v>
      </c>
      <c r="G2943" t="s">
        <v>70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86</v>
      </c>
      <c r="B2944" t="s">
        <v>0</v>
      </c>
      <c r="C2944" t="s">
        <v>83</v>
      </c>
      <c r="D2944" t="s">
        <v>53</v>
      </c>
      <c r="E2944" t="s">
        <v>25</v>
      </c>
      <c r="F2944" t="s">
        <v>53</v>
      </c>
      <c r="G2944" t="s">
        <v>70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86</v>
      </c>
      <c r="B2945" t="s">
        <v>0</v>
      </c>
      <c r="C2945" t="s">
        <v>83</v>
      </c>
      <c r="D2945" t="s">
        <v>53</v>
      </c>
      <c r="E2945" t="s">
        <v>25</v>
      </c>
      <c r="F2945" t="s">
        <v>53</v>
      </c>
      <c r="G2945" t="s">
        <v>70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86</v>
      </c>
      <c r="B2946" t="s">
        <v>0</v>
      </c>
      <c r="C2946" t="s">
        <v>83</v>
      </c>
      <c r="D2946" t="s">
        <v>53</v>
      </c>
      <c r="E2946" t="s">
        <v>25</v>
      </c>
      <c r="F2946" t="s">
        <v>53</v>
      </c>
      <c r="G2946" t="s">
        <v>70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86</v>
      </c>
      <c r="B2947" t="s">
        <v>0</v>
      </c>
      <c r="C2947" t="s">
        <v>83</v>
      </c>
      <c r="D2947" t="s">
        <v>53</v>
      </c>
      <c r="E2947" t="s">
        <v>25</v>
      </c>
      <c r="F2947" t="s">
        <v>53</v>
      </c>
      <c r="G2947" t="s">
        <v>70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86</v>
      </c>
      <c r="B2948" t="s">
        <v>0</v>
      </c>
      <c r="C2948" t="s">
        <v>83</v>
      </c>
      <c r="D2948" t="s">
        <v>53</v>
      </c>
      <c r="E2948" t="s">
        <v>25</v>
      </c>
      <c r="F2948" t="s">
        <v>53</v>
      </c>
      <c r="G2948" t="s">
        <v>70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86</v>
      </c>
      <c r="B2949" t="s">
        <v>0</v>
      </c>
      <c r="C2949" t="s">
        <v>83</v>
      </c>
      <c r="D2949" t="s">
        <v>54</v>
      </c>
      <c r="E2949" t="s">
        <v>25</v>
      </c>
      <c r="F2949" t="s">
        <v>54</v>
      </c>
      <c r="G2949" t="s">
        <v>70</v>
      </c>
      <c r="I2949">
        <v>2020</v>
      </c>
      <c r="J2949">
        <v>0</v>
      </c>
      <c r="K2949" t="s">
        <v>54</v>
      </c>
      <c r="L2949">
        <v>70</v>
      </c>
    </row>
    <row r="2950" spans="1:12" x14ac:dyDescent="0.45">
      <c r="A2950" t="s">
        <v>86</v>
      </c>
      <c r="B2950" t="s">
        <v>0</v>
      </c>
      <c r="C2950" t="s">
        <v>83</v>
      </c>
      <c r="D2950" t="s">
        <v>54</v>
      </c>
      <c r="E2950" t="s">
        <v>25</v>
      </c>
      <c r="F2950" t="s">
        <v>54</v>
      </c>
      <c r="G2950" t="s">
        <v>70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86</v>
      </c>
      <c r="B2951" t="s">
        <v>0</v>
      </c>
      <c r="C2951" t="s">
        <v>83</v>
      </c>
      <c r="D2951" t="s">
        <v>54</v>
      </c>
      <c r="E2951" t="s">
        <v>25</v>
      </c>
      <c r="F2951" t="s">
        <v>54</v>
      </c>
      <c r="G2951" t="s">
        <v>70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86</v>
      </c>
      <c r="B2952" t="s">
        <v>0</v>
      </c>
      <c r="C2952" t="s">
        <v>83</v>
      </c>
      <c r="D2952" t="s">
        <v>54</v>
      </c>
      <c r="E2952" t="s">
        <v>25</v>
      </c>
      <c r="F2952" t="s">
        <v>54</v>
      </c>
      <c r="G2952" t="s">
        <v>70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86</v>
      </c>
      <c r="B2953" t="s">
        <v>0</v>
      </c>
      <c r="C2953" t="s">
        <v>83</v>
      </c>
      <c r="D2953" t="s">
        <v>54</v>
      </c>
      <c r="E2953" t="s">
        <v>25</v>
      </c>
      <c r="F2953" t="s">
        <v>54</v>
      </c>
      <c r="G2953" t="s">
        <v>70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86</v>
      </c>
      <c r="B2954" t="s">
        <v>0</v>
      </c>
      <c r="C2954" t="s">
        <v>83</v>
      </c>
      <c r="D2954" t="s">
        <v>54</v>
      </c>
      <c r="E2954" t="s">
        <v>25</v>
      </c>
      <c r="F2954" t="s">
        <v>54</v>
      </c>
      <c r="G2954" t="s">
        <v>70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86</v>
      </c>
      <c r="B2955" t="s">
        <v>0</v>
      </c>
      <c r="C2955" t="s">
        <v>83</v>
      </c>
      <c r="D2955" t="s">
        <v>54</v>
      </c>
      <c r="E2955" t="s">
        <v>25</v>
      </c>
      <c r="F2955" t="s">
        <v>54</v>
      </c>
      <c r="G2955" t="s">
        <v>70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86</v>
      </c>
      <c r="B2956" t="s">
        <v>0</v>
      </c>
      <c r="C2956" t="s">
        <v>83</v>
      </c>
      <c r="D2956" t="s">
        <v>54</v>
      </c>
      <c r="E2956" t="s">
        <v>25</v>
      </c>
      <c r="F2956" t="s">
        <v>54</v>
      </c>
      <c r="G2956" t="s">
        <v>70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86</v>
      </c>
      <c r="B2957" t="s">
        <v>0</v>
      </c>
      <c r="C2957" t="s">
        <v>83</v>
      </c>
      <c r="D2957" t="s">
        <v>54</v>
      </c>
      <c r="E2957" t="s">
        <v>25</v>
      </c>
      <c r="F2957" t="s">
        <v>54</v>
      </c>
      <c r="G2957" t="s">
        <v>70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86</v>
      </c>
      <c r="B2958" t="s">
        <v>0</v>
      </c>
      <c r="C2958" t="s">
        <v>83</v>
      </c>
      <c r="D2958" t="s">
        <v>54</v>
      </c>
      <c r="E2958" t="s">
        <v>25</v>
      </c>
      <c r="F2958" t="s">
        <v>54</v>
      </c>
      <c r="G2958" t="s">
        <v>70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86</v>
      </c>
      <c r="B2959" t="s">
        <v>0</v>
      </c>
      <c r="C2959" t="s">
        <v>83</v>
      </c>
      <c r="D2959" t="s">
        <v>54</v>
      </c>
      <c r="E2959" t="s">
        <v>25</v>
      </c>
      <c r="F2959" t="s">
        <v>54</v>
      </c>
      <c r="G2959" t="s">
        <v>70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86</v>
      </c>
      <c r="B2960" t="s">
        <v>0</v>
      </c>
      <c r="C2960" t="s">
        <v>83</v>
      </c>
      <c r="D2960" t="s">
        <v>54</v>
      </c>
      <c r="E2960" t="s">
        <v>25</v>
      </c>
      <c r="F2960" t="s">
        <v>54</v>
      </c>
      <c r="G2960" t="s">
        <v>70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86</v>
      </c>
      <c r="B2961" t="s">
        <v>0</v>
      </c>
      <c r="C2961" t="s">
        <v>83</v>
      </c>
      <c r="D2961" t="s">
        <v>54</v>
      </c>
      <c r="E2961" t="s">
        <v>25</v>
      </c>
      <c r="F2961" t="s">
        <v>54</v>
      </c>
      <c r="G2961" t="s">
        <v>70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86</v>
      </c>
      <c r="B2962" t="s">
        <v>0</v>
      </c>
      <c r="C2962" t="s">
        <v>83</v>
      </c>
      <c r="D2962" t="s">
        <v>54</v>
      </c>
      <c r="E2962" t="s">
        <v>25</v>
      </c>
      <c r="F2962" t="s">
        <v>54</v>
      </c>
      <c r="G2962" t="s">
        <v>70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86</v>
      </c>
      <c r="B2963" t="s">
        <v>0</v>
      </c>
      <c r="C2963" t="s">
        <v>83</v>
      </c>
      <c r="D2963" t="s">
        <v>54</v>
      </c>
      <c r="E2963" t="s">
        <v>25</v>
      </c>
      <c r="F2963" t="s">
        <v>54</v>
      </c>
      <c r="G2963" t="s">
        <v>70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86</v>
      </c>
      <c r="B2964" t="s">
        <v>0</v>
      </c>
      <c r="C2964" t="s">
        <v>83</v>
      </c>
      <c r="D2964" t="s">
        <v>54</v>
      </c>
      <c r="E2964" t="s">
        <v>25</v>
      </c>
      <c r="F2964" t="s">
        <v>54</v>
      </c>
      <c r="G2964" t="s">
        <v>70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86</v>
      </c>
      <c r="B2965" t="s">
        <v>0</v>
      </c>
      <c r="C2965" t="s">
        <v>83</v>
      </c>
      <c r="D2965" t="s">
        <v>54</v>
      </c>
      <c r="E2965" t="s">
        <v>25</v>
      </c>
      <c r="F2965" t="s">
        <v>54</v>
      </c>
      <c r="G2965" t="s">
        <v>70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86</v>
      </c>
      <c r="B2966" t="s">
        <v>0</v>
      </c>
      <c r="C2966" t="s">
        <v>83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86</v>
      </c>
      <c r="B2967" t="s">
        <v>0</v>
      </c>
      <c r="C2967" t="s">
        <v>83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86</v>
      </c>
      <c r="B2968" t="s">
        <v>0</v>
      </c>
      <c r="C2968" t="s">
        <v>83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86</v>
      </c>
      <c r="B2969" t="s">
        <v>0</v>
      </c>
      <c r="C2969" t="s">
        <v>83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86</v>
      </c>
      <c r="B2970" t="s">
        <v>0</v>
      </c>
      <c r="C2970" t="s">
        <v>83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86</v>
      </c>
      <c r="B2971" t="s">
        <v>0</v>
      </c>
      <c r="C2971" t="s">
        <v>83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86</v>
      </c>
      <c r="B2972" t="s">
        <v>0</v>
      </c>
      <c r="C2972" t="s">
        <v>83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86</v>
      </c>
      <c r="B2973" t="s">
        <v>0</v>
      </c>
      <c r="C2973" t="s">
        <v>83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86</v>
      </c>
      <c r="B2974" t="s">
        <v>0</v>
      </c>
      <c r="C2974" t="s">
        <v>83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86</v>
      </c>
      <c r="B2975" t="s">
        <v>0</v>
      </c>
      <c r="C2975" t="s">
        <v>83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86</v>
      </c>
      <c r="B2976" t="s">
        <v>0</v>
      </c>
      <c r="C2976" t="s">
        <v>83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86</v>
      </c>
      <c r="B2977" t="s">
        <v>0</v>
      </c>
      <c r="C2977" t="s">
        <v>83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86</v>
      </c>
      <c r="B2978" t="s">
        <v>0</v>
      </c>
      <c r="C2978" t="s">
        <v>83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86</v>
      </c>
      <c r="B2979" t="s">
        <v>0</v>
      </c>
      <c r="C2979" t="s">
        <v>83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86</v>
      </c>
      <c r="B2980" t="s">
        <v>0</v>
      </c>
      <c r="C2980" t="s">
        <v>83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86</v>
      </c>
      <c r="B2981" t="s">
        <v>0</v>
      </c>
      <c r="C2981" t="s">
        <v>83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86</v>
      </c>
      <c r="B2982" t="s">
        <v>0</v>
      </c>
      <c r="C2982" t="s">
        <v>83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86</v>
      </c>
      <c r="B2983" t="s">
        <v>0</v>
      </c>
      <c r="C2983" t="s">
        <v>83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86</v>
      </c>
      <c r="B2984" t="s">
        <v>0</v>
      </c>
      <c r="C2984" t="s">
        <v>83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86</v>
      </c>
      <c r="B2985" t="s">
        <v>0</v>
      </c>
      <c r="C2985" t="s">
        <v>83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86</v>
      </c>
      <c r="B2986" t="s">
        <v>0</v>
      </c>
      <c r="C2986" t="s">
        <v>83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86</v>
      </c>
      <c r="B2987" t="s">
        <v>0</v>
      </c>
      <c r="C2987" t="s">
        <v>83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86</v>
      </c>
      <c r="B2988" t="s">
        <v>0</v>
      </c>
      <c r="C2988" t="s">
        <v>83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86</v>
      </c>
      <c r="B2989" t="s">
        <v>0</v>
      </c>
      <c r="C2989" t="s">
        <v>83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86</v>
      </c>
      <c r="B2990" t="s">
        <v>0</v>
      </c>
      <c r="C2990" t="s">
        <v>83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86</v>
      </c>
      <c r="B2991" t="s">
        <v>0</v>
      </c>
      <c r="C2991" t="s">
        <v>83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86</v>
      </c>
      <c r="B2992" t="s">
        <v>0</v>
      </c>
      <c r="C2992" t="s">
        <v>83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86</v>
      </c>
      <c r="B2993" t="s">
        <v>0</v>
      </c>
      <c r="C2993" t="s">
        <v>83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86</v>
      </c>
      <c r="B2994" t="s">
        <v>0</v>
      </c>
      <c r="C2994" t="s">
        <v>83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86</v>
      </c>
      <c r="B2995" t="s">
        <v>0</v>
      </c>
      <c r="C2995" t="s">
        <v>83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86</v>
      </c>
      <c r="B2996" t="s">
        <v>0</v>
      </c>
      <c r="C2996" t="s">
        <v>83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86</v>
      </c>
      <c r="B2997" t="s">
        <v>0</v>
      </c>
      <c r="C2997" t="s">
        <v>83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86</v>
      </c>
      <c r="B2998" t="s">
        <v>0</v>
      </c>
      <c r="C2998" t="s">
        <v>83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86</v>
      </c>
      <c r="B2999" t="s">
        <v>0</v>
      </c>
      <c r="C2999" t="s">
        <v>83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86</v>
      </c>
      <c r="B3000" t="s">
        <v>0</v>
      </c>
      <c r="C3000" t="s">
        <v>83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86</v>
      </c>
      <c r="B3001" t="s">
        <v>0</v>
      </c>
      <c r="C3001" t="s">
        <v>83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86</v>
      </c>
      <c r="B3002" t="s">
        <v>0</v>
      </c>
      <c r="C3002" t="s">
        <v>83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86</v>
      </c>
      <c r="B3003" t="s">
        <v>0</v>
      </c>
      <c r="C3003" t="s">
        <v>83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86</v>
      </c>
      <c r="B3004" t="s">
        <v>0</v>
      </c>
      <c r="C3004" t="s">
        <v>83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86</v>
      </c>
      <c r="B3005" t="s">
        <v>0</v>
      </c>
      <c r="C3005" t="s">
        <v>83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86</v>
      </c>
      <c r="B3006" t="s">
        <v>0</v>
      </c>
      <c r="C3006" t="s">
        <v>83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86</v>
      </c>
      <c r="B3007" t="s">
        <v>0</v>
      </c>
      <c r="C3007" t="s">
        <v>83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86</v>
      </c>
      <c r="B3008" t="s">
        <v>0</v>
      </c>
      <c r="C3008" t="s">
        <v>83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86</v>
      </c>
      <c r="B3009" t="s">
        <v>0</v>
      </c>
      <c r="C3009" t="s">
        <v>83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86</v>
      </c>
      <c r="B3010" t="s">
        <v>0</v>
      </c>
      <c r="C3010" t="s">
        <v>83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86</v>
      </c>
      <c r="B3011" t="s">
        <v>0</v>
      </c>
      <c r="C3011" t="s">
        <v>83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86</v>
      </c>
      <c r="B3012" t="s">
        <v>0</v>
      </c>
      <c r="C3012" t="s">
        <v>83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86</v>
      </c>
      <c r="B3013" t="s">
        <v>0</v>
      </c>
      <c r="C3013" t="s">
        <v>83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86</v>
      </c>
      <c r="B3014" t="s">
        <v>0</v>
      </c>
      <c r="C3014" t="s">
        <v>83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86</v>
      </c>
      <c r="B3015" t="s">
        <v>0</v>
      </c>
      <c r="C3015" t="s">
        <v>83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86</v>
      </c>
      <c r="B3016" t="s">
        <v>0</v>
      </c>
      <c r="C3016" t="s">
        <v>83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86</v>
      </c>
      <c r="B3017" t="s">
        <v>0</v>
      </c>
      <c r="C3017" t="s">
        <v>83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56.074300000000001</v>
      </c>
      <c r="K3017" t="s">
        <v>37</v>
      </c>
    </row>
    <row r="3018" spans="1:11" x14ac:dyDescent="0.45">
      <c r="A3018" t="s">
        <v>86</v>
      </c>
      <c r="B3018" t="s">
        <v>0</v>
      </c>
      <c r="C3018" t="s">
        <v>83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66.884100000000004</v>
      </c>
      <c r="K3018" t="s">
        <v>37</v>
      </c>
    </row>
    <row r="3019" spans="1:11" x14ac:dyDescent="0.45">
      <c r="A3019" t="s">
        <v>86</v>
      </c>
      <c r="B3019" t="s">
        <v>0</v>
      </c>
      <c r="C3019" t="s">
        <v>83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75.320400000000006</v>
      </c>
      <c r="K3019" t="s">
        <v>37</v>
      </c>
    </row>
    <row r="3020" spans="1:11" x14ac:dyDescent="0.45">
      <c r="A3020" t="s">
        <v>86</v>
      </c>
      <c r="B3020" t="s">
        <v>0</v>
      </c>
      <c r="C3020" t="s">
        <v>83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63.392200000000003</v>
      </c>
      <c r="K3020" t="s">
        <v>37</v>
      </c>
    </row>
    <row r="3021" spans="1:11" x14ac:dyDescent="0.45">
      <c r="A3021" t="s">
        <v>86</v>
      </c>
      <c r="B3021" t="s">
        <v>0</v>
      </c>
      <c r="C3021" t="s">
        <v>83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84.911699999999996</v>
      </c>
      <c r="K3021" t="s">
        <v>37</v>
      </c>
    </row>
    <row r="3022" spans="1:11" x14ac:dyDescent="0.45">
      <c r="A3022" t="s">
        <v>86</v>
      </c>
      <c r="B3022" t="s">
        <v>0</v>
      </c>
      <c r="C3022" t="s">
        <v>83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96.662400000000005</v>
      </c>
      <c r="K3022" t="s">
        <v>37</v>
      </c>
    </row>
    <row r="3023" spans="1:11" x14ac:dyDescent="0.45">
      <c r="A3023" t="s">
        <v>86</v>
      </c>
      <c r="B3023" t="s">
        <v>0</v>
      </c>
      <c r="C3023" t="s">
        <v>83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91.210599999999999</v>
      </c>
      <c r="K3023" t="s">
        <v>37</v>
      </c>
    </row>
    <row r="3024" spans="1:11" x14ac:dyDescent="0.45">
      <c r="A3024" t="s">
        <v>86</v>
      </c>
      <c r="B3024" t="s">
        <v>0</v>
      </c>
      <c r="C3024" t="s">
        <v>83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141.785</v>
      </c>
      <c r="K3024" t="s">
        <v>37</v>
      </c>
    </row>
    <row r="3025" spans="1:11" x14ac:dyDescent="0.45">
      <c r="A3025" t="s">
        <v>86</v>
      </c>
      <c r="B3025" t="s">
        <v>0</v>
      </c>
      <c r="C3025" t="s">
        <v>83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197.59800000000001</v>
      </c>
      <c r="K3025" t="s">
        <v>37</v>
      </c>
    </row>
    <row r="3026" spans="1:11" x14ac:dyDescent="0.45">
      <c r="A3026" t="s">
        <v>86</v>
      </c>
      <c r="B3026" t="s">
        <v>0</v>
      </c>
      <c r="C3026" t="s">
        <v>83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251.3169</v>
      </c>
      <c r="K3026" t="s">
        <v>37</v>
      </c>
    </row>
    <row r="3027" spans="1:11" x14ac:dyDescent="0.45">
      <c r="A3027" t="s">
        <v>86</v>
      </c>
      <c r="B3027" t="s">
        <v>0</v>
      </c>
      <c r="C3027" t="s">
        <v>83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305.03590000000003</v>
      </c>
      <c r="K3027" t="s">
        <v>37</v>
      </c>
    </row>
    <row r="3028" spans="1:11" x14ac:dyDescent="0.45">
      <c r="A3028" t="s">
        <v>86</v>
      </c>
      <c r="B3028" t="s">
        <v>0</v>
      </c>
      <c r="C3028" t="s">
        <v>83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368.2706</v>
      </c>
      <c r="K3028" t="s">
        <v>37</v>
      </c>
    </row>
    <row r="3029" spans="1:11" x14ac:dyDescent="0.45">
      <c r="A3029" t="s">
        <v>86</v>
      </c>
      <c r="B3029" t="s">
        <v>0</v>
      </c>
      <c r="C3029" t="s">
        <v>83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431.50540000000001</v>
      </c>
      <c r="K3029" t="s">
        <v>37</v>
      </c>
    </row>
    <row r="3030" spans="1:11" x14ac:dyDescent="0.45">
      <c r="A3030" t="s">
        <v>86</v>
      </c>
      <c r="B3030" t="s">
        <v>0</v>
      </c>
      <c r="C3030" t="s">
        <v>83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440.16879999999998</v>
      </c>
      <c r="K3030" t="s">
        <v>37</v>
      </c>
    </row>
    <row r="3031" spans="1:11" x14ac:dyDescent="0.45">
      <c r="A3031" t="s">
        <v>86</v>
      </c>
      <c r="B3031" t="s">
        <v>0</v>
      </c>
      <c r="C3031" t="s">
        <v>83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448.8322</v>
      </c>
      <c r="K3031" t="s">
        <v>37</v>
      </c>
    </row>
    <row r="3032" spans="1:11" x14ac:dyDescent="0.45">
      <c r="A3032" t="s">
        <v>86</v>
      </c>
      <c r="B3032" t="s">
        <v>0</v>
      </c>
      <c r="C3032" t="s">
        <v>83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468.8254</v>
      </c>
      <c r="K3032" t="s">
        <v>37</v>
      </c>
    </row>
    <row r="3033" spans="1:11" x14ac:dyDescent="0.45">
      <c r="A3033" t="s">
        <v>86</v>
      </c>
      <c r="B3033" t="s">
        <v>0</v>
      </c>
      <c r="C3033" t="s">
        <v>83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488.81869999999998</v>
      </c>
      <c r="K3033" t="s">
        <v>37</v>
      </c>
    </row>
    <row r="3034" spans="1:11" x14ac:dyDescent="0.45">
      <c r="A3034" t="s">
        <v>86</v>
      </c>
      <c r="B3034" t="s">
        <v>0</v>
      </c>
      <c r="C3034" t="s">
        <v>83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376.85109999999997</v>
      </c>
      <c r="K3034" t="s">
        <v>48</v>
      </c>
    </row>
    <row r="3035" spans="1:11" x14ac:dyDescent="0.45">
      <c r="A3035" t="s">
        <v>86</v>
      </c>
      <c r="B3035" t="s">
        <v>0</v>
      </c>
      <c r="C3035" t="s">
        <v>83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418.7484</v>
      </c>
      <c r="K3035" t="s">
        <v>48</v>
      </c>
    </row>
    <row r="3036" spans="1:11" x14ac:dyDescent="0.45">
      <c r="A3036" t="s">
        <v>86</v>
      </c>
      <c r="B3036" t="s">
        <v>0</v>
      </c>
      <c r="C3036" t="s">
        <v>83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422.4545</v>
      </c>
      <c r="K3036" t="s">
        <v>48</v>
      </c>
    </row>
    <row r="3037" spans="1:11" x14ac:dyDescent="0.45">
      <c r="A3037" t="s">
        <v>86</v>
      </c>
      <c r="B3037" t="s">
        <v>0</v>
      </c>
      <c r="C3037" t="s">
        <v>83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373.09710000000001</v>
      </c>
      <c r="K3037" t="s">
        <v>48</v>
      </c>
    </row>
    <row r="3038" spans="1:11" x14ac:dyDescent="0.45">
      <c r="A3038" t="s">
        <v>86</v>
      </c>
      <c r="B3038" t="s">
        <v>0</v>
      </c>
      <c r="C3038" t="s">
        <v>83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199.94319999999999</v>
      </c>
      <c r="K3038" t="s">
        <v>48</v>
      </c>
    </row>
    <row r="3039" spans="1:11" x14ac:dyDescent="0.45">
      <c r="A3039" t="s">
        <v>86</v>
      </c>
      <c r="B3039" t="s">
        <v>0</v>
      </c>
      <c r="C3039" t="s">
        <v>83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86.686099999999996</v>
      </c>
      <c r="K3039" t="s">
        <v>48</v>
      </c>
    </row>
    <row r="3040" spans="1:11" x14ac:dyDescent="0.45">
      <c r="A3040" t="s">
        <v>86</v>
      </c>
      <c r="B3040" t="s">
        <v>0</v>
      </c>
      <c r="C3040" t="s">
        <v>83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47.4041</v>
      </c>
      <c r="K3040" t="s">
        <v>48</v>
      </c>
    </row>
    <row r="3041" spans="1:11" x14ac:dyDescent="0.45">
      <c r="A3041" t="s">
        <v>86</v>
      </c>
      <c r="B3041" t="s">
        <v>0</v>
      </c>
      <c r="C3041" t="s">
        <v>83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20.106400000000001</v>
      </c>
      <c r="K3041" t="s">
        <v>48</v>
      </c>
    </row>
    <row r="3042" spans="1:11" x14ac:dyDescent="0.45">
      <c r="A3042" t="s">
        <v>86</v>
      </c>
      <c r="B3042" t="s">
        <v>0</v>
      </c>
      <c r="C3042" t="s">
        <v>83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-1.0730999999999999</v>
      </c>
      <c r="K3042" t="s">
        <v>48</v>
      </c>
    </row>
    <row r="3043" spans="1:11" x14ac:dyDescent="0.45">
      <c r="A3043" t="s">
        <v>86</v>
      </c>
      <c r="B3043" t="s">
        <v>0</v>
      </c>
      <c r="C3043" t="s">
        <v>83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-9.7185000000000006</v>
      </c>
      <c r="K3043" t="s">
        <v>48</v>
      </c>
    </row>
    <row r="3044" spans="1:11" x14ac:dyDescent="0.45">
      <c r="A3044" t="s">
        <v>86</v>
      </c>
      <c r="B3044" t="s">
        <v>0</v>
      </c>
      <c r="C3044" t="s">
        <v>83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-19.0425</v>
      </c>
      <c r="K3044" t="s">
        <v>48</v>
      </c>
    </row>
    <row r="3045" spans="1:11" x14ac:dyDescent="0.45">
      <c r="A3045" t="s">
        <v>86</v>
      </c>
      <c r="B3045" t="s">
        <v>0</v>
      </c>
      <c r="C3045" t="s">
        <v>83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-19.694700000000001</v>
      </c>
      <c r="K3045" t="s">
        <v>48</v>
      </c>
    </row>
    <row r="3046" spans="1:11" x14ac:dyDescent="0.45">
      <c r="A3046" t="s">
        <v>86</v>
      </c>
      <c r="B3046" t="s">
        <v>0</v>
      </c>
      <c r="C3046" t="s">
        <v>83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-20.854199999999999</v>
      </c>
      <c r="K3046" t="s">
        <v>48</v>
      </c>
    </row>
    <row r="3047" spans="1:11" x14ac:dyDescent="0.45">
      <c r="A3047" t="s">
        <v>86</v>
      </c>
      <c r="B3047" t="s">
        <v>0</v>
      </c>
      <c r="C3047" t="s">
        <v>83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-11.706200000000001</v>
      </c>
      <c r="K3047" t="s">
        <v>48</v>
      </c>
    </row>
    <row r="3048" spans="1:11" x14ac:dyDescent="0.45">
      <c r="A3048" t="s">
        <v>86</v>
      </c>
      <c r="B3048" t="s">
        <v>0</v>
      </c>
      <c r="C3048" t="s">
        <v>83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-2.3540999999999999</v>
      </c>
      <c r="K3048" t="s">
        <v>48</v>
      </c>
    </row>
    <row r="3049" spans="1:11" x14ac:dyDescent="0.45">
      <c r="A3049" t="s">
        <v>86</v>
      </c>
      <c r="B3049" t="s">
        <v>0</v>
      </c>
      <c r="C3049" t="s">
        <v>83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-2.2614999999999998</v>
      </c>
      <c r="K3049" t="s">
        <v>48</v>
      </c>
    </row>
    <row r="3050" spans="1:11" x14ac:dyDescent="0.45">
      <c r="A3050" t="s">
        <v>86</v>
      </c>
      <c r="B3050" t="s">
        <v>0</v>
      </c>
      <c r="C3050" t="s">
        <v>83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-1.4985999999999999</v>
      </c>
      <c r="K3050" t="s">
        <v>48</v>
      </c>
    </row>
    <row r="3051" spans="1:11" x14ac:dyDescent="0.45">
      <c r="A3051" t="s">
        <v>86</v>
      </c>
      <c r="B3051" t="s">
        <v>0</v>
      </c>
      <c r="C3051" t="s">
        <v>83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335.07709999999997</v>
      </c>
      <c r="K3051" t="s">
        <v>51</v>
      </c>
    </row>
    <row r="3052" spans="1:11" x14ac:dyDescent="0.45">
      <c r="A3052" t="s">
        <v>86</v>
      </c>
      <c r="B3052" t="s">
        <v>0</v>
      </c>
      <c r="C3052" t="s">
        <v>83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340.8227</v>
      </c>
      <c r="K3052" t="s">
        <v>51</v>
      </c>
    </row>
    <row r="3053" spans="1:11" x14ac:dyDescent="0.45">
      <c r="A3053" t="s">
        <v>86</v>
      </c>
      <c r="B3053" t="s">
        <v>0</v>
      </c>
      <c r="C3053" t="s">
        <v>83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343.83390000000003</v>
      </c>
      <c r="K3053" t="s">
        <v>51</v>
      </c>
    </row>
    <row r="3054" spans="1:11" x14ac:dyDescent="0.45">
      <c r="A3054" t="s">
        <v>86</v>
      </c>
      <c r="B3054" t="s">
        <v>0</v>
      </c>
      <c r="C3054" t="s">
        <v>83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317.64760000000001</v>
      </c>
      <c r="K3054" t="s">
        <v>51</v>
      </c>
    </row>
    <row r="3055" spans="1:11" x14ac:dyDescent="0.45">
      <c r="A3055" t="s">
        <v>86</v>
      </c>
      <c r="B3055" t="s">
        <v>0</v>
      </c>
      <c r="C3055" t="s">
        <v>83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157.87549999999999</v>
      </c>
      <c r="K3055" t="s">
        <v>51</v>
      </c>
    </row>
    <row r="3056" spans="1:11" x14ac:dyDescent="0.45">
      <c r="A3056" t="s">
        <v>86</v>
      </c>
      <c r="B3056" t="s">
        <v>0</v>
      </c>
      <c r="C3056" t="s">
        <v>83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49.048400000000001</v>
      </c>
      <c r="K3056" t="s">
        <v>51</v>
      </c>
    </row>
    <row r="3057" spans="1:11" x14ac:dyDescent="0.45">
      <c r="A3057" t="s">
        <v>86</v>
      </c>
      <c r="B3057" t="s">
        <v>0</v>
      </c>
      <c r="C3057" t="s">
        <v>83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21.994399999999999</v>
      </c>
      <c r="K3057" t="s">
        <v>51</v>
      </c>
    </row>
    <row r="3058" spans="1:11" x14ac:dyDescent="0.45">
      <c r="A3058" t="s">
        <v>86</v>
      </c>
      <c r="B3058" t="s">
        <v>0</v>
      </c>
      <c r="C3058" t="s">
        <v>83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12.363</v>
      </c>
      <c r="K3058" t="s">
        <v>51</v>
      </c>
    </row>
    <row r="3059" spans="1:11" x14ac:dyDescent="0.45">
      <c r="A3059" t="s">
        <v>86</v>
      </c>
      <c r="B3059" t="s">
        <v>0</v>
      </c>
      <c r="C3059" t="s">
        <v>83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4.0110000000000001</v>
      </c>
      <c r="K3059" t="s">
        <v>51</v>
      </c>
    </row>
    <row r="3060" spans="1:11" x14ac:dyDescent="0.45">
      <c r="A3060" t="s">
        <v>86</v>
      </c>
      <c r="B3060" t="s">
        <v>0</v>
      </c>
      <c r="C3060" t="s">
        <v>83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-1.6621999999999999</v>
      </c>
      <c r="K3060" t="s">
        <v>51</v>
      </c>
    </row>
    <row r="3061" spans="1:11" x14ac:dyDescent="0.45">
      <c r="A3061" t="s">
        <v>86</v>
      </c>
      <c r="B3061" t="s">
        <v>0</v>
      </c>
      <c r="C3061" t="s">
        <v>83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-8.0113000000000003</v>
      </c>
      <c r="K3061" t="s">
        <v>51</v>
      </c>
    </row>
    <row r="3062" spans="1:11" x14ac:dyDescent="0.45">
      <c r="A3062" t="s">
        <v>86</v>
      </c>
      <c r="B3062" t="s">
        <v>0</v>
      </c>
      <c r="C3062" t="s">
        <v>83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-9.9924999999999997</v>
      </c>
      <c r="K3062" t="s">
        <v>51</v>
      </c>
    </row>
    <row r="3063" spans="1:11" x14ac:dyDescent="0.45">
      <c r="A3063" t="s">
        <v>86</v>
      </c>
      <c r="B3063" t="s">
        <v>0</v>
      </c>
      <c r="C3063" t="s">
        <v>83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-12.4763</v>
      </c>
      <c r="K3063" t="s">
        <v>51</v>
      </c>
    </row>
    <row r="3064" spans="1:11" x14ac:dyDescent="0.45">
      <c r="A3064" t="s">
        <v>86</v>
      </c>
      <c r="B3064" t="s">
        <v>0</v>
      </c>
      <c r="C3064" t="s">
        <v>83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-11.792999999999999</v>
      </c>
      <c r="K3064" t="s">
        <v>51</v>
      </c>
    </row>
    <row r="3065" spans="1:11" x14ac:dyDescent="0.45">
      <c r="A3065" t="s">
        <v>86</v>
      </c>
      <c r="B3065" t="s">
        <v>0</v>
      </c>
      <c r="C3065" t="s">
        <v>83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-10.9213</v>
      </c>
      <c r="K3065" t="s">
        <v>51</v>
      </c>
    </row>
    <row r="3066" spans="1:11" x14ac:dyDescent="0.45">
      <c r="A3066" t="s">
        <v>86</v>
      </c>
      <c r="B3066" t="s">
        <v>0</v>
      </c>
      <c r="C3066" t="s">
        <v>83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-8.9992999999999999</v>
      </c>
      <c r="K3066" t="s">
        <v>51</v>
      </c>
    </row>
    <row r="3067" spans="1:11" x14ac:dyDescent="0.45">
      <c r="A3067" t="s">
        <v>86</v>
      </c>
      <c r="B3067" t="s">
        <v>0</v>
      </c>
      <c r="C3067" t="s">
        <v>83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-6.4092000000000002</v>
      </c>
      <c r="K3067" t="s">
        <v>51</v>
      </c>
    </row>
    <row r="3068" spans="1:11" x14ac:dyDescent="0.45">
      <c r="A3068" t="s">
        <v>86</v>
      </c>
      <c r="B3068" t="s">
        <v>6</v>
      </c>
      <c r="C3068" t="s">
        <v>83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86</v>
      </c>
      <c r="B3069" t="s">
        <v>6</v>
      </c>
      <c r="C3069" t="s">
        <v>83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86</v>
      </c>
      <c r="B3070" t="s">
        <v>6</v>
      </c>
      <c r="C3070" t="s">
        <v>83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86</v>
      </c>
      <c r="B3071" t="s">
        <v>6</v>
      </c>
      <c r="C3071" t="s">
        <v>83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1.5100000000000001E-2</v>
      </c>
      <c r="K3071" t="s">
        <v>45</v>
      </c>
    </row>
    <row r="3072" spans="1:11" x14ac:dyDescent="0.45">
      <c r="A3072" t="s">
        <v>86</v>
      </c>
      <c r="B3072" t="s">
        <v>6</v>
      </c>
      <c r="C3072" t="s">
        <v>83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0.115</v>
      </c>
      <c r="K3072" t="s">
        <v>45</v>
      </c>
    </row>
    <row r="3073" spans="1:11" x14ac:dyDescent="0.45">
      <c r="A3073" t="s">
        <v>86</v>
      </c>
      <c r="B3073" t="s">
        <v>6</v>
      </c>
      <c r="C3073" t="s">
        <v>83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0.30530000000000002</v>
      </c>
      <c r="K3073" t="s">
        <v>45</v>
      </c>
    </row>
    <row r="3074" spans="1:11" x14ac:dyDescent="0.45">
      <c r="A3074" t="s">
        <v>86</v>
      </c>
      <c r="B3074" t="s">
        <v>6</v>
      </c>
      <c r="C3074" t="s">
        <v>83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0.65839999999999999</v>
      </c>
      <c r="K3074" t="s">
        <v>45</v>
      </c>
    </row>
    <row r="3075" spans="1:11" x14ac:dyDescent="0.45">
      <c r="A3075" t="s">
        <v>86</v>
      </c>
      <c r="B3075" t="s">
        <v>6</v>
      </c>
      <c r="C3075" t="s">
        <v>83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3.7803</v>
      </c>
      <c r="K3075" t="s">
        <v>45</v>
      </c>
    </row>
    <row r="3076" spans="1:11" x14ac:dyDescent="0.45">
      <c r="A3076" t="s">
        <v>86</v>
      </c>
      <c r="B3076" t="s">
        <v>6</v>
      </c>
      <c r="C3076" t="s">
        <v>83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4.4253999999999998</v>
      </c>
      <c r="K3076" t="s">
        <v>45</v>
      </c>
    </row>
    <row r="3077" spans="1:11" x14ac:dyDescent="0.45">
      <c r="A3077" t="s">
        <v>86</v>
      </c>
      <c r="B3077" t="s">
        <v>6</v>
      </c>
      <c r="C3077" t="s">
        <v>83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4.1327999999999996</v>
      </c>
      <c r="K3077" t="s">
        <v>45</v>
      </c>
    </row>
    <row r="3078" spans="1:11" x14ac:dyDescent="0.45">
      <c r="A3078" t="s">
        <v>86</v>
      </c>
      <c r="B3078" t="s">
        <v>6</v>
      </c>
      <c r="C3078" t="s">
        <v>83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3.7204999999999999</v>
      </c>
      <c r="K3078" t="s">
        <v>45</v>
      </c>
    </row>
    <row r="3079" spans="1:11" x14ac:dyDescent="0.45">
      <c r="A3079" t="s">
        <v>86</v>
      </c>
      <c r="B3079" t="s">
        <v>6</v>
      </c>
      <c r="C3079" t="s">
        <v>83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3.8222999999999998</v>
      </c>
      <c r="K3079" t="s">
        <v>45</v>
      </c>
    </row>
    <row r="3080" spans="1:11" x14ac:dyDescent="0.45">
      <c r="A3080" t="s">
        <v>86</v>
      </c>
      <c r="B3080" t="s">
        <v>6</v>
      </c>
      <c r="C3080" t="s">
        <v>83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3.8361000000000001</v>
      </c>
      <c r="K3080" t="s">
        <v>45</v>
      </c>
    </row>
    <row r="3081" spans="1:11" x14ac:dyDescent="0.45">
      <c r="A3081" t="s">
        <v>86</v>
      </c>
      <c r="B3081" t="s">
        <v>6</v>
      </c>
      <c r="C3081" t="s">
        <v>83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3.2435999999999998</v>
      </c>
      <c r="K3081" t="s">
        <v>45</v>
      </c>
    </row>
    <row r="3082" spans="1:11" x14ac:dyDescent="0.45">
      <c r="A3082" t="s">
        <v>86</v>
      </c>
      <c r="B3082" t="s">
        <v>6</v>
      </c>
      <c r="C3082" t="s">
        <v>83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2.6661000000000001</v>
      </c>
      <c r="K3082" t="s">
        <v>45</v>
      </c>
    </row>
    <row r="3083" spans="1:11" x14ac:dyDescent="0.45">
      <c r="A3083" t="s">
        <v>86</v>
      </c>
      <c r="B3083" t="s">
        <v>6</v>
      </c>
      <c r="C3083" t="s">
        <v>83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1.9327000000000001</v>
      </c>
      <c r="K3083" t="s">
        <v>45</v>
      </c>
    </row>
    <row r="3084" spans="1:11" x14ac:dyDescent="0.45">
      <c r="A3084" t="s">
        <v>86</v>
      </c>
      <c r="B3084" t="s">
        <v>6</v>
      </c>
      <c r="C3084" t="s">
        <v>83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1.1477999999999999</v>
      </c>
      <c r="K3084" t="s">
        <v>45</v>
      </c>
    </row>
    <row r="3085" spans="1:11" x14ac:dyDescent="0.45">
      <c r="A3085" t="s">
        <v>86</v>
      </c>
      <c r="B3085" t="s">
        <v>6</v>
      </c>
      <c r="C3085" t="s">
        <v>83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0.15579999999999999</v>
      </c>
      <c r="K3085" t="s">
        <v>24</v>
      </c>
    </row>
    <row r="3086" spans="1:11" x14ac:dyDescent="0.45">
      <c r="A3086" t="s">
        <v>86</v>
      </c>
      <c r="B3086" t="s">
        <v>6</v>
      </c>
      <c r="C3086" t="s">
        <v>83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0.1681</v>
      </c>
      <c r="K3086" t="s">
        <v>24</v>
      </c>
    </row>
    <row r="3087" spans="1:11" x14ac:dyDescent="0.45">
      <c r="A3087" t="s">
        <v>86</v>
      </c>
      <c r="B3087" t="s">
        <v>6</v>
      </c>
      <c r="C3087" t="s">
        <v>83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0.20830000000000001</v>
      </c>
      <c r="K3087" t="s">
        <v>24</v>
      </c>
    </row>
    <row r="3088" spans="1:11" x14ac:dyDescent="0.45">
      <c r="A3088" t="s">
        <v>86</v>
      </c>
      <c r="B3088" t="s">
        <v>6</v>
      </c>
      <c r="C3088" t="s">
        <v>83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0.2762</v>
      </c>
      <c r="K3088" t="s">
        <v>24</v>
      </c>
    </row>
    <row r="3089" spans="1:11" x14ac:dyDescent="0.45">
      <c r="A3089" t="s">
        <v>86</v>
      </c>
      <c r="B3089" t="s">
        <v>6</v>
      </c>
      <c r="C3089" t="s">
        <v>83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0.3669</v>
      </c>
      <c r="K3089" t="s">
        <v>24</v>
      </c>
    </row>
    <row r="3090" spans="1:11" x14ac:dyDescent="0.45">
      <c r="A3090" t="s">
        <v>86</v>
      </c>
      <c r="B3090" t="s">
        <v>6</v>
      </c>
      <c r="C3090" t="s">
        <v>83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0.49299999999999999</v>
      </c>
      <c r="K3090" t="s">
        <v>24</v>
      </c>
    </row>
    <row r="3091" spans="1:11" x14ac:dyDescent="0.45">
      <c r="A3091" t="s">
        <v>86</v>
      </c>
      <c r="B3091" t="s">
        <v>6</v>
      </c>
      <c r="C3091" t="s">
        <v>83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0.48420000000000002</v>
      </c>
      <c r="K3091" t="s">
        <v>24</v>
      </c>
    </row>
    <row r="3092" spans="1:11" x14ac:dyDescent="0.45">
      <c r="A3092" t="s">
        <v>86</v>
      </c>
      <c r="B3092" t="s">
        <v>6</v>
      </c>
      <c r="C3092" t="s">
        <v>83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0.4783</v>
      </c>
      <c r="K3092" t="s">
        <v>24</v>
      </c>
    </row>
    <row r="3093" spans="1:11" x14ac:dyDescent="0.45">
      <c r="A3093" t="s">
        <v>86</v>
      </c>
      <c r="B3093" t="s">
        <v>6</v>
      </c>
      <c r="C3093" t="s">
        <v>83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0.49120000000000003</v>
      </c>
      <c r="K3093" t="s">
        <v>24</v>
      </c>
    </row>
    <row r="3094" spans="1:11" x14ac:dyDescent="0.45">
      <c r="A3094" t="s">
        <v>86</v>
      </c>
      <c r="B3094" t="s">
        <v>6</v>
      </c>
      <c r="C3094" t="s">
        <v>83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0.50470000000000004</v>
      </c>
      <c r="K3094" t="s">
        <v>24</v>
      </c>
    </row>
    <row r="3095" spans="1:11" x14ac:dyDescent="0.45">
      <c r="A3095" t="s">
        <v>86</v>
      </c>
      <c r="B3095" t="s">
        <v>6</v>
      </c>
      <c r="C3095" t="s">
        <v>83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0.51619999999999999</v>
      </c>
      <c r="K3095" t="s">
        <v>24</v>
      </c>
    </row>
    <row r="3096" spans="1:11" x14ac:dyDescent="0.45">
      <c r="A3096" t="s">
        <v>86</v>
      </c>
      <c r="B3096" t="s">
        <v>6</v>
      </c>
      <c r="C3096" t="s">
        <v>83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0.49509999999999998</v>
      </c>
      <c r="K3096" t="s">
        <v>24</v>
      </c>
    </row>
    <row r="3097" spans="1:11" x14ac:dyDescent="0.45">
      <c r="A3097" t="s">
        <v>86</v>
      </c>
      <c r="B3097" t="s">
        <v>6</v>
      </c>
      <c r="C3097" t="s">
        <v>83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0.47589999999999999</v>
      </c>
      <c r="K3097" t="s">
        <v>24</v>
      </c>
    </row>
    <row r="3098" spans="1:11" x14ac:dyDescent="0.45">
      <c r="A3098" t="s">
        <v>86</v>
      </c>
      <c r="B3098" t="s">
        <v>6</v>
      </c>
      <c r="C3098" t="s">
        <v>83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0.43869999999999998</v>
      </c>
      <c r="K3098" t="s">
        <v>24</v>
      </c>
    </row>
    <row r="3099" spans="1:11" x14ac:dyDescent="0.45">
      <c r="A3099" t="s">
        <v>86</v>
      </c>
      <c r="B3099" t="s">
        <v>6</v>
      </c>
      <c r="C3099" t="s">
        <v>83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0.40510000000000002</v>
      </c>
      <c r="K3099" t="s">
        <v>24</v>
      </c>
    </row>
    <row r="3100" spans="1:11" x14ac:dyDescent="0.45">
      <c r="A3100" t="s">
        <v>86</v>
      </c>
      <c r="B3100" t="s">
        <v>6</v>
      </c>
      <c r="C3100" t="s">
        <v>83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0.38800000000000001</v>
      </c>
      <c r="K3100" t="s">
        <v>24</v>
      </c>
    </row>
    <row r="3101" spans="1:11" x14ac:dyDescent="0.45">
      <c r="A3101" t="s">
        <v>86</v>
      </c>
      <c r="B3101" t="s">
        <v>6</v>
      </c>
      <c r="C3101" t="s">
        <v>83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0.37219999999999998</v>
      </c>
      <c r="K3101" t="s">
        <v>24</v>
      </c>
    </row>
    <row r="3102" spans="1:11" x14ac:dyDescent="0.45">
      <c r="A3102" t="s">
        <v>86</v>
      </c>
      <c r="B3102" t="s">
        <v>6</v>
      </c>
      <c r="C3102" t="s">
        <v>83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9.3899999999999997E-2</v>
      </c>
      <c r="K3102" t="s">
        <v>28</v>
      </c>
    </row>
    <row r="3103" spans="1:11" x14ac:dyDescent="0.45">
      <c r="A3103" t="s">
        <v>86</v>
      </c>
      <c r="B3103" t="s">
        <v>6</v>
      </c>
      <c r="C3103" t="s">
        <v>83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0.1134</v>
      </c>
      <c r="K3103" t="s">
        <v>28</v>
      </c>
    </row>
    <row r="3104" spans="1:11" x14ac:dyDescent="0.45">
      <c r="A3104" t="s">
        <v>86</v>
      </c>
      <c r="B3104" t="s">
        <v>6</v>
      </c>
      <c r="C3104" t="s">
        <v>83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0.14119999999999999</v>
      </c>
      <c r="K3104" t="s">
        <v>28</v>
      </c>
    </row>
    <row r="3105" spans="1:11" x14ac:dyDescent="0.45">
      <c r="A3105" t="s">
        <v>86</v>
      </c>
      <c r="B3105" t="s">
        <v>6</v>
      </c>
      <c r="C3105" t="s">
        <v>83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0.17649999999999999</v>
      </c>
      <c r="K3105" t="s">
        <v>28</v>
      </c>
    </row>
    <row r="3106" spans="1:11" x14ac:dyDescent="0.45">
      <c r="A3106" t="s">
        <v>86</v>
      </c>
      <c r="B3106" t="s">
        <v>6</v>
      </c>
      <c r="C3106" t="s">
        <v>83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0.22789999999999999</v>
      </c>
      <c r="K3106" t="s">
        <v>28</v>
      </c>
    </row>
    <row r="3107" spans="1:11" x14ac:dyDescent="0.45">
      <c r="A3107" t="s">
        <v>86</v>
      </c>
      <c r="B3107" t="s">
        <v>6</v>
      </c>
      <c r="C3107" t="s">
        <v>83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0.27750000000000002</v>
      </c>
      <c r="K3107" t="s">
        <v>28</v>
      </c>
    </row>
    <row r="3108" spans="1:11" x14ac:dyDescent="0.45">
      <c r="A3108" t="s">
        <v>86</v>
      </c>
      <c r="B3108" t="s">
        <v>6</v>
      </c>
      <c r="C3108" t="s">
        <v>83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0.2717</v>
      </c>
      <c r="K3108" t="s">
        <v>28</v>
      </c>
    </row>
    <row r="3109" spans="1:11" x14ac:dyDescent="0.45">
      <c r="A3109" t="s">
        <v>86</v>
      </c>
      <c r="B3109" t="s">
        <v>6</v>
      </c>
      <c r="C3109" t="s">
        <v>83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0.26169999999999999</v>
      </c>
      <c r="K3109" t="s">
        <v>28</v>
      </c>
    </row>
    <row r="3110" spans="1:11" x14ac:dyDescent="0.45">
      <c r="A3110" t="s">
        <v>86</v>
      </c>
      <c r="B3110" t="s">
        <v>6</v>
      </c>
      <c r="C3110" t="s">
        <v>83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0.28820000000000001</v>
      </c>
      <c r="K3110" t="s">
        <v>28</v>
      </c>
    </row>
    <row r="3111" spans="1:11" x14ac:dyDescent="0.45">
      <c r="A3111" t="s">
        <v>86</v>
      </c>
      <c r="B3111" t="s">
        <v>6</v>
      </c>
      <c r="C3111" t="s">
        <v>83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0.3075</v>
      </c>
      <c r="K3111" t="s">
        <v>28</v>
      </c>
    </row>
    <row r="3112" spans="1:11" x14ac:dyDescent="0.45">
      <c r="A3112" t="s">
        <v>86</v>
      </c>
      <c r="B3112" t="s">
        <v>6</v>
      </c>
      <c r="C3112" t="s">
        <v>83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0.32979999999999998</v>
      </c>
      <c r="K3112" t="s">
        <v>28</v>
      </c>
    </row>
    <row r="3113" spans="1:11" x14ac:dyDescent="0.45">
      <c r="A3113" t="s">
        <v>86</v>
      </c>
      <c r="B3113" t="s">
        <v>6</v>
      </c>
      <c r="C3113" t="s">
        <v>83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0.34129999999999999</v>
      </c>
      <c r="K3113" t="s">
        <v>28</v>
      </c>
    </row>
    <row r="3114" spans="1:11" x14ac:dyDescent="0.45">
      <c r="A3114" t="s">
        <v>86</v>
      </c>
      <c r="B3114" t="s">
        <v>6</v>
      </c>
      <c r="C3114" t="s">
        <v>83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0.35370000000000001</v>
      </c>
      <c r="K3114" t="s">
        <v>28</v>
      </c>
    </row>
    <row r="3115" spans="1:11" x14ac:dyDescent="0.45">
      <c r="A3115" t="s">
        <v>86</v>
      </c>
      <c r="B3115" t="s">
        <v>6</v>
      </c>
      <c r="C3115" t="s">
        <v>83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0.35120000000000001</v>
      </c>
      <c r="K3115" t="s">
        <v>28</v>
      </c>
    </row>
    <row r="3116" spans="1:11" x14ac:dyDescent="0.45">
      <c r="A3116" t="s">
        <v>86</v>
      </c>
      <c r="B3116" t="s">
        <v>6</v>
      </c>
      <c r="C3116" t="s">
        <v>83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0.35289999999999999</v>
      </c>
      <c r="K3116" t="s">
        <v>28</v>
      </c>
    </row>
    <row r="3117" spans="1:11" x14ac:dyDescent="0.45">
      <c r="A3117" t="s">
        <v>86</v>
      </c>
      <c r="B3117" t="s">
        <v>6</v>
      </c>
      <c r="C3117" t="s">
        <v>83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0.36020000000000002</v>
      </c>
      <c r="K3117" t="s">
        <v>28</v>
      </c>
    </row>
    <row r="3118" spans="1:11" x14ac:dyDescent="0.45">
      <c r="A3118" t="s">
        <v>86</v>
      </c>
      <c r="B3118" t="s">
        <v>6</v>
      </c>
      <c r="C3118" t="s">
        <v>83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0.36870000000000003</v>
      </c>
      <c r="K3118" t="s">
        <v>28</v>
      </c>
    </row>
    <row r="3119" spans="1:11" x14ac:dyDescent="0.45">
      <c r="A3119" t="s">
        <v>86</v>
      </c>
      <c r="B3119" t="s">
        <v>6</v>
      </c>
      <c r="C3119" t="s">
        <v>83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1.0699999999999999E-2</v>
      </c>
      <c r="K3119" t="s">
        <v>27</v>
      </c>
    </row>
    <row r="3120" spans="1:11" x14ac:dyDescent="0.45">
      <c r="A3120" t="s">
        <v>86</v>
      </c>
      <c r="B3120" t="s">
        <v>6</v>
      </c>
      <c r="C3120" t="s">
        <v>83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1.7899999999999999E-2</v>
      </c>
      <c r="K3120" t="s">
        <v>27</v>
      </c>
    </row>
    <row r="3121" spans="1:11" x14ac:dyDescent="0.45">
      <c r="A3121" t="s">
        <v>86</v>
      </c>
      <c r="B3121" t="s">
        <v>6</v>
      </c>
      <c r="C3121" t="s">
        <v>83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3.4599999999999999E-2</v>
      </c>
      <c r="K3121" t="s">
        <v>27</v>
      </c>
    </row>
    <row r="3122" spans="1:11" x14ac:dyDescent="0.45">
      <c r="A3122" t="s">
        <v>86</v>
      </c>
      <c r="B3122" t="s">
        <v>6</v>
      </c>
      <c r="C3122" t="s">
        <v>83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6.1800000000000001E-2</v>
      </c>
      <c r="K3122" t="s">
        <v>27</v>
      </c>
    </row>
    <row r="3123" spans="1:11" x14ac:dyDescent="0.45">
      <c r="A3123" t="s">
        <v>86</v>
      </c>
      <c r="B3123" t="s">
        <v>6</v>
      </c>
      <c r="C3123" t="s">
        <v>83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0.113</v>
      </c>
      <c r="K3123" t="s">
        <v>27</v>
      </c>
    </row>
    <row r="3124" spans="1:11" x14ac:dyDescent="0.45">
      <c r="A3124" t="s">
        <v>86</v>
      </c>
      <c r="B3124" t="s">
        <v>6</v>
      </c>
      <c r="C3124" t="s">
        <v>83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0.13589999999999999</v>
      </c>
      <c r="K3124" t="s">
        <v>27</v>
      </c>
    </row>
    <row r="3125" spans="1:11" x14ac:dyDescent="0.45">
      <c r="A3125" t="s">
        <v>86</v>
      </c>
      <c r="B3125" t="s">
        <v>6</v>
      </c>
      <c r="C3125" t="s">
        <v>83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0.12970000000000001</v>
      </c>
      <c r="K3125" t="s">
        <v>27</v>
      </c>
    </row>
    <row r="3126" spans="1:11" x14ac:dyDescent="0.45">
      <c r="A3126" t="s">
        <v>86</v>
      </c>
      <c r="B3126" t="s">
        <v>6</v>
      </c>
      <c r="C3126" t="s">
        <v>83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0.1242</v>
      </c>
      <c r="K3126" t="s">
        <v>27</v>
      </c>
    </row>
    <row r="3127" spans="1:11" x14ac:dyDescent="0.45">
      <c r="A3127" t="s">
        <v>86</v>
      </c>
      <c r="B3127" t="s">
        <v>6</v>
      </c>
      <c r="C3127" t="s">
        <v>83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0.1241</v>
      </c>
      <c r="K3127" t="s">
        <v>27</v>
      </c>
    </row>
    <row r="3128" spans="1:11" x14ac:dyDescent="0.45">
      <c r="A3128" t="s">
        <v>86</v>
      </c>
      <c r="B3128" t="s">
        <v>6</v>
      </c>
      <c r="C3128" t="s">
        <v>83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0.12479999999999999</v>
      </c>
      <c r="K3128" t="s">
        <v>27</v>
      </c>
    </row>
    <row r="3129" spans="1:11" x14ac:dyDescent="0.45">
      <c r="A3129" t="s">
        <v>86</v>
      </c>
      <c r="B3129" t="s">
        <v>6</v>
      </c>
      <c r="C3129" t="s">
        <v>83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0.12470000000000001</v>
      </c>
      <c r="K3129" t="s">
        <v>27</v>
      </c>
    </row>
    <row r="3130" spans="1:11" x14ac:dyDescent="0.45">
      <c r="A3130" t="s">
        <v>86</v>
      </c>
      <c r="B3130" t="s">
        <v>6</v>
      </c>
      <c r="C3130" t="s">
        <v>83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0.1216</v>
      </c>
      <c r="K3130" t="s">
        <v>27</v>
      </c>
    </row>
    <row r="3131" spans="1:11" x14ac:dyDescent="0.45">
      <c r="A3131" t="s">
        <v>86</v>
      </c>
      <c r="B3131" t="s">
        <v>6</v>
      </c>
      <c r="C3131" t="s">
        <v>83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0.1198</v>
      </c>
      <c r="K3131" t="s">
        <v>27</v>
      </c>
    </row>
    <row r="3132" spans="1:11" x14ac:dyDescent="0.45">
      <c r="A3132" t="s">
        <v>86</v>
      </c>
      <c r="B3132" t="s">
        <v>6</v>
      </c>
      <c r="C3132" t="s">
        <v>83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0.11550000000000001</v>
      </c>
      <c r="K3132" t="s">
        <v>27</v>
      </c>
    </row>
    <row r="3133" spans="1:11" x14ac:dyDescent="0.45">
      <c r="A3133" t="s">
        <v>86</v>
      </c>
      <c r="B3133" t="s">
        <v>6</v>
      </c>
      <c r="C3133" t="s">
        <v>83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0.11260000000000001</v>
      </c>
      <c r="K3133" t="s">
        <v>27</v>
      </c>
    </row>
    <row r="3134" spans="1:11" x14ac:dyDescent="0.45">
      <c r="A3134" t="s">
        <v>86</v>
      </c>
      <c r="B3134" t="s">
        <v>6</v>
      </c>
      <c r="C3134" t="s">
        <v>83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0.1134</v>
      </c>
      <c r="K3134" t="s">
        <v>27</v>
      </c>
    </row>
    <row r="3135" spans="1:11" x14ac:dyDescent="0.45">
      <c r="A3135" t="s">
        <v>86</v>
      </c>
      <c r="B3135" t="s">
        <v>6</v>
      </c>
      <c r="C3135" t="s">
        <v>83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0.11459999999999999</v>
      </c>
      <c r="K3135" t="s">
        <v>27</v>
      </c>
    </row>
    <row r="3136" spans="1:11" x14ac:dyDescent="0.45">
      <c r="A3136" t="s">
        <v>86</v>
      </c>
      <c r="B3136" t="s">
        <v>6</v>
      </c>
      <c r="C3136" t="s">
        <v>83</v>
      </c>
      <c r="D3136" t="s">
        <v>84</v>
      </c>
      <c r="E3136" t="s">
        <v>25</v>
      </c>
      <c r="F3136" t="s">
        <v>84</v>
      </c>
      <c r="G3136" t="s">
        <v>26</v>
      </c>
      <c r="H3136" t="s">
        <v>81</v>
      </c>
      <c r="I3136">
        <v>2020</v>
      </c>
      <c r="J3136">
        <v>4.7999999999999996E-3</v>
      </c>
      <c r="K3136" t="s">
        <v>84</v>
      </c>
    </row>
    <row r="3137" spans="1:11" x14ac:dyDescent="0.45">
      <c r="A3137" t="s">
        <v>86</v>
      </c>
      <c r="B3137" t="s">
        <v>6</v>
      </c>
      <c r="C3137" t="s">
        <v>83</v>
      </c>
      <c r="D3137" t="s">
        <v>84</v>
      </c>
      <c r="E3137" t="s">
        <v>25</v>
      </c>
      <c r="F3137" t="s">
        <v>84</v>
      </c>
      <c r="G3137" t="s">
        <v>26</v>
      </c>
      <c r="H3137" t="s">
        <v>81</v>
      </c>
      <c r="I3137">
        <v>2025</v>
      </c>
      <c r="J3137">
        <v>2.0400000000000001E-2</v>
      </c>
      <c r="K3137" t="s">
        <v>84</v>
      </c>
    </row>
    <row r="3138" spans="1:11" x14ac:dyDescent="0.45">
      <c r="A3138" t="s">
        <v>86</v>
      </c>
      <c r="B3138" t="s">
        <v>6</v>
      </c>
      <c r="C3138" t="s">
        <v>83</v>
      </c>
      <c r="D3138" t="s">
        <v>84</v>
      </c>
      <c r="E3138" t="s">
        <v>25</v>
      </c>
      <c r="F3138" t="s">
        <v>84</v>
      </c>
      <c r="G3138" t="s">
        <v>26</v>
      </c>
      <c r="H3138" t="s">
        <v>81</v>
      </c>
      <c r="I3138">
        <v>2030</v>
      </c>
      <c r="J3138">
        <v>4.4900000000000002E-2</v>
      </c>
      <c r="K3138" t="s">
        <v>84</v>
      </c>
    </row>
    <row r="3139" spans="1:11" x14ac:dyDescent="0.45">
      <c r="A3139" t="s">
        <v>86</v>
      </c>
      <c r="B3139" t="s">
        <v>6</v>
      </c>
      <c r="C3139" t="s">
        <v>83</v>
      </c>
      <c r="D3139" t="s">
        <v>84</v>
      </c>
      <c r="E3139" t="s">
        <v>25</v>
      </c>
      <c r="F3139" t="s">
        <v>84</v>
      </c>
      <c r="G3139" t="s">
        <v>26</v>
      </c>
      <c r="H3139" t="s">
        <v>81</v>
      </c>
      <c r="I3139">
        <v>2035</v>
      </c>
      <c r="J3139">
        <v>7.0000000000000007E-2</v>
      </c>
      <c r="K3139" t="s">
        <v>84</v>
      </c>
    </row>
    <row r="3140" spans="1:11" x14ac:dyDescent="0.45">
      <c r="A3140" t="s">
        <v>86</v>
      </c>
      <c r="B3140" t="s">
        <v>6</v>
      </c>
      <c r="C3140" t="s">
        <v>83</v>
      </c>
      <c r="D3140" t="s">
        <v>84</v>
      </c>
      <c r="E3140" t="s">
        <v>25</v>
      </c>
      <c r="F3140" t="s">
        <v>84</v>
      </c>
      <c r="G3140" t="s">
        <v>26</v>
      </c>
      <c r="H3140" t="s">
        <v>81</v>
      </c>
      <c r="I3140">
        <v>2040</v>
      </c>
      <c r="J3140">
        <v>9.2799999999999994E-2</v>
      </c>
      <c r="K3140" t="s">
        <v>84</v>
      </c>
    </row>
    <row r="3141" spans="1:11" x14ac:dyDescent="0.45">
      <c r="A3141" t="s">
        <v>86</v>
      </c>
      <c r="B3141" t="s">
        <v>6</v>
      </c>
      <c r="C3141" t="s">
        <v>83</v>
      </c>
      <c r="D3141" t="s">
        <v>84</v>
      </c>
      <c r="E3141" t="s">
        <v>25</v>
      </c>
      <c r="F3141" t="s">
        <v>84</v>
      </c>
      <c r="G3141" t="s">
        <v>26</v>
      </c>
      <c r="H3141" t="s">
        <v>81</v>
      </c>
      <c r="I3141">
        <v>2045</v>
      </c>
      <c r="J3141">
        <v>7.7600000000000002E-2</v>
      </c>
      <c r="K3141" t="s">
        <v>84</v>
      </c>
    </row>
    <row r="3142" spans="1:11" x14ac:dyDescent="0.45">
      <c r="A3142" t="s">
        <v>86</v>
      </c>
      <c r="B3142" t="s">
        <v>6</v>
      </c>
      <c r="C3142" t="s">
        <v>83</v>
      </c>
      <c r="D3142" t="s">
        <v>84</v>
      </c>
      <c r="E3142" t="s">
        <v>25</v>
      </c>
      <c r="F3142" t="s">
        <v>84</v>
      </c>
      <c r="G3142" t="s">
        <v>26</v>
      </c>
      <c r="H3142" t="s">
        <v>81</v>
      </c>
      <c r="I3142">
        <v>2050</v>
      </c>
      <c r="J3142">
        <v>6.8099999999999994E-2</v>
      </c>
      <c r="K3142" t="s">
        <v>84</v>
      </c>
    </row>
    <row r="3143" spans="1:11" x14ac:dyDescent="0.45">
      <c r="A3143" t="s">
        <v>86</v>
      </c>
      <c r="B3143" t="s">
        <v>6</v>
      </c>
      <c r="C3143" t="s">
        <v>83</v>
      </c>
      <c r="D3143" t="s">
        <v>84</v>
      </c>
      <c r="E3143" t="s">
        <v>25</v>
      </c>
      <c r="F3143" t="s">
        <v>84</v>
      </c>
      <c r="G3143" t="s">
        <v>26</v>
      </c>
      <c r="H3143" t="s">
        <v>81</v>
      </c>
      <c r="I3143">
        <v>2055</v>
      </c>
      <c r="J3143">
        <v>6.8199999999999997E-2</v>
      </c>
      <c r="K3143" t="s">
        <v>84</v>
      </c>
    </row>
    <row r="3144" spans="1:11" x14ac:dyDescent="0.45">
      <c r="A3144" t="s">
        <v>86</v>
      </c>
      <c r="B3144" t="s">
        <v>6</v>
      </c>
      <c r="C3144" t="s">
        <v>83</v>
      </c>
      <c r="D3144" t="s">
        <v>84</v>
      </c>
      <c r="E3144" t="s">
        <v>25</v>
      </c>
      <c r="F3144" t="s">
        <v>84</v>
      </c>
      <c r="G3144" t="s">
        <v>26</v>
      </c>
      <c r="H3144" t="s">
        <v>81</v>
      </c>
      <c r="I3144">
        <v>2060</v>
      </c>
      <c r="J3144">
        <v>8.9399999999999993E-2</v>
      </c>
      <c r="K3144" t="s">
        <v>84</v>
      </c>
    </row>
    <row r="3145" spans="1:11" x14ac:dyDescent="0.45">
      <c r="A3145" t="s">
        <v>86</v>
      </c>
      <c r="B3145" t="s">
        <v>6</v>
      </c>
      <c r="C3145" t="s">
        <v>83</v>
      </c>
      <c r="D3145" t="s">
        <v>84</v>
      </c>
      <c r="E3145" t="s">
        <v>25</v>
      </c>
      <c r="F3145" t="s">
        <v>84</v>
      </c>
      <c r="G3145" t="s">
        <v>26</v>
      </c>
      <c r="H3145" t="s">
        <v>81</v>
      </c>
      <c r="I3145">
        <v>2065</v>
      </c>
      <c r="J3145">
        <v>9.2600000000000002E-2</v>
      </c>
      <c r="K3145" t="s">
        <v>84</v>
      </c>
    </row>
    <row r="3146" spans="1:11" x14ac:dyDescent="0.45">
      <c r="A3146" t="s">
        <v>86</v>
      </c>
      <c r="B3146" t="s">
        <v>6</v>
      </c>
      <c r="C3146" t="s">
        <v>83</v>
      </c>
      <c r="D3146" t="s">
        <v>84</v>
      </c>
      <c r="E3146" t="s">
        <v>25</v>
      </c>
      <c r="F3146" t="s">
        <v>84</v>
      </c>
      <c r="G3146" t="s">
        <v>26</v>
      </c>
      <c r="H3146" t="s">
        <v>81</v>
      </c>
      <c r="I3146">
        <v>2070</v>
      </c>
      <c r="J3146">
        <v>8.7900000000000006E-2</v>
      </c>
      <c r="K3146" t="s">
        <v>84</v>
      </c>
    </row>
    <row r="3147" spans="1:11" x14ac:dyDescent="0.45">
      <c r="A3147" t="s">
        <v>86</v>
      </c>
      <c r="B3147" t="s">
        <v>6</v>
      </c>
      <c r="C3147" t="s">
        <v>83</v>
      </c>
      <c r="D3147" t="s">
        <v>84</v>
      </c>
      <c r="E3147" t="s">
        <v>25</v>
      </c>
      <c r="F3147" t="s">
        <v>84</v>
      </c>
      <c r="G3147" t="s">
        <v>26</v>
      </c>
      <c r="H3147" t="s">
        <v>81</v>
      </c>
      <c r="I3147">
        <v>2075</v>
      </c>
      <c r="J3147">
        <v>9.9599999999999994E-2</v>
      </c>
      <c r="K3147" t="s">
        <v>84</v>
      </c>
    </row>
    <row r="3148" spans="1:11" x14ac:dyDescent="0.45">
      <c r="A3148" t="s">
        <v>86</v>
      </c>
      <c r="B3148" t="s">
        <v>6</v>
      </c>
      <c r="C3148" t="s">
        <v>83</v>
      </c>
      <c r="D3148" t="s">
        <v>84</v>
      </c>
      <c r="E3148" t="s">
        <v>25</v>
      </c>
      <c r="F3148" t="s">
        <v>84</v>
      </c>
      <c r="G3148" t="s">
        <v>26</v>
      </c>
      <c r="H3148" t="s">
        <v>81</v>
      </c>
      <c r="I3148">
        <v>2080</v>
      </c>
      <c r="J3148">
        <v>0.1076</v>
      </c>
      <c r="K3148" t="s">
        <v>84</v>
      </c>
    </row>
    <row r="3149" spans="1:11" x14ac:dyDescent="0.45">
      <c r="A3149" t="s">
        <v>86</v>
      </c>
      <c r="B3149" t="s">
        <v>6</v>
      </c>
      <c r="C3149" t="s">
        <v>83</v>
      </c>
      <c r="D3149" t="s">
        <v>84</v>
      </c>
      <c r="E3149" t="s">
        <v>25</v>
      </c>
      <c r="F3149" t="s">
        <v>84</v>
      </c>
      <c r="G3149" t="s">
        <v>26</v>
      </c>
      <c r="H3149" t="s">
        <v>81</v>
      </c>
      <c r="I3149">
        <v>2085</v>
      </c>
      <c r="J3149">
        <v>0.11650000000000001</v>
      </c>
      <c r="K3149" t="s">
        <v>84</v>
      </c>
    </row>
    <row r="3150" spans="1:11" x14ac:dyDescent="0.45">
      <c r="A3150" t="s">
        <v>86</v>
      </c>
      <c r="B3150" t="s">
        <v>6</v>
      </c>
      <c r="C3150" t="s">
        <v>83</v>
      </c>
      <c r="D3150" t="s">
        <v>84</v>
      </c>
      <c r="E3150" t="s">
        <v>25</v>
      </c>
      <c r="F3150" t="s">
        <v>84</v>
      </c>
      <c r="G3150" t="s">
        <v>26</v>
      </c>
      <c r="H3150" t="s">
        <v>81</v>
      </c>
      <c r="I3150">
        <v>2090</v>
      </c>
      <c r="J3150">
        <v>0.12180000000000001</v>
      </c>
      <c r="K3150" t="s">
        <v>84</v>
      </c>
    </row>
    <row r="3151" spans="1:11" x14ac:dyDescent="0.45">
      <c r="A3151" t="s">
        <v>86</v>
      </c>
      <c r="B3151" t="s">
        <v>6</v>
      </c>
      <c r="C3151" t="s">
        <v>83</v>
      </c>
      <c r="D3151" t="s">
        <v>84</v>
      </c>
      <c r="E3151" t="s">
        <v>25</v>
      </c>
      <c r="F3151" t="s">
        <v>84</v>
      </c>
      <c r="G3151" t="s">
        <v>26</v>
      </c>
      <c r="H3151" t="s">
        <v>81</v>
      </c>
      <c r="I3151">
        <v>2095</v>
      </c>
      <c r="J3151">
        <v>0.1226</v>
      </c>
      <c r="K3151" t="s">
        <v>84</v>
      </c>
    </row>
    <row r="3152" spans="1:11" x14ac:dyDescent="0.45">
      <c r="A3152" t="s">
        <v>86</v>
      </c>
      <c r="B3152" t="s">
        <v>6</v>
      </c>
      <c r="C3152" t="s">
        <v>83</v>
      </c>
      <c r="D3152" t="s">
        <v>84</v>
      </c>
      <c r="E3152" t="s">
        <v>25</v>
      </c>
      <c r="F3152" t="s">
        <v>84</v>
      </c>
      <c r="G3152" t="s">
        <v>26</v>
      </c>
      <c r="H3152" t="s">
        <v>81</v>
      </c>
      <c r="I3152">
        <v>2100</v>
      </c>
      <c r="J3152">
        <v>0.1229</v>
      </c>
      <c r="K3152" t="s">
        <v>84</v>
      </c>
    </row>
    <row r="3153" spans="1:12" x14ac:dyDescent="0.45">
      <c r="A3153" t="s">
        <v>86</v>
      </c>
      <c r="B3153" t="s">
        <v>6</v>
      </c>
      <c r="C3153" t="s">
        <v>83</v>
      </c>
      <c r="D3153" t="s">
        <v>52</v>
      </c>
      <c r="E3153" t="s">
        <v>25</v>
      </c>
      <c r="F3153" t="s">
        <v>52</v>
      </c>
      <c r="G3153" t="s">
        <v>70</v>
      </c>
      <c r="I3153">
        <v>2020</v>
      </c>
      <c r="J3153">
        <v>0.32640000000000002</v>
      </c>
      <c r="K3153" t="s">
        <v>52</v>
      </c>
      <c r="L3153">
        <v>94</v>
      </c>
    </row>
    <row r="3154" spans="1:12" x14ac:dyDescent="0.45">
      <c r="A3154" t="s">
        <v>86</v>
      </c>
      <c r="B3154" t="s">
        <v>6</v>
      </c>
      <c r="C3154" t="s">
        <v>83</v>
      </c>
      <c r="D3154" t="s">
        <v>52</v>
      </c>
      <c r="E3154" t="s">
        <v>25</v>
      </c>
      <c r="F3154" t="s">
        <v>52</v>
      </c>
      <c r="G3154" t="s">
        <v>70</v>
      </c>
      <c r="I3154">
        <v>2025</v>
      </c>
      <c r="J3154">
        <v>0.30609999999999998</v>
      </c>
      <c r="K3154" t="s">
        <v>52</v>
      </c>
      <c r="L3154">
        <v>94</v>
      </c>
    </row>
    <row r="3155" spans="1:12" x14ac:dyDescent="0.45">
      <c r="A3155" t="s">
        <v>86</v>
      </c>
      <c r="B3155" t="s">
        <v>6</v>
      </c>
      <c r="C3155" t="s">
        <v>83</v>
      </c>
      <c r="D3155" t="s">
        <v>52</v>
      </c>
      <c r="E3155" t="s">
        <v>25</v>
      </c>
      <c r="F3155" t="s">
        <v>52</v>
      </c>
      <c r="G3155" t="s">
        <v>70</v>
      </c>
      <c r="I3155">
        <v>2030</v>
      </c>
      <c r="J3155">
        <v>0.29160000000000003</v>
      </c>
      <c r="K3155" t="s">
        <v>52</v>
      </c>
      <c r="L3155">
        <v>94</v>
      </c>
    </row>
    <row r="3156" spans="1:12" x14ac:dyDescent="0.45">
      <c r="A3156" t="s">
        <v>86</v>
      </c>
      <c r="B3156" t="s">
        <v>6</v>
      </c>
      <c r="C3156" t="s">
        <v>83</v>
      </c>
      <c r="D3156" t="s">
        <v>52</v>
      </c>
      <c r="E3156" t="s">
        <v>25</v>
      </c>
      <c r="F3156" t="s">
        <v>52</v>
      </c>
      <c r="G3156" t="s">
        <v>70</v>
      </c>
      <c r="I3156">
        <v>2035</v>
      </c>
      <c r="J3156">
        <v>0.26669999999999999</v>
      </c>
      <c r="K3156" t="s">
        <v>52</v>
      </c>
      <c r="L3156">
        <v>94</v>
      </c>
    </row>
    <row r="3157" spans="1:12" x14ac:dyDescent="0.45">
      <c r="A3157" t="s">
        <v>86</v>
      </c>
      <c r="B3157" t="s">
        <v>6</v>
      </c>
      <c r="C3157" t="s">
        <v>83</v>
      </c>
      <c r="D3157" t="s">
        <v>52</v>
      </c>
      <c r="E3157" t="s">
        <v>25</v>
      </c>
      <c r="F3157" t="s">
        <v>52</v>
      </c>
      <c r="G3157" t="s">
        <v>70</v>
      </c>
      <c r="I3157">
        <v>2040</v>
      </c>
      <c r="J3157">
        <v>0.18360000000000001</v>
      </c>
      <c r="K3157" t="s">
        <v>52</v>
      </c>
      <c r="L3157">
        <v>94</v>
      </c>
    </row>
    <row r="3158" spans="1:12" x14ac:dyDescent="0.45">
      <c r="A3158" t="s">
        <v>86</v>
      </c>
      <c r="B3158" t="s">
        <v>6</v>
      </c>
      <c r="C3158" t="s">
        <v>83</v>
      </c>
      <c r="D3158" t="s">
        <v>52</v>
      </c>
      <c r="E3158" t="s">
        <v>25</v>
      </c>
      <c r="F3158" t="s">
        <v>52</v>
      </c>
      <c r="G3158" t="s">
        <v>70</v>
      </c>
      <c r="I3158">
        <v>2045</v>
      </c>
      <c r="J3158">
        <v>8.6099999999999996E-2</v>
      </c>
      <c r="K3158" t="s">
        <v>52</v>
      </c>
      <c r="L3158">
        <v>94</v>
      </c>
    </row>
    <row r="3159" spans="1:12" x14ac:dyDescent="0.45">
      <c r="A3159" t="s">
        <v>86</v>
      </c>
      <c r="B3159" t="s">
        <v>6</v>
      </c>
      <c r="C3159" t="s">
        <v>83</v>
      </c>
      <c r="D3159" t="s">
        <v>52</v>
      </c>
      <c r="E3159" t="s">
        <v>25</v>
      </c>
      <c r="F3159" t="s">
        <v>52</v>
      </c>
      <c r="G3159" t="s">
        <v>70</v>
      </c>
      <c r="I3159">
        <v>2050</v>
      </c>
      <c r="J3159">
        <v>1.9400000000000001E-2</v>
      </c>
      <c r="K3159" t="s">
        <v>52</v>
      </c>
      <c r="L3159">
        <v>94</v>
      </c>
    </row>
    <row r="3160" spans="1:12" x14ac:dyDescent="0.45">
      <c r="A3160" t="s">
        <v>86</v>
      </c>
      <c r="B3160" t="s">
        <v>6</v>
      </c>
      <c r="C3160" t="s">
        <v>83</v>
      </c>
      <c r="D3160" t="s">
        <v>52</v>
      </c>
      <c r="E3160" t="s">
        <v>25</v>
      </c>
      <c r="F3160" t="s">
        <v>52</v>
      </c>
      <c r="G3160" t="s">
        <v>70</v>
      </c>
      <c r="I3160">
        <v>2055</v>
      </c>
      <c r="J3160">
        <v>2.0999999999999999E-3</v>
      </c>
      <c r="K3160" t="s">
        <v>52</v>
      </c>
      <c r="L3160">
        <v>94</v>
      </c>
    </row>
    <row r="3161" spans="1:12" x14ac:dyDescent="0.45">
      <c r="A3161" t="s">
        <v>86</v>
      </c>
      <c r="B3161" t="s">
        <v>6</v>
      </c>
      <c r="C3161" t="s">
        <v>83</v>
      </c>
      <c r="D3161" t="s">
        <v>52</v>
      </c>
      <c r="E3161" t="s">
        <v>25</v>
      </c>
      <c r="F3161" t="s">
        <v>52</v>
      </c>
      <c r="G3161" t="s">
        <v>70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86</v>
      </c>
      <c r="B3162" t="s">
        <v>6</v>
      </c>
      <c r="C3162" t="s">
        <v>83</v>
      </c>
      <c r="D3162" t="s">
        <v>52</v>
      </c>
      <c r="E3162" t="s">
        <v>25</v>
      </c>
      <c r="F3162" t="s">
        <v>52</v>
      </c>
      <c r="G3162" t="s">
        <v>70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86</v>
      </c>
      <c r="B3163" t="s">
        <v>6</v>
      </c>
      <c r="C3163" t="s">
        <v>83</v>
      </c>
      <c r="D3163" t="s">
        <v>52</v>
      </c>
      <c r="E3163" t="s">
        <v>25</v>
      </c>
      <c r="F3163" t="s">
        <v>52</v>
      </c>
      <c r="G3163" t="s">
        <v>70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86</v>
      </c>
      <c r="B3164" t="s">
        <v>6</v>
      </c>
      <c r="C3164" t="s">
        <v>83</v>
      </c>
      <c r="D3164" t="s">
        <v>52</v>
      </c>
      <c r="E3164" t="s">
        <v>25</v>
      </c>
      <c r="F3164" t="s">
        <v>52</v>
      </c>
      <c r="G3164" t="s">
        <v>70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86</v>
      </c>
      <c r="B3165" t="s">
        <v>6</v>
      </c>
      <c r="C3165" t="s">
        <v>83</v>
      </c>
      <c r="D3165" t="s">
        <v>52</v>
      </c>
      <c r="E3165" t="s">
        <v>25</v>
      </c>
      <c r="F3165" t="s">
        <v>52</v>
      </c>
      <c r="G3165" t="s">
        <v>70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86</v>
      </c>
      <c r="B3166" t="s">
        <v>6</v>
      </c>
      <c r="C3166" t="s">
        <v>83</v>
      </c>
      <c r="D3166" t="s">
        <v>52</v>
      </c>
      <c r="E3166" t="s">
        <v>25</v>
      </c>
      <c r="F3166" t="s">
        <v>52</v>
      </c>
      <c r="G3166" t="s">
        <v>70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86</v>
      </c>
      <c r="B3167" t="s">
        <v>6</v>
      </c>
      <c r="C3167" t="s">
        <v>83</v>
      </c>
      <c r="D3167" t="s">
        <v>52</v>
      </c>
      <c r="E3167" t="s">
        <v>25</v>
      </c>
      <c r="F3167" t="s">
        <v>52</v>
      </c>
      <c r="G3167" t="s">
        <v>70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86</v>
      </c>
      <c r="B3168" t="s">
        <v>6</v>
      </c>
      <c r="C3168" t="s">
        <v>83</v>
      </c>
      <c r="D3168" t="s">
        <v>52</v>
      </c>
      <c r="E3168" t="s">
        <v>25</v>
      </c>
      <c r="F3168" t="s">
        <v>52</v>
      </c>
      <c r="G3168" t="s">
        <v>70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86</v>
      </c>
      <c r="B3169" t="s">
        <v>6</v>
      </c>
      <c r="C3169" t="s">
        <v>83</v>
      </c>
      <c r="D3169" t="s">
        <v>52</v>
      </c>
      <c r="E3169" t="s">
        <v>25</v>
      </c>
      <c r="F3169" t="s">
        <v>52</v>
      </c>
      <c r="G3169" t="s">
        <v>70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86</v>
      </c>
      <c r="B3170" t="s">
        <v>6</v>
      </c>
      <c r="C3170" t="s">
        <v>83</v>
      </c>
      <c r="D3170" t="s">
        <v>53</v>
      </c>
      <c r="E3170" t="s">
        <v>25</v>
      </c>
      <c r="F3170" t="s">
        <v>53</v>
      </c>
      <c r="G3170" t="s">
        <v>70</v>
      </c>
      <c r="I3170">
        <v>2020</v>
      </c>
      <c r="J3170">
        <v>0.10829999999999999</v>
      </c>
      <c r="K3170" t="s">
        <v>53</v>
      </c>
      <c r="L3170">
        <v>55</v>
      </c>
    </row>
    <row r="3171" spans="1:12" x14ac:dyDescent="0.45">
      <c r="A3171" t="s">
        <v>86</v>
      </c>
      <c r="B3171" t="s">
        <v>6</v>
      </c>
      <c r="C3171" t="s">
        <v>83</v>
      </c>
      <c r="D3171" t="s">
        <v>53</v>
      </c>
      <c r="E3171" t="s">
        <v>25</v>
      </c>
      <c r="F3171" t="s">
        <v>53</v>
      </c>
      <c r="G3171" t="s">
        <v>70</v>
      </c>
      <c r="I3171">
        <v>2025</v>
      </c>
      <c r="J3171">
        <v>0.13200000000000001</v>
      </c>
      <c r="K3171" t="s">
        <v>53</v>
      </c>
      <c r="L3171">
        <v>55</v>
      </c>
    </row>
    <row r="3172" spans="1:12" x14ac:dyDescent="0.45">
      <c r="A3172" t="s">
        <v>86</v>
      </c>
      <c r="B3172" t="s">
        <v>6</v>
      </c>
      <c r="C3172" t="s">
        <v>83</v>
      </c>
      <c r="D3172" t="s">
        <v>53</v>
      </c>
      <c r="E3172" t="s">
        <v>25</v>
      </c>
      <c r="F3172" t="s">
        <v>53</v>
      </c>
      <c r="G3172" t="s">
        <v>70</v>
      </c>
      <c r="I3172">
        <v>2030</v>
      </c>
      <c r="J3172">
        <v>0.19259999999999999</v>
      </c>
      <c r="K3172" t="s">
        <v>53</v>
      </c>
      <c r="L3172">
        <v>55</v>
      </c>
    </row>
    <row r="3173" spans="1:12" x14ac:dyDescent="0.45">
      <c r="A3173" t="s">
        <v>86</v>
      </c>
      <c r="B3173" t="s">
        <v>6</v>
      </c>
      <c r="C3173" t="s">
        <v>83</v>
      </c>
      <c r="D3173" t="s">
        <v>53</v>
      </c>
      <c r="E3173" t="s">
        <v>25</v>
      </c>
      <c r="F3173" t="s">
        <v>53</v>
      </c>
      <c r="G3173" t="s">
        <v>70</v>
      </c>
      <c r="I3173">
        <v>2035</v>
      </c>
      <c r="J3173">
        <v>0.2621</v>
      </c>
      <c r="K3173" t="s">
        <v>53</v>
      </c>
      <c r="L3173">
        <v>55</v>
      </c>
    </row>
    <row r="3174" spans="1:12" x14ac:dyDescent="0.45">
      <c r="A3174" t="s">
        <v>86</v>
      </c>
      <c r="B3174" t="s">
        <v>6</v>
      </c>
      <c r="C3174" t="s">
        <v>83</v>
      </c>
      <c r="D3174" t="s">
        <v>53</v>
      </c>
      <c r="E3174" t="s">
        <v>25</v>
      </c>
      <c r="F3174" t="s">
        <v>53</v>
      </c>
      <c r="G3174" t="s">
        <v>70</v>
      </c>
      <c r="I3174">
        <v>2040</v>
      </c>
      <c r="J3174">
        <v>0.2407</v>
      </c>
      <c r="K3174" t="s">
        <v>53</v>
      </c>
      <c r="L3174">
        <v>55</v>
      </c>
    </row>
    <row r="3175" spans="1:12" x14ac:dyDescent="0.45">
      <c r="A3175" t="s">
        <v>86</v>
      </c>
      <c r="B3175" t="s">
        <v>6</v>
      </c>
      <c r="C3175" t="s">
        <v>83</v>
      </c>
      <c r="D3175" t="s">
        <v>53</v>
      </c>
      <c r="E3175" t="s">
        <v>25</v>
      </c>
      <c r="F3175" t="s">
        <v>53</v>
      </c>
      <c r="G3175" t="s">
        <v>70</v>
      </c>
      <c r="I3175">
        <v>2045</v>
      </c>
      <c r="J3175">
        <v>0.16020000000000001</v>
      </c>
      <c r="K3175" t="s">
        <v>53</v>
      </c>
      <c r="L3175">
        <v>55</v>
      </c>
    </row>
    <row r="3176" spans="1:12" x14ac:dyDescent="0.45">
      <c r="A3176" t="s">
        <v>86</v>
      </c>
      <c r="B3176" t="s">
        <v>6</v>
      </c>
      <c r="C3176" t="s">
        <v>83</v>
      </c>
      <c r="D3176" t="s">
        <v>53</v>
      </c>
      <c r="E3176" t="s">
        <v>25</v>
      </c>
      <c r="F3176" t="s">
        <v>53</v>
      </c>
      <c r="G3176" t="s">
        <v>70</v>
      </c>
      <c r="I3176">
        <v>2050</v>
      </c>
      <c r="J3176">
        <v>4.3099999999999999E-2</v>
      </c>
      <c r="K3176" t="s">
        <v>53</v>
      </c>
      <c r="L3176">
        <v>55</v>
      </c>
    </row>
    <row r="3177" spans="1:12" x14ac:dyDescent="0.45">
      <c r="A3177" t="s">
        <v>86</v>
      </c>
      <c r="B3177" t="s">
        <v>6</v>
      </c>
      <c r="C3177" t="s">
        <v>83</v>
      </c>
      <c r="D3177" t="s">
        <v>53</v>
      </c>
      <c r="E3177" t="s">
        <v>25</v>
      </c>
      <c r="F3177" t="s">
        <v>53</v>
      </c>
      <c r="G3177" t="s">
        <v>70</v>
      </c>
      <c r="I3177">
        <v>2055</v>
      </c>
      <c r="J3177">
        <v>1.03E-2</v>
      </c>
      <c r="K3177" t="s">
        <v>53</v>
      </c>
      <c r="L3177">
        <v>55</v>
      </c>
    </row>
    <row r="3178" spans="1:12" x14ac:dyDescent="0.45">
      <c r="A3178" t="s">
        <v>86</v>
      </c>
      <c r="B3178" t="s">
        <v>6</v>
      </c>
      <c r="C3178" t="s">
        <v>83</v>
      </c>
      <c r="D3178" t="s">
        <v>53</v>
      </c>
      <c r="E3178" t="s">
        <v>25</v>
      </c>
      <c r="F3178" t="s">
        <v>53</v>
      </c>
      <c r="G3178" t="s">
        <v>70</v>
      </c>
      <c r="I3178">
        <v>2060</v>
      </c>
      <c r="J3178">
        <v>2E-3</v>
      </c>
      <c r="K3178" t="s">
        <v>53</v>
      </c>
      <c r="L3178">
        <v>55</v>
      </c>
    </row>
    <row r="3179" spans="1:12" x14ac:dyDescent="0.45">
      <c r="A3179" t="s">
        <v>86</v>
      </c>
      <c r="B3179" t="s">
        <v>6</v>
      </c>
      <c r="C3179" t="s">
        <v>83</v>
      </c>
      <c r="D3179" t="s">
        <v>53</v>
      </c>
      <c r="E3179" t="s">
        <v>25</v>
      </c>
      <c r="F3179" t="s">
        <v>53</v>
      </c>
      <c r="G3179" t="s">
        <v>70</v>
      </c>
      <c r="I3179">
        <v>2065</v>
      </c>
      <c r="J3179">
        <v>1.9E-3</v>
      </c>
      <c r="K3179" t="s">
        <v>53</v>
      </c>
      <c r="L3179">
        <v>55</v>
      </c>
    </row>
    <row r="3180" spans="1:12" x14ac:dyDescent="0.45">
      <c r="A3180" t="s">
        <v>86</v>
      </c>
      <c r="B3180" t="s">
        <v>6</v>
      </c>
      <c r="C3180" t="s">
        <v>83</v>
      </c>
      <c r="D3180" t="s">
        <v>53</v>
      </c>
      <c r="E3180" t="s">
        <v>25</v>
      </c>
      <c r="F3180" t="s">
        <v>53</v>
      </c>
      <c r="G3180" t="s">
        <v>70</v>
      </c>
      <c r="I3180">
        <v>2070</v>
      </c>
      <c r="J3180">
        <v>1.8E-3</v>
      </c>
      <c r="K3180" t="s">
        <v>53</v>
      </c>
      <c r="L3180">
        <v>55</v>
      </c>
    </row>
    <row r="3181" spans="1:12" x14ac:dyDescent="0.45">
      <c r="A3181" t="s">
        <v>86</v>
      </c>
      <c r="B3181" t="s">
        <v>6</v>
      </c>
      <c r="C3181" t="s">
        <v>83</v>
      </c>
      <c r="D3181" t="s">
        <v>53</v>
      </c>
      <c r="E3181" t="s">
        <v>25</v>
      </c>
      <c r="F3181" t="s">
        <v>53</v>
      </c>
      <c r="G3181" t="s">
        <v>70</v>
      </c>
      <c r="I3181">
        <v>2075</v>
      </c>
      <c r="J3181">
        <v>1.5E-3</v>
      </c>
      <c r="K3181" t="s">
        <v>53</v>
      </c>
      <c r="L3181">
        <v>55</v>
      </c>
    </row>
    <row r="3182" spans="1:12" x14ac:dyDescent="0.45">
      <c r="A3182" t="s">
        <v>86</v>
      </c>
      <c r="B3182" t="s">
        <v>6</v>
      </c>
      <c r="C3182" t="s">
        <v>83</v>
      </c>
      <c r="D3182" t="s">
        <v>53</v>
      </c>
      <c r="E3182" t="s">
        <v>25</v>
      </c>
      <c r="F3182" t="s">
        <v>53</v>
      </c>
      <c r="G3182" t="s">
        <v>70</v>
      </c>
      <c r="I3182">
        <v>2080</v>
      </c>
      <c r="J3182">
        <v>1.2999999999999999E-3</v>
      </c>
      <c r="K3182" t="s">
        <v>53</v>
      </c>
      <c r="L3182">
        <v>55</v>
      </c>
    </row>
    <row r="3183" spans="1:12" x14ac:dyDescent="0.45">
      <c r="A3183" t="s">
        <v>86</v>
      </c>
      <c r="B3183" t="s">
        <v>6</v>
      </c>
      <c r="C3183" t="s">
        <v>83</v>
      </c>
      <c r="D3183" t="s">
        <v>53</v>
      </c>
      <c r="E3183" t="s">
        <v>25</v>
      </c>
      <c r="F3183" t="s">
        <v>53</v>
      </c>
      <c r="G3183" t="s">
        <v>70</v>
      </c>
      <c r="I3183">
        <v>2085</v>
      </c>
      <c r="J3183">
        <v>8.9999999999999998E-4</v>
      </c>
      <c r="K3183" t="s">
        <v>53</v>
      </c>
      <c r="L3183">
        <v>55</v>
      </c>
    </row>
    <row r="3184" spans="1:12" x14ac:dyDescent="0.45">
      <c r="A3184" t="s">
        <v>86</v>
      </c>
      <c r="B3184" t="s">
        <v>6</v>
      </c>
      <c r="C3184" t="s">
        <v>83</v>
      </c>
      <c r="D3184" t="s">
        <v>53</v>
      </c>
      <c r="E3184" t="s">
        <v>25</v>
      </c>
      <c r="F3184" t="s">
        <v>53</v>
      </c>
      <c r="G3184" t="s">
        <v>70</v>
      </c>
      <c r="I3184">
        <v>2090</v>
      </c>
      <c r="J3184">
        <v>4.0000000000000002E-4</v>
      </c>
      <c r="K3184" t="s">
        <v>53</v>
      </c>
      <c r="L3184">
        <v>55</v>
      </c>
    </row>
    <row r="3185" spans="1:12" x14ac:dyDescent="0.45">
      <c r="A3185" t="s">
        <v>86</v>
      </c>
      <c r="B3185" t="s">
        <v>6</v>
      </c>
      <c r="C3185" t="s">
        <v>83</v>
      </c>
      <c r="D3185" t="s">
        <v>53</v>
      </c>
      <c r="E3185" t="s">
        <v>25</v>
      </c>
      <c r="F3185" t="s">
        <v>53</v>
      </c>
      <c r="G3185" t="s">
        <v>70</v>
      </c>
      <c r="I3185">
        <v>2095</v>
      </c>
      <c r="J3185">
        <v>2.0000000000000001E-4</v>
      </c>
      <c r="K3185" t="s">
        <v>53</v>
      </c>
      <c r="L3185">
        <v>55</v>
      </c>
    </row>
    <row r="3186" spans="1:12" x14ac:dyDescent="0.45">
      <c r="A3186" t="s">
        <v>86</v>
      </c>
      <c r="B3186" t="s">
        <v>6</v>
      </c>
      <c r="C3186" t="s">
        <v>83</v>
      </c>
      <c r="D3186" t="s">
        <v>53</v>
      </c>
      <c r="E3186" t="s">
        <v>25</v>
      </c>
      <c r="F3186" t="s">
        <v>53</v>
      </c>
      <c r="G3186" t="s">
        <v>70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86</v>
      </c>
      <c r="B3187" t="s">
        <v>6</v>
      </c>
      <c r="C3187" t="s">
        <v>83</v>
      </c>
      <c r="D3187" t="s">
        <v>54</v>
      </c>
      <c r="E3187" t="s">
        <v>25</v>
      </c>
      <c r="F3187" t="s">
        <v>54</v>
      </c>
      <c r="G3187" t="s">
        <v>70</v>
      </c>
      <c r="I3187">
        <v>2020</v>
      </c>
      <c r="J3187">
        <v>0</v>
      </c>
      <c r="K3187" t="s">
        <v>54</v>
      </c>
      <c r="L3187">
        <v>70</v>
      </c>
    </row>
    <row r="3188" spans="1:12" x14ac:dyDescent="0.45">
      <c r="A3188" t="s">
        <v>86</v>
      </c>
      <c r="B3188" t="s">
        <v>6</v>
      </c>
      <c r="C3188" t="s">
        <v>83</v>
      </c>
      <c r="D3188" t="s">
        <v>54</v>
      </c>
      <c r="E3188" t="s">
        <v>25</v>
      </c>
      <c r="F3188" t="s">
        <v>54</v>
      </c>
      <c r="G3188" t="s">
        <v>70</v>
      </c>
      <c r="I3188">
        <v>2025</v>
      </c>
      <c r="J3188">
        <v>0</v>
      </c>
      <c r="K3188" t="s">
        <v>54</v>
      </c>
      <c r="L3188">
        <v>70</v>
      </c>
    </row>
    <row r="3189" spans="1:12" x14ac:dyDescent="0.45">
      <c r="A3189" t="s">
        <v>86</v>
      </c>
      <c r="B3189" t="s">
        <v>6</v>
      </c>
      <c r="C3189" t="s">
        <v>83</v>
      </c>
      <c r="D3189" t="s">
        <v>54</v>
      </c>
      <c r="E3189" t="s">
        <v>25</v>
      </c>
      <c r="F3189" t="s">
        <v>54</v>
      </c>
      <c r="G3189" t="s">
        <v>70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86</v>
      </c>
      <c r="B3190" t="s">
        <v>6</v>
      </c>
      <c r="C3190" t="s">
        <v>83</v>
      </c>
      <c r="D3190" t="s">
        <v>54</v>
      </c>
      <c r="E3190" t="s">
        <v>25</v>
      </c>
      <c r="F3190" t="s">
        <v>54</v>
      </c>
      <c r="G3190" t="s">
        <v>70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86</v>
      </c>
      <c r="B3191" t="s">
        <v>6</v>
      </c>
      <c r="C3191" t="s">
        <v>83</v>
      </c>
      <c r="D3191" t="s">
        <v>54</v>
      </c>
      <c r="E3191" t="s">
        <v>25</v>
      </c>
      <c r="F3191" t="s">
        <v>54</v>
      </c>
      <c r="G3191" t="s">
        <v>70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86</v>
      </c>
      <c r="B3192" t="s">
        <v>6</v>
      </c>
      <c r="C3192" t="s">
        <v>83</v>
      </c>
      <c r="D3192" t="s">
        <v>54</v>
      </c>
      <c r="E3192" t="s">
        <v>25</v>
      </c>
      <c r="F3192" t="s">
        <v>54</v>
      </c>
      <c r="G3192" t="s">
        <v>70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86</v>
      </c>
      <c r="B3193" t="s">
        <v>6</v>
      </c>
      <c r="C3193" t="s">
        <v>83</v>
      </c>
      <c r="D3193" t="s">
        <v>54</v>
      </c>
      <c r="E3193" t="s">
        <v>25</v>
      </c>
      <c r="F3193" t="s">
        <v>54</v>
      </c>
      <c r="G3193" t="s">
        <v>70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86</v>
      </c>
      <c r="B3194" t="s">
        <v>6</v>
      </c>
      <c r="C3194" t="s">
        <v>83</v>
      </c>
      <c r="D3194" t="s">
        <v>54</v>
      </c>
      <c r="E3194" t="s">
        <v>25</v>
      </c>
      <c r="F3194" t="s">
        <v>54</v>
      </c>
      <c r="G3194" t="s">
        <v>70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86</v>
      </c>
      <c r="B3195" t="s">
        <v>6</v>
      </c>
      <c r="C3195" t="s">
        <v>83</v>
      </c>
      <c r="D3195" t="s">
        <v>54</v>
      </c>
      <c r="E3195" t="s">
        <v>25</v>
      </c>
      <c r="F3195" t="s">
        <v>54</v>
      </c>
      <c r="G3195" t="s">
        <v>70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86</v>
      </c>
      <c r="B3196" t="s">
        <v>6</v>
      </c>
      <c r="C3196" t="s">
        <v>83</v>
      </c>
      <c r="D3196" t="s">
        <v>54</v>
      </c>
      <c r="E3196" t="s">
        <v>25</v>
      </c>
      <c r="F3196" t="s">
        <v>54</v>
      </c>
      <c r="G3196" t="s">
        <v>70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86</v>
      </c>
      <c r="B3197" t="s">
        <v>6</v>
      </c>
      <c r="C3197" t="s">
        <v>83</v>
      </c>
      <c r="D3197" t="s">
        <v>54</v>
      </c>
      <c r="E3197" t="s">
        <v>25</v>
      </c>
      <c r="F3197" t="s">
        <v>54</v>
      </c>
      <c r="G3197" t="s">
        <v>70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86</v>
      </c>
      <c r="B3198" t="s">
        <v>6</v>
      </c>
      <c r="C3198" t="s">
        <v>83</v>
      </c>
      <c r="D3198" t="s">
        <v>54</v>
      </c>
      <c r="E3198" t="s">
        <v>25</v>
      </c>
      <c r="F3198" t="s">
        <v>54</v>
      </c>
      <c r="G3198" t="s">
        <v>70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86</v>
      </c>
      <c r="B3199" t="s">
        <v>6</v>
      </c>
      <c r="C3199" t="s">
        <v>83</v>
      </c>
      <c r="D3199" t="s">
        <v>54</v>
      </c>
      <c r="E3199" t="s">
        <v>25</v>
      </c>
      <c r="F3199" t="s">
        <v>54</v>
      </c>
      <c r="G3199" t="s">
        <v>70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86</v>
      </c>
      <c r="B3200" t="s">
        <v>6</v>
      </c>
      <c r="C3200" t="s">
        <v>83</v>
      </c>
      <c r="D3200" t="s">
        <v>54</v>
      </c>
      <c r="E3200" t="s">
        <v>25</v>
      </c>
      <c r="F3200" t="s">
        <v>54</v>
      </c>
      <c r="G3200" t="s">
        <v>70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86</v>
      </c>
      <c r="B3201" t="s">
        <v>6</v>
      </c>
      <c r="C3201" t="s">
        <v>83</v>
      </c>
      <c r="D3201" t="s">
        <v>54</v>
      </c>
      <c r="E3201" t="s">
        <v>25</v>
      </c>
      <c r="F3201" t="s">
        <v>54</v>
      </c>
      <c r="G3201" t="s">
        <v>70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86</v>
      </c>
      <c r="B3202" t="s">
        <v>6</v>
      </c>
      <c r="C3202" t="s">
        <v>83</v>
      </c>
      <c r="D3202" t="s">
        <v>54</v>
      </c>
      <c r="E3202" t="s">
        <v>25</v>
      </c>
      <c r="F3202" t="s">
        <v>54</v>
      </c>
      <c r="G3202" t="s">
        <v>70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86</v>
      </c>
      <c r="B3203" t="s">
        <v>6</v>
      </c>
      <c r="C3203" t="s">
        <v>83</v>
      </c>
      <c r="D3203" t="s">
        <v>54</v>
      </c>
      <c r="E3203" t="s">
        <v>25</v>
      </c>
      <c r="F3203" t="s">
        <v>54</v>
      </c>
      <c r="G3203" t="s">
        <v>70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86</v>
      </c>
      <c r="B3204" t="s">
        <v>6</v>
      </c>
      <c r="C3204" t="s">
        <v>83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86</v>
      </c>
      <c r="B3205" t="s">
        <v>6</v>
      </c>
      <c r="C3205" t="s">
        <v>83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86</v>
      </c>
      <c r="B3206" t="s">
        <v>6</v>
      </c>
      <c r="C3206" t="s">
        <v>83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86</v>
      </c>
      <c r="B3207" t="s">
        <v>6</v>
      </c>
      <c r="C3207" t="s">
        <v>83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86</v>
      </c>
      <c r="B3208" t="s">
        <v>6</v>
      </c>
      <c r="C3208" t="s">
        <v>83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86</v>
      </c>
      <c r="B3209" t="s">
        <v>6</v>
      </c>
      <c r="C3209" t="s">
        <v>83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86</v>
      </c>
      <c r="B3210" t="s">
        <v>6</v>
      </c>
      <c r="C3210" t="s">
        <v>83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86</v>
      </c>
      <c r="B3211" t="s">
        <v>6</v>
      </c>
      <c r="C3211" t="s">
        <v>83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86</v>
      </c>
      <c r="B3212" t="s">
        <v>6</v>
      </c>
      <c r="C3212" t="s">
        <v>83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86</v>
      </c>
      <c r="B3213" t="s">
        <v>6</v>
      </c>
      <c r="C3213" t="s">
        <v>83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86</v>
      </c>
      <c r="B3214" t="s">
        <v>6</v>
      </c>
      <c r="C3214" t="s">
        <v>83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86</v>
      </c>
      <c r="B3215" t="s">
        <v>6</v>
      </c>
      <c r="C3215" t="s">
        <v>83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86</v>
      </c>
      <c r="B3216" t="s">
        <v>6</v>
      </c>
      <c r="C3216" t="s">
        <v>83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86</v>
      </c>
      <c r="B3217" t="s">
        <v>6</v>
      </c>
      <c r="C3217" t="s">
        <v>83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86</v>
      </c>
      <c r="B3218" t="s">
        <v>6</v>
      </c>
      <c r="C3218" t="s">
        <v>83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86</v>
      </c>
      <c r="B3219" t="s">
        <v>6</v>
      </c>
      <c r="C3219" t="s">
        <v>83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86</v>
      </c>
      <c r="B3220" t="s">
        <v>6</v>
      </c>
      <c r="C3220" t="s">
        <v>83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86</v>
      </c>
      <c r="B3221" t="s">
        <v>6</v>
      </c>
      <c r="C3221" t="s">
        <v>83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86</v>
      </c>
      <c r="B3222" t="s">
        <v>6</v>
      </c>
      <c r="C3222" t="s">
        <v>83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86</v>
      </c>
      <c r="B3223" t="s">
        <v>6</v>
      </c>
      <c r="C3223" t="s">
        <v>83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86</v>
      </c>
      <c r="B3224" t="s">
        <v>6</v>
      </c>
      <c r="C3224" t="s">
        <v>83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86</v>
      </c>
      <c r="B3225" t="s">
        <v>6</v>
      </c>
      <c r="C3225" t="s">
        <v>83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86</v>
      </c>
      <c r="B3226" t="s">
        <v>6</v>
      </c>
      <c r="C3226" t="s">
        <v>83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86</v>
      </c>
      <c r="B3227" t="s">
        <v>6</v>
      </c>
      <c r="C3227" t="s">
        <v>83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86</v>
      </c>
      <c r="B3228" t="s">
        <v>6</v>
      </c>
      <c r="C3228" t="s">
        <v>83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86</v>
      </c>
      <c r="B3229" t="s">
        <v>6</v>
      </c>
      <c r="C3229" t="s">
        <v>83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86</v>
      </c>
      <c r="B3230" t="s">
        <v>6</v>
      </c>
      <c r="C3230" t="s">
        <v>83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86</v>
      </c>
      <c r="B3231" t="s">
        <v>6</v>
      </c>
      <c r="C3231" t="s">
        <v>83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86</v>
      </c>
      <c r="B3232" t="s">
        <v>6</v>
      </c>
      <c r="C3232" t="s">
        <v>83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86</v>
      </c>
      <c r="B3233" t="s">
        <v>6</v>
      </c>
      <c r="C3233" t="s">
        <v>83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86</v>
      </c>
      <c r="B3234" t="s">
        <v>6</v>
      </c>
      <c r="C3234" t="s">
        <v>83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86</v>
      </c>
      <c r="B3235" t="s">
        <v>6</v>
      </c>
      <c r="C3235" t="s">
        <v>83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86</v>
      </c>
      <c r="B3236" t="s">
        <v>6</v>
      </c>
      <c r="C3236" t="s">
        <v>83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86</v>
      </c>
      <c r="B3237" t="s">
        <v>6</v>
      </c>
      <c r="C3237" t="s">
        <v>83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86</v>
      </c>
      <c r="B3238" t="s">
        <v>6</v>
      </c>
      <c r="C3238" t="s">
        <v>83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86</v>
      </c>
      <c r="B3239" t="s">
        <v>6</v>
      </c>
      <c r="C3239" t="s">
        <v>83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86</v>
      </c>
      <c r="B3240" t="s">
        <v>6</v>
      </c>
      <c r="C3240" t="s">
        <v>83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86</v>
      </c>
      <c r="B3241" t="s">
        <v>6</v>
      </c>
      <c r="C3241" t="s">
        <v>83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86</v>
      </c>
      <c r="B3242" t="s">
        <v>6</v>
      </c>
      <c r="C3242" t="s">
        <v>83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86</v>
      </c>
      <c r="B3243" t="s">
        <v>6</v>
      </c>
      <c r="C3243" t="s">
        <v>83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86</v>
      </c>
      <c r="B3244" t="s">
        <v>6</v>
      </c>
      <c r="C3244" t="s">
        <v>83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86</v>
      </c>
      <c r="B3245" t="s">
        <v>6</v>
      </c>
      <c r="C3245" t="s">
        <v>83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86</v>
      </c>
      <c r="B3246" t="s">
        <v>6</v>
      </c>
      <c r="C3246" t="s">
        <v>83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86</v>
      </c>
      <c r="B3247" t="s">
        <v>6</v>
      </c>
      <c r="C3247" t="s">
        <v>83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86</v>
      </c>
      <c r="B3248" t="s">
        <v>6</v>
      </c>
      <c r="C3248" t="s">
        <v>83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86</v>
      </c>
      <c r="B3249" t="s">
        <v>6</v>
      </c>
      <c r="C3249" t="s">
        <v>83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86</v>
      </c>
      <c r="B3250" t="s">
        <v>6</v>
      </c>
      <c r="C3250" t="s">
        <v>83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86</v>
      </c>
      <c r="B3251" t="s">
        <v>6</v>
      </c>
      <c r="C3251" t="s">
        <v>83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86</v>
      </c>
      <c r="B3252" t="s">
        <v>6</v>
      </c>
      <c r="C3252" t="s">
        <v>83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86</v>
      </c>
      <c r="B3253" t="s">
        <v>6</v>
      </c>
      <c r="C3253" t="s">
        <v>83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86</v>
      </c>
      <c r="B3254" t="s">
        <v>6</v>
      </c>
      <c r="C3254" t="s">
        <v>83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86</v>
      </c>
      <c r="B3255" t="s">
        <v>6</v>
      </c>
      <c r="C3255" t="s">
        <v>83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56.074300000000001</v>
      </c>
      <c r="K3255" t="s">
        <v>37</v>
      </c>
    </row>
    <row r="3256" spans="1:11" x14ac:dyDescent="0.45">
      <c r="A3256" t="s">
        <v>86</v>
      </c>
      <c r="B3256" t="s">
        <v>6</v>
      </c>
      <c r="C3256" t="s">
        <v>83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66.884100000000004</v>
      </c>
      <c r="K3256" t="s">
        <v>37</v>
      </c>
    </row>
    <row r="3257" spans="1:11" x14ac:dyDescent="0.45">
      <c r="A3257" t="s">
        <v>86</v>
      </c>
      <c r="B3257" t="s">
        <v>6</v>
      </c>
      <c r="C3257" t="s">
        <v>83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75.320400000000006</v>
      </c>
      <c r="K3257" t="s">
        <v>37</v>
      </c>
    </row>
    <row r="3258" spans="1:11" x14ac:dyDescent="0.45">
      <c r="A3258" t="s">
        <v>86</v>
      </c>
      <c r="B3258" t="s">
        <v>6</v>
      </c>
      <c r="C3258" t="s">
        <v>83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68.308999999999997</v>
      </c>
      <c r="K3258" t="s">
        <v>37</v>
      </c>
    </row>
    <row r="3259" spans="1:11" x14ac:dyDescent="0.45">
      <c r="A3259" t="s">
        <v>86</v>
      </c>
      <c r="B3259" t="s">
        <v>6</v>
      </c>
      <c r="C3259" t="s">
        <v>83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88.016000000000005</v>
      </c>
      <c r="K3259" t="s">
        <v>37</v>
      </c>
    </row>
    <row r="3260" spans="1:11" x14ac:dyDescent="0.45">
      <c r="A3260" t="s">
        <v>86</v>
      </c>
      <c r="B3260" t="s">
        <v>6</v>
      </c>
      <c r="C3260" t="s">
        <v>83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94.2393</v>
      </c>
      <c r="K3260" t="s">
        <v>37</v>
      </c>
    </row>
    <row r="3261" spans="1:11" x14ac:dyDescent="0.45">
      <c r="A3261" t="s">
        <v>86</v>
      </c>
      <c r="B3261" t="s">
        <v>6</v>
      </c>
      <c r="C3261" t="s">
        <v>83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107.8642</v>
      </c>
      <c r="K3261" t="s">
        <v>37</v>
      </c>
    </row>
    <row r="3262" spans="1:11" x14ac:dyDescent="0.45">
      <c r="A3262" t="s">
        <v>86</v>
      </c>
      <c r="B3262" t="s">
        <v>6</v>
      </c>
      <c r="C3262" t="s">
        <v>83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125.0938</v>
      </c>
      <c r="K3262" t="s">
        <v>37</v>
      </c>
    </row>
    <row r="3263" spans="1:11" x14ac:dyDescent="0.45">
      <c r="A3263" t="s">
        <v>86</v>
      </c>
      <c r="B3263" t="s">
        <v>6</v>
      </c>
      <c r="C3263" t="s">
        <v>83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195.44040000000001</v>
      </c>
      <c r="K3263" t="s">
        <v>37</v>
      </c>
    </row>
    <row r="3264" spans="1:11" x14ac:dyDescent="0.45">
      <c r="A3264" t="s">
        <v>86</v>
      </c>
      <c r="B3264" t="s">
        <v>6</v>
      </c>
      <c r="C3264" t="s">
        <v>83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243.73310000000001</v>
      </c>
      <c r="K3264" t="s">
        <v>37</v>
      </c>
    </row>
    <row r="3265" spans="1:11" x14ac:dyDescent="0.45">
      <c r="A3265" t="s">
        <v>86</v>
      </c>
      <c r="B3265" t="s">
        <v>6</v>
      </c>
      <c r="C3265" t="s">
        <v>83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292.0258</v>
      </c>
      <c r="K3265" t="s">
        <v>37</v>
      </c>
    </row>
    <row r="3266" spans="1:11" x14ac:dyDescent="0.45">
      <c r="A3266" t="s">
        <v>86</v>
      </c>
      <c r="B3266" t="s">
        <v>6</v>
      </c>
      <c r="C3266" t="s">
        <v>83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312.41500000000002</v>
      </c>
      <c r="K3266" t="s">
        <v>37</v>
      </c>
    </row>
    <row r="3267" spans="1:11" x14ac:dyDescent="0.45">
      <c r="A3267" t="s">
        <v>86</v>
      </c>
      <c r="B3267" t="s">
        <v>6</v>
      </c>
      <c r="C3267" t="s">
        <v>83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332.80410000000001</v>
      </c>
      <c r="K3267" t="s">
        <v>37</v>
      </c>
    </row>
    <row r="3268" spans="1:11" x14ac:dyDescent="0.45">
      <c r="A3268" t="s">
        <v>86</v>
      </c>
      <c r="B3268" t="s">
        <v>6</v>
      </c>
      <c r="C3268" t="s">
        <v>83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331.2672</v>
      </c>
      <c r="K3268" t="s">
        <v>37</v>
      </c>
    </row>
    <row r="3269" spans="1:11" x14ac:dyDescent="0.45">
      <c r="A3269" t="s">
        <v>86</v>
      </c>
      <c r="B3269" t="s">
        <v>6</v>
      </c>
      <c r="C3269" t="s">
        <v>83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329.7303</v>
      </c>
      <c r="K3269" t="s">
        <v>37</v>
      </c>
    </row>
    <row r="3270" spans="1:11" x14ac:dyDescent="0.45">
      <c r="A3270" t="s">
        <v>86</v>
      </c>
      <c r="B3270" t="s">
        <v>6</v>
      </c>
      <c r="C3270" t="s">
        <v>83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341.49430000000001</v>
      </c>
      <c r="K3270" t="s">
        <v>37</v>
      </c>
    </row>
    <row r="3271" spans="1:11" x14ac:dyDescent="0.45">
      <c r="A3271" t="s">
        <v>86</v>
      </c>
      <c r="B3271" t="s">
        <v>6</v>
      </c>
      <c r="C3271" t="s">
        <v>83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353.25819999999999</v>
      </c>
      <c r="K3271" t="s">
        <v>37</v>
      </c>
    </row>
    <row r="3272" spans="1:11" x14ac:dyDescent="0.45">
      <c r="A3272" t="s">
        <v>86</v>
      </c>
      <c r="B3272" t="s">
        <v>6</v>
      </c>
      <c r="C3272" t="s">
        <v>83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376.18419999999998</v>
      </c>
      <c r="K3272" t="s">
        <v>48</v>
      </c>
    </row>
    <row r="3273" spans="1:11" x14ac:dyDescent="0.45">
      <c r="A3273" t="s">
        <v>86</v>
      </c>
      <c r="B3273" t="s">
        <v>6</v>
      </c>
      <c r="C3273" t="s">
        <v>83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416.55540000000002</v>
      </c>
      <c r="K3273" t="s">
        <v>48</v>
      </c>
    </row>
    <row r="3274" spans="1:11" x14ac:dyDescent="0.45">
      <c r="A3274" t="s">
        <v>86</v>
      </c>
      <c r="B3274" t="s">
        <v>6</v>
      </c>
      <c r="C3274" t="s">
        <v>83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418.4717</v>
      </c>
      <c r="K3274" t="s">
        <v>48</v>
      </c>
    </row>
    <row r="3275" spans="1:11" x14ac:dyDescent="0.45">
      <c r="A3275" t="s">
        <v>86</v>
      </c>
      <c r="B3275" t="s">
        <v>6</v>
      </c>
      <c r="C3275" t="s">
        <v>83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391.25450000000001</v>
      </c>
      <c r="K3275" t="s">
        <v>48</v>
      </c>
    </row>
    <row r="3276" spans="1:11" x14ac:dyDescent="0.45">
      <c r="A3276" t="s">
        <v>86</v>
      </c>
      <c r="B3276" t="s">
        <v>6</v>
      </c>
      <c r="C3276" t="s">
        <v>83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309.28539999999998</v>
      </c>
      <c r="K3276" t="s">
        <v>48</v>
      </c>
    </row>
    <row r="3277" spans="1:11" x14ac:dyDescent="0.45">
      <c r="A3277" t="s">
        <v>86</v>
      </c>
      <c r="B3277" t="s">
        <v>6</v>
      </c>
      <c r="C3277" t="s">
        <v>83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182.6968</v>
      </c>
      <c r="K3277" t="s">
        <v>48</v>
      </c>
    </row>
    <row r="3278" spans="1:11" x14ac:dyDescent="0.45">
      <c r="A3278" t="s">
        <v>86</v>
      </c>
      <c r="B3278" t="s">
        <v>6</v>
      </c>
      <c r="C3278" t="s">
        <v>83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116.44880000000001</v>
      </c>
      <c r="K3278" t="s">
        <v>48</v>
      </c>
    </row>
    <row r="3279" spans="1:11" x14ac:dyDescent="0.45">
      <c r="A3279" t="s">
        <v>86</v>
      </c>
      <c r="B3279" t="s">
        <v>6</v>
      </c>
      <c r="C3279" t="s">
        <v>83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86.604299999999995</v>
      </c>
      <c r="K3279" t="s">
        <v>48</v>
      </c>
    </row>
    <row r="3280" spans="1:11" x14ac:dyDescent="0.45">
      <c r="A3280" t="s">
        <v>86</v>
      </c>
      <c r="B3280" t="s">
        <v>6</v>
      </c>
      <c r="C3280" t="s">
        <v>83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70.168300000000002</v>
      </c>
      <c r="K3280" t="s">
        <v>48</v>
      </c>
    </row>
    <row r="3281" spans="1:11" x14ac:dyDescent="0.45">
      <c r="A3281" t="s">
        <v>86</v>
      </c>
      <c r="B3281" t="s">
        <v>6</v>
      </c>
      <c r="C3281" t="s">
        <v>83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67.481499999999997</v>
      </c>
      <c r="K3281" t="s">
        <v>48</v>
      </c>
    </row>
    <row r="3282" spans="1:11" x14ac:dyDescent="0.45">
      <c r="A3282" t="s">
        <v>86</v>
      </c>
      <c r="B3282" t="s">
        <v>6</v>
      </c>
      <c r="C3282" t="s">
        <v>83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64.057100000000005</v>
      </c>
      <c r="K3282" t="s">
        <v>48</v>
      </c>
    </row>
    <row r="3283" spans="1:11" x14ac:dyDescent="0.45">
      <c r="A3283" t="s">
        <v>86</v>
      </c>
      <c r="B3283" t="s">
        <v>6</v>
      </c>
      <c r="C3283" t="s">
        <v>83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64.770899999999997</v>
      </c>
      <c r="K3283" t="s">
        <v>48</v>
      </c>
    </row>
    <row r="3284" spans="1:11" x14ac:dyDescent="0.45">
      <c r="A3284" t="s">
        <v>86</v>
      </c>
      <c r="B3284" t="s">
        <v>6</v>
      </c>
      <c r="C3284" t="s">
        <v>83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65.2898</v>
      </c>
      <c r="K3284" t="s">
        <v>48</v>
      </c>
    </row>
    <row r="3285" spans="1:11" x14ac:dyDescent="0.45">
      <c r="A3285" t="s">
        <v>86</v>
      </c>
      <c r="B3285" t="s">
        <v>6</v>
      </c>
      <c r="C3285" t="s">
        <v>83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70.595299999999995</v>
      </c>
      <c r="K3285" t="s">
        <v>48</v>
      </c>
    </row>
    <row r="3286" spans="1:11" x14ac:dyDescent="0.45">
      <c r="A3286" t="s">
        <v>86</v>
      </c>
      <c r="B3286" t="s">
        <v>6</v>
      </c>
      <c r="C3286" t="s">
        <v>83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75.923299999999998</v>
      </c>
      <c r="K3286" t="s">
        <v>48</v>
      </c>
    </row>
    <row r="3287" spans="1:11" x14ac:dyDescent="0.45">
      <c r="A3287" t="s">
        <v>86</v>
      </c>
      <c r="B3287" t="s">
        <v>6</v>
      </c>
      <c r="C3287" t="s">
        <v>83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71.412800000000004</v>
      </c>
      <c r="K3287" t="s">
        <v>48</v>
      </c>
    </row>
    <row r="3288" spans="1:11" x14ac:dyDescent="0.45">
      <c r="A3288" t="s">
        <v>86</v>
      </c>
      <c r="B3288" t="s">
        <v>6</v>
      </c>
      <c r="C3288" t="s">
        <v>83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66.988399999999999</v>
      </c>
      <c r="K3288" t="s">
        <v>48</v>
      </c>
    </row>
    <row r="3289" spans="1:11" x14ac:dyDescent="0.45">
      <c r="A3289" t="s">
        <v>86</v>
      </c>
      <c r="B3289" t="s">
        <v>6</v>
      </c>
      <c r="C3289" t="s">
        <v>83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334.43360000000001</v>
      </c>
      <c r="K3289" t="s">
        <v>51</v>
      </c>
    </row>
    <row r="3290" spans="1:11" x14ac:dyDescent="0.45">
      <c r="A3290" t="s">
        <v>86</v>
      </c>
      <c r="B3290" t="s">
        <v>6</v>
      </c>
      <c r="C3290" t="s">
        <v>83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339.59550000000002</v>
      </c>
      <c r="K3290" t="s">
        <v>51</v>
      </c>
    </row>
    <row r="3291" spans="1:11" x14ac:dyDescent="0.45">
      <c r="A3291" t="s">
        <v>86</v>
      </c>
      <c r="B3291" t="s">
        <v>6</v>
      </c>
      <c r="C3291" t="s">
        <v>83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341.78590000000003</v>
      </c>
      <c r="K3291" t="s">
        <v>51</v>
      </c>
    </row>
    <row r="3292" spans="1:11" x14ac:dyDescent="0.45">
      <c r="A3292" t="s">
        <v>86</v>
      </c>
      <c r="B3292" t="s">
        <v>6</v>
      </c>
      <c r="C3292" t="s">
        <v>83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336.26</v>
      </c>
      <c r="K3292" t="s">
        <v>51</v>
      </c>
    </row>
    <row r="3293" spans="1:11" x14ac:dyDescent="0.45">
      <c r="A3293" t="s">
        <v>86</v>
      </c>
      <c r="B3293" t="s">
        <v>6</v>
      </c>
      <c r="C3293" t="s">
        <v>83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257.7038</v>
      </c>
      <c r="K3293" t="s">
        <v>51</v>
      </c>
    </row>
    <row r="3294" spans="1:11" x14ac:dyDescent="0.45">
      <c r="A3294" t="s">
        <v>86</v>
      </c>
      <c r="B3294" t="s">
        <v>6</v>
      </c>
      <c r="C3294" t="s">
        <v>83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136.00120000000001</v>
      </c>
      <c r="K3294" t="s">
        <v>51</v>
      </c>
    </row>
    <row r="3295" spans="1:11" x14ac:dyDescent="0.45">
      <c r="A3295" t="s">
        <v>86</v>
      </c>
      <c r="B3295" t="s">
        <v>6</v>
      </c>
      <c r="C3295" t="s">
        <v>83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74.367000000000004</v>
      </c>
      <c r="K3295" t="s">
        <v>51</v>
      </c>
    </row>
    <row r="3296" spans="1:11" x14ac:dyDescent="0.45">
      <c r="A3296" t="s">
        <v>86</v>
      </c>
      <c r="B3296" t="s">
        <v>6</v>
      </c>
      <c r="C3296" t="s">
        <v>83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46.271599999999999</v>
      </c>
      <c r="K3296" t="s">
        <v>51</v>
      </c>
    </row>
    <row r="3297" spans="1:11" x14ac:dyDescent="0.45">
      <c r="A3297" t="s">
        <v>86</v>
      </c>
      <c r="B3297" t="s">
        <v>6</v>
      </c>
      <c r="C3297" t="s">
        <v>83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29.921500000000002</v>
      </c>
      <c r="K3297" t="s">
        <v>51</v>
      </c>
    </row>
    <row r="3298" spans="1:11" x14ac:dyDescent="0.45">
      <c r="A3298" t="s">
        <v>86</v>
      </c>
      <c r="B3298" t="s">
        <v>6</v>
      </c>
      <c r="C3298" t="s">
        <v>83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24.821200000000001</v>
      </c>
      <c r="K3298" t="s">
        <v>51</v>
      </c>
    </row>
    <row r="3299" spans="1:11" x14ac:dyDescent="0.45">
      <c r="A3299" t="s">
        <v>86</v>
      </c>
      <c r="B3299" t="s">
        <v>6</v>
      </c>
      <c r="C3299" t="s">
        <v>83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19.0137</v>
      </c>
      <c r="K3299" t="s">
        <v>51</v>
      </c>
    </row>
    <row r="3300" spans="1:11" x14ac:dyDescent="0.45">
      <c r="A3300" t="s">
        <v>86</v>
      </c>
      <c r="B3300" t="s">
        <v>6</v>
      </c>
      <c r="C3300" t="s">
        <v>83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18.5639</v>
      </c>
      <c r="K3300" t="s">
        <v>51</v>
      </c>
    </row>
    <row r="3301" spans="1:11" x14ac:dyDescent="0.45">
      <c r="A3301" t="s">
        <v>86</v>
      </c>
      <c r="B3301" t="s">
        <v>6</v>
      </c>
      <c r="C3301" t="s">
        <v>83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17.923100000000002</v>
      </c>
      <c r="K3301" t="s">
        <v>51</v>
      </c>
    </row>
    <row r="3302" spans="1:11" x14ac:dyDescent="0.45">
      <c r="A3302" t="s">
        <v>86</v>
      </c>
      <c r="B3302" t="s">
        <v>6</v>
      </c>
      <c r="C3302" t="s">
        <v>83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15.8348</v>
      </c>
      <c r="K3302" t="s">
        <v>51</v>
      </c>
    </row>
    <row r="3303" spans="1:11" x14ac:dyDescent="0.45">
      <c r="A3303" t="s">
        <v>86</v>
      </c>
      <c r="B3303" t="s">
        <v>6</v>
      </c>
      <c r="C3303" t="s">
        <v>83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13.767899999999999</v>
      </c>
      <c r="K3303" t="s">
        <v>51</v>
      </c>
    </row>
    <row r="3304" spans="1:11" x14ac:dyDescent="0.45">
      <c r="A3304" t="s">
        <v>86</v>
      </c>
      <c r="B3304" t="s">
        <v>6</v>
      </c>
      <c r="C3304" t="s">
        <v>83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14.130699999999999</v>
      </c>
      <c r="K3304" t="s">
        <v>51</v>
      </c>
    </row>
    <row r="3305" spans="1:11" x14ac:dyDescent="0.45">
      <c r="A3305" t="s">
        <v>86</v>
      </c>
      <c r="B3305" t="s">
        <v>6</v>
      </c>
      <c r="C3305" t="s">
        <v>83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14.569900000000001</v>
      </c>
      <c r="K3305" t="s">
        <v>51</v>
      </c>
    </row>
    <row r="3306" spans="1:11" x14ac:dyDescent="0.45">
      <c r="A3306" t="s">
        <v>86</v>
      </c>
      <c r="B3306" t="s">
        <v>5</v>
      </c>
      <c r="C3306" t="s">
        <v>83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86</v>
      </c>
      <c r="B3307" t="s">
        <v>5</v>
      </c>
      <c r="C3307" t="s">
        <v>83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86</v>
      </c>
      <c r="B3308" t="s">
        <v>5</v>
      </c>
      <c r="C3308" t="s">
        <v>83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5.5060000000000002</v>
      </c>
      <c r="K3308" t="s">
        <v>45</v>
      </c>
    </row>
    <row r="3309" spans="1:11" x14ac:dyDescent="0.45">
      <c r="A3309" t="s">
        <v>86</v>
      </c>
      <c r="B3309" t="s">
        <v>5</v>
      </c>
      <c r="C3309" t="s">
        <v>83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19.192499999999999</v>
      </c>
      <c r="K3309" t="s">
        <v>45</v>
      </c>
    </row>
    <row r="3310" spans="1:11" x14ac:dyDescent="0.45">
      <c r="A3310" t="s">
        <v>86</v>
      </c>
      <c r="B3310" t="s">
        <v>5</v>
      </c>
      <c r="C3310" t="s">
        <v>83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14.3162</v>
      </c>
      <c r="K3310" t="s">
        <v>45</v>
      </c>
    </row>
    <row r="3311" spans="1:11" x14ac:dyDescent="0.45">
      <c r="A3311" t="s">
        <v>86</v>
      </c>
      <c r="B3311" t="s">
        <v>5</v>
      </c>
      <c r="C3311" t="s">
        <v>83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7.4732000000000003</v>
      </c>
      <c r="K3311" t="s">
        <v>45</v>
      </c>
    </row>
    <row r="3312" spans="1:11" x14ac:dyDescent="0.45">
      <c r="A3312" t="s">
        <v>86</v>
      </c>
      <c r="B3312" t="s">
        <v>5</v>
      </c>
      <c r="C3312" t="s">
        <v>83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7.5486000000000004</v>
      </c>
      <c r="K3312" t="s">
        <v>45</v>
      </c>
    </row>
    <row r="3313" spans="1:11" x14ac:dyDescent="0.45">
      <c r="A3313" t="s">
        <v>86</v>
      </c>
      <c r="B3313" t="s">
        <v>5</v>
      </c>
      <c r="C3313" t="s">
        <v>83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8.2744999999999997</v>
      </c>
      <c r="K3313" t="s">
        <v>45</v>
      </c>
    </row>
    <row r="3314" spans="1:11" x14ac:dyDescent="0.45">
      <c r="A3314" t="s">
        <v>86</v>
      </c>
      <c r="B3314" t="s">
        <v>5</v>
      </c>
      <c r="C3314" t="s">
        <v>83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9.7284000000000006</v>
      </c>
      <c r="K3314" t="s">
        <v>45</v>
      </c>
    </row>
    <row r="3315" spans="1:11" x14ac:dyDescent="0.45">
      <c r="A3315" t="s">
        <v>86</v>
      </c>
      <c r="B3315" t="s">
        <v>5</v>
      </c>
      <c r="C3315" t="s">
        <v>83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10.6752</v>
      </c>
      <c r="K3315" t="s">
        <v>45</v>
      </c>
    </row>
    <row r="3316" spans="1:11" x14ac:dyDescent="0.45">
      <c r="A3316" t="s">
        <v>86</v>
      </c>
      <c r="B3316" t="s">
        <v>5</v>
      </c>
      <c r="C3316" t="s">
        <v>83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11.6267</v>
      </c>
      <c r="K3316" t="s">
        <v>45</v>
      </c>
    </row>
    <row r="3317" spans="1:11" x14ac:dyDescent="0.45">
      <c r="A3317" t="s">
        <v>86</v>
      </c>
      <c r="B3317" t="s">
        <v>5</v>
      </c>
      <c r="C3317" t="s">
        <v>83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12.717000000000001</v>
      </c>
      <c r="K3317" t="s">
        <v>45</v>
      </c>
    </row>
    <row r="3318" spans="1:11" x14ac:dyDescent="0.45">
      <c r="A3318" t="s">
        <v>86</v>
      </c>
      <c r="B3318" t="s">
        <v>5</v>
      </c>
      <c r="C3318" t="s">
        <v>83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13.806900000000001</v>
      </c>
      <c r="K3318" t="s">
        <v>45</v>
      </c>
    </row>
    <row r="3319" spans="1:11" x14ac:dyDescent="0.45">
      <c r="A3319" t="s">
        <v>86</v>
      </c>
      <c r="B3319" t="s">
        <v>5</v>
      </c>
      <c r="C3319" t="s">
        <v>83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14.625500000000001</v>
      </c>
      <c r="K3319" t="s">
        <v>45</v>
      </c>
    </row>
    <row r="3320" spans="1:11" x14ac:dyDescent="0.45">
      <c r="A3320" t="s">
        <v>86</v>
      </c>
      <c r="B3320" t="s">
        <v>5</v>
      </c>
      <c r="C3320" t="s">
        <v>83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15.5884</v>
      </c>
      <c r="K3320" t="s">
        <v>45</v>
      </c>
    </row>
    <row r="3321" spans="1:11" x14ac:dyDescent="0.45">
      <c r="A3321" t="s">
        <v>86</v>
      </c>
      <c r="B3321" t="s">
        <v>5</v>
      </c>
      <c r="C3321" t="s">
        <v>83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15.3459</v>
      </c>
      <c r="K3321" t="s">
        <v>45</v>
      </c>
    </row>
    <row r="3322" spans="1:11" x14ac:dyDescent="0.45">
      <c r="A3322" t="s">
        <v>86</v>
      </c>
      <c r="B3322" t="s">
        <v>5</v>
      </c>
      <c r="C3322" t="s">
        <v>83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14.801299999999999</v>
      </c>
      <c r="K3322" t="s">
        <v>45</v>
      </c>
    </row>
    <row r="3323" spans="1:11" x14ac:dyDescent="0.45">
      <c r="A3323" t="s">
        <v>86</v>
      </c>
      <c r="B3323" t="s">
        <v>5</v>
      </c>
      <c r="C3323" t="s">
        <v>83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0.1608</v>
      </c>
      <c r="K3323" t="s">
        <v>24</v>
      </c>
    </row>
    <row r="3324" spans="1:11" x14ac:dyDescent="0.45">
      <c r="A3324" t="s">
        <v>86</v>
      </c>
      <c r="B3324" t="s">
        <v>5</v>
      </c>
      <c r="C3324" t="s">
        <v>83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0.17150000000000001</v>
      </c>
      <c r="K3324" t="s">
        <v>24</v>
      </c>
    </row>
    <row r="3325" spans="1:11" x14ac:dyDescent="0.45">
      <c r="A3325" t="s">
        <v>86</v>
      </c>
      <c r="B3325" t="s">
        <v>5</v>
      </c>
      <c r="C3325" t="s">
        <v>83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0.1928</v>
      </c>
      <c r="K3325" t="s">
        <v>24</v>
      </c>
    </row>
    <row r="3326" spans="1:11" x14ac:dyDescent="0.45">
      <c r="A3326" t="s">
        <v>86</v>
      </c>
      <c r="B3326" t="s">
        <v>5</v>
      </c>
      <c r="C3326" t="s">
        <v>83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0.1779</v>
      </c>
      <c r="K3326" t="s">
        <v>24</v>
      </c>
    </row>
    <row r="3327" spans="1:11" x14ac:dyDescent="0.45">
      <c r="A3327" t="s">
        <v>86</v>
      </c>
      <c r="B3327" t="s">
        <v>5</v>
      </c>
      <c r="C3327" t="s">
        <v>83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0.156</v>
      </c>
      <c r="K3327" t="s">
        <v>24</v>
      </c>
    </row>
    <row r="3328" spans="1:11" x14ac:dyDescent="0.45">
      <c r="A3328" t="s">
        <v>86</v>
      </c>
      <c r="B3328" t="s">
        <v>5</v>
      </c>
      <c r="C3328" t="s">
        <v>83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0.16889999999999999</v>
      </c>
      <c r="K3328" t="s">
        <v>24</v>
      </c>
    </row>
    <row r="3329" spans="1:11" x14ac:dyDescent="0.45">
      <c r="A3329" t="s">
        <v>86</v>
      </c>
      <c r="B3329" t="s">
        <v>5</v>
      </c>
      <c r="C3329" t="s">
        <v>83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0.17230000000000001</v>
      </c>
      <c r="K3329" t="s">
        <v>24</v>
      </c>
    </row>
    <row r="3330" spans="1:11" x14ac:dyDescent="0.45">
      <c r="A3330" t="s">
        <v>86</v>
      </c>
      <c r="B3330" t="s">
        <v>5</v>
      </c>
      <c r="C3330" t="s">
        <v>83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0.17510000000000001</v>
      </c>
      <c r="K3330" t="s">
        <v>24</v>
      </c>
    </row>
    <row r="3331" spans="1:11" x14ac:dyDescent="0.45">
      <c r="A3331" t="s">
        <v>86</v>
      </c>
      <c r="B3331" t="s">
        <v>5</v>
      </c>
      <c r="C3331" t="s">
        <v>83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0.17219999999999999</v>
      </c>
      <c r="K3331" t="s">
        <v>24</v>
      </c>
    </row>
    <row r="3332" spans="1:11" x14ac:dyDescent="0.45">
      <c r="A3332" t="s">
        <v>86</v>
      </c>
      <c r="B3332" t="s">
        <v>5</v>
      </c>
      <c r="C3332" t="s">
        <v>83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0.1704</v>
      </c>
      <c r="K3332" t="s">
        <v>24</v>
      </c>
    </row>
    <row r="3333" spans="1:11" x14ac:dyDescent="0.45">
      <c r="A3333" t="s">
        <v>86</v>
      </c>
      <c r="B3333" t="s">
        <v>5</v>
      </c>
      <c r="C3333" t="s">
        <v>83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0.1641</v>
      </c>
      <c r="K3333" t="s">
        <v>24</v>
      </c>
    </row>
    <row r="3334" spans="1:11" x14ac:dyDescent="0.45">
      <c r="A3334" t="s">
        <v>86</v>
      </c>
      <c r="B3334" t="s">
        <v>5</v>
      </c>
      <c r="C3334" t="s">
        <v>83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0.1628</v>
      </c>
      <c r="K3334" t="s">
        <v>24</v>
      </c>
    </row>
    <row r="3335" spans="1:11" x14ac:dyDescent="0.45">
      <c r="A3335" t="s">
        <v>86</v>
      </c>
      <c r="B3335" t="s">
        <v>5</v>
      </c>
      <c r="C3335" t="s">
        <v>83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0.16120000000000001</v>
      </c>
      <c r="K3335" t="s">
        <v>24</v>
      </c>
    </row>
    <row r="3336" spans="1:11" x14ac:dyDescent="0.45">
      <c r="A3336" t="s">
        <v>86</v>
      </c>
      <c r="B3336" t="s">
        <v>5</v>
      </c>
      <c r="C3336" t="s">
        <v>83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0.15859999999999999</v>
      </c>
      <c r="K3336" t="s">
        <v>24</v>
      </c>
    </row>
    <row r="3337" spans="1:11" x14ac:dyDescent="0.45">
      <c r="A3337" t="s">
        <v>86</v>
      </c>
      <c r="B3337" t="s">
        <v>5</v>
      </c>
      <c r="C3337" t="s">
        <v>83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0.1598</v>
      </c>
      <c r="K3337" t="s">
        <v>24</v>
      </c>
    </row>
    <row r="3338" spans="1:11" x14ac:dyDescent="0.45">
      <c r="A3338" t="s">
        <v>86</v>
      </c>
      <c r="B3338" t="s">
        <v>5</v>
      </c>
      <c r="C3338" t="s">
        <v>83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0.1583</v>
      </c>
      <c r="K3338" t="s">
        <v>24</v>
      </c>
    </row>
    <row r="3339" spans="1:11" x14ac:dyDescent="0.45">
      <c r="A3339" t="s">
        <v>86</v>
      </c>
      <c r="B3339" t="s">
        <v>5</v>
      </c>
      <c r="C3339" t="s">
        <v>83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0.15679999999999999</v>
      </c>
      <c r="K3339" t="s">
        <v>24</v>
      </c>
    </row>
    <row r="3340" spans="1:11" x14ac:dyDescent="0.45">
      <c r="A3340" t="s">
        <v>86</v>
      </c>
      <c r="B3340" t="s">
        <v>5</v>
      </c>
      <c r="C3340" t="s">
        <v>83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9.5100000000000004E-2</v>
      </c>
      <c r="K3340" t="s">
        <v>28</v>
      </c>
    </row>
    <row r="3341" spans="1:11" x14ac:dyDescent="0.45">
      <c r="A3341" t="s">
        <v>86</v>
      </c>
      <c r="B3341" t="s">
        <v>5</v>
      </c>
      <c r="C3341" t="s">
        <v>83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0.1203</v>
      </c>
      <c r="K3341" t="s">
        <v>28</v>
      </c>
    </row>
    <row r="3342" spans="1:11" x14ac:dyDescent="0.45">
      <c r="A3342" t="s">
        <v>86</v>
      </c>
      <c r="B3342" t="s">
        <v>5</v>
      </c>
      <c r="C3342" t="s">
        <v>83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0.1913</v>
      </c>
      <c r="K3342" t="s">
        <v>28</v>
      </c>
    </row>
    <row r="3343" spans="1:11" x14ac:dyDescent="0.45">
      <c r="A3343" t="s">
        <v>86</v>
      </c>
      <c r="B3343" t="s">
        <v>5</v>
      </c>
      <c r="C3343" t="s">
        <v>83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0.24179999999999999</v>
      </c>
      <c r="K3343" t="s">
        <v>28</v>
      </c>
    </row>
    <row r="3344" spans="1:11" x14ac:dyDescent="0.45">
      <c r="A3344" t="s">
        <v>86</v>
      </c>
      <c r="B3344" t="s">
        <v>5</v>
      </c>
      <c r="C3344" t="s">
        <v>83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0.26779999999999998</v>
      </c>
      <c r="K3344" t="s">
        <v>28</v>
      </c>
    </row>
    <row r="3345" spans="1:11" x14ac:dyDescent="0.45">
      <c r="A3345" t="s">
        <v>86</v>
      </c>
      <c r="B3345" t="s">
        <v>5</v>
      </c>
      <c r="C3345" t="s">
        <v>83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0.28999999999999998</v>
      </c>
      <c r="K3345" t="s">
        <v>28</v>
      </c>
    </row>
    <row r="3346" spans="1:11" x14ac:dyDescent="0.45">
      <c r="A3346" t="s">
        <v>86</v>
      </c>
      <c r="B3346" t="s">
        <v>5</v>
      </c>
      <c r="C3346" t="s">
        <v>83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0.31130000000000002</v>
      </c>
      <c r="K3346" t="s">
        <v>28</v>
      </c>
    </row>
    <row r="3347" spans="1:11" x14ac:dyDescent="0.45">
      <c r="A3347" t="s">
        <v>86</v>
      </c>
      <c r="B3347" t="s">
        <v>5</v>
      </c>
      <c r="C3347" t="s">
        <v>83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0.29339999999999999</v>
      </c>
      <c r="K3347" t="s">
        <v>28</v>
      </c>
    </row>
    <row r="3348" spans="1:11" x14ac:dyDescent="0.45">
      <c r="A3348" t="s">
        <v>86</v>
      </c>
      <c r="B3348" t="s">
        <v>5</v>
      </c>
      <c r="C3348" t="s">
        <v>83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0.30609999999999998</v>
      </c>
      <c r="K3348" t="s">
        <v>28</v>
      </c>
    </row>
    <row r="3349" spans="1:11" x14ac:dyDescent="0.45">
      <c r="A3349" t="s">
        <v>86</v>
      </c>
      <c r="B3349" t="s">
        <v>5</v>
      </c>
      <c r="C3349" t="s">
        <v>83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0.29720000000000002</v>
      </c>
      <c r="K3349" t="s">
        <v>28</v>
      </c>
    </row>
    <row r="3350" spans="1:11" x14ac:dyDescent="0.45">
      <c r="A3350" t="s">
        <v>86</v>
      </c>
      <c r="B3350" t="s">
        <v>5</v>
      </c>
      <c r="C3350" t="s">
        <v>83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0.29399999999999998</v>
      </c>
      <c r="K3350" t="s">
        <v>28</v>
      </c>
    </row>
    <row r="3351" spans="1:11" x14ac:dyDescent="0.45">
      <c r="A3351" t="s">
        <v>86</v>
      </c>
      <c r="B3351" t="s">
        <v>5</v>
      </c>
      <c r="C3351" t="s">
        <v>83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0.30549999999999999</v>
      </c>
      <c r="K3351" t="s">
        <v>28</v>
      </c>
    </row>
    <row r="3352" spans="1:11" x14ac:dyDescent="0.45">
      <c r="A3352" t="s">
        <v>86</v>
      </c>
      <c r="B3352" t="s">
        <v>5</v>
      </c>
      <c r="C3352" t="s">
        <v>83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0.31719999999999998</v>
      </c>
      <c r="K3352" t="s">
        <v>28</v>
      </c>
    </row>
    <row r="3353" spans="1:11" x14ac:dyDescent="0.45">
      <c r="A3353" t="s">
        <v>86</v>
      </c>
      <c r="B3353" t="s">
        <v>5</v>
      </c>
      <c r="C3353" t="s">
        <v>83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0.32450000000000001</v>
      </c>
      <c r="K3353" t="s">
        <v>28</v>
      </c>
    </row>
    <row r="3354" spans="1:11" x14ac:dyDescent="0.45">
      <c r="A3354" t="s">
        <v>86</v>
      </c>
      <c r="B3354" t="s">
        <v>5</v>
      </c>
      <c r="C3354" t="s">
        <v>83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0.33989999999999998</v>
      </c>
      <c r="K3354" t="s">
        <v>28</v>
      </c>
    </row>
    <row r="3355" spans="1:11" x14ac:dyDescent="0.45">
      <c r="A3355" t="s">
        <v>86</v>
      </c>
      <c r="B3355" t="s">
        <v>5</v>
      </c>
      <c r="C3355" t="s">
        <v>83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0.3448</v>
      </c>
      <c r="K3355" t="s">
        <v>28</v>
      </c>
    </row>
    <row r="3356" spans="1:11" x14ac:dyDescent="0.45">
      <c r="A3356" t="s">
        <v>86</v>
      </c>
      <c r="B3356" t="s">
        <v>5</v>
      </c>
      <c r="C3356" t="s">
        <v>83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0.34960000000000002</v>
      </c>
      <c r="K3356" t="s">
        <v>28</v>
      </c>
    </row>
    <row r="3357" spans="1:11" x14ac:dyDescent="0.45">
      <c r="A3357" t="s">
        <v>86</v>
      </c>
      <c r="B3357" t="s">
        <v>5</v>
      </c>
      <c r="C3357" t="s">
        <v>83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1.09E-2</v>
      </c>
      <c r="K3357" t="s">
        <v>27</v>
      </c>
    </row>
    <row r="3358" spans="1:11" x14ac:dyDescent="0.45">
      <c r="A3358" t="s">
        <v>86</v>
      </c>
      <c r="B3358" t="s">
        <v>5</v>
      </c>
      <c r="C3358" t="s">
        <v>83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1.7899999999999999E-2</v>
      </c>
      <c r="K3358" t="s">
        <v>27</v>
      </c>
    </row>
    <row r="3359" spans="1:11" x14ac:dyDescent="0.45">
      <c r="A3359" t="s">
        <v>86</v>
      </c>
      <c r="B3359" t="s">
        <v>5</v>
      </c>
      <c r="C3359" t="s">
        <v>83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5.2699999999999997E-2</v>
      </c>
      <c r="K3359" t="s">
        <v>27</v>
      </c>
    </row>
    <row r="3360" spans="1:11" x14ac:dyDescent="0.45">
      <c r="A3360" t="s">
        <v>86</v>
      </c>
      <c r="B3360" t="s">
        <v>5</v>
      </c>
      <c r="C3360" t="s">
        <v>83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0.1002</v>
      </c>
      <c r="K3360" t="s">
        <v>27</v>
      </c>
    </row>
    <row r="3361" spans="1:11" x14ac:dyDescent="0.45">
      <c r="A3361" t="s">
        <v>86</v>
      </c>
      <c r="B3361" t="s">
        <v>5</v>
      </c>
      <c r="C3361" t="s">
        <v>83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0.13969999999999999</v>
      </c>
      <c r="K3361" t="s">
        <v>27</v>
      </c>
    </row>
    <row r="3362" spans="1:11" x14ac:dyDescent="0.45">
      <c r="A3362" t="s">
        <v>86</v>
      </c>
      <c r="B3362" t="s">
        <v>5</v>
      </c>
      <c r="C3362" t="s">
        <v>83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0.14269999999999999</v>
      </c>
      <c r="K3362" t="s">
        <v>27</v>
      </c>
    </row>
    <row r="3363" spans="1:11" x14ac:dyDescent="0.45">
      <c r="A3363" t="s">
        <v>86</v>
      </c>
      <c r="B3363" t="s">
        <v>5</v>
      </c>
      <c r="C3363" t="s">
        <v>83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0.1308</v>
      </c>
      <c r="K3363" t="s">
        <v>27</v>
      </c>
    </row>
    <row r="3364" spans="1:11" x14ac:dyDescent="0.45">
      <c r="A3364" t="s">
        <v>86</v>
      </c>
      <c r="B3364" t="s">
        <v>5</v>
      </c>
      <c r="C3364" t="s">
        <v>83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0.13420000000000001</v>
      </c>
      <c r="K3364" t="s">
        <v>27</v>
      </c>
    </row>
    <row r="3365" spans="1:11" x14ac:dyDescent="0.45">
      <c r="A3365" t="s">
        <v>86</v>
      </c>
      <c r="B3365" t="s">
        <v>5</v>
      </c>
      <c r="C3365" t="s">
        <v>83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0.12859999999999999</v>
      </c>
      <c r="K3365" t="s">
        <v>27</v>
      </c>
    </row>
    <row r="3366" spans="1:11" x14ac:dyDescent="0.45">
      <c r="A3366" t="s">
        <v>86</v>
      </c>
      <c r="B3366" t="s">
        <v>5</v>
      </c>
      <c r="C3366" t="s">
        <v>83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0.1181</v>
      </c>
      <c r="K3366" t="s">
        <v>27</v>
      </c>
    </row>
    <row r="3367" spans="1:11" x14ac:dyDescent="0.45">
      <c r="A3367" t="s">
        <v>86</v>
      </c>
      <c r="B3367" t="s">
        <v>5</v>
      </c>
      <c r="C3367" t="s">
        <v>83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0.1109</v>
      </c>
      <c r="K3367" t="s">
        <v>27</v>
      </c>
    </row>
    <row r="3368" spans="1:11" x14ac:dyDescent="0.45">
      <c r="A3368" t="s">
        <v>86</v>
      </c>
      <c r="B3368" t="s">
        <v>5</v>
      </c>
      <c r="C3368" t="s">
        <v>83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0.1076</v>
      </c>
      <c r="K3368" t="s">
        <v>27</v>
      </c>
    </row>
    <row r="3369" spans="1:11" x14ac:dyDescent="0.45">
      <c r="A3369" t="s">
        <v>86</v>
      </c>
      <c r="B3369" t="s">
        <v>5</v>
      </c>
      <c r="C3369" t="s">
        <v>83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0.1048</v>
      </c>
      <c r="K3369" t="s">
        <v>27</v>
      </c>
    </row>
    <row r="3370" spans="1:11" x14ac:dyDescent="0.45">
      <c r="A3370" t="s">
        <v>86</v>
      </c>
      <c r="B3370" t="s">
        <v>5</v>
      </c>
      <c r="C3370" t="s">
        <v>83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0.1022</v>
      </c>
      <c r="K3370" t="s">
        <v>27</v>
      </c>
    </row>
    <row r="3371" spans="1:11" x14ac:dyDescent="0.45">
      <c r="A3371" t="s">
        <v>86</v>
      </c>
      <c r="B3371" t="s">
        <v>5</v>
      </c>
      <c r="C3371" t="s">
        <v>83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0.1028</v>
      </c>
      <c r="K3371" t="s">
        <v>27</v>
      </c>
    </row>
    <row r="3372" spans="1:11" x14ac:dyDescent="0.45">
      <c r="A3372" t="s">
        <v>86</v>
      </c>
      <c r="B3372" t="s">
        <v>5</v>
      </c>
      <c r="C3372" t="s">
        <v>83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0.1031</v>
      </c>
      <c r="K3372" t="s">
        <v>27</v>
      </c>
    </row>
    <row r="3373" spans="1:11" x14ac:dyDescent="0.45">
      <c r="A3373" t="s">
        <v>86</v>
      </c>
      <c r="B3373" t="s">
        <v>5</v>
      </c>
      <c r="C3373" t="s">
        <v>83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0.1036</v>
      </c>
      <c r="K3373" t="s">
        <v>27</v>
      </c>
    </row>
    <row r="3374" spans="1:11" x14ac:dyDescent="0.45">
      <c r="A3374" t="s">
        <v>86</v>
      </c>
      <c r="B3374" t="s">
        <v>5</v>
      </c>
      <c r="C3374" t="s">
        <v>83</v>
      </c>
      <c r="D3374" t="s">
        <v>84</v>
      </c>
      <c r="E3374" t="s">
        <v>25</v>
      </c>
      <c r="F3374" t="s">
        <v>84</v>
      </c>
      <c r="G3374" t="s">
        <v>26</v>
      </c>
      <c r="H3374" t="s">
        <v>81</v>
      </c>
      <c r="I3374">
        <v>2020</v>
      </c>
      <c r="J3374">
        <v>4.7999999999999996E-3</v>
      </c>
      <c r="K3374" t="s">
        <v>84</v>
      </c>
    </row>
    <row r="3375" spans="1:11" x14ac:dyDescent="0.45">
      <c r="A3375" t="s">
        <v>86</v>
      </c>
      <c r="B3375" t="s">
        <v>5</v>
      </c>
      <c r="C3375" t="s">
        <v>83</v>
      </c>
      <c r="D3375" t="s">
        <v>84</v>
      </c>
      <c r="E3375" t="s">
        <v>25</v>
      </c>
      <c r="F3375" t="s">
        <v>84</v>
      </c>
      <c r="G3375" t="s">
        <v>26</v>
      </c>
      <c r="H3375" t="s">
        <v>81</v>
      </c>
      <c r="I3375">
        <v>2025</v>
      </c>
      <c r="J3375">
        <v>1.9199999999999998E-2</v>
      </c>
      <c r="K3375" t="s">
        <v>84</v>
      </c>
    </row>
    <row r="3376" spans="1:11" x14ac:dyDescent="0.45">
      <c r="A3376" t="s">
        <v>86</v>
      </c>
      <c r="B3376" t="s">
        <v>5</v>
      </c>
      <c r="C3376" t="s">
        <v>83</v>
      </c>
      <c r="D3376" t="s">
        <v>84</v>
      </c>
      <c r="E3376" t="s">
        <v>25</v>
      </c>
      <c r="F3376" t="s">
        <v>84</v>
      </c>
      <c r="G3376" t="s">
        <v>26</v>
      </c>
      <c r="H3376" t="s">
        <v>81</v>
      </c>
      <c r="I3376">
        <v>2030</v>
      </c>
      <c r="J3376">
        <v>2.7699999999999999E-2</v>
      </c>
      <c r="K3376" t="s">
        <v>84</v>
      </c>
    </row>
    <row r="3377" spans="1:12" x14ac:dyDescent="0.45">
      <c r="A3377" t="s">
        <v>86</v>
      </c>
      <c r="B3377" t="s">
        <v>5</v>
      </c>
      <c r="C3377" t="s">
        <v>83</v>
      </c>
      <c r="D3377" t="s">
        <v>84</v>
      </c>
      <c r="E3377" t="s">
        <v>25</v>
      </c>
      <c r="F3377" t="s">
        <v>84</v>
      </c>
      <c r="G3377" t="s">
        <v>26</v>
      </c>
      <c r="H3377" t="s">
        <v>81</v>
      </c>
      <c r="I3377">
        <v>2035</v>
      </c>
      <c r="J3377">
        <v>2.1899999999999999E-2</v>
      </c>
      <c r="K3377" t="s">
        <v>84</v>
      </c>
    </row>
    <row r="3378" spans="1:12" x14ac:dyDescent="0.45">
      <c r="A3378" t="s">
        <v>86</v>
      </c>
      <c r="B3378" t="s">
        <v>5</v>
      </c>
      <c r="C3378" t="s">
        <v>83</v>
      </c>
      <c r="D3378" t="s">
        <v>84</v>
      </c>
      <c r="E3378" t="s">
        <v>25</v>
      </c>
      <c r="F3378" t="s">
        <v>84</v>
      </c>
      <c r="G3378" t="s">
        <v>26</v>
      </c>
      <c r="H3378" t="s">
        <v>81</v>
      </c>
      <c r="I3378">
        <v>2040</v>
      </c>
      <c r="J3378">
        <v>1.6199999999999999E-2</v>
      </c>
      <c r="K3378" t="s">
        <v>84</v>
      </c>
    </row>
    <row r="3379" spans="1:12" x14ac:dyDescent="0.45">
      <c r="A3379" t="s">
        <v>86</v>
      </c>
      <c r="B3379" t="s">
        <v>5</v>
      </c>
      <c r="C3379" t="s">
        <v>83</v>
      </c>
      <c r="D3379" t="s">
        <v>84</v>
      </c>
      <c r="E3379" t="s">
        <v>25</v>
      </c>
      <c r="F3379" t="s">
        <v>84</v>
      </c>
      <c r="G3379" t="s">
        <v>26</v>
      </c>
      <c r="H3379" t="s">
        <v>81</v>
      </c>
      <c r="I3379">
        <v>2045</v>
      </c>
      <c r="J3379">
        <v>1.12E-2</v>
      </c>
      <c r="K3379" t="s">
        <v>84</v>
      </c>
    </row>
    <row r="3380" spans="1:12" x14ac:dyDescent="0.45">
      <c r="A3380" t="s">
        <v>86</v>
      </c>
      <c r="B3380" t="s">
        <v>5</v>
      </c>
      <c r="C3380" t="s">
        <v>83</v>
      </c>
      <c r="D3380" t="s">
        <v>84</v>
      </c>
      <c r="E3380" t="s">
        <v>25</v>
      </c>
      <c r="F3380" t="s">
        <v>84</v>
      </c>
      <c r="G3380" t="s">
        <v>26</v>
      </c>
      <c r="H3380" t="s">
        <v>81</v>
      </c>
      <c r="I3380">
        <v>2050</v>
      </c>
      <c r="J3380">
        <v>1.4E-2</v>
      </c>
      <c r="K3380" t="s">
        <v>84</v>
      </c>
    </row>
    <row r="3381" spans="1:12" x14ac:dyDescent="0.45">
      <c r="A3381" t="s">
        <v>86</v>
      </c>
      <c r="B3381" t="s">
        <v>5</v>
      </c>
      <c r="C3381" t="s">
        <v>83</v>
      </c>
      <c r="D3381" t="s">
        <v>84</v>
      </c>
      <c r="E3381" t="s">
        <v>25</v>
      </c>
      <c r="F3381" t="s">
        <v>84</v>
      </c>
      <c r="G3381" t="s">
        <v>26</v>
      </c>
      <c r="H3381" t="s">
        <v>81</v>
      </c>
      <c r="I3381">
        <v>2055</v>
      </c>
      <c r="J3381">
        <v>1.61E-2</v>
      </c>
      <c r="K3381" t="s">
        <v>84</v>
      </c>
    </row>
    <row r="3382" spans="1:12" x14ac:dyDescent="0.45">
      <c r="A3382" t="s">
        <v>86</v>
      </c>
      <c r="B3382" t="s">
        <v>5</v>
      </c>
      <c r="C3382" t="s">
        <v>83</v>
      </c>
      <c r="D3382" t="s">
        <v>84</v>
      </c>
      <c r="E3382" t="s">
        <v>25</v>
      </c>
      <c r="F3382" t="s">
        <v>84</v>
      </c>
      <c r="G3382" t="s">
        <v>26</v>
      </c>
      <c r="H3382" t="s">
        <v>81</v>
      </c>
      <c r="I3382">
        <v>2060</v>
      </c>
      <c r="J3382">
        <v>1.83E-2</v>
      </c>
      <c r="K3382" t="s">
        <v>84</v>
      </c>
    </row>
    <row r="3383" spans="1:12" x14ac:dyDescent="0.45">
      <c r="A3383" t="s">
        <v>86</v>
      </c>
      <c r="B3383" t="s">
        <v>5</v>
      </c>
      <c r="C3383" t="s">
        <v>83</v>
      </c>
      <c r="D3383" t="s">
        <v>84</v>
      </c>
      <c r="E3383" t="s">
        <v>25</v>
      </c>
      <c r="F3383" t="s">
        <v>84</v>
      </c>
      <c r="G3383" t="s">
        <v>26</v>
      </c>
      <c r="H3383" t="s">
        <v>81</v>
      </c>
      <c r="I3383">
        <v>2065</v>
      </c>
      <c r="J3383">
        <v>1.9099999999999999E-2</v>
      </c>
      <c r="K3383" t="s">
        <v>84</v>
      </c>
    </row>
    <row r="3384" spans="1:12" x14ac:dyDescent="0.45">
      <c r="A3384" t="s">
        <v>86</v>
      </c>
      <c r="B3384" t="s">
        <v>5</v>
      </c>
      <c r="C3384" t="s">
        <v>83</v>
      </c>
      <c r="D3384" t="s">
        <v>84</v>
      </c>
      <c r="E3384" t="s">
        <v>25</v>
      </c>
      <c r="F3384" t="s">
        <v>84</v>
      </c>
      <c r="G3384" t="s">
        <v>26</v>
      </c>
      <c r="H3384" t="s">
        <v>81</v>
      </c>
      <c r="I3384">
        <v>2070</v>
      </c>
      <c r="J3384">
        <v>1.95E-2</v>
      </c>
      <c r="K3384" t="s">
        <v>84</v>
      </c>
    </row>
    <row r="3385" spans="1:12" x14ac:dyDescent="0.45">
      <c r="A3385" t="s">
        <v>86</v>
      </c>
      <c r="B3385" t="s">
        <v>5</v>
      </c>
      <c r="C3385" t="s">
        <v>83</v>
      </c>
      <c r="D3385" t="s">
        <v>84</v>
      </c>
      <c r="E3385" t="s">
        <v>25</v>
      </c>
      <c r="F3385" t="s">
        <v>84</v>
      </c>
      <c r="G3385" t="s">
        <v>26</v>
      </c>
      <c r="H3385" t="s">
        <v>81</v>
      </c>
      <c r="I3385">
        <v>2075</v>
      </c>
      <c r="J3385">
        <v>1.95E-2</v>
      </c>
      <c r="K3385" t="s">
        <v>84</v>
      </c>
    </row>
    <row r="3386" spans="1:12" x14ac:dyDescent="0.45">
      <c r="A3386" t="s">
        <v>86</v>
      </c>
      <c r="B3386" t="s">
        <v>5</v>
      </c>
      <c r="C3386" t="s">
        <v>83</v>
      </c>
      <c r="D3386" t="s">
        <v>84</v>
      </c>
      <c r="E3386" t="s">
        <v>25</v>
      </c>
      <c r="F3386" t="s">
        <v>84</v>
      </c>
      <c r="G3386" t="s">
        <v>26</v>
      </c>
      <c r="H3386" t="s">
        <v>81</v>
      </c>
      <c r="I3386">
        <v>2080</v>
      </c>
      <c r="J3386">
        <v>1.9099999999999999E-2</v>
      </c>
      <c r="K3386" t="s">
        <v>84</v>
      </c>
    </row>
    <row r="3387" spans="1:12" x14ac:dyDescent="0.45">
      <c r="A3387" t="s">
        <v>86</v>
      </c>
      <c r="B3387" t="s">
        <v>5</v>
      </c>
      <c r="C3387" t="s">
        <v>83</v>
      </c>
      <c r="D3387" t="s">
        <v>84</v>
      </c>
      <c r="E3387" t="s">
        <v>25</v>
      </c>
      <c r="F3387" t="s">
        <v>84</v>
      </c>
      <c r="G3387" t="s">
        <v>26</v>
      </c>
      <c r="H3387" t="s">
        <v>81</v>
      </c>
      <c r="I3387">
        <v>2085</v>
      </c>
      <c r="J3387">
        <v>2.1700000000000001E-2</v>
      </c>
      <c r="K3387" t="s">
        <v>84</v>
      </c>
    </row>
    <row r="3388" spans="1:12" x14ac:dyDescent="0.45">
      <c r="A3388" t="s">
        <v>86</v>
      </c>
      <c r="B3388" t="s">
        <v>5</v>
      </c>
      <c r="C3388" t="s">
        <v>83</v>
      </c>
      <c r="D3388" t="s">
        <v>84</v>
      </c>
      <c r="E3388" t="s">
        <v>25</v>
      </c>
      <c r="F3388" t="s">
        <v>84</v>
      </c>
      <c r="G3388" t="s">
        <v>26</v>
      </c>
      <c r="H3388" t="s">
        <v>81</v>
      </c>
      <c r="I3388">
        <v>2090</v>
      </c>
      <c r="J3388">
        <v>2.46E-2</v>
      </c>
      <c r="K3388" t="s">
        <v>84</v>
      </c>
    </row>
    <row r="3389" spans="1:12" x14ac:dyDescent="0.45">
      <c r="A3389" t="s">
        <v>86</v>
      </c>
      <c r="B3389" t="s">
        <v>5</v>
      </c>
      <c r="C3389" t="s">
        <v>83</v>
      </c>
      <c r="D3389" t="s">
        <v>84</v>
      </c>
      <c r="E3389" t="s">
        <v>25</v>
      </c>
      <c r="F3389" t="s">
        <v>84</v>
      </c>
      <c r="G3389" t="s">
        <v>26</v>
      </c>
      <c r="H3389" t="s">
        <v>81</v>
      </c>
      <c r="I3389">
        <v>2095</v>
      </c>
      <c r="J3389">
        <v>0.03</v>
      </c>
      <c r="K3389" t="s">
        <v>84</v>
      </c>
    </row>
    <row r="3390" spans="1:12" x14ac:dyDescent="0.45">
      <c r="A3390" t="s">
        <v>86</v>
      </c>
      <c r="B3390" t="s">
        <v>5</v>
      </c>
      <c r="C3390" t="s">
        <v>83</v>
      </c>
      <c r="D3390" t="s">
        <v>84</v>
      </c>
      <c r="E3390" t="s">
        <v>25</v>
      </c>
      <c r="F3390" t="s">
        <v>84</v>
      </c>
      <c r="G3390" t="s">
        <v>26</v>
      </c>
      <c r="H3390" t="s">
        <v>81</v>
      </c>
      <c r="I3390">
        <v>2100</v>
      </c>
      <c r="J3390">
        <v>3.49E-2</v>
      </c>
      <c r="K3390" t="s">
        <v>84</v>
      </c>
    </row>
    <row r="3391" spans="1:12" x14ac:dyDescent="0.45">
      <c r="A3391" t="s">
        <v>86</v>
      </c>
      <c r="B3391" t="s">
        <v>5</v>
      </c>
      <c r="C3391" t="s">
        <v>83</v>
      </c>
      <c r="D3391" t="s">
        <v>52</v>
      </c>
      <c r="E3391" t="s">
        <v>25</v>
      </c>
      <c r="F3391" t="s">
        <v>52</v>
      </c>
      <c r="G3391" t="s">
        <v>70</v>
      </c>
      <c r="I3391">
        <v>2020</v>
      </c>
      <c r="J3391">
        <v>0.3337</v>
      </c>
      <c r="K3391" t="s">
        <v>52</v>
      </c>
      <c r="L3391">
        <v>94</v>
      </c>
    </row>
    <row r="3392" spans="1:12" x14ac:dyDescent="0.45">
      <c r="A3392" t="s">
        <v>86</v>
      </c>
      <c r="B3392" t="s">
        <v>5</v>
      </c>
      <c r="C3392" t="s">
        <v>83</v>
      </c>
      <c r="D3392" t="s">
        <v>52</v>
      </c>
      <c r="E3392" t="s">
        <v>25</v>
      </c>
      <c r="F3392" t="s">
        <v>52</v>
      </c>
      <c r="G3392" t="s">
        <v>70</v>
      </c>
      <c r="I3392">
        <v>2025</v>
      </c>
      <c r="J3392">
        <v>0.31630000000000003</v>
      </c>
      <c r="K3392" t="s">
        <v>52</v>
      </c>
      <c r="L3392">
        <v>94</v>
      </c>
    </row>
    <row r="3393" spans="1:12" x14ac:dyDescent="0.45">
      <c r="A3393" t="s">
        <v>86</v>
      </c>
      <c r="B3393" t="s">
        <v>5</v>
      </c>
      <c r="C3393" t="s">
        <v>83</v>
      </c>
      <c r="D3393" t="s">
        <v>52</v>
      </c>
      <c r="E3393" t="s">
        <v>25</v>
      </c>
      <c r="F3393" t="s">
        <v>52</v>
      </c>
      <c r="G3393" t="s">
        <v>70</v>
      </c>
      <c r="I3393">
        <v>2030</v>
      </c>
      <c r="J3393">
        <v>0.29570000000000002</v>
      </c>
      <c r="K3393" t="s">
        <v>52</v>
      </c>
      <c r="L3393">
        <v>94</v>
      </c>
    </row>
    <row r="3394" spans="1:12" x14ac:dyDescent="0.45">
      <c r="A3394" t="s">
        <v>86</v>
      </c>
      <c r="B3394" t="s">
        <v>5</v>
      </c>
      <c r="C3394" t="s">
        <v>83</v>
      </c>
      <c r="D3394" t="s">
        <v>52</v>
      </c>
      <c r="E3394" t="s">
        <v>25</v>
      </c>
      <c r="F3394" t="s">
        <v>52</v>
      </c>
      <c r="G3394" t="s">
        <v>70</v>
      </c>
      <c r="I3394">
        <v>2035</v>
      </c>
      <c r="J3394">
        <v>0.13539999999999999</v>
      </c>
      <c r="K3394" t="s">
        <v>52</v>
      </c>
      <c r="L3394">
        <v>94</v>
      </c>
    </row>
    <row r="3395" spans="1:12" x14ac:dyDescent="0.45">
      <c r="A3395" t="s">
        <v>86</v>
      </c>
      <c r="B3395" t="s">
        <v>5</v>
      </c>
      <c r="C3395" t="s">
        <v>83</v>
      </c>
      <c r="D3395" t="s">
        <v>52</v>
      </c>
      <c r="E3395" t="s">
        <v>25</v>
      </c>
      <c r="F3395" t="s">
        <v>52</v>
      </c>
      <c r="G3395" t="s">
        <v>70</v>
      </c>
      <c r="I3395">
        <v>2040</v>
      </c>
      <c r="J3395">
        <v>4.1000000000000002E-2</v>
      </c>
      <c r="K3395" t="s">
        <v>52</v>
      </c>
      <c r="L3395">
        <v>94</v>
      </c>
    </row>
    <row r="3396" spans="1:12" x14ac:dyDescent="0.45">
      <c r="A3396" t="s">
        <v>86</v>
      </c>
      <c r="B3396" t="s">
        <v>5</v>
      </c>
      <c r="C3396" t="s">
        <v>83</v>
      </c>
      <c r="D3396" t="s">
        <v>52</v>
      </c>
      <c r="E3396" t="s">
        <v>25</v>
      </c>
      <c r="F3396" t="s">
        <v>52</v>
      </c>
      <c r="G3396" t="s">
        <v>70</v>
      </c>
      <c r="I3396">
        <v>2045</v>
      </c>
      <c r="J3396">
        <v>1E-4</v>
      </c>
      <c r="K3396" t="s">
        <v>52</v>
      </c>
      <c r="L3396">
        <v>94</v>
      </c>
    </row>
    <row r="3397" spans="1:12" x14ac:dyDescent="0.45">
      <c r="A3397" t="s">
        <v>86</v>
      </c>
      <c r="B3397" t="s">
        <v>5</v>
      </c>
      <c r="C3397" t="s">
        <v>83</v>
      </c>
      <c r="D3397" t="s">
        <v>52</v>
      </c>
      <c r="E3397" t="s">
        <v>25</v>
      </c>
      <c r="F3397" t="s">
        <v>52</v>
      </c>
      <c r="G3397" t="s">
        <v>70</v>
      </c>
      <c r="I3397">
        <v>2050</v>
      </c>
      <c r="J3397">
        <v>1E-4</v>
      </c>
      <c r="K3397" t="s">
        <v>52</v>
      </c>
      <c r="L3397">
        <v>94</v>
      </c>
    </row>
    <row r="3398" spans="1:12" x14ac:dyDescent="0.45">
      <c r="A3398" t="s">
        <v>86</v>
      </c>
      <c r="B3398" t="s">
        <v>5</v>
      </c>
      <c r="C3398" t="s">
        <v>83</v>
      </c>
      <c r="D3398" t="s">
        <v>52</v>
      </c>
      <c r="E3398" t="s">
        <v>25</v>
      </c>
      <c r="F3398" t="s">
        <v>52</v>
      </c>
      <c r="G3398" t="s">
        <v>70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86</v>
      </c>
      <c r="B3399" t="s">
        <v>5</v>
      </c>
      <c r="C3399" t="s">
        <v>83</v>
      </c>
      <c r="D3399" t="s">
        <v>52</v>
      </c>
      <c r="E3399" t="s">
        <v>25</v>
      </c>
      <c r="F3399" t="s">
        <v>52</v>
      </c>
      <c r="G3399" t="s">
        <v>70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86</v>
      </c>
      <c r="B3400" t="s">
        <v>5</v>
      </c>
      <c r="C3400" t="s">
        <v>83</v>
      </c>
      <c r="D3400" t="s">
        <v>52</v>
      </c>
      <c r="E3400" t="s">
        <v>25</v>
      </c>
      <c r="F3400" t="s">
        <v>52</v>
      </c>
      <c r="G3400" t="s">
        <v>70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86</v>
      </c>
      <c r="B3401" t="s">
        <v>5</v>
      </c>
      <c r="C3401" t="s">
        <v>83</v>
      </c>
      <c r="D3401" t="s">
        <v>52</v>
      </c>
      <c r="E3401" t="s">
        <v>25</v>
      </c>
      <c r="F3401" t="s">
        <v>52</v>
      </c>
      <c r="G3401" t="s">
        <v>70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86</v>
      </c>
      <c r="B3402" t="s">
        <v>5</v>
      </c>
      <c r="C3402" t="s">
        <v>83</v>
      </c>
      <c r="D3402" t="s">
        <v>52</v>
      </c>
      <c r="E3402" t="s">
        <v>25</v>
      </c>
      <c r="F3402" t="s">
        <v>52</v>
      </c>
      <c r="G3402" t="s">
        <v>70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86</v>
      </c>
      <c r="B3403" t="s">
        <v>5</v>
      </c>
      <c r="C3403" t="s">
        <v>83</v>
      </c>
      <c r="D3403" t="s">
        <v>52</v>
      </c>
      <c r="E3403" t="s">
        <v>25</v>
      </c>
      <c r="F3403" t="s">
        <v>52</v>
      </c>
      <c r="G3403" t="s">
        <v>70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86</v>
      </c>
      <c r="B3404" t="s">
        <v>5</v>
      </c>
      <c r="C3404" t="s">
        <v>83</v>
      </c>
      <c r="D3404" t="s">
        <v>52</v>
      </c>
      <c r="E3404" t="s">
        <v>25</v>
      </c>
      <c r="F3404" t="s">
        <v>52</v>
      </c>
      <c r="G3404" t="s">
        <v>70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86</v>
      </c>
      <c r="B3405" t="s">
        <v>5</v>
      </c>
      <c r="C3405" t="s">
        <v>83</v>
      </c>
      <c r="D3405" t="s">
        <v>52</v>
      </c>
      <c r="E3405" t="s">
        <v>25</v>
      </c>
      <c r="F3405" t="s">
        <v>52</v>
      </c>
      <c r="G3405" t="s">
        <v>70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86</v>
      </c>
      <c r="B3406" t="s">
        <v>5</v>
      </c>
      <c r="C3406" t="s">
        <v>83</v>
      </c>
      <c r="D3406" t="s">
        <v>52</v>
      </c>
      <c r="E3406" t="s">
        <v>25</v>
      </c>
      <c r="F3406" t="s">
        <v>52</v>
      </c>
      <c r="G3406" t="s">
        <v>70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86</v>
      </c>
      <c r="B3407" t="s">
        <v>5</v>
      </c>
      <c r="C3407" t="s">
        <v>83</v>
      </c>
      <c r="D3407" t="s">
        <v>52</v>
      </c>
      <c r="E3407" t="s">
        <v>25</v>
      </c>
      <c r="F3407" t="s">
        <v>52</v>
      </c>
      <c r="G3407" t="s">
        <v>70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86</v>
      </c>
      <c r="B3408" t="s">
        <v>5</v>
      </c>
      <c r="C3408" t="s">
        <v>83</v>
      </c>
      <c r="D3408" t="s">
        <v>53</v>
      </c>
      <c r="E3408" t="s">
        <v>25</v>
      </c>
      <c r="F3408" t="s">
        <v>53</v>
      </c>
      <c r="G3408" t="s">
        <v>70</v>
      </c>
      <c r="I3408">
        <v>2020</v>
      </c>
      <c r="J3408">
        <v>0.1108</v>
      </c>
      <c r="K3408" t="s">
        <v>53</v>
      </c>
      <c r="L3408">
        <v>55</v>
      </c>
    </row>
    <row r="3409" spans="1:12" x14ac:dyDescent="0.45">
      <c r="A3409" t="s">
        <v>86</v>
      </c>
      <c r="B3409" t="s">
        <v>5</v>
      </c>
      <c r="C3409" t="s">
        <v>83</v>
      </c>
      <c r="D3409" t="s">
        <v>53</v>
      </c>
      <c r="E3409" t="s">
        <v>25</v>
      </c>
      <c r="F3409" t="s">
        <v>53</v>
      </c>
      <c r="G3409" t="s">
        <v>70</v>
      </c>
      <c r="I3409">
        <v>2025</v>
      </c>
      <c r="J3409">
        <v>0.1326</v>
      </c>
      <c r="K3409" t="s">
        <v>53</v>
      </c>
      <c r="L3409">
        <v>55</v>
      </c>
    </row>
    <row r="3410" spans="1:12" x14ac:dyDescent="0.45">
      <c r="A3410" t="s">
        <v>86</v>
      </c>
      <c r="B3410" t="s">
        <v>5</v>
      </c>
      <c r="C3410" t="s">
        <v>83</v>
      </c>
      <c r="D3410" t="s">
        <v>53</v>
      </c>
      <c r="E3410" t="s">
        <v>25</v>
      </c>
      <c r="F3410" t="s">
        <v>53</v>
      </c>
      <c r="G3410" t="s">
        <v>70</v>
      </c>
      <c r="I3410">
        <v>2030</v>
      </c>
      <c r="J3410">
        <v>0.1178</v>
      </c>
      <c r="K3410" t="s">
        <v>53</v>
      </c>
      <c r="L3410">
        <v>55</v>
      </c>
    </row>
    <row r="3411" spans="1:12" x14ac:dyDescent="0.45">
      <c r="A3411" t="s">
        <v>86</v>
      </c>
      <c r="B3411" t="s">
        <v>5</v>
      </c>
      <c r="C3411" t="s">
        <v>83</v>
      </c>
      <c r="D3411" t="s">
        <v>53</v>
      </c>
      <c r="E3411" t="s">
        <v>25</v>
      </c>
      <c r="F3411" t="s">
        <v>53</v>
      </c>
      <c r="G3411" t="s">
        <v>70</v>
      </c>
      <c r="I3411">
        <v>2035</v>
      </c>
      <c r="J3411">
        <v>5.0799999999999998E-2</v>
      </c>
      <c r="K3411" t="s">
        <v>53</v>
      </c>
      <c r="L3411">
        <v>55</v>
      </c>
    </row>
    <row r="3412" spans="1:12" x14ac:dyDescent="0.45">
      <c r="A3412" t="s">
        <v>86</v>
      </c>
      <c r="B3412" t="s">
        <v>5</v>
      </c>
      <c r="C3412" t="s">
        <v>83</v>
      </c>
      <c r="D3412" t="s">
        <v>53</v>
      </c>
      <c r="E3412" t="s">
        <v>25</v>
      </c>
      <c r="F3412" t="s">
        <v>53</v>
      </c>
      <c r="G3412" t="s">
        <v>70</v>
      </c>
      <c r="I3412">
        <v>2040</v>
      </c>
      <c r="J3412">
        <v>5.3E-3</v>
      </c>
      <c r="K3412" t="s">
        <v>53</v>
      </c>
      <c r="L3412">
        <v>55</v>
      </c>
    </row>
    <row r="3413" spans="1:12" x14ac:dyDescent="0.45">
      <c r="A3413" t="s">
        <v>86</v>
      </c>
      <c r="B3413" t="s">
        <v>5</v>
      </c>
      <c r="C3413" t="s">
        <v>83</v>
      </c>
      <c r="D3413" t="s">
        <v>53</v>
      </c>
      <c r="E3413" t="s">
        <v>25</v>
      </c>
      <c r="F3413" t="s">
        <v>53</v>
      </c>
      <c r="G3413" t="s">
        <v>70</v>
      </c>
      <c r="I3413">
        <v>2045</v>
      </c>
      <c r="J3413">
        <v>8.0000000000000004E-4</v>
      </c>
      <c r="K3413" t="s">
        <v>53</v>
      </c>
      <c r="L3413">
        <v>55</v>
      </c>
    </row>
    <row r="3414" spans="1:12" x14ac:dyDescent="0.45">
      <c r="A3414" t="s">
        <v>86</v>
      </c>
      <c r="B3414" t="s">
        <v>5</v>
      </c>
      <c r="C3414" t="s">
        <v>83</v>
      </c>
      <c r="D3414" t="s">
        <v>53</v>
      </c>
      <c r="E3414" t="s">
        <v>25</v>
      </c>
      <c r="F3414" t="s">
        <v>53</v>
      </c>
      <c r="G3414" t="s">
        <v>70</v>
      </c>
      <c r="I3414">
        <v>2050</v>
      </c>
      <c r="J3414">
        <v>2.9999999999999997E-4</v>
      </c>
      <c r="K3414" t="s">
        <v>53</v>
      </c>
      <c r="L3414">
        <v>55</v>
      </c>
    </row>
    <row r="3415" spans="1:12" x14ac:dyDescent="0.45">
      <c r="A3415" t="s">
        <v>86</v>
      </c>
      <c r="B3415" t="s">
        <v>5</v>
      </c>
      <c r="C3415" t="s">
        <v>83</v>
      </c>
      <c r="D3415" t="s">
        <v>53</v>
      </c>
      <c r="E3415" t="s">
        <v>25</v>
      </c>
      <c r="F3415" t="s">
        <v>53</v>
      </c>
      <c r="G3415" t="s">
        <v>70</v>
      </c>
      <c r="I3415">
        <v>2055</v>
      </c>
      <c r="J3415">
        <v>2.0000000000000001E-4</v>
      </c>
      <c r="K3415" t="s">
        <v>53</v>
      </c>
      <c r="L3415">
        <v>55</v>
      </c>
    </row>
    <row r="3416" spans="1:12" x14ac:dyDescent="0.45">
      <c r="A3416" t="s">
        <v>86</v>
      </c>
      <c r="B3416" t="s">
        <v>5</v>
      </c>
      <c r="C3416" t="s">
        <v>83</v>
      </c>
      <c r="D3416" t="s">
        <v>53</v>
      </c>
      <c r="E3416" t="s">
        <v>25</v>
      </c>
      <c r="F3416" t="s">
        <v>53</v>
      </c>
      <c r="G3416" t="s">
        <v>70</v>
      </c>
      <c r="I3416">
        <v>2060</v>
      </c>
      <c r="J3416">
        <v>2.0000000000000001E-4</v>
      </c>
      <c r="K3416" t="s">
        <v>53</v>
      </c>
      <c r="L3416">
        <v>55</v>
      </c>
    </row>
    <row r="3417" spans="1:12" x14ac:dyDescent="0.45">
      <c r="A3417" t="s">
        <v>86</v>
      </c>
      <c r="B3417" t="s">
        <v>5</v>
      </c>
      <c r="C3417" t="s">
        <v>83</v>
      </c>
      <c r="D3417" t="s">
        <v>53</v>
      </c>
      <c r="E3417" t="s">
        <v>25</v>
      </c>
      <c r="F3417" t="s">
        <v>53</v>
      </c>
      <c r="G3417" t="s">
        <v>70</v>
      </c>
      <c r="I3417">
        <v>2065</v>
      </c>
      <c r="J3417">
        <v>1E-4</v>
      </c>
      <c r="K3417" t="s">
        <v>53</v>
      </c>
      <c r="L3417">
        <v>55</v>
      </c>
    </row>
    <row r="3418" spans="1:12" x14ac:dyDescent="0.45">
      <c r="A3418" t="s">
        <v>86</v>
      </c>
      <c r="B3418" t="s">
        <v>5</v>
      </c>
      <c r="C3418" t="s">
        <v>83</v>
      </c>
      <c r="D3418" t="s">
        <v>53</v>
      </c>
      <c r="E3418" t="s">
        <v>25</v>
      </c>
      <c r="F3418" t="s">
        <v>53</v>
      </c>
      <c r="G3418" t="s">
        <v>70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86</v>
      </c>
      <c r="B3419" t="s">
        <v>5</v>
      </c>
      <c r="C3419" t="s">
        <v>83</v>
      </c>
      <c r="D3419" t="s">
        <v>53</v>
      </c>
      <c r="E3419" t="s">
        <v>25</v>
      </c>
      <c r="F3419" t="s">
        <v>53</v>
      </c>
      <c r="G3419" t="s">
        <v>70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86</v>
      </c>
      <c r="B3420" t="s">
        <v>5</v>
      </c>
      <c r="C3420" t="s">
        <v>83</v>
      </c>
      <c r="D3420" t="s">
        <v>53</v>
      </c>
      <c r="E3420" t="s">
        <v>25</v>
      </c>
      <c r="F3420" t="s">
        <v>53</v>
      </c>
      <c r="G3420" t="s">
        <v>70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86</v>
      </c>
      <c r="B3421" t="s">
        <v>5</v>
      </c>
      <c r="C3421" t="s">
        <v>83</v>
      </c>
      <c r="D3421" t="s">
        <v>53</v>
      </c>
      <c r="E3421" t="s">
        <v>25</v>
      </c>
      <c r="F3421" t="s">
        <v>53</v>
      </c>
      <c r="G3421" t="s">
        <v>70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86</v>
      </c>
      <c r="B3422" t="s">
        <v>5</v>
      </c>
      <c r="C3422" t="s">
        <v>83</v>
      </c>
      <c r="D3422" t="s">
        <v>53</v>
      </c>
      <c r="E3422" t="s">
        <v>25</v>
      </c>
      <c r="F3422" t="s">
        <v>53</v>
      </c>
      <c r="G3422" t="s">
        <v>70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86</v>
      </c>
      <c r="B3423" t="s">
        <v>5</v>
      </c>
      <c r="C3423" t="s">
        <v>83</v>
      </c>
      <c r="D3423" t="s">
        <v>53</v>
      </c>
      <c r="E3423" t="s">
        <v>25</v>
      </c>
      <c r="F3423" t="s">
        <v>53</v>
      </c>
      <c r="G3423" t="s">
        <v>70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86</v>
      </c>
      <c r="B3424" t="s">
        <v>5</v>
      </c>
      <c r="C3424" t="s">
        <v>83</v>
      </c>
      <c r="D3424" t="s">
        <v>53</v>
      </c>
      <c r="E3424" t="s">
        <v>25</v>
      </c>
      <c r="F3424" t="s">
        <v>53</v>
      </c>
      <c r="G3424" t="s">
        <v>70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86</v>
      </c>
      <c r="B3425" t="s">
        <v>5</v>
      </c>
      <c r="C3425" t="s">
        <v>83</v>
      </c>
      <c r="D3425" t="s">
        <v>54</v>
      </c>
      <c r="E3425" t="s">
        <v>25</v>
      </c>
      <c r="F3425" t="s">
        <v>54</v>
      </c>
      <c r="G3425" t="s">
        <v>70</v>
      </c>
      <c r="I3425">
        <v>2020</v>
      </c>
      <c r="J3425">
        <v>0</v>
      </c>
      <c r="K3425" t="s">
        <v>54</v>
      </c>
      <c r="L3425">
        <v>70</v>
      </c>
    </row>
    <row r="3426" spans="1:12" x14ac:dyDescent="0.45">
      <c r="A3426" t="s">
        <v>86</v>
      </c>
      <c r="B3426" t="s">
        <v>5</v>
      </c>
      <c r="C3426" t="s">
        <v>83</v>
      </c>
      <c r="D3426" t="s">
        <v>54</v>
      </c>
      <c r="E3426" t="s">
        <v>25</v>
      </c>
      <c r="F3426" t="s">
        <v>54</v>
      </c>
      <c r="G3426" t="s">
        <v>70</v>
      </c>
      <c r="I3426">
        <v>2025</v>
      </c>
      <c r="J3426">
        <v>0</v>
      </c>
      <c r="K3426" t="s">
        <v>54</v>
      </c>
      <c r="L3426">
        <v>70</v>
      </c>
    </row>
    <row r="3427" spans="1:12" x14ac:dyDescent="0.45">
      <c r="A3427" t="s">
        <v>86</v>
      </c>
      <c r="B3427" t="s">
        <v>5</v>
      </c>
      <c r="C3427" t="s">
        <v>83</v>
      </c>
      <c r="D3427" t="s">
        <v>54</v>
      </c>
      <c r="E3427" t="s">
        <v>25</v>
      </c>
      <c r="F3427" t="s">
        <v>54</v>
      </c>
      <c r="G3427" t="s">
        <v>70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86</v>
      </c>
      <c r="B3428" t="s">
        <v>5</v>
      </c>
      <c r="C3428" t="s">
        <v>83</v>
      </c>
      <c r="D3428" t="s">
        <v>54</v>
      </c>
      <c r="E3428" t="s">
        <v>25</v>
      </c>
      <c r="F3428" t="s">
        <v>54</v>
      </c>
      <c r="G3428" t="s">
        <v>70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86</v>
      </c>
      <c r="B3429" t="s">
        <v>5</v>
      </c>
      <c r="C3429" t="s">
        <v>83</v>
      </c>
      <c r="D3429" t="s">
        <v>54</v>
      </c>
      <c r="E3429" t="s">
        <v>25</v>
      </c>
      <c r="F3429" t="s">
        <v>54</v>
      </c>
      <c r="G3429" t="s">
        <v>70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86</v>
      </c>
      <c r="B3430" t="s">
        <v>5</v>
      </c>
      <c r="C3430" t="s">
        <v>83</v>
      </c>
      <c r="D3430" t="s">
        <v>54</v>
      </c>
      <c r="E3430" t="s">
        <v>25</v>
      </c>
      <c r="F3430" t="s">
        <v>54</v>
      </c>
      <c r="G3430" t="s">
        <v>70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86</v>
      </c>
      <c r="B3431" t="s">
        <v>5</v>
      </c>
      <c r="C3431" t="s">
        <v>83</v>
      </c>
      <c r="D3431" t="s">
        <v>54</v>
      </c>
      <c r="E3431" t="s">
        <v>25</v>
      </c>
      <c r="F3431" t="s">
        <v>54</v>
      </c>
      <c r="G3431" t="s">
        <v>70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86</v>
      </c>
      <c r="B3432" t="s">
        <v>5</v>
      </c>
      <c r="C3432" t="s">
        <v>83</v>
      </c>
      <c r="D3432" t="s">
        <v>54</v>
      </c>
      <c r="E3432" t="s">
        <v>25</v>
      </c>
      <c r="F3432" t="s">
        <v>54</v>
      </c>
      <c r="G3432" t="s">
        <v>70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86</v>
      </c>
      <c r="B3433" t="s">
        <v>5</v>
      </c>
      <c r="C3433" t="s">
        <v>83</v>
      </c>
      <c r="D3433" t="s">
        <v>54</v>
      </c>
      <c r="E3433" t="s">
        <v>25</v>
      </c>
      <c r="F3433" t="s">
        <v>54</v>
      </c>
      <c r="G3433" t="s">
        <v>70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86</v>
      </c>
      <c r="B3434" t="s">
        <v>5</v>
      </c>
      <c r="C3434" t="s">
        <v>83</v>
      </c>
      <c r="D3434" t="s">
        <v>54</v>
      </c>
      <c r="E3434" t="s">
        <v>25</v>
      </c>
      <c r="F3434" t="s">
        <v>54</v>
      </c>
      <c r="G3434" t="s">
        <v>70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86</v>
      </c>
      <c r="B3435" t="s">
        <v>5</v>
      </c>
      <c r="C3435" t="s">
        <v>83</v>
      </c>
      <c r="D3435" t="s">
        <v>54</v>
      </c>
      <c r="E3435" t="s">
        <v>25</v>
      </c>
      <c r="F3435" t="s">
        <v>54</v>
      </c>
      <c r="G3435" t="s">
        <v>70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86</v>
      </c>
      <c r="B3436" t="s">
        <v>5</v>
      </c>
      <c r="C3436" t="s">
        <v>83</v>
      </c>
      <c r="D3436" t="s">
        <v>54</v>
      </c>
      <c r="E3436" t="s">
        <v>25</v>
      </c>
      <c r="F3436" t="s">
        <v>54</v>
      </c>
      <c r="G3436" t="s">
        <v>70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86</v>
      </c>
      <c r="B3437" t="s">
        <v>5</v>
      </c>
      <c r="C3437" t="s">
        <v>83</v>
      </c>
      <c r="D3437" t="s">
        <v>54</v>
      </c>
      <c r="E3437" t="s">
        <v>25</v>
      </c>
      <c r="F3437" t="s">
        <v>54</v>
      </c>
      <c r="G3437" t="s">
        <v>70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86</v>
      </c>
      <c r="B3438" t="s">
        <v>5</v>
      </c>
      <c r="C3438" t="s">
        <v>83</v>
      </c>
      <c r="D3438" t="s">
        <v>54</v>
      </c>
      <c r="E3438" t="s">
        <v>25</v>
      </c>
      <c r="F3438" t="s">
        <v>54</v>
      </c>
      <c r="G3438" t="s">
        <v>70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86</v>
      </c>
      <c r="B3439" t="s">
        <v>5</v>
      </c>
      <c r="C3439" t="s">
        <v>83</v>
      </c>
      <c r="D3439" t="s">
        <v>54</v>
      </c>
      <c r="E3439" t="s">
        <v>25</v>
      </c>
      <c r="F3439" t="s">
        <v>54</v>
      </c>
      <c r="G3439" t="s">
        <v>70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86</v>
      </c>
      <c r="B3440" t="s">
        <v>5</v>
      </c>
      <c r="C3440" t="s">
        <v>83</v>
      </c>
      <c r="D3440" t="s">
        <v>54</v>
      </c>
      <c r="E3440" t="s">
        <v>25</v>
      </c>
      <c r="F3440" t="s">
        <v>54</v>
      </c>
      <c r="G3440" t="s">
        <v>70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86</v>
      </c>
      <c r="B3441" t="s">
        <v>5</v>
      </c>
      <c r="C3441" t="s">
        <v>83</v>
      </c>
      <c r="D3441" t="s">
        <v>54</v>
      </c>
      <c r="E3441" t="s">
        <v>25</v>
      </c>
      <c r="F3441" t="s">
        <v>54</v>
      </c>
      <c r="G3441" t="s">
        <v>70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86</v>
      </c>
      <c r="B3442" t="s">
        <v>5</v>
      </c>
      <c r="C3442" t="s">
        <v>83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86</v>
      </c>
      <c r="B3443" t="s">
        <v>5</v>
      </c>
      <c r="C3443" t="s">
        <v>83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86</v>
      </c>
      <c r="B3444" t="s">
        <v>5</v>
      </c>
      <c r="C3444" t="s">
        <v>83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86</v>
      </c>
      <c r="B3445" t="s">
        <v>5</v>
      </c>
      <c r="C3445" t="s">
        <v>83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86</v>
      </c>
      <c r="B3446" t="s">
        <v>5</v>
      </c>
      <c r="C3446" t="s">
        <v>83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86</v>
      </c>
      <c r="B3447" t="s">
        <v>5</v>
      </c>
      <c r="C3447" t="s">
        <v>83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86</v>
      </c>
      <c r="B3448" t="s">
        <v>5</v>
      </c>
      <c r="C3448" t="s">
        <v>83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86</v>
      </c>
      <c r="B3449" t="s">
        <v>5</v>
      </c>
      <c r="C3449" t="s">
        <v>83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86</v>
      </c>
      <c r="B3450" t="s">
        <v>5</v>
      </c>
      <c r="C3450" t="s">
        <v>83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86</v>
      </c>
      <c r="B3451" t="s">
        <v>5</v>
      </c>
      <c r="C3451" t="s">
        <v>83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86</v>
      </c>
      <c r="B3452" t="s">
        <v>5</v>
      </c>
      <c r="C3452" t="s">
        <v>83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86</v>
      </c>
      <c r="B3453" t="s">
        <v>5</v>
      </c>
      <c r="C3453" t="s">
        <v>83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86</v>
      </c>
      <c r="B3454" t="s">
        <v>5</v>
      </c>
      <c r="C3454" t="s">
        <v>83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86</v>
      </c>
      <c r="B3455" t="s">
        <v>5</v>
      </c>
      <c r="C3455" t="s">
        <v>83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86</v>
      </c>
      <c r="B3456" t="s">
        <v>5</v>
      </c>
      <c r="C3456" t="s">
        <v>83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86</v>
      </c>
      <c r="B3457" t="s">
        <v>5</v>
      </c>
      <c r="C3457" t="s">
        <v>83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86</v>
      </c>
      <c r="B3458" t="s">
        <v>5</v>
      </c>
      <c r="C3458" t="s">
        <v>83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86</v>
      </c>
      <c r="B3459" t="s">
        <v>5</v>
      </c>
      <c r="C3459" t="s">
        <v>83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86</v>
      </c>
      <c r="B3460" t="s">
        <v>5</v>
      </c>
      <c r="C3460" t="s">
        <v>83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86</v>
      </c>
      <c r="B3461" t="s">
        <v>5</v>
      </c>
      <c r="C3461" t="s">
        <v>83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86</v>
      </c>
      <c r="B3462" t="s">
        <v>5</v>
      </c>
      <c r="C3462" t="s">
        <v>83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86</v>
      </c>
      <c r="B3463" t="s">
        <v>5</v>
      </c>
      <c r="C3463" t="s">
        <v>83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86</v>
      </c>
      <c r="B3464" t="s">
        <v>5</v>
      </c>
      <c r="C3464" t="s">
        <v>83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86</v>
      </c>
      <c r="B3465" t="s">
        <v>5</v>
      </c>
      <c r="C3465" t="s">
        <v>83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86</v>
      </c>
      <c r="B3466" t="s">
        <v>5</v>
      </c>
      <c r="C3466" t="s">
        <v>83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86</v>
      </c>
      <c r="B3467" t="s">
        <v>5</v>
      </c>
      <c r="C3467" t="s">
        <v>83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86</v>
      </c>
      <c r="B3468" t="s">
        <v>5</v>
      </c>
      <c r="C3468" t="s">
        <v>83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86</v>
      </c>
      <c r="B3469" t="s">
        <v>5</v>
      </c>
      <c r="C3469" t="s">
        <v>83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86</v>
      </c>
      <c r="B3470" t="s">
        <v>5</v>
      </c>
      <c r="C3470" t="s">
        <v>83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86</v>
      </c>
      <c r="B3471" t="s">
        <v>5</v>
      </c>
      <c r="C3471" t="s">
        <v>83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86</v>
      </c>
      <c r="B3472" t="s">
        <v>5</v>
      </c>
      <c r="C3472" t="s">
        <v>83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86</v>
      </c>
      <c r="B3473" t="s">
        <v>5</v>
      </c>
      <c r="C3473" t="s">
        <v>83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86</v>
      </c>
      <c r="B3474" t="s">
        <v>5</v>
      </c>
      <c r="C3474" t="s">
        <v>83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86</v>
      </c>
      <c r="B3475" t="s">
        <v>5</v>
      </c>
      <c r="C3475" t="s">
        <v>83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86</v>
      </c>
      <c r="B3476" t="s">
        <v>5</v>
      </c>
      <c r="C3476" t="s">
        <v>83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86</v>
      </c>
      <c r="B3477" t="s">
        <v>5</v>
      </c>
      <c r="C3477" t="s">
        <v>83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86</v>
      </c>
      <c r="B3478" t="s">
        <v>5</v>
      </c>
      <c r="C3478" t="s">
        <v>83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86</v>
      </c>
      <c r="B3479" t="s">
        <v>5</v>
      </c>
      <c r="C3479" t="s">
        <v>83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86</v>
      </c>
      <c r="B3480" t="s">
        <v>5</v>
      </c>
      <c r="C3480" t="s">
        <v>83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86</v>
      </c>
      <c r="B3481" t="s">
        <v>5</v>
      </c>
      <c r="C3481" t="s">
        <v>83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86</v>
      </c>
      <c r="B3482" t="s">
        <v>5</v>
      </c>
      <c r="C3482" t="s">
        <v>83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86</v>
      </c>
      <c r="B3483" t="s">
        <v>5</v>
      </c>
      <c r="C3483" t="s">
        <v>83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86</v>
      </c>
      <c r="B3484" t="s">
        <v>5</v>
      </c>
      <c r="C3484" t="s">
        <v>83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86</v>
      </c>
      <c r="B3485" t="s">
        <v>5</v>
      </c>
      <c r="C3485" t="s">
        <v>83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86</v>
      </c>
      <c r="B3486" t="s">
        <v>5</v>
      </c>
      <c r="C3486" t="s">
        <v>83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86</v>
      </c>
      <c r="B3487" t="s">
        <v>5</v>
      </c>
      <c r="C3487" t="s">
        <v>83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86</v>
      </c>
      <c r="B3488" t="s">
        <v>5</v>
      </c>
      <c r="C3488" t="s">
        <v>83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86</v>
      </c>
      <c r="B3489" t="s">
        <v>5</v>
      </c>
      <c r="C3489" t="s">
        <v>83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86</v>
      </c>
      <c r="B3490" t="s">
        <v>5</v>
      </c>
      <c r="C3490" t="s">
        <v>83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86</v>
      </c>
      <c r="B3491" t="s">
        <v>5</v>
      </c>
      <c r="C3491" t="s">
        <v>83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86</v>
      </c>
      <c r="B3492" t="s">
        <v>5</v>
      </c>
      <c r="C3492" t="s">
        <v>83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86</v>
      </c>
      <c r="B3493" t="s">
        <v>5</v>
      </c>
      <c r="C3493" t="s">
        <v>83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56.074300000000001</v>
      </c>
      <c r="K3493" t="s">
        <v>37</v>
      </c>
    </row>
    <row r="3494" spans="1:11" x14ac:dyDescent="0.45">
      <c r="A3494" t="s">
        <v>86</v>
      </c>
      <c r="B3494" t="s">
        <v>5</v>
      </c>
      <c r="C3494" t="s">
        <v>83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39.263199999999998</v>
      </c>
      <c r="K3494" t="s">
        <v>37</v>
      </c>
    </row>
    <row r="3495" spans="1:11" x14ac:dyDescent="0.45">
      <c r="A3495" t="s">
        <v>86</v>
      </c>
      <c r="B3495" t="s">
        <v>5</v>
      </c>
      <c r="C3495" t="s">
        <v>83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63.306199999999997</v>
      </c>
      <c r="K3495" t="s">
        <v>37</v>
      </c>
    </row>
    <row r="3496" spans="1:11" x14ac:dyDescent="0.45">
      <c r="A3496" t="s">
        <v>86</v>
      </c>
      <c r="B3496" t="s">
        <v>5</v>
      </c>
      <c r="C3496" t="s">
        <v>83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67.586399999999998</v>
      </c>
      <c r="K3496" t="s">
        <v>37</v>
      </c>
    </row>
    <row r="3497" spans="1:11" x14ac:dyDescent="0.45">
      <c r="A3497" t="s">
        <v>86</v>
      </c>
      <c r="B3497" t="s">
        <v>5</v>
      </c>
      <c r="C3497" t="s">
        <v>83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73.757099999999994</v>
      </c>
      <c r="K3497" t="s">
        <v>37</v>
      </c>
    </row>
    <row r="3498" spans="1:11" x14ac:dyDescent="0.45">
      <c r="A3498" t="s">
        <v>86</v>
      </c>
      <c r="B3498" t="s">
        <v>5</v>
      </c>
      <c r="C3498" t="s">
        <v>83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82.042599999999993</v>
      </c>
      <c r="K3498" t="s">
        <v>37</v>
      </c>
    </row>
    <row r="3499" spans="1:11" x14ac:dyDescent="0.45">
      <c r="A3499" t="s">
        <v>86</v>
      </c>
      <c r="B3499" t="s">
        <v>5</v>
      </c>
      <c r="C3499" t="s">
        <v>83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68.523399999999995</v>
      </c>
      <c r="K3499" t="s">
        <v>37</v>
      </c>
    </row>
    <row r="3500" spans="1:11" x14ac:dyDescent="0.45">
      <c r="A3500" t="s">
        <v>86</v>
      </c>
      <c r="B3500" t="s">
        <v>5</v>
      </c>
      <c r="C3500" t="s">
        <v>83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117.85469999999999</v>
      </c>
      <c r="K3500" t="s">
        <v>37</v>
      </c>
    </row>
    <row r="3501" spans="1:11" x14ac:dyDescent="0.45">
      <c r="A3501" t="s">
        <v>86</v>
      </c>
      <c r="B3501" t="s">
        <v>5</v>
      </c>
      <c r="C3501" t="s">
        <v>83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173.1233</v>
      </c>
      <c r="K3501" t="s">
        <v>37</v>
      </c>
    </row>
    <row r="3502" spans="1:11" x14ac:dyDescent="0.45">
      <c r="A3502" t="s">
        <v>86</v>
      </c>
      <c r="B3502" t="s">
        <v>5</v>
      </c>
      <c r="C3502" t="s">
        <v>83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205.43119999999999</v>
      </c>
      <c r="K3502" t="s">
        <v>37</v>
      </c>
    </row>
    <row r="3503" spans="1:11" x14ac:dyDescent="0.45">
      <c r="A3503" t="s">
        <v>86</v>
      </c>
      <c r="B3503" t="s">
        <v>5</v>
      </c>
      <c r="C3503" t="s">
        <v>83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237.739</v>
      </c>
      <c r="K3503" t="s">
        <v>37</v>
      </c>
    </row>
    <row r="3504" spans="1:11" x14ac:dyDescent="0.45">
      <c r="A3504" t="s">
        <v>86</v>
      </c>
      <c r="B3504" t="s">
        <v>5</v>
      </c>
      <c r="C3504" t="s">
        <v>83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240.6063</v>
      </c>
      <c r="K3504" t="s">
        <v>37</v>
      </c>
    </row>
    <row r="3505" spans="1:11" x14ac:dyDescent="0.45">
      <c r="A3505" t="s">
        <v>86</v>
      </c>
      <c r="B3505" t="s">
        <v>5</v>
      </c>
      <c r="C3505" t="s">
        <v>83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243.4736</v>
      </c>
      <c r="K3505" t="s">
        <v>37</v>
      </c>
    </row>
    <row r="3506" spans="1:11" x14ac:dyDescent="0.45">
      <c r="A3506" t="s">
        <v>86</v>
      </c>
      <c r="B3506" t="s">
        <v>5</v>
      </c>
      <c r="C3506" t="s">
        <v>83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253.97730000000001</v>
      </c>
      <c r="K3506" t="s">
        <v>37</v>
      </c>
    </row>
    <row r="3507" spans="1:11" x14ac:dyDescent="0.45">
      <c r="A3507" t="s">
        <v>86</v>
      </c>
      <c r="B3507" t="s">
        <v>5</v>
      </c>
      <c r="C3507" t="s">
        <v>83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264.48110000000003</v>
      </c>
      <c r="K3507" t="s">
        <v>37</v>
      </c>
    </row>
    <row r="3508" spans="1:11" x14ac:dyDescent="0.45">
      <c r="A3508" t="s">
        <v>86</v>
      </c>
      <c r="B3508" t="s">
        <v>5</v>
      </c>
      <c r="C3508" t="s">
        <v>83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291.053</v>
      </c>
      <c r="K3508" t="s">
        <v>37</v>
      </c>
    </row>
    <row r="3509" spans="1:11" x14ac:dyDescent="0.45">
      <c r="A3509" t="s">
        <v>86</v>
      </c>
      <c r="B3509" t="s">
        <v>5</v>
      </c>
      <c r="C3509" t="s">
        <v>83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317.62490000000003</v>
      </c>
      <c r="K3509" t="s">
        <v>37</v>
      </c>
    </row>
    <row r="3510" spans="1:11" x14ac:dyDescent="0.45">
      <c r="A3510" t="s">
        <v>86</v>
      </c>
      <c r="B3510" t="s">
        <v>5</v>
      </c>
      <c r="C3510" t="s">
        <v>83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378.76600000000002</v>
      </c>
      <c r="K3510" t="s">
        <v>48</v>
      </c>
    </row>
    <row r="3511" spans="1:11" x14ac:dyDescent="0.45">
      <c r="A3511" t="s">
        <v>86</v>
      </c>
      <c r="B3511" t="s">
        <v>5</v>
      </c>
      <c r="C3511" t="s">
        <v>83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386.64269999999999</v>
      </c>
      <c r="K3511" t="s">
        <v>48</v>
      </c>
    </row>
    <row r="3512" spans="1:11" x14ac:dyDescent="0.45">
      <c r="A3512" t="s">
        <v>86</v>
      </c>
      <c r="B3512" t="s">
        <v>5</v>
      </c>
      <c r="C3512" t="s">
        <v>83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279.108</v>
      </c>
      <c r="K3512" t="s">
        <v>48</v>
      </c>
    </row>
    <row r="3513" spans="1:11" x14ac:dyDescent="0.45">
      <c r="A3513" t="s">
        <v>86</v>
      </c>
      <c r="B3513" t="s">
        <v>5</v>
      </c>
      <c r="C3513" t="s">
        <v>83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143.94829999999999</v>
      </c>
      <c r="K3513" t="s">
        <v>48</v>
      </c>
    </row>
    <row r="3514" spans="1:11" x14ac:dyDescent="0.45">
      <c r="A3514" t="s">
        <v>86</v>
      </c>
      <c r="B3514" t="s">
        <v>5</v>
      </c>
      <c r="C3514" t="s">
        <v>83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81.9696</v>
      </c>
      <c r="K3514" t="s">
        <v>48</v>
      </c>
    </row>
    <row r="3515" spans="1:11" x14ac:dyDescent="0.45">
      <c r="A3515" t="s">
        <v>86</v>
      </c>
      <c r="B3515" t="s">
        <v>5</v>
      </c>
      <c r="C3515" t="s">
        <v>83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51.9679</v>
      </c>
      <c r="K3515" t="s">
        <v>48</v>
      </c>
    </row>
    <row r="3516" spans="1:11" x14ac:dyDescent="0.45">
      <c r="A3516" t="s">
        <v>86</v>
      </c>
      <c r="B3516" t="s">
        <v>5</v>
      </c>
      <c r="C3516" t="s">
        <v>83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45.756999999999998</v>
      </c>
      <c r="K3516" t="s">
        <v>48</v>
      </c>
    </row>
    <row r="3517" spans="1:11" x14ac:dyDescent="0.45">
      <c r="A3517" t="s">
        <v>86</v>
      </c>
      <c r="B3517" t="s">
        <v>5</v>
      </c>
      <c r="C3517" t="s">
        <v>83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38.142099999999999</v>
      </c>
      <c r="K3517" t="s">
        <v>48</v>
      </c>
    </row>
    <row r="3518" spans="1:11" x14ac:dyDescent="0.45">
      <c r="A3518" t="s">
        <v>86</v>
      </c>
      <c r="B3518" t="s">
        <v>5</v>
      </c>
      <c r="C3518" t="s">
        <v>83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28.5807</v>
      </c>
      <c r="K3518" t="s">
        <v>48</v>
      </c>
    </row>
    <row r="3519" spans="1:11" x14ac:dyDescent="0.45">
      <c r="A3519" t="s">
        <v>86</v>
      </c>
      <c r="B3519" t="s">
        <v>5</v>
      </c>
      <c r="C3519" t="s">
        <v>83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18.602699999999999</v>
      </c>
      <c r="K3519" t="s">
        <v>48</v>
      </c>
    </row>
    <row r="3520" spans="1:11" x14ac:dyDescent="0.45">
      <c r="A3520" t="s">
        <v>86</v>
      </c>
      <c r="B3520" t="s">
        <v>5</v>
      </c>
      <c r="C3520" t="s">
        <v>83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8.3823000000000008</v>
      </c>
      <c r="K3520" t="s">
        <v>48</v>
      </c>
    </row>
    <row r="3521" spans="1:11" x14ac:dyDescent="0.45">
      <c r="A3521" t="s">
        <v>86</v>
      </c>
      <c r="B3521" t="s">
        <v>5</v>
      </c>
      <c r="C3521" t="s">
        <v>83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2.6756000000000002</v>
      </c>
      <c r="K3521" t="s">
        <v>48</v>
      </c>
    </row>
    <row r="3522" spans="1:11" x14ac:dyDescent="0.45">
      <c r="A3522" t="s">
        <v>86</v>
      </c>
      <c r="B3522" t="s">
        <v>5</v>
      </c>
      <c r="C3522" t="s">
        <v>83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-3.1095000000000002</v>
      </c>
      <c r="K3522" t="s">
        <v>48</v>
      </c>
    </row>
    <row r="3523" spans="1:11" x14ac:dyDescent="0.45">
      <c r="A3523" t="s">
        <v>86</v>
      </c>
      <c r="B3523" t="s">
        <v>5</v>
      </c>
      <c r="C3523" t="s">
        <v>83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-0.67390000000000005</v>
      </c>
      <c r="K3523" t="s">
        <v>48</v>
      </c>
    </row>
    <row r="3524" spans="1:11" x14ac:dyDescent="0.45">
      <c r="A3524" t="s">
        <v>86</v>
      </c>
      <c r="B3524" t="s">
        <v>5</v>
      </c>
      <c r="C3524" t="s">
        <v>83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2.0992000000000002</v>
      </c>
      <c r="K3524" t="s">
        <v>48</v>
      </c>
    </row>
    <row r="3525" spans="1:11" x14ac:dyDescent="0.45">
      <c r="A3525" t="s">
        <v>86</v>
      </c>
      <c r="B3525" t="s">
        <v>5</v>
      </c>
      <c r="C3525" t="s">
        <v>83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-0.83130000000000004</v>
      </c>
      <c r="K3525" t="s">
        <v>48</v>
      </c>
    </row>
    <row r="3526" spans="1:11" x14ac:dyDescent="0.45">
      <c r="A3526" t="s">
        <v>86</v>
      </c>
      <c r="B3526" t="s">
        <v>5</v>
      </c>
      <c r="C3526" t="s">
        <v>83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-3.8109000000000002</v>
      </c>
      <c r="K3526" t="s">
        <v>48</v>
      </c>
    </row>
    <row r="3527" spans="1:11" x14ac:dyDescent="0.45">
      <c r="A3527" t="s">
        <v>86</v>
      </c>
      <c r="B3527" t="s">
        <v>5</v>
      </c>
      <c r="C3527" t="s">
        <v>83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336.95319999999998</v>
      </c>
      <c r="K3527" t="s">
        <v>51</v>
      </c>
    </row>
    <row r="3528" spans="1:11" x14ac:dyDescent="0.45">
      <c r="A3528" t="s">
        <v>86</v>
      </c>
      <c r="B3528" t="s">
        <v>5</v>
      </c>
      <c r="C3528" t="s">
        <v>83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334.80689999999998</v>
      </c>
      <c r="K3528" t="s">
        <v>51</v>
      </c>
    </row>
    <row r="3529" spans="1:11" x14ac:dyDescent="0.45">
      <c r="A3529" t="s">
        <v>86</v>
      </c>
      <c r="B3529" t="s">
        <v>5</v>
      </c>
      <c r="C3529" t="s">
        <v>83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227.05860000000001</v>
      </c>
      <c r="K3529" t="s">
        <v>51</v>
      </c>
    </row>
    <row r="3530" spans="1:11" x14ac:dyDescent="0.45">
      <c r="A3530" t="s">
        <v>86</v>
      </c>
      <c r="B3530" t="s">
        <v>5</v>
      </c>
      <c r="C3530" t="s">
        <v>83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107.65819999999999</v>
      </c>
      <c r="K3530" t="s">
        <v>51</v>
      </c>
    </row>
    <row r="3531" spans="1:11" x14ac:dyDescent="0.45">
      <c r="A3531" t="s">
        <v>86</v>
      </c>
      <c r="B3531" t="s">
        <v>5</v>
      </c>
      <c r="C3531" t="s">
        <v>83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44.210299999999997</v>
      </c>
      <c r="K3531" t="s">
        <v>51</v>
      </c>
    </row>
    <row r="3532" spans="1:11" x14ac:dyDescent="0.45">
      <c r="A3532" t="s">
        <v>86</v>
      </c>
      <c r="B3532" t="s">
        <v>5</v>
      </c>
      <c r="C3532" t="s">
        <v>83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12.1671</v>
      </c>
      <c r="K3532" t="s">
        <v>51</v>
      </c>
    </row>
    <row r="3533" spans="1:11" x14ac:dyDescent="0.45">
      <c r="A3533" t="s">
        <v>86</v>
      </c>
      <c r="B3533" t="s">
        <v>5</v>
      </c>
      <c r="C3533" t="s">
        <v>83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7.5065999999999997</v>
      </c>
      <c r="K3533" t="s">
        <v>51</v>
      </c>
    </row>
    <row r="3534" spans="1:11" x14ac:dyDescent="0.45">
      <c r="A3534" t="s">
        <v>86</v>
      </c>
      <c r="B3534" t="s">
        <v>5</v>
      </c>
      <c r="C3534" t="s">
        <v>83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4.7225999999999999</v>
      </c>
      <c r="K3534" t="s">
        <v>51</v>
      </c>
    </row>
    <row r="3535" spans="1:11" x14ac:dyDescent="0.45">
      <c r="A3535" t="s">
        <v>86</v>
      </c>
      <c r="B3535" t="s">
        <v>5</v>
      </c>
      <c r="C3535" t="s">
        <v>83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3.7381000000000002</v>
      </c>
      <c r="K3535" t="s">
        <v>51</v>
      </c>
    </row>
    <row r="3536" spans="1:11" x14ac:dyDescent="0.45">
      <c r="A3536" t="s">
        <v>86</v>
      </c>
      <c r="B3536" t="s">
        <v>5</v>
      </c>
      <c r="C3536" t="s">
        <v>83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2.9058999999999999</v>
      </c>
      <c r="K3536" t="s">
        <v>51</v>
      </c>
    </row>
    <row r="3537" spans="1:11" x14ac:dyDescent="0.45">
      <c r="A3537" t="s">
        <v>86</v>
      </c>
      <c r="B3537" t="s">
        <v>5</v>
      </c>
      <c r="C3537" t="s">
        <v>83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1.8574999999999999</v>
      </c>
      <c r="K3537" t="s">
        <v>51</v>
      </c>
    </row>
    <row r="3538" spans="1:11" x14ac:dyDescent="0.45">
      <c r="A3538" t="s">
        <v>86</v>
      </c>
      <c r="B3538" t="s">
        <v>5</v>
      </c>
      <c r="C3538" t="s">
        <v>83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0.86170000000000002</v>
      </c>
      <c r="K3538" t="s">
        <v>51</v>
      </c>
    </row>
    <row r="3539" spans="1:11" x14ac:dyDescent="0.45">
      <c r="A3539" t="s">
        <v>86</v>
      </c>
      <c r="B3539" t="s">
        <v>5</v>
      </c>
      <c r="C3539" t="s">
        <v>83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-0.2107</v>
      </c>
      <c r="K3539" t="s">
        <v>51</v>
      </c>
    </row>
    <row r="3540" spans="1:11" x14ac:dyDescent="0.45">
      <c r="A3540" t="s">
        <v>86</v>
      </c>
      <c r="B3540" t="s">
        <v>5</v>
      </c>
      <c r="C3540" t="s">
        <v>83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-0.5151</v>
      </c>
      <c r="K3540" t="s">
        <v>51</v>
      </c>
    </row>
    <row r="3541" spans="1:11" x14ac:dyDescent="0.45">
      <c r="A3541" t="s">
        <v>86</v>
      </c>
      <c r="B3541" t="s">
        <v>5</v>
      </c>
      <c r="C3541" t="s">
        <v>83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-0.52349999999999997</v>
      </c>
      <c r="K3541" t="s">
        <v>51</v>
      </c>
    </row>
    <row r="3542" spans="1:11" x14ac:dyDescent="0.45">
      <c r="A3542" t="s">
        <v>86</v>
      </c>
      <c r="B3542" t="s">
        <v>5</v>
      </c>
      <c r="C3542" t="s">
        <v>83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-2.2315</v>
      </c>
      <c r="K3542" t="s">
        <v>51</v>
      </c>
    </row>
    <row r="3543" spans="1:11" x14ac:dyDescent="0.45">
      <c r="A3543" t="s">
        <v>86</v>
      </c>
      <c r="B3543" t="s">
        <v>5</v>
      </c>
      <c r="C3543" t="s">
        <v>83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-3.9956</v>
      </c>
      <c r="K3543" t="s">
        <v>51</v>
      </c>
    </row>
    <row r="3544" spans="1:11" x14ac:dyDescent="0.45">
      <c r="A3544" t="s">
        <v>86</v>
      </c>
      <c r="B3544" t="s">
        <v>2</v>
      </c>
      <c r="C3544" t="s">
        <v>83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86</v>
      </c>
      <c r="B3545" t="s">
        <v>2</v>
      </c>
      <c r="C3545" t="s">
        <v>83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86</v>
      </c>
      <c r="B3546" t="s">
        <v>2</v>
      </c>
      <c r="C3546" t="s">
        <v>83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86</v>
      </c>
      <c r="B3547" t="s">
        <v>2</v>
      </c>
      <c r="C3547" t="s">
        <v>83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2E-3</v>
      </c>
      <c r="K3547" t="s">
        <v>45</v>
      </c>
    </row>
    <row r="3548" spans="1:11" x14ac:dyDescent="0.45">
      <c r="A3548" t="s">
        <v>86</v>
      </c>
      <c r="B3548" t="s">
        <v>2</v>
      </c>
      <c r="C3548" t="s">
        <v>83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9.9000000000000008E-3</v>
      </c>
      <c r="K3548" t="s">
        <v>45</v>
      </c>
    </row>
    <row r="3549" spans="1:11" x14ac:dyDescent="0.45">
      <c r="A3549" t="s">
        <v>86</v>
      </c>
      <c r="B3549" t="s">
        <v>2</v>
      </c>
      <c r="C3549" t="s">
        <v>83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2.92E-2</v>
      </c>
      <c r="K3549" t="s">
        <v>45</v>
      </c>
    </row>
    <row r="3550" spans="1:11" x14ac:dyDescent="0.45">
      <c r="A3550" t="s">
        <v>86</v>
      </c>
      <c r="B3550" t="s">
        <v>2</v>
      </c>
      <c r="C3550" t="s">
        <v>83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3.2399999999999998E-2</v>
      </c>
      <c r="K3550" t="s">
        <v>45</v>
      </c>
    </row>
    <row r="3551" spans="1:11" x14ac:dyDescent="0.45">
      <c r="A3551" t="s">
        <v>86</v>
      </c>
      <c r="B3551" t="s">
        <v>2</v>
      </c>
      <c r="C3551" t="s">
        <v>83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3.5299999999999998E-2</v>
      </c>
      <c r="K3551" t="s">
        <v>45</v>
      </c>
    </row>
    <row r="3552" spans="1:11" x14ac:dyDescent="0.45">
      <c r="A3552" t="s">
        <v>86</v>
      </c>
      <c r="B3552" t="s">
        <v>2</v>
      </c>
      <c r="C3552" t="s">
        <v>83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3.85E-2</v>
      </c>
      <c r="K3552" t="s">
        <v>45</v>
      </c>
    </row>
    <row r="3553" spans="1:11" x14ac:dyDescent="0.45">
      <c r="A3553" t="s">
        <v>86</v>
      </c>
      <c r="B3553" t="s">
        <v>2</v>
      </c>
      <c r="C3553" t="s">
        <v>83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8.9399999999999993E-2</v>
      </c>
      <c r="K3553" t="s">
        <v>45</v>
      </c>
    </row>
    <row r="3554" spans="1:11" x14ac:dyDescent="0.45">
      <c r="A3554" t="s">
        <v>86</v>
      </c>
      <c r="B3554" t="s">
        <v>2</v>
      </c>
      <c r="C3554" t="s">
        <v>83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0.13730000000000001</v>
      </c>
      <c r="K3554" t="s">
        <v>45</v>
      </c>
    </row>
    <row r="3555" spans="1:11" x14ac:dyDescent="0.45">
      <c r="A3555" t="s">
        <v>86</v>
      </c>
      <c r="B3555" t="s">
        <v>2</v>
      </c>
      <c r="C3555" t="s">
        <v>83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9.3299999999999994E-2</v>
      </c>
      <c r="K3555" t="s">
        <v>45</v>
      </c>
    </row>
    <row r="3556" spans="1:11" x14ac:dyDescent="0.45">
      <c r="A3556" t="s">
        <v>86</v>
      </c>
      <c r="B3556" t="s">
        <v>2</v>
      </c>
      <c r="C3556" t="s">
        <v>83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6.6500000000000004E-2</v>
      </c>
      <c r="K3556" t="s">
        <v>45</v>
      </c>
    </row>
    <row r="3557" spans="1:11" x14ac:dyDescent="0.45">
      <c r="A3557" t="s">
        <v>86</v>
      </c>
      <c r="B3557" t="s">
        <v>2</v>
      </c>
      <c r="C3557" t="s">
        <v>83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3.8300000000000001E-2</v>
      </c>
      <c r="K3557" t="s">
        <v>45</v>
      </c>
    </row>
    <row r="3558" spans="1:11" x14ac:dyDescent="0.45">
      <c r="A3558" t="s">
        <v>86</v>
      </c>
      <c r="B3558" t="s">
        <v>2</v>
      </c>
      <c r="C3558" t="s">
        <v>83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1.0999999999999999E-2</v>
      </c>
      <c r="K3558" t="s">
        <v>45</v>
      </c>
    </row>
    <row r="3559" spans="1:11" x14ac:dyDescent="0.45">
      <c r="A3559" t="s">
        <v>86</v>
      </c>
      <c r="B3559" t="s">
        <v>2</v>
      </c>
      <c r="C3559" t="s">
        <v>83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5.5999999999999999E-3</v>
      </c>
      <c r="K3559" t="s">
        <v>45</v>
      </c>
    </row>
    <row r="3560" spans="1:11" x14ac:dyDescent="0.45">
      <c r="A3560" t="s">
        <v>86</v>
      </c>
      <c r="B3560" t="s">
        <v>2</v>
      </c>
      <c r="C3560" t="s">
        <v>83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86</v>
      </c>
      <c r="B3561" t="s">
        <v>2</v>
      </c>
      <c r="C3561" t="s">
        <v>83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0.1598</v>
      </c>
      <c r="K3561" t="s">
        <v>24</v>
      </c>
    </row>
    <row r="3562" spans="1:11" x14ac:dyDescent="0.45">
      <c r="A3562" t="s">
        <v>86</v>
      </c>
      <c r="B3562" t="s">
        <v>2</v>
      </c>
      <c r="C3562" t="s">
        <v>83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0.1749</v>
      </c>
      <c r="K3562" t="s">
        <v>24</v>
      </c>
    </row>
    <row r="3563" spans="1:11" x14ac:dyDescent="0.45">
      <c r="A3563" t="s">
        <v>86</v>
      </c>
      <c r="B3563" t="s">
        <v>2</v>
      </c>
      <c r="C3563" t="s">
        <v>83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0.21310000000000001</v>
      </c>
      <c r="K3563" t="s">
        <v>24</v>
      </c>
    </row>
    <row r="3564" spans="1:11" x14ac:dyDescent="0.45">
      <c r="A3564" t="s">
        <v>86</v>
      </c>
      <c r="B3564" t="s">
        <v>2</v>
      </c>
      <c r="C3564" t="s">
        <v>83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0.27789999999999998</v>
      </c>
      <c r="K3564" t="s">
        <v>24</v>
      </c>
    </row>
    <row r="3565" spans="1:11" x14ac:dyDescent="0.45">
      <c r="A3565" t="s">
        <v>86</v>
      </c>
      <c r="B3565" t="s">
        <v>2</v>
      </c>
      <c r="C3565" t="s">
        <v>83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0.35310000000000002</v>
      </c>
      <c r="K3565" t="s">
        <v>24</v>
      </c>
    </row>
    <row r="3566" spans="1:11" x14ac:dyDescent="0.45">
      <c r="A3566" t="s">
        <v>86</v>
      </c>
      <c r="B3566" t="s">
        <v>2</v>
      </c>
      <c r="C3566" t="s">
        <v>83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0.42980000000000002</v>
      </c>
      <c r="K3566" t="s">
        <v>24</v>
      </c>
    </row>
    <row r="3567" spans="1:11" x14ac:dyDescent="0.45">
      <c r="A3567" t="s">
        <v>86</v>
      </c>
      <c r="B3567" t="s">
        <v>2</v>
      </c>
      <c r="C3567" t="s">
        <v>83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0.47789999999999999</v>
      </c>
      <c r="K3567" t="s">
        <v>24</v>
      </c>
    </row>
    <row r="3568" spans="1:11" x14ac:dyDescent="0.45">
      <c r="A3568" t="s">
        <v>86</v>
      </c>
      <c r="B3568" t="s">
        <v>2</v>
      </c>
      <c r="C3568" t="s">
        <v>83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0.51280000000000003</v>
      </c>
      <c r="K3568" t="s">
        <v>24</v>
      </c>
    </row>
    <row r="3569" spans="1:11" x14ac:dyDescent="0.45">
      <c r="A3569" t="s">
        <v>86</v>
      </c>
      <c r="B3569" t="s">
        <v>2</v>
      </c>
      <c r="C3569" t="s">
        <v>83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0.52100000000000002</v>
      </c>
      <c r="K3569" t="s">
        <v>24</v>
      </c>
    </row>
    <row r="3570" spans="1:11" x14ac:dyDescent="0.45">
      <c r="A3570" t="s">
        <v>86</v>
      </c>
      <c r="B3570" t="s">
        <v>2</v>
      </c>
      <c r="C3570" t="s">
        <v>83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0.51349999999999996</v>
      </c>
      <c r="K3570" t="s">
        <v>24</v>
      </c>
    </row>
    <row r="3571" spans="1:11" x14ac:dyDescent="0.45">
      <c r="A3571" t="s">
        <v>86</v>
      </c>
      <c r="B3571" t="s">
        <v>2</v>
      </c>
      <c r="C3571" t="s">
        <v>83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0.50360000000000005</v>
      </c>
      <c r="K3571" t="s">
        <v>24</v>
      </c>
    </row>
    <row r="3572" spans="1:11" x14ac:dyDescent="0.45">
      <c r="A3572" t="s">
        <v>86</v>
      </c>
      <c r="B3572" t="s">
        <v>2</v>
      </c>
      <c r="C3572" t="s">
        <v>83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0.4819</v>
      </c>
      <c r="K3572" t="s">
        <v>24</v>
      </c>
    </row>
    <row r="3573" spans="1:11" x14ac:dyDescent="0.45">
      <c r="A3573" t="s">
        <v>86</v>
      </c>
      <c r="B3573" t="s">
        <v>2</v>
      </c>
      <c r="C3573" t="s">
        <v>83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0.46050000000000002</v>
      </c>
      <c r="K3573" t="s">
        <v>24</v>
      </c>
    </row>
    <row r="3574" spans="1:11" x14ac:dyDescent="0.45">
      <c r="A3574" t="s">
        <v>86</v>
      </c>
      <c r="B3574" t="s">
        <v>2</v>
      </c>
      <c r="C3574" t="s">
        <v>83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0.42359999999999998</v>
      </c>
      <c r="K3574" t="s">
        <v>24</v>
      </c>
    </row>
    <row r="3575" spans="1:11" x14ac:dyDescent="0.45">
      <c r="A3575" t="s">
        <v>86</v>
      </c>
      <c r="B3575" t="s">
        <v>2</v>
      </c>
      <c r="C3575" t="s">
        <v>83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0.39879999999999999</v>
      </c>
      <c r="K3575" t="s">
        <v>24</v>
      </c>
    </row>
    <row r="3576" spans="1:11" x14ac:dyDescent="0.45">
      <c r="A3576" t="s">
        <v>86</v>
      </c>
      <c r="B3576" t="s">
        <v>2</v>
      </c>
      <c r="C3576" t="s">
        <v>83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0.38040000000000002</v>
      </c>
      <c r="K3576" t="s">
        <v>24</v>
      </c>
    </row>
    <row r="3577" spans="1:11" x14ac:dyDescent="0.45">
      <c r="A3577" t="s">
        <v>86</v>
      </c>
      <c r="B3577" t="s">
        <v>2</v>
      </c>
      <c r="C3577" t="s">
        <v>83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0.3619</v>
      </c>
      <c r="K3577" t="s">
        <v>24</v>
      </c>
    </row>
    <row r="3578" spans="1:11" x14ac:dyDescent="0.45">
      <c r="A3578" t="s">
        <v>86</v>
      </c>
      <c r="B3578" t="s">
        <v>2</v>
      </c>
      <c r="C3578" t="s">
        <v>83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9.5299999999999996E-2</v>
      </c>
      <c r="K3578" t="s">
        <v>28</v>
      </c>
    </row>
    <row r="3579" spans="1:11" x14ac:dyDescent="0.45">
      <c r="A3579" t="s">
        <v>86</v>
      </c>
      <c r="B3579" t="s">
        <v>2</v>
      </c>
      <c r="C3579" t="s">
        <v>83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0.11509999999999999</v>
      </c>
      <c r="K3579" t="s">
        <v>28</v>
      </c>
    </row>
    <row r="3580" spans="1:11" x14ac:dyDescent="0.45">
      <c r="A3580" t="s">
        <v>86</v>
      </c>
      <c r="B3580" t="s">
        <v>2</v>
      </c>
      <c r="C3580" t="s">
        <v>83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0.14130000000000001</v>
      </c>
      <c r="K3580" t="s">
        <v>28</v>
      </c>
    </row>
    <row r="3581" spans="1:11" x14ac:dyDescent="0.45">
      <c r="A3581" t="s">
        <v>86</v>
      </c>
      <c r="B3581" t="s">
        <v>2</v>
      </c>
      <c r="C3581" t="s">
        <v>83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0.1774</v>
      </c>
      <c r="K3581" t="s">
        <v>28</v>
      </c>
    </row>
    <row r="3582" spans="1:11" x14ac:dyDescent="0.45">
      <c r="A3582" t="s">
        <v>86</v>
      </c>
      <c r="B3582" t="s">
        <v>2</v>
      </c>
      <c r="C3582" t="s">
        <v>83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0.21360000000000001</v>
      </c>
      <c r="K3582" t="s">
        <v>28</v>
      </c>
    </row>
    <row r="3583" spans="1:11" x14ac:dyDescent="0.45">
      <c r="A3583" t="s">
        <v>86</v>
      </c>
      <c r="B3583" t="s">
        <v>2</v>
      </c>
      <c r="C3583" t="s">
        <v>83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0.23930000000000001</v>
      </c>
      <c r="K3583" t="s">
        <v>28</v>
      </c>
    </row>
    <row r="3584" spans="1:11" x14ac:dyDescent="0.45">
      <c r="A3584" t="s">
        <v>86</v>
      </c>
      <c r="B3584" t="s">
        <v>2</v>
      </c>
      <c r="C3584" t="s">
        <v>83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0.26390000000000002</v>
      </c>
      <c r="K3584" t="s">
        <v>28</v>
      </c>
    </row>
    <row r="3585" spans="1:11" x14ac:dyDescent="0.45">
      <c r="A3585" t="s">
        <v>86</v>
      </c>
      <c r="B3585" t="s">
        <v>2</v>
      </c>
      <c r="C3585" t="s">
        <v>83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0.28170000000000001</v>
      </c>
      <c r="K3585" t="s">
        <v>28</v>
      </c>
    </row>
    <row r="3586" spans="1:11" x14ac:dyDescent="0.45">
      <c r="A3586" t="s">
        <v>86</v>
      </c>
      <c r="B3586" t="s">
        <v>2</v>
      </c>
      <c r="C3586" t="s">
        <v>83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0.30590000000000001</v>
      </c>
      <c r="K3586" t="s">
        <v>28</v>
      </c>
    </row>
    <row r="3587" spans="1:11" x14ac:dyDescent="0.45">
      <c r="A3587" t="s">
        <v>86</v>
      </c>
      <c r="B3587" t="s">
        <v>2</v>
      </c>
      <c r="C3587" t="s">
        <v>83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0.3105</v>
      </c>
      <c r="K3587" t="s">
        <v>28</v>
      </c>
    </row>
    <row r="3588" spans="1:11" x14ac:dyDescent="0.45">
      <c r="A3588" t="s">
        <v>86</v>
      </c>
      <c r="B3588" t="s">
        <v>2</v>
      </c>
      <c r="C3588" t="s">
        <v>83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0.31340000000000001</v>
      </c>
      <c r="K3588" t="s">
        <v>28</v>
      </c>
    </row>
    <row r="3589" spans="1:11" x14ac:dyDescent="0.45">
      <c r="A3589" t="s">
        <v>86</v>
      </c>
      <c r="B3589" t="s">
        <v>2</v>
      </c>
      <c r="C3589" t="s">
        <v>83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0.33100000000000002</v>
      </c>
      <c r="K3589" t="s">
        <v>28</v>
      </c>
    </row>
    <row r="3590" spans="1:11" x14ac:dyDescent="0.45">
      <c r="A3590" t="s">
        <v>86</v>
      </c>
      <c r="B3590" t="s">
        <v>2</v>
      </c>
      <c r="C3590" t="s">
        <v>83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0.34810000000000002</v>
      </c>
      <c r="K3590" t="s">
        <v>28</v>
      </c>
    </row>
    <row r="3591" spans="1:11" x14ac:dyDescent="0.45">
      <c r="A3591" t="s">
        <v>86</v>
      </c>
      <c r="B3591" t="s">
        <v>2</v>
      </c>
      <c r="C3591" t="s">
        <v>83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0.3478</v>
      </c>
      <c r="K3591" t="s">
        <v>28</v>
      </c>
    </row>
    <row r="3592" spans="1:11" x14ac:dyDescent="0.45">
      <c r="A3592" t="s">
        <v>86</v>
      </c>
      <c r="B3592" t="s">
        <v>2</v>
      </c>
      <c r="C3592" t="s">
        <v>83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0.35460000000000003</v>
      </c>
      <c r="K3592" t="s">
        <v>28</v>
      </c>
    </row>
    <row r="3593" spans="1:11" x14ac:dyDescent="0.45">
      <c r="A3593" t="s">
        <v>86</v>
      </c>
      <c r="B3593" t="s">
        <v>2</v>
      </c>
      <c r="C3593" t="s">
        <v>83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0.36009999999999998</v>
      </c>
      <c r="K3593" t="s">
        <v>28</v>
      </c>
    </row>
    <row r="3594" spans="1:11" x14ac:dyDescent="0.45">
      <c r="A3594" t="s">
        <v>86</v>
      </c>
      <c r="B3594" t="s">
        <v>2</v>
      </c>
      <c r="C3594" t="s">
        <v>83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0.36509999999999998</v>
      </c>
      <c r="K3594" t="s">
        <v>28</v>
      </c>
    </row>
    <row r="3595" spans="1:11" x14ac:dyDescent="0.45">
      <c r="A3595" t="s">
        <v>86</v>
      </c>
      <c r="B3595" t="s">
        <v>2</v>
      </c>
      <c r="C3595" t="s">
        <v>83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1.09E-2</v>
      </c>
      <c r="K3595" t="s">
        <v>27</v>
      </c>
    </row>
    <row r="3596" spans="1:11" x14ac:dyDescent="0.45">
      <c r="A3596" t="s">
        <v>86</v>
      </c>
      <c r="B3596" t="s">
        <v>2</v>
      </c>
      <c r="C3596" t="s">
        <v>83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1.8200000000000001E-2</v>
      </c>
      <c r="K3596" t="s">
        <v>27</v>
      </c>
    </row>
    <row r="3597" spans="1:11" x14ac:dyDescent="0.45">
      <c r="A3597" t="s">
        <v>86</v>
      </c>
      <c r="B3597" t="s">
        <v>2</v>
      </c>
      <c r="C3597" t="s">
        <v>83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3.4799999999999998E-2</v>
      </c>
      <c r="K3597" t="s">
        <v>27</v>
      </c>
    </row>
    <row r="3598" spans="1:11" x14ac:dyDescent="0.45">
      <c r="A3598" t="s">
        <v>86</v>
      </c>
      <c r="B3598" t="s">
        <v>2</v>
      </c>
      <c r="C3598" t="s">
        <v>83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6.1899999999999997E-2</v>
      </c>
      <c r="K3598" t="s">
        <v>27</v>
      </c>
    </row>
    <row r="3599" spans="1:11" x14ac:dyDescent="0.45">
      <c r="A3599" t="s">
        <v>86</v>
      </c>
      <c r="B3599" t="s">
        <v>2</v>
      </c>
      <c r="C3599" t="s">
        <v>83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0.10340000000000001</v>
      </c>
      <c r="K3599" t="s">
        <v>27</v>
      </c>
    </row>
    <row r="3600" spans="1:11" x14ac:dyDescent="0.45">
      <c r="A3600" t="s">
        <v>86</v>
      </c>
      <c r="B3600" t="s">
        <v>2</v>
      </c>
      <c r="C3600" t="s">
        <v>83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0.1168</v>
      </c>
      <c r="K3600" t="s">
        <v>27</v>
      </c>
    </row>
    <row r="3601" spans="1:11" x14ac:dyDescent="0.45">
      <c r="A3601" t="s">
        <v>86</v>
      </c>
      <c r="B3601" t="s">
        <v>2</v>
      </c>
      <c r="C3601" t="s">
        <v>83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0.1242</v>
      </c>
      <c r="K3601" t="s">
        <v>27</v>
      </c>
    </row>
    <row r="3602" spans="1:11" x14ac:dyDescent="0.45">
      <c r="A3602" t="s">
        <v>86</v>
      </c>
      <c r="B3602" t="s">
        <v>2</v>
      </c>
      <c r="C3602" t="s">
        <v>83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0.13089999999999999</v>
      </c>
      <c r="K3602" t="s">
        <v>27</v>
      </c>
    </row>
    <row r="3603" spans="1:11" x14ac:dyDescent="0.45">
      <c r="A3603" t="s">
        <v>86</v>
      </c>
      <c r="B3603" t="s">
        <v>2</v>
      </c>
      <c r="C3603" t="s">
        <v>83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0.13120000000000001</v>
      </c>
      <c r="K3603" t="s">
        <v>27</v>
      </c>
    </row>
    <row r="3604" spans="1:11" x14ac:dyDescent="0.45">
      <c r="A3604" t="s">
        <v>86</v>
      </c>
      <c r="B3604" t="s">
        <v>2</v>
      </c>
      <c r="C3604" t="s">
        <v>83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0.12770000000000001</v>
      </c>
      <c r="K3604" t="s">
        <v>27</v>
      </c>
    </row>
    <row r="3605" spans="1:11" x14ac:dyDescent="0.45">
      <c r="A3605" t="s">
        <v>86</v>
      </c>
      <c r="B3605" t="s">
        <v>2</v>
      </c>
      <c r="C3605" t="s">
        <v>83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0.1237</v>
      </c>
      <c r="K3605" t="s">
        <v>27</v>
      </c>
    </row>
    <row r="3606" spans="1:11" x14ac:dyDescent="0.45">
      <c r="A3606" t="s">
        <v>86</v>
      </c>
      <c r="B3606" t="s">
        <v>2</v>
      </c>
      <c r="C3606" t="s">
        <v>83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0.1206</v>
      </c>
      <c r="K3606" t="s">
        <v>27</v>
      </c>
    </row>
    <row r="3607" spans="1:11" x14ac:dyDescent="0.45">
      <c r="A3607" t="s">
        <v>86</v>
      </c>
      <c r="B3607" t="s">
        <v>2</v>
      </c>
      <c r="C3607" t="s">
        <v>83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0.11799999999999999</v>
      </c>
      <c r="K3607" t="s">
        <v>27</v>
      </c>
    </row>
    <row r="3608" spans="1:11" x14ac:dyDescent="0.45">
      <c r="A3608" t="s">
        <v>86</v>
      </c>
      <c r="B3608" t="s">
        <v>2</v>
      </c>
      <c r="C3608" t="s">
        <v>83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0.11310000000000001</v>
      </c>
      <c r="K3608" t="s">
        <v>27</v>
      </c>
    </row>
    <row r="3609" spans="1:11" x14ac:dyDescent="0.45">
      <c r="A3609" t="s">
        <v>86</v>
      </c>
      <c r="B3609" t="s">
        <v>2</v>
      </c>
      <c r="C3609" t="s">
        <v>83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0.1123</v>
      </c>
      <c r="K3609" t="s">
        <v>27</v>
      </c>
    </row>
    <row r="3610" spans="1:11" x14ac:dyDescent="0.45">
      <c r="A3610" t="s">
        <v>86</v>
      </c>
      <c r="B3610" t="s">
        <v>2</v>
      </c>
      <c r="C3610" t="s">
        <v>83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0.1124</v>
      </c>
      <c r="K3610" t="s">
        <v>27</v>
      </c>
    </row>
    <row r="3611" spans="1:11" x14ac:dyDescent="0.45">
      <c r="A3611" t="s">
        <v>86</v>
      </c>
      <c r="B3611" t="s">
        <v>2</v>
      </c>
      <c r="C3611" t="s">
        <v>83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0.1124</v>
      </c>
      <c r="K3611" t="s">
        <v>27</v>
      </c>
    </row>
    <row r="3612" spans="1:11" x14ac:dyDescent="0.45">
      <c r="A3612" t="s">
        <v>86</v>
      </c>
      <c r="B3612" t="s">
        <v>2</v>
      </c>
      <c r="C3612" t="s">
        <v>83</v>
      </c>
      <c r="D3612" t="s">
        <v>84</v>
      </c>
      <c r="E3612" t="s">
        <v>25</v>
      </c>
      <c r="F3612" t="s">
        <v>84</v>
      </c>
      <c r="G3612" t="s">
        <v>26</v>
      </c>
      <c r="H3612" t="s">
        <v>81</v>
      </c>
      <c r="I3612">
        <v>2020</v>
      </c>
      <c r="J3612">
        <v>4.7999999999999996E-3</v>
      </c>
      <c r="K3612" t="s">
        <v>84</v>
      </c>
    </row>
    <row r="3613" spans="1:11" x14ac:dyDescent="0.45">
      <c r="A3613" t="s">
        <v>86</v>
      </c>
      <c r="B3613" t="s">
        <v>2</v>
      </c>
      <c r="C3613" t="s">
        <v>83</v>
      </c>
      <c r="D3613" t="s">
        <v>84</v>
      </c>
      <c r="E3613" t="s">
        <v>25</v>
      </c>
      <c r="F3613" t="s">
        <v>84</v>
      </c>
      <c r="G3613" t="s">
        <v>26</v>
      </c>
      <c r="H3613" t="s">
        <v>81</v>
      </c>
      <c r="I3613">
        <v>2025</v>
      </c>
      <c r="J3613">
        <v>2.0299999999999999E-2</v>
      </c>
      <c r="K3613" t="s">
        <v>84</v>
      </c>
    </row>
    <row r="3614" spans="1:11" x14ac:dyDescent="0.45">
      <c r="A3614" t="s">
        <v>86</v>
      </c>
      <c r="B3614" t="s">
        <v>2</v>
      </c>
      <c r="C3614" t="s">
        <v>83</v>
      </c>
      <c r="D3614" t="s">
        <v>84</v>
      </c>
      <c r="E3614" t="s">
        <v>25</v>
      </c>
      <c r="F3614" t="s">
        <v>84</v>
      </c>
      <c r="G3614" t="s">
        <v>26</v>
      </c>
      <c r="H3614" t="s">
        <v>81</v>
      </c>
      <c r="I3614">
        <v>2030</v>
      </c>
      <c r="J3614">
        <v>4.3799999999999999E-2</v>
      </c>
      <c r="K3614" t="s">
        <v>84</v>
      </c>
    </row>
    <row r="3615" spans="1:11" x14ac:dyDescent="0.45">
      <c r="A3615" t="s">
        <v>86</v>
      </c>
      <c r="B3615" t="s">
        <v>2</v>
      </c>
      <c r="C3615" t="s">
        <v>83</v>
      </c>
      <c r="D3615" t="s">
        <v>84</v>
      </c>
      <c r="E3615" t="s">
        <v>25</v>
      </c>
      <c r="F3615" t="s">
        <v>84</v>
      </c>
      <c r="G3615" t="s">
        <v>26</v>
      </c>
      <c r="H3615" t="s">
        <v>81</v>
      </c>
      <c r="I3615">
        <v>2035</v>
      </c>
      <c r="J3615">
        <v>6.6400000000000001E-2</v>
      </c>
      <c r="K3615" t="s">
        <v>84</v>
      </c>
    </row>
    <row r="3616" spans="1:11" x14ac:dyDescent="0.45">
      <c r="A3616" t="s">
        <v>86</v>
      </c>
      <c r="B3616" t="s">
        <v>2</v>
      </c>
      <c r="C3616" t="s">
        <v>83</v>
      </c>
      <c r="D3616" t="s">
        <v>84</v>
      </c>
      <c r="E3616" t="s">
        <v>25</v>
      </c>
      <c r="F3616" t="s">
        <v>84</v>
      </c>
      <c r="G3616" t="s">
        <v>26</v>
      </c>
      <c r="H3616" t="s">
        <v>81</v>
      </c>
      <c r="I3616">
        <v>2040</v>
      </c>
      <c r="J3616">
        <v>8.3199999999999996E-2</v>
      </c>
      <c r="K3616" t="s">
        <v>84</v>
      </c>
    </row>
    <row r="3617" spans="1:12" x14ac:dyDescent="0.45">
      <c r="A3617" t="s">
        <v>86</v>
      </c>
      <c r="B3617" t="s">
        <v>2</v>
      </c>
      <c r="C3617" t="s">
        <v>83</v>
      </c>
      <c r="D3617" t="s">
        <v>84</v>
      </c>
      <c r="E3617" t="s">
        <v>25</v>
      </c>
      <c r="F3617" t="s">
        <v>84</v>
      </c>
      <c r="G3617" t="s">
        <v>26</v>
      </c>
      <c r="H3617" t="s">
        <v>81</v>
      </c>
      <c r="I3617">
        <v>2045</v>
      </c>
      <c r="J3617">
        <v>8.9300000000000004E-2</v>
      </c>
      <c r="K3617" t="s">
        <v>84</v>
      </c>
    </row>
    <row r="3618" spans="1:12" x14ac:dyDescent="0.45">
      <c r="A3618" t="s">
        <v>86</v>
      </c>
      <c r="B3618" t="s">
        <v>2</v>
      </c>
      <c r="C3618" t="s">
        <v>83</v>
      </c>
      <c r="D3618" t="s">
        <v>84</v>
      </c>
      <c r="E3618" t="s">
        <v>25</v>
      </c>
      <c r="F3618" t="s">
        <v>84</v>
      </c>
      <c r="G3618" t="s">
        <v>26</v>
      </c>
      <c r="H3618" t="s">
        <v>81</v>
      </c>
      <c r="I3618">
        <v>2050</v>
      </c>
      <c r="J3618">
        <v>9.4799999999999995E-2</v>
      </c>
      <c r="K3618" t="s">
        <v>84</v>
      </c>
    </row>
    <row r="3619" spans="1:12" x14ac:dyDescent="0.45">
      <c r="A3619" t="s">
        <v>86</v>
      </c>
      <c r="B3619" t="s">
        <v>2</v>
      </c>
      <c r="C3619" t="s">
        <v>83</v>
      </c>
      <c r="D3619" t="s">
        <v>84</v>
      </c>
      <c r="E3619" t="s">
        <v>25</v>
      </c>
      <c r="F3619" t="s">
        <v>84</v>
      </c>
      <c r="G3619" t="s">
        <v>26</v>
      </c>
      <c r="H3619" t="s">
        <v>81</v>
      </c>
      <c r="I3619">
        <v>2055</v>
      </c>
      <c r="J3619">
        <v>9.8299999999999998E-2</v>
      </c>
      <c r="K3619" t="s">
        <v>84</v>
      </c>
    </row>
    <row r="3620" spans="1:12" x14ac:dyDescent="0.45">
      <c r="A3620" t="s">
        <v>86</v>
      </c>
      <c r="B3620" t="s">
        <v>2</v>
      </c>
      <c r="C3620" t="s">
        <v>83</v>
      </c>
      <c r="D3620" t="s">
        <v>84</v>
      </c>
      <c r="E3620" t="s">
        <v>25</v>
      </c>
      <c r="F3620" t="s">
        <v>84</v>
      </c>
      <c r="G3620" t="s">
        <v>26</v>
      </c>
      <c r="H3620" t="s">
        <v>81</v>
      </c>
      <c r="I3620">
        <v>2060</v>
      </c>
      <c r="J3620">
        <v>0.10489999999999999</v>
      </c>
      <c r="K3620" t="s">
        <v>84</v>
      </c>
    </row>
    <row r="3621" spans="1:12" x14ac:dyDescent="0.45">
      <c r="A3621" t="s">
        <v>86</v>
      </c>
      <c r="B3621" t="s">
        <v>2</v>
      </c>
      <c r="C3621" t="s">
        <v>83</v>
      </c>
      <c r="D3621" t="s">
        <v>84</v>
      </c>
      <c r="E3621" t="s">
        <v>25</v>
      </c>
      <c r="F3621" t="s">
        <v>84</v>
      </c>
      <c r="G3621" t="s">
        <v>26</v>
      </c>
      <c r="H3621" t="s">
        <v>81</v>
      </c>
      <c r="I3621">
        <v>2065</v>
      </c>
      <c r="J3621">
        <v>0.17899999999999999</v>
      </c>
      <c r="K3621" t="s">
        <v>84</v>
      </c>
    </row>
    <row r="3622" spans="1:12" x14ac:dyDescent="0.45">
      <c r="A3622" t="s">
        <v>86</v>
      </c>
      <c r="B3622" t="s">
        <v>2</v>
      </c>
      <c r="C3622" t="s">
        <v>83</v>
      </c>
      <c r="D3622" t="s">
        <v>84</v>
      </c>
      <c r="E3622" t="s">
        <v>25</v>
      </c>
      <c r="F3622" t="s">
        <v>84</v>
      </c>
      <c r="G3622" t="s">
        <v>26</v>
      </c>
      <c r="H3622" t="s">
        <v>81</v>
      </c>
      <c r="I3622">
        <v>2070</v>
      </c>
      <c r="J3622">
        <v>0.22450000000000001</v>
      </c>
      <c r="K3622" t="s">
        <v>84</v>
      </c>
    </row>
    <row r="3623" spans="1:12" x14ac:dyDescent="0.45">
      <c r="A3623" t="s">
        <v>86</v>
      </c>
      <c r="B3623" t="s">
        <v>2</v>
      </c>
      <c r="C3623" t="s">
        <v>83</v>
      </c>
      <c r="D3623" t="s">
        <v>84</v>
      </c>
      <c r="E3623" t="s">
        <v>25</v>
      </c>
      <c r="F3623" t="s">
        <v>84</v>
      </c>
      <c r="G3623" t="s">
        <v>26</v>
      </c>
      <c r="H3623" t="s">
        <v>81</v>
      </c>
      <c r="I3623">
        <v>2075</v>
      </c>
      <c r="J3623">
        <v>0.2457</v>
      </c>
      <c r="K3623" t="s">
        <v>84</v>
      </c>
    </row>
    <row r="3624" spans="1:12" x14ac:dyDescent="0.45">
      <c r="A3624" t="s">
        <v>86</v>
      </c>
      <c r="B3624" t="s">
        <v>2</v>
      </c>
      <c r="C3624" t="s">
        <v>83</v>
      </c>
      <c r="D3624" t="s">
        <v>84</v>
      </c>
      <c r="E3624" t="s">
        <v>25</v>
      </c>
      <c r="F3624" t="s">
        <v>84</v>
      </c>
      <c r="G3624" t="s">
        <v>26</v>
      </c>
      <c r="H3624" t="s">
        <v>81</v>
      </c>
      <c r="I3624">
        <v>2080</v>
      </c>
      <c r="J3624">
        <v>0.25169999999999998</v>
      </c>
      <c r="K3624" t="s">
        <v>84</v>
      </c>
    </row>
    <row r="3625" spans="1:12" x14ac:dyDescent="0.45">
      <c r="A3625" t="s">
        <v>86</v>
      </c>
      <c r="B3625" t="s">
        <v>2</v>
      </c>
      <c r="C3625" t="s">
        <v>83</v>
      </c>
      <c r="D3625" t="s">
        <v>84</v>
      </c>
      <c r="E3625" t="s">
        <v>25</v>
      </c>
      <c r="F3625" t="s">
        <v>84</v>
      </c>
      <c r="G3625" t="s">
        <v>26</v>
      </c>
      <c r="H3625" t="s">
        <v>81</v>
      </c>
      <c r="I3625">
        <v>2085</v>
      </c>
      <c r="J3625">
        <v>0.25240000000000001</v>
      </c>
      <c r="K3625" t="s">
        <v>84</v>
      </c>
    </row>
    <row r="3626" spans="1:12" x14ac:dyDescent="0.45">
      <c r="A3626" t="s">
        <v>86</v>
      </c>
      <c r="B3626" t="s">
        <v>2</v>
      </c>
      <c r="C3626" t="s">
        <v>83</v>
      </c>
      <c r="D3626" t="s">
        <v>84</v>
      </c>
      <c r="E3626" t="s">
        <v>25</v>
      </c>
      <c r="F3626" t="s">
        <v>84</v>
      </c>
      <c r="G3626" t="s">
        <v>26</v>
      </c>
      <c r="H3626" t="s">
        <v>81</v>
      </c>
      <c r="I3626">
        <v>2090</v>
      </c>
      <c r="J3626">
        <v>0.24979999999999999</v>
      </c>
      <c r="K3626" t="s">
        <v>84</v>
      </c>
    </row>
    <row r="3627" spans="1:12" x14ac:dyDescent="0.45">
      <c r="A3627" t="s">
        <v>86</v>
      </c>
      <c r="B3627" t="s">
        <v>2</v>
      </c>
      <c r="C3627" t="s">
        <v>83</v>
      </c>
      <c r="D3627" t="s">
        <v>84</v>
      </c>
      <c r="E3627" t="s">
        <v>25</v>
      </c>
      <c r="F3627" t="s">
        <v>84</v>
      </c>
      <c r="G3627" t="s">
        <v>26</v>
      </c>
      <c r="H3627" t="s">
        <v>81</v>
      </c>
      <c r="I3627">
        <v>2095</v>
      </c>
      <c r="J3627">
        <v>0.2382</v>
      </c>
      <c r="K3627" t="s">
        <v>84</v>
      </c>
    </row>
    <row r="3628" spans="1:12" x14ac:dyDescent="0.45">
      <c r="A3628" t="s">
        <v>86</v>
      </c>
      <c r="B3628" t="s">
        <v>2</v>
      </c>
      <c r="C3628" t="s">
        <v>83</v>
      </c>
      <c r="D3628" t="s">
        <v>84</v>
      </c>
      <c r="E3628" t="s">
        <v>25</v>
      </c>
      <c r="F3628" t="s">
        <v>84</v>
      </c>
      <c r="G3628" t="s">
        <v>26</v>
      </c>
      <c r="H3628" t="s">
        <v>81</v>
      </c>
      <c r="I3628">
        <v>2100</v>
      </c>
      <c r="J3628">
        <v>0.22589999999999999</v>
      </c>
      <c r="K3628" t="s">
        <v>84</v>
      </c>
    </row>
    <row r="3629" spans="1:12" x14ac:dyDescent="0.45">
      <c r="A3629" t="s">
        <v>86</v>
      </c>
      <c r="B3629" t="s">
        <v>2</v>
      </c>
      <c r="C3629" t="s">
        <v>83</v>
      </c>
      <c r="D3629" t="s">
        <v>52</v>
      </c>
      <c r="E3629" t="s">
        <v>25</v>
      </c>
      <c r="F3629" t="s">
        <v>52</v>
      </c>
      <c r="G3629" t="s">
        <v>70</v>
      </c>
      <c r="I3629">
        <v>2020</v>
      </c>
      <c r="J3629">
        <v>0.3286</v>
      </c>
      <c r="K3629" t="s">
        <v>52</v>
      </c>
      <c r="L3629">
        <v>94</v>
      </c>
    </row>
    <row r="3630" spans="1:12" x14ac:dyDescent="0.45">
      <c r="A3630" t="s">
        <v>86</v>
      </c>
      <c r="B3630" t="s">
        <v>2</v>
      </c>
      <c r="C3630" t="s">
        <v>83</v>
      </c>
      <c r="D3630" t="s">
        <v>52</v>
      </c>
      <c r="E3630" t="s">
        <v>25</v>
      </c>
      <c r="F3630" t="s">
        <v>52</v>
      </c>
      <c r="G3630" t="s">
        <v>70</v>
      </c>
      <c r="I3630">
        <v>2025</v>
      </c>
      <c r="J3630">
        <v>0.30819999999999997</v>
      </c>
      <c r="K3630" t="s">
        <v>52</v>
      </c>
      <c r="L3630">
        <v>94</v>
      </c>
    </row>
    <row r="3631" spans="1:12" x14ac:dyDescent="0.45">
      <c r="A3631" t="s">
        <v>86</v>
      </c>
      <c r="B3631" t="s">
        <v>2</v>
      </c>
      <c r="C3631" t="s">
        <v>83</v>
      </c>
      <c r="D3631" t="s">
        <v>52</v>
      </c>
      <c r="E3631" t="s">
        <v>25</v>
      </c>
      <c r="F3631" t="s">
        <v>52</v>
      </c>
      <c r="G3631" t="s">
        <v>70</v>
      </c>
      <c r="I3631">
        <v>2030</v>
      </c>
      <c r="J3631">
        <v>0.27229999999999999</v>
      </c>
      <c r="K3631" t="s">
        <v>52</v>
      </c>
      <c r="L3631">
        <v>94</v>
      </c>
    </row>
    <row r="3632" spans="1:12" x14ac:dyDescent="0.45">
      <c r="A3632" t="s">
        <v>86</v>
      </c>
      <c r="B3632" t="s">
        <v>2</v>
      </c>
      <c r="C3632" t="s">
        <v>83</v>
      </c>
      <c r="D3632" t="s">
        <v>52</v>
      </c>
      <c r="E3632" t="s">
        <v>25</v>
      </c>
      <c r="F3632" t="s">
        <v>52</v>
      </c>
      <c r="G3632" t="s">
        <v>70</v>
      </c>
      <c r="I3632">
        <v>2035</v>
      </c>
      <c r="J3632">
        <v>0.21909999999999999</v>
      </c>
      <c r="K3632" t="s">
        <v>52</v>
      </c>
      <c r="L3632">
        <v>94</v>
      </c>
    </row>
    <row r="3633" spans="1:12" x14ac:dyDescent="0.45">
      <c r="A3633" t="s">
        <v>86</v>
      </c>
      <c r="B3633" t="s">
        <v>2</v>
      </c>
      <c r="C3633" t="s">
        <v>83</v>
      </c>
      <c r="D3633" t="s">
        <v>52</v>
      </c>
      <c r="E3633" t="s">
        <v>25</v>
      </c>
      <c r="F3633" t="s">
        <v>52</v>
      </c>
      <c r="G3633" t="s">
        <v>70</v>
      </c>
      <c r="I3633">
        <v>2040</v>
      </c>
      <c r="J3633">
        <v>0.15640000000000001</v>
      </c>
      <c r="K3633" t="s">
        <v>52</v>
      </c>
      <c r="L3633">
        <v>94</v>
      </c>
    </row>
    <row r="3634" spans="1:12" x14ac:dyDescent="0.45">
      <c r="A3634" t="s">
        <v>86</v>
      </c>
      <c r="B3634" t="s">
        <v>2</v>
      </c>
      <c r="C3634" t="s">
        <v>83</v>
      </c>
      <c r="D3634" t="s">
        <v>52</v>
      </c>
      <c r="E3634" t="s">
        <v>25</v>
      </c>
      <c r="F3634" t="s">
        <v>52</v>
      </c>
      <c r="G3634" t="s">
        <v>70</v>
      </c>
      <c r="I3634">
        <v>2045</v>
      </c>
      <c r="J3634">
        <v>7.3800000000000004E-2</v>
      </c>
      <c r="K3634" t="s">
        <v>52</v>
      </c>
      <c r="L3634">
        <v>94</v>
      </c>
    </row>
    <row r="3635" spans="1:12" x14ac:dyDescent="0.45">
      <c r="A3635" t="s">
        <v>86</v>
      </c>
      <c r="B3635" t="s">
        <v>2</v>
      </c>
      <c r="C3635" t="s">
        <v>83</v>
      </c>
      <c r="D3635" t="s">
        <v>52</v>
      </c>
      <c r="E3635" t="s">
        <v>25</v>
      </c>
      <c r="F3635" t="s">
        <v>52</v>
      </c>
      <c r="G3635" t="s">
        <v>70</v>
      </c>
      <c r="I3635">
        <v>2050</v>
      </c>
      <c r="J3635">
        <v>2.9100000000000001E-2</v>
      </c>
      <c r="K3635" t="s">
        <v>52</v>
      </c>
      <c r="L3635">
        <v>94</v>
      </c>
    </row>
    <row r="3636" spans="1:12" x14ac:dyDescent="0.45">
      <c r="A3636" t="s">
        <v>86</v>
      </c>
      <c r="B3636" t="s">
        <v>2</v>
      </c>
      <c r="C3636" t="s">
        <v>83</v>
      </c>
      <c r="D3636" t="s">
        <v>52</v>
      </c>
      <c r="E3636" t="s">
        <v>25</v>
      </c>
      <c r="F3636" t="s">
        <v>52</v>
      </c>
      <c r="G3636" t="s">
        <v>70</v>
      </c>
      <c r="I3636">
        <v>2055</v>
      </c>
      <c r="J3636">
        <v>8.8000000000000005E-3</v>
      </c>
      <c r="K3636" t="s">
        <v>52</v>
      </c>
      <c r="L3636">
        <v>94</v>
      </c>
    </row>
    <row r="3637" spans="1:12" x14ac:dyDescent="0.45">
      <c r="A3637" t="s">
        <v>86</v>
      </c>
      <c r="B3637" t="s">
        <v>2</v>
      </c>
      <c r="C3637" t="s">
        <v>83</v>
      </c>
      <c r="D3637" t="s">
        <v>52</v>
      </c>
      <c r="E3637" t="s">
        <v>25</v>
      </c>
      <c r="F3637" t="s">
        <v>52</v>
      </c>
      <c r="G3637" t="s">
        <v>70</v>
      </c>
      <c r="I3637">
        <v>2060</v>
      </c>
      <c r="J3637">
        <v>8.9999999999999998E-4</v>
      </c>
      <c r="K3637" t="s">
        <v>52</v>
      </c>
      <c r="L3637">
        <v>94</v>
      </c>
    </row>
    <row r="3638" spans="1:12" x14ac:dyDescent="0.45">
      <c r="A3638" t="s">
        <v>86</v>
      </c>
      <c r="B3638" t="s">
        <v>2</v>
      </c>
      <c r="C3638" t="s">
        <v>83</v>
      </c>
      <c r="D3638" t="s">
        <v>52</v>
      </c>
      <c r="E3638" t="s">
        <v>25</v>
      </c>
      <c r="F3638" t="s">
        <v>52</v>
      </c>
      <c r="G3638" t="s">
        <v>70</v>
      </c>
      <c r="I3638">
        <v>2065</v>
      </c>
      <c r="J3638">
        <v>4.0000000000000002E-4</v>
      </c>
      <c r="K3638" t="s">
        <v>52</v>
      </c>
      <c r="L3638">
        <v>94</v>
      </c>
    </row>
    <row r="3639" spans="1:12" x14ac:dyDescent="0.45">
      <c r="A3639" t="s">
        <v>86</v>
      </c>
      <c r="B3639" t="s">
        <v>2</v>
      </c>
      <c r="C3639" t="s">
        <v>83</v>
      </c>
      <c r="D3639" t="s">
        <v>52</v>
      </c>
      <c r="E3639" t="s">
        <v>25</v>
      </c>
      <c r="F3639" t="s">
        <v>52</v>
      </c>
      <c r="G3639" t="s">
        <v>70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86</v>
      </c>
      <c r="B3640" t="s">
        <v>2</v>
      </c>
      <c r="C3640" t="s">
        <v>83</v>
      </c>
      <c r="D3640" t="s">
        <v>52</v>
      </c>
      <c r="E3640" t="s">
        <v>25</v>
      </c>
      <c r="F3640" t="s">
        <v>52</v>
      </c>
      <c r="G3640" t="s">
        <v>70</v>
      </c>
      <c r="I3640">
        <v>2075</v>
      </c>
      <c r="J3640">
        <v>1E-4</v>
      </c>
      <c r="K3640" t="s">
        <v>52</v>
      </c>
      <c r="L3640">
        <v>94</v>
      </c>
    </row>
    <row r="3641" spans="1:12" x14ac:dyDescent="0.45">
      <c r="A3641" t="s">
        <v>86</v>
      </c>
      <c r="B3641" t="s">
        <v>2</v>
      </c>
      <c r="C3641" t="s">
        <v>83</v>
      </c>
      <c r="D3641" t="s">
        <v>52</v>
      </c>
      <c r="E3641" t="s">
        <v>25</v>
      </c>
      <c r="F3641" t="s">
        <v>52</v>
      </c>
      <c r="G3641" t="s">
        <v>70</v>
      </c>
      <c r="I3641">
        <v>2080</v>
      </c>
      <c r="J3641">
        <v>1E-4</v>
      </c>
      <c r="K3641" t="s">
        <v>52</v>
      </c>
      <c r="L3641">
        <v>94</v>
      </c>
    </row>
    <row r="3642" spans="1:12" x14ac:dyDescent="0.45">
      <c r="A3642" t="s">
        <v>86</v>
      </c>
      <c r="B3642" t="s">
        <v>2</v>
      </c>
      <c r="C3642" t="s">
        <v>83</v>
      </c>
      <c r="D3642" t="s">
        <v>52</v>
      </c>
      <c r="E3642" t="s">
        <v>25</v>
      </c>
      <c r="F3642" t="s">
        <v>52</v>
      </c>
      <c r="G3642" t="s">
        <v>70</v>
      </c>
      <c r="I3642">
        <v>2085</v>
      </c>
      <c r="J3642">
        <v>1E-4</v>
      </c>
      <c r="K3642" t="s">
        <v>52</v>
      </c>
      <c r="L3642">
        <v>94</v>
      </c>
    </row>
    <row r="3643" spans="1:12" x14ac:dyDescent="0.45">
      <c r="A3643" t="s">
        <v>86</v>
      </c>
      <c r="B3643" t="s">
        <v>2</v>
      </c>
      <c r="C3643" t="s">
        <v>83</v>
      </c>
      <c r="D3643" t="s">
        <v>52</v>
      </c>
      <c r="E3643" t="s">
        <v>25</v>
      </c>
      <c r="F3643" t="s">
        <v>52</v>
      </c>
      <c r="G3643" t="s">
        <v>70</v>
      </c>
      <c r="I3643">
        <v>2090</v>
      </c>
      <c r="J3643">
        <v>1E-4</v>
      </c>
      <c r="K3643" t="s">
        <v>52</v>
      </c>
      <c r="L3643">
        <v>94</v>
      </c>
    </row>
    <row r="3644" spans="1:12" x14ac:dyDescent="0.45">
      <c r="A3644" t="s">
        <v>86</v>
      </c>
      <c r="B3644" t="s">
        <v>2</v>
      </c>
      <c r="C3644" t="s">
        <v>83</v>
      </c>
      <c r="D3644" t="s">
        <v>52</v>
      </c>
      <c r="E3644" t="s">
        <v>25</v>
      </c>
      <c r="F3644" t="s">
        <v>52</v>
      </c>
      <c r="G3644" t="s">
        <v>70</v>
      </c>
      <c r="I3644">
        <v>2095</v>
      </c>
      <c r="J3644">
        <v>1E-4</v>
      </c>
      <c r="K3644" t="s">
        <v>52</v>
      </c>
      <c r="L3644">
        <v>94</v>
      </c>
    </row>
    <row r="3645" spans="1:12" x14ac:dyDescent="0.45">
      <c r="A3645" t="s">
        <v>86</v>
      </c>
      <c r="B3645" t="s">
        <v>2</v>
      </c>
      <c r="C3645" t="s">
        <v>83</v>
      </c>
      <c r="D3645" t="s">
        <v>52</v>
      </c>
      <c r="E3645" t="s">
        <v>25</v>
      </c>
      <c r="F3645" t="s">
        <v>52</v>
      </c>
      <c r="G3645" t="s">
        <v>70</v>
      </c>
      <c r="I3645">
        <v>2100</v>
      </c>
      <c r="J3645">
        <v>1E-4</v>
      </c>
      <c r="K3645" t="s">
        <v>52</v>
      </c>
      <c r="L3645">
        <v>94</v>
      </c>
    </row>
    <row r="3646" spans="1:12" x14ac:dyDescent="0.45">
      <c r="A3646" t="s">
        <v>86</v>
      </c>
      <c r="B3646" t="s">
        <v>2</v>
      </c>
      <c r="C3646" t="s">
        <v>83</v>
      </c>
      <c r="D3646" t="s">
        <v>53</v>
      </c>
      <c r="E3646" t="s">
        <v>25</v>
      </c>
      <c r="F3646" t="s">
        <v>53</v>
      </c>
      <c r="G3646" t="s">
        <v>70</v>
      </c>
      <c r="I3646">
        <v>2020</v>
      </c>
      <c r="J3646">
        <v>0.10970000000000001</v>
      </c>
      <c r="K3646" t="s">
        <v>53</v>
      </c>
      <c r="L3646">
        <v>55</v>
      </c>
    </row>
    <row r="3647" spans="1:12" x14ac:dyDescent="0.45">
      <c r="A3647" t="s">
        <v>86</v>
      </c>
      <c r="B3647" t="s">
        <v>2</v>
      </c>
      <c r="C3647" t="s">
        <v>83</v>
      </c>
      <c r="D3647" t="s">
        <v>53</v>
      </c>
      <c r="E3647" t="s">
        <v>25</v>
      </c>
      <c r="F3647" t="s">
        <v>53</v>
      </c>
      <c r="G3647" t="s">
        <v>70</v>
      </c>
      <c r="I3647">
        <v>2025</v>
      </c>
      <c r="J3647">
        <v>0.13070000000000001</v>
      </c>
      <c r="K3647" t="s">
        <v>53</v>
      </c>
      <c r="L3647">
        <v>55</v>
      </c>
    </row>
    <row r="3648" spans="1:12" x14ac:dyDescent="0.45">
      <c r="A3648" t="s">
        <v>86</v>
      </c>
      <c r="B3648" t="s">
        <v>2</v>
      </c>
      <c r="C3648" t="s">
        <v>83</v>
      </c>
      <c r="D3648" t="s">
        <v>53</v>
      </c>
      <c r="E3648" t="s">
        <v>25</v>
      </c>
      <c r="F3648" t="s">
        <v>53</v>
      </c>
      <c r="G3648" t="s">
        <v>70</v>
      </c>
      <c r="I3648">
        <v>2030</v>
      </c>
      <c r="J3648">
        <v>0.1595</v>
      </c>
      <c r="K3648" t="s">
        <v>53</v>
      </c>
      <c r="L3648">
        <v>55</v>
      </c>
    </row>
    <row r="3649" spans="1:12" x14ac:dyDescent="0.45">
      <c r="A3649" t="s">
        <v>86</v>
      </c>
      <c r="B3649" t="s">
        <v>2</v>
      </c>
      <c r="C3649" t="s">
        <v>83</v>
      </c>
      <c r="D3649" t="s">
        <v>53</v>
      </c>
      <c r="E3649" t="s">
        <v>25</v>
      </c>
      <c r="F3649" t="s">
        <v>53</v>
      </c>
      <c r="G3649" t="s">
        <v>70</v>
      </c>
      <c r="I3649">
        <v>2035</v>
      </c>
      <c r="J3649">
        <v>0.17</v>
      </c>
      <c r="K3649" t="s">
        <v>53</v>
      </c>
      <c r="L3649">
        <v>55</v>
      </c>
    </row>
    <row r="3650" spans="1:12" x14ac:dyDescent="0.45">
      <c r="A3650" t="s">
        <v>86</v>
      </c>
      <c r="B3650" t="s">
        <v>2</v>
      </c>
      <c r="C3650" t="s">
        <v>83</v>
      </c>
      <c r="D3650" t="s">
        <v>53</v>
      </c>
      <c r="E3650" t="s">
        <v>25</v>
      </c>
      <c r="F3650" t="s">
        <v>53</v>
      </c>
      <c r="G3650" t="s">
        <v>70</v>
      </c>
      <c r="I3650">
        <v>2040</v>
      </c>
      <c r="J3650">
        <v>0.15409999999999999</v>
      </c>
      <c r="K3650" t="s">
        <v>53</v>
      </c>
      <c r="L3650">
        <v>55</v>
      </c>
    </row>
    <row r="3651" spans="1:12" x14ac:dyDescent="0.45">
      <c r="A3651" t="s">
        <v>86</v>
      </c>
      <c r="B3651" t="s">
        <v>2</v>
      </c>
      <c r="C3651" t="s">
        <v>83</v>
      </c>
      <c r="D3651" t="s">
        <v>53</v>
      </c>
      <c r="E3651" t="s">
        <v>25</v>
      </c>
      <c r="F3651" t="s">
        <v>53</v>
      </c>
      <c r="G3651" t="s">
        <v>70</v>
      </c>
      <c r="I3651">
        <v>2045</v>
      </c>
      <c r="J3651">
        <v>0.1216</v>
      </c>
      <c r="K3651" t="s">
        <v>53</v>
      </c>
      <c r="L3651">
        <v>55</v>
      </c>
    </row>
    <row r="3652" spans="1:12" x14ac:dyDescent="0.45">
      <c r="A3652" t="s">
        <v>86</v>
      </c>
      <c r="B3652" t="s">
        <v>2</v>
      </c>
      <c r="C3652" t="s">
        <v>83</v>
      </c>
      <c r="D3652" t="s">
        <v>53</v>
      </c>
      <c r="E3652" t="s">
        <v>25</v>
      </c>
      <c r="F3652" t="s">
        <v>53</v>
      </c>
      <c r="G3652" t="s">
        <v>70</v>
      </c>
      <c r="I3652">
        <v>2050</v>
      </c>
      <c r="J3652">
        <v>9.0200000000000002E-2</v>
      </c>
      <c r="K3652" t="s">
        <v>53</v>
      </c>
      <c r="L3652">
        <v>55</v>
      </c>
    </row>
    <row r="3653" spans="1:12" x14ac:dyDescent="0.45">
      <c r="A3653" t="s">
        <v>86</v>
      </c>
      <c r="B3653" t="s">
        <v>2</v>
      </c>
      <c r="C3653" t="s">
        <v>83</v>
      </c>
      <c r="D3653" t="s">
        <v>53</v>
      </c>
      <c r="E3653" t="s">
        <v>25</v>
      </c>
      <c r="F3653" t="s">
        <v>53</v>
      </c>
      <c r="G3653" t="s">
        <v>70</v>
      </c>
      <c r="I3653">
        <v>2055</v>
      </c>
      <c r="J3653">
        <v>6.9199999999999998E-2</v>
      </c>
      <c r="K3653" t="s">
        <v>53</v>
      </c>
      <c r="L3653">
        <v>55</v>
      </c>
    </row>
    <row r="3654" spans="1:12" x14ac:dyDescent="0.45">
      <c r="A3654" t="s">
        <v>86</v>
      </c>
      <c r="B3654" t="s">
        <v>2</v>
      </c>
      <c r="C3654" t="s">
        <v>83</v>
      </c>
      <c r="D3654" t="s">
        <v>53</v>
      </c>
      <c r="E3654" t="s">
        <v>25</v>
      </c>
      <c r="F3654" t="s">
        <v>53</v>
      </c>
      <c r="G3654" t="s">
        <v>70</v>
      </c>
      <c r="I3654">
        <v>2060</v>
      </c>
      <c r="J3654">
        <v>2.24E-2</v>
      </c>
      <c r="K3654" t="s">
        <v>53</v>
      </c>
      <c r="L3654">
        <v>55</v>
      </c>
    </row>
    <row r="3655" spans="1:12" x14ac:dyDescent="0.45">
      <c r="A3655" t="s">
        <v>86</v>
      </c>
      <c r="B3655" t="s">
        <v>2</v>
      </c>
      <c r="C3655" t="s">
        <v>83</v>
      </c>
      <c r="D3655" t="s">
        <v>53</v>
      </c>
      <c r="E3655" t="s">
        <v>25</v>
      </c>
      <c r="F3655" t="s">
        <v>53</v>
      </c>
      <c r="G3655" t="s">
        <v>70</v>
      </c>
      <c r="I3655">
        <v>2065</v>
      </c>
      <c r="J3655">
        <v>1.77E-2</v>
      </c>
      <c r="K3655" t="s">
        <v>53</v>
      </c>
      <c r="L3655">
        <v>55</v>
      </c>
    </row>
    <row r="3656" spans="1:12" x14ac:dyDescent="0.45">
      <c r="A3656" t="s">
        <v>86</v>
      </c>
      <c r="B3656" t="s">
        <v>2</v>
      </c>
      <c r="C3656" t="s">
        <v>83</v>
      </c>
      <c r="D3656" t="s">
        <v>53</v>
      </c>
      <c r="E3656" t="s">
        <v>25</v>
      </c>
      <c r="F3656" t="s">
        <v>53</v>
      </c>
      <c r="G3656" t="s">
        <v>70</v>
      </c>
      <c r="I3656">
        <v>2070</v>
      </c>
      <c r="J3656">
        <v>1.24E-2</v>
      </c>
      <c r="K3656" t="s">
        <v>53</v>
      </c>
      <c r="L3656">
        <v>55</v>
      </c>
    </row>
    <row r="3657" spans="1:12" x14ac:dyDescent="0.45">
      <c r="A3657" t="s">
        <v>86</v>
      </c>
      <c r="B3657" t="s">
        <v>2</v>
      </c>
      <c r="C3657" t="s">
        <v>83</v>
      </c>
      <c r="D3657" t="s">
        <v>53</v>
      </c>
      <c r="E3657" t="s">
        <v>25</v>
      </c>
      <c r="F3657" t="s">
        <v>53</v>
      </c>
      <c r="G3657" t="s">
        <v>70</v>
      </c>
      <c r="I3657">
        <v>2075</v>
      </c>
      <c r="J3657">
        <v>9.2999999999999992E-3</v>
      </c>
      <c r="K3657" t="s">
        <v>53</v>
      </c>
      <c r="L3657">
        <v>55</v>
      </c>
    </row>
    <row r="3658" spans="1:12" x14ac:dyDescent="0.45">
      <c r="A3658" t="s">
        <v>86</v>
      </c>
      <c r="B3658" t="s">
        <v>2</v>
      </c>
      <c r="C3658" t="s">
        <v>83</v>
      </c>
      <c r="D3658" t="s">
        <v>53</v>
      </c>
      <c r="E3658" t="s">
        <v>25</v>
      </c>
      <c r="F3658" t="s">
        <v>53</v>
      </c>
      <c r="G3658" t="s">
        <v>70</v>
      </c>
      <c r="I3658">
        <v>2080</v>
      </c>
      <c r="J3658">
        <v>5.7999999999999996E-3</v>
      </c>
      <c r="K3658" t="s">
        <v>53</v>
      </c>
      <c r="L3658">
        <v>55</v>
      </c>
    </row>
    <row r="3659" spans="1:12" x14ac:dyDescent="0.45">
      <c r="A3659" t="s">
        <v>86</v>
      </c>
      <c r="B3659" t="s">
        <v>2</v>
      </c>
      <c r="C3659" t="s">
        <v>83</v>
      </c>
      <c r="D3659" t="s">
        <v>53</v>
      </c>
      <c r="E3659" t="s">
        <v>25</v>
      </c>
      <c r="F3659" t="s">
        <v>53</v>
      </c>
      <c r="G3659" t="s">
        <v>70</v>
      </c>
      <c r="I3659">
        <v>2085</v>
      </c>
      <c r="J3659">
        <v>6.7999999999999996E-3</v>
      </c>
      <c r="K3659" t="s">
        <v>53</v>
      </c>
      <c r="L3659">
        <v>55</v>
      </c>
    </row>
    <row r="3660" spans="1:12" x14ac:dyDescent="0.45">
      <c r="A3660" t="s">
        <v>86</v>
      </c>
      <c r="B3660" t="s">
        <v>2</v>
      </c>
      <c r="C3660" t="s">
        <v>83</v>
      </c>
      <c r="D3660" t="s">
        <v>53</v>
      </c>
      <c r="E3660" t="s">
        <v>25</v>
      </c>
      <c r="F3660" t="s">
        <v>53</v>
      </c>
      <c r="G3660" t="s">
        <v>70</v>
      </c>
      <c r="I3660">
        <v>2090</v>
      </c>
      <c r="J3660">
        <v>7.7000000000000002E-3</v>
      </c>
      <c r="K3660" t="s">
        <v>53</v>
      </c>
      <c r="L3660">
        <v>55</v>
      </c>
    </row>
    <row r="3661" spans="1:12" x14ac:dyDescent="0.45">
      <c r="A3661" t="s">
        <v>86</v>
      </c>
      <c r="B3661" t="s">
        <v>2</v>
      </c>
      <c r="C3661" t="s">
        <v>83</v>
      </c>
      <c r="D3661" t="s">
        <v>53</v>
      </c>
      <c r="E3661" t="s">
        <v>25</v>
      </c>
      <c r="F3661" t="s">
        <v>53</v>
      </c>
      <c r="G3661" t="s">
        <v>70</v>
      </c>
      <c r="I3661">
        <v>2095</v>
      </c>
      <c r="J3661">
        <v>7.3000000000000001E-3</v>
      </c>
      <c r="K3661" t="s">
        <v>53</v>
      </c>
      <c r="L3661">
        <v>55</v>
      </c>
    </row>
    <row r="3662" spans="1:12" x14ac:dyDescent="0.45">
      <c r="A3662" t="s">
        <v>86</v>
      </c>
      <c r="B3662" t="s">
        <v>2</v>
      </c>
      <c r="C3662" t="s">
        <v>83</v>
      </c>
      <c r="D3662" t="s">
        <v>53</v>
      </c>
      <c r="E3662" t="s">
        <v>25</v>
      </c>
      <c r="F3662" t="s">
        <v>53</v>
      </c>
      <c r="G3662" t="s">
        <v>70</v>
      </c>
      <c r="I3662">
        <v>2100</v>
      </c>
      <c r="J3662">
        <v>6.7999999999999996E-3</v>
      </c>
      <c r="K3662" t="s">
        <v>53</v>
      </c>
      <c r="L3662">
        <v>55</v>
      </c>
    </row>
    <row r="3663" spans="1:12" x14ac:dyDescent="0.45">
      <c r="A3663" t="s">
        <v>86</v>
      </c>
      <c r="B3663" t="s">
        <v>2</v>
      </c>
      <c r="C3663" t="s">
        <v>83</v>
      </c>
      <c r="D3663" t="s">
        <v>54</v>
      </c>
      <c r="E3663" t="s">
        <v>25</v>
      </c>
      <c r="F3663" t="s">
        <v>54</v>
      </c>
      <c r="G3663" t="s">
        <v>70</v>
      </c>
      <c r="I3663">
        <v>2020</v>
      </c>
      <c r="J3663">
        <v>0</v>
      </c>
      <c r="K3663" t="s">
        <v>54</v>
      </c>
      <c r="L3663">
        <v>70</v>
      </c>
    </row>
    <row r="3664" spans="1:12" x14ac:dyDescent="0.45">
      <c r="A3664" t="s">
        <v>86</v>
      </c>
      <c r="B3664" t="s">
        <v>2</v>
      </c>
      <c r="C3664" t="s">
        <v>83</v>
      </c>
      <c r="D3664" t="s">
        <v>54</v>
      </c>
      <c r="E3664" t="s">
        <v>25</v>
      </c>
      <c r="F3664" t="s">
        <v>54</v>
      </c>
      <c r="G3664" t="s">
        <v>70</v>
      </c>
      <c r="I3664">
        <v>2025</v>
      </c>
      <c r="J3664">
        <v>0</v>
      </c>
      <c r="K3664" t="s">
        <v>54</v>
      </c>
      <c r="L3664">
        <v>70</v>
      </c>
    </row>
    <row r="3665" spans="1:12" x14ac:dyDescent="0.45">
      <c r="A3665" t="s">
        <v>86</v>
      </c>
      <c r="B3665" t="s">
        <v>2</v>
      </c>
      <c r="C3665" t="s">
        <v>83</v>
      </c>
      <c r="D3665" t="s">
        <v>54</v>
      </c>
      <c r="E3665" t="s">
        <v>25</v>
      </c>
      <c r="F3665" t="s">
        <v>54</v>
      </c>
      <c r="G3665" t="s">
        <v>70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86</v>
      </c>
      <c r="B3666" t="s">
        <v>2</v>
      </c>
      <c r="C3666" t="s">
        <v>83</v>
      </c>
      <c r="D3666" t="s">
        <v>54</v>
      </c>
      <c r="E3666" t="s">
        <v>25</v>
      </c>
      <c r="F3666" t="s">
        <v>54</v>
      </c>
      <c r="G3666" t="s">
        <v>70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86</v>
      </c>
      <c r="B3667" t="s">
        <v>2</v>
      </c>
      <c r="C3667" t="s">
        <v>83</v>
      </c>
      <c r="D3667" t="s">
        <v>54</v>
      </c>
      <c r="E3667" t="s">
        <v>25</v>
      </c>
      <c r="F3667" t="s">
        <v>54</v>
      </c>
      <c r="G3667" t="s">
        <v>70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86</v>
      </c>
      <c r="B3668" t="s">
        <v>2</v>
      </c>
      <c r="C3668" t="s">
        <v>83</v>
      </c>
      <c r="D3668" t="s">
        <v>54</v>
      </c>
      <c r="E3668" t="s">
        <v>25</v>
      </c>
      <c r="F3668" t="s">
        <v>54</v>
      </c>
      <c r="G3668" t="s">
        <v>70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86</v>
      </c>
      <c r="B3669" t="s">
        <v>2</v>
      </c>
      <c r="C3669" t="s">
        <v>83</v>
      </c>
      <c r="D3669" t="s">
        <v>54</v>
      </c>
      <c r="E3669" t="s">
        <v>25</v>
      </c>
      <c r="F3669" t="s">
        <v>54</v>
      </c>
      <c r="G3669" t="s">
        <v>70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86</v>
      </c>
      <c r="B3670" t="s">
        <v>2</v>
      </c>
      <c r="C3670" t="s">
        <v>83</v>
      </c>
      <c r="D3670" t="s">
        <v>54</v>
      </c>
      <c r="E3670" t="s">
        <v>25</v>
      </c>
      <c r="F3670" t="s">
        <v>54</v>
      </c>
      <c r="G3670" t="s">
        <v>70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86</v>
      </c>
      <c r="B3671" t="s">
        <v>2</v>
      </c>
      <c r="C3671" t="s">
        <v>83</v>
      </c>
      <c r="D3671" t="s">
        <v>54</v>
      </c>
      <c r="E3671" t="s">
        <v>25</v>
      </c>
      <c r="F3671" t="s">
        <v>54</v>
      </c>
      <c r="G3671" t="s">
        <v>70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86</v>
      </c>
      <c r="B3672" t="s">
        <v>2</v>
      </c>
      <c r="C3672" t="s">
        <v>83</v>
      </c>
      <c r="D3672" t="s">
        <v>54</v>
      </c>
      <c r="E3672" t="s">
        <v>25</v>
      </c>
      <c r="F3672" t="s">
        <v>54</v>
      </c>
      <c r="G3672" t="s">
        <v>70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86</v>
      </c>
      <c r="B3673" t="s">
        <v>2</v>
      </c>
      <c r="C3673" t="s">
        <v>83</v>
      </c>
      <c r="D3673" t="s">
        <v>54</v>
      </c>
      <c r="E3673" t="s">
        <v>25</v>
      </c>
      <c r="F3673" t="s">
        <v>54</v>
      </c>
      <c r="G3673" t="s">
        <v>70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86</v>
      </c>
      <c r="B3674" t="s">
        <v>2</v>
      </c>
      <c r="C3674" t="s">
        <v>83</v>
      </c>
      <c r="D3674" t="s">
        <v>54</v>
      </c>
      <c r="E3674" t="s">
        <v>25</v>
      </c>
      <c r="F3674" t="s">
        <v>54</v>
      </c>
      <c r="G3674" t="s">
        <v>70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86</v>
      </c>
      <c r="B3675" t="s">
        <v>2</v>
      </c>
      <c r="C3675" t="s">
        <v>83</v>
      </c>
      <c r="D3675" t="s">
        <v>54</v>
      </c>
      <c r="E3675" t="s">
        <v>25</v>
      </c>
      <c r="F3675" t="s">
        <v>54</v>
      </c>
      <c r="G3675" t="s">
        <v>70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86</v>
      </c>
      <c r="B3676" t="s">
        <v>2</v>
      </c>
      <c r="C3676" t="s">
        <v>83</v>
      </c>
      <c r="D3676" t="s">
        <v>54</v>
      </c>
      <c r="E3676" t="s">
        <v>25</v>
      </c>
      <c r="F3676" t="s">
        <v>54</v>
      </c>
      <c r="G3676" t="s">
        <v>70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86</v>
      </c>
      <c r="B3677" t="s">
        <v>2</v>
      </c>
      <c r="C3677" t="s">
        <v>83</v>
      </c>
      <c r="D3677" t="s">
        <v>54</v>
      </c>
      <c r="E3677" t="s">
        <v>25</v>
      </c>
      <c r="F3677" t="s">
        <v>54</v>
      </c>
      <c r="G3677" t="s">
        <v>70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86</v>
      </c>
      <c r="B3678" t="s">
        <v>2</v>
      </c>
      <c r="C3678" t="s">
        <v>83</v>
      </c>
      <c r="D3678" t="s">
        <v>54</v>
      </c>
      <c r="E3678" t="s">
        <v>25</v>
      </c>
      <c r="F3678" t="s">
        <v>54</v>
      </c>
      <c r="G3678" t="s">
        <v>70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86</v>
      </c>
      <c r="B3679" t="s">
        <v>2</v>
      </c>
      <c r="C3679" t="s">
        <v>83</v>
      </c>
      <c r="D3679" t="s">
        <v>54</v>
      </c>
      <c r="E3679" t="s">
        <v>25</v>
      </c>
      <c r="F3679" t="s">
        <v>54</v>
      </c>
      <c r="G3679" t="s">
        <v>70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86</v>
      </c>
      <c r="B3680" t="s">
        <v>2</v>
      </c>
      <c r="C3680" t="s">
        <v>83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86</v>
      </c>
      <c r="B3681" t="s">
        <v>2</v>
      </c>
      <c r="C3681" t="s">
        <v>83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86</v>
      </c>
      <c r="B3682" t="s">
        <v>2</v>
      </c>
      <c r="C3682" t="s">
        <v>83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86</v>
      </c>
      <c r="B3683" t="s">
        <v>2</v>
      </c>
      <c r="C3683" t="s">
        <v>83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86</v>
      </c>
      <c r="B3684" t="s">
        <v>2</v>
      </c>
      <c r="C3684" t="s">
        <v>83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86</v>
      </c>
      <c r="B3685" t="s">
        <v>2</v>
      </c>
      <c r="C3685" t="s">
        <v>83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86</v>
      </c>
      <c r="B3686" t="s">
        <v>2</v>
      </c>
      <c r="C3686" t="s">
        <v>83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86</v>
      </c>
      <c r="B3687" t="s">
        <v>2</v>
      </c>
      <c r="C3687" t="s">
        <v>83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86</v>
      </c>
      <c r="B3688" t="s">
        <v>2</v>
      </c>
      <c r="C3688" t="s">
        <v>83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86</v>
      </c>
      <c r="B3689" t="s">
        <v>2</v>
      </c>
      <c r="C3689" t="s">
        <v>83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86</v>
      </c>
      <c r="B3690" t="s">
        <v>2</v>
      </c>
      <c r="C3690" t="s">
        <v>83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86</v>
      </c>
      <c r="B3691" t="s">
        <v>2</v>
      </c>
      <c r="C3691" t="s">
        <v>83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86</v>
      </c>
      <c r="B3692" t="s">
        <v>2</v>
      </c>
      <c r="C3692" t="s">
        <v>83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86</v>
      </c>
      <c r="B3693" t="s">
        <v>2</v>
      </c>
      <c r="C3693" t="s">
        <v>83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86</v>
      </c>
      <c r="B3694" t="s">
        <v>2</v>
      </c>
      <c r="C3694" t="s">
        <v>83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86</v>
      </c>
      <c r="B3695" t="s">
        <v>2</v>
      </c>
      <c r="C3695" t="s">
        <v>83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86</v>
      </c>
      <c r="B3696" t="s">
        <v>2</v>
      </c>
      <c r="C3696" t="s">
        <v>83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86</v>
      </c>
      <c r="B3697" t="s">
        <v>2</v>
      </c>
      <c r="C3697" t="s">
        <v>83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86</v>
      </c>
      <c r="B3698" t="s">
        <v>2</v>
      </c>
      <c r="C3698" t="s">
        <v>83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86</v>
      </c>
      <c r="B3699" t="s">
        <v>2</v>
      </c>
      <c r="C3699" t="s">
        <v>83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86</v>
      </c>
      <c r="B3700" t="s">
        <v>2</v>
      </c>
      <c r="C3700" t="s">
        <v>83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86</v>
      </c>
      <c r="B3701" t="s">
        <v>2</v>
      </c>
      <c r="C3701" t="s">
        <v>83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86</v>
      </c>
      <c r="B3702" t="s">
        <v>2</v>
      </c>
      <c r="C3702" t="s">
        <v>83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86</v>
      </c>
      <c r="B3703" t="s">
        <v>2</v>
      </c>
      <c r="C3703" t="s">
        <v>83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86</v>
      </c>
      <c r="B3704" t="s">
        <v>2</v>
      </c>
      <c r="C3704" t="s">
        <v>83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86</v>
      </c>
      <c r="B3705" t="s">
        <v>2</v>
      </c>
      <c r="C3705" t="s">
        <v>83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86</v>
      </c>
      <c r="B3706" t="s">
        <v>2</v>
      </c>
      <c r="C3706" t="s">
        <v>83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86</v>
      </c>
      <c r="B3707" t="s">
        <v>2</v>
      </c>
      <c r="C3707" t="s">
        <v>83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86</v>
      </c>
      <c r="B3708" t="s">
        <v>2</v>
      </c>
      <c r="C3708" t="s">
        <v>83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86</v>
      </c>
      <c r="B3709" t="s">
        <v>2</v>
      </c>
      <c r="C3709" t="s">
        <v>83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86</v>
      </c>
      <c r="B3710" t="s">
        <v>2</v>
      </c>
      <c r="C3710" t="s">
        <v>83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86</v>
      </c>
      <c r="B3711" t="s">
        <v>2</v>
      </c>
      <c r="C3711" t="s">
        <v>83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86</v>
      </c>
      <c r="B3712" t="s">
        <v>2</v>
      </c>
      <c r="C3712" t="s">
        <v>83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86</v>
      </c>
      <c r="B3713" t="s">
        <v>2</v>
      </c>
      <c r="C3713" t="s">
        <v>83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86</v>
      </c>
      <c r="B3714" t="s">
        <v>2</v>
      </c>
      <c r="C3714" t="s">
        <v>83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86</v>
      </c>
      <c r="B3715" t="s">
        <v>2</v>
      </c>
      <c r="C3715" t="s">
        <v>83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86</v>
      </c>
      <c r="B3716" t="s">
        <v>2</v>
      </c>
      <c r="C3716" t="s">
        <v>83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86</v>
      </c>
      <c r="B3717" t="s">
        <v>2</v>
      </c>
      <c r="C3717" t="s">
        <v>83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86</v>
      </c>
      <c r="B3718" t="s">
        <v>2</v>
      </c>
      <c r="C3718" t="s">
        <v>83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86</v>
      </c>
      <c r="B3719" t="s">
        <v>2</v>
      </c>
      <c r="C3719" t="s">
        <v>83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86</v>
      </c>
      <c r="B3720" t="s">
        <v>2</v>
      </c>
      <c r="C3720" t="s">
        <v>83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86</v>
      </c>
      <c r="B3721" t="s">
        <v>2</v>
      </c>
      <c r="C3721" t="s">
        <v>83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86</v>
      </c>
      <c r="B3722" t="s">
        <v>2</v>
      </c>
      <c r="C3722" t="s">
        <v>83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86</v>
      </c>
      <c r="B3723" t="s">
        <v>2</v>
      </c>
      <c r="C3723" t="s">
        <v>83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86</v>
      </c>
      <c r="B3724" t="s">
        <v>2</v>
      </c>
      <c r="C3724" t="s">
        <v>83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86</v>
      </c>
      <c r="B3725" t="s">
        <v>2</v>
      </c>
      <c r="C3725" t="s">
        <v>83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86</v>
      </c>
      <c r="B3726" t="s">
        <v>2</v>
      </c>
      <c r="C3726" t="s">
        <v>83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86</v>
      </c>
      <c r="B3727" t="s">
        <v>2</v>
      </c>
      <c r="C3727" t="s">
        <v>83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86</v>
      </c>
      <c r="B3728" t="s">
        <v>2</v>
      </c>
      <c r="C3728" t="s">
        <v>83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86</v>
      </c>
      <c r="B3729" t="s">
        <v>2</v>
      </c>
      <c r="C3729" t="s">
        <v>83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86</v>
      </c>
      <c r="B3730" t="s">
        <v>2</v>
      </c>
      <c r="C3730" t="s">
        <v>83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86</v>
      </c>
      <c r="B3731" t="s">
        <v>2</v>
      </c>
      <c r="C3731" t="s">
        <v>83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56.074300000000001</v>
      </c>
      <c r="K3731" t="s">
        <v>37</v>
      </c>
    </row>
    <row r="3732" spans="1:11" x14ac:dyDescent="0.45">
      <c r="A3732" t="s">
        <v>86</v>
      </c>
      <c r="B3732" t="s">
        <v>2</v>
      </c>
      <c r="C3732" t="s">
        <v>83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66.456999999999994</v>
      </c>
      <c r="K3732" t="s">
        <v>37</v>
      </c>
    </row>
    <row r="3733" spans="1:11" x14ac:dyDescent="0.45">
      <c r="A3733" t="s">
        <v>86</v>
      </c>
      <c r="B3733" t="s">
        <v>2</v>
      </c>
      <c r="C3733" t="s">
        <v>83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73.587800000000001</v>
      </c>
      <c r="K3733" t="s">
        <v>37</v>
      </c>
    </row>
    <row r="3734" spans="1:11" x14ac:dyDescent="0.45">
      <c r="A3734" t="s">
        <v>86</v>
      </c>
      <c r="B3734" t="s">
        <v>2</v>
      </c>
      <c r="C3734" t="s">
        <v>83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82.295199999999994</v>
      </c>
      <c r="K3734" t="s">
        <v>37</v>
      </c>
    </row>
    <row r="3735" spans="1:11" x14ac:dyDescent="0.45">
      <c r="A3735" t="s">
        <v>86</v>
      </c>
      <c r="B3735" t="s">
        <v>2</v>
      </c>
      <c r="C3735" t="s">
        <v>83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88.932000000000002</v>
      </c>
      <c r="K3735" t="s">
        <v>37</v>
      </c>
    </row>
    <row r="3736" spans="1:11" x14ac:dyDescent="0.45">
      <c r="A3736" t="s">
        <v>86</v>
      </c>
      <c r="B3736" t="s">
        <v>2</v>
      </c>
      <c r="C3736" t="s">
        <v>83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93.867999999999995</v>
      </c>
      <c r="K3736" t="s">
        <v>37</v>
      </c>
    </row>
    <row r="3737" spans="1:11" x14ac:dyDescent="0.45">
      <c r="A3737" t="s">
        <v>86</v>
      </c>
      <c r="B3737" t="s">
        <v>2</v>
      </c>
      <c r="C3737" t="s">
        <v>83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105.5309</v>
      </c>
      <c r="K3737" t="s">
        <v>37</v>
      </c>
    </row>
    <row r="3738" spans="1:11" x14ac:dyDescent="0.45">
      <c r="A3738" t="s">
        <v>86</v>
      </c>
      <c r="B3738" t="s">
        <v>2</v>
      </c>
      <c r="C3738" t="s">
        <v>83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117.26390000000001</v>
      </c>
      <c r="K3738" t="s">
        <v>37</v>
      </c>
    </row>
    <row r="3739" spans="1:11" x14ac:dyDescent="0.45">
      <c r="A3739" t="s">
        <v>86</v>
      </c>
      <c r="B3739" t="s">
        <v>2</v>
      </c>
      <c r="C3739" t="s">
        <v>83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191.72980000000001</v>
      </c>
      <c r="K3739" t="s">
        <v>37</v>
      </c>
    </row>
    <row r="3740" spans="1:11" x14ac:dyDescent="0.45">
      <c r="A3740" t="s">
        <v>86</v>
      </c>
      <c r="B3740" t="s">
        <v>2</v>
      </c>
      <c r="C3740" t="s">
        <v>83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217.93270000000001</v>
      </c>
      <c r="K3740" t="s">
        <v>37</v>
      </c>
    </row>
    <row r="3741" spans="1:11" x14ac:dyDescent="0.45">
      <c r="A3741" t="s">
        <v>86</v>
      </c>
      <c r="B3741" t="s">
        <v>2</v>
      </c>
      <c r="C3741" t="s">
        <v>83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244.13560000000001</v>
      </c>
      <c r="K3741" t="s">
        <v>37</v>
      </c>
    </row>
    <row r="3742" spans="1:11" x14ac:dyDescent="0.45">
      <c r="A3742" t="s">
        <v>86</v>
      </c>
      <c r="B3742" t="s">
        <v>2</v>
      </c>
      <c r="C3742" t="s">
        <v>83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268.44479999999999</v>
      </c>
      <c r="K3742" t="s">
        <v>37</v>
      </c>
    </row>
    <row r="3743" spans="1:11" x14ac:dyDescent="0.45">
      <c r="A3743" t="s">
        <v>86</v>
      </c>
      <c r="B3743" t="s">
        <v>2</v>
      </c>
      <c r="C3743" t="s">
        <v>83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292.75409999999999</v>
      </c>
      <c r="K3743" t="s">
        <v>37</v>
      </c>
    </row>
    <row r="3744" spans="1:11" x14ac:dyDescent="0.45">
      <c r="A3744" t="s">
        <v>86</v>
      </c>
      <c r="B3744" t="s">
        <v>2</v>
      </c>
      <c r="C3744" t="s">
        <v>83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293.14229999999998</v>
      </c>
      <c r="K3744" t="s">
        <v>37</v>
      </c>
    </row>
    <row r="3745" spans="1:11" x14ac:dyDescent="0.45">
      <c r="A3745" t="s">
        <v>86</v>
      </c>
      <c r="B3745" t="s">
        <v>2</v>
      </c>
      <c r="C3745" t="s">
        <v>83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293.53039999999999</v>
      </c>
      <c r="K3745" t="s">
        <v>37</v>
      </c>
    </row>
    <row r="3746" spans="1:11" x14ac:dyDescent="0.45">
      <c r="A3746" t="s">
        <v>86</v>
      </c>
      <c r="B3746" t="s">
        <v>2</v>
      </c>
      <c r="C3746" t="s">
        <v>83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305.46339999999998</v>
      </c>
      <c r="K3746" t="s">
        <v>37</v>
      </c>
    </row>
    <row r="3747" spans="1:11" x14ac:dyDescent="0.45">
      <c r="A3747" t="s">
        <v>86</v>
      </c>
      <c r="B3747" t="s">
        <v>2</v>
      </c>
      <c r="C3747" t="s">
        <v>83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317.39640000000003</v>
      </c>
      <c r="K3747" t="s">
        <v>37</v>
      </c>
    </row>
    <row r="3748" spans="1:11" x14ac:dyDescent="0.45">
      <c r="A3748" t="s">
        <v>86</v>
      </c>
      <c r="B3748" t="s">
        <v>2</v>
      </c>
      <c r="C3748" t="s">
        <v>83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375.90559999999999</v>
      </c>
      <c r="K3748" t="s">
        <v>48</v>
      </c>
    </row>
    <row r="3749" spans="1:11" x14ac:dyDescent="0.45">
      <c r="A3749" t="s">
        <v>86</v>
      </c>
      <c r="B3749" t="s">
        <v>2</v>
      </c>
      <c r="C3749" t="s">
        <v>83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412.17219999999998</v>
      </c>
      <c r="K3749" t="s">
        <v>48</v>
      </c>
    </row>
    <row r="3750" spans="1:11" x14ac:dyDescent="0.45">
      <c r="A3750" t="s">
        <v>86</v>
      </c>
      <c r="B3750" t="s">
        <v>2</v>
      </c>
      <c r="C3750" t="s">
        <v>83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400.19349999999997</v>
      </c>
      <c r="K3750" t="s">
        <v>48</v>
      </c>
    </row>
    <row r="3751" spans="1:11" x14ac:dyDescent="0.45">
      <c r="A3751" t="s">
        <v>86</v>
      </c>
      <c r="B3751" t="s">
        <v>2</v>
      </c>
      <c r="C3751" t="s">
        <v>83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370.98700000000002</v>
      </c>
      <c r="K3751" t="s">
        <v>48</v>
      </c>
    </row>
    <row r="3752" spans="1:11" x14ac:dyDescent="0.45">
      <c r="A3752" t="s">
        <v>86</v>
      </c>
      <c r="B3752" t="s">
        <v>2</v>
      </c>
      <c r="C3752" t="s">
        <v>83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326.0043</v>
      </c>
      <c r="K3752" t="s">
        <v>48</v>
      </c>
    </row>
    <row r="3753" spans="1:11" x14ac:dyDescent="0.45">
      <c r="A3753" t="s">
        <v>86</v>
      </c>
      <c r="B3753" t="s">
        <v>2</v>
      </c>
      <c r="C3753" t="s">
        <v>83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271.24259999999998</v>
      </c>
      <c r="K3753" t="s">
        <v>48</v>
      </c>
    </row>
    <row r="3754" spans="1:11" x14ac:dyDescent="0.45">
      <c r="A3754" t="s">
        <v>86</v>
      </c>
      <c r="B3754" t="s">
        <v>2</v>
      </c>
      <c r="C3754" t="s">
        <v>83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232.60919999999999</v>
      </c>
      <c r="K3754" t="s">
        <v>48</v>
      </c>
    </row>
    <row r="3755" spans="1:11" x14ac:dyDescent="0.45">
      <c r="A3755" t="s">
        <v>86</v>
      </c>
      <c r="B3755" t="s">
        <v>2</v>
      </c>
      <c r="C3755" t="s">
        <v>83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209.10159999999999</v>
      </c>
      <c r="K3755" t="s">
        <v>48</v>
      </c>
    </row>
    <row r="3756" spans="1:11" x14ac:dyDescent="0.45">
      <c r="A3756" t="s">
        <v>86</v>
      </c>
      <c r="B3756" t="s">
        <v>2</v>
      </c>
      <c r="C3756" t="s">
        <v>83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188.0548</v>
      </c>
      <c r="K3756" t="s">
        <v>48</v>
      </c>
    </row>
    <row r="3757" spans="1:11" x14ac:dyDescent="0.45">
      <c r="A3757" t="s">
        <v>86</v>
      </c>
      <c r="B3757" t="s">
        <v>2</v>
      </c>
      <c r="C3757" t="s">
        <v>83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175.2687</v>
      </c>
      <c r="K3757" t="s">
        <v>48</v>
      </c>
    </row>
    <row r="3758" spans="1:11" x14ac:dyDescent="0.45">
      <c r="A3758" t="s">
        <v>86</v>
      </c>
      <c r="B3758" t="s">
        <v>2</v>
      </c>
      <c r="C3758" t="s">
        <v>83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161.7706</v>
      </c>
      <c r="K3758" t="s">
        <v>48</v>
      </c>
    </row>
    <row r="3759" spans="1:11" x14ac:dyDescent="0.45">
      <c r="A3759" t="s">
        <v>86</v>
      </c>
      <c r="B3759" t="s">
        <v>2</v>
      </c>
      <c r="C3759" t="s">
        <v>83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152.91550000000001</v>
      </c>
      <c r="K3759" t="s">
        <v>48</v>
      </c>
    </row>
    <row r="3760" spans="1:11" x14ac:dyDescent="0.45">
      <c r="A3760" t="s">
        <v>86</v>
      </c>
      <c r="B3760" t="s">
        <v>2</v>
      </c>
      <c r="C3760" t="s">
        <v>83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143.36660000000001</v>
      </c>
      <c r="K3760" t="s">
        <v>48</v>
      </c>
    </row>
    <row r="3761" spans="1:11" x14ac:dyDescent="0.45">
      <c r="A3761" t="s">
        <v>86</v>
      </c>
      <c r="B3761" t="s">
        <v>2</v>
      </c>
      <c r="C3761" t="s">
        <v>83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139.03139999999999</v>
      </c>
      <c r="K3761" t="s">
        <v>48</v>
      </c>
    </row>
    <row r="3762" spans="1:11" x14ac:dyDescent="0.45">
      <c r="A3762" t="s">
        <v>86</v>
      </c>
      <c r="B3762" t="s">
        <v>2</v>
      </c>
      <c r="C3762" t="s">
        <v>83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136.61510000000001</v>
      </c>
      <c r="K3762" t="s">
        <v>48</v>
      </c>
    </row>
    <row r="3763" spans="1:11" x14ac:dyDescent="0.45">
      <c r="A3763" t="s">
        <v>86</v>
      </c>
      <c r="B3763" t="s">
        <v>2</v>
      </c>
      <c r="C3763" t="s">
        <v>83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126.9169</v>
      </c>
      <c r="K3763" t="s">
        <v>48</v>
      </c>
    </row>
    <row r="3764" spans="1:11" x14ac:dyDescent="0.45">
      <c r="A3764" t="s">
        <v>86</v>
      </c>
      <c r="B3764" t="s">
        <v>2</v>
      </c>
      <c r="C3764" t="s">
        <v>83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117.2148</v>
      </c>
      <c r="K3764" t="s">
        <v>48</v>
      </c>
    </row>
    <row r="3765" spans="1:11" x14ac:dyDescent="0.45">
      <c r="A3765" t="s">
        <v>86</v>
      </c>
      <c r="B3765" t="s">
        <v>2</v>
      </c>
      <c r="C3765" t="s">
        <v>83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334.15039999999999</v>
      </c>
      <c r="K3765" t="s">
        <v>51</v>
      </c>
    </row>
    <row r="3766" spans="1:11" x14ac:dyDescent="0.45">
      <c r="A3766" t="s">
        <v>86</v>
      </c>
      <c r="B3766" t="s">
        <v>2</v>
      </c>
      <c r="C3766" t="s">
        <v>83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336.87139999999999</v>
      </c>
      <c r="K3766" t="s">
        <v>51</v>
      </c>
    </row>
    <row r="3767" spans="1:11" x14ac:dyDescent="0.45">
      <c r="A3767" t="s">
        <v>86</v>
      </c>
      <c r="B3767" t="s">
        <v>2</v>
      </c>
      <c r="C3767" t="s">
        <v>83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325.83030000000002</v>
      </c>
      <c r="K3767" t="s">
        <v>51</v>
      </c>
    </row>
    <row r="3768" spans="1:11" x14ac:dyDescent="0.45">
      <c r="A3768" t="s">
        <v>86</v>
      </c>
      <c r="B3768" t="s">
        <v>2</v>
      </c>
      <c r="C3768" t="s">
        <v>83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298.25139999999999</v>
      </c>
      <c r="K3768" t="s">
        <v>51</v>
      </c>
    </row>
    <row r="3769" spans="1:11" x14ac:dyDescent="0.45">
      <c r="A3769" t="s">
        <v>86</v>
      </c>
      <c r="B3769" t="s">
        <v>2</v>
      </c>
      <c r="C3769" t="s">
        <v>83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254.6926</v>
      </c>
      <c r="K3769" t="s">
        <v>51</v>
      </c>
    </row>
    <row r="3770" spans="1:11" x14ac:dyDescent="0.45">
      <c r="A3770" t="s">
        <v>86</v>
      </c>
      <c r="B3770" t="s">
        <v>2</v>
      </c>
      <c r="C3770" t="s">
        <v>83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198.32259999999999</v>
      </c>
      <c r="K3770" t="s">
        <v>51</v>
      </c>
    </row>
    <row r="3771" spans="1:11" x14ac:dyDescent="0.45">
      <c r="A3771" t="s">
        <v>86</v>
      </c>
      <c r="B3771" t="s">
        <v>2</v>
      </c>
      <c r="C3771" t="s">
        <v>83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160.69450000000001</v>
      </c>
      <c r="K3771" t="s">
        <v>51</v>
      </c>
    </row>
    <row r="3772" spans="1:11" x14ac:dyDescent="0.45">
      <c r="A3772" t="s">
        <v>86</v>
      </c>
      <c r="B3772" t="s">
        <v>2</v>
      </c>
      <c r="C3772" t="s">
        <v>83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137.6183</v>
      </c>
      <c r="K3772" t="s">
        <v>51</v>
      </c>
    </row>
    <row r="3773" spans="1:11" x14ac:dyDescent="0.45">
      <c r="A3773" t="s">
        <v>86</v>
      </c>
      <c r="B3773" t="s">
        <v>2</v>
      </c>
      <c r="C3773" t="s">
        <v>83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117.3302</v>
      </c>
      <c r="K3773" t="s">
        <v>51</v>
      </c>
    </row>
    <row r="3774" spans="1:11" x14ac:dyDescent="0.45">
      <c r="A3774" t="s">
        <v>86</v>
      </c>
      <c r="B3774" t="s">
        <v>2</v>
      </c>
      <c r="C3774" t="s">
        <v>83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103.5609</v>
      </c>
      <c r="K3774" t="s">
        <v>51</v>
      </c>
    </row>
    <row r="3775" spans="1:11" x14ac:dyDescent="0.45">
      <c r="A3775" t="s">
        <v>86</v>
      </c>
      <c r="B3775" t="s">
        <v>2</v>
      </c>
      <c r="C3775" t="s">
        <v>83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89.103700000000003</v>
      </c>
      <c r="K3775" t="s">
        <v>51</v>
      </c>
    </row>
    <row r="3776" spans="1:11" x14ac:dyDescent="0.45">
      <c r="A3776" t="s">
        <v>86</v>
      </c>
      <c r="B3776" t="s">
        <v>2</v>
      </c>
      <c r="C3776" t="s">
        <v>83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80.6768</v>
      </c>
      <c r="K3776" t="s">
        <v>51</v>
      </c>
    </row>
    <row r="3777" spans="1:11" x14ac:dyDescent="0.45">
      <c r="A3777" t="s">
        <v>86</v>
      </c>
      <c r="B3777" t="s">
        <v>2</v>
      </c>
      <c r="C3777" t="s">
        <v>83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71.584199999999996</v>
      </c>
      <c r="K3777" t="s">
        <v>51</v>
      </c>
    </row>
    <row r="3778" spans="1:11" x14ac:dyDescent="0.45">
      <c r="A3778" t="s">
        <v>86</v>
      </c>
      <c r="B3778" t="s">
        <v>2</v>
      </c>
      <c r="C3778" t="s">
        <v>83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61.076700000000002</v>
      </c>
      <c r="K3778" t="s">
        <v>51</v>
      </c>
    </row>
    <row r="3779" spans="1:11" x14ac:dyDescent="0.45">
      <c r="A3779" t="s">
        <v>86</v>
      </c>
      <c r="B3779" t="s">
        <v>2</v>
      </c>
      <c r="C3779" t="s">
        <v>83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52.462499999999999</v>
      </c>
      <c r="K3779" t="s">
        <v>51</v>
      </c>
    </row>
    <row r="3780" spans="1:11" x14ac:dyDescent="0.45">
      <c r="A3780" t="s">
        <v>86</v>
      </c>
      <c r="B3780" t="s">
        <v>2</v>
      </c>
      <c r="C3780" t="s">
        <v>83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47.7699</v>
      </c>
      <c r="K3780" t="s">
        <v>51</v>
      </c>
    </row>
    <row r="3781" spans="1:11" x14ac:dyDescent="0.45">
      <c r="A3781" t="s">
        <v>86</v>
      </c>
      <c r="B3781" t="s">
        <v>2</v>
      </c>
      <c r="C3781" t="s">
        <v>83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43.0747</v>
      </c>
      <c r="K3781" t="s">
        <v>51</v>
      </c>
    </row>
    <row r="3782" spans="1:11" x14ac:dyDescent="0.45">
      <c r="A3782" t="s">
        <v>86</v>
      </c>
      <c r="B3782" t="s">
        <v>1</v>
      </c>
      <c r="C3782" t="s">
        <v>83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86</v>
      </c>
      <c r="B3783" t="s">
        <v>1</v>
      </c>
      <c r="C3783" t="s">
        <v>83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86</v>
      </c>
      <c r="B3784" t="s">
        <v>1</v>
      </c>
      <c r="C3784" t="s">
        <v>83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2.1307</v>
      </c>
      <c r="K3784" t="s">
        <v>45</v>
      </c>
    </row>
    <row r="3785" spans="1:11" x14ac:dyDescent="0.45">
      <c r="A3785" t="s">
        <v>86</v>
      </c>
      <c r="B3785" t="s">
        <v>1</v>
      </c>
      <c r="C3785" t="s">
        <v>83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9.9961000000000002</v>
      </c>
      <c r="K3785" t="s">
        <v>45</v>
      </c>
    </row>
    <row r="3786" spans="1:11" x14ac:dyDescent="0.45">
      <c r="A3786" t="s">
        <v>86</v>
      </c>
      <c r="B3786" t="s">
        <v>1</v>
      </c>
      <c r="C3786" t="s">
        <v>83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8.5623000000000005</v>
      </c>
      <c r="K3786" t="s">
        <v>45</v>
      </c>
    </row>
    <row r="3787" spans="1:11" x14ac:dyDescent="0.45">
      <c r="A3787" t="s">
        <v>86</v>
      </c>
      <c r="B3787" t="s">
        <v>1</v>
      </c>
      <c r="C3787" t="s">
        <v>83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8.3400999999999996</v>
      </c>
      <c r="K3787" t="s">
        <v>45</v>
      </c>
    </row>
    <row r="3788" spans="1:11" x14ac:dyDescent="0.45">
      <c r="A3788" t="s">
        <v>86</v>
      </c>
      <c r="B3788" t="s">
        <v>1</v>
      </c>
      <c r="C3788" t="s">
        <v>83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9.9139999999999997</v>
      </c>
      <c r="K3788" t="s">
        <v>45</v>
      </c>
    </row>
    <row r="3789" spans="1:11" x14ac:dyDescent="0.45">
      <c r="A3789" t="s">
        <v>86</v>
      </c>
      <c r="B3789" t="s">
        <v>1</v>
      </c>
      <c r="C3789" t="s">
        <v>83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11.929600000000001</v>
      </c>
      <c r="K3789" t="s">
        <v>45</v>
      </c>
    </row>
    <row r="3790" spans="1:11" x14ac:dyDescent="0.45">
      <c r="A3790" t="s">
        <v>86</v>
      </c>
      <c r="B3790" t="s">
        <v>1</v>
      </c>
      <c r="C3790" t="s">
        <v>83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12.827999999999999</v>
      </c>
      <c r="K3790" t="s">
        <v>45</v>
      </c>
    </row>
    <row r="3791" spans="1:11" x14ac:dyDescent="0.45">
      <c r="A3791" t="s">
        <v>86</v>
      </c>
      <c r="B3791" t="s">
        <v>1</v>
      </c>
      <c r="C3791" t="s">
        <v>83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13.586499999999999</v>
      </c>
      <c r="K3791" t="s">
        <v>45</v>
      </c>
    </row>
    <row r="3792" spans="1:11" x14ac:dyDescent="0.45">
      <c r="A3792" t="s">
        <v>86</v>
      </c>
      <c r="B3792" t="s">
        <v>1</v>
      </c>
      <c r="C3792" t="s">
        <v>83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14.3139</v>
      </c>
      <c r="K3792" t="s">
        <v>45</v>
      </c>
    </row>
    <row r="3793" spans="1:11" x14ac:dyDescent="0.45">
      <c r="A3793" t="s">
        <v>86</v>
      </c>
      <c r="B3793" t="s">
        <v>1</v>
      </c>
      <c r="C3793" t="s">
        <v>83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14.992699999999999</v>
      </c>
      <c r="K3793" t="s">
        <v>45</v>
      </c>
    </row>
    <row r="3794" spans="1:11" x14ac:dyDescent="0.45">
      <c r="A3794" t="s">
        <v>86</v>
      </c>
      <c r="B3794" t="s">
        <v>1</v>
      </c>
      <c r="C3794" t="s">
        <v>83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17.713999999999999</v>
      </c>
      <c r="K3794" t="s">
        <v>45</v>
      </c>
    </row>
    <row r="3795" spans="1:11" x14ac:dyDescent="0.45">
      <c r="A3795" t="s">
        <v>86</v>
      </c>
      <c r="B3795" t="s">
        <v>1</v>
      </c>
      <c r="C3795" t="s">
        <v>83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15.472899999999999</v>
      </c>
      <c r="K3795" t="s">
        <v>45</v>
      </c>
    </row>
    <row r="3796" spans="1:11" x14ac:dyDescent="0.45">
      <c r="A3796" t="s">
        <v>86</v>
      </c>
      <c r="B3796" t="s">
        <v>1</v>
      </c>
      <c r="C3796" t="s">
        <v>83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12.7965</v>
      </c>
      <c r="K3796" t="s">
        <v>45</v>
      </c>
    </row>
    <row r="3797" spans="1:11" x14ac:dyDescent="0.45">
      <c r="A3797" t="s">
        <v>86</v>
      </c>
      <c r="B3797" t="s">
        <v>1</v>
      </c>
      <c r="C3797" t="s">
        <v>83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11.930099999999999</v>
      </c>
      <c r="K3797" t="s">
        <v>45</v>
      </c>
    </row>
    <row r="3798" spans="1:11" x14ac:dyDescent="0.45">
      <c r="A3798" t="s">
        <v>86</v>
      </c>
      <c r="B3798" t="s">
        <v>1</v>
      </c>
      <c r="C3798" t="s">
        <v>83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10.424300000000001</v>
      </c>
      <c r="K3798" t="s">
        <v>45</v>
      </c>
    </row>
    <row r="3799" spans="1:11" x14ac:dyDescent="0.45">
      <c r="A3799" t="s">
        <v>86</v>
      </c>
      <c r="B3799" t="s">
        <v>1</v>
      </c>
      <c r="C3799" t="s">
        <v>83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0.1532</v>
      </c>
      <c r="K3799" t="s">
        <v>24</v>
      </c>
    </row>
    <row r="3800" spans="1:11" x14ac:dyDescent="0.45">
      <c r="A3800" t="s">
        <v>86</v>
      </c>
      <c r="B3800" t="s">
        <v>1</v>
      </c>
      <c r="C3800" t="s">
        <v>83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0.16919999999999999</v>
      </c>
      <c r="K3800" t="s">
        <v>24</v>
      </c>
    </row>
    <row r="3801" spans="1:11" x14ac:dyDescent="0.45">
      <c r="A3801" t="s">
        <v>86</v>
      </c>
      <c r="B3801" t="s">
        <v>1</v>
      </c>
      <c r="C3801" t="s">
        <v>83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0.28170000000000001</v>
      </c>
      <c r="K3801" t="s">
        <v>24</v>
      </c>
    </row>
    <row r="3802" spans="1:11" x14ac:dyDescent="0.45">
      <c r="A3802" t="s">
        <v>86</v>
      </c>
      <c r="B3802" t="s">
        <v>1</v>
      </c>
      <c r="C3802" t="s">
        <v>83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0.34660000000000002</v>
      </c>
      <c r="K3802" t="s">
        <v>24</v>
      </c>
    </row>
    <row r="3803" spans="1:11" x14ac:dyDescent="0.45">
      <c r="A3803" t="s">
        <v>86</v>
      </c>
      <c r="B3803" t="s">
        <v>1</v>
      </c>
      <c r="C3803" t="s">
        <v>83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0.41320000000000001</v>
      </c>
      <c r="K3803" t="s">
        <v>24</v>
      </c>
    </row>
    <row r="3804" spans="1:11" x14ac:dyDescent="0.45">
      <c r="A3804" t="s">
        <v>86</v>
      </c>
      <c r="B3804" t="s">
        <v>1</v>
      </c>
      <c r="C3804" t="s">
        <v>83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0.4738</v>
      </c>
      <c r="K3804" t="s">
        <v>24</v>
      </c>
    </row>
    <row r="3805" spans="1:11" x14ac:dyDescent="0.45">
      <c r="A3805" t="s">
        <v>86</v>
      </c>
      <c r="B3805" t="s">
        <v>1</v>
      </c>
      <c r="C3805" t="s">
        <v>83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0.49690000000000001</v>
      </c>
      <c r="K3805" t="s">
        <v>24</v>
      </c>
    </row>
    <row r="3806" spans="1:11" x14ac:dyDescent="0.45">
      <c r="A3806" t="s">
        <v>86</v>
      </c>
      <c r="B3806" t="s">
        <v>1</v>
      </c>
      <c r="C3806" t="s">
        <v>83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0.50839999999999996</v>
      </c>
      <c r="K3806" t="s">
        <v>24</v>
      </c>
    </row>
    <row r="3807" spans="1:11" x14ac:dyDescent="0.45">
      <c r="A3807" t="s">
        <v>86</v>
      </c>
      <c r="B3807" t="s">
        <v>1</v>
      </c>
      <c r="C3807" t="s">
        <v>83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0.50690000000000002</v>
      </c>
      <c r="K3807" t="s">
        <v>24</v>
      </c>
    </row>
    <row r="3808" spans="1:11" x14ac:dyDescent="0.45">
      <c r="A3808" t="s">
        <v>86</v>
      </c>
      <c r="B3808" t="s">
        <v>1</v>
      </c>
      <c r="C3808" t="s">
        <v>83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0.50419999999999998</v>
      </c>
      <c r="K3808" t="s">
        <v>24</v>
      </c>
    </row>
    <row r="3809" spans="1:11" x14ac:dyDescent="0.45">
      <c r="A3809" t="s">
        <v>86</v>
      </c>
      <c r="B3809" t="s">
        <v>1</v>
      </c>
      <c r="C3809" t="s">
        <v>83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0.50339999999999996</v>
      </c>
      <c r="K3809" t="s">
        <v>24</v>
      </c>
    </row>
    <row r="3810" spans="1:11" x14ac:dyDescent="0.45">
      <c r="A3810" t="s">
        <v>86</v>
      </c>
      <c r="B3810" t="s">
        <v>1</v>
      </c>
      <c r="C3810" t="s">
        <v>83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0.48549999999999999</v>
      </c>
      <c r="K3810" t="s">
        <v>24</v>
      </c>
    </row>
    <row r="3811" spans="1:11" x14ac:dyDescent="0.45">
      <c r="A3811" t="s">
        <v>86</v>
      </c>
      <c r="B3811" t="s">
        <v>1</v>
      </c>
      <c r="C3811" t="s">
        <v>83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0.46899999999999997</v>
      </c>
      <c r="K3811" t="s">
        <v>24</v>
      </c>
    </row>
    <row r="3812" spans="1:11" x14ac:dyDescent="0.45">
      <c r="A3812" t="s">
        <v>86</v>
      </c>
      <c r="B3812" t="s">
        <v>1</v>
      </c>
      <c r="C3812" t="s">
        <v>83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0.43830000000000002</v>
      </c>
      <c r="K3812" t="s">
        <v>24</v>
      </c>
    </row>
    <row r="3813" spans="1:11" x14ac:dyDescent="0.45">
      <c r="A3813" t="s">
        <v>86</v>
      </c>
      <c r="B3813" t="s">
        <v>1</v>
      </c>
      <c r="C3813" t="s">
        <v>83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0.41110000000000002</v>
      </c>
      <c r="K3813" t="s">
        <v>24</v>
      </c>
    </row>
    <row r="3814" spans="1:11" x14ac:dyDescent="0.45">
      <c r="A3814" t="s">
        <v>86</v>
      </c>
      <c r="B3814" t="s">
        <v>1</v>
      </c>
      <c r="C3814" t="s">
        <v>83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0.39179999999999998</v>
      </c>
      <c r="K3814" t="s">
        <v>24</v>
      </c>
    </row>
    <row r="3815" spans="1:11" x14ac:dyDescent="0.45">
      <c r="A3815" t="s">
        <v>86</v>
      </c>
      <c r="B3815" t="s">
        <v>1</v>
      </c>
      <c r="C3815" t="s">
        <v>83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0.37309999999999999</v>
      </c>
      <c r="K3815" t="s">
        <v>24</v>
      </c>
    </row>
    <row r="3816" spans="1:11" x14ac:dyDescent="0.45">
      <c r="A3816" t="s">
        <v>86</v>
      </c>
      <c r="B3816" t="s">
        <v>1</v>
      </c>
      <c r="C3816" t="s">
        <v>83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9.4799999999999995E-2</v>
      </c>
      <c r="K3816" t="s">
        <v>28</v>
      </c>
    </row>
    <row r="3817" spans="1:11" x14ac:dyDescent="0.45">
      <c r="A3817" t="s">
        <v>86</v>
      </c>
      <c r="B3817" t="s">
        <v>1</v>
      </c>
      <c r="C3817" t="s">
        <v>83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0.1152</v>
      </c>
      <c r="K3817" t="s">
        <v>28</v>
      </c>
    </row>
    <row r="3818" spans="1:11" x14ac:dyDescent="0.45">
      <c r="A3818" t="s">
        <v>86</v>
      </c>
      <c r="B3818" t="s">
        <v>1</v>
      </c>
      <c r="C3818" t="s">
        <v>83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0.15970000000000001</v>
      </c>
      <c r="K3818" t="s">
        <v>28</v>
      </c>
    </row>
    <row r="3819" spans="1:11" x14ac:dyDescent="0.45">
      <c r="A3819" t="s">
        <v>86</v>
      </c>
      <c r="B3819" t="s">
        <v>1</v>
      </c>
      <c r="C3819" t="s">
        <v>83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0.19370000000000001</v>
      </c>
      <c r="K3819" t="s">
        <v>28</v>
      </c>
    </row>
    <row r="3820" spans="1:11" x14ac:dyDescent="0.45">
      <c r="A3820" t="s">
        <v>86</v>
      </c>
      <c r="B3820" t="s">
        <v>1</v>
      </c>
      <c r="C3820" t="s">
        <v>83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0.24490000000000001</v>
      </c>
      <c r="K3820" t="s">
        <v>28</v>
      </c>
    </row>
    <row r="3821" spans="1:11" x14ac:dyDescent="0.45">
      <c r="A3821" t="s">
        <v>86</v>
      </c>
      <c r="B3821" t="s">
        <v>1</v>
      </c>
      <c r="C3821" t="s">
        <v>83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0.26740000000000003</v>
      </c>
      <c r="K3821" t="s">
        <v>28</v>
      </c>
    </row>
    <row r="3822" spans="1:11" x14ac:dyDescent="0.45">
      <c r="A3822" t="s">
        <v>86</v>
      </c>
      <c r="B3822" t="s">
        <v>1</v>
      </c>
      <c r="C3822" t="s">
        <v>83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0.28899999999999998</v>
      </c>
      <c r="K3822" t="s">
        <v>28</v>
      </c>
    </row>
    <row r="3823" spans="1:11" x14ac:dyDescent="0.45">
      <c r="A3823" t="s">
        <v>86</v>
      </c>
      <c r="B3823" t="s">
        <v>1</v>
      </c>
      <c r="C3823" t="s">
        <v>83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0.28160000000000002</v>
      </c>
      <c r="K3823" t="s">
        <v>28</v>
      </c>
    </row>
    <row r="3824" spans="1:11" x14ac:dyDescent="0.45">
      <c r="A3824" t="s">
        <v>86</v>
      </c>
      <c r="B3824" t="s">
        <v>1</v>
      </c>
      <c r="C3824" t="s">
        <v>83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0.29909999999999998</v>
      </c>
      <c r="K3824" t="s">
        <v>28</v>
      </c>
    </row>
    <row r="3825" spans="1:11" x14ac:dyDescent="0.45">
      <c r="A3825" t="s">
        <v>86</v>
      </c>
      <c r="B3825" t="s">
        <v>1</v>
      </c>
      <c r="C3825" t="s">
        <v>83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0.30980000000000002</v>
      </c>
      <c r="K3825" t="s">
        <v>28</v>
      </c>
    </row>
    <row r="3826" spans="1:11" x14ac:dyDescent="0.45">
      <c r="A3826" t="s">
        <v>86</v>
      </c>
      <c r="B3826" t="s">
        <v>1</v>
      </c>
      <c r="C3826" t="s">
        <v>83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0.32150000000000001</v>
      </c>
      <c r="K3826" t="s">
        <v>28</v>
      </c>
    </row>
    <row r="3827" spans="1:11" x14ac:dyDescent="0.45">
      <c r="A3827" t="s">
        <v>86</v>
      </c>
      <c r="B3827" t="s">
        <v>1</v>
      </c>
      <c r="C3827" t="s">
        <v>83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0.33639999999999998</v>
      </c>
      <c r="K3827" t="s">
        <v>28</v>
      </c>
    </row>
    <row r="3828" spans="1:11" x14ac:dyDescent="0.45">
      <c r="A3828" t="s">
        <v>86</v>
      </c>
      <c r="B3828" t="s">
        <v>1</v>
      </c>
      <c r="C3828" t="s">
        <v>83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0.3518</v>
      </c>
      <c r="K3828" t="s">
        <v>28</v>
      </c>
    </row>
    <row r="3829" spans="1:11" x14ac:dyDescent="0.45">
      <c r="A3829" t="s">
        <v>86</v>
      </c>
      <c r="B3829" t="s">
        <v>1</v>
      </c>
      <c r="C3829" t="s">
        <v>83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0.3523</v>
      </c>
      <c r="K3829" t="s">
        <v>28</v>
      </c>
    </row>
    <row r="3830" spans="1:11" x14ac:dyDescent="0.45">
      <c r="A3830" t="s">
        <v>86</v>
      </c>
      <c r="B3830" t="s">
        <v>1</v>
      </c>
      <c r="C3830" t="s">
        <v>83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0.35470000000000002</v>
      </c>
      <c r="K3830" t="s">
        <v>28</v>
      </c>
    </row>
    <row r="3831" spans="1:11" x14ac:dyDescent="0.45">
      <c r="A3831" t="s">
        <v>86</v>
      </c>
      <c r="B3831" t="s">
        <v>1</v>
      </c>
      <c r="C3831" t="s">
        <v>83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0.36</v>
      </c>
      <c r="K3831" t="s">
        <v>28</v>
      </c>
    </row>
    <row r="3832" spans="1:11" x14ac:dyDescent="0.45">
      <c r="A3832" t="s">
        <v>86</v>
      </c>
      <c r="B3832" t="s">
        <v>1</v>
      </c>
      <c r="C3832" t="s">
        <v>83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0.36559999999999998</v>
      </c>
      <c r="K3832" t="s">
        <v>28</v>
      </c>
    </row>
    <row r="3833" spans="1:11" x14ac:dyDescent="0.45">
      <c r="A3833" t="s">
        <v>86</v>
      </c>
      <c r="B3833" t="s">
        <v>1</v>
      </c>
      <c r="C3833" t="s">
        <v>83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1.09E-2</v>
      </c>
      <c r="K3833" t="s">
        <v>27</v>
      </c>
    </row>
    <row r="3834" spans="1:11" x14ac:dyDescent="0.45">
      <c r="A3834" t="s">
        <v>86</v>
      </c>
      <c r="B3834" t="s">
        <v>1</v>
      </c>
      <c r="C3834" t="s">
        <v>83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1.89E-2</v>
      </c>
      <c r="K3834" t="s">
        <v>27</v>
      </c>
    </row>
    <row r="3835" spans="1:11" x14ac:dyDescent="0.45">
      <c r="A3835" t="s">
        <v>86</v>
      </c>
      <c r="B3835" t="s">
        <v>1</v>
      </c>
      <c r="C3835" t="s">
        <v>83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4.4600000000000001E-2</v>
      </c>
      <c r="K3835" t="s">
        <v>27</v>
      </c>
    </row>
    <row r="3836" spans="1:11" x14ac:dyDescent="0.45">
      <c r="A3836" t="s">
        <v>86</v>
      </c>
      <c r="B3836" t="s">
        <v>1</v>
      </c>
      <c r="C3836" t="s">
        <v>83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8.1600000000000006E-2</v>
      </c>
      <c r="K3836" t="s">
        <v>27</v>
      </c>
    </row>
    <row r="3837" spans="1:11" x14ac:dyDescent="0.45">
      <c r="A3837" t="s">
        <v>86</v>
      </c>
      <c r="B3837" t="s">
        <v>1</v>
      </c>
      <c r="C3837" t="s">
        <v>83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0.1172</v>
      </c>
      <c r="K3837" t="s">
        <v>27</v>
      </c>
    </row>
    <row r="3838" spans="1:11" x14ac:dyDescent="0.45">
      <c r="A3838" t="s">
        <v>86</v>
      </c>
      <c r="B3838" t="s">
        <v>1</v>
      </c>
      <c r="C3838" t="s">
        <v>83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0.12620000000000001</v>
      </c>
      <c r="K3838" t="s">
        <v>27</v>
      </c>
    </row>
    <row r="3839" spans="1:11" x14ac:dyDescent="0.45">
      <c r="A3839" t="s">
        <v>86</v>
      </c>
      <c r="B3839" t="s">
        <v>1</v>
      </c>
      <c r="C3839" t="s">
        <v>83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0.1303</v>
      </c>
      <c r="K3839" t="s">
        <v>27</v>
      </c>
    </row>
    <row r="3840" spans="1:11" x14ac:dyDescent="0.45">
      <c r="A3840" t="s">
        <v>86</v>
      </c>
      <c r="B3840" t="s">
        <v>1</v>
      </c>
      <c r="C3840" t="s">
        <v>83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0.12870000000000001</v>
      </c>
      <c r="K3840" t="s">
        <v>27</v>
      </c>
    </row>
    <row r="3841" spans="1:11" x14ac:dyDescent="0.45">
      <c r="A3841" t="s">
        <v>86</v>
      </c>
      <c r="B3841" t="s">
        <v>1</v>
      </c>
      <c r="C3841" t="s">
        <v>83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0.1263</v>
      </c>
      <c r="K3841" t="s">
        <v>27</v>
      </c>
    </row>
    <row r="3842" spans="1:11" x14ac:dyDescent="0.45">
      <c r="A3842" t="s">
        <v>86</v>
      </c>
      <c r="B3842" t="s">
        <v>1</v>
      </c>
      <c r="C3842" t="s">
        <v>83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0.1235</v>
      </c>
      <c r="K3842" t="s">
        <v>27</v>
      </c>
    </row>
    <row r="3843" spans="1:11" x14ac:dyDescent="0.45">
      <c r="A3843" t="s">
        <v>86</v>
      </c>
      <c r="B3843" t="s">
        <v>1</v>
      </c>
      <c r="C3843" t="s">
        <v>83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0.1212</v>
      </c>
      <c r="K3843" t="s">
        <v>27</v>
      </c>
    </row>
    <row r="3844" spans="1:11" x14ac:dyDescent="0.45">
      <c r="A3844" t="s">
        <v>86</v>
      </c>
      <c r="B3844" t="s">
        <v>1</v>
      </c>
      <c r="C3844" t="s">
        <v>83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0.11890000000000001</v>
      </c>
      <c r="K3844" t="s">
        <v>27</v>
      </c>
    </row>
    <row r="3845" spans="1:11" x14ac:dyDescent="0.45">
      <c r="A3845" t="s">
        <v>86</v>
      </c>
      <c r="B3845" t="s">
        <v>1</v>
      </c>
      <c r="C3845" t="s">
        <v>83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0.1176</v>
      </c>
      <c r="K3845" t="s">
        <v>27</v>
      </c>
    </row>
    <row r="3846" spans="1:11" x14ac:dyDescent="0.45">
      <c r="A3846" t="s">
        <v>86</v>
      </c>
      <c r="B3846" t="s">
        <v>1</v>
      </c>
      <c r="C3846" t="s">
        <v>83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0.11509999999999999</v>
      </c>
      <c r="K3846" t="s">
        <v>27</v>
      </c>
    </row>
    <row r="3847" spans="1:11" x14ac:dyDescent="0.45">
      <c r="A3847" t="s">
        <v>86</v>
      </c>
      <c r="B3847" t="s">
        <v>1</v>
      </c>
      <c r="C3847" t="s">
        <v>83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0.1139</v>
      </c>
      <c r="K3847" t="s">
        <v>27</v>
      </c>
    </row>
    <row r="3848" spans="1:11" x14ac:dyDescent="0.45">
      <c r="A3848" t="s">
        <v>86</v>
      </c>
      <c r="B3848" t="s">
        <v>1</v>
      </c>
      <c r="C3848" t="s">
        <v>83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0.11409999999999999</v>
      </c>
      <c r="K3848" t="s">
        <v>27</v>
      </c>
    </row>
    <row r="3849" spans="1:11" x14ac:dyDescent="0.45">
      <c r="A3849" t="s">
        <v>86</v>
      </c>
      <c r="B3849" t="s">
        <v>1</v>
      </c>
      <c r="C3849" t="s">
        <v>83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0.1145</v>
      </c>
      <c r="K3849" t="s">
        <v>27</v>
      </c>
    </row>
    <row r="3850" spans="1:11" x14ac:dyDescent="0.45">
      <c r="A3850" t="s">
        <v>86</v>
      </c>
      <c r="B3850" t="s">
        <v>1</v>
      </c>
      <c r="C3850" t="s">
        <v>83</v>
      </c>
      <c r="D3850" t="s">
        <v>84</v>
      </c>
      <c r="E3850" t="s">
        <v>25</v>
      </c>
      <c r="F3850" t="s">
        <v>84</v>
      </c>
      <c r="G3850" t="s">
        <v>26</v>
      </c>
      <c r="H3850" t="s">
        <v>81</v>
      </c>
      <c r="I3850">
        <v>2020</v>
      </c>
      <c r="J3850">
        <v>4.7999999999999996E-3</v>
      </c>
      <c r="K3850" t="s">
        <v>84</v>
      </c>
    </row>
    <row r="3851" spans="1:11" x14ac:dyDescent="0.45">
      <c r="A3851" t="s">
        <v>86</v>
      </c>
      <c r="B3851" t="s">
        <v>1</v>
      </c>
      <c r="C3851" t="s">
        <v>83</v>
      </c>
      <c r="D3851" t="s">
        <v>84</v>
      </c>
      <c r="E3851" t="s">
        <v>25</v>
      </c>
      <c r="F3851" t="s">
        <v>84</v>
      </c>
      <c r="G3851" t="s">
        <v>26</v>
      </c>
      <c r="H3851" t="s">
        <v>81</v>
      </c>
      <c r="I3851">
        <v>2025</v>
      </c>
      <c r="J3851">
        <v>2.0199999999999999E-2</v>
      </c>
      <c r="K3851" t="s">
        <v>84</v>
      </c>
    </row>
    <row r="3852" spans="1:11" x14ac:dyDescent="0.45">
      <c r="A3852" t="s">
        <v>86</v>
      </c>
      <c r="B3852" t="s">
        <v>1</v>
      </c>
      <c r="C3852" t="s">
        <v>83</v>
      </c>
      <c r="D3852" t="s">
        <v>84</v>
      </c>
      <c r="E3852" t="s">
        <v>25</v>
      </c>
      <c r="F3852" t="s">
        <v>84</v>
      </c>
      <c r="G3852" t="s">
        <v>26</v>
      </c>
      <c r="H3852" t="s">
        <v>81</v>
      </c>
      <c r="I3852">
        <v>2030</v>
      </c>
      <c r="J3852">
        <v>4.8500000000000001E-2</v>
      </c>
      <c r="K3852" t="s">
        <v>84</v>
      </c>
    </row>
    <row r="3853" spans="1:11" x14ac:dyDescent="0.45">
      <c r="A3853" t="s">
        <v>86</v>
      </c>
      <c r="B3853" t="s">
        <v>1</v>
      </c>
      <c r="C3853" t="s">
        <v>83</v>
      </c>
      <c r="D3853" t="s">
        <v>84</v>
      </c>
      <c r="E3853" t="s">
        <v>25</v>
      </c>
      <c r="F3853" t="s">
        <v>84</v>
      </c>
      <c r="G3853" t="s">
        <v>26</v>
      </c>
      <c r="H3853" t="s">
        <v>81</v>
      </c>
      <c r="I3853">
        <v>2035</v>
      </c>
      <c r="J3853">
        <v>4.2999999999999997E-2</v>
      </c>
      <c r="K3853" t="s">
        <v>84</v>
      </c>
    </row>
    <row r="3854" spans="1:11" x14ac:dyDescent="0.45">
      <c r="A3854" t="s">
        <v>86</v>
      </c>
      <c r="B3854" t="s">
        <v>1</v>
      </c>
      <c r="C3854" t="s">
        <v>83</v>
      </c>
      <c r="D3854" t="s">
        <v>84</v>
      </c>
      <c r="E3854" t="s">
        <v>25</v>
      </c>
      <c r="F3854" t="s">
        <v>84</v>
      </c>
      <c r="G3854" t="s">
        <v>26</v>
      </c>
      <c r="H3854" t="s">
        <v>81</v>
      </c>
      <c r="I3854">
        <v>2040</v>
      </c>
      <c r="J3854">
        <v>4.36E-2</v>
      </c>
      <c r="K3854" t="s">
        <v>84</v>
      </c>
    </row>
    <row r="3855" spans="1:11" x14ac:dyDescent="0.45">
      <c r="A3855" t="s">
        <v>86</v>
      </c>
      <c r="B3855" t="s">
        <v>1</v>
      </c>
      <c r="C3855" t="s">
        <v>83</v>
      </c>
      <c r="D3855" t="s">
        <v>84</v>
      </c>
      <c r="E3855" t="s">
        <v>25</v>
      </c>
      <c r="F3855" t="s">
        <v>84</v>
      </c>
      <c r="G3855" t="s">
        <v>26</v>
      </c>
      <c r="H3855" t="s">
        <v>81</v>
      </c>
      <c r="I3855">
        <v>2045</v>
      </c>
      <c r="J3855">
        <v>4.2500000000000003E-2</v>
      </c>
      <c r="K3855" t="s">
        <v>84</v>
      </c>
    </row>
    <row r="3856" spans="1:11" x14ac:dyDescent="0.45">
      <c r="A3856" t="s">
        <v>86</v>
      </c>
      <c r="B3856" t="s">
        <v>1</v>
      </c>
      <c r="C3856" t="s">
        <v>83</v>
      </c>
      <c r="D3856" t="s">
        <v>84</v>
      </c>
      <c r="E3856" t="s">
        <v>25</v>
      </c>
      <c r="F3856" t="s">
        <v>84</v>
      </c>
      <c r="G3856" t="s">
        <v>26</v>
      </c>
      <c r="H3856" t="s">
        <v>81</v>
      </c>
      <c r="I3856">
        <v>2050</v>
      </c>
      <c r="J3856">
        <v>5.04E-2</v>
      </c>
      <c r="K3856" t="s">
        <v>84</v>
      </c>
    </row>
    <row r="3857" spans="1:12" x14ac:dyDescent="0.45">
      <c r="A3857" t="s">
        <v>86</v>
      </c>
      <c r="B3857" t="s">
        <v>1</v>
      </c>
      <c r="C3857" t="s">
        <v>83</v>
      </c>
      <c r="D3857" t="s">
        <v>84</v>
      </c>
      <c r="E3857" t="s">
        <v>25</v>
      </c>
      <c r="F3857" t="s">
        <v>84</v>
      </c>
      <c r="G3857" t="s">
        <v>26</v>
      </c>
      <c r="H3857" t="s">
        <v>81</v>
      </c>
      <c r="I3857">
        <v>2055</v>
      </c>
      <c r="J3857">
        <v>6.1699999999999998E-2</v>
      </c>
      <c r="K3857" t="s">
        <v>84</v>
      </c>
    </row>
    <row r="3858" spans="1:12" x14ac:dyDescent="0.45">
      <c r="A3858" t="s">
        <v>86</v>
      </c>
      <c r="B3858" t="s">
        <v>1</v>
      </c>
      <c r="C3858" t="s">
        <v>83</v>
      </c>
      <c r="D3858" t="s">
        <v>84</v>
      </c>
      <c r="E3858" t="s">
        <v>25</v>
      </c>
      <c r="F3858" t="s">
        <v>84</v>
      </c>
      <c r="G3858" t="s">
        <v>26</v>
      </c>
      <c r="H3858" t="s">
        <v>81</v>
      </c>
      <c r="I3858">
        <v>2060</v>
      </c>
      <c r="J3858">
        <v>7.6700000000000004E-2</v>
      </c>
      <c r="K3858" t="s">
        <v>84</v>
      </c>
    </row>
    <row r="3859" spans="1:12" x14ac:dyDescent="0.45">
      <c r="A3859" t="s">
        <v>86</v>
      </c>
      <c r="B3859" t="s">
        <v>1</v>
      </c>
      <c r="C3859" t="s">
        <v>83</v>
      </c>
      <c r="D3859" t="s">
        <v>84</v>
      </c>
      <c r="E3859" t="s">
        <v>25</v>
      </c>
      <c r="F3859" t="s">
        <v>84</v>
      </c>
      <c r="G3859" t="s">
        <v>26</v>
      </c>
      <c r="H3859" t="s">
        <v>81</v>
      </c>
      <c r="I3859">
        <v>2065</v>
      </c>
      <c r="J3859">
        <v>7.85E-2</v>
      </c>
      <c r="K3859" t="s">
        <v>84</v>
      </c>
    </row>
    <row r="3860" spans="1:12" x14ac:dyDescent="0.45">
      <c r="A3860" t="s">
        <v>86</v>
      </c>
      <c r="B3860" t="s">
        <v>1</v>
      </c>
      <c r="C3860" t="s">
        <v>83</v>
      </c>
      <c r="D3860" t="s">
        <v>84</v>
      </c>
      <c r="E3860" t="s">
        <v>25</v>
      </c>
      <c r="F3860" t="s">
        <v>84</v>
      </c>
      <c r="G3860" t="s">
        <v>26</v>
      </c>
      <c r="H3860" t="s">
        <v>81</v>
      </c>
      <c r="I3860">
        <v>2070</v>
      </c>
      <c r="J3860">
        <v>7.8899999999999998E-2</v>
      </c>
      <c r="K3860" t="s">
        <v>84</v>
      </c>
    </row>
    <row r="3861" spans="1:12" x14ac:dyDescent="0.45">
      <c r="A3861" t="s">
        <v>86</v>
      </c>
      <c r="B3861" t="s">
        <v>1</v>
      </c>
      <c r="C3861" t="s">
        <v>83</v>
      </c>
      <c r="D3861" t="s">
        <v>84</v>
      </c>
      <c r="E3861" t="s">
        <v>25</v>
      </c>
      <c r="F3861" t="s">
        <v>84</v>
      </c>
      <c r="G3861" t="s">
        <v>26</v>
      </c>
      <c r="H3861" t="s">
        <v>81</v>
      </c>
      <c r="I3861">
        <v>2075</v>
      </c>
      <c r="J3861">
        <v>9.4200000000000006E-2</v>
      </c>
      <c r="K3861" t="s">
        <v>84</v>
      </c>
    </row>
    <row r="3862" spans="1:12" x14ac:dyDescent="0.45">
      <c r="A3862" t="s">
        <v>86</v>
      </c>
      <c r="B3862" t="s">
        <v>1</v>
      </c>
      <c r="C3862" t="s">
        <v>83</v>
      </c>
      <c r="D3862" t="s">
        <v>84</v>
      </c>
      <c r="E3862" t="s">
        <v>25</v>
      </c>
      <c r="F3862" t="s">
        <v>84</v>
      </c>
      <c r="G3862" t="s">
        <v>26</v>
      </c>
      <c r="H3862" t="s">
        <v>81</v>
      </c>
      <c r="I3862">
        <v>2080</v>
      </c>
      <c r="J3862">
        <v>0.1084</v>
      </c>
      <c r="K3862" t="s">
        <v>84</v>
      </c>
    </row>
    <row r="3863" spans="1:12" x14ac:dyDescent="0.45">
      <c r="A3863" t="s">
        <v>86</v>
      </c>
      <c r="B3863" t="s">
        <v>1</v>
      </c>
      <c r="C3863" t="s">
        <v>83</v>
      </c>
      <c r="D3863" t="s">
        <v>84</v>
      </c>
      <c r="E3863" t="s">
        <v>25</v>
      </c>
      <c r="F3863" t="s">
        <v>84</v>
      </c>
      <c r="G3863" t="s">
        <v>26</v>
      </c>
      <c r="H3863" t="s">
        <v>81</v>
      </c>
      <c r="I3863">
        <v>2085</v>
      </c>
      <c r="J3863">
        <v>0.11899999999999999</v>
      </c>
      <c r="K3863" t="s">
        <v>84</v>
      </c>
    </row>
    <row r="3864" spans="1:12" x14ac:dyDescent="0.45">
      <c r="A3864" t="s">
        <v>86</v>
      </c>
      <c r="B3864" t="s">
        <v>1</v>
      </c>
      <c r="C3864" t="s">
        <v>83</v>
      </c>
      <c r="D3864" t="s">
        <v>84</v>
      </c>
      <c r="E3864" t="s">
        <v>25</v>
      </c>
      <c r="F3864" t="s">
        <v>84</v>
      </c>
      <c r="G3864" t="s">
        <v>26</v>
      </c>
      <c r="H3864" t="s">
        <v>81</v>
      </c>
      <c r="I3864">
        <v>2090</v>
      </c>
      <c r="J3864">
        <v>0.1273</v>
      </c>
      <c r="K3864" t="s">
        <v>84</v>
      </c>
    </row>
    <row r="3865" spans="1:12" x14ac:dyDescent="0.45">
      <c r="A3865" t="s">
        <v>86</v>
      </c>
      <c r="B3865" t="s">
        <v>1</v>
      </c>
      <c r="C3865" t="s">
        <v>83</v>
      </c>
      <c r="D3865" t="s">
        <v>84</v>
      </c>
      <c r="E3865" t="s">
        <v>25</v>
      </c>
      <c r="F3865" t="s">
        <v>84</v>
      </c>
      <c r="G3865" t="s">
        <v>26</v>
      </c>
      <c r="H3865" t="s">
        <v>81</v>
      </c>
      <c r="I3865">
        <v>2095</v>
      </c>
      <c r="J3865">
        <v>0.13639999999999999</v>
      </c>
      <c r="K3865" t="s">
        <v>84</v>
      </c>
    </row>
    <row r="3866" spans="1:12" x14ac:dyDescent="0.45">
      <c r="A3866" t="s">
        <v>86</v>
      </c>
      <c r="B3866" t="s">
        <v>1</v>
      </c>
      <c r="C3866" t="s">
        <v>83</v>
      </c>
      <c r="D3866" t="s">
        <v>84</v>
      </c>
      <c r="E3866" t="s">
        <v>25</v>
      </c>
      <c r="F3866" t="s">
        <v>84</v>
      </c>
      <c r="G3866" t="s">
        <v>26</v>
      </c>
      <c r="H3866" t="s">
        <v>81</v>
      </c>
      <c r="I3866">
        <v>2100</v>
      </c>
      <c r="J3866">
        <v>0.1479</v>
      </c>
      <c r="K3866" t="s">
        <v>84</v>
      </c>
    </row>
    <row r="3867" spans="1:12" x14ac:dyDescent="0.45">
      <c r="A3867" t="s">
        <v>86</v>
      </c>
      <c r="B3867" t="s">
        <v>1</v>
      </c>
      <c r="C3867" t="s">
        <v>83</v>
      </c>
      <c r="D3867" t="s">
        <v>52</v>
      </c>
      <c r="E3867" t="s">
        <v>25</v>
      </c>
      <c r="F3867" t="s">
        <v>52</v>
      </c>
      <c r="G3867" t="s">
        <v>70</v>
      </c>
      <c r="I3867">
        <v>2020</v>
      </c>
      <c r="J3867">
        <v>0.32350000000000001</v>
      </c>
      <c r="K3867" t="s">
        <v>52</v>
      </c>
      <c r="L3867">
        <v>94</v>
      </c>
    </row>
    <row r="3868" spans="1:12" x14ac:dyDescent="0.45">
      <c r="A3868" t="s">
        <v>86</v>
      </c>
      <c r="B3868" t="s">
        <v>1</v>
      </c>
      <c r="C3868" t="s">
        <v>83</v>
      </c>
      <c r="D3868" t="s">
        <v>52</v>
      </c>
      <c r="E3868" t="s">
        <v>25</v>
      </c>
      <c r="F3868" t="s">
        <v>52</v>
      </c>
      <c r="G3868" t="s">
        <v>70</v>
      </c>
      <c r="I3868">
        <v>2025</v>
      </c>
      <c r="J3868">
        <v>0.28660000000000002</v>
      </c>
      <c r="K3868" t="s">
        <v>52</v>
      </c>
      <c r="L3868">
        <v>94</v>
      </c>
    </row>
    <row r="3869" spans="1:12" x14ac:dyDescent="0.45">
      <c r="A3869" t="s">
        <v>86</v>
      </c>
      <c r="B3869" t="s">
        <v>1</v>
      </c>
      <c r="C3869" t="s">
        <v>83</v>
      </c>
      <c r="D3869" t="s">
        <v>52</v>
      </c>
      <c r="E3869" t="s">
        <v>25</v>
      </c>
      <c r="F3869" t="s">
        <v>52</v>
      </c>
      <c r="G3869" t="s">
        <v>70</v>
      </c>
      <c r="I3869">
        <v>2030</v>
      </c>
      <c r="J3869">
        <v>0.20069999999999999</v>
      </c>
      <c r="K3869" t="s">
        <v>52</v>
      </c>
      <c r="L3869">
        <v>94</v>
      </c>
    </row>
    <row r="3870" spans="1:12" x14ac:dyDescent="0.45">
      <c r="A3870" t="s">
        <v>86</v>
      </c>
      <c r="B3870" t="s">
        <v>1</v>
      </c>
      <c r="C3870" t="s">
        <v>83</v>
      </c>
      <c r="D3870" t="s">
        <v>52</v>
      </c>
      <c r="E3870" t="s">
        <v>25</v>
      </c>
      <c r="F3870" t="s">
        <v>52</v>
      </c>
      <c r="G3870" t="s">
        <v>70</v>
      </c>
      <c r="I3870">
        <v>2035</v>
      </c>
      <c r="J3870">
        <v>6.1199999999999997E-2</v>
      </c>
      <c r="K3870" t="s">
        <v>52</v>
      </c>
      <c r="L3870">
        <v>94</v>
      </c>
    </row>
    <row r="3871" spans="1:12" x14ac:dyDescent="0.45">
      <c r="A3871" t="s">
        <v>86</v>
      </c>
      <c r="B3871" t="s">
        <v>1</v>
      </c>
      <c r="C3871" t="s">
        <v>83</v>
      </c>
      <c r="D3871" t="s">
        <v>52</v>
      </c>
      <c r="E3871" t="s">
        <v>25</v>
      </c>
      <c r="F3871" t="s">
        <v>52</v>
      </c>
      <c r="G3871" t="s">
        <v>70</v>
      </c>
      <c r="I3871">
        <v>2040</v>
      </c>
      <c r="J3871">
        <v>2.1499999999999998E-2</v>
      </c>
      <c r="K3871" t="s">
        <v>52</v>
      </c>
      <c r="L3871">
        <v>94</v>
      </c>
    </row>
    <row r="3872" spans="1:12" x14ac:dyDescent="0.45">
      <c r="A3872" t="s">
        <v>86</v>
      </c>
      <c r="B3872" t="s">
        <v>1</v>
      </c>
      <c r="C3872" t="s">
        <v>83</v>
      </c>
      <c r="D3872" t="s">
        <v>52</v>
      </c>
      <c r="E3872" t="s">
        <v>25</v>
      </c>
      <c r="F3872" t="s">
        <v>52</v>
      </c>
      <c r="G3872" t="s">
        <v>70</v>
      </c>
      <c r="I3872">
        <v>2045</v>
      </c>
      <c r="J3872">
        <v>1E-4</v>
      </c>
      <c r="K3872" t="s">
        <v>52</v>
      </c>
      <c r="L3872">
        <v>94</v>
      </c>
    </row>
    <row r="3873" spans="1:12" x14ac:dyDescent="0.45">
      <c r="A3873" t="s">
        <v>86</v>
      </c>
      <c r="B3873" t="s">
        <v>1</v>
      </c>
      <c r="C3873" t="s">
        <v>83</v>
      </c>
      <c r="D3873" t="s">
        <v>52</v>
      </c>
      <c r="E3873" t="s">
        <v>25</v>
      </c>
      <c r="F3873" t="s">
        <v>52</v>
      </c>
      <c r="G3873" t="s">
        <v>70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86</v>
      </c>
      <c r="B3874" t="s">
        <v>1</v>
      </c>
      <c r="C3874" t="s">
        <v>83</v>
      </c>
      <c r="D3874" t="s">
        <v>52</v>
      </c>
      <c r="E3874" t="s">
        <v>25</v>
      </c>
      <c r="F3874" t="s">
        <v>52</v>
      </c>
      <c r="G3874" t="s">
        <v>70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86</v>
      </c>
      <c r="B3875" t="s">
        <v>1</v>
      </c>
      <c r="C3875" t="s">
        <v>83</v>
      </c>
      <c r="D3875" t="s">
        <v>52</v>
      </c>
      <c r="E3875" t="s">
        <v>25</v>
      </c>
      <c r="F3875" t="s">
        <v>52</v>
      </c>
      <c r="G3875" t="s">
        <v>70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86</v>
      </c>
      <c r="B3876" t="s">
        <v>1</v>
      </c>
      <c r="C3876" t="s">
        <v>83</v>
      </c>
      <c r="D3876" t="s">
        <v>52</v>
      </c>
      <c r="E3876" t="s">
        <v>25</v>
      </c>
      <c r="F3876" t="s">
        <v>52</v>
      </c>
      <c r="G3876" t="s">
        <v>70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86</v>
      </c>
      <c r="B3877" t="s">
        <v>1</v>
      </c>
      <c r="C3877" t="s">
        <v>83</v>
      </c>
      <c r="D3877" t="s">
        <v>52</v>
      </c>
      <c r="E3877" t="s">
        <v>25</v>
      </c>
      <c r="F3877" t="s">
        <v>52</v>
      </c>
      <c r="G3877" t="s">
        <v>70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86</v>
      </c>
      <c r="B3878" t="s">
        <v>1</v>
      </c>
      <c r="C3878" t="s">
        <v>83</v>
      </c>
      <c r="D3878" t="s">
        <v>52</v>
      </c>
      <c r="E3878" t="s">
        <v>25</v>
      </c>
      <c r="F3878" t="s">
        <v>52</v>
      </c>
      <c r="G3878" t="s">
        <v>70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86</v>
      </c>
      <c r="B3879" t="s">
        <v>1</v>
      </c>
      <c r="C3879" t="s">
        <v>83</v>
      </c>
      <c r="D3879" t="s">
        <v>52</v>
      </c>
      <c r="E3879" t="s">
        <v>25</v>
      </c>
      <c r="F3879" t="s">
        <v>52</v>
      </c>
      <c r="G3879" t="s">
        <v>70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86</v>
      </c>
      <c r="B3880" t="s">
        <v>1</v>
      </c>
      <c r="C3880" t="s">
        <v>83</v>
      </c>
      <c r="D3880" t="s">
        <v>52</v>
      </c>
      <c r="E3880" t="s">
        <v>25</v>
      </c>
      <c r="F3880" t="s">
        <v>52</v>
      </c>
      <c r="G3880" t="s">
        <v>70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86</v>
      </c>
      <c r="B3881" t="s">
        <v>1</v>
      </c>
      <c r="C3881" t="s">
        <v>83</v>
      </c>
      <c r="D3881" t="s">
        <v>52</v>
      </c>
      <c r="E3881" t="s">
        <v>25</v>
      </c>
      <c r="F3881" t="s">
        <v>52</v>
      </c>
      <c r="G3881" t="s">
        <v>70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86</v>
      </c>
      <c r="B3882" t="s">
        <v>1</v>
      </c>
      <c r="C3882" t="s">
        <v>83</v>
      </c>
      <c r="D3882" t="s">
        <v>52</v>
      </c>
      <c r="E3882" t="s">
        <v>25</v>
      </c>
      <c r="F3882" t="s">
        <v>52</v>
      </c>
      <c r="G3882" t="s">
        <v>70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86</v>
      </c>
      <c r="B3883" t="s">
        <v>1</v>
      </c>
      <c r="C3883" t="s">
        <v>83</v>
      </c>
      <c r="D3883" t="s">
        <v>52</v>
      </c>
      <c r="E3883" t="s">
        <v>25</v>
      </c>
      <c r="F3883" t="s">
        <v>52</v>
      </c>
      <c r="G3883" t="s">
        <v>70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86</v>
      </c>
      <c r="B3884" t="s">
        <v>1</v>
      </c>
      <c r="C3884" t="s">
        <v>83</v>
      </c>
      <c r="D3884" t="s">
        <v>53</v>
      </c>
      <c r="E3884" t="s">
        <v>25</v>
      </c>
      <c r="F3884" t="s">
        <v>53</v>
      </c>
      <c r="G3884" t="s">
        <v>70</v>
      </c>
      <c r="I3884">
        <v>2020</v>
      </c>
      <c r="J3884">
        <v>0.1091</v>
      </c>
      <c r="K3884" t="s">
        <v>53</v>
      </c>
      <c r="L3884">
        <v>55</v>
      </c>
    </row>
    <row r="3885" spans="1:12" x14ac:dyDescent="0.45">
      <c r="A3885" t="s">
        <v>86</v>
      </c>
      <c r="B3885" t="s">
        <v>1</v>
      </c>
      <c r="C3885" t="s">
        <v>83</v>
      </c>
      <c r="D3885" t="s">
        <v>53</v>
      </c>
      <c r="E3885" t="s">
        <v>25</v>
      </c>
      <c r="F3885" t="s">
        <v>53</v>
      </c>
      <c r="G3885" t="s">
        <v>70</v>
      </c>
      <c r="I3885">
        <v>2025</v>
      </c>
      <c r="J3885">
        <v>0.12870000000000001</v>
      </c>
      <c r="K3885" t="s">
        <v>53</v>
      </c>
      <c r="L3885">
        <v>55</v>
      </c>
    </row>
    <row r="3886" spans="1:12" x14ac:dyDescent="0.45">
      <c r="A3886" t="s">
        <v>86</v>
      </c>
      <c r="B3886" t="s">
        <v>1</v>
      </c>
      <c r="C3886" t="s">
        <v>83</v>
      </c>
      <c r="D3886" t="s">
        <v>53</v>
      </c>
      <c r="E3886" t="s">
        <v>25</v>
      </c>
      <c r="F3886" t="s">
        <v>53</v>
      </c>
      <c r="G3886" t="s">
        <v>70</v>
      </c>
      <c r="I3886">
        <v>2030</v>
      </c>
      <c r="J3886">
        <v>8.4000000000000005E-2</v>
      </c>
      <c r="K3886" t="s">
        <v>53</v>
      </c>
      <c r="L3886">
        <v>55</v>
      </c>
    </row>
    <row r="3887" spans="1:12" x14ac:dyDescent="0.45">
      <c r="A3887" t="s">
        <v>86</v>
      </c>
      <c r="B3887" t="s">
        <v>1</v>
      </c>
      <c r="C3887" t="s">
        <v>83</v>
      </c>
      <c r="D3887" t="s">
        <v>53</v>
      </c>
      <c r="E3887" t="s">
        <v>25</v>
      </c>
      <c r="F3887" t="s">
        <v>53</v>
      </c>
      <c r="G3887" t="s">
        <v>70</v>
      </c>
      <c r="I3887">
        <v>2035</v>
      </c>
      <c r="J3887">
        <v>1.9800000000000002E-2</v>
      </c>
      <c r="K3887" t="s">
        <v>53</v>
      </c>
      <c r="L3887">
        <v>55</v>
      </c>
    </row>
    <row r="3888" spans="1:12" x14ac:dyDescent="0.45">
      <c r="A3888" t="s">
        <v>86</v>
      </c>
      <c r="B3888" t="s">
        <v>1</v>
      </c>
      <c r="C3888" t="s">
        <v>83</v>
      </c>
      <c r="D3888" t="s">
        <v>53</v>
      </c>
      <c r="E3888" t="s">
        <v>25</v>
      </c>
      <c r="F3888" t="s">
        <v>53</v>
      </c>
      <c r="G3888" t="s">
        <v>70</v>
      </c>
      <c r="I3888">
        <v>2040</v>
      </c>
      <c r="J3888">
        <v>5.7999999999999996E-3</v>
      </c>
      <c r="K3888" t="s">
        <v>53</v>
      </c>
      <c r="L3888">
        <v>55</v>
      </c>
    </row>
    <row r="3889" spans="1:12" x14ac:dyDescent="0.45">
      <c r="A3889" t="s">
        <v>86</v>
      </c>
      <c r="B3889" t="s">
        <v>1</v>
      </c>
      <c r="C3889" t="s">
        <v>83</v>
      </c>
      <c r="D3889" t="s">
        <v>53</v>
      </c>
      <c r="E3889" t="s">
        <v>25</v>
      </c>
      <c r="F3889" t="s">
        <v>53</v>
      </c>
      <c r="G3889" t="s">
        <v>70</v>
      </c>
      <c r="I3889">
        <v>2045</v>
      </c>
      <c r="J3889">
        <v>1.1999999999999999E-3</v>
      </c>
      <c r="K3889" t="s">
        <v>53</v>
      </c>
      <c r="L3889">
        <v>55</v>
      </c>
    </row>
    <row r="3890" spans="1:12" x14ac:dyDescent="0.45">
      <c r="A3890" t="s">
        <v>86</v>
      </c>
      <c r="B3890" t="s">
        <v>1</v>
      </c>
      <c r="C3890" t="s">
        <v>83</v>
      </c>
      <c r="D3890" t="s">
        <v>53</v>
      </c>
      <c r="E3890" t="s">
        <v>25</v>
      </c>
      <c r="F3890" t="s">
        <v>53</v>
      </c>
      <c r="G3890" t="s">
        <v>70</v>
      </c>
      <c r="I3890">
        <v>2050</v>
      </c>
      <c r="J3890">
        <v>4.0000000000000002E-4</v>
      </c>
      <c r="K3890" t="s">
        <v>53</v>
      </c>
      <c r="L3890">
        <v>55</v>
      </c>
    </row>
    <row r="3891" spans="1:12" x14ac:dyDescent="0.45">
      <c r="A3891" t="s">
        <v>86</v>
      </c>
      <c r="B3891" t="s">
        <v>1</v>
      </c>
      <c r="C3891" t="s">
        <v>83</v>
      </c>
      <c r="D3891" t="s">
        <v>53</v>
      </c>
      <c r="E3891" t="s">
        <v>25</v>
      </c>
      <c r="F3891" t="s">
        <v>53</v>
      </c>
      <c r="G3891" t="s">
        <v>70</v>
      </c>
      <c r="I3891">
        <v>2055</v>
      </c>
      <c r="J3891">
        <v>2.0000000000000001E-4</v>
      </c>
      <c r="K3891" t="s">
        <v>53</v>
      </c>
      <c r="L3891">
        <v>55</v>
      </c>
    </row>
    <row r="3892" spans="1:12" x14ac:dyDescent="0.45">
      <c r="A3892" t="s">
        <v>86</v>
      </c>
      <c r="B3892" t="s">
        <v>1</v>
      </c>
      <c r="C3892" t="s">
        <v>83</v>
      </c>
      <c r="D3892" t="s">
        <v>53</v>
      </c>
      <c r="E3892" t="s">
        <v>25</v>
      </c>
      <c r="F3892" t="s">
        <v>53</v>
      </c>
      <c r="G3892" t="s">
        <v>70</v>
      </c>
      <c r="I3892">
        <v>2060</v>
      </c>
      <c r="J3892">
        <v>1E-4</v>
      </c>
      <c r="K3892" t="s">
        <v>53</v>
      </c>
      <c r="L3892">
        <v>55</v>
      </c>
    </row>
    <row r="3893" spans="1:12" x14ac:dyDescent="0.45">
      <c r="A3893" t="s">
        <v>86</v>
      </c>
      <c r="B3893" t="s">
        <v>1</v>
      </c>
      <c r="C3893" t="s">
        <v>83</v>
      </c>
      <c r="D3893" t="s">
        <v>53</v>
      </c>
      <c r="E3893" t="s">
        <v>25</v>
      </c>
      <c r="F3893" t="s">
        <v>53</v>
      </c>
      <c r="G3893" t="s">
        <v>70</v>
      </c>
      <c r="I3893">
        <v>2065</v>
      </c>
      <c r="J3893">
        <v>1E-4</v>
      </c>
      <c r="K3893" t="s">
        <v>53</v>
      </c>
      <c r="L3893">
        <v>55</v>
      </c>
    </row>
    <row r="3894" spans="1:12" x14ac:dyDescent="0.45">
      <c r="A3894" t="s">
        <v>86</v>
      </c>
      <c r="B3894" t="s">
        <v>1</v>
      </c>
      <c r="C3894" t="s">
        <v>83</v>
      </c>
      <c r="D3894" t="s">
        <v>53</v>
      </c>
      <c r="E3894" t="s">
        <v>25</v>
      </c>
      <c r="F3894" t="s">
        <v>53</v>
      </c>
      <c r="G3894" t="s">
        <v>70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86</v>
      </c>
      <c r="B3895" t="s">
        <v>1</v>
      </c>
      <c r="C3895" t="s">
        <v>83</v>
      </c>
      <c r="D3895" t="s">
        <v>53</v>
      </c>
      <c r="E3895" t="s">
        <v>25</v>
      </c>
      <c r="F3895" t="s">
        <v>53</v>
      </c>
      <c r="G3895" t="s">
        <v>70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86</v>
      </c>
      <c r="B3896" t="s">
        <v>1</v>
      </c>
      <c r="C3896" t="s">
        <v>83</v>
      </c>
      <c r="D3896" t="s">
        <v>53</v>
      </c>
      <c r="E3896" t="s">
        <v>25</v>
      </c>
      <c r="F3896" t="s">
        <v>53</v>
      </c>
      <c r="G3896" t="s">
        <v>70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86</v>
      </c>
      <c r="B3897" t="s">
        <v>1</v>
      </c>
      <c r="C3897" t="s">
        <v>83</v>
      </c>
      <c r="D3897" t="s">
        <v>53</v>
      </c>
      <c r="E3897" t="s">
        <v>25</v>
      </c>
      <c r="F3897" t="s">
        <v>53</v>
      </c>
      <c r="G3897" t="s">
        <v>70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86</v>
      </c>
      <c r="B3898" t="s">
        <v>1</v>
      </c>
      <c r="C3898" t="s">
        <v>83</v>
      </c>
      <c r="D3898" t="s">
        <v>53</v>
      </c>
      <c r="E3898" t="s">
        <v>25</v>
      </c>
      <c r="F3898" t="s">
        <v>53</v>
      </c>
      <c r="G3898" t="s">
        <v>70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86</v>
      </c>
      <c r="B3899" t="s">
        <v>1</v>
      </c>
      <c r="C3899" t="s">
        <v>83</v>
      </c>
      <c r="D3899" t="s">
        <v>53</v>
      </c>
      <c r="E3899" t="s">
        <v>25</v>
      </c>
      <c r="F3899" t="s">
        <v>53</v>
      </c>
      <c r="G3899" t="s">
        <v>70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86</v>
      </c>
      <c r="B3900" t="s">
        <v>1</v>
      </c>
      <c r="C3900" t="s">
        <v>83</v>
      </c>
      <c r="D3900" t="s">
        <v>53</v>
      </c>
      <c r="E3900" t="s">
        <v>25</v>
      </c>
      <c r="F3900" t="s">
        <v>53</v>
      </c>
      <c r="G3900" t="s">
        <v>70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86</v>
      </c>
      <c r="B3901" t="s">
        <v>1</v>
      </c>
      <c r="C3901" t="s">
        <v>83</v>
      </c>
      <c r="D3901" t="s">
        <v>54</v>
      </c>
      <c r="E3901" t="s">
        <v>25</v>
      </c>
      <c r="F3901" t="s">
        <v>54</v>
      </c>
      <c r="G3901" t="s">
        <v>70</v>
      </c>
      <c r="I3901">
        <v>2020</v>
      </c>
      <c r="J3901">
        <v>0</v>
      </c>
      <c r="K3901" t="s">
        <v>54</v>
      </c>
      <c r="L3901">
        <v>70</v>
      </c>
    </row>
    <row r="3902" spans="1:12" x14ac:dyDescent="0.45">
      <c r="A3902" t="s">
        <v>86</v>
      </c>
      <c r="B3902" t="s">
        <v>1</v>
      </c>
      <c r="C3902" t="s">
        <v>83</v>
      </c>
      <c r="D3902" t="s">
        <v>54</v>
      </c>
      <c r="E3902" t="s">
        <v>25</v>
      </c>
      <c r="F3902" t="s">
        <v>54</v>
      </c>
      <c r="G3902" t="s">
        <v>70</v>
      </c>
      <c r="I3902">
        <v>2025</v>
      </c>
      <c r="J3902">
        <v>0</v>
      </c>
      <c r="K3902" t="s">
        <v>54</v>
      </c>
      <c r="L3902">
        <v>70</v>
      </c>
    </row>
    <row r="3903" spans="1:12" x14ac:dyDescent="0.45">
      <c r="A3903" t="s">
        <v>86</v>
      </c>
      <c r="B3903" t="s">
        <v>1</v>
      </c>
      <c r="C3903" t="s">
        <v>83</v>
      </c>
      <c r="D3903" t="s">
        <v>54</v>
      </c>
      <c r="E3903" t="s">
        <v>25</v>
      </c>
      <c r="F3903" t="s">
        <v>54</v>
      </c>
      <c r="G3903" t="s">
        <v>70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86</v>
      </c>
      <c r="B3904" t="s">
        <v>1</v>
      </c>
      <c r="C3904" t="s">
        <v>83</v>
      </c>
      <c r="D3904" t="s">
        <v>54</v>
      </c>
      <c r="E3904" t="s">
        <v>25</v>
      </c>
      <c r="F3904" t="s">
        <v>54</v>
      </c>
      <c r="G3904" t="s">
        <v>70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86</v>
      </c>
      <c r="B3905" t="s">
        <v>1</v>
      </c>
      <c r="C3905" t="s">
        <v>83</v>
      </c>
      <c r="D3905" t="s">
        <v>54</v>
      </c>
      <c r="E3905" t="s">
        <v>25</v>
      </c>
      <c r="F3905" t="s">
        <v>54</v>
      </c>
      <c r="G3905" t="s">
        <v>70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86</v>
      </c>
      <c r="B3906" t="s">
        <v>1</v>
      </c>
      <c r="C3906" t="s">
        <v>83</v>
      </c>
      <c r="D3906" t="s">
        <v>54</v>
      </c>
      <c r="E3906" t="s">
        <v>25</v>
      </c>
      <c r="F3906" t="s">
        <v>54</v>
      </c>
      <c r="G3906" t="s">
        <v>70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86</v>
      </c>
      <c r="B3907" t="s">
        <v>1</v>
      </c>
      <c r="C3907" t="s">
        <v>83</v>
      </c>
      <c r="D3907" t="s">
        <v>54</v>
      </c>
      <c r="E3907" t="s">
        <v>25</v>
      </c>
      <c r="F3907" t="s">
        <v>54</v>
      </c>
      <c r="G3907" t="s">
        <v>70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86</v>
      </c>
      <c r="B3908" t="s">
        <v>1</v>
      </c>
      <c r="C3908" t="s">
        <v>83</v>
      </c>
      <c r="D3908" t="s">
        <v>54</v>
      </c>
      <c r="E3908" t="s">
        <v>25</v>
      </c>
      <c r="F3908" t="s">
        <v>54</v>
      </c>
      <c r="G3908" t="s">
        <v>70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86</v>
      </c>
      <c r="B3909" t="s">
        <v>1</v>
      </c>
      <c r="C3909" t="s">
        <v>83</v>
      </c>
      <c r="D3909" t="s">
        <v>54</v>
      </c>
      <c r="E3909" t="s">
        <v>25</v>
      </c>
      <c r="F3909" t="s">
        <v>54</v>
      </c>
      <c r="G3909" t="s">
        <v>70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86</v>
      </c>
      <c r="B3910" t="s">
        <v>1</v>
      </c>
      <c r="C3910" t="s">
        <v>83</v>
      </c>
      <c r="D3910" t="s">
        <v>54</v>
      </c>
      <c r="E3910" t="s">
        <v>25</v>
      </c>
      <c r="F3910" t="s">
        <v>54</v>
      </c>
      <c r="G3910" t="s">
        <v>70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86</v>
      </c>
      <c r="B3911" t="s">
        <v>1</v>
      </c>
      <c r="C3911" t="s">
        <v>83</v>
      </c>
      <c r="D3911" t="s">
        <v>54</v>
      </c>
      <c r="E3911" t="s">
        <v>25</v>
      </c>
      <c r="F3911" t="s">
        <v>54</v>
      </c>
      <c r="G3911" t="s">
        <v>70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86</v>
      </c>
      <c r="B3912" t="s">
        <v>1</v>
      </c>
      <c r="C3912" t="s">
        <v>83</v>
      </c>
      <c r="D3912" t="s">
        <v>54</v>
      </c>
      <c r="E3912" t="s">
        <v>25</v>
      </c>
      <c r="F3912" t="s">
        <v>54</v>
      </c>
      <c r="G3912" t="s">
        <v>70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86</v>
      </c>
      <c r="B3913" t="s">
        <v>1</v>
      </c>
      <c r="C3913" t="s">
        <v>83</v>
      </c>
      <c r="D3913" t="s">
        <v>54</v>
      </c>
      <c r="E3913" t="s">
        <v>25</v>
      </c>
      <c r="F3913" t="s">
        <v>54</v>
      </c>
      <c r="G3913" t="s">
        <v>70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86</v>
      </c>
      <c r="B3914" t="s">
        <v>1</v>
      </c>
      <c r="C3914" t="s">
        <v>83</v>
      </c>
      <c r="D3914" t="s">
        <v>54</v>
      </c>
      <c r="E3914" t="s">
        <v>25</v>
      </c>
      <c r="F3914" t="s">
        <v>54</v>
      </c>
      <c r="G3914" t="s">
        <v>70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86</v>
      </c>
      <c r="B3915" t="s">
        <v>1</v>
      </c>
      <c r="C3915" t="s">
        <v>83</v>
      </c>
      <c r="D3915" t="s">
        <v>54</v>
      </c>
      <c r="E3915" t="s">
        <v>25</v>
      </c>
      <c r="F3915" t="s">
        <v>54</v>
      </c>
      <c r="G3915" t="s">
        <v>70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86</v>
      </c>
      <c r="B3916" t="s">
        <v>1</v>
      </c>
      <c r="C3916" t="s">
        <v>83</v>
      </c>
      <c r="D3916" t="s">
        <v>54</v>
      </c>
      <c r="E3916" t="s">
        <v>25</v>
      </c>
      <c r="F3916" t="s">
        <v>54</v>
      </c>
      <c r="G3916" t="s">
        <v>70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86</v>
      </c>
      <c r="B3917" t="s">
        <v>1</v>
      </c>
      <c r="C3917" t="s">
        <v>83</v>
      </c>
      <c r="D3917" t="s">
        <v>54</v>
      </c>
      <c r="E3917" t="s">
        <v>25</v>
      </c>
      <c r="F3917" t="s">
        <v>54</v>
      </c>
      <c r="G3917" t="s">
        <v>70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86</v>
      </c>
      <c r="B3918" t="s">
        <v>1</v>
      </c>
      <c r="C3918" t="s">
        <v>83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86</v>
      </c>
      <c r="B3919" t="s">
        <v>1</v>
      </c>
      <c r="C3919" t="s">
        <v>83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86</v>
      </c>
      <c r="B3920" t="s">
        <v>1</v>
      </c>
      <c r="C3920" t="s">
        <v>83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86</v>
      </c>
      <c r="B3921" t="s">
        <v>1</v>
      </c>
      <c r="C3921" t="s">
        <v>83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86</v>
      </c>
      <c r="B3922" t="s">
        <v>1</v>
      </c>
      <c r="C3922" t="s">
        <v>83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86</v>
      </c>
      <c r="B3923" t="s">
        <v>1</v>
      </c>
      <c r="C3923" t="s">
        <v>83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86</v>
      </c>
      <c r="B3924" t="s">
        <v>1</v>
      </c>
      <c r="C3924" t="s">
        <v>83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86</v>
      </c>
      <c r="B3925" t="s">
        <v>1</v>
      </c>
      <c r="C3925" t="s">
        <v>83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86</v>
      </c>
      <c r="B3926" t="s">
        <v>1</v>
      </c>
      <c r="C3926" t="s">
        <v>83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86</v>
      </c>
      <c r="B3927" t="s">
        <v>1</v>
      </c>
      <c r="C3927" t="s">
        <v>83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86</v>
      </c>
      <c r="B3928" t="s">
        <v>1</v>
      </c>
      <c r="C3928" t="s">
        <v>83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86</v>
      </c>
      <c r="B3929" t="s">
        <v>1</v>
      </c>
      <c r="C3929" t="s">
        <v>83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86</v>
      </c>
      <c r="B3930" t="s">
        <v>1</v>
      </c>
      <c r="C3930" t="s">
        <v>83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86</v>
      </c>
      <c r="B3931" t="s">
        <v>1</v>
      </c>
      <c r="C3931" t="s">
        <v>83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86</v>
      </c>
      <c r="B3932" t="s">
        <v>1</v>
      </c>
      <c r="C3932" t="s">
        <v>83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86</v>
      </c>
      <c r="B3933" t="s">
        <v>1</v>
      </c>
      <c r="C3933" t="s">
        <v>83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86</v>
      </c>
      <c r="B3934" t="s">
        <v>1</v>
      </c>
      <c r="C3934" t="s">
        <v>83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86</v>
      </c>
      <c r="B3935" t="s">
        <v>1</v>
      </c>
      <c r="C3935" t="s">
        <v>83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86</v>
      </c>
      <c r="B3936" t="s">
        <v>1</v>
      </c>
      <c r="C3936" t="s">
        <v>83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86</v>
      </c>
      <c r="B3937" t="s">
        <v>1</v>
      </c>
      <c r="C3937" t="s">
        <v>83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86</v>
      </c>
      <c r="B3938" t="s">
        <v>1</v>
      </c>
      <c r="C3938" t="s">
        <v>83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86</v>
      </c>
      <c r="B3939" t="s">
        <v>1</v>
      </c>
      <c r="C3939" t="s">
        <v>83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86</v>
      </c>
      <c r="B3940" t="s">
        <v>1</v>
      </c>
      <c r="C3940" t="s">
        <v>83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86</v>
      </c>
      <c r="B3941" t="s">
        <v>1</v>
      </c>
      <c r="C3941" t="s">
        <v>83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86</v>
      </c>
      <c r="B3942" t="s">
        <v>1</v>
      </c>
      <c r="C3942" t="s">
        <v>83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86</v>
      </c>
      <c r="B3943" t="s">
        <v>1</v>
      </c>
      <c r="C3943" t="s">
        <v>83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86</v>
      </c>
      <c r="B3944" t="s">
        <v>1</v>
      </c>
      <c r="C3944" t="s">
        <v>83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86</v>
      </c>
      <c r="B3945" t="s">
        <v>1</v>
      </c>
      <c r="C3945" t="s">
        <v>83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86</v>
      </c>
      <c r="B3946" t="s">
        <v>1</v>
      </c>
      <c r="C3946" t="s">
        <v>83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86</v>
      </c>
      <c r="B3947" t="s">
        <v>1</v>
      </c>
      <c r="C3947" t="s">
        <v>83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86</v>
      </c>
      <c r="B3948" t="s">
        <v>1</v>
      </c>
      <c r="C3948" t="s">
        <v>83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86</v>
      </c>
      <c r="B3949" t="s">
        <v>1</v>
      </c>
      <c r="C3949" t="s">
        <v>83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86</v>
      </c>
      <c r="B3950" t="s">
        <v>1</v>
      </c>
      <c r="C3950" t="s">
        <v>83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86</v>
      </c>
      <c r="B3951" t="s">
        <v>1</v>
      </c>
      <c r="C3951" t="s">
        <v>83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86</v>
      </c>
      <c r="B3952" t="s">
        <v>1</v>
      </c>
      <c r="C3952" t="s">
        <v>83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86</v>
      </c>
      <c r="B3953" t="s">
        <v>1</v>
      </c>
      <c r="C3953" t="s">
        <v>83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86</v>
      </c>
      <c r="B3954" t="s">
        <v>1</v>
      </c>
      <c r="C3954" t="s">
        <v>83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86</v>
      </c>
      <c r="B3955" t="s">
        <v>1</v>
      </c>
      <c r="C3955" t="s">
        <v>83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86</v>
      </c>
      <c r="B3956" t="s">
        <v>1</v>
      </c>
      <c r="C3956" t="s">
        <v>83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86</v>
      </c>
      <c r="B3957" t="s">
        <v>1</v>
      </c>
      <c r="C3957" t="s">
        <v>83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86</v>
      </c>
      <c r="B3958" t="s">
        <v>1</v>
      </c>
      <c r="C3958" t="s">
        <v>83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86</v>
      </c>
      <c r="B3959" t="s">
        <v>1</v>
      </c>
      <c r="C3959" t="s">
        <v>83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86</v>
      </c>
      <c r="B3960" t="s">
        <v>1</v>
      </c>
      <c r="C3960" t="s">
        <v>83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86</v>
      </c>
      <c r="B3961" t="s">
        <v>1</v>
      </c>
      <c r="C3961" t="s">
        <v>83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86</v>
      </c>
      <c r="B3962" t="s">
        <v>1</v>
      </c>
      <c r="C3962" t="s">
        <v>83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86</v>
      </c>
      <c r="B3963" t="s">
        <v>1</v>
      </c>
      <c r="C3963" t="s">
        <v>83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86</v>
      </c>
      <c r="B3964" t="s">
        <v>1</v>
      </c>
      <c r="C3964" t="s">
        <v>83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86</v>
      </c>
      <c r="B3965" t="s">
        <v>1</v>
      </c>
      <c r="C3965" t="s">
        <v>83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86</v>
      </c>
      <c r="B3966" t="s">
        <v>1</v>
      </c>
      <c r="C3966" t="s">
        <v>83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86</v>
      </c>
      <c r="B3967" t="s">
        <v>1</v>
      </c>
      <c r="C3967" t="s">
        <v>83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86</v>
      </c>
      <c r="B3968" t="s">
        <v>1</v>
      </c>
      <c r="C3968" t="s">
        <v>83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86</v>
      </c>
      <c r="B3969" t="s">
        <v>1</v>
      </c>
      <c r="C3969" t="s">
        <v>83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56.074300000000001</v>
      </c>
      <c r="K3969" t="s">
        <v>37</v>
      </c>
    </row>
    <row r="3970" spans="1:11" x14ac:dyDescent="0.45">
      <c r="A3970" t="s">
        <v>86</v>
      </c>
      <c r="B3970" t="s">
        <v>1</v>
      </c>
      <c r="C3970" t="s">
        <v>83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51.480400000000003</v>
      </c>
      <c r="K3970" t="s">
        <v>37</v>
      </c>
    </row>
    <row r="3971" spans="1:11" x14ac:dyDescent="0.45">
      <c r="A3971" t="s">
        <v>86</v>
      </c>
      <c r="B3971" t="s">
        <v>1</v>
      </c>
      <c r="C3971" t="s">
        <v>83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71.456400000000002</v>
      </c>
      <c r="K3971" t="s">
        <v>37</v>
      </c>
    </row>
    <row r="3972" spans="1:11" x14ac:dyDescent="0.45">
      <c r="A3972" t="s">
        <v>86</v>
      </c>
      <c r="B3972" t="s">
        <v>1</v>
      </c>
      <c r="C3972" t="s">
        <v>83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75.796999999999997</v>
      </c>
      <c r="K3972" t="s">
        <v>37</v>
      </c>
    </row>
    <row r="3973" spans="1:11" x14ac:dyDescent="0.45">
      <c r="A3973" t="s">
        <v>86</v>
      </c>
      <c r="B3973" t="s">
        <v>1</v>
      </c>
      <c r="C3973" t="s">
        <v>83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82.054299999999998</v>
      </c>
      <c r="K3973" t="s">
        <v>37</v>
      </c>
    </row>
    <row r="3974" spans="1:11" x14ac:dyDescent="0.45">
      <c r="A3974" t="s">
        <v>86</v>
      </c>
      <c r="B3974" t="s">
        <v>1</v>
      </c>
      <c r="C3974" t="s">
        <v>83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67.243399999999994</v>
      </c>
      <c r="K3974" t="s">
        <v>37</v>
      </c>
    </row>
    <row r="3975" spans="1:11" x14ac:dyDescent="0.45">
      <c r="A3975" t="s">
        <v>86</v>
      </c>
      <c r="B3975" t="s">
        <v>1</v>
      </c>
      <c r="C3975" t="s">
        <v>83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106.5364</v>
      </c>
      <c r="K3975" t="s">
        <v>37</v>
      </c>
    </row>
    <row r="3976" spans="1:11" x14ac:dyDescent="0.45">
      <c r="A3976" t="s">
        <v>86</v>
      </c>
      <c r="B3976" t="s">
        <v>1</v>
      </c>
      <c r="C3976" t="s">
        <v>83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112.666</v>
      </c>
      <c r="K3976" t="s">
        <v>37</v>
      </c>
    </row>
    <row r="3977" spans="1:11" x14ac:dyDescent="0.45">
      <c r="A3977" t="s">
        <v>86</v>
      </c>
      <c r="B3977" t="s">
        <v>1</v>
      </c>
      <c r="C3977" t="s">
        <v>83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160.77199999999999</v>
      </c>
      <c r="K3977" t="s">
        <v>37</v>
      </c>
    </row>
    <row r="3978" spans="1:11" x14ac:dyDescent="0.45">
      <c r="A3978" t="s">
        <v>86</v>
      </c>
      <c r="B3978" t="s">
        <v>1</v>
      </c>
      <c r="C3978" t="s">
        <v>83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185.2225</v>
      </c>
      <c r="K3978" t="s">
        <v>37</v>
      </c>
    </row>
    <row r="3979" spans="1:11" x14ac:dyDescent="0.45">
      <c r="A3979" t="s">
        <v>86</v>
      </c>
      <c r="B3979" t="s">
        <v>1</v>
      </c>
      <c r="C3979" t="s">
        <v>83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209.6729</v>
      </c>
      <c r="K3979" t="s">
        <v>37</v>
      </c>
    </row>
    <row r="3980" spans="1:11" x14ac:dyDescent="0.45">
      <c r="A3980" t="s">
        <v>86</v>
      </c>
      <c r="B3980" t="s">
        <v>1</v>
      </c>
      <c r="C3980" t="s">
        <v>83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216.0256</v>
      </c>
      <c r="K3980" t="s">
        <v>37</v>
      </c>
    </row>
    <row r="3981" spans="1:11" x14ac:dyDescent="0.45">
      <c r="A3981" t="s">
        <v>86</v>
      </c>
      <c r="B3981" t="s">
        <v>1</v>
      </c>
      <c r="C3981" t="s">
        <v>83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222.3783</v>
      </c>
      <c r="K3981" t="s">
        <v>37</v>
      </c>
    </row>
    <row r="3982" spans="1:11" x14ac:dyDescent="0.45">
      <c r="A3982" t="s">
        <v>86</v>
      </c>
      <c r="B3982" t="s">
        <v>1</v>
      </c>
      <c r="C3982" t="s">
        <v>83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215.2764</v>
      </c>
      <c r="K3982" t="s">
        <v>37</v>
      </c>
    </row>
    <row r="3983" spans="1:11" x14ac:dyDescent="0.45">
      <c r="A3983" t="s">
        <v>86</v>
      </c>
      <c r="B3983" t="s">
        <v>1</v>
      </c>
      <c r="C3983" t="s">
        <v>83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208.17449999999999</v>
      </c>
      <c r="K3983" t="s">
        <v>37</v>
      </c>
    </row>
    <row r="3984" spans="1:11" x14ac:dyDescent="0.45">
      <c r="A3984" t="s">
        <v>86</v>
      </c>
      <c r="B3984" t="s">
        <v>1</v>
      </c>
      <c r="C3984" t="s">
        <v>83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223.83690000000001</v>
      </c>
      <c r="K3984" t="s">
        <v>37</v>
      </c>
    </row>
    <row r="3985" spans="1:11" x14ac:dyDescent="0.45">
      <c r="A3985" t="s">
        <v>86</v>
      </c>
      <c r="B3985" t="s">
        <v>1</v>
      </c>
      <c r="C3985" t="s">
        <v>83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239.4992</v>
      </c>
      <c r="K3985" t="s">
        <v>37</v>
      </c>
    </row>
    <row r="3986" spans="1:11" x14ac:dyDescent="0.45">
      <c r="A3986" t="s">
        <v>86</v>
      </c>
      <c r="B3986" t="s">
        <v>1</v>
      </c>
      <c r="C3986" t="s">
        <v>83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375.32749999999999</v>
      </c>
      <c r="K3986" t="s">
        <v>48</v>
      </c>
    </row>
    <row r="3987" spans="1:11" x14ac:dyDescent="0.45">
      <c r="A3987" t="s">
        <v>86</v>
      </c>
      <c r="B3987" t="s">
        <v>1</v>
      </c>
      <c r="C3987" t="s">
        <v>83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383.71559999999999</v>
      </c>
      <c r="K3987" t="s">
        <v>48</v>
      </c>
    </row>
    <row r="3988" spans="1:11" x14ac:dyDescent="0.45">
      <c r="A3988" t="s">
        <v>86</v>
      </c>
      <c r="B3988" t="s">
        <v>1</v>
      </c>
      <c r="C3988" t="s">
        <v>83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275.65050000000002</v>
      </c>
      <c r="K3988" t="s">
        <v>48</v>
      </c>
    </row>
    <row r="3989" spans="1:11" x14ac:dyDescent="0.45">
      <c r="A3989" t="s">
        <v>86</v>
      </c>
      <c r="B3989" t="s">
        <v>1</v>
      </c>
      <c r="C3989" t="s">
        <v>83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134.0043</v>
      </c>
      <c r="K3989" t="s">
        <v>48</v>
      </c>
    </row>
    <row r="3990" spans="1:11" x14ac:dyDescent="0.45">
      <c r="A3990" t="s">
        <v>86</v>
      </c>
      <c r="B3990" t="s">
        <v>1</v>
      </c>
      <c r="C3990" t="s">
        <v>83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82.042900000000003</v>
      </c>
      <c r="K3990" t="s">
        <v>48</v>
      </c>
    </row>
    <row r="3991" spans="1:11" x14ac:dyDescent="0.45">
      <c r="A3991" t="s">
        <v>86</v>
      </c>
      <c r="B3991" t="s">
        <v>1</v>
      </c>
      <c r="C3991" t="s">
        <v>83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52.169400000000003</v>
      </c>
      <c r="K3991" t="s">
        <v>48</v>
      </c>
    </row>
    <row r="3992" spans="1:11" x14ac:dyDescent="0.45">
      <c r="A3992" t="s">
        <v>86</v>
      </c>
      <c r="B3992" t="s">
        <v>1</v>
      </c>
      <c r="C3992" t="s">
        <v>83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34.806399999999996</v>
      </c>
      <c r="K3992" t="s">
        <v>48</v>
      </c>
    </row>
    <row r="3993" spans="1:11" x14ac:dyDescent="0.45">
      <c r="A3993" t="s">
        <v>86</v>
      </c>
      <c r="B3993" t="s">
        <v>1</v>
      </c>
      <c r="C3993" t="s">
        <v>83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20.4848</v>
      </c>
      <c r="K3993" t="s">
        <v>48</v>
      </c>
    </row>
    <row r="3994" spans="1:11" x14ac:dyDescent="0.45">
      <c r="A3994" t="s">
        <v>86</v>
      </c>
      <c r="B3994" t="s">
        <v>1</v>
      </c>
      <c r="C3994" t="s">
        <v>83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14.642899999999999</v>
      </c>
      <c r="K3994" t="s">
        <v>48</v>
      </c>
    </row>
    <row r="3995" spans="1:11" x14ac:dyDescent="0.45">
      <c r="A3995" t="s">
        <v>86</v>
      </c>
      <c r="B3995" t="s">
        <v>1</v>
      </c>
      <c r="C3995" t="s">
        <v>83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12.661300000000001</v>
      </c>
      <c r="K3995" t="s">
        <v>48</v>
      </c>
    </row>
    <row r="3996" spans="1:11" x14ac:dyDescent="0.45">
      <c r="A3996" t="s">
        <v>86</v>
      </c>
      <c r="B3996" t="s">
        <v>1</v>
      </c>
      <c r="C3996" t="s">
        <v>83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10.635400000000001</v>
      </c>
      <c r="K3996" t="s">
        <v>48</v>
      </c>
    </row>
    <row r="3997" spans="1:11" x14ac:dyDescent="0.45">
      <c r="A3997" t="s">
        <v>86</v>
      </c>
      <c r="B3997" t="s">
        <v>1</v>
      </c>
      <c r="C3997" t="s">
        <v>83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14.806100000000001</v>
      </c>
      <c r="K3997" t="s">
        <v>48</v>
      </c>
    </row>
    <row r="3998" spans="1:11" x14ac:dyDescent="0.45">
      <c r="A3998" t="s">
        <v>86</v>
      </c>
      <c r="B3998" t="s">
        <v>1</v>
      </c>
      <c r="C3998" t="s">
        <v>83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19.136099999999999</v>
      </c>
      <c r="K3998" t="s">
        <v>48</v>
      </c>
    </row>
    <row r="3999" spans="1:11" x14ac:dyDescent="0.45">
      <c r="A3999" t="s">
        <v>86</v>
      </c>
      <c r="B3999" t="s">
        <v>1</v>
      </c>
      <c r="C3999" t="s">
        <v>83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27.0533</v>
      </c>
      <c r="K3999" t="s">
        <v>48</v>
      </c>
    </row>
    <row r="4000" spans="1:11" x14ac:dyDescent="0.45">
      <c r="A4000" t="s">
        <v>86</v>
      </c>
      <c r="B4000" t="s">
        <v>1</v>
      </c>
      <c r="C4000" t="s">
        <v>83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35.345100000000002</v>
      </c>
      <c r="K4000" t="s">
        <v>48</v>
      </c>
    </row>
    <row r="4001" spans="1:11" x14ac:dyDescent="0.45">
      <c r="A4001" t="s">
        <v>86</v>
      </c>
      <c r="B4001" t="s">
        <v>1</v>
      </c>
      <c r="C4001" t="s">
        <v>83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33.247199999999999</v>
      </c>
      <c r="K4001" t="s">
        <v>48</v>
      </c>
    </row>
    <row r="4002" spans="1:11" x14ac:dyDescent="0.45">
      <c r="A4002" t="s">
        <v>86</v>
      </c>
      <c r="B4002" t="s">
        <v>1</v>
      </c>
      <c r="C4002" t="s">
        <v>83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31.421099999999999</v>
      </c>
      <c r="K4002" t="s">
        <v>48</v>
      </c>
    </row>
    <row r="4003" spans="1:11" x14ac:dyDescent="0.45">
      <c r="A4003" t="s">
        <v>86</v>
      </c>
      <c r="B4003" t="s">
        <v>1</v>
      </c>
      <c r="C4003" t="s">
        <v>83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333.6078</v>
      </c>
      <c r="K4003" t="s">
        <v>51</v>
      </c>
    </row>
    <row r="4004" spans="1:11" x14ac:dyDescent="0.45">
      <c r="A4004" t="s">
        <v>86</v>
      </c>
      <c r="B4004" t="s">
        <v>1</v>
      </c>
      <c r="C4004" t="s">
        <v>83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327.20049999999998</v>
      </c>
      <c r="K4004" t="s">
        <v>51</v>
      </c>
    </row>
    <row r="4005" spans="1:11" x14ac:dyDescent="0.45">
      <c r="A4005" t="s">
        <v>86</v>
      </c>
      <c r="B4005" t="s">
        <v>1</v>
      </c>
      <c r="C4005" t="s">
        <v>83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220.20099999999999</v>
      </c>
      <c r="K4005" t="s">
        <v>51</v>
      </c>
    </row>
    <row r="4006" spans="1:11" x14ac:dyDescent="0.45">
      <c r="A4006" t="s">
        <v>86</v>
      </c>
      <c r="B4006" t="s">
        <v>1</v>
      </c>
      <c r="C4006" t="s">
        <v>83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95.6631</v>
      </c>
      <c r="K4006" t="s">
        <v>51</v>
      </c>
    </row>
    <row r="4007" spans="1:11" x14ac:dyDescent="0.45">
      <c r="A4007" t="s">
        <v>86</v>
      </c>
      <c r="B4007" t="s">
        <v>1</v>
      </c>
      <c r="C4007" t="s">
        <v>83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44.706699999999998</v>
      </c>
      <c r="K4007" t="s">
        <v>51</v>
      </c>
    </row>
    <row r="4008" spans="1:11" x14ac:dyDescent="0.45">
      <c r="A4008" t="s">
        <v>86</v>
      </c>
      <c r="B4008" t="s">
        <v>1</v>
      </c>
      <c r="C4008" t="s">
        <v>83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17.702200000000001</v>
      </c>
      <c r="K4008" t="s">
        <v>51</v>
      </c>
    </row>
    <row r="4009" spans="1:11" x14ac:dyDescent="0.45">
      <c r="A4009" t="s">
        <v>86</v>
      </c>
      <c r="B4009" t="s">
        <v>1</v>
      </c>
      <c r="C4009" t="s">
        <v>83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12.741400000000001</v>
      </c>
      <c r="K4009" t="s">
        <v>51</v>
      </c>
    </row>
    <row r="4010" spans="1:11" x14ac:dyDescent="0.45">
      <c r="A4010" t="s">
        <v>86</v>
      </c>
      <c r="B4010" t="s">
        <v>1</v>
      </c>
      <c r="C4010" t="s">
        <v>83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9.1486000000000001</v>
      </c>
      <c r="K4010" t="s">
        <v>51</v>
      </c>
    </row>
    <row r="4011" spans="1:11" x14ac:dyDescent="0.45">
      <c r="A4011" t="s">
        <v>86</v>
      </c>
      <c r="B4011" t="s">
        <v>1</v>
      </c>
      <c r="C4011" t="s">
        <v>83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7.0133000000000001</v>
      </c>
      <c r="K4011" t="s">
        <v>51</v>
      </c>
    </row>
    <row r="4012" spans="1:11" x14ac:dyDescent="0.45">
      <c r="A4012" t="s">
        <v>86</v>
      </c>
      <c r="B4012" t="s">
        <v>1</v>
      </c>
      <c r="C4012" t="s">
        <v>83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4.7286000000000001</v>
      </c>
      <c r="K4012" t="s">
        <v>51</v>
      </c>
    </row>
    <row r="4013" spans="1:11" x14ac:dyDescent="0.45">
      <c r="A4013" t="s">
        <v>86</v>
      </c>
      <c r="B4013" t="s">
        <v>1</v>
      </c>
      <c r="C4013" t="s">
        <v>83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2.3986999999999998</v>
      </c>
      <c r="K4013" t="s">
        <v>51</v>
      </c>
    </row>
    <row r="4014" spans="1:11" x14ac:dyDescent="0.45">
      <c r="A4014" t="s">
        <v>86</v>
      </c>
      <c r="B4014" t="s">
        <v>1</v>
      </c>
      <c r="C4014" t="s">
        <v>83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2.6486999999999998</v>
      </c>
      <c r="K4014" t="s">
        <v>51</v>
      </c>
    </row>
    <row r="4015" spans="1:11" x14ac:dyDescent="0.45">
      <c r="A4015" t="s">
        <v>86</v>
      </c>
      <c r="B4015" t="s">
        <v>1</v>
      </c>
      <c r="C4015" t="s">
        <v>83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3.0617999999999999</v>
      </c>
      <c r="K4015" t="s">
        <v>51</v>
      </c>
    </row>
    <row r="4016" spans="1:11" x14ac:dyDescent="0.45">
      <c r="A4016" t="s">
        <v>86</v>
      </c>
      <c r="B4016" t="s">
        <v>1</v>
      </c>
      <c r="C4016" t="s">
        <v>83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3.0663</v>
      </c>
      <c r="K4016" t="s">
        <v>51</v>
      </c>
    </row>
    <row r="4017" spans="1:11" x14ac:dyDescent="0.45">
      <c r="A4017" t="s">
        <v>86</v>
      </c>
      <c r="B4017" t="s">
        <v>1</v>
      </c>
      <c r="C4017" t="s">
        <v>83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3.444</v>
      </c>
      <c r="K4017" t="s">
        <v>51</v>
      </c>
    </row>
    <row r="4018" spans="1:11" x14ac:dyDescent="0.45">
      <c r="A4018" t="s">
        <v>86</v>
      </c>
      <c r="B4018" t="s">
        <v>1</v>
      </c>
      <c r="C4018" t="s">
        <v>83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1.5419</v>
      </c>
      <c r="K4018" t="s">
        <v>51</v>
      </c>
    </row>
    <row r="4019" spans="1:11" x14ac:dyDescent="0.45">
      <c r="A4019" t="s">
        <v>86</v>
      </c>
      <c r="B4019" t="s">
        <v>1</v>
      </c>
      <c r="C4019" t="s">
        <v>83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-8.3299999999999999E-2</v>
      </c>
      <c r="K4019" t="s">
        <v>51</v>
      </c>
    </row>
    <row r="4020" spans="1:11" x14ac:dyDescent="0.45">
      <c r="A4020" t="s">
        <v>87</v>
      </c>
      <c r="B4020" t="s">
        <v>3</v>
      </c>
      <c r="C4020" t="s">
        <v>83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87</v>
      </c>
      <c r="B4021" t="s">
        <v>3</v>
      </c>
      <c r="C4021" t="s">
        <v>83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87</v>
      </c>
      <c r="B4022" t="s">
        <v>3</v>
      </c>
      <c r="C4022" t="s">
        <v>83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0.1736</v>
      </c>
      <c r="K4022" t="s">
        <v>45</v>
      </c>
    </row>
    <row r="4023" spans="1:11" x14ac:dyDescent="0.45">
      <c r="A4023" t="s">
        <v>87</v>
      </c>
      <c r="B4023" t="s">
        <v>3</v>
      </c>
      <c r="C4023" t="s">
        <v>83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2.5249999999999999</v>
      </c>
      <c r="K4023" t="s">
        <v>45</v>
      </c>
    </row>
    <row r="4024" spans="1:11" x14ac:dyDescent="0.45">
      <c r="A4024" t="s">
        <v>87</v>
      </c>
      <c r="B4024" t="s">
        <v>3</v>
      </c>
      <c r="C4024" t="s">
        <v>83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14.4377</v>
      </c>
      <c r="K4024" t="s">
        <v>45</v>
      </c>
    </row>
    <row r="4025" spans="1:11" x14ac:dyDescent="0.45">
      <c r="A4025" t="s">
        <v>87</v>
      </c>
      <c r="B4025" t="s">
        <v>3</v>
      </c>
      <c r="C4025" t="s">
        <v>83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24.192699999999999</v>
      </c>
      <c r="K4025" t="s">
        <v>45</v>
      </c>
    </row>
    <row r="4026" spans="1:11" x14ac:dyDescent="0.45">
      <c r="A4026" t="s">
        <v>87</v>
      </c>
      <c r="B4026" t="s">
        <v>3</v>
      </c>
      <c r="C4026" t="s">
        <v>83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25.865300000000001</v>
      </c>
      <c r="K4026" t="s">
        <v>45</v>
      </c>
    </row>
    <row r="4027" spans="1:11" x14ac:dyDescent="0.45">
      <c r="A4027" t="s">
        <v>87</v>
      </c>
      <c r="B4027" t="s">
        <v>3</v>
      </c>
      <c r="C4027" t="s">
        <v>83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0.15590000000000001</v>
      </c>
      <c r="K4027" t="s">
        <v>24</v>
      </c>
    </row>
    <row r="4028" spans="1:11" x14ac:dyDescent="0.45">
      <c r="A4028" t="s">
        <v>87</v>
      </c>
      <c r="B4028" t="s">
        <v>3</v>
      </c>
      <c r="C4028" t="s">
        <v>83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0.16900000000000001</v>
      </c>
      <c r="K4028" t="s">
        <v>24</v>
      </c>
    </row>
    <row r="4029" spans="1:11" x14ac:dyDescent="0.45">
      <c r="A4029" t="s">
        <v>87</v>
      </c>
      <c r="B4029" t="s">
        <v>3</v>
      </c>
      <c r="C4029" t="s">
        <v>83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0.23250000000000001</v>
      </c>
      <c r="K4029" t="s">
        <v>24</v>
      </c>
    </row>
    <row r="4030" spans="1:11" x14ac:dyDescent="0.45">
      <c r="A4030" t="s">
        <v>87</v>
      </c>
      <c r="B4030" t="s">
        <v>3</v>
      </c>
      <c r="C4030" t="s">
        <v>83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0.31030000000000002</v>
      </c>
      <c r="K4030" t="s">
        <v>24</v>
      </c>
    </row>
    <row r="4031" spans="1:11" x14ac:dyDescent="0.45">
      <c r="A4031" t="s">
        <v>87</v>
      </c>
      <c r="B4031" t="s">
        <v>3</v>
      </c>
      <c r="C4031" t="s">
        <v>83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0.42870000000000003</v>
      </c>
      <c r="K4031" t="s">
        <v>24</v>
      </c>
    </row>
    <row r="4032" spans="1:11" x14ac:dyDescent="0.45">
      <c r="A4032" t="s">
        <v>87</v>
      </c>
      <c r="B4032" t="s">
        <v>3</v>
      </c>
      <c r="C4032" t="s">
        <v>83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0.49519999999999997</v>
      </c>
      <c r="K4032" t="s">
        <v>24</v>
      </c>
    </row>
    <row r="4033" spans="1:11" x14ac:dyDescent="0.45">
      <c r="A4033" t="s">
        <v>87</v>
      </c>
      <c r="B4033" t="s">
        <v>3</v>
      </c>
      <c r="C4033" t="s">
        <v>83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0.5071</v>
      </c>
      <c r="K4033" t="s">
        <v>24</v>
      </c>
    </row>
    <row r="4034" spans="1:11" x14ac:dyDescent="0.45">
      <c r="A4034" t="s">
        <v>87</v>
      </c>
      <c r="B4034" t="s">
        <v>3</v>
      </c>
      <c r="C4034" t="s">
        <v>83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9.3799999999999994E-2</v>
      </c>
      <c r="K4034" t="s">
        <v>28</v>
      </c>
    </row>
    <row r="4035" spans="1:11" x14ac:dyDescent="0.45">
      <c r="A4035" t="s">
        <v>87</v>
      </c>
      <c r="B4035" t="s">
        <v>3</v>
      </c>
      <c r="C4035" t="s">
        <v>83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0.1128</v>
      </c>
      <c r="K4035" t="s">
        <v>28</v>
      </c>
    </row>
    <row r="4036" spans="1:11" x14ac:dyDescent="0.45">
      <c r="A4036" t="s">
        <v>87</v>
      </c>
      <c r="B4036" t="s">
        <v>3</v>
      </c>
      <c r="C4036" t="s">
        <v>83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0.1409</v>
      </c>
      <c r="K4036" t="s">
        <v>28</v>
      </c>
    </row>
    <row r="4037" spans="1:11" x14ac:dyDescent="0.45">
      <c r="A4037" t="s">
        <v>87</v>
      </c>
      <c r="B4037" t="s">
        <v>3</v>
      </c>
      <c r="C4037" t="s">
        <v>83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0.1888</v>
      </c>
      <c r="K4037" t="s">
        <v>28</v>
      </c>
    </row>
    <row r="4038" spans="1:11" x14ac:dyDescent="0.45">
      <c r="A4038" t="s">
        <v>87</v>
      </c>
      <c r="B4038" t="s">
        <v>3</v>
      </c>
      <c r="C4038" t="s">
        <v>83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0.2369</v>
      </c>
      <c r="K4038" t="s">
        <v>28</v>
      </c>
    </row>
    <row r="4039" spans="1:11" x14ac:dyDescent="0.45">
      <c r="A4039" t="s">
        <v>87</v>
      </c>
      <c r="B4039" t="s">
        <v>3</v>
      </c>
      <c r="C4039" t="s">
        <v>83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0.27289999999999998</v>
      </c>
      <c r="K4039" t="s">
        <v>28</v>
      </c>
    </row>
    <row r="4040" spans="1:11" x14ac:dyDescent="0.45">
      <c r="A4040" t="s">
        <v>87</v>
      </c>
      <c r="B4040" t="s">
        <v>3</v>
      </c>
      <c r="C4040" t="s">
        <v>83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0.28570000000000001</v>
      </c>
      <c r="K4040" t="s">
        <v>28</v>
      </c>
    </row>
    <row r="4041" spans="1:11" x14ac:dyDescent="0.45">
      <c r="A4041" t="s">
        <v>87</v>
      </c>
      <c r="B4041" t="s">
        <v>3</v>
      </c>
      <c r="C4041" t="s">
        <v>83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1.0699999999999999E-2</v>
      </c>
      <c r="K4041" t="s">
        <v>27</v>
      </c>
    </row>
    <row r="4042" spans="1:11" x14ac:dyDescent="0.45">
      <c r="A4042" t="s">
        <v>87</v>
      </c>
      <c r="B4042" t="s">
        <v>3</v>
      </c>
      <c r="C4042" t="s">
        <v>83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1.77E-2</v>
      </c>
      <c r="K4042" t="s">
        <v>27</v>
      </c>
    </row>
    <row r="4043" spans="1:11" x14ac:dyDescent="0.45">
      <c r="A4043" t="s">
        <v>87</v>
      </c>
      <c r="B4043" t="s">
        <v>3</v>
      </c>
      <c r="C4043" t="s">
        <v>83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3.6299999999999999E-2</v>
      </c>
      <c r="K4043" t="s">
        <v>27</v>
      </c>
    </row>
    <row r="4044" spans="1:11" x14ac:dyDescent="0.45">
      <c r="A4044" t="s">
        <v>87</v>
      </c>
      <c r="B4044" t="s">
        <v>3</v>
      </c>
      <c r="C4044" t="s">
        <v>83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7.0599999999999996E-2</v>
      </c>
      <c r="K4044" t="s">
        <v>27</v>
      </c>
    </row>
    <row r="4045" spans="1:11" x14ac:dyDescent="0.45">
      <c r="A4045" t="s">
        <v>87</v>
      </c>
      <c r="B4045" t="s">
        <v>3</v>
      </c>
      <c r="C4045" t="s">
        <v>83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0.12920000000000001</v>
      </c>
      <c r="K4045" t="s">
        <v>27</v>
      </c>
    </row>
    <row r="4046" spans="1:11" x14ac:dyDescent="0.45">
      <c r="A4046" t="s">
        <v>87</v>
      </c>
      <c r="B4046" t="s">
        <v>3</v>
      </c>
      <c r="C4046" t="s">
        <v>83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0.1394</v>
      </c>
      <c r="K4046" t="s">
        <v>27</v>
      </c>
    </row>
    <row r="4047" spans="1:11" x14ac:dyDescent="0.45">
      <c r="A4047" t="s">
        <v>87</v>
      </c>
      <c r="B4047" t="s">
        <v>3</v>
      </c>
      <c r="C4047" t="s">
        <v>83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0.1371</v>
      </c>
      <c r="K4047" t="s">
        <v>27</v>
      </c>
    </row>
    <row r="4048" spans="1:11" x14ac:dyDescent="0.45">
      <c r="A4048" t="s">
        <v>87</v>
      </c>
      <c r="B4048" t="s">
        <v>3</v>
      </c>
      <c r="C4048" t="s">
        <v>83</v>
      </c>
      <c r="D4048" t="s">
        <v>84</v>
      </c>
      <c r="E4048" t="s">
        <v>25</v>
      </c>
      <c r="F4048" t="s">
        <v>84</v>
      </c>
      <c r="G4048" t="s">
        <v>26</v>
      </c>
      <c r="H4048" t="s">
        <v>81</v>
      </c>
      <c r="I4048">
        <v>2020</v>
      </c>
      <c r="J4048">
        <v>4.7999999999999996E-3</v>
      </c>
      <c r="K4048" t="s">
        <v>84</v>
      </c>
    </row>
    <row r="4049" spans="1:12" x14ac:dyDescent="0.45">
      <c r="A4049" t="s">
        <v>87</v>
      </c>
      <c r="B4049" t="s">
        <v>3</v>
      </c>
      <c r="C4049" t="s">
        <v>83</v>
      </c>
      <c r="D4049" t="s">
        <v>84</v>
      </c>
      <c r="E4049" t="s">
        <v>25</v>
      </c>
      <c r="F4049" t="s">
        <v>84</v>
      </c>
      <c r="G4049" t="s">
        <v>26</v>
      </c>
      <c r="H4049" t="s">
        <v>81</v>
      </c>
      <c r="I4049">
        <v>2025</v>
      </c>
      <c r="J4049">
        <v>2.0199999999999999E-2</v>
      </c>
      <c r="K4049" t="s">
        <v>84</v>
      </c>
    </row>
    <row r="4050" spans="1:12" x14ac:dyDescent="0.45">
      <c r="A4050" t="s">
        <v>87</v>
      </c>
      <c r="B4050" t="s">
        <v>3</v>
      </c>
      <c r="C4050" t="s">
        <v>83</v>
      </c>
      <c r="D4050" t="s">
        <v>84</v>
      </c>
      <c r="E4050" t="s">
        <v>25</v>
      </c>
      <c r="F4050" t="s">
        <v>84</v>
      </c>
      <c r="G4050" t="s">
        <v>26</v>
      </c>
      <c r="H4050" t="s">
        <v>81</v>
      </c>
      <c r="I4050">
        <v>2030</v>
      </c>
      <c r="J4050">
        <v>4.65E-2</v>
      </c>
      <c r="K4050" t="s">
        <v>84</v>
      </c>
    </row>
    <row r="4051" spans="1:12" x14ac:dyDescent="0.45">
      <c r="A4051" t="s">
        <v>87</v>
      </c>
      <c r="B4051" t="s">
        <v>3</v>
      </c>
      <c r="C4051" t="s">
        <v>83</v>
      </c>
      <c r="D4051" t="s">
        <v>84</v>
      </c>
      <c r="E4051" t="s">
        <v>25</v>
      </c>
      <c r="F4051" t="s">
        <v>84</v>
      </c>
      <c r="G4051" t="s">
        <v>26</v>
      </c>
      <c r="H4051" t="s">
        <v>81</v>
      </c>
      <c r="I4051">
        <v>2035</v>
      </c>
      <c r="J4051">
        <v>6.2700000000000006E-2</v>
      </c>
      <c r="K4051" t="s">
        <v>84</v>
      </c>
    </row>
    <row r="4052" spans="1:12" x14ac:dyDescent="0.45">
      <c r="A4052" t="s">
        <v>87</v>
      </c>
      <c r="B4052" t="s">
        <v>3</v>
      </c>
      <c r="C4052" t="s">
        <v>83</v>
      </c>
      <c r="D4052" t="s">
        <v>84</v>
      </c>
      <c r="E4052" t="s">
        <v>25</v>
      </c>
      <c r="F4052" t="s">
        <v>84</v>
      </c>
      <c r="G4052" t="s">
        <v>26</v>
      </c>
      <c r="H4052" t="s">
        <v>81</v>
      </c>
      <c r="I4052">
        <v>2040</v>
      </c>
      <c r="J4052">
        <v>7.2099999999999997E-2</v>
      </c>
      <c r="K4052" t="s">
        <v>84</v>
      </c>
    </row>
    <row r="4053" spans="1:12" x14ac:dyDescent="0.45">
      <c r="A4053" t="s">
        <v>87</v>
      </c>
      <c r="B4053" t="s">
        <v>3</v>
      </c>
      <c r="C4053" t="s">
        <v>83</v>
      </c>
      <c r="D4053" t="s">
        <v>84</v>
      </c>
      <c r="E4053" t="s">
        <v>25</v>
      </c>
      <c r="F4053" t="s">
        <v>84</v>
      </c>
      <c r="G4053" t="s">
        <v>26</v>
      </c>
      <c r="H4053" t="s">
        <v>81</v>
      </c>
      <c r="I4053">
        <v>2045</v>
      </c>
      <c r="J4053">
        <v>6.9900000000000004E-2</v>
      </c>
      <c r="K4053" t="s">
        <v>84</v>
      </c>
    </row>
    <row r="4054" spans="1:12" x14ac:dyDescent="0.45">
      <c r="A4054" t="s">
        <v>87</v>
      </c>
      <c r="B4054" t="s">
        <v>3</v>
      </c>
      <c r="C4054" t="s">
        <v>83</v>
      </c>
      <c r="D4054" t="s">
        <v>84</v>
      </c>
      <c r="E4054" t="s">
        <v>25</v>
      </c>
      <c r="F4054" t="s">
        <v>84</v>
      </c>
      <c r="G4054" t="s">
        <v>26</v>
      </c>
      <c r="H4054" t="s">
        <v>81</v>
      </c>
      <c r="I4054">
        <v>2050</v>
      </c>
      <c r="J4054">
        <v>6.9699999999999998E-2</v>
      </c>
      <c r="K4054" t="s">
        <v>84</v>
      </c>
    </row>
    <row r="4055" spans="1:12" x14ac:dyDescent="0.45">
      <c r="A4055" t="s">
        <v>87</v>
      </c>
      <c r="B4055" t="s">
        <v>3</v>
      </c>
      <c r="C4055" t="s">
        <v>83</v>
      </c>
      <c r="D4055" t="s">
        <v>52</v>
      </c>
      <c r="E4055" t="s">
        <v>25</v>
      </c>
      <c r="F4055" t="s">
        <v>52</v>
      </c>
      <c r="G4055" t="s">
        <v>70</v>
      </c>
      <c r="I4055">
        <v>2020</v>
      </c>
      <c r="J4055">
        <v>0.32619999999999999</v>
      </c>
      <c r="K4055" t="s">
        <v>52</v>
      </c>
      <c r="L4055">
        <v>94</v>
      </c>
    </row>
    <row r="4056" spans="1:12" x14ac:dyDescent="0.45">
      <c r="A4056" t="s">
        <v>87</v>
      </c>
      <c r="B4056" t="s">
        <v>3</v>
      </c>
      <c r="C4056" t="s">
        <v>83</v>
      </c>
      <c r="D4056" t="s">
        <v>52</v>
      </c>
      <c r="E4056" t="s">
        <v>25</v>
      </c>
      <c r="F4056" t="s">
        <v>52</v>
      </c>
      <c r="G4056" t="s">
        <v>70</v>
      </c>
      <c r="I4056">
        <v>2025</v>
      </c>
      <c r="J4056">
        <v>0.29820000000000002</v>
      </c>
      <c r="K4056" t="s">
        <v>52</v>
      </c>
      <c r="L4056">
        <v>94</v>
      </c>
    </row>
    <row r="4057" spans="1:12" x14ac:dyDescent="0.45">
      <c r="A4057" t="s">
        <v>87</v>
      </c>
      <c r="B4057" t="s">
        <v>3</v>
      </c>
      <c r="C4057" t="s">
        <v>83</v>
      </c>
      <c r="D4057" t="s">
        <v>52</v>
      </c>
      <c r="E4057" t="s">
        <v>25</v>
      </c>
      <c r="F4057" t="s">
        <v>52</v>
      </c>
      <c r="G4057" t="s">
        <v>70</v>
      </c>
      <c r="I4057">
        <v>2030</v>
      </c>
      <c r="J4057">
        <v>0.20660000000000001</v>
      </c>
      <c r="K4057" t="s">
        <v>52</v>
      </c>
      <c r="L4057">
        <v>94</v>
      </c>
    </row>
    <row r="4058" spans="1:12" x14ac:dyDescent="0.45">
      <c r="A4058" t="s">
        <v>87</v>
      </c>
      <c r="B4058" t="s">
        <v>3</v>
      </c>
      <c r="C4058" t="s">
        <v>83</v>
      </c>
      <c r="D4058" t="s">
        <v>52</v>
      </c>
      <c r="E4058" t="s">
        <v>25</v>
      </c>
      <c r="F4058" t="s">
        <v>52</v>
      </c>
      <c r="G4058" t="s">
        <v>70</v>
      </c>
      <c r="I4058">
        <v>2035</v>
      </c>
      <c r="J4058">
        <v>8.8599999999999998E-2</v>
      </c>
      <c r="K4058" t="s">
        <v>52</v>
      </c>
      <c r="L4058">
        <v>94</v>
      </c>
    </row>
    <row r="4059" spans="1:12" x14ac:dyDescent="0.45">
      <c r="A4059" t="s">
        <v>87</v>
      </c>
      <c r="B4059" t="s">
        <v>3</v>
      </c>
      <c r="C4059" t="s">
        <v>83</v>
      </c>
      <c r="D4059" t="s">
        <v>52</v>
      </c>
      <c r="E4059" t="s">
        <v>25</v>
      </c>
      <c r="F4059" t="s">
        <v>52</v>
      </c>
      <c r="G4059" t="s">
        <v>70</v>
      </c>
      <c r="I4059">
        <v>2040</v>
      </c>
      <c r="J4059">
        <v>4.3299999999999998E-2</v>
      </c>
      <c r="K4059" t="s">
        <v>52</v>
      </c>
      <c r="L4059">
        <v>94</v>
      </c>
    </row>
    <row r="4060" spans="1:12" x14ac:dyDescent="0.45">
      <c r="A4060" t="s">
        <v>87</v>
      </c>
      <c r="B4060" t="s">
        <v>3</v>
      </c>
      <c r="C4060" t="s">
        <v>83</v>
      </c>
      <c r="D4060" t="s">
        <v>52</v>
      </c>
      <c r="E4060" t="s">
        <v>25</v>
      </c>
      <c r="F4060" t="s">
        <v>52</v>
      </c>
      <c r="G4060" t="s">
        <v>70</v>
      </c>
      <c r="I4060">
        <v>2045</v>
      </c>
      <c r="J4060">
        <v>1.01E-2</v>
      </c>
      <c r="K4060" t="s">
        <v>52</v>
      </c>
      <c r="L4060">
        <v>94</v>
      </c>
    </row>
    <row r="4061" spans="1:12" x14ac:dyDescent="0.45">
      <c r="A4061" t="s">
        <v>87</v>
      </c>
      <c r="B4061" t="s">
        <v>3</v>
      </c>
      <c r="C4061" t="s">
        <v>83</v>
      </c>
      <c r="D4061" t="s">
        <v>52</v>
      </c>
      <c r="E4061" t="s">
        <v>25</v>
      </c>
      <c r="F4061" t="s">
        <v>52</v>
      </c>
      <c r="G4061" t="s">
        <v>70</v>
      </c>
      <c r="I4061">
        <v>2050</v>
      </c>
      <c r="J4061">
        <v>1E-4</v>
      </c>
      <c r="K4061" t="s">
        <v>52</v>
      </c>
      <c r="L4061">
        <v>94</v>
      </c>
    </row>
    <row r="4062" spans="1:12" x14ac:dyDescent="0.45">
      <c r="A4062" t="s">
        <v>87</v>
      </c>
      <c r="B4062" t="s">
        <v>3</v>
      </c>
      <c r="C4062" t="s">
        <v>83</v>
      </c>
      <c r="D4062" t="s">
        <v>53</v>
      </c>
      <c r="E4062" t="s">
        <v>25</v>
      </c>
      <c r="F4062" t="s">
        <v>53</v>
      </c>
      <c r="G4062" t="s">
        <v>70</v>
      </c>
      <c r="I4062">
        <v>2020</v>
      </c>
      <c r="J4062">
        <v>0.1082</v>
      </c>
      <c r="K4062" t="s">
        <v>53</v>
      </c>
      <c r="L4062">
        <v>55</v>
      </c>
    </row>
    <row r="4063" spans="1:12" x14ac:dyDescent="0.45">
      <c r="A4063" t="s">
        <v>87</v>
      </c>
      <c r="B4063" t="s">
        <v>3</v>
      </c>
      <c r="C4063" t="s">
        <v>83</v>
      </c>
      <c r="D4063" t="s">
        <v>53</v>
      </c>
      <c r="E4063" t="s">
        <v>25</v>
      </c>
      <c r="F4063" t="s">
        <v>53</v>
      </c>
      <c r="G4063" t="s">
        <v>70</v>
      </c>
      <c r="I4063">
        <v>2025</v>
      </c>
      <c r="J4063">
        <v>0.1242</v>
      </c>
      <c r="K4063" t="s">
        <v>53</v>
      </c>
      <c r="L4063">
        <v>55</v>
      </c>
    </row>
    <row r="4064" spans="1:12" x14ac:dyDescent="0.45">
      <c r="A4064" t="s">
        <v>87</v>
      </c>
      <c r="B4064" t="s">
        <v>3</v>
      </c>
      <c r="C4064" t="s">
        <v>83</v>
      </c>
      <c r="D4064" t="s">
        <v>53</v>
      </c>
      <c r="E4064" t="s">
        <v>25</v>
      </c>
      <c r="F4064" t="s">
        <v>53</v>
      </c>
      <c r="G4064" t="s">
        <v>70</v>
      </c>
      <c r="I4064">
        <v>2030</v>
      </c>
      <c r="J4064">
        <v>0.13719999999999999</v>
      </c>
      <c r="K4064" t="s">
        <v>53</v>
      </c>
      <c r="L4064">
        <v>55</v>
      </c>
    </row>
    <row r="4065" spans="1:12" x14ac:dyDescent="0.45">
      <c r="A4065" t="s">
        <v>87</v>
      </c>
      <c r="B4065" t="s">
        <v>3</v>
      </c>
      <c r="C4065" t="s">
        <v>83</v>
      </c>
      <c r="D4065" t="s">
        <v>53</v>
      </c>
      <c r="E4065" t="s">
        <v>25</v>
      </c>
      <c r="F4065" t="s">
        <v>53</v>
      </c>
      <c r="G4065" t="s">
        <v>70</v>
      </c>
      <c r="I4065">
        <v>2035</v>
      </c>
      <c r="J4065">
        <v>9.2299999999999993E-2</v>
      </c>
      <c r="K4065" t="s">
        <v>53</v>
      </c>
      <c r="L4065">
        <v>55</v>
      </c>
    </row>
    <row r="4066" spans="1:12" x14ac:dyDescent="0.45">
      <c r="A4066" t="s">
        <v>87</v>
      </c>
      <c r="B4066" t="s">
        <v>3</v>
      </c>
      <c r="C4066" t="s">
        <v>83</v>
      </c>
      <c r="D4066" t="s">
        <v>53</v>
      </c>
      <c r="E4066" t="s">
        <v>25</v>
      </c>
      <c r="F4066" t="s">
        <v>53</v>
      </c>
      <c r="G4066" t="s">
        <v>70</v>
      </c>
      <c r="I4066">
        <v>2040</v>
      </c>
      <c r="J4066">
        <v>6.1899999999999997E-2</v>
      </c>
      <c r="K4066" t="s">
        <v>53</v>
      </c>
      <c r="L4066">
        <v>55</v>
      </c>
    </row>
    <row r="4067" spans="1:12" x14ac:dyDescent="0.45">
      <c r="A4067" t="s">
        <v>87</v>
      </c>
      <c r="B4067" t="s">
        <v>3</v>
      </c>
      <c r="C4067" t="s">
        <v>83</v>
      </c>
      <c r="D4067" t="s">
        <v>53</v>
      </c>
      <c r="E4067" t="s">
        <v>25</v>
      </c>
      <c r="F4067" t="s">
        <v>53</v>
      </c>
      <c r="G4067" t="s">
        <v>70</v>
      </c>
      <c r="I4067">
        <v>2045</v>
      </c>
      <c r="J4067">
        <v>2.52E-2</v>
      </c>
      <c r="K4067" t="s">
        <v>53</v>
      </c>
      <c r="L4067">
        <v>55</v>
      </c>
    </row>
    <row r="4068" spans="1:12" x14ac:dyDescent="0.45">
      <c r="A4068" t="s">
        <v>87</v>
      </c>
      <c r="B4068" t="s">
        <v>3</v>
      </c>
      <c r="C4068" t="s">
        <v>83</v>
      </c>
      <c r="D4068" t="s">
        <v>53</v>
      </c>
      <c r="E4068" t="s">
        <v>25</v>
      </c>
      <c r="F4068" t="s">
        <v>53</v>
      </c>
      <c r="G4068" t="s">
        <v>70</v>
      </c>
      <c r="I4068">
        <v>2050</v>
      </c>
      <c r="J4068">
        <v>4.4000000000000003E-3</v>
      </c>
      <c r="K4068" t="s">
        <v>53</v>
      </c>
      <c r="L4068">
        <v>55</v>
      </c>
    </row>
    <row r="4069" spans="1:12" x14ac:dyDescent="0.45">
      <c r="A4069" t="s">
        <v>87</v>
      </c>
      <c r="B4069" t="s">
        <v>3</v>
      </c>
      <c r="C4069" t="s">
        <v>83</v>
      </c>
      <c r="D4069" t="s">
        <v>54</v>
      </c>
      <c r="E4069" t="s">
        <v>25</v>
      </c>
      <c r="F4069" t="s">
        <v>54</v>
      </c>
      <c r="G4069" t="s">
        <v>70</v>
      </c>
      <c r="I4069">
        <v>2020</v>
      </c>
      <c r="J4069">
        <v>0</v>
      </c>
      <c r="K4069" t="s">
        <v>54</v>
      </c>
      <c r="L4069">
        <v>70</v>
      </c>
    </row>
    <row r="4070" spans="1:12" x14ac:dyDescent="0.45">
      <c r="A4070" t="s">
        <v>87</v>
      </c>
      <c r="B4070" t="s">
        <v>3</v>
      </c>
      <c r="C4070" t="s">
        <v>83</v>
      </c>
      <c r="D4070" t="s">
        <v>54</v>
      </c>
      <c r="E4070" t="s">
        <v>25</v>
      </c>
      <c r="F4070" t="s">
        <v>54</v>
      </c>
      <c r="G4070" t="s">
        <v>70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87</v>
      </c>
      <c r="B4071" t="s">
        <v>3</v>
      </c>
      <c r="C4071" t="s">
        <v>83</v>
      </c>
      <c r="D4071" t="s">
        <v>54</v>
      </c>
      <c r="E4071" t="s">
        <v>25</v>
      </c>
      <c r="F4071" t="s">
        <v>54</v>
      </c>
      <c r="G4071" t="s">
        <v>70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87</v>
      </c>
      <c r="B4072" t="s">
        <v>3</v>
      </c>
      <c r="C4072" t="s">
        <v>83</v>
      </c>
      <c r="D4072" t="s">
        <v>54</v>
      </c>
      <c r="E4072" t="s">
        <v>25</v>
      </c>
      <c r="F4072" t="s">
        <v>54</v>
      </c>
      <c r="G4072" t="s">
        <v>70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87</v>
      </c>
      <c r="B4073" t="s">
        <v>3</v>
      </c>
      <c r="C4073" t="s">
        <v>83</v>
      </c>
      <c r="D4073" t="s">
        <v>54</v>
      </c>
      <c r="E4073" t="s">
        <v>25</v>
      </c>
      <c r="F4073" t="s">
        <v>54</v>
      </c>
      <c r="G4073" t="s">
        <v>70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87</v>
      </c>
      <c r="B4074" t="s">
        <v>3</v>
      </c>
      <c r="C4074" t="s">
        <v>83</v>
      </c>
      <c r="D4074" t="s">
        <v>54</v>
      </c>
      <c r="E4074" t="s">
        <v>25</v>
      </c>
      <c r="F4074" t="s">
        <v>54</v>
      </c>
      <c r="G4074" t="s">
        <v>70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87</v>
      </c>
      <c r="B4075" t="s">
        <v>3</v>
      </c>
      <c r="C4075" t="s">
        <v>83</v>
      </c>
      <c r="D4075" t="s">
        <v>54</v>
      </c>
      <c r="E4075" t="s">
        <v>25</v>
      </c>
      <c r="F4075" t="s">
        <v>54</v>
      </c>
      <c r="G4075" t="s">
        <v>70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87</v>
      </c>
      <c r="B4076" t="s">
        <v>3</v>
      </c>
      <c r="C4076" t="s">
        <v>83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87</v>
      </c>
      <c r="B4077" t="s">
        <v>3</v>
      </c>
      <c r="C4077" t="s">
        <v>83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87</v>
      </c>
      <c r="B4078" t="s">
        <v>3</v>
      </c>
      <c r="C4078" t="s">
        <v>83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87</v>
      </c>
      <c r="B4079" t="s">
        <v>3</v>
      </c>
      <c r="C4079" t="s">
        <v>83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87</v>
      </c>
      <c r="B4080" t="s">
        <v>3</v>
      </c>
      <c r="C4080" t="s">
        <v>83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87</v>
      </c>
      <c r="B4081" t="s">
        <v>3</v>
      </c>
      <c r="C4081" t="s">
        <v>83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87</v>
      </c>
      <c r="B4082" t="s">
        <v>3</v>
      </c>
      <c r="C4082" t="s">
        <v>83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87</v>
      </c>
      <c r="B4083" t="s">
        <v>3</v>
      </c>
      <c r="C4083" t="s">
        <v>83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87</v>
      </c>
      <c r="B4084" t="s">
        <v>3</v>
      </c>
      <c r="C4084" t="s">
        <v>83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87</v>
      </c>
      <c r="B4085" t="s">
        <v>3</v>
      </c>
      <c r="C4085" t="s">
        <v>83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87</v>
      </c>
      <c r="B4086" t="s">
        <v>3</v>
      </c>
      <c r="C4086" t="s">
        <v>83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87</v>
      </c>
      <c r="B4087" t="s">
        <v>3</v>
      </c>
      <c r="C4087" t="s">
        <v>83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87</v>
      </c>
      <c r="B4088" t="s">
        <v>3</v>
      </c>
      <c r="C4088" t="s">
        <v>83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87</v>
      </c>
      <c r="B4089" t="s">
        <v>3</v>
      </c>
      <c r="C4089" t="s">
        <v>83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87</v>
      </c>
      <c r="B4090" t="s">
        <v>3</v>
      </c>
      <c r="C4090" t="s">
        <v>83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87</v>
      </c>
      <c r="B4091" t="s">
        <v>3</v>
      </c>
      <c r="C4091" t="s">
        <v>83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87</v>
      </c>
      <c r="B4092" t="s">
        <v>3</v>
      </c>
      <c r="C4092" t="s">
        <v>83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87</v>
      </c>
      <c r="B4093" t="s">
        <v>3</v>
      </c>
      <c r="C4093" t="s">
        <v>83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87</v>
      </c>
      <c r="B4094" t="s">
        <v>3</v>
      </c>
      <c r="C4094" t="s">
        <v>83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87</v>
      </c>
      <c r="B4095" t="s">
        <v>3</v>
      </c>
      <c r="C4095" t="s">
        <v>83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87</v>
      </c>
      <c r="B4096" t="s">
        <v>3</v>
      </c>
      <c r="C4096" t="s">
        <v>83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87</v>
      </c>
      <c r="B4097" t="s">
        <v>3</v>
      </c>
      <c r="C4097" t="s">
        <v>83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56.074300000000001</v>
      </c>
      <c r="K4097" t="s">
        <v>37</v>
      </c>
    </row>
    <row r="4098" spans="1:11" x14ac:dyDescent="0.45">
      <c r="A4098" t="s">
        <v>87</v>
      </c>
      <c r="B4098" t="s">
        <v>3</v>
      </c>
      <c r="C4098" t="s">
        <v>83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62.581600000000002</v>
      </c>
      <c r="K4098" t="s">
        <v>37</v>
      </c>
    </row>
    <row r="4099" spans="1:11" x14ac:dyDescent="0.45">
      <c r="A4099" t="s">
        <v>87</v>
      </c>
      <c r="B4099" t="s">
        <v>3</v>
      </c>
      <c r="C4099" t="s">
        <v>83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74.3279</v>
      </c>
      <c r="K4099" t="s">
        <v>37</v>
      </c>
    </row>
    <row r="4100" spans="1:11" x14ac:dyDescent="0.45">
      <c r="A4100" t="s">
        <v>87</v>
      </c>
      <c r="B4100" t="s">
        <v>3</v>
      </c>
      <c r="C4100" t="s">
        <v>83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82.825199999999995</v>
      </c>
      <c r="K4100" t="s">
        <v>37</v>
      </c>
    </row>
    <row r="4101" spans="1:11" x14ac:dyDescent="0.45">
      <c r="A4101" t="s">
        <v>87</v>
      </c>
      <c r="B4101" t="s">
        <v>3</v>
      </c>
      <c r="C4101" t="s">
        <v>83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84.414199999999994</v>
      </c>
      <c r="K4101" t="s">
        <v>37</v>
      </c>
    </row>
    <row r="4102" spans="1:11" x14ac:dyDescent="0.45">
      <c r="A4102" t="s">
        <v>87</v>
      </c>
      <c r="B4102" t="s">
        <v>3</v>
      </c>
      <c r="C4102" t="s">
        <v>83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86.623000000000005</v>
      </c>
      <c r="K4102" t="s">
        <v>37</v>
      </c>
    </row>
    <row r="4103" spans="1:11" x14ac:dyDescent="0.45">
      <c r="A4103" t="s">
        <v>87</v>
      </c>
      <c r="B4103" t="s">
        <v>3</v>
      </c>
      <c r="C4103" t="s">
        <v>83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99.987899999999996</v>
      </c>
      <c r="K4103" t="s">
        <v>37</v>
      </c>
    </row>
    <row r="4104" spans="1:11" x14ac:dyDescent="0.45">
      <c r="A4104" t="s">
        <v>87</v>
      </c>
      <c r="B4104" t="s">
        <v>3</v>
      </c>
      <c r="C4104" t="s">
        <v>83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376.03</v>
      </c>
      <c r="K4104" t="s">
        <v>48</v>
      </c>
    </row>
    <row r="4105" spans="1:11" x14ac:dyDescent="0.45">
      <c r="A4105" t="s">
        <v>87</v>
      </c>
      <c r="B4105" t="s">
        <v>3</v>
      </c>
      <c r="C4105" t="s">
        <v>83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392.81650000000002</v>
      </c>
      <c r="K4105" t="s">
        <v>48</v>
      </c>
    </row>
    <row r="4106" spans="1:11" x14ac:dyDescent="0.45">
      <c r="A4106" t="s">
        <v>87</v>
      </c>
      <c r="B4106" t="s">
        <v>3</v>
      </c>
      <c r="C4106" t="s">
        <v>83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350.71300000000002</v>
      </c>
      <c r="K4106" t="s">
        <v>48</v>
      </c>
    </row>
    <row r="4107" spans="1:11" x14ac:dyDescent="0.45">
      <c r="A4107" t="s">
        <v>87</v>
      </c>
      <c r="B4107" t="s">
        <v>3</v>
      </c>
      <c r="C4107" t="s">
        <v>83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271.18119999999999</v>
      </c>
      <c r="K4107" t="s">
        <v>48</v>
      </c>
    </row>
    <row r="4108" spans="1:11" x14ac:dyDescent="0.45">
      <c r="A4108" t="s">
        <v>87</v>
      </c>
      <c r="B4108" t="s">
        <v>3</v>
      </c>
      <c r="C4108" t="s">
        <v>83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209.83709999999999</v>
      </c>
      <c r="K4108" t="s">
        <v>48</v>
      </c>
    </row>
    <row r="4109" spans="1:11" x14ac:dyDescent="0.45">
      <c r="A4109" t="s">
        <v>87</v>
      </c>
      <c r="B4109" t="s">
        <v>3</v>
      </c>
      <c r="C4109" t="s">
        <v>83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152.08760000000001</v>
      </c>
      <c r="K4109" t="s">
        <v>48</v>
      </c>
    </row>
    <row r="4110" spans="1:11" x14ac:dyDescent="0.45">
      <c r="A4110" t="s">
        <v>87</v>
      </c>
      <c r="B4110" t="s">
        <v>3</v>
      </c>
      <c r="C4110" t="s">
        <v>83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111.5654</v>
      </c>
      <c r="K4110" t="s">
        <v>48</v>
      </c>
    </row>
    <row r="4111" spans="1:11" x14ac:dyDescent="0.45">
      <c r="A4111" t="s">
        <v>87</v>
      </c>
      <c r="B4111" t="s">
        <v>3</v>
      </c>
      <c r="C4111" t="s">
        <v>83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334.28289999999998</v>
      </c>
      <c r="K4111" t="s">
        <v>51</v>
      </c>
    </row>
    <row r="4112" spans="1:11" x14ac:dyDescent="0.45">
      <c r="A4112" t="s">
        <v>87</v>
      </c>
      <c r="B4112" t="s">
        <v>3</v>
      </c>
      <c r="C4112" t="s">
        <v>83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334.32639999999998</v>
      </c>
      <c r="K4112" t="s">
        <v>51</v>
      </c>
    </row>
    <row r="4113" spans="1:11" x14ac:dyDescent="0.45">
      <c r="A4113" t="s">
        <v>87</v>
      </c>
      <c r="B4113" t="s">
        <v>3</v>
      </c>
      <c r="C4113" t="s">
        <v>83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284.64980000000003</v>
      </c>
      <c r="K4113" t="s">
        <v>51</v>
      </c>
    </row>
    <row r="4114" spans="1:11" x14ac:dyDescent="0.45">
      <c r="A4114" t="s">
        <v>87</v>
      </c>
      <c r="B4114" t="s">
        <v>3</v>
      </c>
      <c r="C4114" t="s">
        <v>83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204.852</v>
      </c>
      <c r="K4114" t="s">
        <v>51</v>
      </c>
    </row>
    <row r="4115" spans="1:11" x14ac:dyDescent="0.45">
      <c r="A4115" t="s">
        <v>87</v>
      </c>
      <c r="B4115" t="s">
        <v>3</v>
      </c>
      <c r="C4115" t="s">
        <v>83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142.785</v>
      </c>
      <c r="K4115" t="s">
        <v>51</v>
      </c>
    </row>
    <row r="4116" spans="1:11" x14ac:dyDescent="0.45">
      <c r="A4116" t="s">
        <v>87</v>
      </c>
      <c r="B4116" t="s">
        <v>3</v>
      </c>
      <c r="C4116" t="s">
        <v>83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85.391800000000003</v>
      </c>
      <c r="K4116" t="s">
        <v>51</v>
      </c>
    </row>
    <row r="4117" spans="1:11" x14ac:dyDescent="0.45">
      <c r="A4117" t="s">
        <v>87</v>
      </c>
      <c r="B4117" t="s">
        <v>3</v>
      </c>
      <c r="C4117" t="s">
        <v>83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53.605800000000002</v>
      </c>
      <c r="K4117" t="s">
        <v>51</v>
      </c>
    </row>
    <row r="4118" spans="1:11" x14ac:dyDescent="0.45">
      <c r="A4118" t="s">
        <v>87</v>
      </c>
      <c r="B4118" t="s">
        <v>4</v>
      </c>
      <c r="C4118" t="s">
        <v>83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87</v>
      </c>
      <c r="B4119" t="s">
        <v>4</v>
      </c>
      <c r="C4119" t="s">
        <v>83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87</v>
      </c>
      <c r="B4120" t="s">
        <v>4</v>
      </c>
      <c r="C4120" t="s">
        <v>83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87</v>
      </c>
      <c r="B4121" t="s">
        <v>4</v>
      </c>
      <c r="C4121" t="s">
        <v>83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87</v>
      </c>
      <c r="B4122" t="s">
        <v>4</v>
      </c>
      <c r="C4122" t="s">
        <v>83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87</v>
      </c>
      <c r="B4123" t="s">
        <v>4</v>
      </c>
      <c r="C4123" t="s">
        <v>83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87</v>
      </c>
      <c r="B4124" t="s">
        <v>4</v>
      </c>
      <c r="C4124" t="s">
        <v>83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87</v>
      </c>
      <c r="B4125" t="s">
        <v>4</v>
      </c>
      <c r="C4125" t="s">
        <v>83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0.14219999999999999</v>
      </c>
      <c r="K4125" t="s">
        <v>24</v>
      </c>
    </row>
    <row r="4126" spans="1:11" x14ac:dyDescent="0.45">
      <c r="A4126" t="s">
        <v>87</v>
      </c>
      <c r="B4126" t="s">
        <v>4</v>
      </c>
      <c r="C4126" t="s">
        <v>83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0.1676</v>
      </c>
      <c r="K4126" t="s">
        <v>24</v>
      </c>
    </row>
    <row r="4127" spans="1:11" x14ac:dyDescent="0.45">
      <c r="A4127" t="s">
        <v>87</v>
      </c>
      <c r="B4127" t="s">
        <v>4</v>
      </c>
      <c r="C4127" t="s">
        <v>83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0.2072</v>
      </c>
      <c r="K4127" t="s">
        <v>24</v>
      </c>
    </row>
    <row r="4128" spans="1:11" x14ac:dyDescent="0.45">
      <c r="A4128" t="s">
        <v>87</v>
      </c>
      <c r="B4128" t="s">
        <v>4</v>
      </c>
      <c r="C4128" t="s">
        <v>83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0.26669999999999999</v>
      </c>
      <c r="K4128" t="s">
        <v>24</v>
      </c>
    </row>
    <row r="4129" spans="1:11" x14ac:dyDescent="0.45">
      <c r="A4129" t="s">
        <v>87</v>
      </c>
      <c r="B4129" t="s">
        <v>4</v>
      </c>
      <c r="C4129" t="s">
        <v>83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0.34870000000000001</v>
      </c>
      <c r="K4129" t="s">
        <v>24</v>
      </c>
    </row>
    <row r="4130" spans="1:11" x14ac:dyDescent="0.45">
      <c r="A4130" t="s">
        <v>87</v>
      </c>
      <c r="B4130" t="s">
        <v>4</v>
      </c>
      <c r="C4130" t="s">
        <v>83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0.42030000000000001</v>
      </c>
      <c r="K4130" t="s">
        <v>24</v>
      </c>
    </row>
    <row r="4131" spans="1:11" x14ac:dyDescent="0.45">
      <c r="A4131" t="s">
        <v>87</v>
      </c>
      <c r="B4131" t="s">
        <v>4</v>
      </c>
      <c r="C4131" t="s">
        <v>83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0.44319999999999998</v>
      </c>
      <c r="K4131" t="s">
        <v>24</v>
      </c>
    </row>
    <row r="4132" spans="1:11" x14ac:dyDescent="0.45">
      <c r="A4132" t="s">
        <v>87</v>
      </c>
      <c r="B4132" t="s">
        <v>4</v>
      </c>
      <c r="C4132" t="s">
        <v>83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9.2299999999999993E-2</v>
      </c>
      <c r="K4132" t="s">
        <v>28</v>
      </c>
    </row>
    <row r="4133" spans="1:11" x14ac:dyDescent="0.45">
      <c r="A4133" t="s">
        <v>87</v>
      </c>
      <c r="B4133" t="s">
        <v>4</v>
      </c>
      <c r="C4133" t="s">
        <v>83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0.1164</v>
      </c>
      <c r="K4133" t="s">
        <v>28</v>
      </c>
    </row>
    <row r="4134" spans="1:11" x14ac:dyDescent="0.45">
      <c r="A4134" t="s">
        <v>87</v>
      </c>
      <c r="B4134" t="s">
        <v>4</v>
      </c>
      <c r="C4134" t="s">
        <v>83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0.1447</v>
      </c>
      <c r="K4134" t="s">
        <v>28</v>
      </c>
    </row>
    <row r="4135" spans="1:11" x14ac:dyDescent="0.45">
      <c r="A4135" t="s">
        <v>87</v>
      </c>
      <c r="B4135" t="s">
        <v>4</v>
      </c>
      <c r="C4135" t="s">
        <v>83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0.18140000000000001</v>
      </c>
      <c r="K4135" t="s">
        <v>28</v>
      </c>
    </row>
    <row r="4136" spans="1:11" x14ac:dyDescent="0.45">
      <c r="A4136" t="s">
        <v>87</v>
      </c>
      <c r="B4136" t="s">
        <v>4</v>
      </c>
      <c r="C4136" t="s">
        <v>83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0.215</v>
      </c>
      <c r="K4136" t="s">
        <v>28</v>
      </c>
    </row>
    <row r="4137" spans="1:11" x14ac:dyDescent="0.45">
      <c r="A4137" t="s">
        <v>87</v>
      </c>
      <c r="B4137" t="s">
        <v>4</v>
      </c>
      <c r="C4137" t="s">
        <v>83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0.23860000000000001</v>
      </c>
      <c r="K4137" t="s">
        <v>28</v>
      </c>
    </row>
    <row r="4138" spans="1:11" x14ac:dyDescent="0.45">
      <c r="A4138" t="s">
        <v>87</v>
      </c>
      <c r="B4138" t="s">
        <v>4</v>
      </c>
      <c r="C4138" t="s">
        <v>83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0.24959999999999999</v>
      </c>
      <c r="K4138" t="s">
        <v>28</v>
      </c>
    </row>
    <row r="4139" spans="1:11" x14ac:dyDescent="0.45">
      <c r="A4139" t="s">
        <v>87</v>
      </c>
      <c r="B4139" t="s">
        <v>4</v>
      </c>
      <c r="C4139" t="s">
        <v>83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1.0699999999999999E-2</v>
      </c>
      <c r="K4139" t="s">
        <v>27</v>
      </c>
    </row>
    <row r="4140" spans="1:11" x14ac:dyDescent="0.45">
      <c r="A4140" t="s">
        <v>87</v>
      </c>
      <c r="B4140" t="s">
        <v>4</v>
      </c>
      <c r="C4140" t="s">
        <v>83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1.77E-2</v>
      </c>
      <c r="K4140" t="s">
        <v>27</v>
      </c>
    </row>
    <row r="4141" spans="1:11" x14ac:dyDescent="0.45">
      <c r="A4141" t="s">
        <v>87</v>
      </c>
      <c r="B4141" t="s">
        <v>4</v>
      </c>
      <c r="C4141" t="s">
        <v>83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3.3500000000000002E-2</v>
      </c>
      <c r="K4141" t="s">
        <v>27</v>
      </c>
    </row>
    <row r="4142" spans="1:11" x14ac:dyDescent="0.45">
      <c r="A4142" t="s">
        <v>87</v>
      </c>
      <c r="B4142" t="s">
        <v>4</v>
      </c>
      <c r="C4142" t="s">
        <v>83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5.9400000000000001E-2</v>
      </c>
      <c r="K4142" t="s">
        <v>27</v>
      </c>
    </row>
    <row r="4143" spans="1:11" x14ac:dyDescent="0.45">
      <c r="A4143" t="s">
        <v>87</v>
      </c>
      <c r="B4143" t="s">
        <v>4</v>
      </c>
      <c r="C4143" t="s">
        <v>83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9.8500000000000004E-2</v>
      </c>
      <c r="K4143" t="s">
        <v>27</v>
      </c>
    </row>
    <row r="4144" spans="1:11" x14ac:dyDescent="0.45">
      <c r="A4144" t="s">
        <v>87</v>
      </c>
      <c r="B4144" t="s">
        <v>4</v>
      </c>
      <c r="C4144" t="s">
        <v>83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0.1099</v>
      </c>
      <c r="K4144" t="s">
        <v>27</v>
      </c>
    </row>
    <row r="4145" spans="1:12" x14ac:dyDescent="0.45">
      <c r="A4145" t="s">
        <v>87</v>
      </c>
      <c r="B4145" t="s">
        <v>4</v>
      </c>
      <c r="C4145" t="s">
        <v>83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0.1113</v>
      </c>
      <c r="K4145" t="s">
        <v>27</v>
      </c>
    </row>
    <row r="4146" spans="1:12" x14ac:dyDescent="0.45">
      <c r="A4146" t="s">
        <v>87</v>
      </c>
      <c r="B4146" t="s">
        <v>4</v>
      </c>
      <c r="C4146" t="s">
        <v>83</v>
      </c>
      <c r="D4146" t="s">
        <v>84</v>
      </c>
      <c r="E4146" t="s">
        <v>25</v>
      </c>
      <c r="F4146" t="s">
        <v>84</v>
      </c>
      <c r="G4146" t="s">
        <v>26</v>
      </c>
      <c r="H4146" t="s">
        <v>81</v>
      </c>
      <c r="I4146">
        <v>2020</v>
      </c>
      <c r="J4146">
        <v>4.7000000000000002E-3</v>
      </c>
      <c r="K4146" t="s">
        <v>84</v>
      </c>
    </row>
    <row r="4147" spans="1:12" x14ac:dyDescent="0.45">
      <c r="A4147" t="s">
        <v>87</v>
      </c>
      <c r="B4147" t="s">
        <v>4</v>
      </c>
      <c r="C4147" t="s">
        <v>83</v>
      </c>
      <c r="D4147" t="s">
        <v>84</v>
      </c>
      <c r="E4147" t="s">
        <v>25</v>
      </c>
      <c r="F4147" t="s">
        <v>84</v>
      </c>
      <c r="G4147" t="s">
        <v>26</v>
      </c>
      <c r="H4147" t="s">
        <v>81</v>
      </c>
      <c r="I4147">
        <v>2025</v>
      </c>
      <c r="J4147">
        <v>0.02</v>
      </c>
      <c r="K4147" t="s">
        <v>84</v>
      </c>
    </row>
    <row r="4148" spans="1:12" x14ac:dyDescent="0.45">
      <c r="A4148" t="s">
        <v>87</v>
      </c>
      <c r="B4148" t="s">
        <v>4</v>
      </c>
      <c r="C4148" t="s">
        <v>83</v>
      </c>
      <c r="D4148" t="s">
        <v>84</v>
      </c>
      <c r="E4148" t="s">
        <v>25</v>
      </c>
      <c r="F4148" t="s">
        <v>84</v>
      </c>
      <c r="G4148" t="s">
        <v>26</v>
      </c>
      <c r="H4148" t="s">
        <v>81</v>
      </c>
      <c r="I4148">
        <v>2030</v>
      </c>
      <c r="J4148">
        <v>4.3400000000000001E-2</v>
      </c>
      <c r="K4148" t="s">
        <v>84</v>
      </c>
    </row>
    <row r="4149" spans="1:12" x14ac:dyDescent="0.45">
      <c r="A4149" t="s">
        <v>87</v>
      </c>
      <c r="B4149" t="s">
        <v>4</v>
      </c>
      <c r="C4149" t="s">
        <v>83</v>
      </c>
      <c r="D4149" t="s">
        <v>84</v>
      </c>
      <c r="E4149" t="s">
        <v>25</v>
      </c>
      <c r="F4149" t="s">
        <v>84</v>
      </c>
      <c r="G4149" t="s">
        <v>26</v>
      </c>
      <c r="H4149" t="s">
        <v>81</v>
      </c>
      <c r="I4149">
        <v>2035</v>
      </c>
      <c r="J4149">
        <v>6.8000000000000005E-2</v>
      </c>
      <c r="K4149" t="s">
        <v>84</v>
      </c>
    </row>
    <row r="4150" spans="1:12" x14ac:dyDescent="0.45">
      <c r="A4150" t="s">
        <v>87</v>
      </c>
      <c r="B4150" t="s">
        <v>4</v>
      </c>
      <c r="C4150" t="s">
        <v>83</v>
      </c>
      <c r="D4150" t="s">
        <v>84</v>
      </c>
      <c r="E4150" t="s">
        <v>25</v>
      </c>
      <c r="F4150" t="s">
        <v>84</v>
      </c>
      <c r="G4150" t="s">
        <v>26</v>
      </c>
      <c r="H4150" t="s">
        <v>81</v>
      </c>
      <c r="I4150">
        <v>2040</v>
      </c>
      <c r="J4150">
        <v>9.3200000000000005E-2</v>
      </c>
      <c r="K4150" t="s">
        <v>84</v>
      </c>
    </row>
    <row r="4151" spans="1:12" x14ac:dyDescent="0.45">
      <c r="A4151" t="s">
        <v>87</v>
      </c>
      <c r="B4151" t="s">
        <v>4</v>
      </c>
      <c r="C4151" t="s">
        <v>83</v>
      </c>
      <c r="D4151" t="s">
        <v>84</v>
      </c>
      <c r="E4151" t="s">
        <v>25</v>
      </c>
      <c r="F4151" t="s">
        <v>84</v>
      </c>
      <c r="G4151" t="s">
        <v>26</v>
      </c>
      <c r="H4151" t="s">
        <v>81</v>
      </c>
      <c r="I4151">
        <v>2045</v>
      </c>
      <c r="J4151">
        <v>0.109</v>
      </c>
      <c r="K4151" t="s">
        <v>84</v>
      </c>
    </row>
    <row r="4152" spans="1:12" x14ac:dyDescent="0.45">
      <c r="A4152" t="s">
        <v>87</v>
      </c>
      <c r="B4152" t="s">
        <v>4</v>
      </c>
      <c r="C4152" t="s">
        <v>83</v>
      </c>
      <c r="D4152" t="s">
        <v>84</v>
      </c>
      <c r="E4152" t="s">
        <v>25</v>
      </c>
      <c r="F4152" t="s">
        <v>84</v>
      </c>
      <c r="G4152" t="s">
        <v>26</v>
      </c>
      <c r="H4152" t="s">
        <v>81</v>
      </c>
      <c r="I4152">
        <v>2050</v>
      </c>
      <c r="J4152">
        <v>0.1159</v>
      </c>
      <c r="K4152" t="s">
        <v>84</v>
      </c>
    </row>
    <row r="4153" spans="1:12" x14ac:dyDescent="0.45">
      <c r="A4153" t="s">
        <v>87</v>
      </c>
      <c r="B4153" t="s">
        <v>4</v>
      </c>
      <c r="C4153" t="s">
        <v>83</v>
      </c>
      <c r="D4153" t="s">
        <v>52</v>
      </c>
      <c r="E4153" t="s">
        <v>25</v>
      </c>
      <c r="F4153" t="s">
        <v>52</v>
      </c>
      <c r="G4153" t="s">
        <v>70</v>
      </c>
      <c r="I4153">
        <v>2020</v>
      </c>
      <c r="J4153">
        <v>0.32019999999999998</v>
      </c>
      <c r="K4153" t="s">
        <v>52</v>
      </c>
      <c r="L4153">
        <v>94</v>
      </c>
    </row>
    <row r="4154" spans="1:12" x14ac:dyDescent="0.45">
      <c r="A4154" t="s">
        <v>87</v>
      </c>
      <c r="B4154" t="s">
        <v>4</v>
      </c>
      <c r="C4154" t="s">
        <v>83</v>
      </c>
      <c r="D4154" t="s">
        <v>52</v>
      </c>
      <c r="E4154" t="s">
        <v>25</v>
      </c>
      <c r="F4154" t="s">
        <v>52</v>
      </c>
      <c r="G4154" t="s">
        <v>70</v>
      </c>
      <c r="I4154">
        <v>2025</v>
      </c>
      <c r="J4154">
        <v>0.31940000000000002</v>
      </c>
      <c r="K4154" t="s">
        <v>52</v>
      </c>
      <c r="L4154">
        <v>94</v>
      </c>
    </row>
    <row r="4155" spans="1:12" x14ac:dyDescent="0.45">
      <c r="A4155" t="s">
        <v>87</v>
      </c>
      <c r="B4155" t="s">
        <v>4</v>
      </c>
      <c r="C4155" t="s">
        <v>83</v>
      </c>
      <c r="D4155" t="s">
        <v>52</v>
      </c>
      <c r="E4155" t="s">
        <v>25</v>
      </c>
      <c r="F4155" t="s">
        <v>52</v>
      </c>
      <c r="G4155" t="s">
        <v>70</v>
      </c>
      <c r="I4155">
        <v>2030</v>
      </c>
      <c r="J4155">
        <v>0.30080000000000001</v>
      </c>
      <c r="K4155" t="s">
        <v>52</v>
      </c>
      <c r="L4155">
        <v>94</v>
      </c>
    </row>
    <row r="4156" spans="1:12" x14ac:dyDescent="0.45">
      <c r="A4156" t="s">
        <v>87</v>
      </c>
      <c r="B4156" t="s">
        <v>4</v>
      </c>
      <c r="C4156" t="s">
        <v>83</v>
      </c>
      <c r="D4156" t="s">
        <v>52</v>
      </c>
      <c r="E4156" t="s">
        <v>25</v>
      </c>
      <c r="F4156" t="s">
        <v>52</v>
      </c>
      <c r="G4156" t="s">
        <v>70</v>
      </c>
      <c r="I4156">
        <v>2035</v>
      </c>
      <c r="J4156">
        <v>0.28270000000000001</v>
      </c>
      <c r="K4156" t="s">
        <v>52</v>
      </c>
      <c r="L4156">
        <v>94</v>
      </c>
    </row>
    <row r="4157" spans="1:12" x14ac:dyDescent="0.45">
      <c r="A4157" t="s">
        <v>87</v>
      </c>
      <c r="B4157" t="s">
        <v>4</v>
      </c>
      <c r="C4157" t="s">
        <v>83</v>
      </c>
      <c r="D4157" t="s">
        <v>52</v>
      </c>
      <c r="E4157" t="s">
        <v>25</v>
      </c>
      <c r="F4157" t="s">
        <v>52</v>
      </c>
      <c r="G4157" t="s">
        <v>70</v>
      </c>
      <c r="I4157">
        <v>2040</v>
      </c>
      <c r="J4157">
        <v>0.25419999999999998</v>
      </c>
      <c r="K4157" t="s">
        <v>52</v>
      </c>
      <c r="L4157">
        <v>94</v>
      </c>
    </row>
    <row r="4158" spans="1:12" x14ac:dyDescent="0.45">
      <c r="A4158" t="s">
        <v>87</v>
      </c>
      <c r="B4158" t="s">
        <v>4</v>
      </c>
      <c r="C4158" t="s">
        <v>83</v>
      </c>
      <c r="D4158" t="s">
        <v>52</v>
      </c>
      <c r="E4158" t="s">
        <v>25</v>
      </c>
      <c r="F4158" t="s">
        <v>52</v>
      </c>
      <c r="G4158" t="s">
        <v>70</v>
      </c>
      <c r="I4158">
        <v>2045</v>
      </c>
      <c r="J4158">
        <v>0.1842</v>
      </c>
      <c r="K4158" t="s">
        <v>52</v>
      </c>
      <c r="L4158">
        <v>94</v>
      </c>
    </row>
    <row r="4159" spans="1:12" x14ac:dyDescent="0.45">
      <c r="A4159" t="s">
        <v>87</v>
      </c>
      <c r="B4159" t="s">
        <v>4</v>
      </c>
      <c r="C4159" t="s">
        <v>83</v>
      </c>
      <c r="D4159" t="s">
        <v>52</v>
      </c>
      <c r="E4159" t="s">
        <v>25</v>
      </c>
      <c r="F4159" t="s">
        <v>52</v>
      </c>
      <c r="G4159" t="s">
        <v>70</v>
      </c>
      <c r="I4159">
        <v>2050</v>
      </c>
      <c r="J4159">
        <v>0.11409999999999999</v>
      </c>
      <c r="K4159" t="s">
        <v>52</v>
      </c>
      <c r="L4159">
        <v>94</v>
      </c>
    </row>
    <row r="4160" spans="1:12" x14ac:dyDescent="0.45">
      <c r="A4160" t="s">
        <v>87</v>
      </c>
      <c r="B4160" t="s">
        <v>4</v>
      </c>
      <c r="C4160" t="s">
        <v>83</v>
      </c>
      <c r="D4160" t="s">
        <v>53</v>
      </c>
      <c r="E4160" t="s">
        <v>25</v>
      </c>
      <c r="F4160" t="s">
        <v>53</v>
      </c>
      <c r="G4160" t="s">
        <v>70</v>
      </c>
      <c r="I4160">
        <v>2020</v>
      </c>
      <c r="J4160">
        <v>0.10639999999999999</v>
      </c>
      <c r="K4160" t="s">
        <v>53</v>
      </c>
      <c r="L4160">
        <v>55</v>
      </c>
    </row>
    <row r="4161" spans="1:12" x14ac:dyDescent="0.45">
      <c r="A4161" t="s">
        <v>87</v>
      </c>
      <c r="B4161" t="s">
        <v>4</v>
      </c>
      <c r="C4161" t="s">
        <v>83</v>
      </c>
      <c r="D4161" t="s">
        <v>53</v>
      </c>
      <c r="E4161" t="s">
        <v>25</v>
      </c>
      <c r="F4161" t="s">
        <v>53</v>
      </c>
      <c r="G4161" t="s">
        <v>70</v>
      </c>
      <c r="I4161">
        <v>2025</v>
      </c>
      <c r="J4161">
        <v>0.13869999999999999</v>
      </c>
      <c r="K4161" t="s">
        <v>53</v>
      </c>
      <c r="L4161">
        <v>55</v>
      </c>
    </row>
    <row r="4162" spans="1:12" x14ac:dyDescent="0.45">
      <c r="A4162" t="s">
        <v>87</v>
      </c>
      <c r="B4162" t="s">
        <v>4</v>
      </c>
      <c r="C4162" t="s">
        <v>83</v>
      </c>
      <c r="D4162" t="s">
        <v>53</v>
      </c>
      <c r="E4162" t="s">
        <v>25</v>
      </c>
      <c r="F4162" t="s">
        <v>53</v>
      </c>
      <c r="G4162" t="s">
        <v>70</v>
      </c>
      <c r="I4162">
        <v>2030</v>
      </c>
      <c r="J4162">
        <v>0.19869999999999999</v>
      </c>
      <c r="K4162" t="s">
        <v>53</v>
      </c>
      <c r="L4162">
        <v>55</v>
      </c>
    </row>
    <row r="4163" spans="1:12" x14ac:dyDescent="0.45">
      <c r="A4163" t="s">
        <v>87</v>
      </c>
      <c r="B4163" t="s">
        <v>4</v>
      </c>
      <c r="C4163" t="s">
        <v>83</v>
      </c>
      <c r="D4163" t="s">
        <v>53</v>
      </c>
      <c r="E4163" t="s">
        <v>25</v>
      </c>
      <c r="F4163" t="s">
        <v>53</v>
      </c>
      <c r="G4163" t="s">
        <v>70</v>
      </c>
      <c r="I4163">
        <v>2035</v>
      </c>
      <c r="J4163">
        <v>0.28060000000000002</v>
      </c>
      <c r="K4163" t="s">
        <v>53</v>
      </c>
      <c r="L4163">
        <v>55</v>
      </c>
    </row>
    <row r="4164" spans="1:12" x14ac:dyDescent="0.45">
      <c r="A4164" t="s">
        <v>87</v>
      </c>
      <c r="B4164" t="s">
        <v>4</v>
      </c>
      <c r="C4164" t="s">
        <v>83</v>
      </c>
      <c r="D4164" t="s">
        <v>53</v>
      </c>
      <c r="E4164" t="s">
        <v>25</v>
      </c>
      <c r="F4164" t="s">
        <v>53</v>
      </c>
      <c r="G4164" t="s">
        <v>70</v>
      </c>
      <c r="I4164">
        <v>2040</v>
      </c>
      <c r="J4164">
        <v>0.37230000000000002</v>
      </c>
      <c r="K4164" t="s">
        <v>53</v>
      </c>
      <c r="L4164">
        <v>55</v>
      </c>
    </row>
    <row r="4165" spans="1:12" x14ac:dyDescent="0.45">
      <c r="A4165" t="s">
        <v>87</v>
      </c>
      <c r="B4165" t="s">
        <v>4</v>
      </c>
      <c r="C4165" t="s">
        <v>83</v>
      </c>
      <c r="D4165" t="s">
        <v>53</v>
      </c>
      <c r="E4165" t="s">
        <v>25</v>
      </c>
      <c r="F4165" t="s">
        <v>53</v>
      </c>
      <c r="G4165" t="s">
        <v>70</v>
      </c>
      <c r="I4165">
        <v>2045</v>
      </c>
      <c r="J4165">
        <v>0.40379999999999999</v>
      </c>
      <c r="K4165" t="s">
        <v>53</v>
      </c>
      <c r="L4165">
        <v>55</v>
      </c>
    </row>
    <row r="4166" spans="1:12" x14ac:dyDescent="0.45">
      <c r="A4166" t="s">
        <v>87</v>
      </c>
      <c r="B4166" t="s">
        <v>4</v>
      </c>
      <c r="C4166" t="s">
        <v>83</v>
      </c>
      <c r="D4166" t="s">
        <v>53</v>
      </c>
      <c r="E4166" t="s">
        <v>25</v>
      </c>
      <c r="F4166" t="s">
        <v>53</v>
      </c>
      <c r="G4166" t="s">
        <v>70</v>
      </c>
      <c r="I4166">
        <v>2050</v>
      </c>
      <c r="J4166">
        <v>0.36009999999999998</v>
      </c>
      <c r="K4166" t="s">
        <v>53</v>
      </c>
      <c r="L4166">
        <v>55</v>
      </c>
    </row>
    <row r="4167" spans="1:12" x14ac:dyDescent="0.45">
      <c r="A4167" t="s">
        <v>87</v>
      </c>
      <c r="B4167" t="s">
        <v>4</v>
      </c>
      <c r="C4167" t="s">
        <v>83</v>
      </c>
      <c r="D4167" t="s">
        <v>54</v>
      </c>
      <c r="E4167" t="s">
        <v>25</v>
      </c>
      <c r="F4167" t="s">
        <v>54</v>
      </c>
      <c r="G4167" t="s">
        <v>70</v>
      </c>
      <c r="I4167">
        <v>2020</v>
      </c>
      <c r="J4167">
        <v>0</v>
      </c>
      <c r="K4167" t="s">
        <v>54</v>
      </c>
      <c r="L4167">
        <v>70</v>
      </c>
    </row>
    <row r="4168" spans="1:12" x14ac:dyDescent="0.45">
      <c r="A4168" t="s">
        <v>87</v>
      </c>
      <c r="B4168" t="s">
        <v>4</v>
      </c>
      <c r="C4168" t="s">
        <v>83</v>
      </c>
      <c r="D4168" t="s">
        <v>54</v>
      </c>
      <c r="E4168" t="s">
        <v>25</v>
      </c>
      <c r="F4168" t="s">
        <v>54</v>
      </c>
      <c r="G4168" t="s">
        <v>70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87</v>
      </c>
      <c r="B4169" t="s">
        <v>4</v>
      </c>
      <c r="C4169" t="s">
        <v>83</v>
      </c>
      <c r="D4169" t="s">
        <v>54</v>
      </c>
      <c r="E4169" t="s">
        <v>25</v>
      </c>
      <c r="F4169" t="s">
        <v>54</v>
      </c>
      <c r="G4169" t="s">
        <v>70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87</v>
      </c>
      <c r="B4170" t="s">
        <v>4</v>
      </c>
      <c r="C4170" t="s">
        <v>83</v>
      </c>
      <c r="D4170" t="s">
        <v>54</v>
      </c>
      <c r="E4170" t="s">
        <v>25</v>
      </c>
      <c r="F4170" t="s">
        <v>54</v>
      </c>
      <c r="G4170" t="s">
        <v>70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87</v>
      </c>
      <c r="B4171" t="s">
        <v>4</v>
      </c>
      <c r="C4171" t="s">
        <v>83</v>
      </c>
      <c r="D4171" t="s">
        <v>54</v>
      </c>
      <c r="E4171" t="s">
        <v>25</v>
      </c>
      <c r="F4171" t="s">
        <v>54</v>
      </c>
      <c r="G4171" t="s">
        <v>70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87</v>
      </c>
      <c r="B4172" t="s">
        <v>4</v>
      </c>
      <c r="C4172" t="s">
        <v>83</v>
      </c>
      <c r="D4172" t="s">
        <v>54</v>
      </c>
      <c r="E4172" t="s">
        <v>25</v>
      </c>
      <c r="F4172" t="s">
        <v>54</v>
      </c>
      <c r="G4172" t="s">
        <v>70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87</v>
      </c>
      <c r="B4173" t="s">
        <v>4</v>
      </c>
      <c r="C4173" t="s">
        <v>83</v>
      </c>
      <c r="D4173" t="s">
        <v>54</v>
      </c>
      <c r="E4173" t="s">
        <v>25</v>
      </c>
      <c r="F4173" t="s">
        <v>54</v>
      </c>
      <c r="G4173" t="s">
        <v>70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87</v>
      </c>
      <c r="B4174" t="s">
        <v>4</v>
      </c>
      <c r="C4174" t="s">
        <v>83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87</v>
      </c>
      <c r="B4175" t="s">
        <v>4</v>
      </c>
      <c r="C4175" t="s">
        <v>83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87</v>
      </c>
      <c r="B4176" t="s">
        <v>4</v>
      </c>
      <c r="C4176" t="s">
        <v>83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87</v>
      </c>
      <c r="B4177" t="s">
        <v>4</v>
      </c>
      <c r="C4177" t="s">
        <v>83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87</v>
      </c>
      <c r="B4178" t="s">
        <v>4</v>
      </c>
      <c r="C4178" t="s">
        <v>83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87</v>
      </c>
      <c r="B4179" t="s">
        <v>4</v>
      </c>
      <c r="C4179" t="s">
        <v>83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87</v>
      </c>
      <c r="B4180" t="s">
        <v>4</v>
      </c>
      <c r="C4180" t="s">
        <v>83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87</v>
      </c>
      <c r="B4181" t="s">
        <v>4</v>
      </c>
      <c r="C4181" t="s">
        <v>83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87</v>
      </c>
      <c r="B4182" t="s">
        <v>4</v>
      </c>
      <c r="C4182" t="s">
        <v>83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87</v>
      </c>
      <c r="B4183" t="s">
        <v>4</v>
      </c>
      <c r="C4183" t="s">
        <v>83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87</v>
      </c>
      <c r="B4184" t="s">
        <v>4</v>
      </c>
      <c r="C4184" t="s">
        <v>83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87</v>
      </c>
      <c r="B4185" t="s">
        <v>4</v>
      </c>
      <c r="C4185" t="s">
        <v>83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87</v>
      </c>
      <c r="B4186" t="s">
        <v>4</v>
      </c>
      <c r="C4186" t="s">
        <v>83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87</v>
      </c>
      <c r="B4187" t="s">
        <v>4</v>
      </c>
      <c r="C4187" t="s">
        <v>83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87</v>
      </c>
      <c r="B4188" t="s">
        <v>4</v>
      </c>
      <c r="C4188" t="s">
        <v>83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87</v>
      </c>
      <c r="B4189" t="s">
        <v>4</v>
      </c>
      <c r="C4189" t="s">
        <v>83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87</v>
      </c>
      <c r="B4190" t="s">
        <v>4</v>
      </c>
      <c r="C4190" t="s">
        <v>83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87</v>
      </c>
      <c r="B4191" t="s">
        <v>4</v>
      </c>
      <c r="C4191" t="s">
        <v>83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87</v>
      </c>
      <c r="B4192" t="s">
        <v>4</v>
      </c>
      <c r="C4192" t="s">
        <v>83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87</v>
      </c>
      <c r="B4193" t="s">
        <v>4</v>
      </c>
      <c r="C4193" t="s">
        <v>83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87</v>
      </c>
      <c r="B4194" t="s">
        <v>4</v>
      </c>
      <c r="C4194" t="s">
        <v>83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87</v>
      </c>
      <c r="B4195" t="s">
        <v>4</v>
      </c>
      <c r="C4195" t="s">
        <v>83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56.074300000000001</v>
      </c>
      <c r="K4195" t="s">
        <v>37</v>
      </c>
    </row>
    <row r="4196" spans="1:11" x14ac:dyDescent="0.45">
      <c r="A4196" t="s">
        <v>87</v>
      </c>
      <c r="B4196" t="s">
        <v>4</v>
      </c>
      <c r="C4196" t="s">
        <v>83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66.806200000000004</v>
      </c>
      <c r="K4196" t="s">
        <v>37</v>
      </c>
    </row>
    <row r="4197" spans="1:11" x14ac:dyDescent="0.45">
      <c r="A4197" t="s">
        <v>87</v>
      </c>
      <c r="B4197" t="s">
        <v>4</v>
      </c>
      <c r="C4197" t="s">
        <v>83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75.367199999999997</v>
      </c>
      <c r="K4197" t="s">
        <v>37</v>
      </c>
    </row>
    <row r="4198" spans="1:11" x14ac:dyDescent="0.45">
      <c r="A4198" t="s">
        <v>87</v>
      </c>
      <c r="B4198" t="s">
        <v>4</v>
      </c>
      <c r="C4198" t="s">
        <v>83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85.284700000000001</v>
      </c>
      <c r="K4198" t="s">
        <v>37</v>
      </c>
    </row>
    <row r="4199" spans="1:11" x14ac:dyDescent="0.45">
      <c r="A4199" t="s">
        <v>87</v>
      </c>
      <c r="B4199" t="s">
        <v>4</v>
      </c>
      <c r="C4199" t="s">
        <v>83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95.407700000000006</v>
      </c>
      <c r="K4199" t="s">
        <v>37</v>
      </c>
    </row>
    <row r="4200" spans="1:11" x14ac:dyDescent="0.45">
      <c r="A4200" t="s">
        <v>87</v>
      </c>
      <c r="B4200" t="s">
        <v>4</v>
      </c>
      <c r="C4200" t="s">
        <v>83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99.638800000000003</v>
      </c>
      <c r="K4200" t="s">
        <v>37</v>
      </c>
    </row>
    <row r="4201" spans="1:11" x14ac:dyDescent="0.45">
      <c r="A4201" t="s">
        <v>87</v>
      </c>
      <c r="B4201" t="s">
        <v>4</v>
      </c>
      <c r="C4201" t="s">
        <v>83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107.45480000000001</v>
      </c>
      <c r="K4201" t="s">
        <v>37</v>
      </c>
    </row>
    <row r="4202" spans="1:11" x14ac:dyDescent="0.45">
      <c r="A4202" t="s">
        <v>87</v>
      </c>
      <c r="B4202" t="s">
        <v>4</v>
      </c>
      <c r="C4202" t="s">
        <v>83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373.20850000000002</v>
      </c>
      <c r="K4202" t="s">
        <v>48</v>
      </c>
    </row>
    <row r="4203" spans="1:11" x14ac:dyDescent="0.45">
      <c r="A4203" t="s">
        <v>87</v>
      </c>
      <c r="B4203" t="s">
        <v>4</v>
      </c>
      <c r="C4203" t="s">
        <v>83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393.64240000000001</v>
      </c>
      <c r="K4203" t="s">
        <v>48</v>
      </c>
    </row>
    <row r="4204" spans="1:11" x14ac:dyDescent="0.45">
      <c r="A4204" t="s">
        <v>87</v>
      </c>
      <c r="B4204" t="s">
        <v>4</v>
      </c>
      <c r="C4204" t="s">
        <v>83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397.11070000000001</v>
      </c>
      <c r="K4204" t="s">
        <v>48</v>
      </c>
    </row>
    <row r="4205" spans="1:11" x14ac:dyDescent="0.45">
      <c r="A4205" t="s">
        <v>87</v>
      </c>
      <c r="B4205" t="s">
        <v>4</v>
      </c>
      <c r="C4205" t="s">
        <v>83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399.0564</v>
      </c>
      <c r="K4205" t="s">
        <v>48</v>
      </c>
    </row>
    <row r="4206" spans="1:11" x14ac:dyDescent="0.45">
      <c r="A4206" t="s">
        <v>87</v>
      </c>
      <c r="B4206" t="s">
        <v>4</v>
      </c>
      <c r="C4206" t="s">
        <v>83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395.42720000000003</v>
      </c>
      <c r="K4206" t="s">
        <v>48</v>
      </c>
    </row>
    <row r="4207" spans="1:11" x14ac:dyDescent="0.45">
      <c r="A4207" t="s">
        <v>87</v>
      </c>
      <c r="B4207" t="s">
        <v>4</v>
      </c>
      <c r="C4207" t="s">
        <v>83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376.51130000000001</v>
      </c>
      <c r="K4207" t="s">
        <v>48</v>
      </c>
    </row>
    <row r="4208" spans="1:11" x14ac:dyDescent="0.45">
      <c r="A4208" t="s">
        <v>87</v>
      </c>
      <c r="B4208" t="s">
        <v>4</v>
      </c>
      <c r="C4208" t="s">
        <v>83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363.89620000000002</v>
      </c>
      <c r="K4208" t="s">
        <v>48</v>
      </c>
    </row>
    <row r="4209" spans="1:11" x14ac:dyDescent="0.45">
      <c r="A4209" t="s">
        <v>87</v>
      </c>
      <c r="B4209" t="s">
        <v>4</v>
      </c>
      <c r="C4209" t="s">
        <v>83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331.36309999999997</v>
      </c>
      <c r="K4209" t="s">
        <v>51</v>
      </c>
    </row>
    <row r="4210" spans="1:11" x14ac:dyDescent="0.45">
      <c r="A4210" t="s">
        <v>87</v>
      </c>
      <c r="B4210" t="s">
        <v>4</v>
      </c>
      <c r="C4210" t="s">
        <v>83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333.89229999999998</v>
      </c>
      <c r="K4210" t="s">
        <v>51</v>
      </c>
    </row>
    <row r="4211" spans="1:11" x14ac:dyDescent="0.45">
      <c r="A4211" t="s">
        <v>87</v>
      </c>
      <c r="B4211" t="s">
        <v>4</v>
      </c>
      <c r="C4211" t="s">
        <v>83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330.0942</v>
      </c>
      <c r="K4211" t="s">
        <v>51</v>
      </c>
    </row>
    <row r="4212" spans="1:11" x14ac:dyDescent="0.45">
      <c r="A4212" t="s">
        <v>87</v>
      </c>
      <c r="B4212" t="s">
        <v>4</v>
      </c>
      <c r="C4212" t="s">
        <v>83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328.76920000000001</v>
      </c>
      <c r="K4212" t="s">
        <v>51</v>
      </c>
    </row>
    <row r="4213" spans="1:11" x14ac:dyDescent="0.45">
      <c r="A4213" t="s">
        <v>87</v>
      </c>
      <c r="B4213" t="s">
        <v>4</v>
      </c>
      <c r="C4213" t="s">
        <v>83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324.70260000000002</v>
      </c>
      <c r="K4213" t="s">
        <v>51</v>
      </c>
    </row>
    <row r="4214" spans="1:11" x14ac:dyDescent="0.45">
      <c r="A4214" t="s">
        <v>87</v>
      </c>
      <c r="B4214" t="s">
        <v>4</v>
      </c>
      <c r="C4214" t="s">
        <v>83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303.74169999999998</v>
      </c>
      <c r="K4214" t="s">
        <v>51</v>
      </c>
    </row>
    <row r="4215" spans="1:11" x14ac:dyDescent="0.45">
      <c r="A4215" t="s">
        <v>87</v>
      </c>
      <c r="B4215" t="s">
        <v>4</v>
      </c>
      <c r="C4215" t="s">
        <v>83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291.3655</v>
      </c>
      <c r="K4215" t="s">
        <v>51</v>
      </c>
    </row>
    <row r="4216" spans="1:11" x14ac:dyDescent="0.45">
      <c r="A4216" t="s">
        <v>87</v>
      </c>
      <c r="B4216" t="s">
        <v>0</v>
      </c>
      <c r="C4216" t="s">
        <v>83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87</v>
      </c>
      <c r="B4217" t="s">
        <v>0</v>
      </c>
      <c r="C4217" t="s">
        <v>83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87</v>
      </c>
      <c r="B4218" t="s">
        <v>0</v>
      </c>
      <c r="C4218" t="s">
        <v>83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87</v>
      </c>
      <c r="B4219" t="s">
        <v>0</v>
      </c>
      <c r="C4219" t="s">
        <v>83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8.5000000000000006E-3</v>
      </c>
      <c r="K4219" t="s">
        <v>45</v>
      </c>
    </row>
    <row r="4220" spans="1:11" x14ac:dyDescent="0.45">
      <c r="A4220" t="s">
        <v>87</v>
      </c>
      <c r="B4220" t="s">
        <v>0</v>
      </c>
      <c r="C4220" t="s">
        <v>83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7.3472999999999997</v>
      </c>
      <c r="K4220" t="s">
        <v>45</v>
      </c>
    </row>
    <row r="4221" spans="1:11" x14ac:dyDescent="0.45">
      <c r="A4221" t="s">
        <v>87</v>
      </c>
      <c r="B4221" t="s">
        <v>0</v>
      </c>
      <c r="C4221" t="s">
        <v>83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16.584599999999998</v>
      </c>
      <c r="K4221" t="s">
        <v>45</v>
      </c>
    </row>
    <row r="4222" spans="1:11" x14ac:dyDescent="0.45">
      <c r="A4222" t="s">
        <v>87</v>
      </c>
      <c r="B4222" t="s">
        <v>0</v>
      </c>
      <c r="C4222" t="s">
        <v>83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16.0336</v>
      </c>
      <c r="K4222" t="s">
        <v>45</v>
      </c>
    </row>
    <row r="4223" spans="1:11" x14ac:dyDescent="0.45">
      <c r="A4223" t="s">
        <v>87</v>
      </c>
      <c r="B4223" t="s">
        <v>0</v>
      </c>
      <c r="C4223" t="s">
        <v>83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0.14199999999999999</v>
      </c>
      <c r="K4223" t="s">
        <v>24</v>
      </c>
    </row>
    <row r="4224" spans="1:11" x14ac:dyDescent="0.45">
      <c r="A4224" t="s">
        <v>87</v>
      </c>
      <c r="B4224" t="s">
        <v>0</v>
      </c>
      <c r="C4224" t="s">
        <v>83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0.1671</v>
      </c>
      <c r="K4224" t="s">
        <v>24</v>
      </c>
    </row>
    <row r="4225" spans="1:11" x14ac:dyDescent="0.45">
      <c r="A4225" t="s">
        <v>87</v>
      </c>
      <c r="B4225" t="s">
        <v>0</v>
      </c>
      <c r="C4225" t="s">
        <v>83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0.20580000000000001</v>
      </c>
      <c r="K4225" t="s">
        <v>24</v>
      </c>
    </row>
    <row r="4226" spans="1:11" x14ac:dyDescent="0.45">
      <c r="A4226" t="s">
        <v>87</v>
      </c>
      <c r="B4226" t="s">
        <v>0</v>
      </c>
      <c r="C4226" t="s">
        <v>83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0.2515</v>
      </c>
      <c r="K4226" t="s">
        <v>24</v>
      </c>
    </row>
    <row r="4227" spans="1:11" x14ac:dyDescent="0.45">
      <c r="A4227" t="s">
        <v>87</v>
      </c>
      <c r="B4227" t="s">
        <v>0</v>
      </c>
      <c r="C4227" t="s">
        <v>83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0.4027</v>
      </c>
      <c r="K4227" t="s">
        <v>24</v>
      </c>
    </row>
    <row r="4228" spans="1:11" x14ac:dyDescent="0.45">
      <c r="A4228" t="s">
        <v>87</v>
      </c>
      <c r="B4228" t="s">
        <v>0</v>
      </c>
      <c r="C4228" t="s">
        <v>83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0.46110000000000001</v>
      </c>
      <c r="K4228" t="s">
        <v>24</v>
      </c>
    </row>
    <row r="4229" spans="1:11" x14ac:dyDescent="0.45">
      <c r="A4229" t="s">
        <v>87</v>
      </c>
      <c r="B4229" t="s">
        <v>0</v>
      </c>
      <c r="C4229" t="s">
        <v>83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0.48680000000000001</v>
      </c>
      <c r="K4229" t="s">
        <v>24</v>
      </c>
    </row>
    <row r="4230" spans="1:11" x14ac:dyDescent="0.45">
      <c r="A4230" t="s">
        <v>87</v>
      </c>
      <c r="B4230" t="s">
        <v>0</v>
      </c>
      <c r="C4230" t="s">
        <v>83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9.1399999999999995E-2</v>
      </c>
      <c r="K4230" t="s">
        <v>28</v>
      </c>
    </row>
    <row r="4231" spans="1:11" x14ac:dyDescent="0.45">
      <c r="A4231" t="s">
        <v>87</v>
      </c>
      <c r="B4231" t="s">
        <v>0</v>
      </c>
      <c r="C4231" t="s">
        <v>83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0.115</v>
      </c>
      <c r="K4231" t="s">
        <v>28</v>
      </c>
    </row>
    <row r="4232" spans="1:11" x14ac:dyDescent="0.45">
      <c r="A4232" t="s">
        <v>87</v>
      </c>
      <c r="B4232" t="s">
        <v>0</v>
      </c>
      <c r="C4232" t="s">
        <v>83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0.14330000000000001</v>
      </c>
      <c r="K4232" t="s">
        <v>28</v>
      </c>
    </row>
    <row r="4233" spans="1:11" x14ac:dyDescent="0.45">
      <c r="A4233" t="s">
        <v>87</v>
      </c>
      <c r="B4233" t="s">
        <v>0</v>
      </c>
      <c r="C4233" t="s">
        <v>83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0.17530000000000001</v>
      </c>
      <c r="K4233" t="s">
        <v>28</v>
      </c>
    </row>
    <row r="4234" spans="1:11" x14ac:dyDescent="0.45">
      <c r="A4234" t="s">
        <v>87</v>
      </c>
      <c r="B4234" t="s">
        <v>0</v>
      </c>
      <c r="C4234" t="s">
        <v>83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0.221</v>
      </c>
      <c r="K4234" t="s">
        <v>28</v>
      </c>
    </row>
    <row r="4235" spans="1:11" x14ac:dyDescent="0.45">
      <c r="A4235" t="s">
        <v>87</v>
      </c>
      <c r="B4235" t="s">
        <v>0</v>
      </c>
      <c r="C4235" t="s">
        <v>83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0.24279999999999999</v>
      </c>
      <c r="K4235" t="s">
        <v>28</v>
      </c>
    </row>
    <row r="4236" spans="1:11" x14ac:dyDescent="0.45">
      <c r="A4236" t="s">
        <v>87</v>
      </c>
      <c r="B4236" t="s">
        <v>0</v>
      </c>
      <c r="C4236" t="s">
        <v>83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0.27860000000000001</v>
      </c>
      <c r="K4236" t="s">
        <v>28</v>
      </c>
    </row>
    <row r="4237" spans="1:11" x14ac:dyDescent="0.45">
      <c r="A4237" t="s">
        <v>87</v>
      </c>
      <c r="B4237" t="s">
        <v>0</v>
      </c>
      <c r="C4237" t="s">
        <v>83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1.06E-2</v>
      </c>
      <c r="K4237" t="s">
        <v>27</v>
      </c>
    </row>
    <row r="4238" spans="1:11" x14ac:dyDescent="0.45">
      <c r="A4238" t="s">
        <v>87</v>
      </c>
      <c r="B4238" t="s">
        <v>0</v>
      </c>
      <c r="C4238" t="s">
        <v>83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1.7399999999999999E-2</v>
      </c>
      <c r="K4238" t="s">
        <v>27</v>
      </c>
    </row>
    <row r="4239" spans="1:11" x14ac:dyDescent="0.45">
      <c r="A4239" t="s">
        <v>87</v>
      </c>
      <c r="B4239" t="s">
        <v>0</v>
      </c>
      <c r="C4239" t="s">
        <v>83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3.27E-2</v>
      </c>
      <c r="K4239" t="s">
        <v>27</v>
      </c>
    </row>
    <row r="4240" spans="1:11" x14ac:dyDescent="0.45">
      <c r="A4240" t="s">
        <v>87</v>
      </c>
      <c r="B4240" t="s">
        <v>0</v>
      </c>
      <c r="C4240" t="s">
        <v>83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5.74E-2</v>
      </c>
      <c r="K4240" t="s">
        <v>27</v>
      </c>
    </row>
    <row r="4241" spans="1:12" x14ac:dyDescent="0.45">
      <c r="A4241" t="s">
        <v>87</v>
      </c>
      <c r="B4241" t="s">
        <v>0</v>
      </c>
      <c r="C4241" t="s">
        <v>83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0.12759999999999999</v>
      </c>
      <c r="K4241" t="s">
        <v>27</v>
      </c>
    </row>
    <row r="4242" spans="1:12" x14ac:dyDescent="0.45">
      <c r="A4242" t="s">
        <v>87</v>
      </c>
      <c r="B4242" t="s">
        <v>0</v>
      </c>
      <c r="C4242" t="s">
        <v>83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0.1221</v>
      </c>
      <c r="K4242" t="s">
        <v>27</v>
      </c>
    </row>
    <row r="4243" spans="1:12" x14ac:dyDescent="0.45">
      <c r="A4243" t="s">
        <v>87</v>
      </c>
      <c r="B4243" t="s">
        <v>0</v>
      </c>
      <c r="C4243" t="s">
        <v>83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0.1278</v>
      </c>
      <c r="K4243" t="s">
        <v>27</v>
      </c>
    </row>
    <row r="4244" spans="1:12" x14ac:dyDescent="0.45">
      <c r="A4244" t="s">
        <v>87</v>
      </c>
      <c r="B4244" t="s">
        <v>0</v>
      </c>
      <c r="C4244" t="s">
        <v>83</v>
      </c>
      <c r="D4244" t="s">
        <v>84</v>
      </c>
      <c r="E4244" t="s">
        <v>25</v>
      </c>
      <c r="F4244" t="s">
        <v>84</v>
      </c>
      <c r="G4244" t="s">
        <v>26</v>
      </c>
      <c r="H4244" t="s">
        <v>81</v>
      </c>
      <c r="I4244">
        <v>2020</v>
      </c>
      <c r="J4244">
        <v>4.7000000000000002E-3</v>
      </c>
      <c r="K4244" t="s">
        <v>84</v>
      </c>
    </row>
    <row r="4245" spans="1:12" x14ac:dyDescent="0.45">
      <c r="A4245" t="s">
        <v>87</v>
      </c>
      <c r="B4245" t="s">
        <v>0</v>
      </c>
      <c r="C4245" t="s">
        <v>83</v>
      </c>
      <c r="D4245" t="s">
        <v>84</v>
      </c>
      <c r="E4245" t="s">
        <v>25</v>
      </c>
      <c r="F4245" t="s">
        <v>84</v>
      </c>
      <c r="G4245" t="s">
        <v>26</v>
      </c>
      <c r="H4245" t="s">
        <v>81</v>
      </c>
      <c r="I4245">
        <v>2025</v>
      </c>
      <c r="J4245">
        <v>0.02</v>
      </c>
      <c r="K4245" t="s">
        <v>84</v>
      </c>
    </row>
    <row r="4246" spans="1:12" x14ac:dyDescent="0.45">
      <c r="A4246" t="s">
        <v>87</v>
      </c>
      <c r="B4246" t="s">
        <v>0</v>
      </c>
      <c r="C4246" t="s">
        <v>83</v>
      </c>
      <c r="D4246" t="s">
        <v>84</v>
      </c>
      <c r="E4246" t="s">
        <v>25</v>
      </c>
      <c r="F4246" t="s">
        <v>84</v>
      </c>
      <c r="G4246" t="s">
        <v>26</v>
      </c>
      <c r="H4246" t="s">
        <v>81</v>
      </c>
      <c r="I4246">
        <v>2030</v>
      </c>
      <c r="J4246">
        <v>4.3499999999999997E-2</v>
      </c>
      <c r="K4246" t="s">
        <v>84</v>
      </c>
    </row>
    <row r="4247" spans="1:12" x14ac:dyDescent="0.45">
      <c r="A4247" t="s">
        <v>87</v>
      </c>
      <c r="B4247" t="s">
        <v>0</v>
      </c>
      <c r="C4247" t="s">
        <v>83</v>
      </c>
      <c r="D4247" t="s">
        <v>84</v>
      </c>
      <c r="E4247" t="s">
        <v>25</v>
      </c>
      <c r="F4247" t="s">
        <v>84</v>
      </c>
      <c r="G4247" t="s">
        <v>26</v>
      </c>
      <c r="H4247" t="s">
        <v>81</v>
      </c>
      <c r="I4247">
        <v>2035</v>
      </c>
      <c r="J4247">
        <v>6.7299999999999999E-2</v>
      </c>
      <c r="K4247" t="s">
        <v>84</v>
      </c>
    </row>
    <row r="4248" spans="1:12" x14ac:dyDescent="0.45">
      <c r="A4248" t="s">
        <v>87</v>
      </c>
      <c r="B4248" t="s">
        <v>0</v>
      </c>
      <c r="C4248" t="s">
        <v>83</v>
      </c>
      <c r="D4248" t="s">
        <v>84</v>
      </c>
      <c r="E4248" t="s">
        <v>25</v>
      </c>
      <c r="F4248" t="s">
        <v>84</v>
      </c>
      <c r="G4248" t="s">
        <v>26</v>
      </c>
      <c r="H4248" t="s">
        <v>81</v>
      </c>
      <c r="I4248">
        <v>2040</v>
      </c>
      <c r="J4248">
        <v>7.1099999999999997E-2</v>
      </c>
      <c r="K4248" t="s">
        <v>84</v>
      </c>
    </row>
    <row r="4249" spans="1:12" x14ac:dyDescent="0.45">
      <c r="A4249" t="s">
        <v>87</v>
      </c>
      <c r="B4249" t="s">
        <v>0</v>
      </c>
      <c r="C4249" t="s">
        <v>83</v>
      </c>
      <c r="D4249" t="s">
        <v>84</v>
      </c>
      <c r="E4249" t="s">
        <v>25</v>
      </c>
      <c r="F4249" t="s">
        <v>84</v>
      </c>
      <c r="G4249" t="s">
        <v>26</v>
      </c>
      <c r="H4249" t="s">
        <v>81</v>
      </c>
      <c r="I4249">
        <v>2045</v>
      </c>
      <c r="J4249">
        <v>4.4400000000000002E-2</v>
      </c>
      <c r="K4249" t="s">
        <v>84</v>
      </c>
    </row>
    <row r="4250" spans="1:12" x14ac:dyDescent="0.45">
      <c r="A4250" t="s">
        <v>87</v>
      </c>
      <c r="B4250" t="s">
        <v>0</v>
      </c>
      <c r="C4250" t="s">
        <v>83</v>
      </c>
      <c r="D4250" t="s">
        <v>84</v>
      </c>
      <c r="E4250" t="s">
        <v>25</v>
      </c>
      <c r="F4250" t="s">
        <v>84</v>
      </c>
      <c r="G4250" t="s">
        <v>26</v>
      </c>
      <c r="H4250" t="s">
        <v>81</v>
      </c>
      <c r="I4250">
        <v>2050</v>
      </c>
      <c r="J4250">
        <v>4.7699999999999999E-2</v>
      </c>
      <c r="K4250" t="s">
        <v>84</v>
      </c>
    </row>
    <row r="4251" spans="1:12" x14ac:dyDescent="0.45">
      <c r="A4251" t="s">
        <v>87</v>
      </c>
      <c r="B4251" t="s">
        <v>0</v>
      </c>
      <c r="C4251" t="s">
        <v>83</v>
      </c>
      <c r="D4251" t="s">
        <v>52</v>
      </c>
      <c r="E4251" t="s">
        <v>25</v>
      </c>
      <c r="F4251" t="s">
        <v>52</v>
      </c>
      <c r="G4251" t="s">
        <v>70</v>
      </c>
      <c r="I4251">
        <v>2020</v>
      </c>
      <c r="J4251">
        <v>0.32119999999999999</v>
      </c>
      <c r="K4251" t="s">
        <v>52</v>
      </c>
      <c r="L4251">
        <v>94</v>
      </c>
    </row>
    <row r="4252" spans="1:12" x14ac:dyDescent="0.45">
      <c r="A4252" t="s">
        <v>87</v>
      </c>
      <c r="B4252" t="s">
        <v>0</v>
      </c>
      <c r="C4252" t="s">
        <v>83</v>
      </c>
      <c r="D4252" t="s">
        <v>52</v>
      </c>
      <c r="E4252" t="s">
        <v>25</v>
      </c>
      <c r="F4252" t="s">
        <v>52</v>
      </c>
      <c r="G4252" t="s">
        <v>70</v>
      </c>
      <c r="I4252">
        <v>2025</v>
      </c>
      <c r="J4252">
        <v>0.32140000000000002</v>
      </c>
      <c r="K4252" t="s">
        <v>52</v>
      </c>
      <c r="L4252">
        <v>94</v>
      </c>
    </row>
    <row r="4253" spans="1:12" x14ac:dyDescent="0.45">
      <c r="A4253" t="s">
        <v>87</v>
      </c>
      <c r="B4253" t="s">
        <v>0</v>
      </c>
      <c r="C4253" t="s">
        <v>83</v>
      </c>
      <c r="D4253" t="s">
        <v>52</v>
      </c>
      <c r="E4253" t="s">
        <v>25</v>
      </c>
      <c r="F4253" t="s">
        <v>52</v>
      </c>
      <c r="G4253" t="s">
        <v>70</v>
      </c>
      <c r="I4253">
        <v>2030</v>
      </c>
      <c r="J4253">
        <v>0.30359999999999998</v>
      </c>
      <c r="K4253" t="s">
        <v>52</v>
      </c>
      <c r="L4253">
        <v>94</v>
      </c>
    </row>
    <row r="4254" spans="1:12" x14ac:dyDescent="0.45">
      <c r="A4254" t="s">
        <v>87</v>
      </c>
      <c r="B4254" t="s">
        <v>0</v>
      </c>
      <c r="C4254" t="s">
        <v>83</v>
      </c>
      <c r="D4254" t="s">
        <v>52</v>
      </c>
      <c r="E4254" t="s">
        <v>25</v>
      </c>
      <c r="F4254" t="s">
        <v>52</v>
      </c>
      <c r="G4254" t="s">
        <v>70</v>
      </c>
      <c r="I4254">
        <v>2035</v>
      </c>
      <c r="J4254">
        <v>0.2266</v>
      </c>
      <c r="K4254" t="s">
        <v>52</v>
      </c>
      <c r="L4254">
        <v>94</v>
      </c>
    </row>
    <row r="4255" spans="1:12" x14ac:dyDescent="0.45">
      <c r="A4255" t="s">
        <v>87</v>
      </c>
      <c r="B4255" t="s">
        <v>0</v>
      </c>
      <c r="C4255" t="s">
        <v>83</v>
      </c>
      <c r="D4255" t="s">
        <v>52</v>
      </c>
      <c r="E4255" t="s">
        <v>25</v>
      </c>
      <c r="F4255" t="s">
        <v>52</v>
      </c>
      <c r="G4255" t="s">
        <v>70</v>
      </c>
      <c r="I4255">
        <v>2040</v>
      </c>
      <c r="J4255">
        <v>0.13370000000000001</v>
      </c>
      <c r="K4255" t="s">
        <v>52</v>
      </c>
      <c r="L4255">
        <v>94</v>
      </c>
    </row>
    <row r="4256" spans="1:12" x14ac:dyDescent="0.45">
      <c r="A4256" t="s">
        <v>87</v>
      </c>
      <c r="B4256" t="s">
        <v>0</v>
      </c>
      <c r="C4256" t="s">
        <v>83</v>
      </c>
      <c r="D4256" t="s">
        <v>52</v>
      </c>
      <c r="E4256" t="s">
        <v>25</v>
      </c>
      <c r="F4256" t="s">
        <v>52</v>
      </c>
      <c r="G4256" t="s">
        <v>70</v>
      </c>
      <c r="I4256">
        <v>2045</v>
      </c>
      <c r="J4256">
        <v>3.5999999999999997E-2</v>
      </c>
      <c r="K4256" t="s">
        <v>52</v>
      </c>
      <c r="L4256">
        <v>94</v>
      </c>
    </row>
    <row r="4257" spans="1:12" x14ac:dyDescent="0.45">
      <c r="A4257" t="s">
        <v>87</v>
      </c>
      <c r="B4257" t="s">
        <v>0</v>
      </c>
      <c r="C4257" t="s">
        <v>83</v>
      </c>
      <c r="D4257" t="s">
        <v>52</v>
      </c>
      <c r="E4257" t="s">
        <v>25</v>
      </c>
      <c r="F4257" t="s">
        <v>52</v>
      </c>
      <c r="G4257" t="s">
        <v>70</v>
      </c>
      <c r="I4257">
        <v>2050</v>
      </c>
      <c r="J4257">
        <v>8.0999999999999996E-3</v>
      </c>
      <c r="K4257" t="s">
        <v>52</v>
      </c>
      <c r="L4257">
        <v>94</v>
      </c>
    </row>
    <row r="4258" spans="1:12" x14ac:dyDescent="0.45">
      <c r="A4258" t="s">
        <v>87</v>
      </c>
      <c r="B4258" t="s">
        <v>0</v>
      </c>
      <c r="C4258" t="s">
        <v>83</v>
      </c>
      <c r="D4258" t="s">
        <v>53</v>
      </c>
      <c r="E4258" t="s">
        <v>25</v>
      </c>
      <c r="F4258" t="s">
        <v>53</v>
      </c>
      <c r="G4258" t="s">
        <v>70</v>
      </c>
      <c r="I4258">
        <v>2020</v>
      </c>
      <c r="J4258">
        <v>0.1057</v>
      </c>
      <c r="K4258" t="s">
        <v>53</v>
      </c>
      <c r="L4258">
        <v>55</v>
      </c>
    </row>
    <row r="4259" spans="1:12" x14ac:dyDescent="0.45">
      <c r="A4259" t="s">
        <v>87</v>
      </c>
      <c r="B4259" t="s">
        <v>0</v>
      </c>
      <c r="C4259" t="s">
        <v>83</v>
      </c>
      <c r="D4259" t="s">
        <v>53</v>
      </c>
      <c r="E4259" t="s">
        <v>25</v>
      </c>
      <c r="F4259" t="s">
        <v>53</v>
      </c>
      <c r="G4259" t="s">
        <v>70</v>
      </c>
      <c r="I4259">
        <v>2025</v>
      </c>
      <c r="J4259">
        <v>0.13719999999999999</v>
      </c>
      <c r="K4259" t="s">
        <v>53</v>
      </c>
      <c r="L4259">
        <v>55</v>
      </c>
    </row>
    <row r="4260" spans="1:12" x14ac:dyDescent="0.45">
      <c r="A4260" t="s">
        <v>87</v>
      </c>
      <c r="B4260" t="s">
        <v>0</v>
      </c>
      <c r="C4260" t="s">
        <v>83</v>
      </c>
      <c r="D4260" t="s">
        <v>53</v>
      </c>
      <c r="E4260" t="s">
        <v>25</v>
      </c>
      <c r="F4260" t="s">
        <v>53</v>
      </c>
      <c r="G4260" t="s">
        <v>70</v>
      </c>
      <c r="I4260">
        <v>2030</v>
      </c>
      <c r="J4260">
        <v>0.19600000000000001</v>
      </c>
      <c r="K4260" t="s">
        <v>53</v>
      </c>
      <c r="L4260">
        <v>55</v>
      </c>
    </row>
    <row r="4261" spans="1:12" x14ac:dyDescent="0.45">
      <c r="A4261" t="s">
        <v>87</v>
      </c>
      <c r="B4261" t="s">
        <v>0</v>
      </c>
      <c r="C4261" t="s">
        <v>83</v>
      </c>
      <c r="D4261" t="s">
        <v>53</v>
      </c>
      <c r="E4261" t="s">
        <v>25</v>
      </c>
      <c r="F4261" t="s">
        <v>53</v>
      </c>
      <c r="G4261" t="s">
        <v>70</v>
      </c>
      <c r="I4261">
        <v>2035</v>
      </c>
      <c r="J4261">
        <v>0.2286</v>
      </c>
      <c r="K4261" t="s">
        <v>53</v>
      </c>
      <c r="L4261">
        <v>55</v>
      </c>
    </row>
    <row r="4262" spans="1:12" x14ac:dyDescent="0.45">
      <c r="A4262" t="s">
        <v>87</v>
      </c>
      <c r="B4262" t="s">
        <v>0</v>
      </c>
      <c r="C4262" t="s">
        <v>83</v>
      </c>
      <c r="D4262" t="s">
        <v>53</v>
      </c>
      <c r="E4262" t="s">
        <v>25</v>
      </c>
      <c r="F4262" t="s">
        <v>53</v>
      </c>
      <c r="G4262" t="s">
        <v>70</v>
      </c>
      <c r="I4262">
        <v>2040</v>
      </c>
      <c r="J4262">
        <v>0.11609999999999999</v>
      </c>
      <c r="K4262" t="s">
        <v>53</v>
      </c>
      <c r="L4262">
        <v>55</v>
      </c>
    </row>
    <row r="4263" spans="1:12" x14ac:dyDescent="0.45">
      <c r="A4263" t="s">
        <v>87</v>
      </c>
      <c r="B4263" t="s">
        <v>0</v>
      </c>
      <c r="C4263" t="s">
        <v>83</v>
      </c>
      <c r="D4263" t="s">
        <v>53</v>
      </c>
      <c r="E4263" t="s">
        <v>25</v>
      </c>
      <c r="F4263" t="s">
        <v>53</v>
      </c>
      <c r="G4263" t="s">
        <v>70</v>
      </c>
      <c r="I4263">
        <v>2045</v>
      </c>
      <c r="J4263">
        <v>1.9199999999999998E-2</v>
      </c>
      <c r="K4263" t="s">
        <v>53</v>
      </c>
      <c r="L4263">
        <v>55</v>
      </c>
    </row>
    <row r="4264" spans="1:12" x14ac:dyDescent="0.45">
      <c r="A4264" t="s">
        <v>87</v>
      </c>
      <c r="B4264" t="s">
        <v>0</v>
      </c>
      <c r="C4264" t="s">
        <v>83</v>
      </c>
      <c r="D4264" t="s">
        <v>53</v>
      </c>
      <c r="E4264" t="s">
        <v>25</v>
      </c>
      <c r="F4264" t="s">
        <v>53</v>
      </c>
      <c r="G4264" t="s">
        <v>70</v>
      </c>
      <c r="I4264">
        <v>2050</v>
      </c>
      <c r="J4264">
        <v>4.4000000000000003E-3</v>
      </c>
      <c r="K4264" t="s">
        <v>53</v>
      </c>
      <c r="L4264">
        <v>55</v>
      </c>
    </row>
    <row r="4265" spans="1:12" x14ac:dyDescent="0.45">
      <c r="A4265" t="s">
        <v>87</v>
      </c>
      <c r="B4265" t="s">
        <v>0</v>
      </c>
      <c r="C4265" t="s">
        <v>83</v>
      </c>
      <c r="D4265" t="s">
        <v>54</v>
      </c>
      <c r="E4265" t="s">
        <v>25</v>
      </c>
      <c r="F4265" t="s">
        <v>54</v>
      </c>
      <c r="G4265" t="s">
        <v>70</v>
      </c>
      <c r="I4265">
        <v>2020</v>
      </c>
      <c r="J4265">
        <v>0</v>
      </c>
      <c r="K4265" t="s">
        <v>54</v>
      </c>
      <c r="L4265">
        <v>70</v>
      </c>
    </row>
    <row r="4266" spans="1:12" x14ac:dyDescent="0.45">
      <c r="A4266" t="s">
        <v>87</v>
      </c>
      <c r="B4266" t="s">
        <v>0</v>
      </c>
      <c r="C4266" t="s">
        <v>83</v>
      </c>
      <c r="D4266" t="s">
        <v>54</v>
      </c>
      <c r="E4266" t="s">
        <v>25</v>
      </c>
      <c r="F4266" t="s">
        <v>54</v>
      </c>
      <c r="G4266" t="s">
        <v>70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87</v>
      </c>
      <c r="B4267" t="s">
        <v>0</v>
      </c>
      <c r="C4267" t="s">
        <v>83</v>
      </c>
      <c r="D4267" t="s">
        <v>54</v>
      </c>
      <c r="E4267" t="s">
        <v>25</v>
      </c>
      <c r="F4267" t="s">
        <v>54</v>
      </c>
      <c r="G4267" t="s">
        <v>70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87</v>
      </c>
      <c r="B4268" t="s">
        <v>0</v>
      </c>
      <c r="C4268" t="s">
        <v>83</v>
      </c>
      <c r="D4268" t="s">
        <v>54</v>
      </c>
      <c r="E4268" t="s">
        <v>25</v>
      </c>
      <c r="F4268" t="s">
        <v>54</v>
      </c>
      <c r="G4268" t="s">
        <v>70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87</v>
      </c>
      <c r="B4269" t="s">
        <v>0</v>
      </c>
      <c r="C4269" t="s">
        <v>83</v>
      </c>
      <c r="D4269" t="s">
        <v>54</v>
      </c>
      <c r="E4269" t="s">
        <v>25</v>
      </c>
      <c r="F4269" t="s">
        <v>54</v>
      </c>
      <c r="G4269" t="s">
        <v>70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87</v>
      </c>
      <c r="B4270" t="s">
        <v>0</v>
      </c>
      <c r="C4270" t="s">
        <v>83</v>
      </c>
      <c r="D4270" t="s">
        <v>54</v>
      </c>
      <c r="E4270" t="s">
        <v>25</v>
      </c>
      <c r="F4270" t="s">
        <v>54</v>
      </c>
      <c r="G4270" t="s">
        <v>70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87</v>
      </c>
      <c r="B4271" t="s">
        <v>0</v>
      </c>
      <c r="C4271" t="s">
        <v>83</v>
      </c>
      <c r="D4271" t="s">
        <v>54</v>
      </c>
      <c r="E4271" t="s">
        <v>25</v>
      </c>
      <c r="F4271" t="s">
        <v>54</v>
      </c>
      <c r="G4271" t="s">
        <v>70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87</v>
      </c>
      <c r="B4272" t="s">
        <v>0</v>
      </c>
      <c r="C4272" t="s">
        <v>83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87</v>
      </c>
      <c r="B4273" t="s">
        <v>0</v>
      </c>
      <c r="C4273" t="s">
        <v>83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87</v>
      </c>
      <c r="B4274" t="s">
        <v>0</v>
      </c>
      <c r="C4274" t="s">
        <v>83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87</v>
      </c>
      <c r="B4275" t="s">
        <v>0</v>
      </c>
      <c r="C4275" t="s">
        <v>83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87</v>
      </c>
      <c r="B4276" t="s">
        <v>0</v>
      </c>
      <c r="C4276" t="s">
        <v>83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87</v>
      </c>
      <c r="B4277" t="s">
        <v>0</v>
      </c>
      <c r="C4277" t="s">
        <v>83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87</v>
      </c>
      <c r="B4278" t="s">
        <v>0</v>
      </c>
      <c r="C4278" t="s">
        <v>83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87</v>
      </c>
      <c r="B4279" t="s">
        <v>0</v>
      </c>
      <c r="C4279" t="s">
        <v>83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87</v>
      </c>
      <c r="B4280" t="s">
        <v>0</v>
      </c>
      <c r="C4280" t="s">
        <v>83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87</v>
      </c>
      <c r="B4281" t="s">
        <v>0</v>
      </c>
      <c r="C4281" t="s">
        <v>83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87</v>
      </c>
      <c r="B4282" t="s">
        <v>0</v>
      </c>
      <c r="C4282" t="s">
        <v>83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87</v>
      </c>
      <c r="B4283" t="s">
        <v>0</v>
      </c>
      <c r="C4283" t="s">
        <v>83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87</v>
      </c>
      <c r="B4284" t="s">
        <v>0</v>
      </c>
      <c r="C4284" t="s">
        <v>83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87</v>
      </c>
      <c r="B4285" t="s">
        <v>0</v>
      </c>
      <c r="C4285" t="s">
        <v>83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87</v>
      </c>
      <c r="B4286" t="s">
        <v>0</v>
      </c>
      <c r="C4286" t="s">
        <v>83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87</v>
      </c>
      <c r="B4287" t="s">
        <v>0</v>
      </c>
      <c r="C4287" t="s">
        <v>83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87</v>
      </c>
      <c r="B4288" t="s">
        <v>0</v>
      </c>
      <c r="C4288" t="s">
        <v>83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87</v>
      </c>
      <c r="B4289" t="s">
        <v>0</v>
      </c>
      <c r="C4289" t="s">
        <v>83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87</v>
      </c>
      <c r="B4290" t="s">
        <v>0</v>
      </c>
      <c r="C4290" t="s">
        <v>83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87</v>
      </c>
      <c r="B4291" t="s">
        <v>0</v>
      </c>
      <c r="C4291" t="s">
        <v>83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87</v>
      </c>
      <c r="B4292" t="s">
        <v>0</v>
      </c>
      <c r="C4292" t="s">
        <v>83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87</v>
      </c>
      <c r="B4293" t="s">
        <v>0</v>
      </c>
      <c r="C4293" t="s">
        <v>83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56.074300000000001</v>
      </c>
      <c r="K4293" t="s">
        <v>37</v>
      </c>
    </row>
    <row r="4294" spans="1:11" x14ac:dyDescent="0.45">
      <c r="A4294" t="s">
        <v>87</v>
      </c>
      <c r="B4294" t="s">
        <v>0</v>
      </c>
      <c r="C4294" t="s">
        <v>83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66.806200000000004</v>
      </c>
      <c r="K4294" t="s">
        <v>37</v>
      </c>
    </row>
    <row r="4295" spans="1:11" x14ac:dyDescent="0.45">
      <c r="A4295" t="s">
        <v>87</v>
      </c>
      <c r="B4295" t="s">
        <v>0</v>
      </c>
      <c r="C4295" t="s">
        <v>83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75.367199999999997</v>
      </c>
      <c r="K4295" t="s">
        <v>37</v>
      </c>
    </row>
    <row r="4296" spans="1:11" x14ac:dyDescent="0.45">
      <c r="A4296" t="s">
        <v>87</v>
      </c>
      <c r="B4296" t="s">
        <v>0</v>
      </c>
      <c r="C4296" t="s">
        <v>83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64.645899999999997</v>
      </c>
      <c r="K4296" t="s">
        <v>37</v>
      </c>
    </row>
    <row r="4297" spans="1:11" x14ac:dyDescent="0.45">
      <c r="A4297" t="s">
        <v>87</v>
      </c>
      <c r="B4297" t="s">
        <v>0</v>
      </c>
      <c r="C4297" t="s">
        <v>83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85.346699999999998</v>
      </c>
      <c r="K4297" t="s">
        <v>37</v>
      </c>
    </row>
    <row r="4298" spans="1:11" x14ac:dyDescent="0.45">
      <c r="A4298" t="s">
        <v>87</v>
      </c>
      <c r="B4298" t="s">
        <v>0</v>
      </c>
      <c r="C4298" t="s">
        <v>83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96.370800000000003</v>
      </c>
      <c r="K4298" t="s">
        <v>37</v>
      </c>
    </row>
    <row r="4299" spans="1:11" x14ac:dyDescent="0.45">
      <c r="A4299" t="s">
        <v>87</v>
      </c>
      <c r="B4299" t="s">
        <v>0</v>
      </c>
      <c r="C4299" t="s">
        <v>83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89.283500000000004</v>
      </c>
      <c r="K4299" t="s">
        <v>37</v>
      </c>
    </row>
    <row r="4300" spans="1:11" x14ac:dyDescent="0.45">
      <c r="A4300" t="s">
        <v>87</v>
      </c>
      <c r="B4300" t="s">
        <v>0</v>
      </c>
      <c r="C4300" t="s">
        <v>83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373.7552</v>
      </c>
      <c r="K4300" t="s">
        <v>48</v>
      </c>
    </row>
    <row r="4301" spans="1:11" x14ac:dyDescent="0.45">
      <c r="A4301" t="s">
        <v>87</v>
      </c>
      <c r="B4301" t="s">
        <v>0</v>
      </c>
      <c r="C4301" t="s">
        <v>83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395.71710000000002</v>
      </c>
      <c r="K4301" t="s">
        <v>48</v>
      </c>
    </row>
    <row r="4302" spans="1:11" x14ac:dyDescent="0.45">
      <c r="A4302" t="s">
        <v>87</v>
      </c>
      <c r="B4302" t="s">
        <v>0</v>
      </c>
      <c r="C4302" t="s">
        <v>83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400.37200000000001</v>
      </c>
      <c r="K4302" t="s">
        <v>48</v>
      </c>
    </row>
    <row r="4303" spans="1:11" x14ac:dyDescent="0.45">
      <c r="A4303" t="s">
        <v>87</v>
      </c>
      <c r="B4303" t="s">
        <v>0</v>
      </c>
      <c r="C4303" t="s">
        <v>83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365.10289999999998</v>
      </c>
      <c r="K4303" t="s">
        <v>48</v>
      </c>
    </row>
    <row r="4304" spans="1:11" x14ac:dyDescent="0.45">
      <c r="A4304" t="s">
        <v>87</v>
      </c>
      <c r="B4304" t="s">
        <v>0</v>
      </c>
      <c r="C4304" t="s">
        <v>83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196.40389999999999</v>
      </c>
      <c r="K4304" t="s">
        <v>48</v>
      </c>
    </row>
    <row r="4305" spans="1:11" x14ac:dyDescent="0.45">
      <c r="A4305" t="s">
        <v>87</v>
      </c>
      <c r="B4305" t="s">
        <v>0</v>
      </c>
      <c r="C4305" t="s">
        <v>83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85.504300000000001</v>
      </c>
      <c r="K4305" t="s">
        <v>48</v>
      </c>
    </row>
    <row r="4306" spans="1:11" x14ac:dyDescent="0.45">
      <c r="A4306" t="s">
        <v>87</v>
      </c>
      <c r="B4306" t="s">
        <v>0</v>
      </c>
      <c r="C4306" t="s">
        <v>83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47.408999999999999</v>
      </c>
      <c r="K4306" t="s">
        <v>48</v>
      </c>
    </row>
    <row r="4307" spans="1:11" x14ac:dyDescent="0.45">
      <c r="A4307" t="s">
        <v>87</v>
      </c>
      <c r="B4307" t="s">
        <v>0</v>
      </c>
      <c r="C4307" t="s">
        <v>83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331.89080000000001</v>
      </c>
      <c r="K4307" t="s">
        <v>51</v>
      </c>
    </row>
    <row r="4308" spans="1:11" x14ac:dyDescent="0.45">
      <c r="A4308" t="s">
        <v>87</v>
      </c>
      <c r="B4308" t="s">
        <v>0</v>
      </c>
      <c r="C4308" t="s">
        <v>83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334.9837</v>
      </c>
      <c r="K4308" t="s">
        <v>51</v>
      </c>
    </row>
    <row r="4309" spans="1:11" x14ac:dyDescent="0.45">
      <c r="A4309" t="s">
        <v>87</v>
      </c>
      <c r="B4309" t="s">
        <v>0</v>
      </c>
      <c r="C4309" t="s">
        <v>83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331.41879999999998</v>
      </c>
      <c r="K4309" t="s">
        <v>51</v>
      </c>
    </row>
    <row r="4310" spans="1:11" x14ac:dyDescent="0.45">
      <c r="A4310" t="s">
        <v>87</v>
      </c>
      <c r="B4310" t="s">
        <v>0</v>
      </c>
      <c r="C4310" t="s">
        <v>83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313.41309999999999</v>
      </c>
      <c r="K4310" t="s">
        <v>51</v>
      </c>
    </row>
    <row r="4311" spans="1:11" x14ac:dyDescent="0.45">
      <c r="A4311" t="s">
        <v>87</v>
      </c>
      <c r="B4311" t="s">
        <v>0</v>
      </c>
      <c r="C4311" t="s">
        <v>83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155.1925</v>
      </c>
      <c r="K4311" t="s">
        <v>51</v>
      </c>
    </row>
    <row r="4312" spans="1:11" x14ac:dyDescent="0.45">
      <c r="A4312" t="s">
        <v>87</v>
      </c>
      <c r="B4312" t="s">
        <v>0</v>
      </c>
      <c r="C4312" t="s">
        <v>83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48.105499999999999</v>
      </c>
      <c r="K4312" t="s">
        <v>51</v>
      </c>
    </row>
    <row r="4313" spans="1:11" x14ac:dyDescent="0.45">
      <c r="A4313" t="s">
        <v>87</v>
      </c>
      <c r="B4313" t="s">
        <v>0</v>
      </c>
      <c r="C4313" t="s">
        <v>83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21.5245</v>
      </c>
      <c r="K4313" t="s">
        <v>51</v>
      </c>
    </row>
    <row r="4314" spans="1:11" x14ac:dyDescent="0.45">
      <c r="A4314" t="s">
        <v>87</v>
      </c>
      <c r="B4314" t="s">
        <v>6</v>
      </c>
      <c r="C4314" t="s">
        <v>83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87</v>
      </c>
      <c r="B4315" t="s">
        <v>6</v>
      </c>
      <c r="C4315" t="s">
        <v>83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87</v>
      </c>
      <c r="B4316" t="s">
        <v>6</v>
      </c>
      <c r="C4316" t="s">
        <v>83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87</v>
      </c>
      <c r="B4317" t="s">
        <v>6</v>
      </c>
      <c r="C4317" t="s">
        <v>83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2.1700000000000001E-2</v>
      </c>
      <c r="K4317" t="s">
        <v>45</v>
      </c>
    </row>
    <row r="4318" spans="1:11" x14ac:dyDescent="0.45">
      <c r="A4318" t="s">
        <v>87</v>
      </c>
      <c r="B4318" t="s">
        <v>6</v>
      </c>
      <c r="C4318" t="s">
        <v>83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0.1087</v>
      </c>
      <c r="K4318" t="s">
        <v>45</v>
      </c>
    </row>
    <row r="4319" spans="1:11" x14ac:dyDescent="0.45">
      <c r="A4319" t="s">
        <v>87</v>
      </c>
      <c r="B4319" t="s">
        <v>6</v>
      </c>
      <c r="C4319" t="s">
        <v>83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0.2848</v>
      </c>
      <c r="K4319" t="s">
        <v>45</v>
      </c>
    </row>
    <row r="4320" spans="1:11" x14ac:dyDescent="0.45">
      <c r="A4320" t="s">
        <v>87</v>
      </c>
      <c r="B4320" t="s">
        <v>6</v>
      </c>
      <c r="C4320" t="s">
        <v>83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0.55110000000000003</v>
      </c>
      <c r="K4320" t="s">
        <v>45</v>
      </c>
    </row>
    <row r="4321" spans="1:11" x14ac:dyDescent="0.45">
      <c r="A4321" t="s">
        <v>87</v>
      </c>
      <c r="B4321" t="s">
        <v>6</v>
      </c>
      <c r="C4321" t="s">
        <v>83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0.15379999999999999</v>
      </c>
      <c r="K4321" t="s">
        <v>24</v>
      </c>
    </row>
    <row r="4322" spans="1:11" x14ac:dyDescent="0.45">
      <c r="A4322" t="s">
        <v>87</v>
      </c>
      <c r="B4322" t="s">
        <v>6</v>
      </c>
      <c r="C4322" t="s">
        <v>83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0.16589999999999999</v>
      </c>
      <c r="K4322" t="s">
        <v>24</v>
      </c>
    </row>
    <row r="4323" spans="1:11" x14ac:dyDescent="0.45">
      <c r="A4323" t="s">
        <v>87</v>
      </c>
      <c r="B4323" t="s">
        <v>6</v>
      </c>
      <c r="C4323" t="s">
        <v>83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0.20680000000000001</v>
      </c>
      <c r="K4323" t="s">
        <v>24</v>
      </c>
    </row>
    <row r="4324" spans="1:11" x14ac:dyDescent="0.45">
      <c r="A4324" t="s">
        <v>87</v>
      </c>
      <c r="B4324" t="s">
        <v>6</v>
      </c>
      <c r="C4324" t="s">
        <v>83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0.27450000000000002</v>
      </c>
      <c r="K4324" t="s">
        <v>24</v>
      </c>
    </row>
    <row r="4325" spans="1:11" x14ac:dyDescent="0.45">
      <c r="A4325" t="s">
        <v>87</v>
      </c>
      <c r="B4325" t="s">
        <v>6</v>
      </c>
      <c r="C4325" t="s">
        <v>83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0.3231</v>
      </c>
      <c r="K4325" t="s">
        <v>24</v>
      </c>
    </row>
    <row r="4326" spans="1:11" x14ac:dyDescent="0.45">
      <c r="A4326" t="s">
        <v>87</v>
      </c>
      <c r="B4326" t="s">
        <v>6</v>
      </c>
      <c r="C4326" t="s">
        <v>83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0.51070000000000004</v>
      </c>
      <c r="K4326" t="s">
        <v>24</v>
      </c>
    </row>
    <row r="4327" spans="1:11" x14ac:dyDescent="0.45">
      <c r="A4327" t="s">
        <v>87</v>
      </c>
      <c r="B4327" t="s">
        <v>6</v>
      </c>
      <c r="C4327" t="s">
        <v>83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0.50390000000000001</v>
      </c>
      <c r="K4327" t="s">
        <v>24</v>
      </c>
    </row>
    <row r="4328" spans="1:11" x14ac:dyDescent="0.45">
      <c r="A4328" t="s">
        <v>87</v>
      </c>
      <c r="B4328" t="s">
        <v>6</v>
      </c>
      <c r="C4328" t="s">
        <v>83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9.2399999999999996E-2</v>
      </c>
      <c r="K4328" t="s">
        <v>28</v>
      </c>
    </row>
    <row r="4329" spans="1:11" x14ac:dyDescent="0.45">
      <c r="A4329" t="s">
        <v>87</v>
      </c>
      <c r="B4329" t="s">
        <v>6</v>
      </c>
      <c r="C4329" t="s">
        <v>83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0.1111</v>
      </c>
      <c r="K4329" t="s">
        <v>28</v>
      </c>
    </row>
    <row r="4330" spans="1:11" x14ac:dyDescent="0.45">
      <c r="A4330" t="s">
        <v>87</v>
      </c>
      <c r="B4330" t="s">
        <v>6</v>
      </c>
      <c r="C4330" t="s">
        <v>83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0.1389</v>
      </c>
      <c r="K4330" t="s">
        <v>28</v>
      </c>
    </row>
    <row r="4331" spans="1:11" x14ac:dyDescent="0.45">
      <c r="A4331" t="s">
        <v>87</v>
      </c>
      <c r="B4331" t="s">
        <v>6</v>
      </c>
      <c r="C4331" t="s">
        <v>83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0.1741</v>
      </c>
      <c r="K4331" t="s">
        <v>28</v>
      </c>
    </row>
    <row r="4332" spans="1:11" x14ac:dyDescent="0.45">
      <c r="A4332" t="s">
        <v>87</v>
      </c>
      <c r="B4332" t="s">
        <v>6</v>
      </c>
      <c r="C4332" t="s">
        <v>83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0.20150000000000001</v>
      </c>
      <c r="K4332" t="s">
        <v>28</v>
      </c>
    </row>
    <row r="4333" spans="1:11" x14ac:dyDescent="0.45">
      <c r="A4333" t="s">
        <v>87</v>
      </c>
      <c r="B4333" t="s">
        <v>6</v>
      </c>
      <c r="C4333" t="s">
        <v>83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0.28799999999999998</v>
      </c>
      <c r="K4333" t="s">
        <v>28</v>
      </c>
    </row>
    <row r="4334" spans="1:11" x14ac:dyDescent="0.45">
      <c r="A4334" t="s">
        <v>87</v>
      </c>
      <c r="B4334" t="s">
        <v>6</v>
      </c>
      <c r="C4334" t="s">
        <v>83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0.27950000000000003</v>
      </c>
      <c r="K4334" t="s">
        <v>28</v>
      </c>
    </row>
    <row r="4335" spans="1:11" x14ac:dyDescent="0.45">
      <c r="A4335" t="s">
        <v>87</v>
      </c>
      <c r="B4335" t="s">
        <v>6</v>
      </c>
      <c r="C4335" t="s">
        <v>83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1.06E-2</v>
      </c>
      <c r="K4335" t="s">
        <v>27</v>
      </c>
    </row>
    <row r="4336" spans="1:11" x14ac:dyDescent="0.45">
      <c r="A4336" t="s">
        <v>87</v>
      </c>
      <c r="B4336" t="s">
        <v>6</v>
      </c>
      <c r="C4336" t="s">
        <v>83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1.7600000000000001E-2</v>
      </c>
      <c r="K4336" t="s">
        <v>27</v>
      </c>
    </row>
    <row r="4337" spans="1:12" x14ac:dyDescent="0.45">
      <c r="A4337" t="s">
        <v>87</v>
      </c>
      <c r="B4337" t="s">
        <v>6</v>
      </c>
      <c r="C4337" t="s">
        <v>83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3.4200000000000001E-2</v>
      </c>
      <c r="K4337" t="s">
        <v>27</v>
      </c>
    </row>
    <row r="4338" spans="1:12" x14ac:dyDescent="0.45">
      <c r="A4338" t="s">
        <v>87</v>
      </c>
      <c r="B4338" t="s">
        <v>6</v>
      </c>
      <c r="C4338" t="s">
        <v>83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6.1699999999999998E-2</v>
      </c>
      <c r="K4338" t="s">
        <v>27</v>
      </c>
    </row>
    <row r="4339" spans="1:12" x14ac:dyDescent="0.45">
      <c r="A4339" t="s">
        <v>87</v>
      </c>
      <c r="B4339" t="s">
        <v>6</v>
      </c>
      <c r="C4339" t="s">
        <v>83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0.1038</v>
      </c>
      <c r="K4339" t="s">
        <v>27</v>
      </c>
    </row>
    <row r="4340" spans="1:12" x14ac:dyDescent="0.45">
      <c r="A4340" t="s">
        <v>87</v>
      </c>
      <c r="B4340" t="s">
        <v>6</v>
      </c>
      <c r="C4340" t="s">
        <v>83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0.1429</v>
      </c>
      <c r="K4340" t="s">
        <v>27</v>
      </c>
    </row>
    <row r="4341" spans="1:12" x14ac:dyDescent="0.45">
      <c r="A4341" t="s">
        <v>87</v>
      </c>
      <c r="B4341" t="s">
        <v>6</v>
      </c>
      <c r="C4341" t="s">
        <v>83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0.13519999999999999</v>
      </c>
      <c r="K4341" t="s">
        <v>27</v>
      </c>
    </row>
    <row r="4342" spans="1:12" x14ac:dyDescent="0.45">
      <c r="A4342" t="s">
        <v>87</v>
      </c>
      <c r="B4342" t="s">
        <v>6</v>
      </c>
      <c r="C4342" t="s">
        <v>83</v>
      </c>
      <c r="D4342" t="s">
        <v>84</v>
      </c>
      <c r="E4342" t="s">
        <v>25</v>
      </c>
      <c r="F4342" t="s">
        <v>84</v>
      </c>
      <c r="G4342" t="s">
        <v>26</v>
      </c>
      <c r="H4342" t="s">
        <v>81</v>
      </c>
      <c r="I4342">
        <v>2020</v>
      </c>
      <c r="J4342">
        <v>4.7999999999999996E-3</v>
      </c>
      <c r="K4342" t="s">
        <v>84</v>
      </c>
    </row>
    <row r="4343" spans="1:12" x14ac:dyDescent="0.45">
      <c r="A4343" t="s">
        <v>87</v>
      </c>
      <c r="B4343" t="s">
        <v>6</v>
      </c>
      <c r="C4343" t="s">
        <v>83</v>
      </c>
      <c r="D4343" t="s">
        <v>84</v>
      </c>
      <c r="E4343" t="s">
        <v>25</v>
      </c>
      <c r="F4343" t="s">
        <v>84</v>
      </c>
      <c r="G4343" t="s">
        <v>26</v>
      </c>
      <c r="H4343" t="s">
        <v>81</v>
      </c>
      <c r="I4343">
        <v>2025</v>
      </c>
      <c r="J4343">
        <v>2.0400000000000001E-2</v>
      </c>
      <c r="K4343" t="s">
        <v>84</v>
      </c>
    </row>
    <row r="4344" spans="1:12" x14ac:dyDescent="0.45">
      <c r="A4344" t="s">
        <v>87</v>
      </c>
      <c r="B4344" t="s">
        <v>6</v>
      </c>
      <c r="C4344" t="s">
        <v>83</v>
      </c>
      <c r="D4344" t="s">
        <v>84</v>
      </c>
      <c r="E4344" t="s">
        <v>25</v>
      </c>
      <c r="F4344" t="s">
        <v>84</v>
      </c>
      <c r="G4344" t="s">
        <v>26</v>
      </c>
      <c r="H4344" t="s">
        <v>81</v>
      </c>
      <c r="I4344">
        <v>2030</v>
      </c>
      <c r="J4344">
        <v>4.5199999999999997E-2</v>
      </c>
      <c r="K4344" t="s">
        <v>84</v>
      </c>
    </row>
    <row r="4345" spans="1:12" x14ac:dyDescent="0.45">
      <c r="A4345" t="s">
        <v>87</v>
      </c>
      <c r="B4345" t="s">
        <v>6</v>
      </c>
      <c r="C4345" t="s">
        <v>83</v>
      </c>
      <c r="D4345" t="s">
        <v>84</v>
      </c>
      <c r="E4345" t="s">
        <v>25</v>
      </c>
      <c r="F4345" t="s">
        <v>84</v>
      </c>
      <c r="G4345" t="s">
        <v>26</v>
      </c>
      <c r="H4345" t="s">
        <v>81</v>
      </c>
      <c r="I4345">
        <v>2035</v>
      </c>
      <c r="J4345">
        <v>7.0999999999999994E-2</v>
      </c>
      <c r="K4345" t="s">
        <v>84</v>
      </c>
    </row>
    <row r="4346" spans="1:12" x14ac:dyDescent="0.45">
      <c r="A4346" t="s">
        <v>87</v>
      </c>
      <c r="B4346" t="s">
        <v>6</v>
      </c>
      <c r="C4346" t="s">
        <v>83</v>
      </c>
      <c r="D4346" t="s">
        <v>84</v>
      </c>
      <c r="E4346" t="s">
        <v>25</v>
      </c>
      <c r="F4346" t="s">
        <v>84</v>
      </c>
      <c r="G4346" t="s">
        <v>26</v>
      </c>
      <c r="H4346" t="s">
        <v>81</v>
      </c>
      <c r="I4346">
        <v>2040</v>
      </c>
      <c r="J4346">
        <v>9.2899999999999996E-2</v>
      </c>
      <c r="K4346" t="s">
        <v>84</v>
      </c>
    </row>
    <row r="4347" spans="1:12" x14ac:dyDescent="0.45">
      <c r="A4347" t="s">
        <v>87</v>
      </c>
      <c r="B4347" t="s">
        <v>6</v>
      </c>
      <c r="C4347" t="s">
        <v>83</v>
      </c>
      <c r="D4347" t="s">
        <v>84</v>
      </c>
      <c r="E4347" t="s">
        <v>25</v>
      </c>
      <c r="F4347" t="s">
        <v>84</v>
      </c>
      <c r="G4347" t="s">
        <v>26</v>
      </c>
      <c r="H4347" t="s">
        <v>81</v>
      </c>
      <c r="I4347">
        <v>2045</v>
      </c>
      <c r="J4347">
        <v>8.6999999999999994E-2</v>
      </c>
      <c r="K4347" t="s">
        <v>84</v>
      </c>
    </row>
    <row r="4348" spans="1:12" x14ac:dyDescent="0.45">
      <c r="A4348" t="s">
        <v>87</v>
      </c>
      <c r="B4348" t="s">
        <v>6</v>
      </c>
      <c r="C4348" t="s">
        <v>83</v>
      </c>
      <c r="D4348" t="s">
        <v>84</v>
      </c>
      <c r="E4348" t="s">
        <v>25</v>
      </c>
      <c r="F4348" t="s">
        <v>84</v>
      </c>
      <c r="G4348" t="s">
        <v>26</v>
      </c>
      <c r="H4348" t="s">
        <v>81</v>
      </c>
      <c r="I4348">
        <v>2050</v>
      </c>
      <c r="J4348">
        <v>6.7199999999999996E-2</v>
      </c>
      <c r="K4348" t="s">
        <v>84</v>
      </c>
    </row>
    <row r="4349" spans="1:12" x14ac:dyDescent="0.45">
      <c r="A4349" t="s">
        <v>87</v>
      </c>
      <c r="B4349" t="s">
        <v>6</v>
      </c>
      <c r="C4349" t="s">
        <v>83</v>
      </c>
      <c r="D4349" t="s">
        <v>52</v>
      </c>
      <c r="E4349" t="s">
        <v>25</v>
      </c>
      <c r="F4349" t="s">
        <v>52</v>
      </c>
      <c r="G4349" t="s">
        <v>70</v>
      </c>
      <c r="I4349">
        <v>2020</v>
      </c>
      <c r="J4349">
        <v>0.32619999999999999</v>
      </c>
      <c r="K4349" t="s">
        <v>52</v>
      </c>
      <c r="L4349">
        <v>94</v>
      </c>
    </row>
    <row r="4350" spans="1:12" x14ac:dyDescent="0.45">
      <c r="A4350" t="s">
        <v>87</v>
      </c>
      <c r="B4350" t="s">
        <v>6</v>
      </c>
      <c r="C4350" t="s">
        <v>83</v>
      </c>
      <c r="D4350" t="s">
        <v>52</v>
      </c>
      <c r="E4350" t="s">
        <v>25</v>
      </c>
      <c r="F4350" t="s">
        <v>52</v>
      </c>
      <c r="G4350" t="s">
        <v>70</v>
      </c>
      <c r="I4350">
        <v>2025</v>
      </c>
      <c r="J4350">
        <v>0.30780000000000002</v>
      </c>
      <c r="K4350" t="s">
        <v>52</v>
      </c>
      <c r="L4350">
        <v>94</v>
      </c>
    </row>
    <row r="4351" spans="1:12" x14ac:dyDescent="0.45">
      <c r="A4351" t="s">
        <v>87</v>
      </c>
      <c r="B4351" t="s">
        <v>6</v>
      </c>
      <c r="C4351" t="s">
        <v>83</v>
      </c>
      <c r="D4351" t="s">
        <v>52</v>
      </c>
      <c r="E4351" t="s">
        <v>25</v>
      </c>
      <c r="F4351" t="s">
        <v>52</v>
      </c>
      <c r="G4351" t="s">
        <v>70</v>
      </c>
      <c r="I4351">
        <v>2030</v>
      </c>
      <c r="J4351">
        <v>0.29759999999999998</v>
      </c>
      <c r="K4351" t="s">
        <v>52</v>
      </c>
      <c r="L4351">
        <v>94</v>
      </c>
    </row>
    <row r="4352" spans="1:12" x14ac:dyDescent="0.45">
      <c r="A4352" t="s">
        <v>87</v>
      </c>
      <c r="B4352" t="s">
        <v>6</v>
      </c>
      <c r="C4352" t="s">
        <v>83</v>
      </c>
      <c r="D4352" t="s">
        <v>52</v>
      </c>
      <c r="E4352" t="s">
        <v>25</v>
      </c>
      <c r="F4352" t="s">
        <v>52</v>
      </c>
      <c r="G4352" t="s">
        <v>70</v>
      </c>
      <c r="I4352">
        <v>2035</v>
      </c>
      <c r="J4352">
        <v>0.2762</v>
      </c>
      <c r="K4352" t="s">
        <v>52</v>
      </c>
      <c r="L4352">
        <v>94</v>
      </c>
    </row>
    <row r="4353" spans="1:12" x14ac:dyDescent="0.45">
      <c r="A4353" t="s">
        <v>87</v>
      </c>
      <c r="B4353" t="s">
        <v>6</v>
      </c>
      <c r="C4353" t="s">
        <v>83</v>
      </c>
      <c r="D4353" t="s">
        <v>52</v>
      </c>
      <c r="E4353" t="s">
        <v>25</v>
      </c>
      <c r="F4353" t="s">
        <v>52</v>
      </c>
      <c r="G4353" t="s">
        <v>70</v>
      </c>
      <c r="I4353">
        <v>2040</v>
      </c>
      <c r="J4353">
        <v>0.1535</v>
      </c>
      <c r="K4353" t="s">
        <v>52</v>
      </c>
      <c r="L4353">
        <v>94</v>
      </c>
    </row>
    <row r="4354" spans="1:12" x14ac:dyDescent="0.45">
      <c r="A4354" t="s">
        <v>87</v>
      </c>
      <c r="B4354" t="s">
        <v>6</v>
      </c>
      <c r="C4354" t="s">
        <v>83</v>
      </c>
      <c r="D4354" t="s">
        <v>52</v>
      </c>
      <c r="E4354" t="s">
        <v>25</v>
      </c>
      <c r="F4354" t="s">
        <v>52</v>
      </c>
      <c r="G4354" t="s">
        <v>70</v>
      </c>
      <c r="I4354">
        <v>2045</v>
      </c>
      <c r="J4354">
        <v>9.1499999999999998E-2</v>
      </c>
      <c r="K4354" t="s">
        <v>52</v>
      </c>
      <c r="L4354">
        <v>94</v>
      </c>
    </row>
    <row r="4355" spans="1:12" x14ac:dyDescent="0.45">
      <c r="A4355" t="s">
        <v>87</v>
      </c>
      <c r="B4355" t="s">
        <v>6</v>
      </c>
      <c r="C4355" t="s">
        <v>83</v>
      </c>
      <c r="D4355" t="s">
        <v>52</v>
      </c>
      <c r="E4355" t="s">
        <v>25</v>
      </c>
      <c r="F4355" t="s">
        <v>52</v>
      </c>
      <c r="G4355" t="s">
        <v>70</v>
      </c>
      <c r="I4355">
        <v>2050</v>
      </c>
      <c r="J4355">
        <v>2.1399999999999999E-2</v>
      </c>
      <c r="K4355" t="s">
        <v>52</v>
      </c>
      <c r="L4355">
        <v>94</v>
      </c>
    </row>
    <row r="4356" spans="1:12" x14ac:dyDescent="0.45">
      <c r="A4356" t="s">
        <v>87</v>
      </c>
      <c r="B4356" t="s">
        <v>6</v>
      </c>
      <c r="C4356" t="s">
        <v>83</v>
      </c>
      <c r="D4356" t="s">
        <v>53</v>
      </c>
      <c r="E4356" t="s">
        <v>25</v>
      </c>
      <c r="F4356" t="s">
        <v>53</v>
      </c>
      <c r="G4356" t="s">
        <v>70</v>
      </c>
      <c r="I4356">
        <v>2020</v>
      </c>
      <c r="J4356">
        <v>0.107</v>
      </c>
      <c r="K4356" t="s">
        <v>53</v>
      </c>
      <c r="L4356">
        <v>55</v>
      </c>
    </row>
    <row r="4357" spans="1:12" x14ac:dyDescent="0.45">
      <c r="A4357" t="s">
        <v>87</v>
      </c>
      <c r="B4357" t="s">
        <v>6</v>
      </c>
      <c r="C4357" t="s">
        <v>83</v>
      </c>
      <c r="D4357" t="s">
        <v>53</v>
      </c>
      <c r="E4357" t="s">
        <v>25</v>
      </c>
      <c r="F4357" t="s">
        <v>53</v>
      </c>
      <c r="G4357" t="s">
        <v>70</v>
      </c>
      <c r="I4357">
        <v>2025</v>
      </c>
      <c r="J4357">
        <v>0.13039999999999999</v>
      </c>
      <c r="K4357" t="s">
        <v>53</v>
      </c>
      <c r="L4357">
        <v>55</v>
      </c>
    </row>
    <row r="4358" spans="1:12" x14ac:dyDescent="0.45">
      <c r="A4358" t="s">
        <v>87</v>
      </c>
      <c r="B4358" t="s">
        <v>6</v>
      </c>
      <c r="C4358" t="s">
        <v>83</v>
      </c>
      <c r="D4358" t="s">
        <v>53</v>
      </c>
      <c r="E4358" t="s">
        <v>25</v>
      </c>
      <c r="F4358" t="s">
        <v>53</v>
      </c>
      <c r="G4358" t="s">
        <v>70</v>
      </c>
      <c r="I4358">
        <v>2030</v>
      </c>
      <c r="J4358">
        <v>0.19270000000000001</v>
      </c>
      <c r="K4358" t="s">
        <v>53</v>
      </c>
      <c r="L4358">
        <v>55</v>
      </c>
    </row>
    <row r="4359" spans="1:12" x14ac:dyDescent="0.45">
      <c r="A4359" t="s">
        <v>87</v>
      </c>
      <c r="B4359" t="s">
        <v>6</v>
      </c>
      <c r="C4359" t="s">
        <v>83</v>
      </c>
      <c r="D4359" t="s">
        <v>53</v>
      </c>
      <c r="E4359" t="s">
        <v>25</v>
      </c>
      <c r="F4359" t="s">
        <v>53</v>
      </c>
      <c r="G4359" t="s">
        <v>70</v>
      </c>
      <c r="I4359">
        <v>2035</v>
      </c>
      <c r="J4359">
        <v>0.26450000000000001</v>
      </c>
      <c r="K4359" t="s">
        <v>53</v>
      </c>
      <c r="L4359">
        <v>55</v>
      </c>
    </row>
    <row r="4360" spans="1:12" x14ac:dyDescent="0.45">
      <c r="A4360" t="s">
        <v>87</v>
      </c>
      <c r="B4360" t="s">
        <v>6</v>
      </c>
      <c r="C4360" t="s">
        <v>83</v>
      </c>
      <c r="D4360" t="s">
        <v>53</v>
      </c>
      <c r="E4360" t="s">
        <v>25</v>
      </c>
      <c r="F4360" t="s">
        <v>53</v>
      </c>
      <c r="G4360" t="s">
        <v>70</v>
      </c>
      <c r="I4360">
        <v>2040</v>
      </c>
      <c r="J4360">
        <v>0.1933</v>
      </c>
      <c r="K4360" t="s">
        <v>53</v>
      </c>
      <c r="L4360">
        <v>55</v>
      </c>
    </row>
    <row r="4361" spans="1:12" x14ac:dyDescent="0.45">
      <c r="A4361" t="s">
        <v>87</v>
      </c>
      <c r="B4361" t="s">
        <v>6</v>
      </c>
      <c r="C4361" t="s">
        <v>83</v>
      </c>
      <c r="D4361" t="s">
        <v>53</v>
      </c>
      <c r="E4361" t="s">
        <v>25</v>
      </c>
      <c r="F4361" t="s">
        <v>53</v>
      </c>
      <c r="G4361" t="s">
        <v>70</v>
      </c>
      <c r="I4361">
        <v>2045</v>
      </c>
      <c r="J4361">
        <v>0.17369999999999999</v>
      </c>
      <c r="K4361" t="s">
        <v>53</v>
      </c>
      <c r="L4361">
        <v>55</v>
      </c>
    </row>
    <row r="4362" spans="1:12" x14ac:dyDescent="0.45">
      <c r="A4362" t="s">
        <v>87</v>
      </c>
      <c r="B4362" t="s">
        <v>6</v>
      </c>
      <c r="C4362" t="s">
        <v>83</v>
      </c>
      <c r="D4362" t="s">
        <v>53</v>
      </c>
      <c r="E4362" t="s">
        <v>25</v>
      </c>
      <c r="F4362" t="s">
        <v>53</v>
      </c>
      <c r="G4362" t="s">
        <v>70</v>
      </c>
      <c r="I4362">
        <v>2050</v>
      </c>
      <c r="J4362">
        <v>4.7699999999999999E-2</v>
      </c>
      <c r="K4362" t="s">
        <v>53</v>
      </c>
      <c r="L4362">
        <v>55</v>
      </c>
    </row>
    <row r="4363" spans="1:12" x14ac:dyDescent="0.45">
      <c r="A4363" t="s">
        <v>87</v>
      </c>
      <c r="B4363" t="s">
        <v>6</v>
      </c>
      <c r="C4363" t="s">
        <v>83</v>
      </c>
      <c r="D4363" t="s">
        <v>54</v>
      </c>
      <c r="E4363" t="s">
        <v>25</v>
      </c>
      <c r="F4363" t="s">
        <v>54</v>
      </c>
      <c r="G4363" t="s">
        <v>70</v>
      </c>
      <c r="I4363">
        <v>2020</v>
      </c>
      <c r="J4363">
        <v>0</v>
      </c>
      <c r="K4363" t="s">
        <v>54</v>
      </c>
      <c r="L4363">
        <v>70</v>
      </c>
    </row>
    <row r="4364" spans="1:12" x14ac:dyDescent="0.45">
      <c r="A4364" t="s">
        <v>87</v>
      </c>
      <c r="B4364" t="s">
        <v>6</v>
      </c>
      <c r="C4364" t="s">
        <v>83</v>
      </c>
      <c r="D4364" t="s">
        <v>54</v>
      </c>
      <c r="E4364" t="s">
        <v>25</v>
      </c>
      <c r="F4364" t="s">
        <v>54</v>
      </c>
      <c r="G4364" t="s">
        <v>70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87</v>
      </c>
      <c r="B4365" t="s">
        <v>6</v>
      </c>
      <c r="C4365" t="s">
        <v>83</v>
      </c>
      <c r="D4365" t="s">
        <v>54</v>
      </c>
      <c r="E4365" t="s">
        <v>25</v>
      </c>
      <c r="F4365" t="s">
        <v>54</v>
      </c>
      <c r="G4365" t="s">
        <v>70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87</v>
      </c>
      <c r="B4366" t="s">
        <v>6</v>
      </c>
      <c r="C4366" t="s">
        <v>83</v>
      </c>
      <c r="D4366" t="s">
        <v>54</v>
      </c>
      <c r="E4366" t="s">
        <v>25</v>
      </c>
      <c r="F4366" t="s">
        <v>54</v>
      </c>
      <c r="G4366" t="s">
        <v>70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87</v>
      </c>
      <c r="B4367" t="s">
        <v>6</v>
      </c>
      <c r="C4367" t="s">
        <v>83</v>
      </c>
      <c r="D4367" t="s">
        <v>54</v>
      </c>
      <c r="E4367" t="s">
        <v>25</v>
      </c>
      <c r="F4367" t="s">
        <v>54</v>
      </c>
      <c r="G4367" t="s">
        <v>70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87</v>
      </c>
      <c r="B4368" t="s">
        <v>6</v>
      </c>
      <c r="C4368" t="s">
        <v>83</v>
      </c>
      <c r="D4368" t="s">
        <v>54</v>
      </c>
      <c r="E4368" t="s">
        <v>25</v>
      </c>
      <c r="F4368" t="s">
        <v>54</v>
      </c>
      <c r="G4368" t="s">
        <v>70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87</v>
      </c>
      <c r="B4369" t="s">
        <v>6</v>
      </c>
      <c r="C4369" t="s">
        <v>83</v>
      </c>
      <c r="D4369" t="s">
        <v>54</v>
      </c>
      <c r="E4369" t="s">
        <v>25</v>
      </c>
      <c r="F4369" t="s">
        <v>54</v>
      </c>
      <c r="G4369" t="s">
        <v>70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87</v>
      </c>
      <c r="B4370" t="s">
        <v>6</v>
      </c>
      <c r="C4370" t="s">
        <v>83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87</v>
      </c>
      <c r="B4371" t="s">
        <v>6</v>
      </c>
      <c r="C4371" t="s">
        <v>83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87</v>
      </c>
      <c r="B4372" t="s">
        <v>6</v>
      </c>
      <c r="C4372" t="s">
        <v>83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87</v>
      </c>
      <c r="B4373" t="s">
        <v>6</v>
      </c>
      <c r="C4373" t="s">
        <v>83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87</v>
      </c>
      <c r="B4374" t="s">
        <v>6</v>
      </c>
      <c r="C4374" t="s">
        <v>83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87</v>
      </c>
      <c r="B4375" t="s">
        <v>6</v>
      </c>
      <c r="C4375" t="s">
        <v>83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87</v>
      </c>
      <c r="B4376" t="s">
        <v>6</v>
      </c>
      <c r="C4376" t="s">
        <v>83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87</v>
      </c>
      <c r="B4377" t="s">
        <v>6</v>
      </c>
      <c r="C4377" t="s">
        <v>83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87</v>
      </c>
      <c r="B4378" t="s">
        <v>6</v>
      </c>
      <c r="C4378" t="s">
        <v>83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87</v>
      </c>
      <c r="B4379" t="s">
        <v>6</v>
      </c>
      <c r="C4379" t="s">
        <v>83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87</v>
      </c>
      <c r="B4380" t="s">
        <v>6</v>
      </c>
      <c r="C4380" t="s">
        <v>83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87</v>
      </c>
      <c r="B4381" t="s">
        <v>6</v>
      </c>
      <c r="C4381" t="s">
        <v>83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87</v>
      </c>
      <c r="B4382" t="s">
        <v>6</v>
      </c>
      <c r="C4382" t="s">
        <v>83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87</v>
      </c>
      <c r="B4383" t="s">
        <v>6</v>
      </c>
      <c r="C4383" t="s">
        <v>83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87</v>
      </c>
      <c r="B4384" t="s">
        <v>6</v>
      </c>
      <c r="C4384" t="s">
        <v>83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87</v>
      </c>
      <c r="B4385" t="s">
        <v>6</v>
      </c>
      <c r="C4385" t="s">
        <v>83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87</v>
      </c>
      <c r="B4386" t="s">
        <v>6</v>
      </c>
      <c r="C4386" t="s">
        <v>83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87</v>
      </c>
      <c r="B4387" t="s">
        <v>6</v>
      </c>
      <c r="C4387" t="s">
        <v>83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87</v>
      </c>
      <c r="B4388" t="s">
        <v>6</v>
      </c>
      <c r="C4388" t="s">
        <v>83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87</v>
      </c>
      <c r="B4389" t="s">
        <v>6</v>
      </c>
      <c r="C4389" t="s">
        <v>83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87</v>
      </c>
      <c r="B4390" t="s">
        <v>6</v>
      </c>
      <c r="C4390" t="s">
        <v>83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87</v>
      </c>
      <c r="B4391" t="s">
        <v>6</v>
      </c>
      <c r="C4391" t="s">
        <v>83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56.074300000000001</v>
      </c>
      <c r="K4391" t="s">
        <v>37</v>
      </c>
    </row>
    <row r="4392" spans="1:11" x14ac:dyDescent="0.45">
      <c r="A4392" t="s">
        <v>87</v>
      </c>
      <c r="B4392" t="s">
        <v>6</v>
      </c>
      <c r="C4392" t="s">
        <v>83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66.806200000000004</v>
      </c>
      <c r="K4392" t="s">
        <v>37</v>
      </c>
    </row>
    <row r="4393" spans="1:11" x14ac:dyDescent="0.45">
      <c r="A4393" t="s">
        <v>87</v>
      </c>
      <c r="B4393" t="s">
        <v>6</v>
      </c>
      <c r="C4393" t="s">
        <v>83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75.367199999999997</v>
      </c>
      <c r="K4393" t="s">
        <v>37</v>
      </c>
    </row>
    <row r="4394" spans="1:11" x14ac:dyDescent="0.45">
      <c r="A4394" t="s">
        <v>87</v>
      </c>
      <c r="B4394" t="s">
        <v>6</v>
      </c>
      <c r="C4394" t="s">
        <v>83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76.911900000000003</v>
      </c>
      <c r="K4394" t="s">
        <v>37</v>
      </c>
    </row>
    <row r="4395" spans="1:11" x14ac:dyDescent="0.45">
      <c r="A4395" t="s">
        <v>87</v>
      </c>
      <c r="B4395" t="s">
        <v>6</v>
      </c>
      <c r="C4395" t="s">
        <v>83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91.798599999999993</v>
      </c>
      <c r="K4395" t="s">
        <v>37</v>
      </c>
    </row>
    <row r="4396" spans="1:11" x14ac:dyDescent="0.45">
      <c r="A4396" t="s">
        <v>87</v>
      </c>
      <c r="B4396" t="s">
        <v>6</v>
      </c>
      <c r="C4396" t="s">
        <v>83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100.4537</v>
      </c>
      <c r="K4396" t="s">
        <v>37</v>
      </c>
    </row>
    <row r="4397" spans="1:11" x14ac:dyDescent="0.45">
      <c r="A4397" t="s">
        <v>87</v>
      </c>
      <c r="B4397" t="s">
        <v>6</v>
      </c>
      <c r="C4397" t="s">
        <v>83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110.92140000000001</v>
      </c>
      <c r="K4397" t="s">
        <v>37</v>
      </c>
    </row>
    <row r="4398" spans="1:11" x14ac:dyDescent="0.45">
      <c r="A4398" t="s">
        <v>87</v>
      </c>
      <c r="B4398" t="s">
        <v>6</v>
      </c>
      <c r="C4398" t="s">
        <v>83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376.94569999999999</v>
      </c>
      <c r="K4398" t="s">
        <v>48</v>
      </c>
    </row>
    <row r="4399" spans="1:11" x14ac:dyDescent="0.45">
      <c r="A4399" t="s">
        <v>87</v>
      </c>
      <c r="B4399" t="s">
        <v>6</v>
      </c>
      <c r="C4399" t="s">
        <v>83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401.39640000000003</v>
      </c>
      <c r="K4399" t="s">
        <v>48</v>
      </c>
    </row>
    <row r="4400" spans="1:11" x14ac:dyDescent="0.45">
      <c r="A4400" t="s">
        <v>87</v>
      </c>
      <c r="B4400" t="s">
        <v>6</v>
      </c>
      <c r="C4400" t="s">
        <v>83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411.94529999999997</v>
      </c>
      <c r="K4400" t="s">
        <v>48</v>
      </c>
    </row>
    <row r="4401" spans="1:11" x14ac:dyDescent="0.45">
      <c r="A4401" t="s">
        <v>87</v>
      </c>
      <c r="B4401" t="s">
        <v>6</v>
      </c>
      <c r="C4401" t="s">
        <v>83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407.53750000000002</v>
      </c>
      <c r="K4401" t="s">
        <v>48</v>
      </c>
    </row>
    <row r="4402" spans="1:11" x14ac:dyDescent="0.45">
      <c r="A4402" t="s">
        <v>87</v>
      </c>
      <c r="B4402" t="s">
        <v>6</v>
      </c>
      <c r="C4402" t="s">
        <v>83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321.52280000000002</v>
      </c>
      <c r="K4402" t="s">
        <v>48</v>
      </c>
    </row>
    <row r="4403" spans="1:11" x14ac:dyDescent="0.45">
      <c r="A4403" t="s">
        <v>87</v>
      </c>
      <c r="B4403" t="s">
        <v>6</v>
      </c>
      <c r="C4403" t="s">
        <v>83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205.7859</v>
      </c>
      <c r="K4403" t="s">
        <v>48</v>
      </c>
    </row>
    <row r="4404" spans="1:11" x14ac:dyDescent="0.45">
      <c r="A4404" t="s">
        <v>87</v>
      </c>
      <c r="B4404" t="s">
        <v>6</v>
      </c>
      <c r="C4404" t="s">
        <v>83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116.6596</v>
      </c>
      <c r="K4404" t="s">
        <v>48</v>
      </c>
    </row>
    <row r="4405" spans="1:11" x14ac:dyDescent="0.45">
      <c r="A4405" t="s">
        <v>87</v>
      </c>
      <c r="B4405" t="s">
        <v>6</v>
      </c>
      <c r="C4405" t="s">
        <v>83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335.17200000000003</v>
      </c>
      <c r="K4405" t="s">
        <v>51</v>
      </c>
    </row>
    <row r="4406" spans="1:11" x14ac:dyDescent="0.45">
      <c r="A4406" t="s">
        <v>87</v>
      </c>
      <c r="B4406" t="s">
        <v>6</v>
      </c>
      <c r="C4406" t="s">
        <v>83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341.56650000000002</v>
      </c>
      <c r="K4406" t="s">
        <v>51</v>
      </c>
    </row>
    <row r="4407" spans="1:11" x14ac:dyDescent="0.45">
      <c r="A4407" t="s">
        <v>87</v>
      </c>
      <c r="B4407" t="s">
        <v>6</v>
      </c>
      <c r="C4407" t="s">
        <v>83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344.76519999999999</v>
      </c>
      <c r="K4407" t="s">
        <v>51</v>
      </c>
    </row>
    <row r="4408" spans="1:11" x14ac:dyDescent="0.45">
      <c r="A4408" t="s">
        <v>87</v>
      </c>
      <c r="B4408" t="s">
        <v>6</v>
      </c>
      <c r="C4408" t="s">
        <v>83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343.3383</v>
      </c>
      <c r="K4408" t="s">
        <v>51</v>
      </c>
    </row>
    <row r="4409" spans="1:11" x14ac:dyDescent="0.45">
      <c r="A4409" t="s">
        <v>87</v>
      </c>
      <c r="B4409" t="s">
        <v>6</v>
      </c>
      <c r="C4409" t="s">
        <v>83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261.7706</v>
      </c>
      <c r="K4409" t="s">
        <v>51</v>
      </c>
    </row>
    <row r="4410" spans="1:11" x14ac:dyDescent="0.45">
      <c r="A4410" t="s">
        <v>87</v>
      </c>
      <c r="B4410" t="s">
        <v>6</v>
      </c>
      <c r="C4410" t="s">
        <v>83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150.13669999999999</v>
      </c>
      <c r="K4410" t="s">
        <v>51</v>
      </c>
    </row>
    <row r="4411" spans="1:11" x14ac:dyDescent="0.45">
      <c r="A4411" t="s">
        <v>87</v>
      </c>
      <c r="B4411" t="s">
        <v>6</v>
      </c>
      <c r="C4411" t="s">
        <v>83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73.321799999999996</v>
      </c>
      <c r="K4411" t="s">
        <v>51</v>
      </c>
    </row>
    <row r="4412" spans="1:11" x14ac:dyDescent="0.45">
      <c r="A4412" t="s">
        <v>87</v>
      </c>
      <c r="B4412" t="s">
        <v>5</v>
      </c>
      <c r="C4412" t="s">
        <v>83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87</v>
      </c>
      <c r="B4413" t="s">
        <v>5</v>
      </c>
      <c r="C4413" t="s">
        <v>83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87</v>
      </c>
      <c r="B4414" t="s">
        <v>5</v>
      </c>
      <c r="C4414" t="s">
        <v>83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3.7366000000000001</v>
      </c>
      <c r="K4414" t="s">
        <v>45</v>
      </c>
    </row>
    <row r="4415" spans="1:11" x14ac:dyDescent="0.45">
      <c r="A4415" t="s">
        <v>87</v>
      </c>
      <c r="B4415" t="s">
        <v>5</v>
      </c>
      <c r="C4415" t="s">
        <v>83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9.6388999999999996</v>
      </c>
      <c r="K4415" t="s">
        <v>45</v>
      </c>
    </row>
    <row r="4416" spans="1:11" x14ac:dyDescent="0.45">
      <c r="A4416" t="s">
        <v>87</v>
      </c>
      <c r="B4416" t="s">
        <v>5</v>
      </c>
      <c r="C4416" t="s">
        <v>83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10.898</v>
      </c>
      <c r="K4416" t="s">
        <v>45</v>
      </c>
    </row>
    <row r="4417" spans="1:11" x14ac:dyDescent="0.45">
      <c r="A4417" t="s">
        <v>87</v>
      </c>
      <c r="B4417" t="s">
        <v>5</v>
      </c>
      <c r="C4417" t="s">
        <v>83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6.8823999999999996</v>
      </c>
      <c r="K4417" t="s">
        <v>45</v>
      </c>
    </row>
    <row r="4418" spans="1:11" x14ac:dyDescent="0.45">
      <c r="A4418" t="s">
        <v>87</v>
      </c>
      <c r="B4418" t="s">
        <v>5</v>
      </c>
      <c r="C4418" t="s">
        <v>83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7.0453999999999999</v>
      </c>
      <c r="K4418" t="s">
        <v>45</v>
      </c>
    </row>
    <row r="4419" spans="1:11" x14ac:dyDescent="0.45">
      <c r="A4419" t="s">
        <v>87</v>
      </c>
      <c r="B4419" t="s">
        <v>5</v>
      </c>
      <c r="C4419" t="s">
        <v>83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0.15970000000000001</v>
      </c>
      <c r="K4419" t="s">
        <v>24</v>
      </c>
    </row>
    <row r="4420" spans="1:11" x14ac:dyDescent="0.45">
      <c r="A4420" t="s">
        <v>87</v>
      </c>
      <c r="B4420" t="s">
        <v>5</v>
      </c>
      <c r="C4420" t="s">
        <v>83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0.1686</v>
      </c>
      <c r="K4420" t="s">
        <v>24</v>
      </c>
    </row>
    <row r="4421" spans="1:11" x14ac:dyDescent="0.45">
      <c r="A4421" t="s">
        <v>87</v>
      </c>
      <c r="B4421" t="s">
        <v>5</v>
      </c>
      <c r="C4421" t="s">
        <v>83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0.18410000000000001</v>
      </c>
      <c r="K4421" t="s">
        <v>24</v>
      </c>
    </row>
    <row r="4422" spans="1:11" x14ac:dyDescent="0.45">
      <c r="A4422" t="s">
        <v>87</v>
      </c>
      <c r="B4422" t="s">
        <v>5</v>
      </c>
      <c r="C4422" t="s">
        <v>83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0.1678</v>
      </c>
      <c r="K4422" t="s">
        <v>24</v>
      </c>
    </row>
    <row r="4423" spans="1:11" x14ac:dyDescent="0.45">
      <c r="A4423" t="s">
        <v>87</v>
      </c>
      <c r="B4423" t="s">
        <v>5</v>
      </c>
      <c r="C4423" t="s">
        <v>83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0.14680000000000001</v>
      </c>
      <c r="K4423" t="s">
        <v>24</v>
      </c>
    </row>
    <row r="4424" spans="1:11" x14ac:dyDescent="0.45">
      <c r="A4424" t="s">
        <v>87</v>
      </c>
      <c r="B4424" t="s">
        <v>5</v>
      </c>
      <c r="C4424" t="s">
        <v>83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0.15590000000000001</v>
      </c>
      <c r="K4424" t="s">
        <v>24</v>
      </c>
    </row>
    <row r="4425" spans="1:11" x14ac:dyDescent="0.45">
      <c r="A4425" t="s">
        <v>87</v>
      </c>
      <c r="B4425" t="s">
        <v>5</v>
      </c>
      <c r="C4425" t="s">
        <v>83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0.1575</v>
      </c>
      <c r="K4425" t="s">
        <v>24</v>
      </c>
    </row>
    <row r="4426" spans="1:11" x14ac:dyDescent="0.45">
      <c r="A4426" t="s">
        <v>87</v>
      </c>
      <c r="B4426" t="s">
        <v>5</v>
      </c>
      <c r="C4426" t="s">
        <v>83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9.7100000000000006E-2</v>
      </c>
      <c r="K4426" t="s">
        <v>28</v>
      </c>
    </row>
    <row r="4427" spans="1:11" x14ac:dyDescent="0.45">
      <c r="A4427" t="s">
        <v>87</v>
      </c>
      <c r="B4427" t="s">
        <v>5</v>
      </c>
      <c r="C4427" t="s">
        <v>83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0.1245</v>
      </c>
      <c r="K4427" t="s">
        <v>28</v>
      </c>
    </row>
    <row r="4428" spans="1:11" x14ac:dyDescent="0.45">
      <c r="A4428" t="s">
        <v>87</v>
      </c>
      <c r="B4428" t="s">
        <v>5</v>
      </c>
      <c r="C4428" t="s">
        <v>83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0.18940000000000001</v>
      </c>
      <c r="K4428" t="s">
        <v>28</v>
      </c>
    </row>
    <row r="4429" spans="1:11" x14ac:dyDescent="0.45">
      <c r="A4429" t="s">
        <v>87</v>
      </c>
      <c r="B4429" t="s">
        <v>5</v>
      </c>
      <c r="C4429" t="s">
        <v>83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0.23430000000000001</v>
      </c>
      <c r="K4429" t="s">
        <v>28</v>
      </c>
    </row>
    <row r="4430" spans="1:11" x14ac:dyDescent="0.45">
      <c r="A4430" t="s">
        <v>87</v>
      </c>
      <c r="B4430" t="s">
        <v>5</v>
      </c>
      <c r="C4430" t="s">
        <v>83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0.255</v>
      </c>
      <c r="K4430" t="s">
        <v>28</v>
      </c>
    </row>
    <row r="4431" spans="1:11" x14ac:dyDescent="0.45">
      <c r="A4431" t="s">
        <v>87</v>
      </c>
      <c r="B4431" t="s">
        <v>5</v>
      </c>
      <c r="C4431" t="s">
        <v>83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0.2747</v>
      </c>
      <c r="K4431" t="s">
        <v>28</v>
      </c>
    </row>
    <row r="4432" spans="1:11" x14ac:dyDescent="0.45">
      <c r="A4432" t="s">
        <v>87</v>
      </c>
      <c r="B4432" t="s">
        <v>5</v>
      </c>
      <c r="C4432" t="s">
        <v>83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0.29630000000000001</v>
      </c>
      <c r="K4432" t="s">
        <v>28</v>
      </c>
    </row>
    <row r="4433" spans="1:12" x14ac:dyDescent="0.45">
      <c r="A4433" t="s">
        <v>87</v>
      </c>
      <c r="B4433" t="s">
        <v>5</v>
      </c>
      <c r="C4433" t="s">
        <v>83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1.11E-2</v>
      </c>
      <c r="K4433" t="s">
        <v>27</v>
      </c>
    </row>
    <row r="4434" spans="1:12" x14ac:dyDescent="0.45">
      <c r="A4434" t="s">
        <v>87</v>
      </c>
      <c r="B4434" t="s">
        <v>5</v>
      </c>
      <c r="C4434" t="s">
        <v>83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1.8599999999999998E-2</v>
      </c>
      <c r="K4434" t="s">
        <v>27</v>
      </c>
    </row>
    <row r="4435" spans="1:12" x14ac:dyDescent="0.45">
      <c r="A4435" t="s">
        <v>87</v>
      </c>
      <c r="B4435" t="s">
        <v>5</v>
      </c>
      <c r="C4435" t="s">
        <v>83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5.1999999999999998E-2</v>
      </c>
      <c r="K4435" t="s">
        <v>27</v>
      </c>
    </row>
    <row r="4436" spans="1:12" x14ac:dyDescent="0.45">
      <c r="A4436" t="s">
        <v>87</v>
      </c>
      <c r="B4436" t="s">
        <v>5</v>
      </c>
      <c r="C4436" t="s">
        <v>83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9.5000000000000001E-2</v>
      </c>
      <c r="K4436" t="s">
        <v>27</v>
      </c>
    </row>
    <row r="4437" spans="1:12" x14ac:dyDescent="0.45">
      <c r="A4437" t="s">
        <v>87</v>
      </c>
      <c r="B4437" t="s">
        <v>5</v>
      </c>
      <c r="C4437" t="s">
        <v>83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0.1293</v>
      </c>
      <c r="K4437" t="s">
        <v>27</v>
      </c>
    </row>
    <row r="4438" spans="1:12" x14ac:dyDescent="0.45">
      <c r="A4438" t="s">
        <v>87</v>
      </c>
      <c r="B4438" t="s">
        <v>5</v>
      </c>
      <c r="C4438" t="s">
        <v>83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0.13020000000000001</v>
      </c>
      <c r="K4438" t="s">
        <v>27</v>
      </c>
    </row>
    <row r="4439" spans="1:12" x14ac:dyDescent="0.45">
      <c r="A4439" t="s">
        <v>87</v>
      </c>
      <c r="B4439" t="s">
        <v>5</v>
      </c>
      <c r="C4439" t="s">
        <v>83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0.1179</v>
      </c>
      <c r="K4439" t="s">
        <v>27</v>
      </c>
    </row>
    <row r="4440" spans="1:12" x14ac:dyDescent="0.45">
      <c r="A4440" t="s">
        <v>87</v>
      </c>
      <c r="B4440" t="s">
        <v>5</v>
      </c>
      <c r="C4440" t="s">
        <v>83</v>
      </c>
      <c r="D4440" t="s">
        <v>84</v>
      </c>
      <c r="E4440" t="s">
        <v>25</v>
      </c>
      <c r="F4440" t="s">
        <v>84</v>
      </c>
      <c r="G4440" t="s">
        <v>26</v>
      </c>
      <c r="H4440" t="s">
        <v>81</v>
      </c>
      <c r="I4440">
        <v>2020</v>
      </c>
      <c r="J4440">
        <v>4.7000000000000002E-3</v>
      </c>
      <c r="K4440" t="s">
        <v>84</v>
      </c>
    </row>
    <row r="4441" spans="1:12" x14ac:dyDescent="0.45">
      <c r="A4441" t="s">
        <v>87</v>
      </c>
      <c r="B4441" t="s">
        <v>5</v>
      </c>
      <c r="C4441" t="s">
        <v>83</v>
      </c>
      <c r="D4441" t="s">
        <v>84</v>
      </c>
      <c r="E4441" t="s">
        <v>25</v>
      </c>
      <c r="F4441" t="s">
        <v>84</v>
      </c>
      <c r="G4441" t="s">
        <v>26</v>
      </c>
      <c r="H4441" t="s">
        <v>81</v>
      </c>
      <c r="I4441">
        <v>2025</v>
      </c>
      <c r="J4441">
        <v>1.9E-2</v>
      </c>
      <c r="K4441" t="s">
        <v>84</v>
      </c>
    </row>
    <row r="4442" spans="1:12" x14ac:dyDescent="0.45">
      <c r="A4442" t="s">
        <v>87</v>
      </c>
      <c r="B4442" t="s">
        <v>5</v>
      </c>
      <c r="C4442" t="s">
        <v>83</v>
      </c>
      <c r="D4442" t="s">
        <v>84</v>
      </c>
      <c r="E4442" t="s">
        <v>25</v>
      </c>
      <c r="F4442" t="s">
        <v>84</v>
      </c>
      <c r="G4442" t="s">
        <v>26</v>
      </c>
      <c r="H4442" t="s">
        <v>81</v>
      </c>
      <c r="I4442">
        <v>2030</v>
      </c>
      <c r="J4442">
        <v>2.7099999999999999E-2</v>
      </c>
      <c r="K4442" t="s">
        <v>84</v>
      </c>
    </row>
    <row r="4443" spans="1:12" x14ac:dyDescent="0.45">
      <c r="A4443" t="s">
        <v>87</v>
      </c>
      <c r="B4443" t="s">
        <v>5</v>
      </c>
      <c r="C4443" t="s">
        <v>83</v>
      </c>
      <c r="D4443" t="s">
        <v>84</v>
      </c>
      <c r="E4443" t="s">
        <v>25</v>
      </c>
      <c r="F4443" t="s">
        <v>84</v>
      </c>
      <c r="G4443" t="s">
        <v>26</v>
      </c>
      <c r="H4443" t="s">
        <v>81</v>
      </c>
      <c r="I4443">
        <v>2035</v>
      </c>
      <c r="J4443">
        <v>2.1700000000000001E-2</v>
      </c>
      <c r="K4443" t="s">
        <v>84</v>
      </c>
    </row>
    <row r="4444" spans="1:12" x14ac:dyDescent="0.45">
      <c r="A4444" t="s">
        <v>87</v>
      </c>
      <c r="B4444" t="s">
        <v>5</v>
      </c>
      <c r="C4444" t="s">
        <v>83</v>
      </c>
      <c r="D4444" t="s">
        <v>84</v>
      </c>
      <c r="E4444" t="s">
        <v>25</v>
      </c>
      <c r="F4444" t="s">
        <v>84</v>
      </c>
      <c r="G4444" t="s">
        <v>26</v>
      </c>
      <c r="H4444" t="s">
        <v>81</v>
      </c>
      <c r="I4444">
        <v>2040</v>
      </c>
      <c r="J4444">
        <v>1.5900000000000001E-2</v>
      </c>
      <c r="K4444" t="s">
        <v>84</v>
      </c>
    </row>
    <row r="4445" spans="1:12" x14ac:dyDescent="0.45">
      <c r="A4445" t="s">
        <v>87</v>
      </c>
      <c r="B4445" t="s">
        <v>5</v>
      </c>
      <c r="C4445" t="s">
        <v>83</v>
      </c>
      <c r="D4445" t="s">
        <v>84</v>
      </c>
      <c r="E4445" t="s">
        <v>25</v>
      </c>
      <c r="F4445" t="s">
        <v>84</v>
      </c>
      <c r="G4445" t="s">
        <v>26</v>
      </c>
      <c r="H4445" t="s">
        <v>81</v>
      </c>
      <c r="I4445">
        <v>2045</v>
      </c>
      <c r="J4445">
        <v>1.15E-2</v>
      </c>
      <c r="K4445" t="s">
        <v>84</v>
      </c>
    </row>
    <row r="4446" spans="1:12" x14ac:dyDescent="0.45">
      <c r="A4446" t="s">
        <v>87</v>
      </c>
      <c r="B4446" t="s">
        <v>5</v>
      </c>
      <c r="C4446" t="s">
        <v>83</v>
      </c>
      <c r="D4446" t="s">
        <v>84</v>
      </c>
      <c r="E4446" t="s">
        <v>25</v>
      </c>
      <c r="F4446" t="s">
        <v>84</v>
      </c>
      <c r="G4446" t="s">
        <v>26</v>
      </c>
      <c r="H4446" t="s">
        <v>81</v>
      </c>
      <c r="I4446">
        <v>2050</v>
      </c>
      <c r="J4446">
        <v>1.46E-2</v>
      </c>
      <c r="K4446" t="s">
        <v>84</v>
      </c>
    </row>
    <row r="4447" spans="1:12" x14ac:dyDescent="0.45">
      <c r="A4447" t="s">
        <v>87</v>
      </c>
      <c r="B4447" t="s">
        <v>5</v>
      </c>
      <c r="C4447" t="s">
        <v>83</v>
      </c>
      <c r="D4447" t="s">
        <v>52</v>
      </c>
      <c r="E4447" t="s">
        <v>25</v>
      </c>
      <c r="F4447" t="s">
        <v>52</v>
      </c>
      <c r="G4447" t="s">
        <v>70</v>
      </c>
      <c r="I4447">
        <v>2020</v>
      </c>
      <c r="J4447">
        <v>0.33169999999999999</v>
      </c>
      <c r="K4447" t="s">
        <v>52</v>
      </c>
      <c r="L4447">
        <v>94</v>
      </c>
    </row>
    <row r="4448" spans="1:12" x14ac:dyDescent="0.45">
      <c r="A4448" t="s">
        <v>87</v>
      </c>
      <c r="B4448" t="s">
        <v>5</v>
      </c>
      <c r="C4448" t="s">
        <v>83</v>
      </c>
      <c r="D4448" t="s">
        <v>52</v>
      </c>
      <c r="E4448" t="s">
        <v>25</v>
      </c>
      <c r="F4448" t="s">
        <v>52</v>
      </c>
      <c r="G4448" t="s">
        <v>70</v>
      </c>
      <c r="I4448">
        <v>2025</v>
      </c>
      <c r="J4448">
        <v>0.31390000000000001</v>
      </c>
      <c r="K4448" t="s">
        <v>52</v>
      </c>
      <c r="L4448">
        <v>94</v>
      </c>
    </row>
    <row r="4449" spans="1:12" x14ac:dyDescent="0.45">
      <c r="A4449" t="s">
        <v>87</v>
      </c>
      <c r="B4449" t="s">
        <v>5</v>
      </c>
      <c r="C4449" t="s">
        <v>83</v>
      </c>
      <c r="D4449" t="s">
        <v>52</v>
      </c>
      <c r="E4449" t="s">
        <v>25</v>
      </c>
      <c r="F4449" t="s">
        <v>52</v>
      </c>
      <c r="G4449" t="s">
        <v>70</v>
      </c>
      <c r="I4449">
        <v>2030</v>
      </c>
      <c r="J4449">
        <v>0.29160000000000003</v>
      </c>
      <c r="K4449" t="s">
        <v>52</v>
      </c>
      <c r="L4449">
        <v>94</v>
      </c>
    </row>
    <row r="4450" spans="1:12" x14ac:dyDescent="0.45">
      <c r="A4450" t="s">
        <v>87</v>
      </c>
      <c r="B4450" t="s">
        <v>5</v>
      </c>
      <c r="C4450" t="s">
        <v>83</v>
      </c>
      <c r="D4450" t="s">
        <v>52</v>
      </c>
      <c r="E4450" t="s">
        <v>25</v>
      </c>
      <c r="F4450" t="s">
        <v>52</v>
      </c>
      <c r="G4450" t="s">
        <v>70</v>
      </c>
      <c r="I4450">
        <v>2035</v>
      </c>
      <c r="J4450">
        <v>0.1328</v>
      </c>
      <c r="K4450" t="s">
        <v>52</v>
      </c>
      <c r="L4450">
        <v>94</v>
      </c>
    </row>
    <row r="4451" spans="1:12" x14ac:dyDescent="0.45">
      <c r="A4451" t="s">
        <v>87</v>
      </c>
      <c r="B4451" t="s">
        <v>5</v>
      </c>
      <c r="C4451" t="s">
        <v>83</v>
      </c>
      <c r="D4451" t="s">
        <v>52</v>
      </c>
      <c r="E4451" t="s">
        <v>25</v>
      </c>
      <c r="F4451" t="s">
        <v>52</v>
      </c>
      <c r="G4451" t="s">
        <v>70</v>
      </c>
      <c r="I4451">
        <v>2040</v>
      </c>
      <c r="J4451">
        <v>0.04</v>
      </c>
      <c r="K4451" t="s">
        <v>52</v>
      </c>
      <c r="L4451">
        <v>94</v>
      </c>
    </row>
    <row r="4452" spans="1:12" x14ac:dyDescent="0.45">
      <c r="A4452" t="s">
        <v>87</v>
      </c>
      <c r="B4452" t="s">
        <v>5</v>
      </c>
      <c r="C4452" t="s">
        <v>83</v>
      </c>
      <c r="D4452" t="s">
        <v>52</v>
      </c>
      <c r="E4452" t="s">
        <v>25</v>
      </c>
      <c r="F4452" t="s">
        <v>52</v>
      </c>
      <c r="G4452" t="s">
        <v>70</v>
      </c>
      <c r="I4452">
        <v>2045</v>
      </c>
      <c r="J4452">
        <v>1E-4</v>
      </c>
      <c r="K4452" t="s">
        <v>52</v>
      </c>
      <c r="L4452">
        <v>94</v>
      </c>
    </row>
    <row r="4453" spans="1:12" x14ac:dyDescent="0.45">
      <c r="A4453" t="s">
        <v>87</v>
      </c>
      <c r="B4453" t="s">
        <v>5</v>
      </c>
      <c r="C4453" t="s">
        <v>83</v>
      </c>
      <c r="D4453" t="s">
        <v>52</v>
      </c>
      <c r="E4453" t="s">
        <v>25</v>
      </c>
      <c r="F4453" t="s">
        <v>52</v>
      </c>
      <c r="G4453" t="s">
        <v>70</v>
      </c>
      <c r="I4453">
        <v>2050</v>
      </c>
      <c r="J4453">
        <v>1E-4</v>
      </c>
      <c r="K4453" t="s">
        <v>52</v>
      </c>
      <c r="L4453">
        <v>94</v>
      </c>
    </row>
    <row r="4454" spans="1:12" x14ac:dyDescent="0.45">
      <c r="A4454" t="s">
        <v>87</v>
      </c>
      <c r="B4454" t="s">
        <v>5</v>
      </c>
      <c r="C4454" t="s">
        <v>83</v>
      </c>
      <c r="D4454" t="s">
        <v>53</v>
      </c>
      <c r="E4454" t="s">
        <v>25</v>
      </c>
      <c r="F4454" t="s">
        <v>53</v>
      </c>
      <c r="G4454" t="s">
        <v>70</v>
      </c>
      <c r="I4454">
        <v>2020</v>
      </c>
      <c r="J4454">
        <v>0.1116</v>
      </c>
      <c r="K4454" t="s">
        <v>53</v>
      </c>
      <c r="L4454">
        <v>55</v>
      </c>
    </row>
    <row r="4455" spans="1:12" x14ac:dyDescent="0.45">
      <c r="A4455" t="s">
        <v>87</v>
      </c>
      <c r="B4455" t="s">
        <v>5</v>
      </c>
      <c r="C4455" t="s">
        <v>83</v>
      </c>
      <c r="D4455" t="s">
        <v>53</v>
      </c>
      <c r="E4455" t="s">
        <v>25</v>
      </c>
      <c r="F4455" t="s">
        <v>53</v>
      </c>
      <c r="G4455" t="s">
        <v>70</v>
      </c>
      <c r="I4455">
        <v>2025</v>
      </c>
      <c r="J4455">
        <v>0.1346</v>
      </c>
      <c r="K4455" t="s">
        <v>53</v>
      </c>
      <c r="L4455">
        <v>55</v>
      </c>
    </row>
    <row r="4456" spans="1:12" x14ac:dyDescent="0.45">
      <c r="A4456" t="s">
        <v>87</v>
      </c>
      <c r="B4456" t="s">
        <v>5</v>
      </c>
      <c r="C4456" t="s">
        <v>83</v>
      </c>
      <c r="D4456" t="s">
        <v>53</v>
      </c>
      <c r="E4456" t="s">
        <v>25</v>
      </c>
      <c r="F4456" t="s">
        <v>53</v>
      </c>
      <c r="G4456" t="s">
        <v>70</v>
      </c>
      <c r="I4456">
        <v>2030</v>
      </c>
      <c r="J4456">
        <v>0.1201</v>
      </c>
      <c r="K4456" t="s">
        <v>53</v>
      </c>
      <c r="L4456">
        <v>55</v>
      </c>
    </row>
    <row r="4457" spans="1:12" x14ac:dyDescent="0.45">
      <c r="A4457" t="s">
        <v>87</v>
      </c>
      <c r="B4457" t="s">
        <v>5</v>
      </c>
      <c r="C4457" t="s">
        <v>83</v>
      </c>
      <c r="D4457" t="s">
        <v>53</v>
      </c>
      <c r="E4457" t="s">
        <v>25</v>
      </c>
      <c r="F4457" t="s">
        <v>53</v>
      </c>
      <c r="G4457" t="s">
        <v>70</v>
      </c>
      <c r="I4457">
        <v>2035</v>
      </c>
      <c r="J4457">
        <v>5.2200000000000003E-2</v>
      </c>
      <c r="K4457" t="s">
        <v>53</v>
      </c>
      <c r="L4457">
        <v>55</v>
      </c>
    </row>
    <row r="4458" spans="1:12" x14ac:dyDescent="0.45">
      <c r="A4458" t="s">
        <v>87</v>
      </c>
      <c r="B4458" t="s">
        <v>5</v>
      </c>
      <c r="C4458" t="s">
        <v>83</v>
      </c>
      <c r="D4458" t="s">
        <v>53</v>
      </c>
      <c r="E4458" t="s">
        <v>25</v>
      </c>
      <c r="F4458" t="s">
        <v>53</v>
      </c>
      <c r="G4458" t="s">
        <v>70</v>
      </c>
      <c r="I4458">
        <v>2040</v>
      </c>
      <c r="J4458">
        <v>6.1000000000000004E-3</v>
      </c>
      <c r="K4458" t="s">
        <v>53</v>
      </c>
      <c r="L4458">
        <v>55</v>
      </c>
    </row>
    <row r="4459" spans="1:12" x14ac:dyDescent="0.45">
      <c r="A4459" t="s">
        <v>87</v>
      </c>
      <c r="B4459" t="s">
        <v>5</v>
      </c>
      <c r="C4459" t="s">
        <v>83</v>
      </c>
      <c r="D4459" t="s">
        <v>53</v>
      </c>
      <c r="E4459" t="s">
        <v>25</v>
      </c>
      <c r="F4459" t="s">
        <v>53</v>
      </c>
      <c r="G4459" t="s">
        <v>70</v>
      </c>
      <c r="I4459">
        <v>2045</v>
      </c>
      <c r="J4459">
        <v>1E-3</v>
      </c>
      <c r="K4459" t="s">
        <v>53</v>
      </c>
      <c r="L4459">
        <v>55</v>
      </c>
    </row>
    <row r="4460" spans="1:12" x14ac:dyDescent="0.45">
      <c r="A4460" t="s">
        <v>87</v>
      </c>
      <c r="B4460" t="s">
        <v>5</v>
      </c>
      <c r="C4460" t="s">
        <v>83</v>
      </c>
      <c r="D4460" t="s">
        <v>53</v>
      </c>
      <c r="E4460" t="s">
        <v>25</v>
      </c>
      <c r="F4460" t="s">
        <v>53</v>
      </c>
      <c r="G4460" t="s">
        <v>70</v>
      </c>
      <c r="I4460">
        <v>2050</v>
      </c>
      <c r="J4460">
        <v>2.9999999999999997E-4</v>
      </c>
      <c r="K4460" t="s">
        <v>53</v>
      </c>
      <c r="L4460">
        <v>55</v>
      </c>
    </row>
    <row r="4461" spans="1:12" x14ac:dyDescent="0.45">
      <c r="A4461" t="s">
        <v>87</v>
      </c>
      <c r="B4461" t="s">
        <v>5</v>
      </c>
      <c r="C4461" t="s">
        <v>83</v>
      </c>
      <c r="D4461" t="s">
        <v>54</v>
      </c>
      <c r="E4461" t="s">
        <v>25</v>
      </c>
      <c r="F4461" t="s">
        <v>54</v>
      </c>
      <c r="G4461" t="s">
        <v>70</v>
      </c>
      <c r="I4461">
        <v>2020</v>
      </c>
      <c r="J4461">
        <v>0</v>
      </c>
      <c r="K4461" t="s">
        <v>54</v>
      </c>
      <c r="L4461">
        <v>70</v>
      </c>
    </row>
    <row r="4462" spans="1:12" x14ac:dyDescent="0.45">
      <c r="A4462" t="s">
        <v>87</v>
      </c>
      <c r="B4462" t="s">
        <v>5</v>
      </c>
      <c r="C4462" t="s">
        <v>83</v>
      </c>
      <c r="D4462" t="s">
        <v>54</v>
      </c>
      <c r="E4462" t="s">
        <v>25</v>
      </c>
      <c r="F4462" t="s">
        <v>54</v>
      </c>
      <c r="G4462" t="s">
        <v>70</v>
      </c>
      <c r="I4462">
        <v>2025</v>
      </c>
      <c r="J4462">
        <v>0</v>
      </c>
      <c r="K4462" t="s">
        <v>54</v>
      </c>
      <c r="L4462">
        <v>70</v>
      </c>
    </row>
    <row r="4463" spans="1:12" x14ac:dyDescent="0.45">
      <c r="A4463" t="s">
        <v>87</v>
      </c>
      <c r="B4463" t="s">
        <v>5</v>
      </c>
      <c r="C4463" t="s">
        <v>83</v>
      </c>
      <c r="D4463" t="s">
        <v>54</v>
      </c>
      <c r="E4463" t="s">
        <v>25</v>
      </c>
      <c r="F4463" t="s">
        <v>54</v>
      </c>
      <c r="G4463" t="s">
        <v>70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87</v>
      </c>
      <c r="B4464" t="s">
        <v>5</v>
      </c>
      <c r="C4464" t="s">
        <v>83</v>
      </c>
      <c r="D4464" t="s">
        <v>54</v>
      </c>
      <c r="E4464" t="s">
        <v>25</v>
      </c>
      <c r="F4464" t="s">
        <v>54</v>
      </c>
      <c r="G4464" t="s">
        <v>70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87</v>
      </c>
      <c r="B4465" t="s">
        <v>5</v>
      </c>
      <c r="C4465" t="s">
        <v>83</v>
      </c>
      <c r="D4465" t="s">
        <v>54</v>
      </c>
      <c r="E4465" t="s">
        <v>25</v>
      </c>
      <c r="F4465" t="s">
        <v>54</v>
      </c>
      <c r="G4465" t="s">
        <v>70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87</v>
      </c>
      <c r="B4466" t="s">
        <v>5</v>
      </c>
      <c r="C4466" t="s">
        <v>83</v>
      </c>
      <c r="D4466" t="s">
        <v>54</v>
      </c>
      <c r="E4466" t="s">
        <v>25</v>
      </c>
      <c r="F4466" t="s">
        <v>54</v>
      </c>
      <c r="G4466" t="s">
        <v>70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87</v>
      </c>
      <c r="B4467" t="s">
        <v>5</v>
      </c>
      <c r="C4467" t="s">
        <v>83</v>
      </c>
      <c r="D4467" t="s">
        <v>54</v>
      </c>
      <c r="E4467" t="s">
        <v>25</v>
      </c>
      <c r="F4467" t="s">
        <v>54</v>
      </c>
      <c r="G4467" t="s">
        <v>70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87</v>
      </c>
      <c r="B4468" t="s">
        <v>5</v>
      </c>
      <c r="C4468" t="s">
        <v>83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87</v>
      </c>
      <c r="B4469" t="s">
        <v>5</v>
      </c>
      <c r="C4469" t="s">
        <v>83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87</v>
      </c>
      <c r="B4470" t="s">
        <v>5</v>
      </c>
      <c r="C4470" t="s">
        <v>83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87</v>
      </c>
      <c r="B4471" t="s">
        <v>5</v>
      </c>
      <c r="C4471" t="s">
        <v>83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87</v>
      </c>
      <c r="B4472" t="s">
        <v>5</v>
      </c>
      <c r="C4472" t="s">
        <v>83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87</v>
      </c>
      <c r="B4473" t="s">
        <v>5</v>
      </c>
      <c r="C4473" t="s">
        <v>83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87</v>
      </c>
      <c r="B4474" t="s">
        <v>5</v>
      </c>
      <c r="C4474" t="s">
        <v>83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87</v>
      </c>
      <c r="B4475" t="s">
        <v>5</v>
      </c>
      <c r="C4475" t="s">
        <v>83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87</v>
      </c>
      <c r="B4476" t="s">
        <v>5</v>
      </c>
      <c r="C4476" t="s">
        <v>83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87</v>
      </c>
      <c r="B4477" t="s">
        <v>5</v>
      </c>
      <c r="C4477" t="s">
        <v>83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87</v>
      </c>
      <c r="B4478" t="s">
        <v>5</v>
      </c>
      <c r="C4478" t="s">
        <v>83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87</v>
      </c>
      <c r="B4479" t="s">
        <v>5</v>
      </c>
      <c r="C4479" t="s">
        <v>83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87</v>
      </c>
      <c r="B4480" t="s">
        <v>5</v>
      </c>
      <c r="C4480" t="s">
        <v>83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87</v>
      </c>
      <c r="B4481" t="s">
        <v>5</v>
      </c>
      <c r="C4481" t="s">
        <v>83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87</v>
      </c>
      <c r="B4482" t="s">
        <v>5</v>
      </c>
      <c r="C4482" t="s">
        <v>83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87</v>
      </c>
      <c r="B4483" t="s">
        <v>5</v>
      </c>
      <c r="C4483" t="s">
        <v>83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87</v>
      </c>
      <c r="B4484" t="s">
        <v>5</v>
      </c>
      <c r="C4484" t="s">
        <v>83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87</v>
      </c>
      <c r="B4485" t="s">
        <v>5</v>
      </c>
      <c r="C4485" t="s">
        <v>83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87</v>
      </c>
      <c r="B4486" t="s">
        <v>5</v>
      </c>
      <c r="C4486" t="s">
        <v>83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87</v>
      </c>
      <c r="B4487" t="s">
        <v>5</v>
      </c>
      <c r="C4487" t="s">
        <v>83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87</v>
      </c>
      <c r="B4488" t="s">
        <v>5</v>
      </c>
      <c r="C4488" t="s">
        <v>83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87</v>
      </c>
      <c r="B4489" t="s">
        <v>5</v>
      </c>
      <c r="C4489" t="s">
        <v>83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56.074300000000001</v>
      </c>
      <c r="K4489" t="s">
        <v>37</v>
      </c>
    </row>
    <row r="4490" spans="1:11" x14ac:dyDescent="0.45">
      <c r="A4490" t="s">
        <v>87</v>
      </c>
      <c r="B4490" t="s">
        <v>5</v>
      </c>
      <c r="C4490" t="s">
        <v>83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41.548699999999997</v>
      </c>
      <c r="K4490" t="s">
        <v>37</v>
      </c>
    </row>
    <row r="4491" spans="1:11" x14ac:dyDescent="0.45">
      <c r="A4491" t="s">
        <v>87</v>
      </c>
      <c r="B4491" t="s">
        <v>5</v>
      </c>
      <c r="C4491" t="s">
        <v>83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63.544600000000003</v>
      </c>
      <c r="K4491" t="s">
        <v>37</v>
      </c>
    </row>
    <row r="4492" spans="1:11" x14ac:dyDescent="0.45">
      <c r="A4492" t="s">
        <v>87</v>
      </c>
      <c r="B4492" t="s">
        <v>5</v>
      </c>
      <c r="C4492" t="s">
        <v>83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67.599800000000002</v>
      </c>
      <c r="K4492" t="s">
        <v>37</v>
      </c>
    </row>
    <row r="4493" spans="1:11" x14ac:dyDescent="0.45">
      <c r="A4493" t="s">
        <v>87</v>
      </c>
      <c r="B4493" t="s">
        <v>5</v>
      </c>
      <c r="C4493" t="s">
        <v>83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73.950199999999995</v>
      </c>
      <c r="K4493" t="s">
        <v>37</v>
      </c>
    </row>
    <row r="4494" spans="1:11" x14ac:dyDescent="0.45">
      <c r="A4494" t="s">
        <v>87</v>
      </c>
      <c r="B4494" t="s">
        <v>5</v>
      </c>
      <c r="C4494" t="s">
        <v>83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82.454599999999999</v>
      </c>
      <c r="K4494" t="s">
        <v>37</v>
      </c>
    </row>
    <row r="4495" spans="1:11" x14ac:dyDescent="0.45">
      <c r="A4495" t="s">
        <v>87</v>
      </c>
      <c r="B4495" t="s">
        <v>5</v>
      </c>
      <c r="C4495" t="s">
        <v>83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66.415899999999993</v>
      </c>
      <c r="K4495" t="s">
        <v>37</v>
      </c>
    </row>
    <row r="4496" spans="1:11" x14ac:dyDescent="0.45">
      <c r="A4496" t="s">
        <v>87</v>
      </c>
      <c r="B4496" t="s">
        <v>5</v>
      </c>
      <c r="C4496" t="s">
        <v>83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377.18009999999998</v>
      </c>
      <c r="K4496" t="s">
        <v>48</v>
      </c>
    </row>
    <row r="4497" spans="1:11" x14ac:dyDescent="0.45">
      <c r="A4497" t="s">
        <v>87</v>
      </c>
      <c r="B4497" t="s">
        <v>5</v>
      </c>
      <c r="C4497" t="s">
        <v>83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383.08019999999999</v>
      </c>
      <c r="K4497" t="s">
        <v>48</v>
      </c>
    </row>
    <row r="4498" spans="1:11" x14ac:dyDescent="0.45">
      <c r="A4498" t="s">
        <v>87</v>
      </c>
      <c r="B4498" t="s">
        <v>5</v>
      </c>
      <c r="C4498" t="s">
        <v>83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283.62740000000002</v>
      </c>
      <c r="K4498" t="s">
        <v>48</v>
      </c>
    </row>
    <row r="4499" spans="1:11" x14ac:dyDescent="0.45">
      <c r="A4499" t="s">
        <v>87</v>
      </c>
      <c r="B4499" t="s">
        <v>5</v>
      </c>
      <c r="C4499" t="s">
        <v>83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148.1962</v>
      </c>
      <c r="K4499" t="s">
        <v>48</v>
      </c>
    </row>
    <row r="4500" spans="1:11" x14ac:dyDescent="0.45">
      <c r="A4500" t="s">
        <v>87</v>
      </c>
      <c r="B4500" t="s">
        <v>5</v>
      </c>
      <c r="C4500" t="s">
        <v>83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82.176900000000003</v>
      </c>
      <c r="K4500" t="s">
        <v>48</v>
      </c>
    </row>
    <row r="4501" spans="1:11" x14ac:dyDescent="0.45">
      <c r="A4501" t="s">
        <v>87</v>
      </c>
      <c r="B4501" t="s">
        <v>5</v>
      </c>
      <c r="C4501" t="s">
        <v>83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51.434699999999999</v>
      </c>
      <c r="K4501" t="s">
        <v>48</v>
      </c>
    </row>
    <row r="4502" spans="1:11" x14ac:dyDescent="0.45">
      <c r="A4502" t="s">
        <v>87</v>
      </c>
      <c r="B4502" t="s">
        <v>5</v>
      </c>
      <c r="C4502" t="s">
        <v>83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40.850200000000001</v>
      </c>
      <c r="K4502" t="s">
        <v>48</v>
      </c>
    </row>
    <row r="4503" spans="1:11" x14ac:dyDescent="0.45">
      <c r="A4503" t="s">
        <v>87</v>
      </c>
      <c r="B4503" t="s">
        <v>5</v>
      </c>
      <c r="C4503" t="s">
        <v>83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335.43970000000002</v>
      </c>
      <c r="K4503" t="s">
        <v>51</v>
      </c>
    </row>
    <row r="4504" spans="1:11" x14ac:dyDescent="0.45">
      <c r="A4504" t="s">
        <v>87</v>
      </c>
      <c r="B4504" t="s">
        <v>5</v>
      </c>
      <c r="C4504" t="s">
        <v>83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331.71069999999997</v>
      </c>
      <c r="K4504" t="s">
        <v>51</v>
      </c>
    </row>
    <row r="4505" spans="1:11" x14ac:dyDescent="0.45">
      <c r="A4505" t="s">
        <v>87</v>
      </c>
      <c r="B4505" t="s">
        <v>5</v>
      </c>
      <c r="C4505" t="s">
        <v>83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227.994</v>
      </c>
      <c r="K4505" t="s">
        <v>51</v>
      </c>
    </row>
    <row r="4506" spans="1:11" x14ac:dyDescent="0.45">
      <c r="A4506" t="s">
        <v>87</v>
      </c>
      <c r="B4506" t="s">
        <v>5</v>
      </c>
      <c r="C4506" t="s">
        <v>83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109.0731</v>
      </c>
      <c r="K4506" t="s">
        <v>51</v>
      </c>
    </row>
    <row r="4507" spans="1:11" x14ac:dyDescent="0.45">
      <c r="A4507" t="s">
        <v>87</v>
      </c>
      <c r="B4507" t="s">
        <v>5</v>
      </c>
      <c r="C4507" t="s">
        <v>83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42.930999999999997</v>
      </c>
      <c r="K4507" t="s">
        <v>51</v>
      </c>
    </row>
    <row r="4508" spans="1:11" x14ac:dyDescent="0.45">
      <c r="A4508" t="s">
        <v>87</v>
      </c>
      <c r="B4508" t="s">
        <v>5</v>
      </c>
      <c r="C4508" t="s">
        <v>83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11.460900000000001</v>
      </c>
      <c r="K4508" t="s">
        <v>51</v>
      </c>
    </row>
    <row r="4509" spans="1:11" x14ac:dyDescent="0.45">
      <c r="A4509" t="s">
        <v>87</v>
      </c>
      <c r="B4509" t="s">
        <v>5</v>
      </c>
      <c r="C4509" t="s">
        <v>83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6.7952000000000004</v>
      </c>
      <c r="K4509" t="s">
        <v>51</v>
      </c>
    </row>
    <row r="4510" spans="1:11" x14ac:dyDescent="0.45">
      <c r="A4510" t="s">
        <v>87</v>
      </c>
      <c r="B4510" t="s">
        <v>2</v>
      </c>
      <c r="C4510" t="s">
        <v>83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87</v>
      </c>
      <c r="B4511" t="s">
        <v>2</v>
      </c>
      <c r="C4511" t="s">
        <v>83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87</v>
      </c>
      <c r="B4512" t="s">
        <v>2</v>
      </c>
      <c r="C4512" t="s">
        <v>83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87</v>
      </c>
      <c r="B4513" t="s">
        <v>2</v>
      </c>
      <c r="C4513" t="s">
        <v>83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2.0999999999999999E-3</v>
      </c>
      <c r="K4513" t="s">
        <v>45</v>
      </c>
    </row>
    <row r="4514" spans="1:11" x14ac:dyDescent="0.45">
      <c r="A4514" t="s">
        <v>87</v>
      </c>
      <c r="B4514" t="s">
        <v>2</v>
      </c>
      <c r="C4514" t="s">
        <v>83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1.01E-2</v>
      </c>
      <c r="K4514" t="s">
        <v>45</v>
      </c>
    </row>
    <row r="4515" spans="1:11" x14ac:dyDescent="0.45">
      <c r="A4515" t="s">
        <v>87</v>
      </c>
      <c r="B4515" t="s">
        <v>2</v>
      </c>
      <c r="C4515" t="s">
        <v>83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2.6200000000000001E-2</v>
      </c>
      <c r="K4515" t="s">
        <v>45</v>
      </c>
    </row>
    <row r="4516" spans="1:11" x14ac:dyDescent="0.45">
      <c r="A4516" t="s">
        <v>87</v>
      </c>
      <c r="B4516" t="s">
        <v>2</v>
      </c>
      <c r="C4516" t="s">
        <v>83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2.9100000000000001E-2</v>
      </c>
      <c r="K4516" t="s">
        <v>45</v>
      </c>
    </row>
    <row r="4517" spans="1:11" x14ac:dyDescent="0.45">
      <c r="A4517" t="s">
        <v>87</v>
      </c>
      <c r="B4517" t="s">
        <v>2</v>
      </c>
      <c r="C4517" t="s">
        <v>83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0.1598</v>
      </c>
      <c r="K4517" t="s">
        <v>24</v>
      </c>
    </row>
    <row r="4518" spans="1:11" x14ac:dyDescent="0.45">
      <c r="A4518" t="s">
        <v>87</v>
      </c>
      <c r="B4518" t="s">
        <v>2</v>
      </c>
      <c r="C4518" t="s">
        <v>83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0.17499999999999999</v>
      </c>
      <c r="K4518" t="s">
        <v>24</v>
      </c>
    </row>
    <row r="4519" spans="1:11" x14ac:dyDescent="0.45">
      <c r="A4519" t="s">
        <v>87</v>
      </c>
      <c r="B4519" t="s">
        <v>2</v>
      </c>
      <c r="C4519" t="s">
        <v>83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0.21310000000000001</v>
      </c>
      <c r="K4519" t="s">
        <v>24</v>
      </c>
    </row>
    <row r="4520" spans="1:11" x14ac:dyDescent="0.45">
      <c r="A4520" t="s">
        <v>87</v>
      </c>
      <c r="B4520" t="s">
        <v>2</v>
      </c>
      <c r="C4520" t="s">
        <v>83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0.27800000000000002</v>
      </c>
      <c r="K4520" t="s">
        <v>24</v>
      </c>
    </row>
    <row r="4521" spans="1:11" x14ac:dyDescent="0.45">
      <c r="A4521" t="s">
        <v>87</v>
      </c>
      <c r="B4521" t="s">
        <v>2</v>
      </c>
      <c r="C4521" t="s">
        <v>83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0.35339999999999999</v>
      </c>
      <c r="K4521" t="s">
        <v>24</v>
      </c>
    </row>
    <row r="4522" spans="1:11" x14ac:dyDescent="0.45">
      <c r="A4522" t="s">
        <v>87</v>
      </c>
      <c r="B4522" t="s">
        <v>2</v>
      </c>
      <c r="C4522" t="s">
        <v>83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0.43</v>
      </c>
      <c r="K4522" t="s">
        <v>24</v>
      </c>
    </row>
    <row r="4523" spans="1:11" x14ac:dyDescent="0.45">
      <c r="A4523" t="s">
        <v>87</v>
      </c>
      <c r="B4523" t="s">
        <v>2</v>
      </c>
      <c r="C4523" t="s">
        <v>83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0.4783</v>
      </c>
      <c r="K4523" t="s">
        <v>24</v>
      </c>
    </row>
    <row r="4524" spans="1:11" x14ac:dyDescent="0.45">
      <c r="A4524" t="s">
        <v>87</v>
      </c>
      <c r="B4524" t="s">
        <v>2</v>
      </c>
      <c r="C4524" t="s">
        <v>83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9.5299999999999996E-2</v>
      </c>
      <c r="K4524" t="s">
        <v>28</v>
      </c>
    </row>
    <row r="4525" spans="1:11" x14ac:dyDescent="0.45">
      <c r="A4525" t="s">
        <v>87</v>
      </c>
      <c r="B4525" t="s">
        <v>2</v>
      </c>
      <c r="C4525" t="s">
        <v>83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0.11509999999999999</v>
      </c>
      <c r="K4525" t="s">
        <v>28</v>
      </c>
    </row>
    <row r="4526" spans="1:11" x14ac:dyDescent="0.45">
      <c r="A4526" t="s">
        <v>87</v>
      </c>
      <c r="B4526" t="s">
        <v>2</v>
      </c>
      <c r="C4526" t="s">
        <v>83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0.14130000000000001</v>
      </c>
      <c r="K4526" t="s">
        <v>28</v>
      </c>
    </row>
    <row r="4527" spans="1:11" x14ac:dyDescent="0.45">
      <c r="A4527" t="s">
        <v>87</v>
      </c>
      <c r="B4527" t="s">
        <v>2</v>
      </c>
      <c r="C4527" t="s">
        <v>83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0.17749999999999999</v>
      </c>
      <c r="K4527" t="s">
        <v>28</v>
      </c>
    </row>
    <row r="4528" spans="1:11" x14ac:dyDescent="0.45">
      <c r="A4528" t="s">
        <v>87</v>
      </c>
      <c r="B4528" t="s">
        <v>2</v>
      </c>
      <c r="C4528" t="s">
        <v>83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0.2137</v>
      </c>
      <c r="K4528" t="s">
        <v>28</v>
      </c>
    </row>
    <row r="4529" spans="1:11" x14ac:dyDescent="0.45">
      <c r="A4529" t="s">
        <v>87</v>
      </c>
      <c r="B4529" t="s">
        <v>2</v>
      </c>
      <c r="C4529" t="s">
        <v>83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0.2392</v>
      </c>
      <c r="K4529" t="s">
        <v>28</v>
      </c>
    </row>
    <row r="4530" spans="1:11" x14ac:dyDescent="0.45">
      <c r="A4530" t="s">
        <v>87</v>
      </c>
      <c r="B4530" t="s">
        <v>2</v>
      </c>
      <c r="C4530" t="s">
        <v>83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0.26390000000000002</v>
      </c>
      <c r="K4530" t="s">
        <v>28</v>
      </c>
    </row>
    <row r="4531" spans="1:11" x14ac:dyDescent="0.45">
      <c r="A4531" t="s">
        <v>87</v>
      </c>
      <c r="B4531" t="s">
        <v>2</v>
      </c>
      <c r="C4531" t="s">
        <v>83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1.09E-2</v>
      </c>
      <c r="K4531" t="s">
        <v>27</v>
      </c>
    </row>
    <row r="4532" spans="1:11" x14ac:dyDescent="0.45">
      <c r="A4532" t="s">
        <v>87</v>
      </c>
      <c r="B4532" t="s">
        <v>2</v>
      </c>
      <c r="C4532" t="s">
        <v>83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1.8200000000000001E-2</v>
      </c>
      <c r="K4532" t="s">
        <v>27</v>
      </c>
    </row>
    <row r="4533" spans="1:11" x14ac:dyDescent="0.45">
      <c r="A4533" t="s">
        <v>87</v>
      </c>
      <c r="B4533" t="s">
        <v>2</v>
      </c>
      <c r="C4533" t="s">
        <v>83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3.4799999999999998E-2</v>
      </c>
      <c r="K4533" t="s">
        <v>27</v>
      </c>
    </row>
    <row r="4534" spans="1:11" x14ac:dyDescent="0.45">
      <c r="A4534" t="s">
        <v>87</v>
      </c>
      <c r="B4534" t="s">
        <v>2</v>
      </c>
      <c r="C4534" t="s">
        <v>83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6.1899999999999997E-2</v>
      </c>
      <c r="K4534" t="s">
        <v>27</v>
      </c>
    </row>
    <row r="4535" spans="1:11" x14ac:dyDescent="0.45">
      <c r="A4535" t="s">
        <v>87</v>
      </c>
      <c r="B4535" t="s">
        <v>2</v>
      </c>
      <c r="C4535" t="s">
        <v>83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0.10349999999999999</v>
      </c>
      <c r="K4535" t="s">
        <v>27</v>
      </c>
    </row>
    <row r="4536" spans="1:11" x14ac:dyDescent="0.45">
      <c r="A4536" t="s">
        <v>87</v>
      </c>
      <c r="B4536" t="s">
        <v>2</v>
      </c>
      <c r="C4536" t="s">
        <v>83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0.1169</v>
      </c>
      <c r="K4536" t="s">
        <v>27</v>
      </c>
    </row>
    <row r="4537" spans="1:11" x14ac:dyDescent="0.45">
      <c r="A4537" t="s">
        <v>87</v>
      </c>
      <c r="B4537" t="s">
        <v>2</v>
      </c>
      <c r="C4537" t="s">
        <v>83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0.1244</v>
      </c>
      <c r="K4537" t="s">
        <v>27</v>
      </c>
    </row>
    <row r="4538" spans="1:11" x14ac:dyDescent="0.45">
      <c r="A4538" t="s">
        <v>87</v>
      </c>
      <c r="B4538" t="s">
        <v>2</v>
      </c>
      <c r="C4538" t="s">
        <v>83</v>
      </c>
      <c r="D4538" t="s">
        <v>84</v>
      </c>
      <c r="E4538" t="s">
        <v>25</v>
      </c>
      <c r="F4538" t="s">
        <v>84</v>
      </c>
      <c r="G4538" t="s">
        <v>26</v>
      </c>
      <c r="H4538" t="s">
        <v>81</v>
      </c>
      <c r="I4538">
        <v>2020</v>
      </c>
      <c r="J4538">
        <v>4.7999999999999996E-3</v>
      </c>
      <c r="K4538" t="s">
        <v>84</v>
      </c>
    </row>
    <row r="4539" spans="1:11" x14ac:dyDescent="0.45">
      <c r="A4539" t="s">
        <v>87</v>
      </c>
      <c r="B4539" t="s">
        <v>2</v>
      </c>
      <c r="C4539" t="s">
        <v>83</v>
      </c>
      <c r="D4539" t="s">
        <v>84</v>
      </c>
      <c r="E4539" t="s">
        <v>25</v>
      </c>
      <c r="F4539" t="s">
        <v>84</v>
      </c>
      <c r="G4539" t="s">
        <v>26</v>
      </c>
      <c r="H4539" t="s">
        <v>81</v>
      </c>
      <c r="I4539">
        <v>2025</v>
      </c>
      <c r="J4539">
        <v>2.0299999999999999E-2</v>
      </c>
      <c r="K4539" t="s">
        <v>84</v>
      </c>
    </row>
    <row r="4540" spans="1:11" x14ac:dyDescent="0.45">
      <c r="A4540" t="s">
        <v>87</v>
      </c>
      <c r="B4540" t="s">
        <v>2</v>
      </c>
      <c r="C4540" t="s">
        <v>83</v>
      </c>
      <c r="D4540" t="s">
        <v>84</v>
      </c>
      <c r="E4540" t="s">
        <v>25</v>
      </c>
      <c r="F4540" t="s">
        <v>84</v>
      </c>
      <c r="G4540" t="s">
        <v>26</v>
      </c>
      <c r="H4540" t="s">
        <v>81</v>
      </c>
      <c r="I4540">
        <v>2030</v>
      </c>
      <c r="J4540">
        <v>4.3900000000000002E-2</v>
      </c>
      <c r="K4540" t="s">
        <v>84</v>
      </c>
    </row>
    <row r="4541" spans="1:11" x14ac:dyDescent="0.45">
      <c r="A4541" t="s">
        <v>87</v>
      </c>
      <c r="B4541" t="s">
        <v>2</v>
      </c>
      <c r="C4541" t="s">
        <v>83</v>
      </c>
      <c r="D4541" t="s">
        <v>84</v>
      </c>
      <c r="E4541" t="s">
        <v>25</v>
      </c>
      <c r="F4541" t="s">
        <v>84</v>
      </c>
      <c r="G4541" t="s">
        <v>26</v>
      </c>
      <c r="H4541" t="s">
        <v>81</v>
      </c>
      <c r="I4541">
        <v>2035</v>
      </c>
      <c r="J4541">
        <v>6.6699999999999995E-2</v>
      </c>
      <c r="K4541" t="s">
        <v>84</v>
      </c>
    </row>
    <row r="4542" spans="1:11" x14ac:dyDescent="0.45">
      <c r="A4542" t="s">
        <v>87</v>
      </c>
      <c r="B4542" t="s">
        <v>2</v>
      </c>
      <c r="C4542" t="s">
        <v>83</v>
      </c>
      <c r="D4542" t="s">
        <v>84</v>
      </c>
      <c r="E4542" t="s">
        <v>25</v>
      </c>
      <c r="F4542" t="s">
        <v>84</v>
      </c>
      <c r="G4542" t="s">
        <v>26</v>
      </c>
      <c r="H4542" t="s">
        <v>81</v>
      </c>
      <c r="I4542">
        <v>2040</v>
      </c>
      <c r="J4542">
        <v>8.3900000000000002E-2</v>
      </c>
      <c r="K4542" t="s">
        <v>84</v>
      </c>
    </row>
    <row r="4543" spans="1:11" x14ac:dyDescent="0.45">
      <c r="A4543" t="s">
        <v>87</v>
      </c>
      <c r="B4543" t="s">
        <v>2</v>
      </c>
      <c r="C4543" t="s">
        <v>83</v>
      </c>
      <c r="D4543" t="s">
        <v>84</v>
      </c>
      <c r="E4543" t="s">
        <v>25</v>
      </c>
      <c r="F4543" t="s">
        <v>84</v>
      </c>
      <c r="G4543" t="s">
        <v>26</v>
      </c>
      <c r="H4543" t="s">
        <v>81</v>
      </c>
      <c r="I4543">
        <v>2045</v>
      </c>
      <c r="J4543">
        <v>9.01E-2</v>
      </c>
      <c r="K4543" t="s">
        <v>84</v>
      </c>
    </row>
    <row r="4544" spans="1:11" x14ac:dyDescent="0.45">
      <c r="A4544" t="s">
        <v>87</v>
      </c>
      <c r="B4544" t="s">
        <v>2</v>
      </c>
      <c r="C4544" t="s">
        <v>83</v>
      </c>
      <c r="D4544" t="s">
        <v>84</v>
      </c>
      <c r="E4544" t="s">
        <v>25</v>
      </c>
      <c r="F4544" t="s">
        <v>84</v>
      </c>
      <c r="G4544" t="s">
        <v>26</v>
      </c>
      <c r="H4544" t="s">
        <v>81</v>
      </c>
      <c r="I4544">
        <v>2050</v>
      </c>
      <c r="J4544">
        <v>9.5699999999999993E-2</v>
      </c>
      <c r="K4544" t="s">
        <v>84</v>
      </c>
    </row>
    <row r="4545" spans="1:12" x14ac:dyDescent="0.45">
      <c r="A4545" t="s">
        <v>87</v>
      </c>
      <c r="B4545" t="s">
        <v>2</v>
      </c>
      <c r="C4545" t="s">
        <v>83</v>
      </c>
      <c r="D4545" t="s">
        <v>52</v>
      </c>
      <c r="E4545" t="s">
        <v>25</v>
      </c>
      <c r="F4545" t="s">
        <v>52</v>
      </c>
      <c r="G4545" t="s">
        <v>70</v>
      </c>
      <c r="I4545">
        <v>2020</v>
      </c>
      <c r="J4545">
        <v>0.3286</v>
      </c>
      <c r="K4545" t="s">
        <v>52</v>
      </c>
      <c r="L4545">
        <v>94</v>
      </c>
    </row>
    <row r="4546" spans="1:12" x14ac:dyDescent="0.45">
      <c r="A4546" t="s">
        <v>87</v>
      </c>
      <c r="B4546" t="s">
        <v>2</v>
      </c>
      <c r="C4546" t="s">
        <v>83</v>
      </c>
      <c r="D4546" t="s">
        <v>52</v>
      </c>
      <c r="E4546" t="s">
        <v>25</v>
      </c>
      <c r="F4546" t="s">
        <v>52</v>
      </c>
      <c r="G4546" t="s">
        <v>70</v>
      </c>
      <c r="I4546">
        <v>2025</v>
      </c>
      <c r="J4546">
        <v>0.30859999999999999</v>
      </c>
      <c r="K4546" t="s">
        <v>52</v>
      </c>
      <c r="L4546">
        <v>94</v>
      </c>
    </row>
    <row r="4547" spans="1:12" x14ac:dyDescent="0.45">
      <c r="A4547" t="s">
        <v>87</v>
      </c>
      <c r="B4547" t="s">
        <v>2</v>
      </c>
      <c r="C4547" t="s">
        <v>83</v>
      </c>
      <c r="D4547" t="s">
        <v>52</v>
      </c>
      <c r="E4547" t="s">
        <v>25</v>
      </c>
      <c r="F4547" t="s">
        <v>52</v>
      </c>
      <c r="G4547" t="s">
        <v>70</v>
      </c>
      <c r="I4547">
        <v>2030</v>
      </c>
      <c r="J4547">
        <v>0.27360000000000001</v>
      </c>
      <c r="K4547" t="s">
        <v>52</v>
      </c>
      <c r="L4547">
        <v>94</v>
      </c>
    </row>
    <row r="4548" spans="1:12" x14ac:dyDescent="0.45">
      <c r="A4548" t="s">
        <v>87</v>
      </c>
      <c r="B4548" t="s">
        <v>2</v>
      </c>
      <c r="C4548" t="s">
        <v>83</v>
      </c>
      <c r="D4548" t="s">
        <v>52</v>
      </c>
      <c r="E4548" t="s">
        <v>25</v>
      </c>
      <c r="F4548" t="s">
        <v>52</v>
      </c>
      <c r="G4548" t="s">
        <v>70</v>
      </c>
      <c r="I4548">
        <v>2035</v>
      </c>
      <c r="J4548">
        <v>0.222</v>
      </c>
      <c r="K4548" t="s">
        <v>52</v>
      </c>
      <c r="L4548">
        <v>94</v>
      </c>
    </row>
    <row r="4549" spans="1:12" x14ac:dyDescent="0.45">
      <c r="A4549" t="s">
        <v>87</v>
      </c>
      <c r="B4549" t="s">
        <v>2</v>
      </c>
      <c r="C4549" t="s">
        <v>83</v>
      </c>
      <c r="D4549" t="s">
        <v>52</v>
      </c>
      <c r="E4549" t="s">
        <v>25</v>
      </c>
      <c r="F4549" t="s">
        <v>52</v>
      </c>
      <c r="G4549" t="s">
        <v>70</v>
      </c>
      <c r="I4549">
        <v>2040</v>
      </c>
      <c r="J4549">
        <v>0.1595</v>
      </c>
      <c r="K4549" t="s">
        <v>52</v>
      </c>
      <c r="L4549">
        <v>94</v>
      </c>
    </row>
    <row r="4550" spans="1:12" x14ac:dyDescent="0.45">
      <c r="A4550" t="s">
        <v>87</v>
      </c>
      <c r="B4550" t="s">
        <v>2</v>
      </c>
      <c r="C4550" t="s">
        <v>83</v>
      </c>
      <c r="D4550" t="s">
        <v>52</v>
      </c>
      <c r="E4550" t="s">
        <v>25</v>
      </c>
      <c r="F4550" t="s">
        <v>52</v>
      </c>
      <c r="G4550" t="s">
        <v>70</v>
      </c>
      <c r="I4550">
        <v>2045</v>
      </c>
      <c r="J4550">
        <v>7.5200000000000003E-2</v>
      </c>
      <c r="K4550" t="s">
        <v>52</v>
      </c>
      <c r="L4550">
        <v>94</v>
      </c>
    </row>
    <row r="4551" spans="1:12" x14ac:dyDescent="0.45">
      <c r="A4551" t="s">
        <v>87</v>
      </c>
      <c r="B4551" t="s">
        <v>2</v>
      </c>
      <c r="C4551" t="s">
        <v>83</v>
      </c>
      <c r="D4551" t="s">
        <v>52</v>
      </c>
      <c r="E4551" t="s">
        <v>25</v>
      </c>
      <c r="F4551" t="s">
        <v>52</v>
      </c>
      <c r="G4551" t="s">
        <v>70</v>
      </c>
      <c r="I4551">
        <v>2050</v>
      </c>
      <c r="J4551">
        <v>2.9600000000000001E-2</v>
      </c>
      <c r="K4551" t="s">
        <v>52</v>
      </c>
      <c r="L4551">
        <v>94</v>
      </c>
    </row>
    <row r="4552" spans="1:12" x14ac:dyDescent="0.45">
      <c r="A4552" t="s">
        <v>87</v>
      </c>
      <c r="B4552" t="s">
        <v>2</v>
      </c>
      <c r="C4552" t="s">
        <v>83</v>
      </c>
      <c r="D4552" t="s">
        <v>53</v>
      </c>
      <c r="E4552" t="s">
        <v>25</v>
      </c>
      <c r="F4552" t="s">
        <v>53</v>
      </c>
      <c r="G4552" t="s">
        <v>70</v>
      </c>
      <c r="I4552">
        <v>2020</v>
      </c>
      <c r="J4552">
        <v>0.10970000000000001</v>
      </c>
      <c r="K4552" t="s">
        <v>53</v>
      </c>
      <c r="L4552">
        <v>55</v>
      </c>
    </row>
    <row r="4553" spans="1:12" x14ac:dyDescent="0.45">
      <c r="A4553" t="s">
        <v>87</v>
      </c>
      <c r="B4553" t="s">
        <v>2</v>
      </c>
      <c r="C4553" t="s">
        <v>83</v>
      </c>
      <c r="D4553" t="s">
        <v>53</v>
      </c>
      <c r="E4553" t="s">
        <v>25</v>
      </c>
      <c r="F4553" t="s">
        <v>53</v>
      </c>
      <c r="G4553" t="s">
        <v>70</v>
      </c>
      <c r="I4553">
        <v>2025</v>
      </c>
      <c r="J4553">
        <v>0.13089999999999999</v>
      </c>
      <c r="K4553" t="s">
        <v>53</v>
      </c>
      <c r="L4553">
        <v>55</v>
      </c>
    </row>
    <row r="4554" spans="1:12" x14ac:dyDescent="0.45">
      <c r="A4554" t="s">
        <v>87</v>
      </c>
      <c r="B4554" t="s">
        <v>2</v>
      </c>
      <c r="C4554" t="s">
        <v>83</v>
      </c>
      <c r="D4554" t="s">
        <v>53</v>
      </c>
      <c r="E4554" t="s">
        <v>25</v>
      </c>
      <c r="F4554" t="s">
        <v>53</v>
      </c>
      <c r="G4554" t="s">
        <v>70</v>
      </c>
      <c r="I4554">
        <v>2030</v>
      </c>
      <c r="J4554">
        <v>0.16109999999999999</v>
      </c>
      <c r="K4554" t="s">
        <v>53</v>
      </c>
      <c r="L4554">
        <v>55</v>
      </c>
    </row>
    <row r="4555" spans="1:12" x14ac:dyDescent="0.45">
      <c r="A4555" t="s">
        <v>87</v>
      </c>
      <c r="B4555" t="s">
        <v>2</v>
      </c>
      <c r="C4555" t="s">
        <v>83</v>
      </c>
      <c r="D4555" t="s">
        <v>53</v>
      </c>
      <c r="E4555" t="s">
        <v>25</v>
      </c>
      <c r="F4555" t="s">
        <v>53</v>
      </c>
      <c r="G4555" t="s">
        <v>70</v>
      </c>
      <c r="I4555">
        <v>2035</v>
      </c>
      <c r="J4555">
        <v>0.1736</v>
      </c>
      <c r="K4555" t="s">
        <v>53</v>
      </c>
      <c r="L4555">
        <v>55</v>
      </c>
    </row>
    <row r="4556" spans="1:12" x14ac:dyDescent="0.45">
      <c r="A4556" t="s">
        <v>87</v>
      </c>
      <c r="B4556" t="s">
        <v>2</v>
      </c>
      <c r="C4556" t="s">
        <v>83</v>
      </c>
      <c r="D4556" t="s">
        <v>53</v>
      </c>
      <c r="E4556" t="s">
        <v>25</v>
      </c>
      <c r="F4556" t="s">
        <v>53</v>
      </c>
      <c r="G4556" t="s">
        <v>70</v>
      </c>
      <c r="I4556">
        <v>2040</v>
      </c>
      <c r="J4556">
        <v>0.15890000000000001</v>
      </c>
      <c r="K4556" t="s">
        <v>53</v>
      </c>
      <c r="L4556">
        <v>55</v>
      </c>
    </row>
    <row r="4557" spans="1:12" x14ac:dyDescent="0.45">
      <c r="A4557" t="s">
        <v>87</v>
      </c>
      <c r="B4557" t="s">
        <v>2</v>
      </c>
      <c r="C4557" t="s">
        <v>83</v>
      </c>
      <c r="D4557" t="s">
        <v>53</v>
      </c>
      <c r="E4557" t="s">
        <v>25</v>
      </c>
      <c r="F4557" t="s">
        <v>53</v>
      </c>
      <c r="G4557" t="s">
        <v>70</v>
      </c>
      <c r="I4557">
        <v>2045</v>
      </c>
      <c r="J4557">
        <v>0.1255</v>
      </c>
      <c r="K4557" t="s">
        <v>53</v>
      </c>
      <c r="L4557">
        <v>55</v>
      </c>
    </row>
    <row r="4558" spans="1:12" x14ac:dyDescent="0.45">
      <c r="A4558" t="s">
        <v>87</v>
      </c>
      <c r="B4558" t="s">
        <v>2</v>
      </c>
      <c r="C4558" t="s">
        <v>83</v>
      </c>
      <c r="D4558" t="s">
        <v>53</v>
      </c>
      <c r="E4558" t="s">
        <v>25</v>
      </c>
      <c r="F4558" t="s">
        <v>53</v>
      </c>
      <c r="G4558" t="s">
        <v>70</v>
      </c>
      <c r="I4558">
        <v>2050</v>
      </c>
      <c r="J4558">
        <v>9.2899999999999996E-2</v>
      </c>
      <c r="K4558" t="s">
        <v>53</v>
      </c>
      <c r="L4558">
        <v>55</v>
      </c>
    </row>
    <row r="4559" spans="1:12" x14ac:dyDescent="0.45">
      <c r="A4559" t="s">
        <v>87</v>
      </c>
      <c r="B4559" t="s">
        <v>2</v>
      </c>
      <c r="C4559" t="s">
        <v>83</v>
      </c>
      <c r="D4559" t="s">
        <v>54</v>
      </c>
      <c r="E4559" t="s">
        <v>25</v>
      </c>
      <c r="F4559" t="s">
        <v>54</v>
      </c>
      <c r="G4559" t="s">
        <v>70</v>
      </c>
      <c r="I4559">
        <v>2020</v>
      </c>
      <c r="J4559">
        <v>0</v>
      </c>
      <c r="K4559" t="s">
        <v>54</v>
      </c>
      <c r="L4559">
        <v>70</v>
      </c>
    </row>
    <row r="4560" spans="1:12" x14ac:dyDescent="0.45">
      <c r="A4560" t="s">
        <v>87</v>
      </c>
      <c r="B4560" t="s">
        <v>2</v>
      </c>
      <c r="C4560" t="s">
        <v>83</v>
      </c>
      <c r="D4560" t="s">
        <v>54</v>
      </c>
      <c r="E4560" t="s">
        <v>25</v>
      </c>
      <c r="F4560" t="s">
        <v>54</v>
      </c>
      <c r="G4560" t="s">
        <v>70</v>
      </c>
      <c r="I4560">
        <v>2025</v>
      </c>
      <c r="J4560">
        <v>0</v>
      </c>
      <c r="K4560" t="s">
        <v>54</v>
      </c>
      <c r="L4560">
        <v>70</v>
      </c>
    </row>
    <row r="4561" spans="1:12" x14ac:dyDescent="0.45">
      <c r="A4561" t="s">
        <v>87</v>
      </c>
      <c r="B4561" t="s">
        <v>2</v>
      </c>
      <c r="C4561" t="s">
        <v>83</v>
      </c>
      <c r="D4561" t="s">
        <v>54</v>
      </c>
      <c r="E4561" t="s">
        <v>25</v>
      </c>
      <c r="F4561" t="s">
        <v>54</v>
      </c>
      <c r="G4561" t="s">
        <v>70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87</v>
      </c>
      <c r="B4562" t="s">
        <v>2</v>
      </c>
      <c r="C4562" t="s">
        <v>83</v>
      </c>
      <c r="D4562" t="s">
        <v>54</v>
      </c>
      <c r="E4562" t="s">
        <v>25</v>
      </c>
      <c r="F4562" t="s">
        <v>54</v>
      </c>
      <c r="G4562" t="s">
        <v>70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87</v>
      </c>
      <c r="B4563" t="s">
        <v>2</v>
      </c>
      <c r="C4563" t="s">
        <v>83</v>
      </c>
      <c r="D4563" t="s">
        <v>54</v>
      </c>
      <c r="E4563" t="s">
        <v>25</v>
      </c>
      <c r="F4563" t="s">
        <v>54</v>
      </c>
      <c r="G4563" t="s">
        <v>70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87</v>
      </c>
      <c r="B4564" t="s">
        <v>2</v>
      </c>
      <c r="C4564" t="s">
        <v>83</v>
      </c>
      <c r="D4564" t="s">
        <v>54</v>
      </c>
      <c r="E4564" t="s">
        <v>25</v>
      </c>
      <c r="F4564" t="s">
        <v>54</v>
      </c>
      <c r="G4564" t="s">
        <v>70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87</v>
      </c>
      <c r="B4565" t="s">
        <v>2</v>
      </c>
      <c r="C4565" t="s">
        <v>83</v>
      </c>
      <c r="D4565" t="s">
        <v>54</v>
      </c>
      <c r="E4565" t="s">
        <v>25</v>
      </c>
      <c r="F4565" t="s">
        <v>54</v>
      </c>
      <c r="G4565" t="s">
        <v>70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87</v>
      </c>
      <c r="B4566" t="s">
        <v>2</v>
      </c>
      <c r="C4566" t="s">
        <v>83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87</v>
      </c>
      <c r="B4567" t="s">
        <v>2</v>
      </c>
      <c r="C4567" t="s">
        <v>83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87</v>
      </c>
      <c r="B4568" t="s">
        <v>2</v>
      </c>
      <c r="C4568" t="s">
        <v>83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87</v>
      </c>
      <c r="B4569" t="s">
        <v>2</v>
      </c>
      <c r="C4569" t="s">
        <v>83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87</v>
      </c>
      <c r="B4570" t="s">
        <v>2</v>
      </c>
      <c r="C4570" t="s">
        <v>83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87</v>
      </c>
      <c r="B4571" t="s">
        <v>2</v>
      </c>
      <c r="C4571" t="s">
        <v>83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87</v>
      </c>
      <c r="B4572" t="s">
        <v>2</v>
      </c>
      <c r="C4572" t="s">
        <v>83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87</v>
      </c>
      <c r="B4573" t="s">
        <v>2</v>
      </c>
      <c r="C4573" t="s">
        <v>83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87</v>
      </c>
      <c r="B4574" t="s">
        <v>2</v>
      </c>
      <c r="C4574" t="s">
        <v>83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87</v>
      </c>
      <c r="B4575" t="s">
        <v>2</v>
      </c>
      <c r="C4575" t="s">
        <v>83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87</v>
      </c>
      <c r="B4576" t="s">
        <v>2</v>
      </c>
      <c r="C4576" t="s">
        <v>83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87</v>
      </c>
      <c r="B4577" t="s">
        <v>2</v>
      </c>
      <c r="C4577" t="s">
        <v>83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87</v>
      </c>
      <c r="B4578" t="s">
        <v>2</v>
      </c>
      <c r="C4578" t="s">
        <v>83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87</v>
      </c>
      <c r="B4579" t="s">
        <v>2</v>
      </c>
      <c r="C4579" t="s">
        <v>83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87</v>
      </c>
      <c r="B4580" t="s">
        <v>2</v>
      </c>
      <c r="C4580" t="s">
        <v>83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87</v>
      </c>
      <c r="B4581" t="s">
        <v>2</v>
      </c>
      <c r="C4581" t="s">
        <v>83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87</v>
      </c>
      <c r="B4582" t="s">
        <v>2</v>
      </c>
      <c r="C4582" t="s">
        <v>83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87</v>
      </c>
      <c r="B4583" t="s">
        <v>2</v>
      </c>
      <c r="C4583" t="s">
        <v>83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87</v>
      </c>
      <c r="B4584" t="s">
        <v>2</v>
      </c>
      <c r="C4584" t="s">
        <v>83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87</v>
      </c>
      <c r="B4585" t="s">
        <v>2</v>
      </c>
      <c r="C4585" t="s">
        <v>83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87</v>
      </c>
      <c r="B4586" t="s">
        <v>2</v>
      </c>
      <c r="C4586" t="s">
        <v>83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87</v>
      </c>
      <c r="B4587" t="s">
        <v>2</v>
      </c>
      <c r="C4587" t="s">
        <v>83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56.074300000000001</v>
      </c>
      <c r="K4587" t="s">
        <v>37</v>
      </c>
    </row>
    <row r="4588" spans="1:11" x14ac:dyDescent="0.45">
      <c r="A4588" t="s">
        <v>87</v>
      </c>
      <c r="B4588" t="s">
        <v>2</v>
      </c>
      <c r="C4588" t="s">
        <v>83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66.464399999999998</v>
      </c>
      <c r="K4588" t="s">
        <v>37</v>
      </c>
    </row>
    <row r="4589" spans="1:11" x14ac:dyDescent="0.45">
      <c r="A4589" t="s">
        <v>87</v>
      </c>
      <c r="B4589" t="s">
        <v>2</v>
      </c>
      <c r="C4589" t="s">
        <v>83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73.6541</v>
      </c>
      <c r="K4589" t="s">
        <v>37</v>
      </c>
    </row>
    <row r="4590" spans="1:11" x14ac:dyDescent="0.45">
      <c r="A4590" t="s">
        <v>87</v>
      </c>
      <c r="B4590" t="s">
        <v>2</v>
      </c>
      <c r="C4590" t="s">
        <v>83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82.4268</v>
      </c>
      <c r="K4590" t="s">
        <v>37</v>
      </c>
    </row>
    <row r="4591" spans="1:11" x14ac:dyDescent="0.45">
      <c r="A4591" t="s">
        <v>87</v>
      </c>
      <c r="B4591" t="s">
        <v>2</v>
      </c>
      <c r="C4591" t="s">
        <v>83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89.165599999999998</v>
      </c>
      <c r="K4591" t="s">
        <v>37</v>
      </c>
    </row>
    <row r="4592" spans="1:11" x14ac:dyDescent="0.45">
      <c r="A4592" t="s">
        <v>87</v>
      </c>
      <c r="B4592" t="s">
        <v>2</v>
      </c>
      <c r="C4592" t="s">
        <v>83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94.302000000000007</v>
      </c>
      <c r="K4592" t="s">
        <v>37</v>
      </c>
    </row>
    <row r="4593" spans="1:11" x14ac:dyDescent="0.45">
      <c r="A4593" t="s">
        <v>87</v>
      </c>
      <c r="B4593" t="s">
        <v>2</v>
      </c>
      <c r="C4593" t="s">
        <v>83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106.1185</v>
      </c>
      <c r="K4593" t="s">
        <v>37</v>
      </c>
    </row>
    <row r="4594" spans="1:11" x14ac:dyDescent="0.45">
      <c r="A4594" t="s">
        <v>87</v>
      </c>
      <c r="B4594" t="s">
        <v>2</v>
      </c>
      <c r="C4594" t="s">
        <v>83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375.87619999999998</v>
      </c>
      <c r="K4594" t="s">
        <v>48</v>
      </c>
    </row>
    <row r="4595" spans="1:11" x14ac:dyDescent="0.45">
      <c r="A4595" t="s">
        <v>87</v>
      </c>
      <c r="B4595" t="s">
        <v>2</v>
      </c>
      <c r="C4595" t="s">
        <v>83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404.28019999999998</v>
      </c>
      <c r="K4595" t="s">
        <v>48</v>
      </c>
    </row>
    <row r="4596" spans="1:11" x14ac:dyDescent="0.45">
      <c r="A4596" t="s">
        <v>87</v>
      </c>
      <c r="B4596" t="s">
        <v>2</v>
      </c>
      <c r="C4596" t="s">
        <v>83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399.04410000000001</v>
      </c>
      <c r="K4596" t="s">
        <v>48</v>
      </c>
    </row>
    <row r="4597" spans="1:11" x14ac:dyDescent="0.45">
      <c r="A4597" t="s">
        <v>87</v>
      </c>
      <c r="B4597" t="s">
        <v>2</v>
      </c>
      <c r="C4597" t="s">
        <v>83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372.7638</v>
      </c>
      <c r="K4597" t="s">
        <v>48</v>
      </c>
    </row>
    <row r="4598" spans="1:11" x14ac:dyDescent="0.45">
      <c r="A4598" t="s">
        <v>87</v>
      </c>
      <c r="B4598" t="s">
        <v>2</v>
      </c>
      <c r="C4598" t="s">
        <v>83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328.95659999999998</v>
      </c>
      <c r="K4598" t="s">
        <v>48</v>
      </c>
    </row>
    <row r="4599" spans="1:11" x14ac:dyDescent="0.45">
      <c r="A4599" t="s">
        <v>87</v>
      </c>
      <c r="B4599" t="s">
        <v>2</v>
      </c>
      <c r="C4599" t="s">
        <v>83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274.31979999999999</v>
      </c>
      <c r="K4599" t="s">
        <v>48</v>
      </c>
    </row>
    <row r="4600" spans="1:11" x14ac:dyDescent="0.45">
      <c r="A4600" t="s">
        <v>87</v>
      </c>
      <c r="B4600" t="s">
        <v>2</v>
      </c>
      <c r="C4600" t="s">
        <v>83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236.3056</v>
      </c>
      <c r="K4600" t="s">
        <v>48</v>
      </c>
    </row>
    <row r="4601" spans="1:11" x14ac:dyDescent="0.45">
      <c r="A4601" t="s">
        <v>87</v>
      </c>
      <c r="B4601" t="s">
        <v>2</v>
      </c>
      <c r="C4601" t="s">
        <v>83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334.12110000000001</v>
      </c>
      <c r="K4601" t="s">
        <v>51</v>
      </c>
    </row>
    <row r="4602" spans="1:11" x14ac:dyDescent="0.45">
      <c r="A4602" t="s">
        <v>87</v>
      </c>
      <c r="B4602" t="s">
        <v>2</v>
      </c>
      <c r="C4602" t="s">
        <v>83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336.92849999999999</v>
      </c>
      <c r="K4602" t="s">
        <v>51</v>
      </c>
    </row>
    <row r="4603" spans="1:11" x14ac:dyDescent="0.45">
      <c r="A4603" t="s">
        <v>87</v>
      </c>
      <c r="B4603" t="s">
        <v>2</v>
      </c>
      <c r="C4603" t="s">
        <v>83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326.5197</v>
      </c>
      <c r="K4603" t="s">
        <v>51</v>
      </c>
    </row>
    <row r="4604" spans="1:11" x14ac:dyDescent="0.45">
      <c r="A4604" t="s">
        <v>87</v>
      </c>
      <c r="B4604" t="s">
        <v>2</v>
      </c>
      <c r="C4604" t="s">
        <v>83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299.82859999999999</v>
      </c>
      <c r="K4604" t="s">
        <v>51</v>
      </c>
    </row>
    <row r="4605" spans="1:11" x14ac:dyDescent="0.45">
      <c r="A4605" t="s">
        <v>87</v>
      </c>
      <c r="B4605" t="s">
        <v>2</v>
      </c>
      <c r="C4605" t="s">
        <v>83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256.49709999999999</v>
      </c>
      <c r="K4605" t="s">
        <v>51</v>
      </c>
    </row>
    <row r="4606" spans="1:11" x14ac:dyDescent="0.45">
      <c r="A4606" t="s">
        <v>87</v>
      </c>
      <c r="B4606" t="s">
        <v>2</v>
      </c>
      <c r="C4606" t="s">
        <v>83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199.5334</v>
      </c>
      <c r="K4606" t="s">
        <v>51</v>
      </c>
    </row>
    <row r="4607" spans="1:11" x14ac:dyDescent="0.45">
      <c r="A4607" t="s">
        <v>87</v>
      </c>
      <c r="B4607" t="s">
        <v>2</v>
      </c>
      <c r="C4607" t="s">
        <v>83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161.0744</v>
      </c>
      <c r="K4607" t="s">
        <v>51</v>
      </c>
    </row>
    <row r="4608" spans="1:11" x14ac:dyDescent="0.45">
      <c r="A4608" t="s">
        <v>87</v>
      </c>
      <c r="B4608" t="s">
        <v>1</v>
      </c>
      <c r="C4608" t="s">
        <v>83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87</v>
      </c>
      <c r="B4609" t="s">
        <v>1</v>
      </c>
      <c r="C4609" t="s">
        <v>83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87</v>
      </c>
      <c r="B4610" t="s">
        <v>1</v>
      </c>
      <c r="C4610" t="s">
        <v>83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2.2665000000000002</v>
      </c>
      <c r="K4610" t="s">
        <v>45</v>
      </c>
    </row>
    <row r="4611" spans="1:11" x14ac:dyDescent="0.45">
      <c r="A4611" t="s">
        <v>87</v>
      </c>
      <c r="B4611" t="s">
        <v>1</v>
      </c>
      <c r="C4611" t="s">
        <v>83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10.1273</v>
      </c>
      <c r="K4611" t="s">
        <v>45</v>
      </c>
    </row>
    <row r="4612" spans="1:11" x14ac:dyDescent="0.45">
      <c r="A4612" t="s">
        <v>87</v>
      </c>
      <c r="B4612" t="s">
        <v>1</v>
      </c>
      <c r="C4612" t="s">
        <v>83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8.5541999999999998</v>
      </c>
      <c r="K4612" t="s">
        <v>45</v>
      </c>
    </row>
    <row r="4613" spans="1:11" x14ac:dyDescent="0.45">
      <c r="A4613" t="s">
        <v>87</v>
      </c>
      <c r="B4613" t="s">
        <v>1</v>
      </c>
      <c r="C4613" t="s">
        <v>83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8.1834000000000007</v>
      </c>
      <c r="K4613" t="s">
        <v>45</v>
      </c>
    </row>
    <row r="4614" spans="1:11" x14ac:dyDescent="0.45">
      <c r="A4614" t="s">
        <v>87</v>
      </c>
      <c r="B4614" t="s">
        <v>1</v>
      </c>
      <c r="C4614" t="s">
        <v>83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9.7821999999999996</v>
      </c>
      <c r="K4614" t="s">
        <v>45</v>
      </c>
    </row>
    <row r="4615" spans="1:11" x14ac:dyDescent="0.45">
      <c r="A4615" t="s">
        <v>87</v>
      </c>
      <c r="B4615" t="s">
        <v>1</v>
      </c>
      <c r="C4615" t="s">
        <v>83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0.1532</v>
      </c>
      <c r="K4615" t="s">
        <v>24</v>
      </c>
    </row>
    <row r="4616" spans="1:11" x14ac:dyDescent="0.45">
      <c r="A4616" t="s">
        <v>87</v>
      </c>
      <c r="B4616" t="s">
        <v>1</v>
      </c>
      <c r="C4616" t="s">
        <v>83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0.16930000000000001</v>
      </c>
      <c r="K4616" t="s">
        <v>24</v>
      </c>
    </row>
    <row r="4617" spans="1:11" x14ac:dyDescent="0.45">
      <c r="A4617" t="s">
        <v>87</v>
      </c>
      <c r="B4617" t="s">
        <v>1</v>
      </c>
      <c r="C4617" t="s">
        <v>83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0.28179999999999999</v>
      </c>
      <c r="K4617" t="s">
        <v>24</v>
      </c>
    </row>
    <row r="4618" spans="1:11" x14ac:dyDescent="0.45">
      <c r="A4618" t="s">
        <v>87</v>
      </c>
      <c r="B4618" t="s">
        <v>1</v>
      </c>
      <c r="C4618" t="s">
        <v>83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0.34670000000000001</v>
      </c>
      <c r="K4618" t="s">
        <v>24</v>
      </c>
    </row>
    <row r="4619" spans="1:11" x14ac:dyDescent="0.45">
      <c r="A4619" t="s">
        <v>87</v>
      </c>
      <c r="B4619" t="s">
        <v>1</v>
      </c>
      <c r="C4619" t="s">
        <v>83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0.41449999999999998</v>
      </c>
      <c r="K4619" t="s">
        <v>24</v>
      </c>
    </row>
    <row r="4620" spans="1:11" x14ac:dyDescent="0.45">
      <c r="A4620" t="s">
        <v>87</v>
      </c>
      <c r="B4620" t="s">
        <v>1</v>
      </c>
      <c r="C4620" t="s">
        <v>83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0.47510000000000002</v>
      </c>
      <c r="K4620" t="s">
        <v>24</v>
      </c>
    </row>
    <row r="4621" spans="1:11" x14ac:dyDescent="0.45">
      <c r="A4621" t="s">
        <v>87</v>
      </c>
      <c r="B4621" t="s">
        <v>1</v>
      </c>
      <c r="C4621" t="s">
        <v>83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0.49780000000000002</v>
      </c>
      <c r="K4621" t="s">
        <v>24</v>
      </c>
    </row>
    <row r="4622" spans="1:11" x14ac:dyDescent="0.45">
      <c r="A4622" t="s">
        <v>87</v>
      </c>
      <c r="B4622" t="s">
        <v>1</v>
      </c>
      <c r="C4622" t="s">
        <v>83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9.4799999999999995E-2</v>
      </c>
      <c r="K4622" t="s">
        <v>28</v>
      </c>
    </row>
    <row r="4623" spans="1:11" x14ac:dyDescent="0.45">
      <c r="A4623" t="s">
        <v>87</v>
      </c>
      <c r="B4623" t="s">
        <v>1</v>
      </c>
      <c r="C4623" t="s">
        <v>83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0.1153</v>
      </c>
      <c r="K4623" t="s">
        <v>28</v>
      </c>
    </row>
    <row r="4624" spans="1:11" x14ac:dyDescent="0.45">
      <c r="A4624" t="s">
        <v>87</v>
      </c>
      <c r="B4624" t="s">
        <v>1</v>
      </c>
      <c r="C4624" t="s">
        <v>83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0.15970000000000001</v>
      </c>
      <c r="K4624" t="s">
        <v>28</v>
      </c>
    </row>
    <row r="4625" spans="1:11" x14ac:dyDescent="0.45">
      <c r="A4625" t="s">
        <v>87</v>
      </c>
      <c r="B4625" t="s">
        <v>1</v>
      </c>
      <c r="C4625" t="s">
        <v>83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0.19370000000000001</v>
      </c>
      <c r="K4625" t="s">
        <v>28</v>
      </c>
    </row>
    <row r="4626" spans="1:11" x14ac:dyDescent="0.45">
      <c r="A4626" t="s">
        <v>87</v>
      </c>
      <c r="B4626" t="s">
        <v>1</v>
      </c>
      <c r="C4626" t="s">
        <v>83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0.24510000000000001</v>
      </c>
      <c r="K4626" t="s">
        <v>28</v>
      </c>
    </row>
    <row r="4627" spans="1:11" x14ac:dyDescent="0.45">
      <c r="A4627" t="s">
        <v>87</v>
      </c>
      <c r="B4627" t="s">
        <v>1</v>
      </c>
      <c r="C4627" t="s">
        <v>83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0.26750000000000002</v>
      </c>
      <c r="K4627" t="s">
        <v>28</v>
      </c>
    </row>
    <row r="4628" spans="1:11" x14ac:dyDescent="0.45">
      <c r="A4628" t="s">
        <v>87</v>
      </c>
      <c r="B4628" t="s">
        <v>1</v>
      </c>
      <c r="C4628" t="s">
        <v>83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0.28939999999999999</v>
      </c>
      <c r="K4628" t="s">
        <v>28</v>
      </c>
    </row>
    <row r="4629" spans="1:11" x14ac:dyDescent="0.45">
      <c r="A4629" t="s">
        <v>87</v>
      </c>
      <c r="B4629" t="s">
        <v>1</v>
      </c>
      <c r="C4629" t="s">
        <v>83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1.09E-2</v>
      </c>
      <c r="K4629" t="s">
        <v>27</v>
      </c>
    </row>
    <row r="4630" spans="1:11" x14ac:dyDescent="0.45">
      <c r="A4630" t="s">
        <v>87</v>
      </c>
      <c r="B4630" t="s">
        <v>1</v>
      </c>
      <c r="C4630" t="s">
        <v>83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1.89E-2</v>
      </c>
      <c r="K4630" t="s">
        <v>27</v>
      </c>
    </row>
    <row r="4631" spans="1:11" x14ac:dyDescent="0.45">
      <c r="A4631" t="s">
        <v>87</v>
      </c>
      <c r="B4631" t="s">
        <v>1</v>
      </c>
      <c r="C4631" t="s">
        <v>83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4.4499999999999998E-2</v>
      </c>
      <c r="K4631" t="s">
        <v>27</v>
      </c>
    </row>
    <row r="4632" spans="1:11" x14ac:dyDescent="0.45">
      <c r="A4632" t="s">
        <v>87</v>
      </c>
      <c r="B4632" t="s">
        <v>1</v>
      </c>
      <c r="C4632" t="s">
        <v>83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8.14E-2</v>
      </c>
      <c r="K4632" t="s">
        <v>27</v>
      </c>
    </row>
    <row r="4633" spans="1:11" x14ac:dyDescent="0.45">
      <c r="A4633" t="s">
        <v>87</v>
      </c>
      <c r="B4633" t="s">
        <v>1</v>
      </c>
      <c r="C4633" t="s">
        <v>83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0.1173</v>
      </c>
      <c r="K4633" t="s">
        <v>27</v>
      </c>
    </row>
    <row r="4634" spans="1:11" x14ac:dyDescent="0.45">
      <c r="A4634" t="s">
        <v>87</v>
      </c>
      <c r="B4634" t="s">
        <v>1</v>
      </c>
      <c r="C4634" t="s">
        <v>83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0.1265</v>
      </c>
      <c r="K4634" t="s">
        <v>27</v>
      </c>
    </row>
    <row r="4635" spans="1:11" x14ac:dyDescent="0.45">
      <c r="A4635" t="s">
        <v>87</v>
      </c>
      <c r="B4635" t="s">
        <v>1</v>
      </c>
      <c r="C4635" t="s">
        <v>83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0.1305</v>
      </c>
      <c r="K4635" t="s">
        <v>27</v>
      </c>
    </row>
    <row r="4636" spans="1:11" x14ac:dyDescent="0.45">
      <c r="A4636" t="s">
        <v>87</v>
      </c>
      <c r="B4636" t="s">
        <v>1</v>
      </c>
      <c r="C4636" t="s">
        <v>83</v>
      </c>
      <c r="D4636" t="s">
        <v>84</v>
      </c>
      <c r="E4636" t="s">
        <v>25</v>
      </c>
      <c r="F4636" t="s">
        <v>84</v>
      </c>
      <c r="G4636" t="s">
        <v>26</v>
      </c>
      <c r="H4636" t="s">
        <v>81</v>
      </c>
      <c r="I4636">
        <v>2020</v>
      </c>
      <c r="J4636">
        <v>4.7999999999999996E-3</v>
      </c>
      <c r="K4636" t="s">
        <v>84</v>
      </c>
    </row>
    <row r="4637" spans="1:11" x14ac:dyDescent="0.45">
      <c r="A4637" t="s">
        <v>87</v>
      </c>
      <c r="B4637" t="s">
        <v>1</v>
      </c>
      <c r="C4637" t="s">
        <v>83</v>
      </c>
      <c r="D4637" t="s">
        <v>84</v>
      </c>
      <c r="E4637" t="s">
        <v>25</v>
      </c>
      <c r="F4637" t="s">
        <v>84</v>
      </c>
      <c r="G4637" t="s">
        <v>26</v>
      </c>
      <c r="H4637" t="s">
        <v>81</v>
      </c>
      <c r="I4637">
        <v>2025</v>
      </c>
      <c r="J4637">
        <v>2.01E-2</v>
      </c>
      <c r="K4637" t="s">
        <v>84</v>
      </c>
    </row>
    <row r="4638" spans="1:11" x14ac:dyDescent="0.45">
      <c r="A4638" t="s">
        <v>87</v>
      </c>
      <c r="B4638" t="s">
        <v>1</v>
      </c>
      <c r="C4638" t="s">
        <v>83</v>
      </c>
      <c r="D4638" t="s">
        <v>84</v>
      </c>
      <c r="E4638" t="s">
        <v>25</v>
      </c>
      <c r="F4638" t="s">
        <v>84</v>
      </c>
      <c r="G4638" t="s">
        <v>26</v>
      </c>
      <c r="H4638" t="s">
        <v>81</v>
      </c>
      <c r="I4638">
        <v>2030</v>
      </c>
      <c r="J4638">
        <v>4.9000000000000002E-2</v>
      </c>
      <c r="K4638" t="s">
        <v>84</v>
      </c>
    </row>
    <row r="4639" spans="1:11" x14ac:dyDescent="0.45">
      <c r="A4639" t="s">
        <v>87</v>
      </c>
      <c r="B4639" t="s">
        <v>1</v>
      </c>
      <c r="C4639" t="s">
        <v>83</v>
      </c>
      <c r="D4639" t="s">
        <v>84</v>
      </c>
      <c r="E4639" t="s">
        <v>25</v>
      </c>
      <c r="F4639" t="s">
        <v>84</v>
      </c>
      <c r="G4639" t="s">
        <v>26</v>
      </c>
      <c r="H4639" t="s">
        <v>81</v>
      </c>
      <c r="I4639">
        <v>2035</v>
      </c>
      <c r="J4639">
        <v>4.3200000000000002E-2</v>
      </c>
      <c r="K4639" t="s">
        <v>84</v>
      </c>
    </row>
    <row r="4640" spans="1:11" x14ac:dyDescent="0.45">
      <c r="A4640" t="s">
        <v>87</v>
      </c>
      <c r="B4640" t="s">
        <v>1</v>
      </c>
      <c r="C4640" t="s">
        <v>83</v>
      </c>
      <c r="D4640" t="s">
        <v>84</v>
      </c>
      <c r="E4640" t="s">
        <v>25</v>
      </c>
      <c r="F4640" t="s">
        <v>84</v>
      </c>
      <c r="G4640" t="s">
        <v>26</v>
      </c>
      <c r="H4640" t="s">
        <v>81</v>
      </c>
      <c r="I4640">
        <v>2040</v>
      </c>
      <c r="J4640">
        <v>4.4200000000000003E-2</v>
      </c>
      <c r="K4640" t="s">
        <v>84</v>
      </c>
    </row>
    <row r="4641" spans="1:12" x14ac:dyDescent="0.45">
      <c r="A4641" t="s">
        <v>87</v>
      </c>
      <c r="B4641" t="s">
        <v>1</v>
      </c>
      <c r="C4641" t="s">
        <v>83</v>
      </c>
      <c r="D4641" t="s">
        <v>84</v>
      </c>
      <c r="E4641" t="s">
        <v>25</v>
      </c>
      <c r="F4641" t="s">
        <v>84</v>
      </c>
      <c r="G4641" t="s">
        <v>26</v>
      </c>
      <c r="H4641" t="s">
        <v>81</v>
      </c>
      <c r="I4641">
        <v>2045</v>
      </c>
      <c r="J4641">
        <v>4.2500000000000003E-2</v>
      </c>
      <c r="K4641" t="s">
        <v>84</v>
      </c>
    </row>
    <row r="4642" spans="1:12" x14ac:dyDescent="0.45">
      <c r="A4642" t="s">
        <v>87</v>
      </c>
      <c r="B4642" t="s">
        <v>1</v>
      </c>
      <c r="C4642" t="s">
        <v>83</v>
      </c>
      <c r="D4642" t="s">
        <v>84</v>
      </c>
      <c r="E4642" t="s">
        <v>25</v>
      </c>
      <c r="F4642" t="s">
        <v>84</v>
      </c>
      <c r="G4642" t="s">
        <v>26</v>
      </c>
      <c r="H4642" t="s">
        <v>81</v>
      </c>
      <c r="I4642">
        <v>2050</v>
      </c>
      <c r="J4642">
        <v>5.0099999999999999E-2</v>
      </c>
      <c r="K4642" t="s">
        <v>84</v>
      </c>
    </row>
    <row r="4643" spans="1:12" x14ac:dyDescent="0.45">
      <c r="A4643" t="s">
        <v>87</v>
      </c>
      <c r="B4643" t="s">
        <v>1</v>
      </c>
      <c r="C4643" t="s">
        <v>83</v>
      </c>
      <c r="D4643" t="s">
        <v>52</v>
      </c>
      <c r="E4643" t="s">
        <v>25</v>
      </c>
      <c r="F4643" t="s">
        <v>52</v>
      </c>
      <c r="G4643" t="s">
        <v>70</v>
      </c>
      <c r="I4643">
        <v>2020</v>
      </c>
      <c r="J4643">
        <v>0.32350000000000001</v>
      </c>
      <c r="K4643" t="s">
        <v>52</v>
      </c>
      <c r="L4643">
        <v>94</v>
      </c>
    </row>
    <row r="4644" spans="1:12" x14ac:dyDescent="0.45">
      <c r="A4644" t="s">
        <v>87</v>
      </c>
      <c r="B4644" t="s">
        <v>1</v>
      </c>
      <c r="C4644" t="s">
        <v>83</v>
      </c>
      <c r="D4644" t="s">
        <v>52</v>
      </c>
      <c r="E4644" t="s">
        <v>25</v>
      </c>
      <c r="F4644" t="s">
        <v>52</v>
      </c>
      <c r="G4644" t="s">
        <v>70</v>
      </c>
      <c r="I4644">
        <v>2025</v>
      </c>
      <c r="J4644">
        <v>0.28770000000000001</v>
      </c>
      <c r="K4644" t="s">
        <v>52</v>
      </c>
      <c r="L4644">
        <v>94</v>
      </c>
    </row>
    <row r="4645" spans="1:12" x14ac:dyDescent="0.45">
      <c r="A4645" t="s">
        <v>87</v>
      </c>
      <c r="B4645" t="s">
        <v>1</v>
      </c>
      <c r="C4645" t="s">
        <v>83</v>
      </c>
      <c r="D4645" t="s">
        <v>52</v>
      </c>
      <c r="E4645" t="s">
        <v>25</v>
      </c>
      <c r="F4645" t="s">
        <v>52</v>
      </c>
      <c r="G4645" t="s">
        <v>70</v>
      </c>
      <c r="I4645">
        <v>2030</v>
      </c>
      <c r="J4645">
        <v>0.2026</v>
      </c>
      <c r="K4645" t="s">
        <v>52</v>
      </c>
      <c r="L4645">
        <v>94</v>
      </c>
    </row>
    <row r="4646" spans="1:12" x14ac:dyDescent="0.45">
      <c r="A4646" t="s">
        <v>87</v>
      </c>
      <c r="B4646" t="s">
        <v>1</v>
      </c>
      <c r="C4646" t="s">
        <v>83</v>
      </c>
      <c r="D4646" t="s">
        <v>52</v>
      </c>
      <c r="E4646" t="s">
        <v>25</v>
      </c>
      <c r="F4646" t="s">
        <v>52</v>
      </c>
      <c r="G4646" t="s">
        <v>70</v>
      </c>
      <c r="I4646">
        <v>2035</v>
      </c>
      <c r="J4646">
        <v>6.1800000000000001E-2</v>
      </c>
      <c r="K4646" t="s">
        <v>52</v>
      </c>
      <c r="L4646">
        <v>94</v>
      </c>
    </row>
    <row r="4647" spans="1:12" x14ac:dyDescent="0.45">
      <c r="A4647" t="s">
        <v>87</v>
      </c>
      <c r="B4647" t="s">
        <v>1</v>
      </c>
      <c r="C4647" t="s">
        <v>83</v>
      </c>
      <c r="D4647" t="s">
        <v>52</v>
      </c>
      <c r="E4647" t="s">
        <v>25</v>
      </c>
      <c r="F4647" t="s">
        <v>52</v>
      </c>
      <c r="G4647" t="s">
        <v>70</v>
      </c>
      <c r="I4647">
        <v>2040</v>
      </c>
      <c r="J4647">
        <v>2.2200000000000001E-2</v>
      </c>
      <c r="K4647" t="s">
        <v>52</v>
      </c>
      <c r="L4647">
        <v>94</v>
      </c>
    </row>
    <row r="4648" spans="1:12" x14ac:dyDescent="0.45">
      <c r="A4648" t="s">
        <v>87</v>
      </c>
      <c r="B4648" t="s">
        <v>1</v>
      </c>
      <c r="C4648" t="s">
        <v>83</v>
      </c>
      <c r="D4648" t="s">
        <v>52</v>
      </c>
      <c r="E4648" t="s">
        <v>25</v>
      </c>
      <c r="F4648" t="s">
        <v>52</v>
      </c>
      <c r="G4648" t="s">
        <v>70</v>
      </c>
      <c r="I4648">
        <v>2045</v>
      </c>
      <c r="J4648">
        <v>1E-4</v>
      </c>
      <c r="K4648" t="s">
        <v>52</v>
      </c>
      <c r="L4648">
        <v>94</v>
      </c>
    </row>
    <row r="4649" spans="1:12" x14ac:dyDescent="0.45">
      <c r="A4649" t="s">
        <v>87</v>
      </c>
      <c r="B4649" t="s">
        <v>1</v>
      </c>
      <c r="C4649" t="s">
        <v>83</v>
      </c>
      <c r="D4649" t="s">
        <v>52</v>
      </c>
      <c r="E4649" t="s">
        <v>25</v>
      </c>
      <c r="F4649" t="s">
        <v>52</v>
      </c>
      <c r="G4649" t="s">
        <v>70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87</v>
      </c>
      <c r="B4650" t="s">
        <v>1</v>
      </c>
      <c r="C4650" t="s">
        <v>83</v>
      </c>
      <c r="D4650" t="s">
        <v>53</v>
      </c>
      <c r="E4650" t="s">
        <v>25</v>
      </c>
      <c r="F4650" t="s">
        <v>53</v>
      </c>
      <c r="G4650" t="s">
        <v>70</v>
      </c>
      <c r="I4650">
        <v>2020</v>
      </c>
      <c r="J4650">
        <v>0.1091</v>
      </c>
      <c r="K4650" t="s">
        <v>53</v>
      </c>
      <c r="L4650">
        <v>55</v>
      </c>
    </row>
    <row r="4651" spans="1:12" x14ac:dyDescent="0.45">
      <c r="A4651" t="s">
        <v>87</v>
      </c>
      <c r="B4651" t="s">
        <v>1</v>
      </c>
      <c r="C4651" t="s">
        <v>83</v>
      </c>
      <c r="D4651" t="s">
        <v>53</v>
      </c>
      <c r="E4651" t="s">
        <v>25</v>
      </c>
      <c r="F4651" t="s">
        <v>53</v>
      </c>
      <c r="G4651" t="s">
        <v>70</v>
      </c>
      <c r="I4651">
        <v>2025</v>
      </c>
      <c r="J4651">
        <v>0.12909999999999999</v>
      </c>
      <c r="K4651" t="s">
        <v>53</v>
      </c>
      <c r="L4651">
        <v>55</v>
      </c>
    </row>
    <row r="4652" spans="1:12" x14ac:dyDescent="0.45">
      <c r="A4652" t="s">
        <v>87</v>
      </c>
      <c r="B4652" t="s">
        <v>1</v>
      </c>
      <c r="C4652" t="s">
        <v>83</v>
      </c>
      <c r="D4652" t="s">
        <v>53</v>
      </c>
      <c r="E4652" t="s">
        <v>25</v>
      </c>
      <c r="F4652" t="s">
        <v>53</v>
      </c>
      <c r="G4652" t="s">
        <v>70</v>
      </c>
      <c r="I4652">
        <v>2030</v>
      </c>
      <c r="J4652">
        <v>8.4400000000000003E-2</v>
      </c>
      <c r="K4652" t="s">
        <v>53</v>
      </c>
      <c r="L4652">
        <v>55</v>
      </c>
    </row>
    <row r="4653" spans="1:12" x14ac:dyDescent="0.45">
      <c r="A4653" t="s">
        <v>87</v>
      </c>
      <c r="B4653" t="s">
        <v>1</v>
      </c>
      <c r="C4653" t="s">
        <v>83</v>
      </c>
      <c r="D4653" t="s">
        <v>53</v>
      </c>
      <c r="E4653" t="s">
        <v>25</v>
      </c>
      <c r="F4653" t="s">
        <v>53</v>
      </c>
      <c r="G4653" t="s">
        <v>70</v>
      </c>
      <c r="I4653">
        <v>2035</v>
      </c>
      <c r="J4653">
        <v>1.9900000000000001E-2</v>
      </c>
      <c r="K4653" t="s">
        <v>53</v>
      </c>
      <c r="L4653">
        <v>55</v>
      </c>
    </row>
    <row r="4654" spans="1:12" x14ac:dyDescent="0.45">
      <c r="A4654" t="s">
        <v>87</v>
      </c>
      <c r="B4654" t="s">
        <v>1</v>
      </c>
      <c r="C4654" t="s">
        <v>83</v>
      </c>
      <c r="D4654" t="s">
        <v>53</v>
      </c>
      <c r="E4654" t="s">
        <v>25</v>
      </c>
      <c r="F4654" t="s">
        <v>53</v>
      </c>
      <c r="G4654" t="s">
        <v>70</v>
      </c>
      <c r="I4654">
        <v>2040</v>
      </c>
      <c r="J4654">
        <v>5.7000000000000002E-3</v>
      </c>
      <c r="K4654" t="s">
        <v>53</v>
      </c>
      <c r="L4654">
        <v>55</v>
      </c>
    </row>
    <row r="4655" spans="1:12" x14ac:dyDescent="0.45">
      <c r="A4655" t="s">
        <v>87</v>
      </c>
      <c r="B4655" t="s">
        <v>1</v>
      </c>
      <c r="C4655" t="s">
        <v>83</v>
      </c>
      <c r="D4655" t="s">
        <v>53</v>
      </c>
      <c r="E4655" t="s">
        <v>25</v>
      </c>
      <c r="F4655" t="s">
        <v>53</v>
      </c>
      <c r="G4655" t="s">
        <v>70</v>
      </c>
      <c r="I4655">
        <v>2045</v>
      </c>
      <c r="J4655">
        <v>1.1999999999999999E-3</v>
      </c>
      <c r="K4655" t="s">
        <v>53</v>
      </c>
      <c r="L4655">
        <v>55</v>
      </c>
    </row>
    <row r="4656" spans="1:12" x14ac:dyDescent="0.45">
      <c r="A4656" t="s">
        <v>87</v>
      </c>
      <c r="B4656" t="s">
        <v>1</v>
      </c>
      <c r="C4656" t="s">
        <v>83</v>
      </c>
      <c r="D4656" t="s">
        <v>53</v>
      </c>
      <c r="E4656" t="s">
        <v>25</v>
      </c>
      <c r="F4656" t="s">
        <v>53</v>
      </c>
      <c r="G4656" t="s">
        <v>70</v>
      </c>
      <c r="I4656">
        <v>2050</v>
      </c>
      <c r="J4656">
        <v>2.9999999999999997E-4</v>
      </c>
      <c r="K4656" t="s">
        <v>53</v>
      </c>
      <c r="L4656">
        <v>55</v>
      </c>
    </row>
    <row r="4657" spans="1:12" x14ac:dyDescent="0.45">
      <c r="A4657" t="s">
        <v>87</v>
      </c>
      <c r="B4657" t="s">
        <v>1</v>
      </c>
      <c r="C4657" t="s">
        <v>83</v>
      </c>
      <c r="D4657" t="s">
        <v>54</v>
      </c>
      <c r="E4657" t="s">
        <v>25</v>
      </c>
      <c r="F4657" t="s">
        <v>54</v>
      </c>
      <c r="G4657" t="s">
        <v>70</v>
      </c>
      <c r="I4657">
        <v>2020</v>
      </c>
      <c r="J4657">
        <v>0</v>
      </c>
      <c r="K4657" t="s">
        <v>54</v>
      </c>
      <c r="L4657">
        <v>70</v>
      </c>
    </row>
    <row r="4658" spans="1:12" x14ac:dyDescent="0.45">
      <c r="A4658" t="s">
        <v>87</v>
      </c>
      <c r="B4658" t="s">
        <v>1</v>
      </c>
      <c r="C4658" t="s">
        <v>83</v>
      </c>
      <c r="D4658" t="s">
        <v>54</v>
      </c>
      <c r="E4658" t="s">
        <v>25</v>
      </c>
      <c r="F4658" t="s">
        <v>54</v>
      </c>
      <c r="G4658" t="s">
        <v>70</v>
      </c>
      <c r="I4658">
        <v>2025</v>
      </c>
      <c r="J4658">
        <v>0</v>
      </c>
      <c r="K4658" t="s">
        <v>54</v>
      </c>
      <c r="L4658">
        <v>70</v>
      </c>
    </row>
    <row r="4659" spans="1:12" x14ac:dyDescent="0.45">
      <c r="A4659" t="s">
        <v>87</v>
      </c>
      <c r="B4659" t="s">
        <v>1</v>
      </c>
      <c r="C4659" t="s">
        <v>83</v>
      </c>
      <c r="D4659" t="s">
        <v>54</v>
      </c>
      <c r="E4659" t="s">
        <v>25</v>
      </c>
      <c r="F4659" t="s">
        <v>54</v>
      </c>
      <c r="G4659" t="s">
        <v>70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87</v>
      </c>
      <c r="B4660" t="s">
        <v>1</v>
      </c>
      <c r="C4660" t="s">
        <v>83</v>
      </c>
      <c r="D4660" t="s">
        <v>54</v>
      </c>
      <c r="E4660" t="s">
        <v>25</v>
      </c>
      <c r="F4660" t="s">
        <v>54</v>
      </c>
      <c r="G4660" t="s">
        <v>70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87</v>
      </c>
      <c r="B4661" t="s">
        <v>1</v>
      </c>
      <c r="C4661" t="s">
        <v>83</v>
      </c>
      <c r="D4661" t="s">
        <v>54</v>
      </c>
      <c r="E4661" t="s">
        <v>25</v>
      </c>
      <c r="F4661" t="s">
        <v>54</v>
      </c>
      <c r="G4661" t="s">
        <v>70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87</v>
      </c>
      <c r="B4662" t="s">
        <v>1</v>
      </c>
      <c r="C4662" t="s">
        <v>83</v>
      </c>
      <c r="D4662" t="s">
        <v>54</v>
      </c>
      <c r="E4662" t="s">
        <v>25</v>
      </c>
      <c r="F4662" t="s">
        <v>54</v>
      </c>
      <c r="G4662" t="s">
        <v>70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87</v>
      </c>
      <c r="B4663" t="s">
        <v>1</v>
      </c>
      <c r="C4663" t="s">
        <v>83</v>
      </c>
      <c r="D4663" t="s">
        <v>54</v>
      </c>
      <c r="E4663" t="s">
        <v>25</v>
      </c>
      <c r="F4663" t="s">
        <v>54</v>
      </c>
      <c r="G4663" t="s">
        <v>70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87</v>
      </c>
      <c r="B4664" t="s">
        <v>1</v>
      </c>
      <c r="C4664" t="s">
        <v>83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87</v>
      </c>
      <c r="B4665" t="s">
        <v>1</v>
      </c>
      <c r="C4665" t="s">
        <v>83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87</v>
      </c>
      <c r="B4666" t="s">
        <v>1</v>
      </c>
      <c r="C4666" t="s">
        <v>83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87</v>
      </c>
      <c r="B4667" t="s">
        <v>1</v>
      </c>
      <c r="C4667" t="s">
        <v>83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87</v>
      </c>
      <c r="B4668" t="s">
        <v>1</v>
      </c>
      <c r="C4668" t="s">
        <v>83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87</v>
      </c>
      <c r="B4669" t="s">
        <v>1</v>
      </c>
      <c r="C4669" t="s">
        <v>83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87</v>
      </c>
      <c r="B4670" t="s">
        <v>1</v>
      </c>
      <c r="C4670" t="s">
        <v>83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87</v>
      </c>
      <c r="B4671" t="s">
        <v>1</v>
      </c>
      <c r="C4671" t="s">
        <v>83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87</v>
      </c>
      <c r="B4672" t="s">
        <v>1</v>
      </c>
      <c r="C4672" t="s">
        <v>83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87</v>
      </c>
      <c r="B4673" t="s">
        <v>1</v>
      </c>
      <c r="C4673" t="s">
        <v>83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87</v>
      </c>
      <c r="B4674" t="s">
        <v>1</v>
      </c>
      <c r="C4674" t="s">
        <v>83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87</v>
      </c>
      <c r="B4675" t="s">
        <v>1</v>
      </c>
      <c r="C4675" t="s">
        <v>83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87</v>
      </c>
      <c r="B4676" t="s">
        <v>1</v>
      </c>
      <c r="C4676" t="s">
        <v>83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87</v>
      </c>
      <c r="B4677" t="s">
        <v>1</v>
      </c>
      <c r="C4677" t="s">
        <v>83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87</v>
      </c>
      <c r="B4678" t="s">
        <v>1</v>
      </c>
      <c r="C4678" t="s">
        <v>83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87</v>
      </c>
      <c r="B4679" t="s">
        <v>1</v>
      </c>
      <c r="C4679" t="s">
        <v>83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87</v>
      </c>
      <c r="B4680" t="s">
        <v>1</v>
      </c>
      <c r="C4680" t="s">
        <v>83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87</v>
      </c>
      <c r="B4681" t="s">
        <v>1</v>
      </c>
      <c r="C4681" t="s">
        <v>83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87</v>
      </c>
      <c r="B4682" t="s">
        <v>1</v>
      </c>
      <c r="C4682" t="s">
        <v>83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87</v>
      </c>
      <c r="B4683" t="s">
        <v>1</v>
      </c>
      <c r="C4683" t="s">
        <v>83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87</v>
      </c>
      <c r="B4684" t="s">
        <v>1</v>
      </c>
      <c r="C4684" t="s">
        <v>83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87</v>
      </c>
      <c r="B4685" t="s">
        <v>1</v>
      </c>
      <c r="C4685" t="s">
        <v>83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56.074300000000001</v>
      </c>
      <c r="K4685" t="s">
        <v>37</v>
      </c>
    </row>
    <row r="4686" spans="1:11" x14ac:dyDescent="0.45">
      <c r="A4686" t="s">
        <v>87</v>
      </c>
      <c r="B4686" t="s">
        <v>1</v>
      </c>
      <c r="C4686" t="s">
        <v>83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53.4358</v>
      </c>
      <c r="K4686" t="s">
        <v>37</v>
      </c>
    </row>
    <row r="4687" spans="1:11" x14ac:dyDescent="0.45">
      <c r="A4687" t="s">
        <v>87</v>
      </c>
      <c r="B4687" t="s">
        <v>1</v>
      </c>
      <c r="C4687" t="s">
        <v>83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72.004999999999995</v>
      </c>
      <c r="K4687" t="s">
        <v>37</v>
      </c>
    </row>
    <row r="4688" spans="1:11" x14ac:dyDescent="0.45">
      <c r="A4688" t="s">
        <v>87</v>
      </c>
      <c r="B4688" t="s">
        <v>1</v>
      </c>
      <c r="C4688" t="s">
        <v>83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75.687899999999999</v>
      </c>
      <c r="K4688" t="s">
        <v>37</v>
      </c>
    </row>
    <row r="4689" spans="1:11" x14ac:dyDescent="0.45">
      <c r="A4689" t="s">
        <v>87</v>
      </c>
      <c r="B4689" t="s">
        <v>1</v>
      </c>
      <c r="C4689" t="s">
        <v>83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82.591700000000003</v>
      </c>
      <c r="K4689" t="s">
        <v>37</v>
      </c>
    </row>
    <row r="4690" spans="1:11" x14ac:dyDescent="0.45">
      <c r="A4690" t="s">
        <v>87</v>
      </c>
      <c r="B4690" t="s">
        <v>1</v>
      </c>
      <c r="C4690" t="s">
        <v>83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68.068100000000001</v>
      </c>
      <c r="K4690" t="s">
        <v>37</v>
      </c>
    </row>
    <row r="4691" spans="1:11" x14ac:dyDescent="0.45">
      <c r="A4691" t="s">
        <v>87</v>
      </c>
      <c r="B4691" t="s">
        <v>1</v>
      </c>
      <c r="C4691" t="s">
        <v>83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107.6135</v>
      </c>
      <c r="K4691" t="s">
        <v>37</v>
      </c>
    </row>
    <row r="4692" spans="1:11" x14ac:dyDescent="0.45">
      <c r="A4692" t="s">
        <v>87</v>
      </c>
      <c r="B4692" t="s">
        <v>1</v>
      </c>
      <c r="C4692" t="s">
        <v>83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375.32639999999998</v>
      </c>
      <c r="K4692" t="s">
        <v>48</v>
      </c>
    </row>
    <row r="4693" spans="1:11" x14ac:dyDescent="0.45">
      <c r="A4693" t="s">
        <v>87</v>
      </c>
      <c r="B4693" t="s">
        <v>1</v>
      </c>
      <c r="C4693" t="s">
        <v>83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393.46949999999998</v>
      </c>
      <c r="K4693" t="s">
        <v>48</v>
      </c>
    </row>
    <row r="4694" spans="1:11" x14ac:dyDescent="0.45">
      <c r="A4694" t="s">
        <v>87</v>
      </c>
      <c r="B4694" t="s">
        <v>1</v>
      </c>
      <c r="C4694" t="s">
        <v>83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289.9076</v>
      </c>
      <c r="K4694" t="s">
        <v>48</v>
      </c>
    </row>
    <row r="4695" spans="1:11" x14ac:dyDescent="0.45">
      <c r="A4695" t="s">
        <v>87</v>
      </c>
      <c r="B4695" t="s">
        <v>1</v>
      </c>
      <c r="C4695" t="s">
        <v>83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139.964</v>
      </c>
      <c r="K4695" t="s">
        <v>48</v>
      </c>
    </row>
    <row r="4696" spans="1:11" x14ac:dyDescent="0.45">
      <c r="A4696" t="s">
        <v>87</v>
      </c>
      <c r="B4696" t="s">
        <v>1</v>
      </c>
      <c r="C4696" t="s">
        <v>83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81.634</v>
      </c>
      <c r="K4696" t="s">
        <v>48</v>
      </c>
    </row>
    <row r="4697" spans="1:11" x14ac:dyDescent="0.45">
      <c r="A4697" t="s">
        <v>87</v>
      </c>
      <c r="B4697" t="s">
        <v>1</v>
      </c>
      <c r="C4697" t="s">
        <v>83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47.039200000000001</v>
      </c>
      <c r="K4697" t="s">
        <v>48</v>
      </c>
    </row>
    <row r="4698" spans="1:11" x14ac:dyDescent="0.45">
      <c r="A4698" t="s">
        <v>87</v>
      </c>
      <c r="B4698" t="s">
        <v>1</v>
      </c>
      <c r="C4698" t="s">
        <v>83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28.781400000000001</v>
      </c>
      <c r="K4698" t="s">
        <v>48</v>
      </c>
    </row>
    <row r="4699" spans="1:11" x14ac:dyDescent="0.45">
      <c r="A4699" t="s">
        <v>87</v>
      </c>
      <c r="B4699" t="s">
        <v>1</v>
      </c>
      <c r="C4699" t="s">
        <v>83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333.60719999999998</v>
      </c>
      <c r="K4699" t="s">
        <v>51</v>
      </c>
    </row>
    <row r="4700" spans="1:11" x14ac:dyDescent="0.45">
      <c r="A4700" t="s">
        <v>87</v>
      </c>
      <c r="B4700" t="s">
        <v>1</v>
      </c>
      <c r="C4700" t="s">
        <v>83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327.53289999999998</v>
      </c>
      <c r="K4700" t="s">
        <v>51</v>
      </c>
    </row>
    <row r="4701" spans="1:11" x14ac:dyDescent="0.45">
      <c r="A4701" t="s">
        <v>87</v>
      </c>
      <c r="B4701" t="s">
        <v>1</v>
      </c>
      <c r="C4701" t="s">
        <v>83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223.81440000000001</v>
      </c>
      <c r="K4701" t="s">
        <v>51</v>
      </c>
    </row>
    <row r="4702" spans="1:11" x14ac:dyDescent="0.45">
      <c r="A4702" t="s">
        <v>87</v>
      </c>
      <c r="B4702" t="s">
        <v>1</v>
      </c>
      <c r="C4702" t="s">
        <v>83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96.362300000000005</v>
      </c>
      <c r="K4702" t="s">
        <v>51</v>
      </c>
    </row>
    <row r="4703" spans="1:11" x14ac:dyDescent="0.45">
      <c r="A4703" t="s">
        <v>87</v>
      </c>
      <c r="B4703" t="s">
        <v>1</v>
      </c>
      <c r="C4703" t="s">
        <v>83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44.151800000000001</v>
      </c>
      <c r="K4703" t="s">
        <v>51</v>
      </c>
    </row>
    <row r="4704" spans="1:11" x14ac:dyDescent="0.45">
      <c r="A4704" t="s">
        <v>87</v>
      </c>
      <c r="B4704" t="s">
        <v>1</v>
      </c>
      <c r="C4704" t="s">
        <v>83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16.437000000000001</v>
      </c>
      <c r="K4704" t="s">
        <v>51</v>
      </c>
    </row>
    <row r="4705" spans="1:11" x14ac:dyDescent="0.45">
      <c r="A4705" t="s">
        <v>87</v>
      </c>
      <c r="B4705" t="s">
        <v>1</v>
      </c>
      <c r="C4705" t="s">
        <v>83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11.4474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2025-09-19T12:08:35Z</dcterms:modified>
</cp:coreProperties>
</file>