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4B1ACAF1-FBBA-4F2C-BEE7-EABF77B86B4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<sst xmlns="http://schemas.openxmlformats.org/spreadsheetml/2006/main" count="58781" uniqueCount="95">
  <si>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</si>
  <si>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</si>
  <si>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</si>
  <si>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</si>
  <si>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</si>
  <si>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</si>
  <si>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</si>
  <si>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</si>
  <si>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</si>
  <si>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</si>
  <si>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</si>
  <si>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</si>
  <si>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</si>
  <si>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</si>
  <si>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</si>
  <si>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</si>
  <si>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</si>
  <si>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</si>
  <si>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</si>
  <si>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</si>
  <si>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</si>
  <si>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</si>
  <si>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</si>
  <si>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</si>
  <si>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</si>
  <si>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</si>
  <si>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</si>
  <si>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</si>
  <si>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</si>
  <si>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</si>
  <si>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</si>
  <si>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</si>
  <si>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</si>
  <si>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</si>
  <si>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</si>
  <si>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</si>
  <si>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</si>
  <si>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</si>
  <si>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</si>
  <si>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</si>
  <si>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</si>
  <si>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</si>
  <si>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</si>
  <si>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</si>
  <si>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</si>
  <si>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</si>
  <si>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</si>
  <si>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</si>
  <si>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</si>
  <si>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</si>
  <si>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</si>
  <si>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</si>
  <si>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</si>
  <si>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</si>
  <si>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</si>
  <si>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</si>
  <si>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</si>
  <si>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</si>
  <si>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</si>
  <si>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</si>
  <si>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</si>
  <si>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</si>
  <si>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</si>
  <si>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</si>
  <si>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</si>
  <si>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</si>
  <si>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</si>
  <si>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</si>
  <si>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</si>
  <si>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</si>
  <si>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</si>
  <si>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</si>
  <si>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</si>
  <si>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</si>
  <si>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</si>
  <si>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</si>
  <si>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</si>
  <si>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</si>
  <si>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</si>
  <si>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</si>
  <si>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</si>
  <si>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</si>
  <si>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</si>
  <si>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</si>
  <si>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ESP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</si>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</sst>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341.87</c:v>
                </c:pt>
                <c:pt idx="1">
                  <c:v>377.40653369440685</c:v>
                </c:pt>
                <c:pt idx="2">
                  <c:v>401.74443026768051</c:v>
                </c:pt>
                <c:pt idx="3">
                  <c:v>414.70565097385696</c:v>
                </c:pt>
                <c:pt idx="4">
                  <c:v>414.77686647224249</c:v>
                </c:pt>
                <c:pt idx="5">
                  <c:v>412.58698989688571</c:v>
                </c:pt>
                <c:pt idx="6">
                  <c:v>420.49191021768576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51.66</c:v>
                </c:pt>
                <c:pt idx="1">
                  <c:v>51.607255748201112</c:v>
                </c:pt>
                <c:pt idx="2">
                  <c:v>33.191976977276461</c:v>
                </c:pt>
                <c:pt idx="3">
                  <c:v>40.598970110850146</c:v>
                </c:pt>
                <c:pt idx="4">
                  <c:v>49.544627058805929</c:v>
                </c:pt>
                <c:pt idx="5">
                  <c:v>66.360962870435472</c:v>
                </c:pt>
                <c:pt idx="6">
                  <c:v>62.568206800604358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341.87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341.87</v>
      </c>
      <c r="S12" s="8">
        <f t="shared" ref="S12:X12" si="0">SUM(S17:S20)</f>
        <v>377.40653369440685</v>
      </c>
      <c r="T12" s="8">
        <f t="shared" si="0"/>
        <v>401.74443026768051</v>
      </c>
      <c r="U12" s="8">
        <f t="shared" si="0"/>
        <v>414.70565097385696</v>
      </c>
      <c r="V12" s="8">
        <f t="shared" si="0"/>
        <v>414.77686647224249</v>
      </c>
      <c r="W12" s="8">
        <f t="shared" si="0"/>
        <v>412.58698989688571</v>
      </c>
      <c r="X12" s="8">
        <f t="shared" si="0"/>
        <v>420.49191021768576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5.8999999999999999E-3</v>
      </c>
      <c r="H16" s="10">
        <f>SUMIFS(ngfs_median!$J$2:$J$17119,ngfs_median!$B$2:$B$17119,Veda!$C$5,ngfs_median!$H$2:$H$17119,Veda!$Q16,ngfs_median!$I$2:$I$17119,Veda!H$15)</f>
        <v>2.6700000000000002E-2</v>
      </c>
      <c r="I16" s="10">
        <f>SUMIFS(ngfs_median!$J$2:$J$17119,ngfs_median!$B$2:$B$17119,Veda!$C$5,ngfs_median!$H$2:$H$17119,Veda!$Q16,ngfs_median!$I$2:$I$17119,Veda!I$15)</f>
        <v>4.9000000000000002E-2</v>
      </c>
      <c r="J16" s="10">
        <f>SUMIFS(ngfs_median!$J$2:$J$17119,ngfs_median!$B$2:$B$17119,Veda!$C$5,ngfs_median!$H$2:$H$17119,Veda!$Q16,ngfs_median!$I$2:$I$17119,Veda!J$15)</f>
        <v>6.0299999999999999E-2</v>
      </c>
      <c r="K16" s="10">
        <f>SUMIFS(ngfs_median!$J$2:$J$17119,ngfs_median!$B$2:$B$17119,Veda!$C$5,ngfs_median!$H$2:$H$17119,Veda!$Q16,ngfs_median!$I$2:$I$17119,Veda!K$15)</f>
        <v>6.4349999999999991E-2</v>
      </c>
      <c r="L16" s="10">
        <f>SUMIFS(ngfs_median!$J$2:$J$17119,ngfs_median!$B$2:$B$17119,Veda!$C$5,ngfs_median!$H$2:$H$17119,Veda!$Q16,ngfs_median!$I$2:$I$17119,Veda!L$15)</f>
        <v>7.4749999999999997E-2</v>
      </c>
      <c r="M16" s="10">
        <f>SUMIFS(ngfs_median!$J$2:$J$17119,ngfs_median!$B$2:$B$17119,Veda!$C$5,ngfs_median!$H$2:$H$17119,Veda!$Q16,ngfs_median!$I$2:$I$17119,Veda!M$15)</f>
        <v>9.6849999999999992E-2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6.1944444444444446</v>
      </c>
      <c r="U16" s="6">
        <f t="shared" si="2"/>
        <v>9.3333333333333321</v>
      </c>
      <c r="V16" s="6">
        <f t="shared" si="2"/>
        <v>10.45833333333333</v>
      </c>
      <c r="W16" s="6">
        <f t="shared" si="2"/>
        <v>13.347222222222221</v>
      </c>
      <c r="X16" s="6">
        <f t="shared" si="2"/>
        <v>19.486111111111107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2.3800000000000002E-2</v>
      </c>
      <c r="H17" s="10">
        <f>SUMIFS(ngfs_median!$J$2:$J$17119,ngfs_median!$B$2:$B$17119,Veda!$C$5,ngfs_median!$H$2:$H$17119,Veda!$Q17,ngfs_median!$I$2:$I$17119,Veda!H$15)</f>
        <v>4.8149999999999998E-2</v>
      </c>
      <c r="I17" s="10">
        <f>SUMIFS(ngfs_median!$J$2:$J$17119,ngfs_median!$B$2:$B$17119,Veda!$C$5,ngfs_median!$H$2:$H$17119,Veda!$Q17,ngfs_median!$I$2:$I$17119,Veda!I$15)</f>
        <v>8.0549999999999997E-2</v>
      </c>
      <c r="J17" s="10">
        <f>SUMIFS(ngfs_median!$J$2:$J$17119,ngfs_median!$B$2:$B$17119,Veda!$C$5,ngfs_median!$H$2:$H$17119,Veda!$Q17,ngfs_median!$I$2:$I$17119,Veda!J$15)</f>
        <v>0.10985</v>
      </c>
      <c r="K17" s="10">
        <f>SUMIFS(ngfs_median!$J$2:$J$17119,ngfs_median!$B$2:$B$17119,Veda!$C$5,ngfs_median!$H$2:$H$17119,Veda!$Q17,ngfs_median!$I$2:$I$17119,Veda!K$15)</f>
        <v>0.12959999999999999</v>
      </c>
      <c r="L17" s="10">
        <f>SUMIFS(ngfs_median!$J$2:$J$17119,ngfs_median!$B$2:$B$17119,Veda!$C$5,ngfs_median!$H$2:$H$17119,Veda!$Q17,ngfs_median!$I$2:$I$17119,Veda!L$15)</f>
        <v>0.1361</v>
      </c>
      <c r="M17" s="10">
        <f>SUMIFS(ngfs_median!$J$2:$J$17119,ngfs_median!$B$2:$B$17119,Veda!$C$5,ngfs_median!$H$2:$H$17119,Veda!$Q17,ngfs_median!$I$2:$I$17119,Veda!M$15)</f>
        <v>0.14019999999999999</v>
      </c>
      <c r="Q17" s="12" t="s">
        <v>10</v>
      </c>
      <c r="R17" s="6">
        <f>$Q$10*G17/SUM($G$17:$G$19)</f>
        <v>8.4746443078845957</v>
      </c>
      <c r="S17" s="6">
        <f>R17</f>
        <v>8.4746443078845957</v>
      </c>
      <c r="T17" s="6">
        <f t="shared" ref="T17:X17" si="3">S17</f>
        <v>8.4746443078845957</v>
      </c>
      <c r="U17" s="6">
        <f t="shared" si="3"/>
        <v>8.4746443078845957</v>
      </c>
      <c r="V17" s="6">
        <f t="shared" si="3"/>
        <v>8.4746443078845957</v>
      </c>
      <c r="W17" s="6">
        <f t="shared" si="3"/>
        <v>8.4746443078845957</v>
      </c>
      <c r="X17" s="6">
        <f t="shared" si="3"/>
        <v>8.4746443078845957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0.65759999999999996</v>
      </c>
      <c r="H18" s="10">
        <f>SUMIFS(ngfs_median!$J$2:$J$17119,ngfs_median!$B$2:$B$17119,Veda!$C$5,ngfs_median!$H$2:$H$17119,Veda!$Q18,ngfs_median!$I$2:$I$17119,Veda!H$15)</f>
        <v>0.71524999999999994</v>
      </c>
      <c r="I18" s="10">
        <f>SUMIFS(ngfs_median!$J$2:$J$17119,ngfs_median!$B$2:$B$17119,Veda!$C$5,ngfs_median!$H$2:$H$17119,Veda!$Q18,ngfs_median!$I$2:$I$17119,Veda!I$15)</f>
        <v>0.74770000000000003</v>
      </c>
      <c r="J18" s="10">
        <f>SUMIFS(ngfs_median!$J$2:$J$17119,ngfs_median!$B$2:$B$17119,Veda!$C$5,ngfs_median!$H$2:$H$17119,Veda!$Q18,ngfs_median!$I$2:$I$17119,Veda!J$15)</f>
        <v>0.75480000000000003</v>
      </c>
      <c r="K18" s="10">
        <f>SUMIFS(ngfs_median!$J$2:$J$17119,ngfs_median!$B$2:$B$17119,Veda!$C$5,ngfs_median!$H$2:$H$17119,Veda!$Q18,ngfs_median!$I$2:$I$17119,Veda!K$15)</f>
        <v>0.73439999999999994</v>
      </c>
      <c r="L18" s="10">
        <f>SUMIFS(ngfs_median!$J$2:$J$17119,ngfs_median!$B$2:$B$17119,Veda!$C$5,ngfs_median!$H$2:$H$17119,Veda!$Q18,ngfs_median!$I$2:$I$17119,Veda!L$15)</f>
        <v>0.71675</v>
      </c>
      <c r="M18" s="10">
        <f>SUMIFS(ngfs_median!$J$2:$J$17119,ngfs_median!$B$2:$B$17119,Veda!$C$5,ngfs_median!$H$2:$H$17119,Veda!$Q18,ngfs_median!$I$2:$I$17119,Veda!M$15)</f>
        <v>0.72425000000000006</v>
      </c>
      <c r="Q18" s="12" t="s">
        <v>12</v>
      </c>
      <c r="R18" s="6">
        <f>$Q$10*G18/SUM($G$17:$G$19)</f>
        <v>234.15655869180293</v>
      </c>
      <c r="S18" s="6">
        <f t="shared" ref="S18:X19" si="4">R18*H18/G18</f>
        <v>254.68442610144774</v>
      </c>
      <c r="T18" s="6">
        <f t="shared" si="4"/>
        <v>266.23914071450895</v>
      </c>
      <c r="U18" s="6">
        <f t="shared" si="4"/>
        <v>268.76729090719721</v>
      </c>
      <c r="V18" s="6">
        <f t="shared" si="4"/>
        <v>261.50331007186753</v>
      </c>
      <c r="W18" s="6">
        <f t="shared" si="4"/>
        <v>255.21854233933968</v>
      </c>
      <c r="X18" s="6">
        <f t="shared" si="4"/>
        <v>257.88912352879913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0.2787</v>
      </c>
      <c r="H19" s="10">
        <f>SUMIFS(ngfs_median!$J$2:$J$17119,ngfs_median!$B$2:$B$17119,Veda!$C$5,ngfs_median!$H$2:$H$17119,Veda!$Q19,ngfs_median!$I$2:$I$17119,Veda!H$15)</f>
        <v>0.29649999999999999</v>
      </c>
      <c r="I19" s="10">
        <f>SUMIFS(ngfs_median!$J$2:$J$17119,ngfs_median!$B$2:$B$17119,Veda!$C$5,ngfs_median!$H$2:$H$17119,Veda!$Q19,ngfs_median!$I$2:$I$17119,Veda!I$15)</f>
        <v>0.3</v>
      </c>
      <c r="J19" s="10">
        <f>SUMIFS(ngfs_median!$J$2:$J$17119,ngfs_median!$B$2:$B$17119,Veda!$C$5,ngfs_median!$H$2:$H$17119,Veda!$Q19,ngfs_median!$I$2:$I$17119,Veda!J$15)</f>
        <v>0.30000000000000004</v>
      </c>
      <c r="K19" s="10">
        <f>SUMIFS(ngfs_median!$J$2:$J$17119,ngfs_median!$B$2:$B$17119,Veda!$C$5,ngfs_median!$H$2:$H$17119,Veda!$Q19,ngfs_median!$I$2:$I$17119,Veda!K$15)</f>
        <v>0.30085000000000001</v>
      </c>
      <c r="L19" s="10">
        <f>SUMIFS(ngfs_median!$J$2:$J$17119,ngfs_median!$B$2:$B$17119,Veda!$C$5,ngfs_median!$H$2:$H$17119,Veda!$Q19,ngfs_median!$I$2:$I$17119,Veda!L$15)</f>
        <v>0.30584999999999996</v>
      </c>
      <c r="M19" s="10">
        <f>SUMIFS(ngfs_median!$J$2:$J$17119,ngfs_median!$B$2:$B$17119,Veda!$C$5,ngfs_median!$H$2:$H$17119,Veda!$Q19,ngfs_median!$I$2:$I$17119,Veda!M$15)</f>
        <v>0.31645000000000001</v>
      </c>
      <c r="Q19" s="12" t="s">
        <v>13</v>
      </c>
      <c r="R19" s="6">
        <f>$Q$10*G19/SUM($G$17:$G$19)</f>
        <v>99.238797000312474</v>
      </c>
      <c r="S19" s="6">
        <f t="shared" si="4"/>
        <v>105.57697635662953</v>
      </c>
      <c r="T19" s="6">
        <f t="shared" si="4"/>
        <v>106.82324757837726</v>
      </c>
      <c r="U19" s="6">
        <f t="shared" si="4"/>
        <v>106.82324757837729</v>
      </c>
      <c r="V19" s="6">
        <f t="shared" si="4"/>
        <v>107.12591344651601</v>
      </c>
      <c r="W19" s="6">
        <f t="shared" si="4"/>
        <v>108.90630090615562</v>
      </c>
      <c r="X19" s="6">
        <f t="shared" si="4"/>
        <v>112.68072232059164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8.6704869284449551</v>
      </c>
      <c r="T20" s="6">
        <f t="shared" si="5"/>
        <v>20.207397666909699</v>
      </c>
      <c r="U20" s="6">
        <f t="shared" si="5"/>
        <v>30.640468180397882</v>
      </c>
      <c r="V20" s="6">
        <f t="shared" si="5"/>
        <v>37.672998645974374</v>
      </c>
      <c r="W20" s="6">
        <f t="shared" si="5"/>
        <v>39.987502343505888</v>
      </c>
      <c r="X20" s="6">
        <f t="shared" si="5"/>
        <v>41.44742006041038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51.66</v>
      </c>
      <c r="D22" s="12" t="s">
        <v>79</v>
      </c>
      <c r="G22" s="8">
        <f>G35/$G$35*$B22</f>
        <v>51.66</v>
      </c>
      <c r="H22" s="8">
        <f t="shared" ref="H22:M22" si="6">H35/$G$35*$B22</f>
        <v>51.607255748201112</v>
      </c>
      <c r="I22" s="8">
        <f t="shared" si="6"/>
        <v>33.191976977276461</v>
      </c>
      <c r="J22" s="8">
        <f t="shared" si="6"/>
        <v>40.598970110850146</v>
      </c>
      <c r="K22" s="8">
        <f t="shared" si="6"/>
        <v>49.544627058805929</v>
      </c>
      <c r="L22" s="8">
        <f t="shared" si="6"/>
        <v>66.360962870435472</v>
      </c>
      <c r="M22" s="8">
        <f t="shared" si="6"/>
        <v>62.568206800604358</v>
      </c>
      <c r="Q22" t="s">
        <v>64</v>
      </c>
      <c r="T22" s="8">
        <f>I35*1000</f>
        <v>17179.900000000001</v>
      </c>
      <c r="U22" s="8">
        <f>J35*1000</f>
        <v>21013.7</v>
      </c>
      <c r="V22" s="8">
        <f>K35*1000</f>
        <v>25643.9</v>
      </c>
      <c r="W22" s="8">
        <f>L35*1000</f>
        <v>34347.9</v>
      </c>
      <c r="X22" s="8">
        <f>M35*1000</f>
        <v>32384.799999999999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8</v>
      </c>
      <c r="S26" s="3">
        <f>AVERAGEIFS(historical_data_long!$D$3:$D$9999,historical_data_long!$B$3:$B$9999,"&gt;2017",historical_data_long!$A$3:$A$9999,$O26)</f>
        <v>16.216666666666665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27.8</v>
      </c>
      <c r="S27" s="3">
        <f>AVERAGEIFS(historical_data_long!$D$3:$D$9999,historical_data_long!$B$3:$B$9999,"&gt;2017",historical_data_long!$A$3:$A$9999,$O27)</f>
        <v>18.183333333333334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26.738800000000001</v>
      </c>
      <c r="H35" s="11">
        <f>SUMIFS(ngfs_median!$J$2:$J$17119,ngfs_median!$B$2:$B$17119,Veda!$C$5,ngfs_median!$D$2:$D$17119,Veda!$D22,ngfs_median!$I$2:$I$17119,Veda!H$15)</f>
        <v>26.711500000000001</v>
      </c>
      <c r="I35" s="11">
        <f>SUMIFS(ngfs_median!$J$2:$J$17119,ngfs_median!$B$2:$B$17119,Veda!$C$5,ngfs_median!$D$2:$D$17119,Veda!$D22,ngfs_median!$I$2:$I$17119,Veda!I$15)</f>
        <v>17.1799</v>
      </c>
      <c r="J35" s="11">
        <f>SUMIFS(ngfs_median!$J$2:$J$17119,ngfs_median!$B$2:$B$17119,Veda!$C$5,ngfs_median!$D$2:$D$17119,Veda!$D22,ngfs_median!$I$2:$I$17119,Veda!J$15)</f>
        <v>21.0137</v>
      </c>
      <c r="K35" s="11">
        <f>SUMIFS(ngfs_median!$J$2:$J$17119,ngfs_median!$B$2:$B$17119,Veda!$C$5,ngfs_median!$D$2:$D$17119,Veda!$D22,ngfs_median!$I$2:$I$17119,Veda!K$15)</f>
        <v>25.643900000000002</v>
      </c>
      <c r="L35" s="11">
        <f>SUMIFS(ngfs_median!$J$2:$J$17119,ngfs_median!$B$2:$B$17119,Veda!$C$5,ngfs_median!$D$2:$D$17119,Veda!$D22,ngfs_median!$I$2:$I$17119,Veda!L$15)</f>
        <v>34.347900000000003</v>
      </c>
      <c r="M35" s="11">
        <f>SUMIFS(ngfs_median!$J$2:$J$17119,ngfs_median!$B$2:$B$17119,Veda!$C$5,ngfs_median!$D$2:$D$17119,Veda!$D22,ngfs_median!$I$2:$I$17119,Veda!M$15)</f>
        <v>32.384799999999998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6.68</v>
      </c>
      <c r="T41">
        <v>10.1</v>
      </c>
      <c r="U41">
        <v>12.25</v>
      </c>
      <c r="V41" t="s">
        <v>94</v>
      </c>
    </row>
    <row r="42" spans="7:22" x14ac:dyDescent="0.45">
      <c r="Q42" t="s">
        <v>39</v>
      </c>
      <c r="R42" t="s">
        <v>93</v>
      </c>
      <c r="S42">
        <v>0</v>
      </c>
      <c r="T42">
        <v>0</v>
      </c>
      <c r="U42">
        <v>0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1.49</v>
      </c>
    </row>
    <row r="3" spans="1:4" x14ac:dyDescent="0.45">
      <c r="A3" t="s">
        <v>34</v>
      </c>
      <c r="B3">
        <v>2000</v>
      </c>
      <c r="C3" t="s">
        <v>74</v>
      </c>
      <c r="D3">
        <v>79.09</v>
      </c>
    </row>
    <row r="4" spans="1:4" x14ac:dyDescent="0.45">
      <c r="A4" t="s">
        <v>36</v>
      </c>
      <c r="B4">
        <v>2000</v>
      </c>
      <c r="C4" t="s">
        <v>74</v>
      </c>
      <c r="D4">
        <v>20.18</v>
      </c>
    </row>
    <row r="5" spans="1:4" x14ac:dyDescent="0.45">
      <c r="A5" t="s">
        <v>56</v>
      </c>
      <c r="B5">
        <v>2000</v>
      </c>
      <c r="C5" t="s">
        <v>74</v>
      </c>
      <c r="D5">
        <v>28.26</v>
      </c>
    </row>
    <row r="6" spans="1:4" x14ac:dyDescent="0.45">
      <c r="A6" t="s">
        <v>57</v>
      </c>
      <c r="B6">
        <v>2000</v>
      </c>
      <c r="C6" t="s">
        <v>74</v>
      </c>
      <c r="D6">
        <v>62.21</v>
      </c>
    </row>
    <row r="7" spans="1:4" x14ac:dyDescent="0.45">
      <c r="A7" t="s">
        <v>38</v>
      </c>
      <c r="B7">
        <v>2000</v>
      </c>
      <c r="C7" t="s">
        <v>74</v>
      </c>
      <c r="D7">
        <v>24.95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4.7300000000000004</v>
      </c>
    </row>
    <row r="11" spans="1:4" x14ac:dyDescent="0.45">
      <c r="A11" t="s">
        <v>32</v>
      </c>
      <c r="B11">
        <v>2001</v>
      </c>
      <c r="C11" t="s">
        <v>74</v>
      </c>
      <c r="D11">
        <v>1.63</v>
      </c>
    </row>
    <row r="12" spans="1:4" x14ac:dyDescent="0.45">
      <c r="A12" t="s">
        <v>34</v>
      </c>
      <c r="B12">
        <v>2001</v>
      </c>
      <c r="C12" t="s">
        <v>74</v>
      </c>
      <c r="D12">
        <v>70.27</v>
      </c>
    </row>
    <row r="13" spans="1:4" x14ac:dyDescent="0.45">
      <c r="A13" t="s">
        <v>36</v>
      </c>
      <c r="B13">
        <v>2001</v>
      </c>
      <c r="C13" t="s">
        <v>74</v>
      </c>
      <c r="D13">
        <v>23.36</v>
      </c>
    </row>
    <row r="14" spans="1:4" x14ac:dyDescent="0.45">
      <c r="A14" t="s">
        <v>56</v>
      </c>
      <c r="B14">
        <v>2001</v>
      </c>
      <c r="C14" t="s">
        <v>74</v>
      </c>
      <c r="D14">
        <v>40.89</v>
      </c>
    </row>
    <row r="15" spans="1:4" x14ac:dyDescent="0.45">
      <c r="A15" t="s">
        <v>57</v>
      </c>
      <c r="B15">
        <v>2001</v>
      </c>
      <c r="C15" t="s">
        <v>74</v>
      </c>
      <c r="D15">
        <v>63.71</v>
      </c>
    </row>
    <row r="16" spans="1:4" x14ac:dyDescent="0.45">
      <c r="A16" t="s">
        <v>38</v>
      </c>
      <c r="B16">
        <v>2001</v>
      </c>
      <c r="C16" t="s">
        <v>74</v>
      </c>
      <c r="D16">
        <v>26.43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0.02</v>
      </c>
    </row>
    <row r="19" spans="1:4" x14ac:dyDescent="0.45">
      <c r="A19" t="s">
        <v>91</v>
      </c>
      <c r="B19">
        <v>2001</v>
      </c>
      <c r="C19" t="s">
        <v>74</v>
      </c>
      <c r="D19">
        <v>6.76</v>
      </c>
    </row>
    <row r="20" spans="1:4" x14ac:dyDescent="0.45">
      <c r="A20" t="s">
        <v>32</v>
      </c>
      <c r="B20">
        <v>2002</v>
      </c>
      <c r="C20" t="s">
        <v>74</v>
      </c>
      <c r="D20">
        <v>2.59</v>
      </c>
    </row>
    <row r="21" spans="1:4" x14ac:dyDescent="0.45">
      <c r="A21" t="s">
        <v>34</v>
      </c>
      <c r="B21">
        <v>2002</v>
      </c>
      <c r="C21" t="s">
        <v>74</v>
      </c>
      <c r="D21">
        <v>81.180000000000007</v>
      </c>
    </row>
    <row r="22" spans="1:4" x14ac:dyDescent="0.45">
      <c r="A22" t="s">
        <v>36</v>
      </c>
      <c r="B22">
        <v>2002</v>
      </c>
      <c r="C22" t="s">
        <v>74</v>
      </c>
      <c r="D22">
        <v>32.39</v>
      </c>
    </row>
    <row r="23" spans="1:4" x14ac:dyDescent="0.45">
      <c r="A23" t="s">
        <v>56</v>
      </c>
      <c r="B23">
        <v>2002</v>
      </c>
      <c r="C23" t="s">
        <v>74</v>
      </c>
      <c r="D23">
        <v>21.22</v>
      </c>
    </row>
    <row r="24" spans="1:4" x14ac:dyDescent="0.45">
      <c r="A24" t="s">
        <v>57</v>
      </c>
      <c r="B24">
        <v>2002</v>
      </c>
      <c r="C24" t="s">
        <v>74</v>
      </c>
      <c r="D24">
        <v>63.02</v>
      </c>
    </row>
    <row r="25" spans="1:4" x14ac:dyDescent="0.45">
      <c r="A25" t="s">
        <v>38</v>
      </c>
      <c r="B25">
        <v>2002</v>
      </c>
      <c r="C25" t="s">
        <v>74</v>
      </c>
      <c r="D25">
        <v>30.15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0.02</v>
      </c>
    </row>
    <row r="28" spans="1:4" x14ac:dyDescent="0.45">
      <c r="A28" t="s">
        <v>91</v>
      </c>
      <c r="B28">
        <v>2002</v>
      </c>
      <c r="C28" t="s">
        <v>74</v>
      </c>
      <c r="D28">
        <v>9.34</v>
      </c>
    </row>
    <row r="29" spans="1:4" x14ac:dyDescent="0.45">
      <c r="A29" t="s">
        <v>32</v>
      </c>
      <c r="B29">
        <v>2003</v>
      </c>
      <c r="C29" t="s">
        <v>74</v>
      </c>
      <c r="D29">
        <v>3.18</v>
      </c>
    </row>
    <row r="30" spans="1:4" x14ac:dyDescent="0.45">
      <c r="A30" t="s">
        <v>34</v>
      </c>
      <c r="B30">
        <v>2003</v>
      </c>
      <c r="C30" t="s">
        <v>74</v>
      </c>
      <c r="D30">
        <v>74.73</v>
      </c>
    </row>
    <row r="31" spans="1:4" x14ac:dyDescent="0.45">
      <c r="A31" t="s">
        <v>36</v>
      </c>
      <c r="B31">
        <v>2003</v>
      </c>
      <c r="C31" t="s">
        <v>74</v>
      </c>
      <c r="D31">
        <v>39.369999999999997</v>
      </c>
    </row>
    <row r="32" spans="1:4" x14ac:dyDescent="0.45">
      <c r="A32" t="s">
        <v>56</v>
      </c>
      <c r="B32">
        <v>2003</v>
      </c>
      <c r="C32" t="s">
        <v>74</v>
      </c>
      <c r="D32">
        <v>40.479999999999997</v>
      </c>
    </row>
    <row r="33" spans="1:4" x14ac:dyDescent="0.45">
      <c r="A33" t="s">
        <v>57</v>
      </c>
      <c r="B33">
        <v>2003</v>
      </c>
      <c r="C33" t="s">
        <v>74</v>
      </c>
      <c r="D33">
        <v>61.88</v>
      </c>
    </row>
    <row r="34" spans="1:4" x14ac:dyDescent="0.45">
      <c r="A34" t="s">
        <v>38</v>
      </c>
      <c r="B34">
        <v>2003</v>
      </c>
      <c r="C34" t="s">
        <v>74</v>
      </c>
      <c r="D34">
        <v>25.57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0.02</v>
      </c>
    </row>
    <row r="37" spans="1:4" x14ac:dyDescent="0.45">
      <c r="A37" t="s">
        <v>91</v>
      </c>
      <c r="B37">
        <v>2003</v>
      </c>
      <c r="C37" t="s">
        <v>74</v>
      </c>
      <c r="D37">
        <v>12.07</v>
      </c>
    </row>
    <row r="38" spans="1:4" x14ac:dyDescent="0.45">
      <c r="A38" t="s">
        <v>32</v>
      </c>
      <c r="B38">
        <v>2004</v>
      </c>
      <c r="C38" t="s">
        <v>74</v>
      </c>
      <c r="D38">
        <v>3.33</v>
      </c>
    </row>
    <row r="39" spans="1:4" x14ac:dyDescent="0.45">
      <c r="A39" t="s">
        <v>34</v>
      </c>
      <c r="B39">
        <v>2004</v>
      </c>
      <c r="C39" t="s">
        <v>74</v>
      </c>
      <c r="D39">
        <v>79.099999999999994</v>
      </c>
    </row>
    <row r="40" spans="1:4" x14ac:dyDescent="0.45">
      <c r="A40" t="s">
        <v>36</v>
      </c>
      <c r="B40">
        <v>2004</v>
      </c>
      <c r="C40" t="s">
        <v>74</v>
      </c>
      <c r="D40">
        <v>55.46</v>
      </c>
    </row>
    <row r="41" spans="1:4" x14ac:dyDescent="0.45">
      <c r="A41" t="s">
        <v>56</v>
      </c>
      <c r="B41">
        <v>2004</v>
      </c>
      <c r="C41" t="s">
        <v>74</v>
      </c>
      <c r="D41">
        <v>31.08</v>
      </c>
    </row>
    <row r="42" spans="1:4" x14ac:dyDescent="0.45">
      <c r="A42" t="s">
        <v>57</v>
      </c>
      <c r="B42">
        <v>2004</v>
      </c>
      <c r="C42" t="s">
        <v>74</v>
      </c>
      <c r="D42">
        <v>63.61</v>
      </c>
    </row>
    <row r="43" spans="1:4" x14ac:dyDescent="0.45">
      <c r="A43" t="s">
        <v>38</v>
      </c>
      <c r="B43">
        <v>2004</v>
      </c>
      <c r="C43" t="s">
        <v>74</v>
      </c>
      <c r="D43">
        <v>28.31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0.02</v>
      </c>
    </row>
    <row r="46" spans="1:4" x14ac:dyDescent="0.45">
      <c r="A46" t="s">
        <v>91</v>
      </c>
      <c r="B46">
        <v>2004</v>
      </c>
      <c r="C46" t="s">
        <v>74</v>
      </c>
      <c r="D46">
        <v>15.7</v>
      </c>
    </row>
    <row r="47" spans="1:4" x14ac:dyDescent="0.45">
      <c r="A47" t="s">
        <v>32</v>
      </c>
      <c r="B47">
        <v>2005</v>
      </c>
      <c r="C47" t="s">
        <v>74</v>
      </c>
      <c r="D47">
        <v>2.65</v>
      </c>
    </row>
    <row r="48" spans="1:4" x14ac:dyDescent="0.45">
      <c r="A48" t="s">
        <v>34</v>
      </c>
      <c r="B48">
        <v>2005</v>
      </c>
      <c r="C48" t="s">
        <v>74</v>
      </c>
      <c r="D48">
        <v>79.06</v>
      </c>
    </row>
    <row r="49" spans="1:4" x14ac:dyDescent="0.45">
      <c r="A49" t="s">
        <v>36</v>
      </c>
      <c r="B49">
        <v>2005</v>
      </c>
      <c r="C49" t="s">
        <v>74</v>
      </c>
      <c r="D49">
        <v>79.010000000000005</v>
      </c>
    </row>
    <row r="50" spans="1:4" x14ac:dyDescent="0.45">
      <c r="A50" t="s">
        <v>56</v>
      </c>
      <c r="B50">
        <v>2005</v>
      </c>
      <c r="C50" t="s">
        <v>74</v>
      </c>
      <c r="D50">
        <v>18.39</v>
      </c>
    </row>
    <row r="51" spans="1:4" x14ac:dyDescent="0.45">
      <c r="A51" t="s">
        <v>57</v>
      </c>
      <c r="B51">
        <v>2005</v>
      </c>
      <c r="C51" t="s">
        <v>74</v>
      </c>
      <c r="D51">
        <v>57.54</v>
      </c>
    </row>
    <row r="52" spans="1:4" x14ac:dyDescent="0.45">
      <c r="A52" t="s">
        <v>38</v>
      </c>
      <c r="B52">
        <v>2005</v>
      </c>
      <c r="C52" t="s">
        <v>74</v>
      </c>
      <c r="D52">
        <v>31.58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0.05</v>
      </c>
    </row>
    <row r="55" spans="1:4" x14ac:dyDescent="0.45">
      <c r="A55" t="s">
        <v>91</v>
      </c>
      <c r="B55">
        <v>2005</v>
      </c>
      <c r="C55" t="s">
        <v>74</v>
      </c>
      <c r="D55">
        <v>21.18</v>
      </c>
    </row>
    <row r="56" spans="1:4" x14ac:dyDescent="0.45">
      <c r="A56" t="s">
        <v>32</v>
      </c>
      <c r="B56">
        <v>2006</v>
      </c>
      <c r="C56" t="s">
        <v>74</v>
      </c>
      <c r="D56">
        <v>2.77</v>
      </c>
    </row>
    <row r="57" spans="1:4" x14ac:dyDescent="0.45">
      <c r="A57" t="s">
        <v>34</v>
      </c>
      <c r="B57">
        <v>2006</v>
      </c>
      <c r="C57" t="s">
        <v>74</v>
      </c>
      <c r="D57">
        <v>66.739999999999995</v>
      </c>
    </row>
    <row r="58" spans="1:4" x14ac:dyDescent="0.45">
      <c r="A58" t="s">
        <v>36</v>
      </c>
      <c r="B58">
        <v>2006</v>
      </c>
      <c r="C58" t="s">
        <v>74</v>
      </c>
      <c r="D58">
        <v>90.57</v>
      </c>
    </row>
    <row r="59" spans="1:4" x14ac:dyDescent="0.45">
      <c r="A59" t="s">
        <v>56</v>
      </c>
      <c r="B59">
        <v>2006</v>
      </c>
      <c r="C59" t="s">
        <v>74</v>
      </c>
      <c r="D59">
        <v>25.96</v>
      </c>
    </row>
    <row r="60" spans="1:4" x14ac:dyDescent="0.45">
      <c r="A60" t="s">
        <v>57</v>
      </c>
      <c r="B60">
        <v>2006</v>
      </c>
      <c r="C60" t="s">
        <v>74</v>
      </c>
      <c r="D60">
        <v>60.13</v>
      </c>
    </row>
    <row r="61" spans="1:4" x14ac:dyDescent="0.45">
      <c r="A61" t="s">
        <v>38</v>
      </c>
      <c r="B61">
        <v>2006</v>
      </c>
      <c r="C61" t="s">
        <v>74</v>
      </c>
      <c r="D61">
        <v>26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0.12</v>
      </c>
    </row>
    <row r="64" spans="1:4" x14ac:dyDescent="0.45">
      <c r="A64" t="s">
        <v>91</v>
      </c>
      <c r="B64">
        <v>2006</v>
      </c>
      <c r="C64" t="s">
        <v>74</v>
      </c>
      <c r="D64">
        <v>23.3</v>
      </c>
    </row>
    <row r="65" spans="1:4" x14ac:dyDescent="0.45">
      <c r="A65" t="s">
        <v>32</v>
      </c>
      <c r="B65">
        <v>2007</v>
      </c>
      <c r="C65" t="s">
        <v>74</v>
      </c>
      <c r="D65">
        <v>2.9</v>
      </c>
    </row>
    <row r="66" spans="1:4" x14ac:dyDescent="0.45">
      <c r="A66" t="s">
        <v>34</v>
      </c>
      <c r="B66">
        <v>2007</v>
      </c>
      <c r="C66" t="s">
        <v>74</v>
      </c>
      <c r="D66">
        <v>72.8</v>
      </c>
    </row>
    <row r="67" spans="1:4" x14ac:dyDescent="0.45">
      <c r="A67" t="s">
        <v>36</v>
      </c>
      <c r="B67">
        <v>2007</v>
      </c>
      <c r="C67" t="s">
        <v>74</v>
      </c>
      <c r="D67">
        <v>94.8</v>
      </c>
    </row>
    <row r="68" spans="1:4" x14ac:dyDescent="0.45">
      <c r="A68" t="s">
        <v>56</v>
      </c>
      <c r="B68">
        <v>2007</v>
      </c>
      <c r="C68" t="s">
        <v>74</v>
      </c>
      <c r="D68">
        <v>27.31</v>
      </c>
    </row>
    <row r="69" spans="1:4" x14ac:dyDescent="0.45">
      <c r="A69" t="s">
        <v>57</v>
      </c>
      <c r="B69">
        <v>2007</v>
      </c>
      <c r="C69" t="s">
        <v>74</v>
      </c>
      <c r="D69">
        <v>55.1</v>
      </c>
    </row>
    <row r="70" spans="1:4" x14ac:dyDescent="0.45">
      <c r="A70" t="s">
        <v>38</v>
      </c>
      <c r="B70">
        <v>2007</v>
      </c>
      <c r="C70" t="s">
        <v>74</v>
      </c>
      <c r="D70">
        <v>20.86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0.52</v>
      </c>
    </row>
    <row r="73" spans="1:4" x14ac:dyDescent="0.45">
      <c r="A73" t="s">
        <v>91</v>
      </c>
      <c r="B73">
        <v>2007</v>
      </c>
      <c r="C73" t="s">
        <v>74</v>
      </c>
      <c r="D73">
        <v>27.57</v>
      </c>
    </row>
    <row r="74" spans="1:4" x14ac:dyDescent="0.45">
      <c r="A74" t="s">
        <v>32</v>
      </c>
      <c r="B74">
        <v>2008</v>
      </c>
      <c r="C74" t="s">
        <v>74</v>
      </c>
      <c r="D74">
        <v>3.26</v>
      </c>
    </row>
    <row r="75" spans="1:4" x14ac:dyDescent="0.45">
      <c r="A75" t="s">
        <v>34</v>
      </c>
      <c r="B75">
        <v>2008</v>
      </c>
      <c r="C75" t="s">
        <v>74</v>
      </c>
      <c r="D75">
        <v>48.71</v>
      </c>
    </row>
    <row r="76" spans="1:4" x14ac:dyDescent="0.45">
      <c r="A76" t="s">
        <v>36</v>
      </c>
      <c r="B76">
        <v>2008</v>
      </c>
      <c r="C76" t="s">
        <v>74</v>
      </c>
      <c r="D76">
        <v>120.8</v>
      </c>
    </row>
    <row r="77" spans="1:4" x14ac:dyDescent="0.45">
      <c r="A77" t="s">
        <v>56</v>
      </c>
      <c r="B77">
        <v>2008</v>
      </c>
      <c r="C77" t="s">
        <v>74</v>
      </c>
      <c r="D77">
        <v>23.36</v>
      </c>
    </row>
    <row r="78" spans="1:4" x14ac:dyDescent="0.45">
      <c r="A78" t="s">
        <v>57</v>
      </c>
      <c r="B78">
        <v>2008</v>
      </c>
      <c r="C78" t="s">
        <v>74</v>
      </c>
      <c r="D78">
        <v>58.97</v>
      </c>
    </row>
    <row r="79" spans="1:4" x14ac:dyDescent="0.45">
      <c r="A79" t="s">
        <v>38</v>
      </c>
      <c r="B79">
        <v>2008</v>
      </c>
      <c r="C79" t="s">
        <v>74</v>
      </c>
      <c r="D79">
        <v>19.16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2.58</v>
      </c>
    </row>
    <row r="82" spans="1:4" x14ac:dyDescent="0.45">
      <c r="A82" t="s">
        <v>91</v>
      </c>
      <c r="B82">
        <v>2008</v>
      </c>
      <c r="C82" t="s">
        <v>74</v>
      </c>
      <c r="D82">
        <v>32.950000000000003</v>
      </c>
    </row>
    <row r="83" spans="1:4" x14ac:dyDescent="0.45">
      <c r="A83" t="s">
        <v>32</v>
      </c>
      <c r="B83">
        <v>2009</v>
      </c>
      <c r="C83" t="s">
        <v>74</v>
      </c>
      <c r="D83">
        <v>3.49</v>
      </c>
    </row>
    <row r="84" spans="1:4" x14ac:dyDescent="0.45">
      <c r="A84" t="s">
        <v>34</v>
      </c>
      <c r="B84">
        <v>2009</v>
      </c>
      <c r="C84" t="s">
        <v>74</v>
      </c>
      <c r="D84">
        <v>35.909999999999997</v>
      </c>
    </row>
    <row r="85" spans="1:4" x14ac:dyDescent="0.45">
      <c r="A85" t="s">
        <v>36</v>
      </c>
      <c r="B85">
        <v>2009</v>
      </c>
      <c r="C85" t="s">
        <v>74</v>
      </c>
      <c r="D85">
        <v>107.75</v>
      </c>
    </row>
    <row r="86" spans="1:4" x14ac:dyDescent="0.45">
      <c r="A86" t="s">
        <v>56</v>
      </c>
      <c r="B86">
        <v>2009</v>
      </c>
      <c r="C86" t="s">
        <v>74</v>
      </c>
      <c r="D86">
        <v>26.41</v>
      </c>
    </row>
    <row r="87" spans="1:4" x14ac:dyDescent="0.45">
      <c r="A87" t="s">
        <v>57</v>
      </c>
      <c r="B87">
        <v>2009</v>
      </c>
      <c r="C87" t="s">
        <v>74</v>
      </c>
      <c r="D87">
        <v>52.76</v>
      </c>
    </row>
    <row r="88" spans="1:4" x14ac:dyDescent="0.45">
      <c r="A88" t="s">
        <v>38</v>
      </c>
      <c r="B88">
        <v>2009</v>
      </c>
      <c r="C88" t="s">
        <v>74</v>
      </c>
      <c r="D88">
        <v>20.22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6.06</v>
      </c>
    </row>
    <row r="91" spans="1:4" x14ac:dyDescent="0.45">
      <c r="A91" t="s">
        <v>91</v>
      </c>
      <c r="B91">
        <v>2009</v>
      </c>
      <c r="C91" t="s">
        <v>74</v>
      </c>
      <c r="D91">
        <v>38.119999999999997</v>
      </c>
    </row>
    <row r="92" spans="1:4" x14ac:dyDescent="0.45">
      <c r="A92" t="s">
        <v>32</v>
      </c>
      <c r="B92">
        <v>2010</v>
      </c>
      <c r="C92" t="s">
        <v>74</v>
      </c>
      <c r="D92">
        <v>4.01</v>
      </c>
    </row>
    <row r="93" spans="1:4" x14ac:dyDescent="0.45">
      <c r="A93" t="s">
        <v>34</v>
      </c>
      <c r="B93">
        <v>2010</v>
      </c>
      <c r="C93" t="s">
        <v>74</v>
      </c>
      <c r="D93">
        <v>25.33</v>
      </c>
    </row>
    <row r="94" spans="1:4" x14ac:dyDescent="0.45">
      <c r="A94" t="s">
        <v>36</v>
      </c>
      <c r="B94">
        <v>2010</v>
      </c>
      <c r="C94" t="s">
        <v>74</v>
      </c>
      <c r="D94">
        <v>94.85</v>
      </c>
    </row>
    <row r="95" spans="1:4" x14ac:dyDescent="0.45">
      <c r="A95" t="s">
        <v>56</v>
      </c>
      <c r="B95">
        <v>2010</v>
      </c>
      <c r="C95" t="s">
        <v>74</v>
      </c>
      <c r="D95">
        <v>42.3</v>
      </c>
    </row>
    <row r="96" spans="1:4" x14ac:dyDescent="0.45">
      <c r="A96" t="s">
        <v>57</v>
      </c>
      <c r="B96">
        <v>2010</v>
      </c>
      <c r="C96" t="s">
        <v>74</v>
      </c>
      <c r="D96">
        <v>61.99</v>
      </c>
    </row>
    <row r="97" spans="1:4" x14ac:dyDescent="0.45">
      <c r="A97" t="s">
        <v>38</v>
      </c>
      <c r="B97">
        <v>2010</v>
      </c>
      <c r="C97" t="s">
        <v>74</v>
      </c>
      <c r="D97">
        <v>17.86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7.19</v>
      </c>
    </row>
    <row r="100" spans="1:4" x14ac:dyDescent="0.45">
      <c r="A100" t="s">
        <v>91</v>
      </c>
      <c r="B100">
        <v>2010</v>
      </c>
      <c r="C100" t="s">
        <v>74</v>
      </c>
      <c r="D100">
        <v>44.27</v>
      </c>
    </row>
    <row r="101" spans="1:4" x14ac:dyDescent="0.45">
      <c r="A101" t="s">
        <v>32</v>
      </c>
      <c r="B101">
        <v>2011</v>
      </c>
      <c r="C101" t="s">
        <v>74</v>
      </c>
      <c r="D101">
        <v>4.6100000000000003</v>
      </c>
    </row>
    <row r="102" spans="1:4" x14ac:dyDescent="0.45">
      <c r="A102" t="s">
        <v>34</v>
      </c>
      <c r="B102">
        <v>2011</v>
      </c>
      <c r="C102" t="s">
        <v>74</v>
      </c>
      <c r="D102">
        <v>43.98</v>
      </c>
    </row>
    <row r="103" spans="1:4" x14ac:dyDescent="0.45">
      <c r="A103" t="s">
        <v>36</v>
      </c>
      <c r="B103">
        <v>2011</v>
      </c>
      <c r="C103" t="s">
        <v>74</v>
      </c>
      <c r="D103">
        <v>85.51</v>
      </c>
    </row>
    <row r="104" spans="1:4" x14ac:dyDescent="0.45">
      <c r="A104" t="s">
        <v>56</v>
      </c>
      <c r="B104">
        <v>2011</v>
      </c>
      <c r="C104" t="s">
        <v>74</v>
      </c>
      <c r="D104">
        <v>30.6</v>
      </c>
    </row>
    <row r="105" spans="1:4" x14ac:dyDescent="0.45">
      <c r="A105" t="s">
        <v>57</v>
      </c>
      <c r="B105">
        <v>2011</v>
      </c>
      <c r="C105" t="s">
        <v>74</v>
      </c>
      <c r="D105">
        <v>57.72</v>
      </c>
    </row>
    <row r="106" spans="1:4" x14ac:dyDescent="0.45">
      <c r="A106" t="s">
        <v>38</v>
      </c>
      <c r="B106">
        <v>2011</v>
      </c>
      <c r="C106" t="s">
        <v>74</v>
      </c>
      <c r="D106">
        <v>16.8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9.4</v>
      </c>
    </row>
    <row r="109" spans="1:4" x14ac:dyDescent="0.45">
      <c r="A109" t="s">
        <v>91</v>
      </c>
      <c r="B109">
        <v>2011</v>
      </c>
      <c r="C109" t="s">
        <v>74</v>
      </c>
      <c r="D109">
        <v>42.92</v>
      </c>
    </row>
    <row r="110" spans="1:4" x14ac:dyDescent="0.45">
      <c r="A110" t="s">
        <v>32</v>
      </c>
      <c r="B110">
        <v>2012</v>
      </c>
      <c r="C110" t="s">
        <v>74</v>
      </c>
      <c r="D110">
        <v>4.9800000000000004</v>
      </c>
    </row>
    <row r="111" spans="1:4" x14ac:dyDescent="0.45">
      <c r="A111" t="s">
        <v>34</v>
      </c>
      <c r="B111">
        <v>2012</v>
      </c>
      <c r="C111" t="s">
        <v>74</v>
      </c>
      <c r="D111">
        <v>55.07</v>
      </c>
    </row>
    <row r="112" spans="1:4" x14ac:dyDescent="0.45">
      <c r="A112" t="s">
        <v>36</v>
      </c>
      <c r="B112">
        <v>2012</v>
      </c>
      <c r="C112" t="s">
        <v>74</v>
      </c>
      <c r="D112">
        <v>73.31</v>
      </c>
    </row>
    <row r="113" spans="1:4" x14ac:dyDescent="0.45">
      <c r="A113" t="s">
        <v>56</v>
      </c>
      <c r="B113">
        <v>2012</v>
      </c>
      <c r="C113" t="s">
        <v>74</v>
      </c>
      <c r="D113">
        <v>20.55</v>
      </c>
    </row>
    <row r="114" spans="1:4" x14ac:dyDescent="0.45">
      <c r="A114" t="s">
        <v>57</v>
      </c>
      <c r="B114">
        <v>2012</v>
      </c>
      <c r="C114" t="s">
        <v>74</v>
      </c>
      <c r="D114">
        <v>61.47</v>
      </c>
    </row>
    <row r="115" spans="1:4" x14ac:dyDescent="0.45">
      <c r="A115" t="s">
        <v>38</v>
      </c>
      <c r="B115">
        <v>2012</v>
      </c>
      <c r="C115" t="s">
        <v>74</v>
      </c>
      <c r="D115">
        <v>17.13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11.97</v>
      </c>
    </row>
    <row r="118" spans="1:4" x14ac:dyDescent="0.45">
      <c r="A118" t="s">
        <v>91</v>
      </c>
      <c r="B118">
        <v>2012</v>
      </c>
      <c r="C118" t="s">
        <v>74</v>
      </c>
      <c r="D118">
        <v>49.47</v>
      </c>
    </row>
    <row r="119" spans="1:4" x14ac:dyDescent="0.45">
      <c r="A119" t="s">
        <v>32</v>
      </c>
      <c r="B119">
        <v>2013</v>
      </c>
      <c r="C119" t="s">
        <v>74</v>
      </c>
      <c r="D119">
        <v>5.8</v>
      </c>
    </row>
    <row r="120" spans="1:4" x14ac:dyDescent="0.45">
      <c r="A120" t="s">
        <v>34</v>
      </c>
      <c r="B120">
        <v>2013</v>
      </c>
      <c r="C120" t="s">
        <v>74</v>
      </c>
      <c r="D120">
        <v>39.94</v>
      </c>
    </row>
    <row r="121" spans="1:4" x14ac:dyDescent="0.45">
      <c r="A121" t="s">
        <v>36</v>
      </c>
      <c r="B121">
        <v>2013</v>
      </c>
      <c r="C121" t="s">
        <v>74</v>
      </c>
      <c r="D121">
        <v>57.54</v>
      </c>
    </row>
    <row r="122" spans="1:4" x14ac:dyDescent="0.45">
      <c r="A122" t="s">
        <v>56</v>
      </c>
      <c r="B122">
        <v>2013</v>
      </c>
      <c r="C122" t="s">
        <v>74</v>
      </c>
      <c r="D122">
        <v>36.869999999999997</v>
      </c>
    </row>
    <row r="123" spans="1:4" x14ac:dyDescent="0.45">
      <c r="A123" t="s">
        <v>57</v>
      </c>
      <c r="B123">
        <v>2013</v>
      </c>
      <c r="C123" t="s">
        <v>74</v>
      </c>
      <c r="D123">
        <v>56.73</v>
      </c>
    </row>
    <row r="124" spans="1:4" x14ac:dyDescent="0.45">
      <c r="A124" t="s">
        <v>38</v>
      </c>
      <c r="B124">
        <v>2013</v>
      </c>
      <c r="C124" t="s">
        <v>74</v>
      </c>
      <c r="D124">
        <v>15.84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13.1</v>
      </c>
    </row>
    <row r="127" spans="1:4" x14ac:dyDescent="0.45">
      <c r="A127" t="s">
        <v>91</v>
      </c>
      <c r="B127">
        <v>2013</v>
      </c>
      <c r="C127" t="s">
        <v>74</v>
      </c>
      <c r="D127">
        <v>55.64</v>
      </c>
    </row>
    <row r="128" spans="1:4" x14ac:dyDescent="0.45">
      <c r="A128" t="s">
        <v>32</v>
      </c>
      <c r="B128">
        <v>2014</v>
      </c>
      <c r="C128" t="s">
        <v>74</v>
      </c>
      <c r="D128">
        <v>5.41</v>
      </c>
    </row>
    <row r="129" spans="1:4" x14ac:dyDescent="0.45">
      <c r="A129" t="s">
        <v>34</v>
      </c>
      <c r="B129">
        <v>2014</v>
      </c>
      <c r="C129" t="s">
        <v>74</v>
      </c>
      <c r="D129">
        <v>43.81</v>
      </c>
    </row>
    <row r="130" spans="1:4" x14ac:dyDescent="0.45">
      <c r="A130" t="s">
        <v>36</v>
      </c>
      <c r="B130">
        <v>2014</v>
      </c>
      <c r="C130" t="s">
        <v>74</v>
      </c>
      <c r="D130">
        <v>47.27</v>
      </c>
    </row>
    <row r="131" spans="1:4" x14ac:dyDescent="0.45">
      <c r="A131" t="s">
        <v>56</v>
      </c>
      <c r="B131">
        <v>2014</v>
      </c>
      <c r="C131" t="s">
        <v>74</v>
      </c>
      <c r="D131">
        <v>39.17</v>
      </c>
    </row>
    <row r="132" spans="1:4" x14ac:dyDescent="0.45">
      <c r="A132" t="s">
        <v>57</v>
      </c>
      <c r="B132">
        <v>2014</v>
      </c>
      <c r="C132" t="s">
        <v>74</v>
      </c>
      <c r="D132">
        <v>57.31</v>
      </c>
    </row>
    <row r="133" spans="1:4" x14ac:dyDescent="0.45">
      <c r="A133" t="s">
        <v>38</v>
      </c>
      <c r="B133">
        <v>2014</v>
      </c>
      <c r="C133" t="s">
        <v>74</v>
      </c>
      <c r="D133">
        <v>15.79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13.67</v>
      </c>
    </row>
    <row r="136" spans="1:4" x14ac:dyDescent="0.45">
      <c r="A136" t="s">
        <v>91</v>
      </c>
      <c r="B136">
        <v>2014</v>
      </c>
      <c r="C136" t="s">
        <v>74</v>
      </c>
      <c r="D136">
        <v>52.01</v>
      </c>
    </row>
    <row r="137" spans="1:4" x14ac:dyDescent="0.45">
      <c r="A137" t="s">
        <v>32</v>
      </c>
      <c r="B137">
        <v>2015</v>
      </c>
      <c r="C137" t="s">
        <v>74</v>
      </c>
      <c r="D137">
        <v>5.76</v>
      </c>
    </row>
    <row r="138" spans="1:4" x14ac:dyDescent="0.45">
      <c r="A138" t="s">
        <v>34</v>
      </c>
      <c r="B138">
        <v>2015</v>
      </c>
      <c r="C138" t="s">
        <v>74</v>
      </c>
      <c r="D138">
        <v>51.37</v>
      </c>
    </row>
    <row r="139" spans="1:4" x14ac:dyDescent="0.45">
      <c r="A139" t="s">
        <v>36</v>
      </c>
      <c r="B139">
        <v>2015</v>
      </c>
      <c r="C139" t="s">
        <v>74</v>
      </c>
      <c r="D139">
        <v>52.5</v>
      </c>
    </row>
    <row r="140" spans="1:4" x14ac:dyDescent="0.45">
      <c r="A140" t="s">
        <v>56</v>
      </c>
      <c r="B140">
        <v>2015</v>
      </c>
      <c r="C140" t="s">
        <v>74</v>
      </c>
      <c r="D140">
        <v>28.14</v>
      </c>
    </row>
    <row r="141" spans="1:4" x14ac:dyDescent="0.45">
      <c r="A141" t="s">
        <v>57</v>
      </c>
      <c r="B141">
        <v>2015</v>
      </c>
      <c r="C141" t="s">
        <v>74</v>
      </c>
      <c r="D141">
        <v>57.2</v>
      </c>
    </row>
    <row r="142" spans="1:4" x14ac:dyDescent="0.45">
      <c r="A142" t="s">
        <v>38</v>
      </c>
      <c r="B142">
        <v>2015</v>
      </c>
      <c r="C142" t="s">
        <v>74</v>
      </c>
      <c r="D142">
        <v>19.02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13.86</v>
      </c>
    </row>
    <row r="145" spans="1:4" x14ac:dyDescent="0.45">
      <c r="A145" t="s">
        <v>91</v>
      </c>
      <c r="B145">
        <v>2015</v>
      </c>
      <c r="C145" t="s">
        <v>74</v>
      </c>
      <c r="D145">
        <v>49.32</v>
      </c>
    </row>
    <row r="146" spans="1:4" x14ac:dyDescent="0.45">
      <c r="A146" t="s">
        <v>32</v>
      </c>
      <c r="B146">
        <v>2016</v>
      </c>
      <c r="C146" t="s">
        <v>74</v>
      </c>
      <c r="D146">
        <v>5.69</v>
      </c>
    </row>
    <row r="147" spans="1:4" x14ac:dyDescent="0.45">
      <c r="A147" t="s">
        <v>34</v>
      </c>
      <c r="B147">
        <v>2016</v>
      </c>
      <c r="C147" t="s">
        <v>74</v>
      </c>
      <c r="D147">
        <v>36.43</v>
      </c>
    </row>
    <row r="148" spans="1:4" x14ac:dyDescent="0.45">
      <c r="A148" t="s">
        <v>36</v>
      </c>
      <c r="B148">
        <v>2016</v>
      </c>
      <c r="C148" t="s">
        <v>74</v>
      </c>
      <c r="D148">
        <v>52.83</v>
      </c>
    </row>
    <row r="149" spans="1:4" x14ac:dyDescent="0.45">
      <c r="A149" t="s">
        <v>56</v>
      </c>
      <c r="B149">
        <v>2016</v>
      </c>
      <c r="C149" t="s">
        <v>74</v>
      </c>
      <c r="D149">
        <v>36.4</v>
      </c>
    </row>
    <row r="150" spans="1:4" x14ac:dyDescent="0.45">
      <c r="A150" t="s">
        <v>57</v>
      </c>
      <c r="B150">
        <v>2016</v>
      </c>
      <c r="C150" t="s">
        <v>74</v>
      </c>
      <c r="D150">
        <v>58.63</v>
      </c>
    </row>
    <row r="151" spans="1:4" x14ac:dyDescent="0.45">
      <c r="A151" t="s">
        <v>38</v>
      </c>
      <c r="B151">
        <v>2016</v>
      </c>
      <c r="C151" t="s">
        <v>74</v>
      </c>
      <c r="D151">
        <v>18.18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13.64</v>
      </c>
    </row>
    <row r="154" spans="1:4" x14ac:dyDescent="0.45">
      <c r="A154" t="s">
        <v>91</v>
      </c>
      <c r="B154">
        <v>2016</v>
      </c>
      <c r="C154" t="s">
        <v>74</v>
      </c>
      <c r="D154">
        <v>48.9</v>
      </c>
    </row>
    <row r="155" spans="1:4" x14ac:dyDescent="0.45">
      <c r="A155" t="s">
        <v>32</v>
      </c>
      <c r="B155">
        <v>2017</v>
      </c>
      <c r="C155" t="s">
        <v>74</v>
      </c>
      <c r="D155">
        <v>6.08</v>
      </c>
    </row>
    <row r="156" spans="1:4" x14ac:dyDescent="0.45">
      <c r="A156" t="s">
        <v>34</v>
      </c>
      <c r="B156">
        <v>2017</v>
      </c>
      <c r="C156" t="s">
        <v>74</v>
      </c>
      <c r="D156">
        <v>45.13</v>
      </c>
    </row>
    <row r="157" spans="1:4" x14ac:dyDescent="0.45">
      <c r="A157" t="s">
        <v>36</v>
      </c>
      <c r="B157">
        <v>2017</v>
      </c>
      <c r="C157" t="s">
        <v>74</v>
      </c>
      <c r="D157">
        <v>64.040000000000006</v>
      </c>
    </row>
    <row r="158" spans="1:4" x14ac:dyDescent="0.45">
      <c r="A158" t="s">
        <v>56</v>
      </c>
      <c r="B158">
        <v>2017</v>
      </c>
      <c r="C158" t="s">
        <v>74</v>
      </c>
      <c r="D158">
        <v>18.32</v>
      </c>
    </row>
    <row r="159" spans="1:4" x14ac:dyDescent="0.45">
      <c r="A159" t="s">
        <v>57</v>
      </c>
      <c r="B159">
        <v>2017</v>
      </c>
      <c r="C159" t="s">
        <v>74</v>
      </c>
      <c r="D159">
        <v>58.04</v>
      </c>
    </row>
    <row r="160" spans="1:4" x14ac:dyDescent="0.45">
      <c r="A160" t="s">
        <v>38</v>
      </c>
      <c r="B160">
        <v>2017</v>
      </c>
      <c r="C160" t="s">
        <v>74</v>
      </c>
      <c r="D160">
        <v>17.239999999999998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14.4</v>
      </c>
    </row>
    <row r="163" spans="1:4" x14ac:dyDescent="0.45">
      <c r="A163" t="s">
        <v>91</v>
      </c>
      <c r="B163">
        <v>2017</v>
      </c>
      <c r="C163" t="s">
        <v>74</v>
      </c>
      <c r="D163">
        <v>49.13</v>
      </c>
    </row>
    <row r="164" spans="1:4" x14ac:dyDescent="0.45">
      <c r="A164" t="s">
        <v>32</v>
      </c>
      <c r="B164">
        <v>2018</v>
      </c>
      <c r="C164" t="s">
        <v>74</v>
      </c>
      <c r="D164">
        <v>5.91</v>
      </c>
    </row>
    <row r="165" spans="1:4" x14ac:dyDescent="0.45">
      <c r="A165" t="s">
        <v>34</v>
      </c>
      <c r="B165">
        <v>2018</v>
      </c>
      <c r="C165" t="s">
        <v>74</v>
      </c>
      <c r="D165">
        <v>37.340000000000003</v>
      </c>
    </row>
    <row r="166" spans="1:4" x14ac:dyDescent="0.45">
      <c r="A166" t="s">
        <v>36</v>
      </c>
      <c r="B166">
        <v>2018</v>
      </c>
      <c r="C166" t="s">
        <v>74</v>
      </c>
      <c r="D166">
        <v>58</v>
      </c>
    </row>
    <row r="167" spans="1:4" x14ac:dyDescent="0.45">
      <c r="A167" t="s">
        <v>56</v>
      </c>
      <c r="B167">
        <v>2018</v>
      </c>
      <c r="C167" t="s">
        <v>74</v>
      </c>
      <c r="D167">
        <v>34.33</v>
      </c>
    </row>
    <row r="168" spans="1:4" x14ac:dyDescent="0.45">
      <c r="A168" t="s">
        <v>57</v>
      </c>
      <c r="B168">
        <v>2018</v>
      </c>
      <c r="C168" t="s">
        <v>74</v>
      </c>
      <c r="D168">
        <v>55.77</v>
      </c>
    </row>
    <row r="169" spans="1:4" x14ac:dyDescent="0.45">
      <c r="A169" t="s">
        <v>38</v>
      </c>
      <c r="B169">
        <v>2018</v>
      </c>
      <c r="C169" t="s">
        <v>74</v>
      </c>
      <c r="D169">
        <v>16.420000000000002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12.74</v>
      </c>
    </row>
    <row r="172" spans="1:4" x14ac:dyDescent="0.45">
      <c r="A172" t="s">
        <v>91</v>
      </c>
      <c r="B172">
        <v>2018</v>
      </c>
      <c r="C172" t="s">
        <v>74</v>
      </c>
      <c r="D172">
        <v>50.89</v>
      </c>
    </row>
    <row r="173" spans="1:4" x14ac:dyDescent="0.45">
      <c r="A173" t="s">
        <v>32</v>
      </c>
      <c r="B173">
        <v>2019</v>
      </c>
      <c r="C173" t="s">
        <v>74</v>
      </c>
      <c r="D173">
        <v>5.57</v>
      </c>
    </row>
    <row r="174" spans="1:4" x14ac:dyDescent="0.45">
      <c r="A174" t="s">
        <v>34</v>
      </c>
      <c r="B174">
        <v>2019</v>
      </c>
      <c r="C174" t="s">
        <v>74</v>
      </c>
      <c r="D174">
        <v>12.86</v>
      </c>
    </row>
    <row r="175" spans="1:4" x14ac:dyDescent="0.45">
      <c r="A175" t="s">
        <v>36</v>
      </c>
      <c r="B175">
        <v>2019</v>
      </c>
      <c r="C175" t="s">
        <v>74</v>
      </c>
      <c r="D175">
        <v>83.71</v>
      </c>
    </row>
    <row r="176" spans="1:4" x14ac:dyDescent="0.45">
      <c r="A176" t="s">
        <v>56</v>
      </c>
      <c r="B176">
        <v>2019</v>
      </c>
      <c r="C176" t="s">
        <v>74</v>
      </c>
      <c r="D176">
        <v>24.65</v>
      </c>
    </row>
    <row r="177" spans="1:4" x14ac:dyDescent="0.45">
      <c r="A177" t="s">
        <v>57</v>
      </c>
      <c r="B177">
        <v>2019</v>
      </c>
      <c r="C177" t="s">
        <v>74</v>
      </c>
      <c r="D177">
        <v>58.35</v>
      </c>
    </row>
    <row r="178" spans="1:4" x14ac:dyDescent="0.45">
      <c r="A178" t="s">
        <v>38</v>
      </c>
      <c r="B178">
        <v>2019</v>
      </c>
      <c r="C178" t="s">
        <v>74</v>
      </c>
      <c r="D178">
        <v>14.61</v>
      </c>
    </row>
    <row r="179" spans="1:4" x14ac:dyDescent="0.45">
      <c r="A179" t="s">
        <v>32</v>
      </c>
      <c r="B179">
        <v>2019</v>
      </c>
      <c r="C179" t="s">
        <v>74</v>
      </c>
      <c r="D179">
        <v>0.02</v>
      </c>
    </row>
    <row r="180" spans="1:4" x14ac:dyDescent="0.45">
      <c r="A180" t="s">
        <v>58</v>
      </c>
      <c r="B180">
        <v>2019</v>
      </c>
      <c r="C180" t="s">
        <v>74</v>
      </c>
      <c r="D180">
        <v>15.1</v>
      </c>
    </row>
    <row r="181" spans="1:4" x14ac:dyDescent="0.45">
      <c r="A181" t="s">
        <v>91</v>
      </c>
      <c r="B181">
        <v>2019</v>
      </c>
      <c r="C181" t="s">
        <v>74</v>
      </c>
      <c r="D181">
        <v>55.65</v>
      </c>
    </row>
    <row r="182" spans="1:4" x14ac:dyDescent="0.45">
      <c r="A182" t="s">
        <v>32</v>
      </c>
      <c r="B182">
        <v>2020</v>
      </c>
      <c r="C182" t="s">
        <v>74</v>
      </c>
      <c r="D182">
        <v>6.14</v>
      </c>
    </row>
    <row r="183" spans="1:4" x14ac:dyDescent="0.45">
      <c r="A183" t="s">
        <v>34</v>
      </c>
      <c r="B183">
        <v>2020</v>
      </c>
      <c r="C183" t="s">
        <v>74</v>
      </c>
      <c r="D183">
        <v>5.52</v>
      </c>
    </row>
    <row r="184" spans="1:4" x14ac:dyDescent="0.45">
      <c r="A184" t="s">
        <v>36</v>
      </c>
      <c r="B184">
        <v>2020</v>
      </c>
      <c r="C184" t="s">
        <v>74</v>
      </c>
      <c r="D184">
        <v>69.739999999999995</v>
      </c>
    </row>
    <row r="185" spans="1:4" x14ac:dyDescent="0.45">
      <c r="A185" t="s">
        <v>56</v>
      </c>
      <c r="B185">
        <v>2020</v>
      </c>
      <c r="C185" t="s">
        <v>74</v>
      </c>
      <c r="D185">
        <v>30.51</v>
      </c>
    </row>
    <row r="186" spans="1:4" x14ac:dyDescent="0.45">
      <c r="A186" t="s">
        <v>57</v>
      </c>
      <c r="B186">
        <v>2020</v>
      </c>
      <c r="C186" t="s">
        <v>74</v>
      </c>
      <c r="D186">
        <v>58.3</v>
      </c>
    </row>
    <row r="187" spans="1:4" x14ac:dyDescent="0.45">
      <c r="A187" t="s">
        <v>38</v>
      </c>
      <c r="B187">
        <v>2020</v>
      </c>
      <c r="C187" t="s">
        <v>74</v>
      </c>
      <c r="D187">
        <v>12.12</v>
      </c>
    </row>
    <row r="188" spans="1:4" x14ac:dyDescent="0.45">
      <c r="A188" t="s">
        <v>32</v>
      </c>
      <c r="B188">
        <v>2020</v>
      </c>
      <c r="C188" t="s">
        <v>74</v>
      </c>
      <c r="D188">
        <v>0.03</v>
      </c>
    </row>
    <row r="189" spans="1:4" x14ac:dyDescent="0.45">
      <c r="A189" t="s">
        <v>58</v>
      </c>
      <c r="B189">
        <v>2020</v>
      </c>
      <c r="C189" t="s">
        <v>74</v>
      </c>
      <c r="D189">
        <v>20.67</v>
      </c>
    </row>
    <row r="190" spans="1:4" x14ac:dyDescent="0.45">
      <c r="A190" t="s">
        <v>91</v>
      </c>
      <c r="B190">
        <v>2020</v>
      </c>
      <c r="C190" t="s">
        <v>74</v>
      </c>
      <c r="D190">
        <v>56.44</v>
      </c>
    </row>
    <row r="191" spans="1:4" x14ac:dyDescent="0.45">
      <c r="A191" t="s">
        <v>32</v>
      </c>
      <c r="B191">
        <v>2021</v>
      </c>
      <c r="C191" t="s">
        <v>74</v>
      </c>
      <c r="D191">
        <v>6.94</v>
      </c>
    </row>
    <row r="192" spans="1:4" x14ac:dyDescent="0.45">
      <c r="A192" t="s">
        <v>34</v>
      </c>
      <c r="B192">
        <v>2021</v>
      </c>
      <c r="C192" t="s">
        <v>74</v>
      </c>
      <c r="D192">
        <v>4.8600000000000003</v>
      </c>
    </row>
    <row r="193" spans="1:4" x14ac:dyDescent="0.45">
      <c r="A193" t="s">
        <v>36</v>
      </c>
      <c r="B193">
        <v>2021</v>
      </c>
      <c r="C193" t="s">
        <v>74</v>
      </c>
      <c r="D193">
        <v>71.5</v>
      </c>
    </row>
    <row r="194" spans="1:4" x14ac:dyDescent="0.45">
      <c r="A194" t="s">
        <v>56</v>
      </c>
      <c r="B194">
        <v>2021</v>
      </c>
      <c r="C194" t="s">
        <v>74</v>
      </c>
      <c r="D194">
        <v>29.63</v>
      </c>
    </row>
    <row r="195" spans="1:4" x14ac:dyDescent="0.45">
      <c r="A195" t="s">
        <v>57</v>
      </c>
      <c r="B195">
        <v>2021</v>
      </c>
      <c r="C195" t="s">
        <v>74</v>
      </c>
      <c r="D195">
        <v>56.56</v>
      </c>
    </row>
    <row r="196" spans="1:4" x14ac:dyDescent="0.45">
      <c r="A196" t="s">
        <v>38</v>
      </c>
      <c r="B196">
        <v>2021</v>
      </c>
      <c r="C196" t="s">
        <v>74</v>
      </c>
      <c r="D196">
        <v>12.08</v>
      </c>
    </row>
    <row r="197" spans="1:4" x14ac:dyDescent="0.45">
      <c r="A197" t="s">
        <v>32</v>
      </c>
      <c r="B197">
        <v>2021</v>
      </c>
      <c r="C197" t="s">
        <v>74</v>
      </c>
      <c r="D197">
        <v>0.02</v>
      </c>
    </row>
    <row r="198" spans="1:4" x14ac:dyDescent="0.45">
      <c r="A198" t="s">
        <v>58</v>
      </c>
      <c r="B198">
        <v>2021</v>
      </c>
      <c r="C198" t="s">
        <v>74</v>
      </c>
      <c r="D198">
        <v>27.1</v>
      </c>
    </row>
    <row r="199" spans="1:4" x14ac:dyDescent="0.45">
      <c r="A199" t="s">
        <v>91</v>
      </c>
      <c r="B199">
        <v>2021</v>
      </c>
      <c r="C199" t="s">
        <v>74</v>
      </c>
      <c r="D199">
        <v>62.06</v>
      </c>
    </row>
    <row r="200" spans="1:4" x14ac:dyDescent="0.45">
      <c r="A200" t="s">
        <v>32</v>
      </c>
      <c r="B200">
        <v>2022</v>
      </c>
      <c r="C200" t="s">
        <v>74</v>
      </c>
      <c r="D200">
        <v>6.8</v>
      </c>
    </row>
    <row r="201" spans="1:4" x14ac:dyDescent="0.45">
      <c r="A201" t="s">
        <v>34</v>
      </c>
      <c r="B201">
        <v>2022</v>
      </c>
      <c r="C201" t="s">
        <v>74</v>
      </c>
      <c r="D201">
        <v>7.86</v>
      </c>
    </row>
    <row r="202" spans="1:4" x14ac:dyDescent="0.45">
      <c r="A202" t="s">
        <v>36</v>
      </c>
      <c r="B202">
        <v>2022</v>
      </c>
      <c r="C202" t="s">
        <v>74</v>
      </c>
      <c r="D202">
        <v>86.1</v>
      </c>
    </row>
    <row r="203" spans="1:4" x14ac:dyDescent="0.45">
      <c r="A203" t="s">
        <v>56</v>
      </c>
      <c r="B203">
        <v>2022</v>
      </c>
      <c r="C203" t="s">
        <v>74</v>
      </c>
      <c r="D203">
        <v>17.59</v>
      </c>
    </row>
    <row r="204" spans="1:4" x14ac:dyDescent="0.45">
      <c r="A204" t="s">
        <v>57</v>
      </c>
      <c r="B204">
        <v>2022</v>
      </c>
      <c r="C204" t="s">
        <v>74</v>
      </c>
      <c r="D204">
        <v>58.59</v>
      </c>
    </row>
    <row r="205" spans="1:4" x14ac:dyDescent="0.45">
      <c r="A205" t="s">
        <v>38</v>
      </c>
      <c r="B205">
        <v>2022</v>
      </c>
      <c r="C205" t="s">
        <v>74</v>
      </c>
      <c r="D205">
        <v>11.69</v>
      </c>
    </row>
    <row r="206" spans="1:4" x14ac:dyDescent="0.45">
      <c r="A206" t="s">
        <v>32</v>
      </c>
      <c r="B206">
        <v>2022</v>
      </c>
      <c r="C206" t="s">
        <v>74</v>
      </c>
      <c r="D206">
        <v>0.02</v>
      </c>
    </row>
    <row r="207" spans="1:4" x14ac:dyDescent="0.45">
      <c r="A207" t="s">
        <v>58</v>
      </c>
      <c r="B207">
        <v>2022</v>
      </c>
      <c r="C207" t="s">
        <v>74</v>
      </c>
      <c r="D207">
        <v>35.72</v>
      </c>
    </row>
    <row r="208" spans="1:4" x14ac:dyDescent="0.45">
      <c r="A208" t="s">
        <v>91</v>
      </c>
      <c r="B208">
        <v>2022</v>
      </c>
      <c r="C208" t="s">
        <v>74</v>
      </c>
      <c r="D208">
        <v>61.9</v>
      </c>
    </row>
    <row r="209" spans="1:4" x14ac:dyDescent="0.45">
      <c r="A209" t="s">
        <v>32</v>
      </c>
      <c r="B209">
        <v>2023</v>
      </c>
      <c r="C209" t="s">
        <v>74</v>
      </c>
      <c r="D209">
        <v>5.86</v>
      </c>
    </row>
    <row r="210" spans="1:4" x14ac:dyDescent="0.45">
      <c r="A210" t="s">
        <v>34</v>
      </c>
      <c r="B210">
        <v>2023</v>
      </c>
      <c r="C210" t="s">
        <v>74</v>
      </c>
      <c r="D210">
        <v>3.9</v>
      </c>
    </row>
    <row r="211" spans="1:4" x14ac:dyDescent="0.45">
      <c r="A211" t="s">
        <v>36</v>
      </c>
      <c r="B211">
        <v>2023</v>
      </c>
      <c r="C211" t="s">
        <v>74</v>
      </c>
      <c r="D211">
        <v>63.24</v>
      </c>
    </row>
    <row r="212" spans="1:4" x14ac:dyDescent="0.45">
      <c r="A212" t="s">
        <v>56</v>
      </c>
      <c r="B212">
        <v>2023</v>
      </c>
      <c r="C212" t="s">
        <v>74</v>
      </c>
      <c r="D212">
        <v>20.010000000000002</v>
      </c>
    </row>
    <row r="213" spans="1:4" x14ac:dyDescent="0.45">
      <c r="A213" t="s">
        <v>57</v>
      </c>
      <c r="B213">
        <v>2023</v>
      </c>
      <c r="C213" t="s">
        <v>74</v>
      </c>
      <c r="D213">
        <v>56.8</v>
      </c>
    </row>
    <row r="214" spans="1:4" x14ac:dyDescent="0.45">
      <c r="A214" t="s">
        <v>38</v>
      </c>
      <c r="B214">
        <v>2023</v>
      </c>
      <c r="C214" t="s">
        <v>74</v>
      </c>
      <c r="D214">
        <v>10.73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45.08</v>
      </c>
    </row>
    <row r="217" spans="1:4" x14ac:dyDescent="0.45">
      <c r="A217" t="s">
        <v>91</v>
      </c>
      <c r="B217">
        <v>2023</v>
      </c>
      <c r="C217" t="s">
        <v>74</v>
      </c>
      <c r="D217">
        <v>64.13</v>
      </c>
    </row>
    <row r="218" spans="1:4" x14ac:dyDescent="0.45">
      <c r="A218" t="s">
        <v>32</v>
      </c>
      <c r="B218">
        <v>2000</v>
      </c>
      <c r="C218" t="s">
        <v>75</v>
      </c>
      <c r="D218">
        <v>0.18</v>
      </c>
    </row>
    <row r="219" spans="1:4" x14ac:dyDescent="0.45">
      <c r="A219" t="s">
        <v>34</v>
      </c>
      <c r="B219">
        <v>2000</v>
      </c>
      <c r="C219" t="s">
        <v>75</v>
      </c>
      <c r="D219">
        <v>13.84</v>
      </c>
    </row>
    <row r="220" spans="1:4" x14ac:dyDescent="0.45">
      <c r="A220" t="s">
        <v>36</v>
      </c>
      <c r="B220">
        <v>2000</v>
      </c>
      <c r="C220" t="s">
        <v>75</v>
      </c>
      <c r="D220">
        <v>0.81</v>
      </c>
    </row>
    <row r="221" spans="1:4" x14ac:dyDescent="0.45">
      <c r="A221" t="s">
        <v>56</v>
      </c>
      <c r="B221">
        <v>2000</v>
      </c>
      <c r="C221" t="s">
        <v>75</v>
      </c>
      <c r="D221">
        <v>15.51</v>
      </c>
    </row>
    <row r="222" spans="1:4" x14ac:dyDescent="0.45">
      <c r="A222" t="s">
        <v>57</v>
      </c>
      <c r="B222">
        <v>2000</v>
      </c>
      <c r="C222" t="s">
        <v>75</v>
      </c>
      <c r="D222">
        <v>7.5</v>
      </c>
    </row>
    <row r="223" spans="1:4" x14ac:dyDescent="0.45">
      <c r="A223" t="s">
        <v>38</v>
      </c>
      <c r="B223">
        <v>2000</v>
      </c>
      <c r="C223" t="s">
        <v>75</v>
      </c>
      <c r="D223">
        <v>2.35</v>
      </c>
    </row>
    <row r="224" spans="1:4" x14ac:dyDescent="0.45">
      <c r="A224" t="s">
        <v>32</v>
      </c>
      <c r="B224">
        <v>2000</v>
      </c>
      <c r="C224" t="s">
        <v>75</v>
      </c>
      <c r="D224">
        <v>0.05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2.21</v>
      </c>
    </row>
    <row r="227" spans="1:4" x14ac:dyDescent="0.45">
      <c r="A227" t="s">
        <v>32</v>
      </c>
      <c r="B227">
        <v>2001</v>
      </c>
      <c r="C227" t="s">
        <v>75</v>
      </c>
      <c r="D227">
        <v>0.2</v>
      </c>
    </row>
    <row r="228" spans="1:4" x14ac:dyDescent="0.45">
      <c r="A228" t="s">
        <v>34</v>
      </c>
      <c r="B228">
        <v>2001</v>
      </c>
      <c r="C228" t="s">
        <v>75</v>
      </c>
      <c r="D228">
        <v>13.84</v>
      </c>
    </row>
    <row r="229" spans="1:4" x14ac:dyDescent="0.45">
      <c r="A229" t="s">
        <v>36</v>
      </c>
      <c r="B229">
        <v>2001</v>
      </c>
      <c r="C229" t="s">
        <v>75</v>
      </c>
      <c r="D229">
        <v>1.26</v>
      </c>
    </row>
    <row r="230" spans="1:4" x14ac:dyDescent="0.45">
      <c r="A230" t="s">
        <v>56</v>
      </c>
      <c r="B230">
        <v>2001</v>
      </c>
      <c r="C230" t="s">
        <v>75</v>
      </c>
      <c r="D230">
        <v>15.58</v>
      </c>
    </row>
    <row r="231" spans="1:4" x14ac:dyDescent="0.45">
      <c r="A231" t="s">
        <v>57</v>
      </c>
      <c r="B231">
        <v>2001</v>
      </c>
      <c r="C231" t="s">
        <v>75</v>
      </c>
      <c r="D231">
        <v>7.52</v>
      </c>
    </row>
    <row r="232" spans="1:4" x14ac:dyDescent="0.45">
      <c r="A232" t="s">
        <v>38</v>
      </c>
      <c r="B232">
        <v>2001</v>
      </c>
      <c r="C232" t="s">
        <v>75</v>
      </c>
      <c r="D232">
        <v>2.5499999999999998</v>
      </c>
    </row>
    <row r="233" spans="1:4" x14ac:dyDescent="0.45">
      <c r="A233" t="s">
        <v>32</v>
      </c>
      <c r="B233">
        <v>2001</v>
      </c>
      <c r="C233" t="s">
        <v>75</v>
      </c>
      <c r="D233">
        <v>0.05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3.4</v>
      </c>
    </row>
    <row r="236" spans="1:4" x14ac:dyDescent="0.45">
      <c r="A236" t="s">
        <v>32</v>
      </c>
      <c r="B236">
        <v>2002</v>
      </c>
      <c r="C236" t="s">
        <v>75</v>
      </c>
      <c r="D236">
        <v>0.35</v>
      </c>
    </row>
    <row r="237" spans="1:4" x14ac:dyDescent="0.45">
      <c r="A237" t="s">
        <v>34</v>
      </c>
      <c r="B237">
        <v>2002</v>
      </c>
      <c r="C237" t="s">
        <v>75</v>
      </c>
      <c r="D237">
        <v>13.84</v>
      </c>
    </row>
    <row r="238" spans="1:4" x14ac:dyDescent="0.45">
      <c r="A238" t="s">
        <v>36</v>
      </c>
      <c r="B238">
        <v>2002</v>
      </c>
      <c r="C238" t="s">
        <v>75</v>
      </c>
      <c r="D238">
        <v>4.3899999999999997</v>
      </c>
    </row>
    <row r="239" spans="1:4" x14ac:dyDescent="0.45">
      <c r="A239" t="s">
        <v>56</v>
      </c>
      <c r="B239">
        <v>2002</v>
      </c>
      <c r="C239" t="s">
        <v>75</v>
      </c>
      <c r="D239">
        <v>15.61</v>
      </c>
    </row>
    <row r="240" spans="1:4" x14ac:dyDescent="0.45">
      <c r="A240" t="s">
        <v>57</v>
      </c>
      <c r="B240">
        <v>2002</v>
      </c>
      <c r="C240" t="s">
        <v>75</v>
      </c>
      <c r="D240">
        <v>7.58</v>
      </c>
    </row>
    <row r="241" spans="1:4" x14ac:dyDescent="0.45">
      <c r="A241" t="s">
        <v>38</v>
      </c>
      <c r="B241">
        <v>2002</v>
      </c>
      <c r="C241" t="s">
        <v>75</v>
      </c>
      <c r="D241">
        <v>2.58</v>
      </c>
    </row>
    <row r="242" spans="1:4" x14ac:dyDescent="0.45">
      <c r="A242" t="s">
        <v>32</v>
      </c>
      <c r="B242">
        <v>2002</v>
      </c>
      <c r="C242" t="s">
        <v>75</v>
      </c>
      <c r="D242">
        <v>0.05</v>
      </c>
    </row>
    <row r="243" spans="1:4" x14ac:dyDescent="0.45">
      <c r="A243" t="s">
        <v>58</v>
      </c>
      <c r="B243">
        <v>2002</v>
      </c>
      <c r="C243" t="s">
        <v>75</v>
      </c>
      <c r="D243">
        <v>0.02</v>
      </c>
    </row>
    <row r="244" spans="1:4" x14ac:dyDescent="0.45">
      <c r="A244" t="s">
        <v>91</v>
      </c>
      <c r="B244">
        <v>2002</v>
      </c>
      <c r="C244" t="s">
        <v>75</v>
      </c>
      <c r="D244">
        <v>4.8899999999999997</v>
      </c>
    </row>
    <row r="245" spans="1:4" x14ac:dyDescent="0.45">
      <c r="A245" t="s">
        <v>32</v>
      </c>
      <c r="B245">
        <v>2003</v>
      </c>
      <c r="C245" t="s">
        <v>75</v>
      </c>
      <c r="D245">
        <v>0.43</v>
      </c>
    </row>
    <row r="246" spans="1:4" x14ac:dyDescent="0.45">
      <c r="A246" t="s">
        <v>34</v>
      </c>
      <c r="B246">
        <v>2003</v>
      </c>
      <c r="C246" t="s">
        <v>75</v>
      </c>
      <c r="D246">
        <v>13.84</v>
      </c>
    </row>
    <row r="247" spans="1:4" x14ac:dyDescent="0.45">
      <c r="A247" t="s">
        <v>36</v>
      </c>
      <c r="B247">
        <v>2003</v>
      </c>
      <c r="C247" t="s">
        <v>75</v>
      </c>
      <c r="D247">
        <v>6.92</v>
      </c>
    </row>
    <row r="248" spans="1:4" x14ac:dyDescent="0.45">
      <c r="A248" t="s">
        <v>56</v>
      </c>
      <c r="B248">
        <v>2003</v>
      </c>
      <c r="C248" t="s">
        <v>75</v>
      </c>
      <c r="D248">
        <v>15.59</v>
      </c>
    </row>
    <row r="249" spans="1:4" x14ac:dyDescent="0.45">
      <c r="A249" t="s">
        <v>57</v>
      </c>
      <c r="B249">
        <v>2003</v>
      </c>
      <c r="C249" t="s">
        <v>75</v>
      </c>
      <c r="D249">
        <v>7.58</v>
      </c>
    </row>
    <row r="250" spans="1:4" x14ac:dyDescent="0.45">
      <c r="A250" t="s">
        <v>38</v>
      </c>
      <c r="B250">
        <v>2003</v>
      </c>
      <c r="C250" t="s">
        <v>75</v>
      </c>
      <c r="D250">
        <v>2.81</v>
      </c>
    </row>
    <row r="251" spans="1:4" x14ac:dyDescent="0.45">
      <c r="A251" t="s">
        <v>32</v>
      </c>
      <c r="B251">
        <v>2003</v>
      </c>
      <c r="C251" t="s">
        <v>75</v>
      </c>
      <c r="D251">
        <v>0.05</v>
      </c>
    </row>
    <row r="252" spans="1:4" x14ac:dyDescent="0.45">
      <c r="A252" t="s">
        <v>58</v>
      </c>
      <c r="B252">
        <v>2003</v>
      </c>
      <c r="C252" t="s">
        <v>75</v>
      </c>
      <c r="D252">
        <v>0.02</v>
      </c>
    </row>
    <row r="253" spans="1:4" x14ac:dyDescent="0.45">
      <c r="A253" t="s">
        <v>91</v>
      </c>
      <c r="B253">
        <v>2003</v>
      </c>
      <c r="C253" t="s">
        <v>75</v>
      </c>
      <c r="D253">
        <v>5.95</v>
      </c>
    </row>
    <row r="254" spans="1:4" x14ac:dyDescent="0.45">
      <c r="A254" t="s">
        <v>32</v>
      </c>
      <c r="B254">
        <v>2004</v>
      </c>
      <c r="C254" t="s">
        <v>75</v>
      </c>
      <c r="D254">
        <v>0.46</v>
      </c>
    </row>
    <row r="255" spans="1:4" x14ac:dyDescent="0.45">
      <c r="A255" t="s">
        <v>34</v>
      </c>
      <c r="B255">
        <v>2004</v>
      </c>
      <c r="C255" t="s">
        <v>75</v>
      </c>
      <c r="D255">
        <v>13.84</v>
      </c>
    </row>
    <row r="256" spans="1:4" x14ac:dyDescent="0.45">
      <c r="A256" t="s">
        <v>36</v>
      </c>
      <c r="B256">
        <v>2004</v>
      </c>
      <c r="C256" t="s">
        <v>75</v>
      </c>
      <c r="D256">
        <v>8.5</v>
      </c>
    </row>
    <row r="257" spans="1:4" x14ac:dyDescent="0.45">
      <c r="A257" t="s">
        <v>56</v>
      </c>
      <c r="B257">
        <v>2004</v>
      </c>
      <c r="C257" t="s">
        <v>75</v>
      </c>
      <c r="D257">
        <v>15.71</v>
      </c>
    </row>
    <row r="258" spans="1:4" x14ac:dyDescent="0.45">
      <c r="A258" t="s">
        <v>57</v>
      </c>
      <c r="B258">
        <v>2004</v>
      </c>
      <c r="C258" t="s">
        <v>75</v>
      </c>
      <c r="D258">
        <v>7.58</v>
      </c>
    </row>
    <row r="259" spans="1:4" x14ac:dyDescent="0.45">
      <c r="A259" t="s">
        <v>38</v>
      </c>
      <c r="B259">
        <v>2004</v>
      </c>
      <c r="C259" t="s">
        <v>75</v>
      </c>
      <c r="D259">
        <v>2.81</v>
      </c>
    </row>
    <row r="260" spans="1:4" x14ac:dyDescent="0.45">
      <c r="A260" t="s">
        <v>32</v>
      </c>
      <c r="B260">
        <v>2004</v>
      </c>
      <c r="C260" t="s">
        <v>75</v>
      </c>
      <c r="D260">
        <v>0.09</v>
      </c>
    </row>
    <row r="261" spans="1:4" x14ac:dyDescent="0.45">
      <c r="A261" t="s">
        <v>58</v>
      </c>
      <c r="B261">
        <v>2004</v>
      </c>
      <c r="C261" t="s">
        <v>75</v>
      </c>
      <c r="D261">
        <v>0.03</v>
      </c>
    </row>
    <row r="262" spans="1:4" x14ac:dyDescent="0.45">
      <c r="A262" t="s">
        <v>91</v>
      </c>
      <c r="B262">
        <v>2004</v>
      </c>
      <c r="C262" t="s">
        <v>75</v>
      </c>
      <c r="D262">
        <v>8.32</v>
      </c>
    </row>
    <row r="263" spans="1:4" x14ac:dyDescent="0.45">
      <c r="A263" t="s">
        <v>32</v>
      </c>
      <c r="B263">
        <v>2005</v>
      </c>
      <c r="C263" t="s">
        <v>75</v>
      </c>
      <c r="D263">
        <v>0.49</v>
      </c>
    </row>
    <row r="264" spans="1:4" x14ac:dyDescent="0.45">
      <c r="A264" t="s">
        <v>34</v>
      </c>
      <c r="B264">
        <v>2005</v>
      </c>
      <c r="C264" t="s">
        <v>75</v>
      </c>
      <c r="D264">
        <v>13.84</v>
      </c>
    </row>
    <row r="265" spans="1:4" x14ac:dyDescent="0.45">
      <c r="A265" t="s">
        <v>36</v>
      </c>
      <c r="B265">
        <v>2005</v>
      </c>
      <c r="C265" t="s">
        <v>75</v>
      </c>
      <c r="D265">
        <v>13.22</v>
      </c>
    </row>
    <row r="266" spans="1:4" x14ac:dyDescent="0.45">
      <c r="A266" t="s">
        <v>56</v>
      </c>
      <c r="B266">
        <v>2005</v>
      </c>
      <c r="C266" t="s">
        <v>75</v>
      </c>
      <c r="D266">
        <v>15.77</v>
      </c>
    </row>
    <row r="267" spans="1:4" x14ac:dyDescent="0.45">
      <c r="A267" t="s">
        <v>57</v>
      </c>
      <c r="B267">
        <v>2005</v>
      </c>
      <c r="C267" t="s">
        <v>75</v>
      </c>
      <c r="D267">
        <v>7.58</v>
      </c>
    </row>
    <row r="268" spans="1:4" x14ac:dyDescent="0.45">
      <c r="A268" t="s">
        <v>38</v>
      </c>
      <c r="B268">
        <v>2005</v>
      </c>
      <c r="C268" t="s">
        <v>75</v>
      </c>
      <c r="D268">
        <v>2.86</v>
      </c>
    </row>
    <row r="269" spans="1:4" x14ac:dyDescent="0.45">
      <c r="A269" t="s">
        <v>32</v>
      </c>
      <c r="B269">
        <v>2005</v>
      </c>
      <c r="C269" t="s">
        <v>75</v>
      </c>
      <c r="D269">
        <v>0.09</v>
      </c>
    </row>
    <row r="270" spans="1:4" x14ac:dyDescent="0.45">
      <c r="A270" t="s">
        <v>58</v>
      </c>
      <c r="B270">
        <v>2005</v>
      </c>
      <c r="C270" t="s">
        <v>75</v>
      </c>
      <c r="D270">
        <v>0.05</v>
      </c>
    </row>
    <row r="271" spans="1:4" x14ac:dyDescent="0.45">
      <c r="A271" t="s">
        <v>91</v>
      </c>
      <c r="B271">
        <v>2005</v>
      </c>
      <c r="C271" t="s">
        <v>75</v>
      </c>
      <c r="D271">
        <v>9.92</v>
      </c>
    </row>
    <row r="272" spans="1:4" x14ac:dyDescent="0.45">
      <c r="A272" t="s">
        <v>32</v>
      </c>
      <c r="B272">
        <v>2006</v>
      </c>
      <c r="C272" t="s">
        <v>75</v>
      </c>
      <c r="D272">
        <v>0.53</v>
      </c>
    </row>
    <row r="273" spans="1:4" x14ac:dyDescent="0.45">
      <c r="A273" t="s">
        <v>34</v>
      </c>
      <c r="B273">
        <v>2006</v>
      </c>
      <c r="C273" t="s">
        <v>75</v>
      </c>
      <c r="D273">
        <v>13.76</v>
      </c>
    </row>
    <row r="274" spans="1:4" x14ac:dyDescent="0.45">
      <c r="A274" t="s">
        <v>36</v>
      </c>
      <c r="B274">
        <v>2006</v>
      </c>
      <c r="C274" t="s">
        <v>75</v>
      </c>
      <c r="D274">
        <v>18.28</v>
      </c>
    </row>
    <row r="275" spans="1:4" x14ac:dyDescent="0.45">
      <c r="A275" t="s">
        <v>56</v>
      </c>
      <c r="B275">
        <v>2006</v>
      </c>
      <c r="C275" t="s">
        <v>75</v>
      </c>
      <c r="D275">
        <v>15.86</v>
      </c>
    </row>
    <row r="276" spans="1:4" x14ac:dyDescent="0.45">
      <c r="A276" t="s">
        <v>57</v>
      </c>
      <c r="B276">
        <v>2006</v>
      </c>
      <c r="C276" t="s">
        <v>75</v>
      </c>
      <c r="D276">
        <v>7.36</v>
      </c>
    </row>
    <row r="277" spans="1:4" x14ac:dyDescent="0.45">
      <c r="A277" t="s">
        <v>38</v>
      </c>
      <c r="B277">
        <v>2006</v>
      </c>
      <c r="C277" t="s">
        <v>75</v>
      </c>
      <c r="D277">
        <v>2.95</v>
      </c>
    </row>
    <row r="278" spans="1:4" x14ac:dyDescent="0.45">
      <c r="A278" t="s">
        <v>32</v>
      </c>
      <c r="B278">
        <v>2006</v>
      </c>
      <c r="C278" t="s">
        <v>75</v>
      </c>
      <c r="D278">
        <v>0.09</v>
      </c>
    </row>
    <row r="279" spans="1:4" x14ac:dyDescent="0.45">
      <c r="A279" t="s">
        <v>58</v>
      </c>
      <c r="B279">
        <v>2006</v>
      </c>
      <c r="C279" t="s">
        <v>75</v>
      </c>
      <c r="D279">
        <v>0.14000000000000001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11.72</v>
      </c>
    </row>
    <row r="281" spans="1:4" x14ac:dyDescent="0.45">
      <c r="A281" t="s">
        <v>32</v>
      </c>
      <c r="B281">
        <v>2007</v>
      </c>
      <c r="C281" t="s">
        <v>75</v>
      </c>
      <c r="D281">
        <v>0.55000000000000004</v>
      </c>
    </row>
    <row r="282" spans="1:4" x14ac:dyDescent="0.45">
      <c r="A282" t="s">
        <v>34</v>
      </c>
      <c r="B282">
        <v>2007</v>
      </c>
      <c r="C282" t="s">
        <v>75</v>
      </c>
      <c r="D282">
        <v>13</v>
      </c>
    </row>
    <row r="283" spans="1:4" x14ac:dyDescent="0.45">
      <c r="A283" t="s">
        <v>36</v>
      </c>
      <c r="B283">
        <v>2007</v>
      </c>
      <c r="C283" t="s">
        <v>75</v>
      </c>
      <c r="D283">
        <v>21.42</v>
      </c>
    </row>
    <row r="284" spans="1:4" x14ac:dyDescent="0.45">
      <c r="A284" t="s">
        <v>56</v>
      </c>
      <c r="B284">
        <v>2007</v>
      </c>
      <c r="C284" t="s">
        <v>75</v>
      </c>
      <c r="D284">
        <v>15.92</v>
      </c>
    </row>
    <row r="285" spans="1:4" x14ac:dyDescent="0.45">
      <c r="A285" t="s">
        <v>57</v>
      </c>
      <c r="B285">
        <v>2007</v>
      </c>
      <c r="C285" t="s">
        <v>75</v>
      </c>
      <c r="D285">
        <v>7.36</v>
      </c>
    </row>
    <row r="286" spans="1:4" x14ac:dyDescent="0.45">
      <c r="A286" t="s">
        <v>38</v>
      </c>
      <c r="B286">
        <v>2007</v>
      </c>
      <c r="C286" t="s">
        <v>75</v>
      </c>
      <c r="D286">
        <v>3.19</v>
      </c>
    </row>
    <row r="287" spans="1:4" x14ac:dyDescent="0.45">
      <c r="A287" t="s">
        <v>32</v>
      </c>
      <c r="B287">
        <v>2007</v>
      </c>
      <c r="C287" t="s">
        <v>75</v>
      </c>
      <c r="D287">
        <v>0.09</v>
      </c>
    </row>
    <row r="288" spans="1:4" x14ac:dyDescent="0.45">
      <c r="A288" t="s">
        <v>58</v>
      </c>
      <c r="B288">
        <v>2007</v>
      </c>
      <c r="C288" t="s">
        <v>75</v>
      </c>
      <c r="D288">
        <v>0.5</v>
      </c>
    </row>
    <row r="289" spans="1:4" x14ac:dyDescent="0.45">
      <c r="A289" t="s">
        <v>91</v>
      </c>
      <c r="B289">
        <v>2007</v>
      </c>
      <c r="C289" t="s">
        <v>75</v>
      </c>
      <c r="D289">
        <v>14.82</v>
      </c>
    </row>
    <row r="290" spans="1:4" x14ac:dyDescent="0.45">
      <c r="A290" t="s">
        <v>32</v>
      </c>
      <c r="B290">
        <v>2008</v>
      </c>
      <c r="C290" t="s">
        <v>75</v>
      </c>
      <c r="D290">
        <v>0.53</v>
      </c>
    </row>
    <row r="291" spans="1:4" x14ac:dyDescent="0.45">
      <c r="A291" t="s">
        <v>34</v>
      </c>
      <c r="B291">
        <v>2008</v>
      </c>
      <c r="C291" t="s">
        <v>75</v>
      </c>
      <c r="D291">
        <v>12.94</v>
      </c>
    </row>
    <row r="292" spans="1:4" x14ac:dyDescent="0.45">
      <c r="A292" t="s">
        <v>36</v>
      </c>
      <c r="B292">
        <v>2008</v>
      </c>
      <c r="C292" t="s">
        <v>75</v>
      </c>
      <c r="D292">
        <v>24.06</v>
      </c>
    </row>
    <row r="293" spans="1:4" x14ac:dyDescent="0.45">
      <c r="A293" t="s">
        <v>56</v>
      </c>
      <c r="B293">
        <v>2008</v>
      </c>
      <c r="C293" t="s">
        <v>75</v>
      </c>
      <c r="D293">
        <v>16</v>
      </c>
    </row>
    <row r="294" spans="1:4" x14ac:dyDescent="0.45">
      <c r="A294" t="s">
        <v>57</v>
      </c>
      <c r="B294">
        <v>2008</v>
      </c>
      <c r="C294" t="s">
        <v>75</v>
      </c>
      <c r="D294">
        <v>7.36</v>
      </c>
    </row>
    <row r="295" spans="1:4" x14ac:dyDescent="0.45">
      <c r="A295" t="s">
        <v>38</v>
      </c>
      <c r="B295">
        <v>2008</v>
      </c>
      <c r="C295" t="s">
        <v>75</v>
      </c>
      <c r="D295">
        <v>3.19</v>
      </c>
    </row>
    <row r="296" spans="1:4" x14ac:dyDescent="0.45">
      <c r="A296" t="s">
        <v>32</v>
      </c>
      <c r="B296">
        <v>2008</v>
      </c>
      <c r="C296" t="s">
        <v>75</v>
      </c>
      <c r="D296">
        <v>0.09</v>
      </c>
    </row>
    <row r="297" spans="1:4" x14ac:dyDescent="0.45">
      <c r="A297" t="s">
        <v>58</v>
      </c>
      <c r="B297">
        <v>2008</v>
      </c>
      <c r="C297" t="s">
        <v>75</v>
      </c>
      <c r="D297">
        <v>3.45</v>
      </c>
    </row>
    <row r="298" spans="1:4" x14ac:dyDescent="0.45">
      <c r="A298" t="s">
        <v>91</v>
      </c>
      <c r="B298">
        <v>2008</v>
      </c>
      <c r="C298" t="s">
        <v>75</v>
      </c>
      <c r="D298">
        <v>16.559999999999999</v>
      </c>
    </row>
    <row r="299" spans="1:4" x14ac:dyDescent="0.45">
      <c r="A299" t="s">
        <v>32</v>
      </c>
      <c r="B299">
        <v>2009</v>
      </c>
      <c r="C299" t="s">
        <v>75</v>
      </c>
      <c r="D299">
        <v>0.68</v>
      </c>
    </row>
    <row r="300" spans="1:4" x14ac:dyDescent="0.45">
      <c r="A300" t="s">
        <v>34</v>
      </c>
      <c r="B300">
        <v>2009</v>
      </c>
      <c r="C300" t="s">
        <v>75</v>
      </c>
      <c r="D300">
        <v>12.94</v>
      </c>
    </row>
    <row r="301" spans="1:4" x14ac:dyDescent="0.45">
      <c r="A301" t="s">
        <v>36</v>
      </c>
      <c r="B301">
        <v>2009</v>
      </c>
      <c r="C301" t="s">
        <v>75</v>
      </c>
      <c r="D301">
        <v>24.58</v>
      </c>
    </row>
    <row r="302" spans="1:4" x14ac:dyDescent="0.45">
      <c r="A302" t="s">
        <v>56</v>
      </c>
      <c r="B302">
        <v>2009</v>
      </c>
      <c r="C302" t="s">
        <v>75</v>
      </c>
      <c r="D302">
        <v>16.05</v>
      </c>
    </row>
    <row r="303" spans="1:4" x14ac:dyDescent="0.45">
      <c r="A303" t="s">
        <v>57</v>
      </c>
      <c r="B303">
        <v>2009</v>
      </c>
      <c r="C303" t="s">
        <v>75</v>
      </c>
      <c r="D303">
        <v>7.36</v>
      </c>
    </row>
    <row r="304" spans="1:4" x14ac:dyDescent="0.45">
      <c r="A304" t="s">
        <v>38</v>
      </c>
      <c r="B304">
        <v>2009</v>
      </c>
      <c r="C304" t="s">
        <v>75</v>
      </c>
      <c r="D304">
        <v>3.19</v>
      </c>
    </row>
    <row r="305" spans="1:4" x14ac:dyDescent="0.45">
      <c r="A305" t="s">
        <v>32</v>
      </c>
      <c r="B305">
        <v>2009</v>
      </c>
      <c r="C305" t="s">
        <v>75</v>
      </c>
      <c r="D305">
        <v>0.09</v>
      </c>
    </row>
    <row r="306" spans="1:4" x14ac:dyDescent="0.45">
      <c r="A306" t="s">
        <v>58</v>
      </c>
      <c r="B306">
        <v>2009</v>
      </c>
      <c r="C306" t="s">
        <v>75</v>
      </c>
      <c r="D306">
        <v>3.71</v>
      </c>
    </row>
    <row r="307" spans="1:4" x14ac:dyDescent="0.45">
      <c r="A307" t="s">
        <v>91</v>
      </c>
      <c r="B307">
        <v>2009</v>
      </c>
      <c r="C307" t="s">
        <v>75</v>
      </c>
      <c r="D307">
        <v>19.18</v>
      </c>
    </row>
    <row r="308" spans="1:4" x14ac:dyDescent="0.45">
      <c r="A308" t="s">
        <v>32</v>
      </c>
      <c r="B308">
        <v>2010</v>
      </c>
      <c r="C308" t="s">
        <v>75</v>
      </c>
      <c r="D308">
        <v>0.74</v>
      </c>
    </row>
    <row r="309" spans="1:4" x14ac:dyDescent="0.45">
      <c r="A309" t="s">
        <v>34</v>
      </c>
      <c r="B309">
        <v>2010</v>
      </c>
      <c r="C309" t="s">
        <v>75</v>
      </c>
      <c r="D309">
        <v>12.94</v>
      </c>
    </row>
    <row r="310" spans="1:4" x14ac:dyDescent="0.45">
      <c r="A310" t="s">
        <v>36</v>
      </c>
      <c r="B310">
        <v>2010</v>
      </c>
      <c r="C310" t="s">
        <v>75</v>
      </c>
      <c r="D310">
        <v>25.78</v>
      </c>
    </row>
    <row r="311" spans="1:4" x14ac:dyDescent="0.45">
      <c r="A311" t="s">
        <v>56</v>
      </c>
      <c r="B311">
        <v>2010</v>
      </c>
      <c r="C311" t="s">
        <v>75</v>
      </c>
      <c r="D311">
        <v>16.079999999999998</v>
      </c>
    </row>
    <row r="312" spans="1:4" x14ac:dyDescent="0.45">
      <c r="A312" t="s">
        <v>57</v>
      </c>
      <c r="B312">
        <v>2010</v>
      </c>
      <c r="C312" t="s">
        <v>75</v>
      </c>
      <c r="D312">
        <v>7.45</v>
      </c>
    </row>
    <row r="313" spans="1:4" x14ac:dyDescent="0.45">
      <c r="A313" t="s">
        <v>38</v>
      </c>
      <c r="B313">
        <v>2010</v>
      </c>
      <c r="C313" t="s">
        <v>75</v>
      </c>
      <c r="D313">
        <v>3.27</v>
      </c>
    </row>
    <row r="314" spans="1:4" x14ac:dyDescent="0.45">
      <c r="A314" t="s">
        <v>32</v>
      </c>
      <c r="B314">
        <v>2010</v>
      </c>
      <c r="C314" t="s">
        <v>75</v>
      </c>
      <c r="D314">
        <v>0.11</v>
      </c>
    </row>
    <row r="315" spans="1:4" x14ac:dyDescent="0.45">
      <c r="A315" t="s">
        <v>58</v>
      </c>
      <c r="B315">
        <v>2010</v>
      </c>
      <c r="C315" t="s">
        <v>75</v>
      </c>
      <c r="D315">
        <v>4.5999999999999996</v>
      </c>
    </row>
    <row r="316" spans="1:4" x14ac:dyDescent="0.45">
      <c r="A316" t="s">
        <v>91</v>
      </c>
      <c r="B316">
        <v>2010</v>
      </c>
      <c r="C316" t="s">
        <v>75</v>
      </c>
      <c r="D316">
        <v>20.69</v>
      </c>
    </row>
    <row r="317" spans="1:4" x14ac:dyDescent="0.45">
      <c r="A317" t="s">
        <v>32</v>
      </c>
      <c r="B317">
        <v>2011</v>
      </c>
      <c r="C317" t="s">
        <v>75</v>
      </c>
      <c r="D317">
        <v>0.78</v>
      </c>
    </row>
    <row r="318" spans="1:4" x14ac:dyDescent="0.45">
      <c r="A318" t="s">
        <v>34</v>
      </c>
      <c r="B318">
        <v>2011</v>
      </c>
      <c r="C318" t="s">
        <v>75</v>
      </c>
      <c r="D318">
        <v>12.78</v>
      </c>
    </row>
    <row r="319" spans="1:4" x14ac:dyDescent="0.45">
      <c r="A319" t="s">
        <v>36</v>
      </c>
      <c r="B319">
        <v>2011</v>
      </c>
      <c r="C319" t="s">
        <v>75</v>
      </c>
      <c r="D319">
        <v>27.23</v>
      </c>
    </row>
    <row r="320" spans="1:4" x14ac:dyDescent="0.45">
      <c r="A320" t="s">
        <v>56</v>
      </c>
      <c r="B320">
        <v>2011</v>
      </c>
      <c r="C320" t="s">
        <v>75</v>
      </c>
      <c r="D320">
        <v>16.09</v>
      </c>
    </row>
    <row r="321" spans="1:4" x14ac:dyDescent="0.45">
      <c r="A321" t="s">
        <v>57</v>
      </c>
      <c r="B321">
        <v>2011</v>
      </c>
      <c r="C321" t="s">
        <v>75</v>
      </c>
      <c r="D321">
        <v>7.45</v>
      </c>
    </row>
    <row r="322" spans="1:4" x14ac:dyDescent="0.45">
      <c r="A322" t="s">
        <v>38</v>
      </c>
      <c r="B322">
        <v>2011</v>
      </c>
      <c r="C322" t="s">
        <v>75</v>
      </c>
      <c r="D322">
        <v>3.27</v>
      </c>
    </row>
    <row r="323" spans="1:4" x14ac:dyDescent="0.45">
      <c r="A323" t="s">
        <v>32</v>
      </c>
      <c r="B323">
        <v>2011</v>
      </c>
      <c r="C323" t="s">
        <v>75</v>
      </c>
      <c r="D323">
        <v>0.11</v>
      </c>
    </row>
    <row r="324" spans="1:4" x14ac:dyDescent="0.45">
      <c r="A324" t="s">
        <v>58</v>
      </c>
      <c r="B324">
        <v>2011</v>
      </c>
      <c r="C324" t="s">
        <v>75</v>
      </c>
      <c r="D324">
        <v>5.43</v>
      </c>
    </row>
    <row r="325" spans="1:4" x14ac:dyDescent="0.45">
      <c r="A325" t="s">
        <v>91</v>
      </c>
      <c r="B325">
        <v>2011</v>
      </c>
      <c r="C325" t="s">
        <v>75</v>
      </c>
      <c r="D325">
        <v>21.53</v>
      </c>
    </row>
    <row r="326" spans="1:4" x14ac:dyDescent="0.45">
      <c r="A326" t="s">
        <v>32</v>
      </c>
      <c r="B326">
        <v>2012</v>
      </c>
      <c r="C326" t="s">
        <v>75</v>
      </c>
      <c r="D326">
        <v>0.87</v>
      </c>
    </row>
    <row r="327" spans="1:4" x14ac:dyDescent="0.45">
      <c r="A327" t="s">
        <v>34</v>
      </c>
      <c r="B327">
        <v>2012</v>
      </c>
      <c r="C327" t="s">
        <v>75</v>
      </c>
      <c r="D327">
        <v>11.98</v>
      </c>
    </row>
    <row r="328" spans="1:4" x14ac:dyDescent="0.45">
      <c r="A328" t="s">
        <v>36</v>
      </c>
      <c r="B328">
        <v>2012</v>
      </c>
      <c r="C328" t="s">
        <v>75</v>
      </c>
      <c r="D328">
        <v>27.28</v>
      </c>
    </row>
    <row r="329" spans="1:4" x14ac:dyDescent="0.45">
      <c r="A329" t="s">
        <v>56</v>
      </c>
      <c r="B329">
        <v>2012</v>
      </c>
      <c r="C329" t="s">
        <v>75</v>
      </c>
      <c r="D329">
        <v>16.100000000000001</v>
      </c>
    </row>
    <row r="330" spans="1:4" x14ac:dyDescent="0.45">
      <c r="A330" t="s">
        <v>57</v>
      </c>
      <c r="B330">
        <v>2012</v>
      </c>
      <c r="C330" t="s">
        <v>75</v>
      </c>
      <c r="D330">
        <v>7.45</v>
      </c>
    </row>
    <row r="331" spans="1:4" x14ac:dyDescent="0.45">
      <c r="A331" t="s">
        <v>38</v>
      </c>
      <c r="B331">
        <v>2012</v>
      </c>
      <c r="C331" t="s">
        <v>75</v>
      </c>
      <c r="D331">
        <v>3.27</v>
      </c>
    </row>
    <row r="332" spans="1:4" x14ac:dyDescent="0.45">
      <c r="A332" t="s">
        <v>32</v>
      </c>
      <c r="B332">
        <v>2012</v>
      </c>
      <c r="C332" t="s">
        <v>75</v>
      </c>
      <c r="D332">
        <v>0.11</v>
      </c>
    </row>
    <row r="333" spans="1:4" x14ac:dyDescent="0.45">
      <c r="A333" t="s">
        <v>58</v>
      </c>
      <c r="B333">
        <v>2012</v>
      </c>
      <c r="C333" t="s">
        <v>75</v>
      </c>
      <c r="D333">
        <v>6.57</v>
      </c>
    </row>
    <row r="334" spans="1:4" x14ac:dyDescent="0.45">
      <c r="A334" t="s">
        <v>91</v>
      </c>
      <c r="B334">
        <v>2012</v>
      </c>
      <c r="C334" t="s">
        <v>75</v>
      </c>
      <c r="D334">
        <v>22.79</v>
      </c>
    </row>
    <row r="335" spans="1:4" x14ac:dyDescent="0.45">
      <c r="A335" t="s">
        <v>32</v>
      </c>
      <c r="B335">
        <v>2013</v>
      </c>
      <c r="C335" t="s">
        <v>75</v>
      </c>
      <c r="D335">
        <v>0.9</v>
      </c>
    </row>
    <row r="336" spans="1:4" x14ac:dyDescent="0.45">
      <c r="A336" t="s">
        <v>34</v>
      </c>
      <c r="B336">
        <v>2013</v>
      </c>
      <c r="C336" t="s">
        <v>75</v>
      </c>
      <c r="D336">
        <v>11.39</v>
      </c>
    </row>
    <row r="337" spans="1:4" x14ac:dyDescent="0.45">
      <c r="A337" t="s">
        <v>36</v>
      </c>
      <c r="B337">
        <v>2013</v>
      </c>
      <c r="C337" t="s">
        <v>75</v>
      </c>
      <c r="D337">
        <v>27.33</v>
      </c>
    </row>
    <row r="338" spans="1:4" x14ac:dyDescent="0.45">
      <c r="A338" t="s">
        <v>56</v>
      </c>
      <c r="B338">
        <v>2013</v>
      </c>
      <c r="C338" t="s">
        <v>75</v>
      </c>
      <c r="D338">
        <v>15.85</v>
      </c>
    </row>
    <row r="339" spans="1:4" x14ac:dyDescent="0.45">
      <c r="A339" t="s">
        <v>57</v>
      </c>
      <c r="B339">
        <v>2013</v>
      </c>
      <c r="C339" t="s">
        <v>75</v>
      </c>
      <c r="D339">
        <v>6.98</v>
      </c>
    </row>
    <row r="340" spans="1:4" x14ac:dyDescent="0.45">
      <c r="A340" t="s">
        <v>38</v>
      </c>
      <c r="B340">
        <v>2013</v>
      </c>
      <c r="C340" t="s">
        <v>75</v>
      </c>
      <c r="D340">
        <v>3.27</v>
      </c>
    </row>
    <row r="341" spans="1:4" x14ac:dyDescent="0.45">
      <c r="A341" t="s">
        <v>32</v>
      </c>
      <c r="B341">
        <v>2013</v>
      </c>
      <c r="C341" t="s">
        <v>75</v>
      </c>
      <c r="D341">
        <v>0.12</v>
      </c>
    </row>
    <row r="342" spans="1:4" x14ac:dyDescent="0.45">
      <c r="A342" t="s">
        <v>58</v>
      </c>
      <c r="B342">
        <v>2013</v>
      </c>
      <c r="C342" t="s">
        <v>75</v>
      </c>
      <c r="D342">
        <v>6.99</v>
      </c>
    </row>
    <row r="343" spans="1:4" x14ac:dyDescent="0.45">
      <c r="A343" t="s">
        <v>91</v>
      </c>
      <c r="B343">
        <v>2013</v>
      </c>
      <c r="C343" t="s">
        <v>75</v>
      </c>
      <c r="D343">
        <v>22.96</v>
      </c>
    </row>
    <row r="344" spans="1:4" x14ac:dyDescent="0.45">
      <c r="A344" t="s">
        <v>32</v>
      </c>
      <c r="B344">
        <v>2014</v>
      </c>
      <c r="C344" t="s">
        <v>75</v>
      </c>
      <c r="D344">
        <v>0.92</v>
      </c>
    </row>
    <row r="345" spans="1:4" x14ac:dyDescent="0.45">
      <c r="A345" t="s">
        <v>34</v>
      </c>
      <c r="B345">
        <v>2014</v>
      </c>
      <c r="C345" t="s">
        <v>75</v>
      </c>
      <c r="D345">
        <v>11.39</v>
      </c>
    </row>
    <row r="346" spans="1:4" x14ac:dyDescent="0.45">
      <c r="A346" t="s">
        <v>36</v>
      </c>
      <c r="B346">
        <v>2014</v>
      </c>
      <c r="C346" t="s">
        <v>75</v>
      </c>
      <c r="D346">
        <v>27.33</v>
      </c>
    </row>
    <row r="347" spans="1:4" x14ac:dyDescent="0.45">
      <c r="A347" t="s">
        <v>56</v>
      </c>
      <c r="B347">
        <v>2014</v>
      </c>
      <c r="C347" t="s">
        <v>75</v>
      </c>
      <c r="D347">
        <v>15.89</v>
      </c>
    </row>
    <row r="348" spans="1:4" x14ac:dyDescent="0.45">
      <c r="A348" t="s">
        <v>57</v>
      </c>
      <c r="B348">
        <v>2014</v>
      </c>
      <c r="C348" t="s">
        <v>75</v>
      </c>
      <c r="D348">
        <v>7.4</v>
      </c>
    </row>
    <row r="349" spans="1:4" x14ac:dyDescent="0.45">
      <c r="A349" t="s">
        <v>38</v>
      </c>
      <c r="B349">
        <v>2014</v>
      </c>
      <c r="C349" t="s">
        <v>75</v>
      </c>
      <c r="D349">
        <v>3.27</v>
      </c>
    </row>
    <row r="350" spans="1:4" x14ac:dyDescent="0.45">
      <c r="A350" t="s">
        <v>32</v>
      </c>
      <c r="B350">
        <v>2014</v>
      </c>
      <c r="C350" t="s">
        <v>75</v>
      </c>
      <c r="D350">
        <v>0.12</v>
      </c>
    </row>
    <row r="351" spans="1:4" x14ac:dyDescent="0.45">
      <c r="A351" t="s">
        <v>58</v>
      </c>
      <c r="B351">
        <v>2014</v>
      </c>
      <c r="C351" t="s">
        <v>75</v>
      </c>
      <c r="D351">
        <v>7</v>
      </c>
    </row>
    <row r="352" spans="1:4" x14ac:dyDescent="0.45">
      <c r="A352" t="s">
        <v>91</v>
      </c>
      <c r="B352">
        <v>2014</v>
      </c>
      <c r="C352" t="s">
        <v>75</v>
      </c>
      <c r="D352">
        <v>22.93</v>
      </c>
    </row>
    <row r="353" spans="1:4" x14ac:dyDescent="0.45">
      <c r="A353" t="s">
        <v>32</v>
      </c>
      <c r="B353">
        <v>2015</v>
      </c>
      <c r="C353" t="s">
        <v>75</v>
      </c>
      <c r="D353">
        <v>0.92</v>
      </c>
    </row>
    <row r="354" spans="1:4" x14ac:dyDescent="0.45">
      <c r="A354" t="s">
        <v>34</v>
      </c>
      <c r="B354">
        <v>2015</v>
      </c>
      <c r="C354" t="s">
        <v>75</v>
      </c>
      <c r="D354">
        <v>11.14</v>
      </c>
    </row>
    <row r="355" spans="1:4" x14ac:dyDescent="0.45">
      <c r="A355" t="s">
        <v>36</v>
      </c>
      <c r="B355">
        <v>2015</v>
      </c>
      <c r="C355" t="s">
        <v>75</v>
      </c>
      <c r="D355">
        <v>27.33</v>
      </c>
    </row>
    <row r="356" spans="1:4" x14ac:dyDescent="0.45">
      <c r="A356" t="s">
        <v>56</v>
      </c>
      <c r="B356">
        <v>2015</v>
      </c>
      <c r="C356" t="s">
        <v>75</v>
      </c>
      <c r="D356">
        <v>16.72</v>
      </c>
    </row>
    <row r="357" spans="1:4" x14ac:dyDescent="0.45">
      <c r="A357" t="s">
        <v>57</v>
      </c>
      <c r="B357">
        <v>2015</v>
      </c>
      <c r="C357" t="s">
        <v>75</v>
      </c>
      <c r="D357">
        <v>7.4</v>
      </c>
    </row>
    <row r="358" spans="1:4" x14ac:dyDescent="0.45">
      <c r="A358" t="s">
        <v>38</v>
      </c>
      <c r="B358">
        <v>2015</v>
      </c>
      <c r="C358" t="s">
        <v>75</v>
      </c>
      <c r="D358">
        <v>3.33</v>
      </c>
    </row>
    <row r="359" spans="1:4" x14ac:dyDescent="0.45">
      <c r="A359" t="s">
        <v>32</v>
      </c>
      <c r="B359">
        <v>2015</v>
      </c>
      <c r="C359" t="s">
        <v>75</v>
      </c>
      <c r="D359">
        <v>0.12</v>
      </c>
    </row>
    <row r="360" spans="1:4" x14ac:dyDescent="0.45">
      <c r="A360" t="s">
        <v>58</v>
      </c>
      <c r="B360">
        <v>2015</v>
      </c>
      <c r="C360" t="s">
        <v>75</v>
      </c>
      <c r="D360">
        <v>7.01</v>
      </c>
    </row>
    <row r="361" spans="1:4" x14ac:dyDescent="0.45">
      <c r="A361" t="s">
        <v>91</v>
      </c>
      <c r="B361">
        <v>2015</v>
      </c>
      <c r="C361" t="s">
        <v>75</v>
      </c>
      <c r="D361">
        <v>22.94</v>
      </c>
    </row>
    <row r="362" spans="1:4" x14ac:dyDescent="0.45">
      <c r="A362" t="s">
        <v>32</v>
      </c>
      <c r="B362">
        <v>2016</v>
      </c>
      <c r="C362" t="s">
        <v>75</v>
      </c>
      <c r="D362">
        <v>0.92</v>
      </c>
    </row>
    <row r="363" spans="1:4" x14ac:dyDescent="0.45">
      <c r="A363" t="s">
        <v>34</v>
      </c>
      <c r="B363">
        <v>2016</v>
      </c>
      <c r="C363" t="s">
        <v>75</v>
      </c>
      <c r="D363">
        <v>10.61</v>
      </c>
    </row>
    <row r="364" spans="1:4" x14ac:dyDescent="0.45">
      <c r="A364" t="s">
        <v>36</v>
      </c>
      <c r="B364">
        <v>2016</v>
      </c>
      <c r="C364" t="s">
        <v>75</v>
      </c>
      <c r="D364">
        <v>27.33</v>
      </c>
    </row>
    <row r="365" spans="1:4" x14ac:dyDescent="0.45">
      <c r="A365" t="s">
        <v>56</v>
      </c>
      <c r="B365">
        <v>2016</v>
      </c>
      <c r="C365" t="s">
        <v>75</v>
      </c>
      <c r="D365">
        <v>16.75</v>
      </c>
    </row>
    <row r="366" spans="1:4" x14ac:dyDescent="0.45">
      <c r="A366" t="s">
        <v>57</v>
      </c>
      <c r="B366">
        <v>2016</v>
      </c>
      <c r="C366" t="s">
        <v>75</v>
      </c>
      <c r="D366">
        <v>7.4</v>
      </c>
    </row>
    <row r="367" spans="1:4" x14ac:dyDescent="0.45">
      <c r="A367" t="s">
        <v>38</v>
      </c>
      <c r="B367">
        <v>2016</v>
      </c>
      <c r="C367" t="s">
        <v>75</v>
      </c>
      <c r="D367">
        <v>3.33</v>
      </c>
    </row>
    <row r="368" spans="1:4" x14ac:dyDescent="0.45">
      <c r="A368" t="s">
        <v>32</v>
      </c>
      <c r="B368">
        <v>2016</v>
      </c>
      <c r="C368" t="s">
        <v>75</v>
      </c>
      <c r="D368">
        <v>0.12</v>
      </c>
    </row>
    <row r="369" spans="1:4" x14ac:dyDescent="0.45">
      <c r="A369" t="s">
        <v>58</v>
      </c>
      <c r="B369">
        <v>2016</v>
      </c>
      <c r="C369" t="s">
        <v>75</v>
      </c>
      <c r="D369">
        <v>7.02</v>
      </c>
    </row>
    <row r="370" spans="1:4" x14ac:dyDescent="0.45">
      <c r="A370" t="s">
        <v>91</v>
      </c>
      <c r="B370">
        <v>2016</v>
      </c>
      <c r="C370" t="s">
        <v>75</v>
      </c>
      <c r="D370">
        <v>22.99</v>
      </c>
    </row>
    <row r="371" spans="1:4" x14ac:dyDescent="0.45">
      <c r="A371" t="s">
        <v>32</v>
      </c>
      <c r="B371">
        <v>2017</v>
      </c>
      <c r="C371" t="s">
        <v>75</v>
      </c>
      <c r="D371">
        <v>0.92</v>
      </c>
    </row>
    <row r="372" spans="1:4" x14ac:dyDescent="0.45">
      <c r="A372" t="s">
        <v>34</v>
      </c>
      <c r="B372">
        <v>2017</v>
      </c>
      <c r="C372" t="s">
        <v>75</v>
      </c>
      <c r="D372">
        <v>10.61</v>
      </c>
    </row>
    <row r="373" spans="1:4" x14ac:dyDescent="0.45">
      <c r="A373" t="s">
        <v>36</v>
      </c>
      <c r="B373">
        <v>2017</v>
      </c>
      <c r="C373" t="s">
        <v>75</v>
      </c>
      <c r="D373">
        <v>27.33</v>
      </c>
    </row>
    <row r="374" spans="1:4" x14ac:dyDescent="0.45">
      <c r="A374" t="s">
        <v>56</v>
      </c>
      <c r="B374">
        <v>2017</v>
      </c>
      <c r="C374" t="s">
        <v>75</v>
      </c>
      <c r="D374">
        <v>16.75</v>
      </c>
    </row>
    <row r="375" spans="1:4" x14ac:dyDescent="0.45">
      <c r="A375" t="s">
        <v>57</v>
      </c>
      <c r="B375">
        <v>2017</v>
      </c>
      <c r="C375" t="s">
        <v>75</v>
      </c>
      <c r="D375">
        <v>7.12</v>
      </c>
    </row>
    <row r="376" spans="1:4" x14ac:dyDescent="0.45">
      <c r="A376" t="s">
        <v>38</v>
      </c>
      <c r="B376">
        <v>2017</v>
      </c>
      <c r="C376" t="s">
        <v>75</v>
      </c>
      <c r="D376">
        <v>3.33</v>
      </c>
    </row>
    <row r="377" spans="1:4" x14ac:dyDescent="0.45">
      <c r="A377" t="s">
        <v>32</v>
      </c>
      <c r="B377">
        <v>2017</v>
      </c>
      <c r="C377" t="s">
        <v>75</v>
      </c>
      <c r="D377">
        <v>0.13</v>
      </c>
    </row>
    <row r="378" spans="1:4" x14ac:dyDescent="0.45">
      <c r="A378" t="s">
        <v>58</v>
      </c>
      <c r="B378">
        <v>2017</v>
      </c>
      <c r="C378" t="s">
        <v>75</v>
      </c>
      <c r="D378">
        <v>7.03</v>
      </c>
    </row>
    <row r="379" spans="1:4" x14ac:dyDescent="0.45">
      <c r="A379" t="s">
        <v>91</v>
      </c>
      <c r="B379">
        <v>2017</v>
      </c>
      <c r="C379" t="s">
        <v>75</v>
      </c>
      <c r="D379">
        <v>23.12</v>
      </c>
    </row>
    <row r="380" spans="1:4" x14ac:dyDescent="0.45">
      <c r="A380" t="s">
        <v>32</v>
      </c>
      <c r="B380">
        <v>2018</v>
      </c>
      <c r="C380" t="s">
        <v>75</v>
      </c>
      <c r="D380">
        <v>0.94</v>
      </c>
    </row>
    <row r="381" spans="1:4" x14ac:dyDescent="0.45">
      <c r="A381" t="s">
        <v>34</v>
      </c>
      <c r="B381">
        <v>2018</v>
      </c>
      <c r="C381" t="s">
        <v>75</v>
      </c>
      <c r="D381">
        <v>10.24</v>
      </c>
    </row>
    <row r="382" spans="1:4" x14ac:dyDescent="0.45">
      <c r="A382" t="s">
        <v>36</v>
      </c>
      <c r="B382">
        <v>2018</v>
      </c>
      <c r="C382" t="s">
        <v>75</v>
      </c>
      <c r="D382">
        <v>27.35</v>
      </c>
    </row>
    <row r="383" spans="1:4" x14ac:dyDescent="0.45">
      <c r="A383" t="s">
        <v>56</v>
      </c>
      <c r="B383">
        <v>2018</v>
      </c>
      <c r="C383" t="s">
        <v>75</v>
      </c>
      <c r="D383">
        <v>16.75</v>
      </c>
    </row>
    <row r="384" spans="1:4" x14ac:dyDescent="0.45">
      <c r="A384" t="s">
        <v>57</v>
      </c>
      <c r="B384">
        <v>2018</v>
      </c>
      <c r="C384" t="s">
        <v>75</v>
      </c>
      <c r="D384">
        <v>7.12</v>
      </c>
    </row>
    <row r="385" spans="1:4" x14ac:dyDescent="0.45">
      <c r="A385" t="s">
        <v>38</v>
      </c>
      <c r="B385">
        <v>2018</v>
      </c>
      <c r="C385" t="s">
        <v>75</v>
      </c>
      <c r="D385">
        <v>3.33</v>
      </c>
    </row>
    <row r="386" spans="1:4" x14ac:dyDescent="0.45">
      <c r="A386" t="s">
        <v>32</v>
      </c>
      <c r="B386">
        <v>2018</v>
      </c>
      <c r="C386" t="s">
        <v>75</v>
      </c>
      <c r="D386">
        <v>0.13</v>
      </c>
    </row>
    <row r="387" spans="1:4" x14ac:dyDescent="0.45">
      <c r="A387" t="s">
        <v>58</v>
      </c>
      <c r="B387">
        <v>2018</v>
      </c>
      <c r="C387" t="s">
        <v>75</v>
      </c>
      <c r="D387">
        <v>7.07</v>
      </c>
    </row>
    <row r="388" spans="1:4" x14ac:dyDescent="0.45">
      <c r="A388" t="s">
        <v>91</v>
      </c>
      <c r="B388">
        <v>2018</v>
      </c>
      <c r="C388" t="s">
        <v>75</v>
      </c>
      <c r="D388">
        <v>23.41</v>
      </c>
    </row>
    <row r="389" spans="1:4" x14ac:dyDescent="0.45">
      <c r="A389" t="s">
        <v>32</v>
      </c>
      <c r="B389">
        <v>2019</v>
      </c>
      <c r="C389" t="s">
        <v>75</v>
      </c>
      <c r="D389">
        <v>0.99</v>
      </c>
    </row>
    <row r="390" spans="1:4" x14ac:dyDescent="0.45">
      <c r="A390" t="s">
        <v>34</v>
      </c>
      <c r="B390">
        <v>2019</v>
      </c>
      <c r="C390" t="s">
        <v>75</v>
      </c>
      <c r="D390">
        <v>9.99</v>
      </c>
    </row>
    <row r="391" spans="1:4" x14ac:dyDescent="0.45">
      <c r="A391" t="s">
        <v>36</v>
      </c>
      <c r="B391">
        <v>2019</v>
      </c>
      <c r="C391" t="s">
        <v>75</v>
      </c>
      <c r="D391">
        <v>27.35</v>
      </c>
    </row>
    <row r="392" spans="1:4" x14ac:dyDescent="0.45">
      <c r="A392" t="s">
        <v>56</v>
      </c>
      <c r="B392">
        <v>2019</v>
      </c>
      <c r="C392" t="s">
        <v>75</v>
      </c>
      <c r="D392">
        <v>16.78</v>
      </c>
    </row>
    <row r="393" spans="1:4" x14ac:dyDescent="0.45">
      <c r="A393" t="s">
        <v>57</v>
      </c>
      <c r="B393">
        <v>2019</v>
      </c>
      <c r="C393" t="s">
        <v>75</v>
      </c>
      <c r="D393">
        <v>7.12</v>
      </c>
    </row>
    <row r="394" spans="1:4" x14ac:dyDescent="0.45">
      <c r="A394" t="s">
        <v>38</v>
      </c>
      <c r="B394">
        <v>2019</v>
      </c>
      <c r="C394" t="s">
        <v>75</v>
      </c>
      <c r="D394">
        <v>3.33</v>
      </c>
    </row>
    <row r="395" spans="1:4" x14ac:dyDescent="0.45">
      <c r="A395" t="s">
        <v>32</v>
      </c>
      <c r="B395">
        <v>2019</v>
      </c>
      <c r="C395" t="s">
        <v>75</v>
      </c>
      <c r="D395">
        <v>0.13</v>
      </c>
    </row>
    <row r="396" spans="1:4" x14ac:dyDescent="0.45">
      <c r="A396" t="s">
        <v>58</v>
      </c>
      <c r="B396">
        <v>2019</v>
      </c>
      <c r="C396" t="s">
        <v>75</v>
      </c>
      <c r="D396">
        <v>11.11</v>
      </c>
    </row>
    <row r="397" spans="1:4" x14ac:dyDescent="0.45">
      <c r="A397" t="s">
        <v>91</v>
      </c>
      <c r="B397">
        <v>2019</v>
      </c>
      <c r="C397" t="s">
        <v>75</v>
      </c>
      <c r="D397">
        <v>25.59</v>
      </c>
    </row>
    <row r="398" spans="1:4" x14ac:dyDescent="0.45">
      <c r="A398" t="s">
        <v>32</v>
      </c>
      <c r="B398">
        <v>2020</v>
      </c>
      <c r="C398" t="s">
        <v>75</v>
      </c>
      <c r="D398">
        <v>1.1399999999999999</v>
      </c>
    </row>
    <row r="399" spans="1:4" x14ac:dyDescent="0.45">
      <c r="A399" t="s">
        <v>34</v>
      </c>
      <c r="B399">
        <v>2020</v>
      </c>
      <c r="C399" t="s">
        <v>75</v>
      </c>
      <c r="D399">
        <v>5.2</v>
      </c>
    </row>
    <row r="400" spans="1:4" x14ac:dyDescent="0.45">
      <c r="A400" t="s">
        <v>36</v>
      </c>
      <c r="B400">
        <v>2020</v>
      </c>
      <c r="C400" t="s">
        <v>75</v>
      </c>
      <c r="D400">
        <v>27.27</v>
      </c>
    </row>
    <row r="401" spans="1:4" x14ac:dyDescent="0.45">
      <c r="A401" t="s">
        <v>56</v>
      </c>
      <c r="B401">
        <v>2020</v>
      </c>
      <c r="C401" t="s">
        <v>75</v>
      </c>
      <c r="D401">
        <v>16.79</v>
      </c>
    </row>
    <row r="402" spans="1:4" x14ac:dyDescent="0.45">
      <c r="A402" t="s">
        <v>57</v>
      </c>
      <c r="B402">
        <v>2020</v>
      </c>
      <c r="C402" t="s">
        <v>75</v>
      </c>
      <c r="D402">
        <v>7.12</v>
      </c>
    </row>
    <row r="403" spans="1:4" x14ac:dyDescent="0.45">
      <c r="A403" t="s">
        <v>38</v>
      </c>
      <c r="B403">
        <v>2020</v>
      </c>
      <c r="C403" t="s">
        <v>75</v>
      </c>
      <c r="D403">
        <v>3.21</v>
      </c>
    </row>
    <row r="404" spans="1:4" x14ac:dyDescent="0.45">
      <c r="A404" t="s">
        <v>32</v>
      </c>
      <c r="B404">
        <v>2020</v>
      </c>
      <c r="C404" t="s">
        <v>75</v>
      </c>
      <c r="D404">
        <v>0.13</v>
      </c>
    </row>
    <row r="405" spans="1:4" x14ac:dyDescent="0.45">
      <c r="A405" t="s">
        <v>58</v>
      </c>
      <c r="B405">
        <v>2020</v>
      </c>
      <c r="C405" t="s">
        <v>75</v>
      </c>
      <c r="D405">
        <v>12.44</v>
      </c>
    </row>
    <row r="406" spans="1:4" x14ac:dyDescent="0.45">
      <c r="A406" t="s">
        <v>91</v>
      </c>
      <c r="B406">
        <v>2020</v>
      </c>
      <c r="C406" t="s">
        <v>75</v>
      </c>
      <c r="D406">
        <v>26.82</v>
      </c>
    </row>
    <row r="407" spans="1:4" x14ac:dyDescent="0.45">
      <c r="A407" t="s">
        <v>32</v>
      </c>
      <c r="B407">
        <v>2021</v>
      </c>
      <c r="C407" t="s">
        <v>75</v>
      </c>
      <c r="D407">
        <v>1.1399999999999999</v>
      </c>
    </row>
    <row r="408" spans="1:4" x14ac:dyDescent="0.45">
      <c r="A408" t="s">
        <v>34</v>
      </c>
      <c r="B408">
        <v>2021</v>
      </c>
      <c r="C408" t="s">
        <v>75</v>
      </c>
      <c r="D408">
        <v>3.68</v>
      </c>
    </row>
    <row r="409" spans="1:4" x14ac:dyDescent="0.45">
      <c r="A409" t="s">
        <v>36</v>
      </c>
      <c r="B409">
        <v>2021</v>
      </c>
      <c r="C409" t="s">
        <v>75</v>
      </c>
      <c r="D409">
        <v>27.27</v>
      </c>
    </row>
    <row r="410" spans="1:4" x14ac:dyDescent="0.45">
      <c r="A410" t="s">
        <v>56</v>
      </c>
      <c r="B410">
        <v>2021</v>
      </c>
      <c r="C410" t="s">
        <v>75</v>
      </c>
      <c r="D410">
        <v>16.8</v>
      </c>
    </row>
    <row r="411" spans="1:4" x14ac:dyDescent="0.45">
      <c r="A411" t="s">
        <v>57</v>
      </c>
      <c r="B411">
        <v>2021</v>
      </c>
      <c r="C411" t="s">
        <v>75</v>
      </c>
      <c r="D411">
        <v>7.12</v>
      </c>
    </row>
    <row r="412" spans="1:4" x14ac:dyDescent="0.45">
      <c r="A412" t="s">
        <v>38</v>
      </c>
      <c r="B412">
        <v>2021</v>
      </c>
      <c r="C412" t="s">
        <v>75</v>
      </c>
      <c r="D412">
        <v>3.21</v>
      </c>
    </row>
    <row r="413" spans="1:4" x14ac:dyDescent="0.45">
      <c r="A413" t="s">
        <v>32</v>
      </c>
      <c r="B413">
        <v>2021</v>
      </c>
      <c r="C413" t="s">
        <v>75</v>
      </c>
      <c r="D413">
        <v>0.14000000000000001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16.02</v>
      </c>
    </row>
    <row r="415" spans="1:4" x14ac:dyDescent="0.45">
      <c r="A415" t="s">
        <v>91</v>
      </c>
      <c r="B415">
        <v>2021</v>
      </c>
      <c r="C415" t="s">
        <v>75</v>
      </c>
      <c r="D415">
        <v>27.91</v>
      </c>
    </row>
    <row r="416" spans="1:4" x14ac:dyDescent="0.45">
      <c r="A416" t="s">
        <v>32</v>
      </c>
      <c r="B416">
        <v>2022</v>
      </c>
      <c r="C416" t="s">
        <v>75</v>
      </c>
      <c r="D416">
        <v>1.1499999999999999</v>
      </c>
    </row>
    <row r="417" spans="1:4" x14ac:dyDescent="0.45">
      <c r="A417" t="s">
        <v>34</v>
      </c>
      <c r="B417">
        <v>2022</v>
      </c>
      <c r="C417" t="s">
        <v>75</v>
      </c>
      <c r="D417">
        <v>2.95</v>
      </c>
    </row>
    <row r="418" spans="1:4" x14ac:dyDescent="0.45">
      <c r="A418" t="s">
        <v>36</v>
      </c>
      <c r="B418">
        <v>2022</v>
      </c>
      <c r="C418" t="s">
        <v>75</v>
      </c>
      <c r="D418">
        <v>27.27</v>
      </c>
    </row>
    <row r="419" spans="1:4" x14ac:dyDescent="0.45">
      <c r="A419" t="s">
        <v>56</v>
      </c>
      <c r="B419">
        <v>2022</v>
      </c>
      <c r="C419" t="s">
        <v>75</v>
      </c>
      <c r="D419">
        <v>16.809999999999999</v>
      </c>
    </row>
    <row r="420" spans="1:4" x14ac:dyDescent="0.45">
      <c r="A420" t="s">
        <v>57</v>
      </c>
      <c r="B420">
        <v>2022</v>
      </c>
      <c r="C420" t="s">
        <v>75</v>
      </c>
      <c r="D420">
        <v>7.12</v>
      </c>
    </row>
    <row r="421" spans="1:4" x14ac:dyDescent="0.45">
      <c r="A421" t="s">
        <v>38</v>
      </c>
      <c r="B421">
        <v>2022</v>
      </c>
      <c r="C421" t="s">
        <v>75</v>
      </c>
      <c r="D421">
        <v>3.21</v>
      </c>
    </row>
    <row r="422" spans="1:4" x14ac:dyDescent="0.45">
      <c r="A422" t="s">
        <v>32</v>
      </c>
      <c r="B422">
        <v>2022</v>
      </c>
      <c r="C422" t="s">
        <v>75</v>
      </c>
      <c r="D422">
        <v>0.14000000000000001</v>
      </c>
    </row>
    <row r="423" spans="1:4" x14ac:dyDescent="0.45">
      <c r="A423" t="s">
        <v>58</v>
      </c>
      <c r="B423">
        <v>2022</v>
      </c>
      <c r="C423" t="s">
        <v>75</v>
      </c>
      <c r="D423">
        <v>25.62</v>
      </c>
    </row>
    <row r="424" spans="1:4" x14ac:dyDescent="0.45">
      <c r="A424" t="s">
        <v>91</v>
      </c>
      <c r="B424">
        <v>2022</v>
      </c>
      <c r="C424" t="s">
        <v>75</v>
      </c>
      <c r="D424">
        <v>30.11</v>
      </c>
    </row>
    <row r="425" spans="1:4" x14ac:dyDescent="0.45">
      <c r="A425" t="s">
        <v>32</v>
      </c>
      <c r="B425">
        <v>2023</v>
      </c>
      <c r="C425" t="s">
        <v>75</v>
      </c>
      <c r="D425">
        <v>1.1499999999999999</v>
      </c>
    </row>
    <row r="426" spans="1:4" x14ac:dyDescent="0.45">
      <c r="A426" t="s">
        <v>34</v>
      </c>
      <c r="B426">
        <v>2023</v>
      </c>
      <c r="C426" t="s">
        <v>75</v>
      </c>
      <c r="D426">
        <v>2.95</v>
      </c>
    </row>
    <row r="427" spans="1:4" x14ac:dyDescent="0.45">
      <c r="A427" t="s">
        <v>36</v>
      </c>
      <c r="B427">
        <v>2023</v>
      </c>
      <c r="C427" t="s">
        <v>75</v>
      </c>
      <c r="D427">
        <v>27.27</v>
      </c>
    </row>
    <row r="428" spans="1:4" x14ac:dyDescent="0.45">
      <c r="A428" t="s">
        <v>56</v>
      </c>
      <c r="B428">
        <v>2023</v>
      </c>
      <c r="C428" t="s">
        <v>75</v>
      </c>
      <c r="D428">
        <v>16.809999999999999</v>
      </c>
    </row>
    <row r="429" spans="1:4" x14ac:dyDescent="0.45">
      <c r="A429" t="s">
        <v>57</v>
      </c>
      <c r="B429">
        <v>2023</v>
      </c>
      <c r="C429" t="s">
        <v>75</v>
      </c>
      <c r="D429">
        <v>7.12</v>
      </c>
    </row>
    <row r="430" spans="1:4" x14ac:dyDescent="0.45">
      <c r="A430" t="s">
        <v>38</v>
      </c>
      <c r="B430">
        <v>2023</v>
      </c>
      <c r="C430" t="s">
        <v>75</v>
      </c>
      <c r="D430">
        <v>3.21</v>
      </c>
    </row>
    <row r="431" spans="1:4" x14ac:dyDescent="0.45">
      <c r="A431" t="s">
        <v>32</v>
      </c>
      <c r="B431">
        <v>2023</v>
      </c>
      <c r="C431" t="s">
        <v>75</v>
      </c>
      <c r="D431">
        <v>0.14000000000000001</v>
      </c>
    </row>
    <row r="432" spans="1:4" x14ac:dyDescent="0.45">
      <c r="A432" t="s">
        <v>58</v>
      </c>
      <c r="B432">
        <v>2023</v>
      </c>
      <c r="C432" t="s">
        <v>75</v>
      </c>
      <c r="D432">
        <v>31.02</v>
      </c>
    </row>
    <row r="433" spans="1:4" x14ac:dyDescent="0.45">
      <c r="A433" t="s">
        <v>91</v>
      </c>
      <c r="B433">
        <v>2023</v>
      </c>
      <c r="C433" t="s">
        <v>75</v>
      </c>
      <c r="D433">
        <v>31.03</v>
      </c>
    </row>
    <row r="434" spans="1:4" x14ac:dyDescent="0.45">
      <c r="A434" t="s">
        <v>32</v>
      </c>
      <c r="B434">
        <v>2000</v>
      </c>
      <c r="C434" t="s">
        <v>76</v>
      </c>
      <c r="D434">
        <v>0.32</v>
      </c>
    </row>
    <row r="435" spans="1:4" x14ac:dyDescent="0.45">
      <c r="A435" t="s">
        <v>34</v>
      </c>
      <c r="B435">
        <v>2000</v>
      </c>
      <c r="C435" t="s">
        <v>76</v>
      </c>
      <c r="D435">
        <v>76.319999999999993</v>
      </c>
    </row>
    <row r="436" spans="1:4" x14ac:dyDescent="0.45">
      <c r="A436" t="s">
        <v>36</v>
      </c>
      <c r="B436">
        <v>2000</v>
      </c>
      <c r="C436" t="s">
        <v>76</v>
      </c>
      <c r="D436">
        <v>9.9499999999999993</v>
      </c>
    </row>
    <row r="437" spans="1:4" x14ac:dyDescent="0.45">
      <c r="A437" t="s">
        <v>56</v>
      </c>
      <c r="B437">
        <v>2000</v>
      </c>
      <c r="C437" t="s">
        <v>76</v>
      </c>
      <c r="D437">
        <v>0.67</v>
      </c>
    </row>
    <row r="438" spans="1:4" x14ac:dyDescent="0.45">
      <c r="A438" t="s">
        <v>57</v>
      </c>
      <c r="B438">
        <v>2000</v>
      </c>
      <c r="C438" t="s">
        <v>76</v>
      </c>
      <c r="D438">
        <v>0.3</v>
      </c>
    </row>
    <row r="439" spans="1:4" x14ac:dyDescent="0.45">
      <c r="A439" t="s">
        <v>38</v>
      </c>
      <c r="B439">
        <v>2000</v>
      </c>
      <c r="C439" t="s">
        <v>76</v>
      </c>
      <c r="D439">
        <v>16.420000000000002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0.06</v>
      </c>
    </row>
    <row r="443" spans="1:4" x14ac:dyDescent="0.45">
      <c r="A443" t="s">
        <v>32</v>
      </c>
      <c r="B443">
        <v>2001</v>
      </c>
      <c r="C443" t="s">
        <v>76</v>
      </c>
      <c r="D443">
        <v>0.35</v>
      </c>
    </row>
    <row r="444" spans="1:4" x14ac:dyDescent="0.45">
      <c r="A444" t="s">
        <v>34</v>
      </c>
      <c r="B444">
        <v>2001</v>
      </c>
      <c r="C444" t="s">
        <v>76</v>
      </c>
      <c r="D444">
        <v>67.86</v>
      </c>
    </row>
    <row r="445" spans="1:4" x14ac:dyDescent="0.45">
      <c r="A445" t="s">
        <v>36</v>
      </c>
      <c r="B445">
        <v>2001</v>
      </c>
      <c r="C445" t="s">
        <v>76</v>
      </c>
      <c r="D445">
        <v>11.52</v>
      </c>
    </row>
    <row r="446" spans="1:4" x14ac:dyDescent="0.45">
      <c r="A446" t="s">
        <v>56</v>
      </c>
      <c r="B446">
        <v>2001</v>
      </c>
      <c r="C446" t="s">
        <v>76</v>
      </c>
      <c r="D446">
        <v>0.97</v>
      </c>
    </row>
    <row r="447" spans="1:4" x14ac:dyDescent="0.45">
      <c r="A447" t="s">
        <v>57</v>
      </c>
      <c r="B447">
        <v>2001</v>
      </c>
      <c r="C447" t="s">
        <v>76</v>
      </c>
      <c r="D447">
        <v>0.31</v>
      </c>
    </row>
    <row r="448" spans="1:4" x14ac:dyDescent="0.45">
      <c r="A448" t="s">
        <v>38</v>
      </c>
      <c r="B448">
        <v>2001</v>
      </c>
      <c r="C448" t="s">
        <v>76</v>
      </c>
      <c r="D448">
        <v>17.39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0.08</v>
      </c>
    </row>
    <row r="452" spans="1:4" x14ac:dyDescent="0.45">
      <c r="A452" t="s">
        <v>32</v>
      </c>
      <c r="B452">
        <v>2002</v>
      </c>
      <c r="C452" t="s">
        <v>76</v>
      </c>
      <c r="D452">
        <v>0.56000000000000005</v>
      </c>
    </row>
    <row r="453" spans="1:4" x14ac:dyDescent="0.45">
      <c r="A453" t="s">
        <v>34</v>
      </c>
      <c r="B453">
        <v>2002</v>
      </c>
      <c r="C453" t="s">
        <v>76</v>
      </c>
      <c r="D453">
        <v>78.34</v>
      </c>
    </row>
    <row r="454" spans="1:4" x14ac:dyDescent="0.45">
      <c r="A454" t="s">
        <v>36</v>
      </c>
      <c r="B454">
        <v>2002</v>
      </c>
      <c r="C454" t="s">
        <v>76</v>
      </c>
      <c r="D454">
        <v>15.97</v>
      </c>
    </row>
    <row r="455" spans="1:4" x14ac:dyDescent="0.45">
      <c r="A455" t="s">
        <v>56</v>
      </c>
      <c r="B455">
        <v>2002</v>
      </c>
      <c r="C455" t="s">
        <v>76</v>
      </c>
      <c r="D455">
        <v>0.5</v>
      </c>
    </row>
    <row r="456" spans="1:4" x14ac:dyDescent="0.45">
      <c r="A456" t="s">
        <v>57</v>
      </c>
      <c r="B456">
        <v>2002</v>
      </c>
      <c r="C456" t="s">
        <v>76</v>
      </c>
      <c r="D456">
        <v>0.3</v>
      </c>
    </row>
    <row r="457" spans="1:4" x14ac:dyDescent="0.45">
      <c r="A457" t="s">
        <v>38</v>
      </c>
      <c r="B457">
        <v>2002</v>
      </c>
      <c r="C457" t="s">
        <v>76</v>
      </c>
      <c r="D457">
        <v>19.84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0.11</v>
      </c>
    </row>
    <row r="461" spans="1:4" x14ac:dyDescent="0.45">
      <c r="A461" t="s">
        <v>32</v>
      </c>
      <c r="B461">
        <v>2003</v>
      </c>
      <c r="C461" t="s">
        <v>76</v>
      </c>
      <c r="D461">
        <v>0.69</v>
      </c>
    </row>
    <row r="462" spans="1:4" x14ac:dyDescent="0.45">
      <c r="A462" t="s">
        <v>34</v>
      </c>
      <c r="B462">
        <v>2003</v>
      </c>
      <c r="C462" t="s">
        <v>76</v>
      </c>
      <c r="D462">
        <v>72.11</v>
      </c>
    </row>
    <row r="463" spans="1:4" x14ac:dyDescent="0.45">
      <c r="A463" t="s">
        <v>36</v>
      </c>
      <c r="B463">
        <v>2003</v>
      </c>
      <c r="C463" t="s">
        <v>76</v>
      </c>
      <c r="D463">
        <v>19.41</v>
      </c>
    </row>
    <row r="464" spans="1:4" x14ac:dyDescent="0.45">
      <c r="A464" t="s">
        <v>56</v>
      </c>
      <c r="B464">
        <v>2003</v>
      </c>
      <c r="C464" t="s">
        <v>76</v>
      </c>
      <c r="D464">
        <v>0.96</v>
      </c>
    </row>
    <row r="465" spans="1:4" x14ac:dyDescent="0.45">
      <c r="A465" t="s">
        <v>57</v>
      </c>
      <c r="B465">
        <v>2003</v>
      </c>
      <c r="C465" t="s">
        <v>76</v>
      </c>
      <c r="D465">
        <v>0.3</v>
      </c>
    </row>
    <row r="466" spans="1:4" x14ac:dyDescent="0.45">
      <c r="A466" t="s">
        <v>38</v>
      </c>
      <c r="B466">
        <v>2003</v>
      </c>
      <c r="C466" t="s">
        <v>76</v>
      </c>
      <c r="D466">
        <v>16.829999999999998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0.15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76.31</v>
      </c>
    </row>
    <row r="472" spans="1:4" x14ac:dyDescent="0.45">
      <c r="A472" t="s">
        <v>36</v>
      </c>
      <c r="B472">
        <v>2004</v>
      </c>
      <c r="C472" t="s">
        <v>76</v>
      </c>
      <c r="D472">
        <v>27.34</v>
      </c>
    </row>
    <row r="473" spans="1:4" x14ac:dyDescent="0.45">
      <c r="A473" t="s">
        <v>56</v>
      </c>
      <c r="B473">
        <v>2004</v>
      </c>
      <c r="C473" t="s">
        <v>76</v>
      </c>
      <c r="D473">
        <v>0.74</v>
      </c>
    </row>
    <row r="474" spans="1:4" x14ac:dyDescent="0.45">
      <c r="A474" t="s">
        <v>57</v>
      </c>
      <c r="B474">
        <v>2004</v>
      </c>
      <c r="C474" t="s">
        <v>76</v>
      </c>
      <c r="D474">
        <v>0.31</v>
      </c>
    </row>
    <row r="475" spans="1:4" x14ac:dyDescent="0.45">
      <c r="A475" t="s">
        <v>38</v>
      </c>
      <c r="B475">
        <v>2004</v>
      </c>
      <c r="C475" t="s">
        <v>76</v>
      </c>
      <c r="D475">
        <v>18.63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0.19</v>
      </c>
    </row>
    <row r="479" spans="1:4" x14ac:dyDescent="0.45">
      <c r="A479" t="s">
        <v>32</v>
      </c>
      <c r="B479">
        <v>2005</v>
      </c>
      <c r="C479" t="s">
        <v>76</v>
      </c>
      <c r="D479">
        <v>0.56999999999999995</v>
      </c>
    </row>
    <row r="480" spans="1:4" x14ac:dyDescent="0.45">
      <c r="A480" t="s">
        <v>34</v>
      </c>
      <c r="B480">
        <v>2005</v>
      </c>
      <c r="C480" t="s">
        <v>76</v>
      </c>
      <c r="D480">
        <v>76.239999999999995</v>
      </c>
    </row>
    <row r="481" spans="1:4" x14ac:dyDescent="0.45">
      <c r="A481" t="s">
        <v>36</v>
      </c>
      <c r="B481">
        <v>2005</v>
      </c>
      <c r="C481" t="s">
        <v>76</v>
      </c>
      <c r="D481">
        <v>38.950000000000003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0.44</v>
      </c>
    </row>
    <row r="483" spans="1:4" x14ac:dyDescent="0.45">
      <c r="A483" t="s">
        <v>57</v>
      </c>
      <c r="B483">
        <v>2005</v>
      </c>
      <c r="C483" t="s">
        <v>76</v>
      </c>
      <c r="D483">
        <v>0.28000000000000003</v>
      </c>
    </row>
    <row r="484" spans="1:4" x14ac:dyDescent="0.45">
      <c r="A484" t="s">
        <v>38</v>
      </c>
      <c r="B484">
        <v>2005</v>
      </c>
      <c r="C484" t="s">
        <v>76</v>
      </c>
      <c r="D484">
        <v>20.78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0.26</v>
      </c>
    </row>
    <row r="488" spans="1:4" x14ac:dyDescent="0.45">
      <c r="A488" t="s">
        <v>32</v>
      </c>
      <c r="B488">
        <v>2006</v>
      </c>
      <c r="C488" t="s">
        <v>76</v>
      </c>
      <c r="D488">
        <v>0.6</v>
      </c>
    </row>
    <row r="489" spans="1:4" x14ac:dyDescent="0.45">
      <c r="A489" t="s">
        <v>34</v>
      </c>
      <c r="B489">
        <v>2006</v>
      </c>
      <c r="C489" t="s">
        <v>76</v>
      </c>
      <c r="D489">
        <v>64.36</v>
      </c>
    </row>
    <row r="490" spans="1:4" x14ac:dyDescent="0.45">
      <c r="A490" t="s">
        <v>36</v>
      </c>
      <c r="B490">
        <v>2006</v>
      </c>
      <c r="C490" t="s">
        <v>76</v>
      </c>
      <c r="D490">
        <v>44.65</v>
      </c>
    </row>
    <row r="491" spans="1:4" x14ac:dyDescent="0.45">
      <c r="A491" t="s">
        <v>56</v>
      </c>
      <c r="B491">
        <v>2006</v>
      </c>
      <c r="C491" t="s">
        <v>76</v>
      </c>
      <c r="D491">
        <v>0.62</v>
      </c>
    </row>
    <row r="492" spans="1:4" x14ac:dyDescent="0.45">
      <c r="A492" t="s">
        <v>57</v>
      </c>
      <c r="B492">
        <v>2006</v>
      </c>
      <c r="C492" t="s">
        <v>76</v>
      </c>
      <c r="D492">
        <v>0.28999999999999998</v>
      </c>
    </row>
    <row r="493" spans="1:4" x14ac:dyDescent="0.45">
      <c r="A493" t="s">
        <v>38</v>
      </c>
      <c r="B493">
        <v>2006</v>
      </c>
      <c r="C493" t="s">
        <v>76</v>
      </c>
      <c r="D493">
        <v>17.11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0.01</v>
      </c>
    </row>
    <row r="496" spans="1:4" x14ac:dyDescent="0.45">
      <c r="A496" t="s">
        <v>91</v>
      </c>
      <c r="B496">
        <v>2006</v>
      </c>
      <c r="C496" t="s">
        <v>76</v>
      </c>
      <c r="D496">
        <v>0.28999999999999998</v>
      </c>
    </row>
    <row r="497" spans="1:4" x14ac:dyDescent="0.45">
      <c r="A497" t="s">
        <v>32</v>
      </c>
      <c r="B497">
        <v>2007</v>
      </c>
      <c r="C497" t="s">
        <v>76</v>
      </c>
      <c r="D497">
        <v>0.63</v>
      </c>
    </row>
    <row r="498" spans="1:4" x14ac:dyDescent="0.45">
      <c r="A498" t="s">
        <v>34</v>
      </c>
      <c r="B498">
        <v>2007</v>
      </c>
      <c r="C498" t="s">
        <v>76</v>
      </c>
      <c r="D498">
        <v>70.099999999999994</v>
      </c>
    </row>
    <row r="499" spans="1:4" x14ac:dyDescent="0.45">
      <c r="A499" t="s">
        <v>36</v>
      </c>
      <c r="B499">
        <v>2007</v>
      </c>
      <c r="C499" t="s">
        <v>76</v>
      </c>
      <c r="D499">
        <v>46.74</v>
      </c>
    </row>
    <row r="500" spans="1:4" x14ac:dyDescent="0.45">
      <c r="A500" t="s">
        <v>56</v>
      </c>
      <c r="B500">
        <v>2007</v>
      </c>
      <c r="C500" t="s">
        <v>76</v>
      </c>
      <c r="D500">
        <v>0.65</v>
      </c>
    </row>
    <row r="501" spans="1:4" x14ac:dyDescent="0.45">
      <c r="A501" t="s">
        <v>57</v>
      </c>
      <c r="B501">
        <v>2007</v>
      </c>
      <c r="C501" t="s">
        <v>76</v>
      </c>
      <c r="D501">
        <v>0.27</v>
      </c>
    </row>
    <row r="502" spans="1:4" x14ac:dyDescent="0.45">
      <c r="A502" t="s">
        <v>38</v>
      </c>
      <c r="B502">
        <v>2007</v>
      </c>
      <c r="C502" t="s">
        <v>76</v>
      </c>
      <c r="D502">
        <v>13.73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0.02</v>
      </c>
    </row>
    <row r="505" spans="1:4" x14ac:dyDescent="0.45">
      <c r="A505" t="s">
        <v>91</v>
      </c>
      <c r="B505">
        <v>2007</v>
      </c>
      <c r="C505" t="s">
        <v>76</v>
      </c>
      <c r="D505">
        <v>0.34</v>
      </c>
    </row>
    <row r="506" spans="1:4" x14ac:dyDescent="0.45">
      <c r="A506" t="s">
        <v>32</v>
      </c>
      <c r="B506">
        <v>2008</v>
      </c>
      <c r="C506" t="s">
        <v>76</v>
      </c>
      <c r="D506">
        <v>0.7</v>
      </c>
    </row>
    <row r="507" spans="1:4" x14ac:dyDescent="0.45">
      <c r="A507" t="s">
        <v>34</v>
      </c>
      <c r="B507">
        <v>2008</v>
      </c>
      <c r="C507" t="s">
        <v>76</v>
      </c>
      <c r="D507">
        <v>46.68</v>
      </c>
    </row>
    <row r="508" spans="1:4" x14ac:dyDescent="0.45">
      <c r="A508" t="s">
        <v>36</v>
      </c>
      <c r="B508">
        <v>2008</v>
      </c>
      <c r="C508" t="s">
        <v>76</v>
      </c>
      <c r="D508">
        <v>59.55</v>
      </c>
    </row>
    <row r="509" spans="1:4" x14ac:dyDescent="0.45">
      <c r="A509" t="s">
        <v>56</v>
      </c>
      <c r="B509">
        <v>2008</v>
      </c>
      <c r="C509" t="s">
        <v>76</v>
      </c>
      <c r="D509">
        <v>0.56000000000000005</v>
      </c>
    </row>
    <row r="510" spans="1:4" x14ac:dyDescent="0.45">
      <c r="A510" t="s">
        <v>57</v>
      </c>
      <c r="B510">
        <v>2008</v>
      </c>
      <c r="C510" t="s">
        <v>76</v>
      </c>
      <c r="D510">
        <v>0.28000000000000003</v>
      </c>
    </row>
    <row r="511" spans="1:4" x14ac:dyDescent="0.45">
      <c r="A511" t="s">
        <v>38</v>
      </c>
      <c r="B511">
        <v>2008</v>
      </c>
      <c r="C511" t="s">
        <v>76</v>
      </c>
      <c r="D511">
        <v>12.61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0.12</v>
      </c>
    </row>
    <row r="514" spans="1:4" x14ac:dyDescent="0.45">
      <c r="A514" t="s">
        <v>91</v>
      </c>
      <c r="B514">
        <v>2008</v>
      </c>
      <c r="C514" t="s">
        <v>76</v>
      </c>
      <c r="D514">
        <v>0.4</v>
      </c>
    </row>
    <row r="515" spans="1:4" x14ac:dyDescent="0.45">
      <c r="A515" t="s">
        <v>32</v>
      </c>
      <c r="B515">
        <v>2009</v>
      </c>
      <c r="C515" t="s">
        <v>76</v>
      </c>
      <c r="D515">
        <v>0.75</v>
      </c>
    </row>
    <row r="516" spans="1:4" x14ac:dyDescent="0.45">
      <c r="A516" t="s">
        <v>34</v>
      </c>
      <c r="B516">
        <v>2009</v>
      </c>
      <c r="C516" t="s">
        <v>76</v>
      </c>
      <c r="D516">
        <v>34.409999999999997</v>
      </c>
    </row>
    <row r="517" spans="1:4" x14ac:dyDescent="0.45">
      <c r="A517" t="s">
        <v>36</v>
      </c>
      <c r="B517">
        <v>2009</v>
      </c>
      <c r="C517" t="s">
        <v>76</v>
      </c>
      <c r="D517">
        <v>53.12</v>
      </c>
    </row>
    <row r="518" spans="1:4" x14ac:dyDescent="0.45">
      <c r="A518" t="s">
        <v>56</v>
      </c>
      <c r="B518">
        <v>2009</v>
      </c>
      <c r="C518" t="s">
        <v>76</v>
      </c>
      <c r="D518">
        <v>0.63</v>
      </c>
    </row>
    <row r="519" spans="1:4" x14ac:dyDescent="0.45">
      <c r="A519" t="s">
        <v>57</v>
      </c>
      <c r="B519">
        <v>2009</v>
      </c>
      <c r="C519" t="s">
        <v>76</v>
      </c>
      <c r="D519">
        <v>0.25</v>
      </c>
    </row>
    <row r="520" spans="1:4" x14ac:dyDescent="0.45">
      <c r="A520" t="s">
        <v>38</v>
      </c>
      <c r="B520">
        <v>2009</v>
      </c>
      <c r="C520" t="s">
        <v>76</v>
      </c>
      <c r="D520">
        <v>13.3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0.28999999999999998</v>
      </c>
    </row>
    <row r="523" spans="1:4" x14ac:dyDescent="0.45">
      <c r="A523" t="s">
        <v>91</v>
      </c>
      <c r="B523">
        <v>2009</v>
      </c>
      <c r="C523" t="s">
        <v>76</v>
      </c>
      <c r="D523">
        <v>0.47</v>
      </c>
    </row>
    <row r="524" spans="1:4" x14ac:dyDescent="0.45">
      <c r="A524" t="s">
        <v>32</v>
      </c>
      <c r="B524">
        <v>2010</v>
      </c>
      <c r="C524" t="s">
        <v>76</v>
      </c>
      <c r="D524">
        <v>0.87</v>
      </c>
    </row>
    <row r="525" spans="1:4" x14ac:dyDescent="0.45">
      <c r="A525" t="s">
        <v>34</v>
      </c>
      <c r="B525">
        <v>2010</v>
      </c>
      <c r="C525" t="s">
        <v>76</v>
      </c>
      <c r="D525">
        <v>24.27</v>
      </c>
    </row>
    <row r="526" spans="1:4" x14ac:dyDescent="0.45">
      <c r="A526" t="s">
        <v>36</v>
      </c>
      <c r="B526">
        <v>2010</v>
      </c>
      <c r="C526" t="s">
        <v>76</v>
      </c>
      <c r="D526">
        <v>46.76</v>
      </c>
    </row>
    <row r="527" spans="1:4" x14ac:dyDescent="0.45">
      <c r="A527" t="s">
        <v>56</v>
      </c>
      <c r="B527">
        <v>2010</v>
      </c>
      <c r="C527" t="s">
        <v>76</v>
      </c>
      <c r="D527">
        <v>1.01</v>
      </c>
    </row>
    <row r="528" spans="1:4" x14ac:dyDescent="0.45">
      <c r="A528" t="s">
        <v>57</v>
      </c>
      <c r="B528">
        <v>2010</v>
      </c>
      <c r="C528" t="s">
        <v>76</v>
      </c>
      <c r="D528">
        <v>0.3</v>
      </c>
    </row>
    <row r="529" spans="1:4" x14ac:dyDescent="0.45">
      <c r="A529" t="s">
        <v>38</v>
      </c>
      <c r="B529">
        <v>2010</v>
      </c>
      <c r="C529" t="s">
        <v>76</v>
      </c>
      <c r="D529">
        <v>11.75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0.34</v>
      </c>
    </row>
    <row r="532" spans="1:4" x14ac:dyDescent="0.45">
      <c r="A532" t="s">
        <v>91</v>
      </c>
      <c r="B532">
        <v>2010</v>
      </c>
      <c r="C532" t="s">
        <v>76</v>
      </c>
      <c r="D532">
        <v>0.54</v>
      </c>
    </row>
    <row r="533" spans="1:4" x14ac:dyDescent="0.45">
      <c r="A533" t="s">
        <v>32</v>
      </c>
      <c r="B533">
        <v>2011</v>
      </c>
      <c r="C533" t="s">
        <v>76</v>
      </c>
      <c r="D533">
        <v>1</v>
      </c>
    </row>
    <row r="534" spans="1:4" x14ac:dyDescent="0.45">
      <c r="A534" t="s">
        <v>34</v>
      </c>
      <c r="B534">
        <v>2011</v>
      </c>
      <c r="C534" t="s">
        <v>76</v>
      </c>
      <c r="D534">
        <v>42.14</v>
      </c>
    </row>
    <row r="535" spans="1:4" x14ac:dyDescent="0.45">
      <c r="A535" t="s">
        <v>36</v>
      </c>
      <c r="B535">
        <v>2011</v>
      </c>
      <c r="C535" t="s">
        <v>76</v>
      </c>
      <c r="D535">
        <v>42.16</v>
      </c>
    </row>
    <row r="536" spans="1:4" x14ac:dyDescent="0.45">
      <c r="A536" t="s">
        <v>56</v>
      </c>
      <c r="B536">
        <v>2011</v>
      </c>
      <c r="C536" t="s">
        <v>76</v>
      </c>
      <c r="D536">
        <v>0.73</v>
      </c>
    </row>
    <row r="537" spans="1:4" x14ac:dyDescent="0.45">
      <c r="A537" t="s">
        <v>57</v>
      </c>
      <c r="B537">
        <v>2011</v>
      </c>
      <c r="C537" t="s">
        <v>76</v>
      </c>
      <c r="D537">
        <v>0.28000000000000003</v>
      </c>
    </row>
    <row r="538" spans="1:4" x14ac:dyDescent="0.45">
      <c r="A538" t="s">
        <v>38</v>
      </c>
      <c r="B538">
        <v>2011</v>
      </c>
      <c r="C538" t="s">
        <v>76</v>
      </c>
      <c r="D538">
        <v>11.05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0.45</v>
      </c>
    </row>
    <row r="541" spans="1:4" x14ac:dyDescent="0.45">
      <c r="A541" t="s">
        <v>91</v>
      </c>
      <c r="B541">
        <v>2011</v>
      </c>
      <c r="C541" t="s">
        <v>76</v>
      </c>
      <c r="D541">
        <v>0.53</v>
      </c>
    </row>
    <row r="542" spans="1:4" x14ac:dyDescent="0.45">
      <c r="A542" t="s">
        <v>32</v>
      </c>
      <c r="B542">
        <v>2012</v>
      </c>
      <c r="C542" t="s">
        <v>76</v>
      </c>
      <c r="D542">
        <v>1.08</v>
      </c>
    </row>
    <row r="543" spans="1:4" x14ac:dyDescent="0.45">
      <c r="A543" t="s">
        <v>34</v>
      </c>
      <c r="B543">
        <v>2012</v>
      </c>
      <c r="C543" t="s">
        <v>76</v>
      </c>
      <c r="D543">
        <v>52.76</v>
      </c>
    </row>
    <row r="544" spans="1:4" x14ac:dyDescent="0.45">
      <c r="A544" t="s">
        <v>36</v>
      </c>
      <c r="B544">
        <v>2012</v>
      </c>
      <c r="C544" t="s">
        <v>76</v>
      </c>
      <c r="D544">
        <v>36.14</v>
      </c>
    </row>
    <row r="545" spans="1:4" x14ac:dyDescent="0.45">
      <c r="A545" t="s">
        <v>56</v>
      </c>
      <c r="B545">
        <v>2012</v>
      </c>
      <c r="C545" t="s">
        <v>76</v>
      </c>
      <c r="D545">
        <v>0.49</v>
      </c>
    </row>
    <row r="546" spans="1:4" x14ac:dyDescent="0.45">
      <c r="A546" t="s">
        <v>57</v>
      </c>
      <c r="B546">
        <v>2012</v>
      </c>
      <c r="C546" t="s">
        <v>76</v>
      </c>
      <c r="D546">
        <v>0.3</v>
      </c>
    </row>
    <row r="547" spans="1:4" x14ac:dyDescent="0.45">
      <c r="A547" t="s">
        <v>38</v>
      </c>
      <c r="B547">
        <v>2012</v>
      </c>
      <c r="C547" t="s">
        <v>76</v>
      </c>
      <c r="D547">
        <v>11.27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0.56999999999999995</v>
      </c>
    </row>
    <row r="550" spans="1:4" x14ac:dyDescent="0.45">
      <c r="A550" t="s">
        <v>91</v>
      </c>
      <c r="B550">
        <v>2012</v>
      </c>
      <c r="C550" t="s">
        <v>76</v>
      </c>
      <c r="D550">
        <v>0.61</v>
      </c>
    </row>
    <row r="551" spans="1:4" x14ac:dyDescent="0.45">
      <c r="A551" t="s">
        <v>32</v>
      </c>
      <c r="B551">
        <v>2013</v>
      </c>
      <c r="C551" t="s">
        <v>76</v>
      </c>
      <c r="D551">
        <v>1.25</v>
      </c>
    </row>
    <row r="552" spans="1:4" x14ac:dyDescent="0.45">
      <c r="A552" t="s">
        <v>34</v>
      </c>
      <c r="B552">
        <v>2013</v>
      </c>
      <c r="C552" t="s">
        <v>76</v>
      </c>
      <c r="D552">
        <v>38.26</v>
      </c>
    </row>
    <row r="553" spans="1:4" x14ac:dyDescent="0.45">
      <c r="A553" t="s">
        <v>36</v>
      </c>
      <c r="B553">
        <v>2013</v>
      </c>
      <c r="C553" t="s">
        <v>76</v>
      </c>
      <c r="D553">
        <v>28.37</v>
      </c>
    </row>
    <row r="554" spans="1:4" x14ac:dyDescent="0.45">
      <c r="A554" t="s">
        <v>56</v>
      </c>
      <c r="B554">
        <v>2013</v>
      </c>
      <c r="C554" t="s">
        <v>76</v>
      </c>
      <c r="D554">
        <v>0.88</v>
      </c>
    </row>
    <row r="555" spans="1:4" x14ac:dyDescent="0.45">
      <c r="A555" t="s">
        <v>57</v>
      </c>
      <c r="B555">
        <v>2013</v>
      </c>
      <c r="C555" t="s">
        <v>76</v>
      </c>
      <c r="D555">
        <v>0.27</v>
      </c>
    </row>
    <row r="556" spans="1:4" x14ac:dyDescent="0.45">
      <c r="A556" t="s">
        <v>38</v>
      </c>
      <c r="B556">
        <v>2013</v>
      </c>
      <c r="C556" t="s">
        <v>76</v>
      </c>
      <c r="D556">
        <v>10.42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0.62</v>
      </c>
    </row>
    <row r="559" spans="1:4" x14ac:dyDescent="0.45">
      <c r="A559" t="s">
        <v>91</v>
      </c>
      <c r="B559">
        <v>2013</v>
      </c>
      <c r="C559" t="s">
        <v>76</v>
      </c>
      <c r="D559">
        <v>0.68</v>
      </c>
    </row>
    <row r="560" spans="1:4" x14ac:dyDescent="0.45">
      <c r="A560" t="s">
        <v>32</v>
      </c>
      <c r="B560">
        <v>2014</v>
      </c>
      <c r="C560" t="s">
        <v>76</v>
      </c>
      <c r="D560">
        <v>1.17</v>
      </c>
    </row>
    <row r="561" spans="1:4" x14ac:dyDescent="0.45">
      <c r="A561" t="s">
        <v>34</v>
      </c>
      <c r="B561">
        <v>2014</v>
      </c>
      <c r="C561" t="s">
        <v>76</v>
      </c>
      <c r="D561">
        <v>41.96</v>
      </c>
    </row>
    <row r="562" spans="1:4" x14ac:dyDescent="0.45">
      <c r="A562" t="s">
        <v>36</v>
      </c>
      <c r="B562">
        <v>2014</v>
      </c>
      <c r="C562" t="s">
        <v>76</v>
      </c>
      <c r="D562">
        <v>23.3</v>
      </c>
    </row>
    <row r="563" spans="1:4" x14ac:dyDescent="0.45">
      <c r="A563" t="s">
        <v>56</v>
      </c>
      <c r="B563">
        <v>2014</v>
      </c>
      <c r="C563" t="s">
        <v>76</v>
      </c>
      <c r="D563">
        <v>0.93</v>
      </c>
    </row>
    <row r="564" spans="1:4" x14ac:dyDescent="0.45">
      <c r="A564" t="s">
        <v>57</v>
      </c>
      <c r="B564">
        <v>2014</v>
      </c>
      <c r="C564" t="s">
        <v>76</v>
      </c>
      <c r="D564">
        <v>0.28000000000000003</v>
      </c>
    </row>
    <row r="565" spans="1:4" x14ac:dyDescent="0.45">
      <c r="A565" t="s">
        <v>38</v>
      </c>
      <c r="B565">
        <v>2014</v>
      </c>
      <c r="C565" t="s">
        <v>76</v>
      </c>
      <c r="D565">
        <v>10.39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0.65</v>
      </c>
    </row>
    <row r="568" spans="1:4" x14ac:dyDescent="0.45">
      <c r="A568" t="s">
        <v>91</v>
      </c>
      <c r="B568">
        <v>2014</v>
      </c>
      <c r="C568" t="s">
        <v>76</v>
      </c>
      <c r="D568">
        <v>0.64</v>
      </c>
    </row>
    <row r="569" spans="1:4" x14ac:dyDescent="0.45">
      <c r="A569" t="s">
        <v>32</v>
      </c>
      <c r="B569">
        <v>2015</v>
      </c>
      <c r="C569" t="s">
        <v>76</v>
      </c>
      <c r="D569">
        <v>1.25</v>
      </c>
    </row>
    <row r="570" spans="1:4" x14ac:dyDescent="0.45">
      <c r="A570" t="s">
        <v>34</v>
      </c>
      <c r="B570">
        <v>2015</v>
      </c>
      <c r="C570" t="s">
        <v>76</v>
      </c>
      <c r="D570">
        <v>49.19</v>
      </c>
    </row>
    <row r="571" spans="1:4" x14ac:dyDescent="0.45">
      <c r="A571" t="s">
        <v>36</v>
      </c>
      <c r="B571">
        <v>2015</v>
      </c>
      <c r="C571" t="s">
        <v>76</v>
      </c>
      <c r="D571">
        <v>25.88</v>
      </c>
    </row>
    <row r="572" spans="1:4" x14ac:dyDescent="0.45">
      <c r="A572" t="s">
        <v>56</v>
      </c>
      <c r="B572">
        <v>2015</v>
      </c>
      <c r="C572" t="s">
        <v>76</v>
      </c>
      <c r="D572">
        <v>0.67</v>
      </c>
    </row>
    <row r="573" spans="1:4" x14ac:dyDescent="0.45">
      <c r="A573" t="s">
        <v>57</v>
      </c>
      <c r="B573">
        <v>2015</v>
      </c>
      <c r="C573" t="s">
        <v>76</v>
      </c>
      <c r="D573">
        <v>0.28000000000000003</v>
      </c>
    </row>
    <row r="574" spans="1:4" x14ac:dyDescent="0.45">
      <c r="A574" t="s">
        <v>38</v>
      </c>
      <c r="B574">
        <v>2015</v>
      </c>
      <c r="C574" t="s">
        <v>76</v>
      </c>
      <c r="D574">
        <v>12.52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0.66</v>
      </c>
    </row>
    <row r="577" spans="1:4" x14ac:dyDescent="0.45">
      <c r="A577" t="s">
        <v>91</v>
      </c>
      <c r="B577">
        <v>2015</v>
      </c>
      <c r="C577" t="s">
        <v>76</v>
      </c>
      <c r="D577">
        <v>0.61</v>
      </c>
    </row>
    <row r="578" spans="1:4" x14ac:dyDescent="0.45">
      <c r="A578" t="s">
        <v>32</v>
      </c>
      <c r="B578">
        <v>2016</v>
      </c>
      <c r="C578" t="s">
        <v>76</v>
      </c>
      <c r="D578">
        <v>1.23</v>
      </c>
    </row>
    <row r="579" spans="1:4" x14ac:dyDescent="0.45">
      <c r="A579" t="s">
        <v>34</v>
      </c>
      <c r="B579">
        <v>2016</v>
      </c>
      <c r="C579" t="s">
        <v>76</v>
      </c>
      <c r="D579">
        <v>34.97</v>
      </c>
    </row>
    <row r="580" spans="1:4" x14ac:dyDescent="0.45">
      <c r="A580" t="s">
        <v>36</v>
      </c>
      <c r="B580">
        <v>2016</v>
      </c>
      <c r="C580" t="s">
        <v>76</v>
      </c>
      <c r="D580">
        <v>26.04</v>
      </c>
    </row>
    <row r="581" spans="1:4" x14ac:dyDescent="0.45">
      <c r="A581" t="s">
        <v>56</v>
      </c>
      <c r="B581">
        <v>2016</v>
      </c>
      <c r="C581" t="s">
        <v>76</v>
      </c>
      <c r="D581">
        <v>0.86</v>
      </c>
    </row>
    <row r="582" spans="1:4" x14ac:dyDescent="0.45">
      <c r="A582" t="s">
        <v>57</v>
      </c>
      <c r="B582">
        <v>2016</v>
      </c>
      <c r="C582" t="s">
        <v>76</v>
      </c>
      <c r="D582">
        <v>0.28000000000000003</v>
      </c>
    </row>
    <row r="583" spans="1:4" x14ac:dyDescent="0.45">
      <c r="A583" t="s">
        <v>38</v>
      </c>
      <c r="B583">
        <v>2016</v>
      </c>
      <c r="C583" t="s">
        <v>76</v>
      </c>
      <c r="D583">
        <v>11.96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0.65</v>
      </c>
    </row>
    <row r="586" spans="1:4" x14ac:dyDescent="0.45">
      <c r="A586" t="s">
        <v>91</v>
      </c>
      <c r="B586">
        <v>2016</v>
      </c>
      <c r="C586" t="s">
        <v>76</v>
      </c>
      <c r="D586">
        <v>0.6</v>
      </c>
    </row>
    <row r="587" spans="1:4" x14ac:dyDescent="0.45">
      <c r="A587" t="s">
        <v>32</v>
      </c>
      <c r="B587">
        <v>2017</v>
      </c>
      <c r="C587" t="s">
        <v>76</v>
      </c>
      <c r="D587">
        <v>1.31</v>
      </c>
    </row>
    <row r="588" spans="1:4" x14ac:dyDescent="0.45">
      <c r="A588" t="s">
        <v>34</v>
      </c>
      <c r="B588">
        <v>2017</v>
      </c>
      <c r="C588" t="s">
        <v>76</v>
      </c>
      <c r="D588">
        <v>43.45</v>
      </c>
    </row>
    <row r="589" spans="1:4" x14ac:dyDescent="0.45">
      <c r="A589" t="s">
        <v>36</v>
      </c>
      <c r="B589">
        <v>2017</v>
      </c>
      <c r="C589" t="s">
        <v>76</v>
      </c>
      <c r="D589">
        <v>31.57</v>
      </c>
    </row>
    <row r="590" spans="1:4" x14ac:dyDescent="0.45">
      <c r="A590" t="s">
        <v>56</v>
      </c>
      <c r="B590">
        <v>2017</v>
      </c>
      <c r="C590" t="s">
        <v>76</v>
      </c>
      <c r="D590">
        <v>0.44</v>
      </c>
    </row>
    <row r="591" spans="1:4" x14ac:dyDescent="0.45">
      <c r="A591" t="s">
        <v>57</v>
      </c>
      <c r="B591">
        <v>2017</v>
      </c>
      <c r="C591" t="s">
        <v>76</v>
      </c>
      <c r="D591">
        <v>0.28000000000000003</v>
      </c>
    </row>
    <row r="592" spans="1:4" x14ac:dyDescent="0.45">
      <c r="A592" t="s">
        <v>38</v>
      </c>
      <c r="B592">
        <v>2017</v>
      </c>
      <c r="C592" t="s">
        <v>76</v>
      </c>
      <c r="D592">
        <v>11.34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0.68</v>
      </c>
    </row>
    <row r="595" spans="1:4" x14ac:dyDescent="0.45">
      <c r="A595" t="s">
        <v>91</v>
      </c>
      <c r="B595">
        <v>2017</v>
      </c>
      <c r="C595" t="s">
        <v>76</v>
      </c>
      <c r="D595">
        <v>0.6</v>
      </c>
    </row>
    <row r="596" spans="1:4" x14ac:dyDescent="0.45">
      <c r="A596" t="s">
        <v>32</v>
      </c>
      <c r="B596">
        <v>2018</v>
      </c>
      <c r="C596" t="s">
        <v>76</v>
      </c>
      <c r="D596">
        <v>1.28</v>
      </c>
    </row>
    <row r="597" spans="1:4" x14ac:dyDescent="0.45">
      <c r="A597" t="s">
        <v>34</v>
      </c>
      <c r="B597">
        <v>2018</v>
      </c>
      <c r="C597" t="s">
        <v>76</v>
      </c>
      <c r="D597">
        <v>35.950000000000003</v>
      </c>
    </row>
    <row r="598" spans="1:4" x14ac:dyDescent="0.45">
      <c r="A598" t="s">
        <v>36</v>
      </c>
      <c r="B598">
        <v>2018</v>
      </c>
      <c r="C598" t="s">
        <v>76</v>
      </c>
      <c r="D598">
        <v>28.59</v>
      </c>
    </row>
    <row r="599" spans="1:4" x14ac:dyDescent="0.45">
      <c r="A599" t="s">
        <v>56</v>
      </c>
      <c r="B599">
        <v>2018</v>
      </c>
      <c r="C599" t="s">
        <v>76</v>
      </c>
      <c r="D599">
        <v>0.82</v>
      </c>
    </row>
    <row r="600" spans="1:4" x14ac:dyDescent="0.45">
      <c r="A600" t="s">
        <v>57</v>
      </c>
      <c r="B600">
        <v>2018</v>
      </c>
      <c r="C600" t="s">
        <v>76</v>
      </c>
      <c r="D600">
        <v>0.27</v>
      </c>
    </row>
    <row r="601" spans="1:4" x14ac:dyDescent="0.45">
      <c r="A601" t="s">
        <v>38</v>
      </c>
      <c r="B601">
        <v>2018</v>
      </c>
      <c r="C601" t="s">
        <v>76</v>
      </c>
      <c r="D601">
        <v>10.8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0.61</v>
      </c>
    </row>
    <row r="604" spans="1:4" x14ac:dyDescent="0.45">
      <c r="A604" t="s">
        <v>91</v>
      </c>
      <c r="B604">
        <v>2018</v>
      </c>
      <c r="C604" t="s">
        <v>76</v>
      </c>
      <c r="D604">
        <v>0.62</v>
      </c>
    </row>
    <row r="605" spans="1:4" x14ac:dyDescent="0.45">
      <c r="A605" t="s">
        <v>32</v>
      </c>
      <c r="B605">
        <v>2019</v>
      </c>
      <c r="C605" t="s">
        <v>76</v>
      </c>
      <c r="D605">
        <v>1.2</v>
      </c>
    </row>
    <row r="606" spans="1:4" x14ac:dyDescent="0.45">
      <c r="A606" t="s">
        <v>34</v>
      </c>
      <c r="B606">
        <v>2019</v>
      </c>
      <c r="C606" t="s">
        <v>76</v>
      </c>
      <c r="D606">
        <v>12.38</v>
      </c>
    </row>
    <row r="607" spans="1:4" x14ac:dyDescent="0.45">
      <c r="A607" t="s">
        <v>36</v>
      </c>
      <c r="B607">
        <v>2019</v>
      </c>
      <c r="C607" t="s">
        <v>76</v>
      </c>
      <c r="D607">
        <v>41.27</v>
      </c>
    </row>
    <row r="608" spans="1:4" x14ac:dyDescent="0.45">
      <c r="A608" t="s">
        <v>56</v>
      </c>
      <c r="B608">
        <v>2019</v>
      </c>
      <c r="C608" t="s">
        <v>76</v>
      </c>
      <c r="D608">
        <v>0.59</v>
      </c>
    </row>
    <row r="609" spans="1:4" x14ac:dyDescent="0.45">
      <c r="A609" t="s">
        <v>57</v>
      </c>
      <c r="B609">
        <v>2019</v>
      </c>
      <c r="C609" t="s">
        <v>76</v>
      </c>
      <c r="D609">
        <v>0.28000000000000003</v>
      </c>
    </row>
    <row r="610" spans="1:4" x14ac:dyDescent="0.45">
      <c r="A610" t="s">
        <v>38</v>
      </c>
      <c r="B610">
        <v>2019</v>
      </c>
      <c r="C610" t="s">
        <v>76</v>
      </c>
      <c r="D610">
        <v>9.61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0.72</v>
      </c>
    </row>
    <row r="613" spans="1:4" x14ac:dyDescent="0.45">
      <c r="A613" t="s">
        <v>91</v>
      </c>
      <c r="B613">
        <v>2019</v>
      </c>
      <c r="C613" t="s">
        <v>76</v>
      </c>
      <c r="D613">
        <v>0.68</v>
      </c>
    </row>
    <row r="614" spans="1:4" x14ac:dyDescent="0.45">
      <c r="A614" t="s">
        <v>32</v>
      </c>
      <c r="B614">
        <v>2020</v>
      </c>
      <c r="C614" t="s">
        <v>76</v>
      </c>
      <c r="D614">
        <v>1.33</v>
      </c>
    </row>
    <row r="615" spans="1:4" x14ac:dyDescent="0.45">
      <c r="A615" t="s">
        <v>34</v>
      </c>
      <c r="B615">
        <v>2020</v>
      </c>
      <c r="C615" t="s">
        <v>76</v>
      </c>
      <c r="D615">
        <v>5.31</v>
      </c>
    </row>
    <row r="616" spans="1:4" x14ac:dyDescent="0.45">
      <c r="A616" t="s">
        <v>36</v>
      </c>
      <c r="B616">
        <v>2020</v>
      </c>
      <c r="C616" t="s">
        <v>76</v>
      </c>
      <c r="D616">
        <v>34.380000000000003</v>
      </c>
    </row>
    <row r="617" spans="1:4" x14ac:dyDescent="0.45">
      <c r="A617" t="s">
        <v>56</v>
      </c>
      <c r="B617">
        <v>2020</v>
      </c>
      <c r="C617" t="s">
        <v>76</v>
      </c>
      <c r="D617">
        <v>0.72</v>
      </c>
    </row>
    <row r="618" spans="1:4" x14ac:dyDescent="0.45">
      <c r="A618" t="s">
        <v>57</v>
      </c>
      <c r="B618">
        <v>2020</v>
      </c>
      <c r="C618" t="s">
        <v>76</v>
      </c>
      <c r="D618">
        <v>0.28000000000000003</v>
      </c>
    </row>
    <row r="619" spans="1:4" x14ac:dyDescent="0.45">
      <c r="A619" t="s">
        <v>38</v>
      </c>
      <c r="B619">
        <v>2020</v>
      </c>
      <c r="C619" t="s">
        <v>76</v>
      </c>
      <c r="D619">
        <v>7.97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0.98</v>
      </c>
    </row>
    <row r="622" spans="1:4" x14ac:dyDescent="0.45">
      <c r="A622" t="s">
        <v>91</v>
      </c>
      <c r="B622">
        <v>2020</v>
      </c>
      <c r="C622" t="s">
        <v>76</v>
      </c>
      <c r="D622">
        <v>0.69</v>
      </c>
    </row>
    <row r="623" spans="1:4" x14ac:dyDescent="0.45">
      <c r="A623" t="s">
        <v>32</v>
      </c>
      <c r="B623">
        <v>2021</v>
      </c>
      <c r="C623" t="s">
        <v>76</v>
      </c>
      <c r="D623">
        <v>1.5</v>
      </c>
    </row>
    <row r="624" spans="1:4" x14ac:dyDescent="0.45">
      <c r="A624" t="s">
        <v>34</v>
      </c>
      <c r="B624">
        <v>2021</v>
      </c>
      <c r="C624" t="s">
        <v>76</v>
      </c>
      <c r="D624">
        <v>4.68</v>
      </c>
    </row>
    <row r="625" spans="1:4" x14ac:dyDescent="0.45">
      <c r="A625" t="s">
        <v>36</v>
      </c>
      <c r="B625">
        <v>2021</v>
      </c>
      <c r="C625" t="s">
        <v>76</v>
      </c>
      <c r="D625">
        <v>35.25</v>
      </c>
    </row>
    <row r="626" spans="1:4" x14ac:dyDescent="0.45">
      <c r="A626" t="s">
        <v>56</v>
      </c>
      <c r="B626">
        <v>2021</v>
      </c>
      <c r="C626" t="s">
        <v>76</v>
      </c>
      <c r="D626">
        <v>0.7</v>
      </c>
    </row>
    <row r="627" spans="1:4" x14ac:dyDescent="0.45">
      <c r="A627" t="s">
        <v>57</v>
      </c>
      <c r="B627">
        <v>2021</v>
      </c>
      <c r="C627" t="s">
        <v>76</v>
      </c>
      <c r="D627">
        <v>0.27</v>
      </c>
    </row>
    <row r="628" spans="1:4" x14ac:dyDescent="0.45">
      <c r="A628" t="s">
        <v>38</v>
      </c>
      <c r="B628">
        <v>2021</v>
      </c>
      <c r="C628" t="s">
        <v>76</v>
      </c>
      <c r="D628">
        <v>7.95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1.29</v>
      </c>
    </row>
    <row r="631" spans="1:4" x14ac:dyDescent="0.45">
      <c r="A631" t="s">
        <v>91</v>
      </c>
      <c r="B631">
        <v>2021</v>
      </c>
      <c r="C631" t="s">
        <v>76</v>
      </c>
      <c r="D631">
        <v>0.76</v>
      </c>
    </row>
    <row r="632" spans="1:4" x14ac:dyDescent="0.45">
      <c r="A632" t="s">
        <v>32</v>
      </c>
      <c r="B632">
        <v>2022</v>
      </c>
      <c r="C632" t="s">
        <v>76</v>
      </c>
      <c r="D632">
        <v>1.47</v>
      </c>
    </row>
    <row r="633" spans="1:4" x14ac:dyDescent="0.45">
      <c r="A633" t="s">
        <v>34</v>
      </c>
      <c r="B633">
        <v>2022</v>
      </c>
      <c r="C633" t="s">
        <v>76</v>
      </c>
      <c r="D633">
        <v>7.57</v>
      </c>
    </row>
    <row r="634" spans="1:4" x14ac:dyDescent="0.45">
      <c r="A634" t="s">
        <v>36</v>
      </c>
      <c r="B634">
        <v>2022</v>
      </c>
      <c r="C634" t="s">
        <v>76</v>
      </c>
      <c r="D634">
        <v>42.45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0.28000000000000003</v>
      </c>
    </row>
    <row r="637" spans="1:4" x14ac:dyDescent="0.45">
      <c r="A637" t="s">
        <v>38</v>
      </c>
      <c r="B637">
        <v>2022</v>
      </c>
      <c r="C637" t="s">
        <v>76</v>
      </c>
      <c r="D637">
        <v>7.69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1.7</v>
      </c>
    </row>
    <row r="640" spans="1:4" x14ac:dyDescent="0.45">
      <c r="A640" t="s">
        <v>91</v>
      </c>
      <c r="B640">
        <v>2022</v>
      </c>
      <c r="C640" t="s">
        <v>76</v>
      </c>
      <c r="D640">
        <v>0.76</v>
      </c>
    </row>
    <row r="641" spans="1:4" x14ac:dyDescent="0.45">
      <c r="A641" t="s">
        <v>32</v>
      </c>
      <c r="B641">
        <v>2023</v>
      </c>
      <c r="C641" t="s">
        <v>76</v>
      </c>
      <c r="D641">
        <v>1.27</v>
      </c>
    </row>
    <row r="642" spans="1:4" x14ac:dyDescent="0.45">
      <c r="A642" t="s">
        <v>34</v>
      </c>
      <c r="B642">
        <v>2023</v>
      </c>
      <c r="C642" t="s">
        <v>76</v>
      </c>
      <c r="D642">
        <v>3.76</v>
      </c>
    </row>
    <row r="643" spans="1:4" x14ac:dyDescent="0.45">
      <c r="A643" t="s">
        <v>36</v>
      </c>
      <c r="B643">
        <v>2023</v>
      </c>
      <c r="C643" t="s">
        <v>76</v>
      </c>
      <c r="D643">
        <v>31.18</v>
      </c>
    </row>
    <row r="644" spans="1:4" x14ac:dyDescent="0.45">
      <c r="A644" t="s">
        <v>56</v>
      </c>
      <c r="B644">
        <v>2023</v>
      </c>
      <c r="C644" t="s">
        <v>76</v>
      </c>
      <c r="D644">
        <v>0.48</v>
      </c>
    </row>
    <row r="645" spans="1:4" x14ac:dyDescent="0.45">
      <c r="A645" t="s">
        <v>57</v>
      </c>
      <c r="B645">
        <v>2023</v>
      </c>
      <c r="C645" t="s">
        <v>76</v>
      </c>
      <c r="D645">
        <v>0.27</v>
      </c>
    </row>
    <row r="646" spans="1:4" x14ac:dyDescent="0.45">
      <c r="A646" t="s">
        <v>38</v>
      </c>
      <c r="B646">
        <v>2023</v>
      </c>
      <c r="C646" t="s">
        <v>76</v>
      </c>
      <c r="D646">
        <v>7.06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2.14</v>
      </c>
    </row>
    <row r="649" spans="1:4" x14ac:dyDescent="0.45">
      <c r="A649" t="s">
        <v>91</v>
      </c>
      <c r="B649">
        <v>2023</v>
      </c>
      <c r="C649" t="s">
        <v>76</v>
      </c>
      <c r="D649">
        <v>0.79</v>
      </c>
    </row>
    <row r="650" spans="1:4" x14ac:dyDescent="0.45">
      <c r="A650" t="s">
        <v>59</v>
      </c>
      <c r="B650">
        <v>2000</v>
      </c>
      <c r="C650" t="s">
        <v>74</v>
      </c>
      <c r="D650">
        <v>7.8</v>
      </c>
    </row>
    <row r="651" spans="1:4" x14ac:dyDescent="0.45">
      <c r="A651" t="s">
        <v>60</v>
      </c>
      <c r="B651">
        <v>2000</v>
      </c>
      <c r="C651" t="s">
        <v>74</v>
      </c>
      <c r="D651">
        <v>12.3</v>
      </c>
    </row>
    <row r="652" spans="1:4" x14ac:dyDescent="0.45">
      <c r="A652" t="s">
        <v>59</v>
      </c>
      <c r="B652">
        <v>2001</v>
      </c>
      <c r="C652" t="s">
        <v>74</v>
      </c>
      <c r="D652">
        <v>6.7</v>
      </c>
    </row>
    <row r="653" spans="1:4" x14ac:dyDescent="0.45">
      <c r="A653" t="s">
        <v>60</v>
      </c>
      <c r="B653">
        <v>2001</v>
      </c>
      <c r="C653" t="s">
        <v>74</v>
      </c>
      <c r="D653">
        <v>10.199999999999999</v>
      </c>
    </row>
    <row r="654" spans="1:4" x14ac:dyDescent="0.45">
      <c r="A654" t="s">
        <v>59</v>
      </c>
      <c r="B654">
        <v>2002</v>
      </c>
      <c r="C654" t="s">
        <v>74</v>
      </c>
      <c r="D654">
        <v>7.2</v>
      </c>
    </row>
    <row r="655" spans="1:4" x14ac:dyDescent="0.45">
      <c r="A655" t="s">
        <v>60</v>
      </c>
      <c r="B655">
        <v>2002</v>
      </c>
      <c r="C655" t="s">
        <v>74</v>
      </c>
      <c r="D655">
        <v>12.5</v>
      </c>
    </row>
    <row r="656" spans="1:4" x14ac:dyDescent="0.45">
      <c r="A656" t="s">
        <v>59</v>
      </c>
      <c r="B656">
        <v>2003</v>
      </c>
      <c r="C656" t="s">
        <v>74</v>
      </c>
      <c r="D656">
        <v>8.3000000000000007</v>
      </c>
    </row>
    <row r="657" spans="1:4" x14ac:dyDescent="0.45">
      <c r="A657" t="s">
        <v>60</v>
      </c>
      <c r="B657">
        <v>2003</v>
      </c>
      <c r="C657" t="s">
        <v>74</v>
      </c>
      <c r="D657">
        <v>9.5</v>
      </c>
    </row>
    <row r="658" spans="1:4" x14ac:dyDescent="0.45">
      <c r="A658" t="s">
        <v>59</v>
      </c>
      <c r="B658">
        <v>2004</v>
      </c>
      <c r="C658" t="s">
        <v>74</v>
      </c>
      <c r="D658">
        <v>11.1</v>
      </c>
    </row>
    <row r="659" spans="1:4" x14ac:dyDescent="0.45">
      <c r="A659" t="s">
        <v>60</v>
      </c>
      <c r="B659">
        <v>2004</v>
      </c>
      <c r="C659" t="s">
        <v>74</v>
      </c>
      <c r="D659">
        <v>8.1</v>
      </c>
    </row>
    <row r="660" spans="1:4" x14ac:dyDescent="0.45">
      <c r="A660" t="s">
        <v>59</v>
      </c>
      <c r="B660">
        <v>2005</v>
      </c>
      <c r="C660" t="s">
        <v>74</v>
      </c>
      <c r="D660">
        <v>11.6</v>
      </c>
    </row>
    <row r="661" spans="1:4" x14ac:dyDescent="0.45">
      <c r="A661" t="s">
        <v>60</v>
      </c>
      <c r="B661">
        <v>2005</v>
      </c>
      <c r="C661" t="s">
        <v>74</v>
      </c>
      <c r="D661">
        <v>10.199999999999999</v>
      </c>
    </row>
    <row r="662" spans="1:4" x14ac:dyDescent="0.45">
      <c r="A662" t="s">
        <v>59</v>
      </c>
      <c r="B662">
        <v>2006</v>
      </c>
      <c r="C662" t="s">
        <v>74</v>
      </c>
      <c r="D662">
        <v>12.4</v>
      </c>
    </row>
    <row r="663" spans="1:4" x14ac:dyDescent="0.45">
      <c r="A663" t="s">
        <v>60</v>
      </c>
      <c r="B663">
        <v>2006</v>
      </c>
      <c r="C663" t="s">
        <v>74</v>
      </c>
      <c r="D663">
        <v>9.1</v>
      </c>
    </row>
    <row r="664" spans="1:4" x14ac:dyDescent="0.45">
      <c r="A664" t="s">
        <v>59</v>
      </c>
      <c r="B664">
        <v>2007</v>
      </c>
      <c r="C664" t="s">
        <v>74</v>
      </c>
      <c r="D664">
        <v>14.5</v>
      </c>
    </row>
    <row r="665" spans="1:4" x14ac:dyDescent="0.45">
      <c r="A665" t="s">
        <v>60</v>
      </c>
      <c r="B665">
        <v>2007</v>
      </c>
      <c r="C665" t="s">
        <v>74</v>
      </c>
      <c r="D665">
        <v>8.8000000000000007</v>
      </c>
    </row>
    <row r="666" spans="1:4" x14ac:dyDescent="0.45">
      <c r="A666" t="s">
        <v>59</v>
      </c>
      <c r="B666">
        <v>2008</v>
      </c>
      <c r="C666" t="s">
        <v>74</v>
      </c>
      <c r="D666">
        <v>16.899999999999999</v>
      </c>
    </row>
    <row r="667" spans="1:4" x14ac:dyDescent="0.45">
      <c r="A667" t="s">
        <v>60</v>
      </c>
      <c r="B667">
        <v>2008</v>
      </c>
      <c r="C667" t="s">
        <v>74</v>
      </c>
      <c r="D667">
        <v>5.9</v>
      </c>
    </row>
    <row r="668" spans="1:4" x14ac:dyDescent="0.45">
      <c r="A668" t="s">
        <v>59</v>
      </c>
      <c r="B668">
        <v>2009</v>
      </c>
      <c r="C668" t="s">
        <v>74</v>
      </c>
      <c r="D668">
        <v>14.9</v>
      </c>
    </row>
    <row r="669" spans="1:4" x14ac:dyDescent="0.45">
      <c r="A669" t="s">
        <v>60</v>
      </c>
      <c r="B669">
        <v>2009</v>
      </c>
      <c r="C669" t="s">
        <v>74</v>
      </c>
      <c r="D669">
        <v>6.8</v>
      </c>
    </row>
    <row r="670" spans="1:4" x14ac:dyDescent="0.45">
      <c r="A670" t="s">
        <v>59</v>
      </c>
      <c r="B670">
        <v>2010</v>
      </c>
      <c r="C670" t="s">
        <v>74</v>
      </c>
      <c r="D670">
        <v>13.5</v>
      </c>
    </row>
    <row r="671" spans="1:4" x14ac:dyDescent="0.45">
      <c r="A671" t="s">
        <v>60</v>
      </c>
      <c r="B671">
        <v>2010</v>
      </c>
      <c r="C671" t="s">
        <v>74</v>
      </c>
      <c r="D671">
        <v>5.2</v>
      </c>
    </row>
    <row r="672" spans="1:4" x14ac:dyDescent="0.45">
      <c r="A672" t="s">
        <v>59</v>
      </c>
      <c r="B672">
        <v>2011</v>
      </c>
      <c r="C672" t="s">
        <v>74</v>
      </c>
      <c r="D672">
        <v>14</v>
      </c>
    </row>
    <row r="673" spans="1:4" x14ac:dyDescent="0.45">
      <c r="A673" t="s">
        <v>60</v>
      </c>
      <c r="B673">
        <v>2011</v>
      </c>
      <c r="C673" t="s">
        <v>74</v>
      </c>
      <c r="D673">
        <v>7.9</v>
      </c>
    </row>
    <row r="674" spans="1:4" x14ac:dyDescent="0.45">
      <c r="A674" t="s">
        <v>59</v>
      </c>
      <c r="B674">
        <v>2012</v>
      </c>
      <c r="C674" t="s">
        <v>74</v>
      </c>
      <c r="D674">
        <v>19</v>
      </c>
    </row>
    <row r="675" spans="1:4" x14ac:dyDescent="0.45">
      <c r="A675" t="s">
        <v>60</v>
      </c>
      <c r="B675">
        <v>2012</v>
      </c>
      <c r="C675" t="s">
        <v>74</v>
      </c>
      <c r="D675">
        <v>7.8</v>
      </c>
    </row>
    <row r="676" spans="1:4" x14ac:dyDescent="0.45">
      <c r="A676" t="s">
        <v>59</v>
      </c>
      <c r="B676">
        <v>2013</v>
      </c>
      <c r="C676" t="s">
        <v>74</v>
      </c>
      <c r="D676">
        <v>16.600000000000001</v>
      </c>
    </row>
    <row r="677" spans="1:4" x14ac:dyDescent="0.45">
      <c r="A677" t="s">
        <v>60</v>
      </c>
      <c r="B677">
        <v>2013</v>
      </c>
      <c r="C677" t="s">
        <v>74</v>
      </c>
      <c r="D677">
        <v>9.9</v>
      </c>
    </row>
    <row r="678" spans="1:4" x14ac:dyDescent="0.45">
      <c r="A678" t="s">
        <v>59</v>
      </c>
      <c r="B678">
        <v>2014</v>
      </c>
      <c r="C678" t="s">
        <v>74</v>
      </c>
      <c r="D678">
        <v>15.7</v>
      </c>
    </row>
    <row r="679" spans="1:4" x14ac:dyDescent="0.45">
      <c r="A679" t="s">
        <v>60</v>
      </c>
      <c r="B679">
        <v>2014</v>
      </c>
      <c r="C679" t="s">
        <v>74</v>
      </c>
      <c r="D679">
        <v>12.3</v>
      </c>
    </row>
    <row r="680" spans="1:4" x14ac:dyDescent="0.45">
      <c r="A680" t="s">
        <v>59</v>
      </c>
      <c r="B680">
        <v>2015</v>
      </c>
      <c r="C680" t="s">
        <v>74</v>
      </c>
      <c r="D680">
        <v>15.1</v>
      </c>
    </row>
    <row r="681" spans="1:4" x14ac:dyDescent="0.45">
      <c r="A681" t="s">
        <v>60</v>
      </c>
      <c r="B681">
        <v>2015</v>
      </c>
      <c r="C681" t="s">
        <v>74</v>
      </c>
      <c r="D681">
        <v>15</v>
      </c>
    </row>
    <row r="682" spans="1:4" x14ac:dyDescent="0.45">
      <c r="A682" t="s">
        <v>59</v>
      </c>
      <c r="B682">
        <v>2016</v>
      </c>
      <c r="C682" t="s">
        <v>74</v>
      </c>
      <c r="D682">
        <v>14.2</v>
      </c>
    </row>
    <row r="683" spans="1:4" x14ac:dyDescent="0.45">
      <c r="A683" t="s">
        <v>60</v>
      </c>
      <c r="B683">
        <v>2016</v>
      </c>
      <c r="C683" t="s">
        <v>74</v>
      </c>
      <c r="D683">
        <v>21.8</v>
      </c>
    </row>
    <row r="684" spans="1:4" x14ac:dyDescent="0.45">
      <c r="A684" t="s">
        <v>59</v>
      </c>
      <c r="B684">
        <v>2017</v>
      </c>
      <c r="C684" t="s">
        <v>74</v>
      </c>
      <c r="D684">
        <v>14.6</v>
      </c>
    </row>
    <row r="685" spans="1:4" x14ac:dyDescent="0.45">
      <c r="A685" t="s">
        <v>60</v>
      </c>
      <c r="B685">
        <v>2017</v>
      </c>
      <c r="C685" t="s">
        <v>74</v>
      </c>
      <c r="D685">
        <v>23.8</v>
      </c>
    </row>
    <row r="686" spans="1:4" x14ac:dyDescent="0.45">
      <c r="A686" t="s">
        <v>59</v>
      </c>
      <c r="B686">
        <v>2018</v>
      </c>
      <c r="C686" t="s">
        <v>74</v>
      </c>
      <c r="D686">
        <v>12.9</v>
      </c>
    </row>
    <row r="687" spans="1:4" x14ac:dyDescent="0.45">
      <c r="A687" t="s">
        <v>60</v>
      </c>
      <c r="B687">
        <v>2018</v>
      </c>
      <c r="C687" t="s">
        <v>74</v>
      </c>
      <c r="D687">
        <v>24</v>
      </c>
    </row>
    <row r="688" spans="1:4" x14ac:dyDescent="0.45">
      <c r="A688" t="s">
        <v>59</v>
      </c>
      <c r="B688">
        <v>2019</v>
      </c>
      <c r="C688" t="s">
        <v>74</v>
      </c>
      <c r="D688">
        <v>11.9</v>
      </c>
    </row>
    <row r="689" spans="1:4" x14ac:dyDescent="0.45">
      <c r="A689" t="s">
        <v>60</v>
      </c>
      <c r="B689">
        <v>2019</v>
      </c>
      <c r="C689" t="s">
        <v>74</v>
      </c>
      <c r="D689">
        <v>18.7</v>
      </c>
    </row>
    <row r="690" spans="1:4" x14ac:dyDescent="0.45">
      <c r="A690" t="s">
        <v>59</v>
      </c>
      <c r="B690">
        <v>2020</v>
      </c>
      <c r="C690" t="s">
        <v>74</v>
      </c>
      <c r="D690">
        <v>14.6</v>
      </c>
    </row>
    <row r="691" spans="1:4" x14ac:dyDescent="0.45">
      <c r="A691" t="s">
        <v>60</v>
      </c>
      <c r="B691">
        <v>2020</v>
      </c>
      <c r="C691" t="s">
        <v>74</v>
      </c>
      <c r="D691">
        <v>17.899999999999999</v>
      </c>
    </row>
    <row r="692" spans="1:4" x14ac:dyDescent="0.45">
      <c r="A692" t="s">
        <v>59</v>
      </c>
      <c r="B692">
        <v>2021</v>
      </c>
      <c r="C692" t="s">
        <v>74</v>
      </c>
      <c r="D692">
        <v>16.600000000000001</v>
      </c>
    </row>
    <row r="693" spans="1:4" x14ac:dyDescent="0.45">
      <c r="A693" t="s">
        <v>60</v>
      </c>
      <c r="B693">
        <v>2021</v>
      </c>
      <c r="C693" t="s">
        <v>74</v>
      </c>
      <c r="D693">
        <v>17.399999999999999</v>
      </c>
    </row>
    <row r="694" spans="1:4" x14ac:dyDescent="0.45">
      <c r="A694" t="s">
        <v>59</v>
      </c>
      <c r="B694">
        <v>2022</v>
      </c>
      <c r="C694" t="s">
        <v>74</v>
      </c>
      <c r="D694">
        <v>27.8</v>
      </c>
    </row>
    <row r="695" spans="1:4" x14ac:dyDescent="0.45">
      <c r="A695" t="s">
        <v>60</v>
      </c>
      <c r="B695">
        <v>2022</v>
      </c>
      <c r="C695" t="s">
        <v>74</v>
      </c>
      <c r="D695">
        <v>8</v>
      </c>
    </row>
    <row r="696" spans="1:4" x14ac:dyDescent="0.45">
      <c r="A696" t="s">
        <v>59</v>
      </c>
      <c r="B696">
        <v>2023</v>
      </c>
      <c r="C696" t="s">
        <v>74</v>
      </c>
      <c r="D696">
        <v>25.3</v>
      </c>
    </row>
    <row r="697" spans="1:4" x14ac:dyDescent="0.45">
      <c r="A697" t="s">
        <v>60</v>
      </c>
      <c r="B697">
        <v>2023</v>
      </c>
      <c r="C697" t="s">
        <v>74</v>
      </c>
      <c r="D697">
        <v>11.3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9.1650000000000009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9.4187999999999992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9.4657999999999998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9.0991999999999997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9.5221999999999998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9.2590000000000003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9.1462000000000003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6.2040000000000006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6.157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6.1757999999999997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5.9501999999999997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6.2885999999999997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6.2697999999999992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6.2134000000000009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3.7882000000000002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3.5344000000000002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3.5344000000000002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3.4686000000000003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3.6472000000000002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3.6189999999999998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1.786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2.6696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4.2111999999999998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1.3724000000000001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0.9870000000000001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0.89300000000000002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1.9551999999999998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0.39479999999999998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1.2596000000000001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3.4403999999999999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0.29139999999999999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0.29139999999999999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0.2162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0.81779999999999997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2.8199999999999996E-2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1.9364000000000001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2.8199999999999996E-2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5.6399999999999992E-2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1.2878000000000001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12.067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12.364000000000001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12.397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12.033999999999999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12.286999999999999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12.138500000000001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12.0395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15.471499999999999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18.342500000000001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18.425000000000001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17.814500000000002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15.686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15.548500000000001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15.4055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16.714500000000001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13.645499999999998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13.695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13.277000000000001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11.9625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14.432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8.4700000000000006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18.161000000000001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16.802499999999998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13.326499999999999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13.172499999999999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2.3210000000000002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15.543000000000001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0.20350000000000001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20.515000000000001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22.203500000000002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13.629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12.694000000000001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1.8975000000000002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17.7925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0.70950000000000002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25.7895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32.411500000000004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16.769500000000001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12.644499999999999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5.3789999999999996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21.785499999999999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0.66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25.0855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31.097000000000001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14.222999999999999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11.2585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7.3094999999999999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25.762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0.1045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4.8930000000000007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4.9560000000000004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4.9630000000000001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4.8930000000000007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4.9139999999999997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4.9210000000000003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4.8719999999999999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2.8000000000000001E-2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2.2120000000000002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2.2189999999999999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2.1910000000000003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2.8000000000000001E-2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2.8000000000000001E-2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2.8000000000000001E-2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0.21379999999999999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0.13895000000000002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0.14460000000000001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0.14355000000000001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0.27105000000000001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0.26380000000000003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0.27765000000000001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1.76675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0.15944999999999998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0.16505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0.16284999999999999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5.8373499999999998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2.2010500000000004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10.51595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5.3887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0.1704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0.97704999999999997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0.60304999999999997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14.13635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5.8964999999999996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31.717700000000001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11.02345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0.18254999999999999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15.946449999999999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3.6853500000000001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24.282499999999999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11.035399999999999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54.611999999999995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16.590599999999998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0.1946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42.26585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7.7946000000000009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33.670999999999999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13.69115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63.086849999999998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20.297449999999998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0.1923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54.002899999999997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11.660299999999999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40.850849999999994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16.17015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66.231949999999998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20.3444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0.186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59.327300000000001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12.766349999999999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43.599050000000005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16.72925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65.630499999999998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19.526450000000001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0.16420000000000001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56.780699999999996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13.08545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44.49635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15.8254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61.7575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18.02515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0.11244999999999999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55.659649999999999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12.763400000000001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43.953850000000003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14.24025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55.031649999999999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16.403399999999998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5.9549999999999999E-2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54.171300000000002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12.361800000000001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43.097200000000001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12.560400000000001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47.918149999999997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15.949400000000001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2.955E-2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49.324750000000002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10.549800000000001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43.242100000000001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9.5868499999999983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43.527550000000005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15.4053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44.200299999999999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8.7556000000000012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43.102199999999996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6.7344000000000008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38.88015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16.132100000000001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37.711399999999998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8.8819999999999997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42.884299999999996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6.5879499999999993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40.382549999999995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16.763100000000001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30.9971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8.9491499999999995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42.34205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6.4238999999999997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41.876000000000005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16.540849999999999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29.456600000000002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9.2787500000000005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40.8718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7.4714499999999999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42.1753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16.392099999999999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27.99005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9.6190999999999995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39.522199999999998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8.5058000000000007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42.526600000000002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205.11689999999999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204.9248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206.31055000000001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205.3193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211.66255000000001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205.30619999999999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207.34255000000002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186.9736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193.39780000000002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196.3768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194.9023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184.38319999999999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184.48770000000002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184.85615000000001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140.40269999999998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166.3708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170.45285000000001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167.90205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79.587600000000009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126.42834999999999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98.360199999999992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83.964299999999994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133.39215000000002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113.11105000000001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116.4298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18.998100000000001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75.829750000000004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4.8407999999999998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35.456099999999999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107.8516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-6.4238499999999998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39.388950000000001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-33.330500000000001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32.929850000000002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-71.026350000000008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-1.3952499999999999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89.587350000000001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-73.756399999999999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-6.5057999999999998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-66.430849999999992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2.702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-98.062649999999991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-26.669750000000001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80.253349999999998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-104.1771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-29.8217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-83.366799999999998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-18.396549999999998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-110.99080000000001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-37.849299999999999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66.564750000000004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-109.6836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-37.42615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-91.529300000000006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-27.098050000000001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-111.0581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-49.217100000000002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56.028350000000003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-108.5714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-43.237849999999995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-92.897999999999996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-34.124450000000003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-109.4229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-51.505299999999998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50.061549999999997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-109.30244999999999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-45.858049999999999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-89.104849999999999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-35.920950000000005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-99.925200000000004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-53.539699999999996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44.321899999999999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-109.73099999999999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-48.2012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-84.83420000000001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-37.288699999999999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-90.121200000000002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-54.545050000000003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37.002499999999998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-103.71340000000001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-50.091650000000001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-89.223600000000005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-36.657799999999995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-89.585350000000005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-55.513199999999998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29.674900000000001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-97.448450000000008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-52.043050000000001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-93.380949999999999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-36.120249999999999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-88.8703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-56.698300000000003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23.17015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-90.539150000000006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-54.179299999999998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-91.3245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-35.909549999999996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-88.246299999999991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-57.831000000000003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16.60885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-83.410499999999999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-56.190449999999998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-89.035349999999994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-35.837000000000003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-87.608499999999992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-55.953600000000002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14.91705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-79.047449999999998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-53.865449999999996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-90.930199999999999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-34.182749999999999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-89.847849999999994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-54.073700000000002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13.350000000000001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-74.733000000000004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-51.593800000000002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-92.851050000000001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-32.4467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-92.121399999999994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261.34040000000005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261.18290000000002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262.53830000000005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261.52800000000002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267.78179999999998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261.51994999999999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263.53719999999998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228.99170000000001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232.72845000000001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235.83244999999999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233.41475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226.72390000000001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225.71005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226.1842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183.75489999999999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209.07040000000001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211.10025000000002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209.45825000000002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128.61725000000001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171.20960000000002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144.83904999999999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130.9393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177.48930000000001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165.5975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167.21654999999998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74.09205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122.83404999999999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57.6935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85.191900000000004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153.92245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51.898499999999999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95.062100000000001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25.359249999999999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82.588400000000007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-15.66465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49.614649999999997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137.96449999999999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-11.244949999999999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53.032049999999998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-3.8280000000000003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54.182450000000003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-42.925899999999999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24.67915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130.9862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-38.922399999999996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31.183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-18.094200000000001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34.762349999999998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-56.9373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12.101099999999999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116.8252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-46.369699999999995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21.662849999999999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-25.193550000000002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24.39845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-57.924149999999997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-2.1993999999999998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105.63095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-49.530799999999999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12.73545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-28.524650000000001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14.37195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-58.827300000000001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-5.3138500000000004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98.906300000000002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-52.195500000000003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8.2996499999999997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-29.78575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10.71715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-53.853000000000002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-8.1781499999999987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92.397950000000009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-54.561300000000003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4.1327999999999996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-30.583449999999999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7.483550000000001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-48.58305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-10.043849999999999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85.660600000000002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-50.144100000000002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2.9186999999999999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-32.45655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8.5339500000000008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-44.865400000000001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-11.8581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78.938749999999999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-45.468350000000001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1.6550500000000001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-34.086399999999998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9.4833500000000015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-40.957949999999997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-12.947099999999999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70.871350000000007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-39.047150000000002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-0.8801000000000001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-34.457049999999995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8.9943999999999988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-42.635399999999997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-13.957100000000001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62.768100000000004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-32.384149999999998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-3.2706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-34.563549999999999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8.3899000000000008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-44.266249999999999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-14.59995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56.793700000000001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-30.9755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-5.0249500000000005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-34.572600000000001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5.9786999999999999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-44.684150000000002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-15.256499999999999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50.945949999999996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-29.617550000000001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-6.8371500000000003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-34.607250000000001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3.6488499999999999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-45.133650000000003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0.27929999999999999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0.2787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0.28284999999999999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0.27880000000000005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0.28259999999999996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0.28105000000000002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0.28405000000000002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0.29954999999999998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0.29649999999999999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0.29795000000000005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0.29394999999999999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0.27039999999999997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0.30115000000000003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0.30484999999999995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0.29484999999999995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0.3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0.29699999999999999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0.29510000000000003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0.2137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0.29679999999999995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0.29549999999999998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0.30580000000000002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0.30000000000000004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0.3029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0.29035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0.20224999999999999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0.30745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0.34194999999999998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0.31335000000000002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0.30085000000000001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0.34409999999999996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0.28885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0.19869999999999999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0.32374999999999998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0.4073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0.33899999999999997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0.30584999999999996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0.39610000000000001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0.31359999999999999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0.2024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0.33914999999999995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0.41930000000000001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0.34984999999999999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0.31645000000000001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0.37980000000000003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0.32935000000000003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0.2082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0.3382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0.41444999999999999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0.34299999999999997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0.3105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0.37404999999999999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0.33474999999999999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0.19980000000000001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0.33109999999999995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0.40715000000000001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0.31655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0.29164999999999996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0.33804999999999996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0.31074999999999997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0.18280000000000002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0.30720000000000003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0.38895000000000002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0.31574999999999998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0.2903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0.33374999999999999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0.31085000000000002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0.18459999999999999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0.30704999999999999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0.38874999999999998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0.31459999999999999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0.28994999999999999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0.32940000000000003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0.311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0.18645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0.30735000000000001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0.38785000000000003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0.31435000000000002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0.28639999999999999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0.33004999999999995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0.31135000000000002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0.1918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0.30559999999999998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0.38590000000000002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0.31325000000000003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0.28085000000000004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0.32989999999999997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0.30980000000000002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0.19585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0.30030000000000001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0.38229999999999997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0.30754999999999999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0.27265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0.32284999999999997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0.30095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0.19885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0.29120000000000001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0.37675000000000003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0.29969999999999997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0.26334999999999997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0.31240000000000001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0.28915000000000002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0.19985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0.28065000000000001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0.36875000000000002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0.28510000000000002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0.25245000000000001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0.29675000000000001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0.27700000000000002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0.19579999999999997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0.26939999999999997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0.34970000000000001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0.27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0.24075000000000002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0.28079999999999999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0.26429999999999998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0.19164999999999999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0.25744999999999996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0.32940000000000003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0.65585000000000004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0.65759999999999996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0.65820000000000001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0.65759999999999996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0.66754999999999998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0.65905000000000002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0.65295000000000003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0.71655000000000002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0.71524999999999994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0.71894999999999998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0.7147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0.71829999999999994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0.71914999999999996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0.71309999999999996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0.74465000000000003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0.74770000000000003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0.74924999999999997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0.74724999999999997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0.68215000000000003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0.73995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0.72504999999999997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0.76829999999999998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0.75480000000000003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0.77505000000000002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0.77500000000000002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0.70479999999999998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0.76885000000000003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0.82424999999999993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0.74930000000000008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0.73439999999999994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0.78265000000000007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0.76039999999999996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0.71310000000000007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0.76855000000000007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0.8809499999999999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0.76459999999999995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0.71675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0.86034999999999995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0.7841499999999999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0.74750000000000005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0.76400000000000001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0.88959999999999995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0.78410000000000002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0.72425000000000006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0.8639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0.78079999999999994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0.77190000000000003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0.76770000000000005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0.89064999999999994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0.75209999999999999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0.69730000000000003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0.82579999999999998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0.75445000000000007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0.74490000000000001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0.73504999999999998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0.84125000000000005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0.77590000000000003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0.70645000000000002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0.82339999999999991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0.76800000000000002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0.74990000000000001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0.75775000000000003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0.86985000000000001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0.78289999999999993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0.71460000000000001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0.8246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0.77115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0.76475000000000004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0.76370000000000005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0.86704999999999999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0.79255000000000009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0.72455000000000003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0.82855000000000001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0.77725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0.78120000000000001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0.77279999999999993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0.86644999999999994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0.83214999999999995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0.75670000000000004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0.86420000000000008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0.81415000000000004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0.83684999999999998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0.80889999999999995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0.90205000000000002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0.87080000000000002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0.78710000000000002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0.89860000000000007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0.84870000000000001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0.88980000000000004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0.83984999999999999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0.93574999999999997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0.90060000000000007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0.81119999999999992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0.92435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0.87795000000000001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0.9302999999999999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0.86555000000000004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0.96914999999999996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0.92930000000000001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0.83479999999999999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0.94689999999999996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0.90474999999999994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0.96589999999999998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0.88969999999999994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1.0004999999999999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0.95304999999999995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0.8589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0.97394999999999998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0.92920000000000003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0.99145000000000005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0.91294999999999993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1.02935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0.97575000000000001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0.88385000000000002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1.002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0.95365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1.01755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0.93674999999999997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1.0587499999999999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2.2499999999999999E-2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2.3800000000000002E-2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2.4050000000000002E-2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2.3E-2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2.4799999999999999E-2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2.3149999999999997E-2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2.3149999999999997E-2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4.8399999999999999E-2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4.8149999999999998E-2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4.9700000000000001E-2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4.8599999999999997E-2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5.1000000000000004E-2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4.9250000000000002E-2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5.1150000000000001E-2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8.6150000000000004E-2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8.0549999999999997E-2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8.1600000000000006E-2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8.165E-2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8.6449999999999999E-2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8.1449999999999995E-2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8.9450000000000002E-2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0.1298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0.10985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0.11649999999999999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0.11165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0.1268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0.11335000000000001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0.15175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0.15989999999999999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0.12959999999999999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0.13900000000000001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0.12995000000000001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0.14789999999999998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0.13305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0.20224999999999999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0.17765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0.1361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0.16505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0.14415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0.16694999999999999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0.14150000000000001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0.21540000000000001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0.18535000000000001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0.14019999999999999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0.1694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0.15175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0.1653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0.1477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0.21684999999999999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0.188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0.14795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0.1724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0.15605000000000002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0.17035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0.153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0.2208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0.19114999999999999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0.15334999999999999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0.17369999999999999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0.15984999999999999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0.1754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0.15944999999999998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0.22550000000000001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0.19889999999999999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0.16159999999999999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0.18045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0.1676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0.18335000000000001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0.16799999999999998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0.23294999999999999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0.2054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0.16889999999999999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0.18625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0.1744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0.18985000000000002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0.17565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0.23900000000000002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0.21354999999999999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0.17504999999999998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0.19420000000000001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0.18340000000000001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0.19990000000000002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0.18409999999999999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0.2472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0.22334999999999999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0.18174999999999999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0.20369999999999999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0.19305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0.21065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0.192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0.25655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0.23255000000000001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0.18804999999999999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0.21240000000000001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0.20079999999999998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0.21975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0.1986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0.26605000000000001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0.24295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0.19535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0.22105000000000002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0.20915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0.22865000000000002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0.20615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0.27664999999999995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0.25074999999999997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0.20224999999999999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0.22850000000000001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0.2165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0.23415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0.21299999999999999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0.28434999999999999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0.25660000000000005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0.20850000000000002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0.23554999999999998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0.22305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0.23914999999999997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0.21925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0.29095000000000004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8.6999999999999994E-2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8.7400000000000005E-2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8.7499999999999994E-2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8.7300000000000003E-2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8.7099999999999997E-2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8.7400000000000005E-2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8.6800000000000002E-2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2.5899999999999999E-2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3.0300000000000001E-2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0.03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2.9899999999999999E-2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2.3800000000000002E-2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2.3099999999999999E-2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2.3300000000000001E-2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2.7000000000000001E-3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1.2699999999999999E-2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1.2500000000000001E-2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1.2500000000000001E-2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9.7999999999999997E-3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3.8E-3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4.7999999999999996E-3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4.7999999999999996E-3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2.0000000000000001E-4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2.0000000000000001E-4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2.3500000000000001E-3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4.5500000000000002E-3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8.6999999999999994E-3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1.295E-2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1.72E-2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2.155E-2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2.1399999999999999E-2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2.1250000000000002E-2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0.25609999999999999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0.25580000000000003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0.2581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0.25669999999999998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0.25969999999999999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0.25619999999999998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0.25740000000000002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0.25180000000000002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0.26729999999999998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0.27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0.26700000000000002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0.23369999999999999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0.2485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0.23380000000000001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8.2500000000000004E-2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0.1908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0.19089999999999999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0.19040000000000001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4.4999999999999997E-3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4.6800000000000001E-2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1.29E-2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1.1599999999999999E-2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8.0699999999999994E-2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6.1800000000000001E-2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7.0800000000000002E-2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8.9999999999999998E-4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4.1999999999999997E-3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5.9999999999999995E-4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1.4E-3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2.0299999999999999E-2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8.0000000000000004E-4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1.8E-3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5.9999999999999995E-4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1.4E-3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4.0000000000000002E-4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1.4E-3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5.9999999999999995E-4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2.2000000000000001E-3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5.0000000000000001E-4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1.5E-3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1.2999999999999999E-3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2.5999999999999999E-3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2.9999999999999997E-4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2.3E-3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2.9999999999999997E-4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1.4E-3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1.2999999999999999E-3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2.8E-3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2.3499999999999997E-3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2.5000000000000001E-4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1.3500000000000001E-3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7.9999999999999993E-4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3.15E-3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1.65E-3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1.5000000000000001E-4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1.0999999999999998E-3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3.5999999999999999E-3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1.2499999999999998E-3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6.4999999999999997E-4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4.2000000000000006E-3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7.5000000000000002E-4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1.5000000000000001E-4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5.0000000000000002E-5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4.5000000000000005E-3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4.0000000000000002E-4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1E-4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4.7499999999999999E-3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0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4.1999999999999997E-3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3.8999999999999998E-3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3.3E-3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2.7499999999999998E-3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4.19E-2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4.19E-2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4.2099999999999999E-2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4.2000000000000003E-2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4.2299999999999997E-2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4.19E-2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4.1799999999999997E-2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2.6499999999999999E-2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2.64E-2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2.6700000000000002E-2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2.6599999999999999E-2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2.69E-2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2.64E-2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2.63E-2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1.1599999999999999E-2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1.14E-2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1.15E-2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1.1599999999999999E-2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1.0999999999999999E-2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1.15E-2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5.8999999999999999E-3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5.8999999999999999E-3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5.9500000000000004E-3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5.8999999999999999E-3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6.0000000000000001E-3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5.8999999999999999E-3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6.0000000000000001E-3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2.69E-2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2.6700000000000002E-2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2.7200000000000002E-2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2.7E-2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2.0900000000000002E-2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2.5899999999999999E-2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2.665E-2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4.87E-2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4.9000000000000002E-2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4.9449999999999994E-2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4.9349999999999998E-2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3.6850000000000001E-2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4.7350000000000003E-2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6.4250000000000002E-2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7.0899999999999991E-2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6.0299999999999999E-2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5.9950000000000003E-2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5.7250000000000002E-2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5.1549999999999999E-2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6.88E-2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0.12820000000000001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9.8599999999999993E-2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6.4349999999999991E-2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9.4049999999999995E-2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7.7850000000000003E-2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7.1249999999999994E-2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0.1099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0.2074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0.1542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7.4749999999999997E-2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0.19864999999999999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0.1298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8.3949999999999997E-2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0.1835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0.2918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0.21875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9.6849999999999992E-2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0.32889999999999997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0.20610000000000001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0.10045000000000001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0.26085000000000003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0.35830000000000001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0.2762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9.325E-2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0.41044999999999998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0.26244999999999996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0.31695000000000001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0.3901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0.32740000000000002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0.14665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0.46579999999999999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0.32315000000000005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0.15715000000000001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0.36754999999999999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0.40944999999999998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0.31795000000000001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0.17954999999999999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0.45665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0.32445000000000002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0.16644999999999999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0.35849999999999999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0.38919999999999999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0.3009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0.2077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0.44245000000000001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0.31879999999999997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0.17194999999999999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0.34155000000000002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0.36235000000000001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0.28420000000000001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0.24664999999999998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0.42075000000000001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0.31079999999999997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0.16514999999999999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0.33015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0.35824999999999996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0.2661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0.27755000000000002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0.39665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0.29759999999999998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0.15755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0.31630000000000003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0.35220000000000001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0.25924999999999998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0.30825000000000002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0.38285000000000002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0.29415000000000002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0.155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0.316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0.3619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0.25124999999999997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0.32989999999999997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0.36724999999999997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0.28870000000000001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0.15125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0.31435000000000002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0.37140000000000001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0.2447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0.33169999999999999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0.35565000000000002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0.27929999999999999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0.15145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0.30474999999999997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0.36335000000000001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0.23945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0.33065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0.34484999999999999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0.2707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0.15115000000000001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0.29564999999999997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0.35639999999999999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4.4297000000000004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10.132099999999999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15.654999999999999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23.557300000000001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39.3337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0.20669999999999999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0.1895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0.19989999999999999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0.22259999999999999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0.2389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0.624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0.67469999999999997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0.76139999999999997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0.76229999999999998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0.76529999999999998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0.81420000000000003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0.87729999999999997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2.35E-2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1.78E-2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3.32E-2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6.6000000000000003E-2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0.13550000000000001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0.22070000000000001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0.2399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1.2999999999999999E-3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8.8000000000000005E-3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2.52E-2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4.9599999999999998E-2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9.1650000000000009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6.2040000000000006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3.7882000000000002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2.6696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1.2596000000000001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12.067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15.471499999999999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16.714500000000001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18.161000000000001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20.515000000000001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25.7895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25.0855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4.8930000000000007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2.8000000000000001E-2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172.90209999999999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185.97720000000001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144.0341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131.2431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107.8053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85.206599999999995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59.583500000000001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230.70820000000001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231.98330000000001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201.40039999999999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194.36009999999999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175.6756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155.00319999999999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131.35740000000001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0.24640000000000001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0.22770000000000001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0.20269999999999999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0.19850000000000001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0.18290000000000001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0.17530000000000001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0.17330000000000001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0.62409999999999999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0.6905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0.78139999999999998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0.81010000000000004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0.80320000000000003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0.8256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0.86140000000000005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2.7699999999999999E-2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1.8700000000000001E-2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2.81E-2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2.46E-2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1.7600000000000001E-2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1.9800000000000002E-2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3.3300000000000003E-2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9.4187999999999992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6.157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3.5344000000000002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4.2111999999999998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3.4403999999999999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1.9364000000000001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1.2878000000000001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12.364000000000001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18.342500000000001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13.645499999999998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16.802499999999998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22.203500000000002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32.411500000000004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31.097000000000001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4.9560000000000004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2.2120000000000002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171.7664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191.5761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157.68119999999999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179.88290000000001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200.8974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230.14269999999999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230.4982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229.50569999999999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237.24469999999999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213.0129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240.01169999999999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265.09359999999998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298.23899999999998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302.5102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5.4333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10.648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17.1905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26.185500000000001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0.2455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0.2261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0.19989999999999999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0.20449999999999999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0.22600000000000001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0.24229999999999999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0.24149999999999999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0.62439999999999996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0.69079999999999997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0.78159999999999996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0.78029999999999999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0.80920000000000003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0.86470000000000002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0.97989999999999999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2.7799999999999998E-2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1.8700000000000001E-2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2.7900000000000001E-2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5.5100000000000003E-2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0.1263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0.22650000000000001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0.25140000000000001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7.3000000000000001E-3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1.8800000000000001E-2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4.1000000000000002E-2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7.6100000000000001E-2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9.4657999999999998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6.1757999999999997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3.5344000000000002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1.3724000000000001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0.29139999999999999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12.397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18.425000000000001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13.695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13.326499999999999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13.629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16.769500000000001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14.222999999999999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4.9630000000000001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2.2189999999999999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171.94900000000001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193.2713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160.67420000000001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145.0307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105.1131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65.006600000000006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26.412600000000001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229.68639999999999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237.4563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213.04349999999999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203.44130000000001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168.68690000000001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131.77379999999999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95.348200000000006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7.1410999999999998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11.724500000000001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18.6356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30.293299999999999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0.22919999999999999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0.21310000000000001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0.18640000000000001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0.18920000000000001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0.20269999999999999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0.21510000000000001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0.22639999999999999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0.62219999999999998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0.68130000000000002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0.77029999999999998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0.77600000000000002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0.75270000000000004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0.8165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0.89059999999999995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2.4500000000000001E-2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1.78E-2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2.52E-2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5.4699999999999999E-2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0.1105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0.17050000000000001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0.2152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7.4000000000000003E-3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1.9599999999999999E-2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6.5500000000000003E-2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9.0991999999999997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5.9501999999999997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3.4686000000000003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0.9870000000000001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0.29139999999999999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12.033999999999999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17.814500000000002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13.277000000000001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13.172499999999999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12.694000000000001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12.644499999999999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11.2585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4.8930000000000007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2.1910000000000003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171.02780000000001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195.19399999999999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164.52799999999999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139.65110000000001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102.7251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62.213999999999999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20.5046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228.78720000000001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240.06440000000001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218.2764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199.93270000000001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168.7764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132.36920000000001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94.970299999999995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10.29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15.668100000000001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23.345600000000001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35.460700000000003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47.808500000000002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0.24010000000000001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0.216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0.19989999999999999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0.188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0.1817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0.19220000000000001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0.1865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0.62549999999999994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0.68589999999999995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0.67320000000000002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0.62819999999999998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0.54759999999999998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0.57040000000000002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0.63370000000000004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2.6200000000000001E-2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1.7899999999999999E-2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3.32E-2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6.5699999999999995E-2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0.1321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0.21390000000000001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0.25519999999999998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2.1899999999999999E-2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5.5199999999999999E-2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9.7500000000000003E-2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0.1535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0.17860000000000001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9.5221999999999998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6.2885999999999997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3.6472000000000002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0.89300000000000002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0.2162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12.286999999999999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15.686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11.9625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2.3210000000000002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1.8975000000000002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5.3789999999999996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7.3094999999999999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4.9139999999999997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175.4228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187.0565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114.0331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68.671400000000006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26.228100000000001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-14.7257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-40.492899999999999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233.1268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232.82409999999999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171.67590000000001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130.44280000000001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92.103200000000001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56.752600000000001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33.495899999999999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4.6374000000000004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6.8465999999999996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10.2264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15.0992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0.2351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0.20760000000000001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0.17960000000000001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0.18240000000000001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0.1875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0.1928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0.2109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0.62909999999999999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0.68720000000000003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0.73570000000000002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0.76400000000000001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0.77200000000000002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0.82050000000000001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0.87709999999999999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2.4899999999999999E-2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1.6899999999999998E-2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1.8800000000000001E-2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3.4599999999999999E-2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6.6900000000000001E-2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0.1234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0.18790000000000001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4.1999999999999997E-3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5.5999999999999999E-3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5.4999999999999997E-3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9.2590000000000003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6.2697999999999992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3.6189999999999998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1.9551999999999998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0.81779999999999997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12.138500000000001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15.548500000000001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14.432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15.543000000000001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17.7925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21.785499999999999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25.762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4.9210000000000003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2.8000000000000001E-2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170.7998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178.21420000000001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161.79759999999999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146.41480000000001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134.89009999999999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121.3625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100.5157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228.55029999999999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224.92349999999999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218.59950000000001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209.2236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203.4134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193.70830000000001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176.4092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13.5144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18.6813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22.2455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31.092400000000001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30.267800000000001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0.23019999999999999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0.20960000000000001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0.22320000000000001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0.26090000000000002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0.28999999999999998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0.2949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0.28189999999999998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0.61509999999999998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0.66469999999999996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0.7329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0.81940000000000002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0.85970000000000002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0.9738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1.1047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2.4500000000000001E-2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1.7399999999999999E-2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3.2300000000000002E-2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7.2800000000000004E-2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0.14480000000000001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0.16120000000000001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0.14929999999999999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2.01E-2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8.9200000000000002E-2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0.14080000000000001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0.17180000000000001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9.1462000000000003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6.2134000000000009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1.786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0.39479999999999998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5.6399999999999992E-2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12.0395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15.4055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8.4700000000000006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0.70950000000000002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0.66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0.1045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4.8719999999999999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2.8000000000000001E-2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172.40129999999999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186.29239999999999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101.54640000000001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49.160899999999998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17.825600000000001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-10.538399999999999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-31.151800000000001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230.20079999999999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232.25980000000001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159.81569999999999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112.3291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84.627499999999998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60.103299999999997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42.543599999999998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0.15679999999999999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1.7626999999999999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5.0979999999999999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10.293799999999999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15.889699999999999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19.354199999999999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20.388999999999999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19.4681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17.91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16.241499999999998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15.8507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15.363899999999999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16.236799999999999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17.015000000000001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16.7318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16.526199999999999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0.28029999999999999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0.29949999999999999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0.29559999999999997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0.30809999999999998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0.31359999999999999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0.33889999999999998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0.34899999999999998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0.34179999999999999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0.31519999999999998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0.3135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0.31130000000000002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0.31109999999999999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0.31030000000000002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0.3049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0.2969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0.28179999999999999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0.26729999999999998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0.65600000000000003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0.71630000000000005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0.73970000000000002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0.76670000000000005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0.74690000000000001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0.75970000000000004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0.77439999999999998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0.74850000000000005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0.77190000000000003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0.77710000000000001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0.78480000000000005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0.82379999999999998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0.86229999999999996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0.89239999999999997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0.92100000000000004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0.94279999999999997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0.96360000000000001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2.2499999999999999E-2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4.87E-2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8.6099999999999996E-2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0.12970000000000001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0.1595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0.17549999999999999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0.18160000000000001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0.18659999999999999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0.18970000000000001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0.19689999999999999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0.20280000000000001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0.21079999999999999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0.22070000000000001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0.23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0.2402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0.24729999999999999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0.25280000000000002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5.8999999999999999E-3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2.6800000000000001E-2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4.8899999999999999E-2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7.2099999999999997E-2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0.1024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0.15590000000000001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0.21940000000000001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0.2757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0.32579999999999998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0.31730000000000003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0.3014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0.28449999999999998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0.26619999999999999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0.25900000000000001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0.25080000000000002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0.2447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0.23980000000000001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8.6999999999999994E-2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2.3E-2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0.25619999999999998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0.23910000000000001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6.1600000000000002E-2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1.4E-3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1.2999999999999999E-3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1.1999999999999999E-3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6.9999999999999999E-4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4.0000000000000002E-4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4.19E-2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2.6499999999999999E-2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1.1599999999999999E-2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205.2509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186.8407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136.19200000000001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83.261399999999995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34.8277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-0.87119999999999997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-27.516400000000001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-36.328899999999997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-47.951700000000002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-49.9619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-51.703000000000003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-53.237499999999997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-54.727600000000002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-56.359699999999997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-57.9422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-55.990200000000002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-54.036000000000001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261.46940000000001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226.8133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178.6224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129.28299999999999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84.394499999999994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49.587200000000003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23.535799999999998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13.2957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-1.1850000000000001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-4.0555000000000003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-6.6616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-8.9566999999999997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-11.1922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-12.6297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-13.9903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-14.5707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-15.1707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0.1328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0.14799999999999999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0.158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0.1704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0.18179999999999999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0.1797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0.1736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0.15340000000000001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0.1046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5.4699999999999999E-2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2.7199999999999998E-2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0.27950000000000003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0.29770000000000002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0.30070000000000002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0.30070000000000002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0.3024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0.30669999999999997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0.31630000000000003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0.30819999999999997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0.2893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0.2878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0.28689999999999999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0.2823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0.27600000000000002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0.26790000000000003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0.25829999999999997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0.24729999999999999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0.2354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0.65920000000000001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0.71730000000000005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0.74780000000000002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0.75390000000000001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0.73280000000000001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0.71479999999999999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0.71799999999999997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0.69310000000000005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0.70250000000000001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0.7097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0.71809999999999996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0.74650000000000005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0.7742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0.7974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0.82010000000000005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0.84289999999999998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0.86660000000000004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2.2800000000000001E-2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4.8300000000000003E-2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8.0699999999999994E-2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0.1104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0.13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0.13600000000000001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0.1394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0.14699999999999999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0.15240000000000001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0.1608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0.16789999999999999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0.17299999999999999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0.17879999999999999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0.18459999999999999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0.1913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0.19789999999999999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0.2039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5.8999999999999999E-3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2.63E-2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4.8800000000000003E-2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0.06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6.4000000000000001E-2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7.46E-2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9.6500000000000002E-2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9.2999999999999999E-2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0.14199999999999999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0.1716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0.19739999999999999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0.23449999999999999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0.26440000000000002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0.29580000000000001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0.31869999999999998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0.32219999999999999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0.32250000000000001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8.7400000000000005E-2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3.0300000000000001E-2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1.2699999999999999E-2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9.7999999999999997E-3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4.5999999999999999E-3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1.5E-3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3.0999999999999999E-3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6.0000000000000001E-3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8.9999999999999993E-3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1.2200000000000001E-2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0.25580000000000003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0.26540000000000002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0.18379999999999999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7.0000000000000007E-2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1.44E-2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2.5000000000000001E-3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2.8E-3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3.0999999999999999E-3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3.5000000000000001E-3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4.0000000000000001E-3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4.4000000000000003E-3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4.7000000000000002E-3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4.1999999999999997E-3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3.8999999999999998E-3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2.8E-3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4.19E-2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2.64E-2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1.14E-2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205.13200000000001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193.63560000000001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166.22030000000001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132.68989999999999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106.4127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89.876400000000004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79.462599999999995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64.7727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53.615699999999997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48.100099999999998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42.873100000000001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36.4116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29.834599999999998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23.584399999999999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17.270800000000001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15.027200000000001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12.9107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261.38479999999998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232.59209999999999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208.5308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176.74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152.49279999999999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138.27279999999999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130.23660000000001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115.0852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103.2599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96.997100000000003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91.012100000000004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85.133200000000002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79.163200000000003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71.340800000000002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63.477400000000003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56.959099999999999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50.571199999999997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0.1381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0.1532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0.95469999999999999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17.378900000000002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43.7774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56.351199999999999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59.836100000000002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57.397300000000001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56.621699999999997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55.4236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50.845100000000002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46.026899999999998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38.994300000000003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31.741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30.097300000000001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28.543099999999999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0.28289999999999998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0.29849999999999999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0.30009999999999998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0.30830000000000002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0.34849999999999998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0.40079999999999999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0.3886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0.37059999999999998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0.33479999999999999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0.32979999999999998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0.32490000000000002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0.32619999999999999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0.3261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0.31879999999999997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0.30780000000000002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0.29310000000000003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0.27829999999999999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0.6583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0.71950000000000003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0.74909999999999999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0.77070000000000005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0.78239999999999998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0.85809999999999997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0.86009999999999998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0.82089999999999996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0.81789999999999996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0.81789999999999996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0.82079999999999997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0.8569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0.89100000000000001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0.91520000000000001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0.93589999999999995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0.9637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0.99209999999999998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2.3300000000000001E-2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4.9700000000000001E-2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8.3799999999999999E-2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0.11749999999999999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0.1409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0.1641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0.16789999999999999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0.17119999999999999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0.1724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0.17879999999999999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0.18440000000000001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0.19270000000000001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0.20200000000000001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0.21010000000000001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0.21790000000000001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0.22550000000000001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0.2324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6.0000000000000001E-3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2.6800000000000001E-2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4.9599999999999998E-2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5.96E-2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9.3799999999999994E-2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0.1983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0.32819999999999999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0.40899999999999997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0.46560000000000001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0.45839999999999997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0.44569999999999999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0.42430000000000001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0.40089999999999998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0.3861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0.36969999999999997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0.35820000000000002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0.34760000000000002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8.7499999999999994E-2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0.03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1.2500000000000001E-2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3.8E-3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0.25819999999999999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0.26729999999999998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0.1842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5.21E-2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8.0000000000000004E-4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5.9999999999999995E-4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4.2099999999999999E-2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2.6800000000000001E-2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1.1599999999999999E-2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207.3646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198.17750000000001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171.5301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111.5265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-11.6204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-76.828800000000001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-103.1557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-110.2084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-110.4508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-111.4988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-112.1972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-106.166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-99.9221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-92.529799999999994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-84.913899999999998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-80.399799999999999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-75.960800000000006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263.56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235.48939999999999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210.69579999999999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164.1035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47.4878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-12.922800000000001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-36.499099999999999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-45.375999999999998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-50.157400000000003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-53.251600000000003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-55.999299999999998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-51.6995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-47.176299999999998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-40.344299999999997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-33.2667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-31.7713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-30.355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0.13739999999999999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0.15190000000000001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0.46929999999999999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2.7143000000000002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7.7182000000000004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11.685499999999999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13.366099999999999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13.8468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13.674799999999999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13.412800000000001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11.9275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10.4351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10.2715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10.0349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10.1736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10.327999999999999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0.28000000000000003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0.29659999999999997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0.29920000000000002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0.29449999999999998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0.29780000000000001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0.31459999999999999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0.33229999999999998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0.33119999999999999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0.30549999999999999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0.3054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0.30609999999999998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0.30759999999999998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0.30680000000000002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0.2994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0.29010000000000002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0.2767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0.26269999999999999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0.65690000000000004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0.71479999999999999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0.74529999999999996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0.77400000000000002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0.76910000000000001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0.7742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0.77659999999999996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0.75119999999999998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0.76349999999999996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0.7661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0.77270000000000005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0.80920000000000003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0.8427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0.87180000000000002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0.89990000000000003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0.92300000000000004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0.94569999999999999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2.29E-2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4.8599999999999997E-2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8.1900000000000001E-2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0.1113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0.1298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0.1353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0.14549999999999999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0.15340000000000001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0.15709999999999999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0.16450000000000001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0.1714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0.18029999999999999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0.1893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0.1971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0.20610000000000001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0.21329999999999999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0.2195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5.8999999999999999E-3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2.6499999999999999E-2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4.9099999999999998E-2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5.6800000000000003E-2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8.1100000000000005E-2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0.1406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0.21279999999999999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0.26419999999999999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0.32190000000000002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0.32269999999999999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0.31630000000000003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0.30690000000000001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0.2918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0.28670000000000001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0.27910000000000001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0.2702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0.26229999999999998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8.72E-2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3.0099999999999998E-2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1.2500000000000001E-2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4.5999999999999999E-3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0.25629999999999997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0.26500000000000001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0.18340000000000001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6.0100000000000001E-2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2.3E-3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2.3E-3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1.6000000000000001E-3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1.1999999999999999E-3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6.9999999999999999E-4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4.0000000000000002E-4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4.19E-2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2.6599999999999999E-2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1.1599999999999999E-2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205.1968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194.61060000000001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167.6737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111.387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27.435500000000001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-10.5627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-30.7453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-38.703699999999998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-44.846699999999998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-48.033499999999997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-50.993000000000002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-54.519599999999997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-58.268700000000003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-59.879600000000003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-61.483800000000002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-58.937100000000001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-56.3048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261.40410000000003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232.73779999999999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208.4117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164.2406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83.357200000000006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48.389200000000002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29.7012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19.7959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10.63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5.7922000000000002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1.1741999999999999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-1.3932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-4.1726999999999999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-5.8365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-7.4638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-8.8833000000000002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-10.225300000000001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0.27110000000000001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5.7141000000000002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13.9466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24.204699999999999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33.622999999999998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41.055399999999999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45.425600000000003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48.040199999999999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47.6372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46.991799999999998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47.017499999999998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46.7316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46.010199999999998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44.955599999999997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41.917400000000001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39.068199999999997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0.28239999999999998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0.27039999999999997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0.21390000000000001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0.2021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0.19739999999999999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0.19919999999999999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0.20449999999999999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0.19650000000000001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0.1822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0.1835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0.18459999999999999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0.1898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0.1938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0.1968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0.19789999999999999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0.19289999999999999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0.18790000000000001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0.66930000000000001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0.71899999999999997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0.68279999999999996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0.7056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0.7107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0.73899999999999999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0.76180000000000003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0.73709999999999998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0.74439999999999995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0.75749999999999995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0.77170000000000005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0.82699999999999996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0.87980000000000003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0.92079999999999995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0.95709999999999995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0.97950000000000004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1.0025999999999999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2.47E-2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5.11E-2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8.6699999999999999E-2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0.127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0.14729999999999999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0.15570000000000001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0.15379999999999999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0.1699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0.17549999999999999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0.18340000000000001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0.1898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0.19950000000000001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0.21010000000000001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0.21870000000000001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0.22720000000000001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0.23230000000000001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0.23699999999999999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6.0000000000000001E-3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2.0500000000000001E-2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3.6400000000000002E-2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5.0999999999999997E-2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7.0999999999999994E-2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8.3299999999999999E-2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8.9300000000000004E-2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0.1331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0.14460000000000001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0.15310000000000001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0.14849999999999999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0.14299999999999999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0.14319999999999999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0.1421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0.1545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8.7099999999999997E-2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2.3900000000000001E-2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0.25969999999999999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0.2301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4.1999999999999997E-3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8.9999999999999998E-4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5.9999999999999995E-4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2.9999999999999997E-4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2.0000000000000001E-4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4.2299999999999997E-2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2.69E-2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1.0999999999999999E-2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211.7424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184.87430000000001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79.931100000000001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19.254200000000001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-33.569000000000003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-66.674499999999995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-83.6875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-90.537899999999993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-93.590999999999994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-89.941699999999997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-85.899799999999999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-91.383600000000001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-96.611999999999995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-94.488200000000006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-92.133600000000001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-92.893199999999993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-93.724000000000004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267.8587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226.63319999999999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128.2516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74.044600000000003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25.4954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-3.4190999999999998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-18.327400000000001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-24.255400000000002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-29.107900000000001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-30.214300000000001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-30.940200000000001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-33.552999999999997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-35.901899999999998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-35.782499999999999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-35.404699999999998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-34.575200000000002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-33.812899999999999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0.26679999999999998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2.1899000000000002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5.859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11.001099999999999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13.637499999999999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16.158000000000001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16.667000000000002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15.7651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14.191700000000001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12.519600000000001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9.7815999999999992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7.1519000000000004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7.1425999999999998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7.1096000000000004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8.2317999999999998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9.3401999999999994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0.28110000000000002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0.30130000000000001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0.29730000000000001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0.3075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0.3226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0.33789999999999998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0.33650000000000002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0.32879999999999998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0.3049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0.30399999999999999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0.30449999999999999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0.30249999999999999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0.29620000000000002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0.28760000000000002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0.27760000000000001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0.26590000000000003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0.25359999999999999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0.65939999999999999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0.71930000000000005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0.74060000000000004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0.76859999999999995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0.76380000000000003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0.7571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0.75860000000000005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0.73099999999999998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0.75360000000000005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0.75829999999999997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0.76700000000000002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0.80189999999999995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0.83089999999999997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0.85519999999999996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0.87829999999999997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0.89949999999999997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0.92120000000000002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2.3099999999999999E-2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4.9200000000000001E-2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8.1500000000000003E-2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0.1132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0.1328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0.1411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0.14549999999999999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0.152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0.1583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0.16639999999999999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0.17419999999999999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0.1825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0.18970000000000001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0.19600000000000001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0.2034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0.20979999999999999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0.2157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5.8999999999999999E-3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2.5999999999999999E-2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4.7399999999999998E-2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6.8900000000000003E-2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0.1119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0.18379999999999999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0.26029999999999998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0.316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0.36599999999999999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0.35659999999999997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0.33910000000000001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0.32719999999999999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0.31319999999999998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0.31259999999999999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0.31059999999999999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0.30080000000000001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0.29149999999999998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8.7400000000000005E-2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2.3199999999999998E-2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0.25619999999999998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0.2455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5.0799999999999998E-2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4.3E-3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1.4E-3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1.4E-3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5.9999999999999995E-4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4.19E-2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2.64E-2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1.15E-2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205.40530000000001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184.42660000000001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126.3192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75.605000000000004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32.8645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2.1406999999999998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-18.420500000000001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-29.1279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-36.076300000000003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-37.577800000000003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-38.6785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-38.069899999999997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-37.5259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-37.461300000000001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-37.525599999999997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-35.937899999999999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-34.261200000000002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261.62180000000001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226.05009999999999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171.13720000000001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123.0243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82.891099999999994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53.993400000000001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35.136899999999997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22.795100000000001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12.879799999999999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9.5177999999999994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6.5467000000000004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7.5762999999999998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8.5393000000000008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7.9024999999999999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7.1599000000000004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4.7028999999999996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2.3342999999999998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0.2772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10.2735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31.372900000000001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54.923499999999997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64.878399999999999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68.471299999999999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67.518299999999996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63.5717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56.6584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49.321100000000001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44.194400000000002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38.824599999999997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40.396999999999998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42.029200000000003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42.253300000000003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42.545699999999997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0.28179999999999999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0.30059999999999998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0.28849999999999998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0.32819999999999999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0.38669999999999999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0.39539999999999997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0.38590000000000002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0.37269999999999998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0.35260000000000002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0.35089999999999999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0.34860000000000002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0.34620000000000001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0.3427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0.33729999999999999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0.33019999999999999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0.31290000000000001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0.29430000000000001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0.65669999999999995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0.71919999999999995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0.72789999999999999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0.81930000000000003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0.86929999999999996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0.86080000000000001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0.85250000000000004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0.82050000000000001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0.84909999999999997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0.84509999999999996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0.84360000000000002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0.877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0.90859999999999996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0.93899999999999995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0.96779999999999999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0.99390000000000001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1.0207999999999999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5.0700000000000002E-2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8.8099999999999998E-2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0.14810000000000001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0.1968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0.20910000000000001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0.2084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0.2102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0.2132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0.21929999999999999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0.22370000000000001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0.2303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0.23830000000000001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0.2467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0.25669999999999998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0.26390000000000002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0.27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6.0000000000000001E-3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2.6499999999999999E-2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6.4000000000000001E-2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0.12670000000000001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0.2056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0.29049999999999998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0.3604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0.39550000000000002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0.41589999999999999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0.3952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0.36749999999999999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0.35949999999999999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0.3498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0.36020000000000002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0.37090000000000001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0.36330000000000001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0.35680000000000001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8.6699999999999999E-2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2.3300000000000001E-2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0.25769999999999998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0.23200000000000001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1.4500000000000001E-2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2.9999999999999997E-4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4.2000000000000003E-2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2.6700000000000002E-2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1.1299999999999999E-2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207.34059999999999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185.1952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100.1585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5.4653999999999998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-70.814099999999996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-99.728999999999999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-110.6617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-110.9665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-111.6999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-102.1807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-92.333100000000002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-90.957400000000007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-89.388999999999996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-88.784199999999998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-88.234899999999996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-90.383300000000006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-92.558300000000003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263.5487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225.98910000000001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146.13659999999999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58.760399999999997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-15.4916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-44.628300000000003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-56.575299999999999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-57.686799999999998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-60.863100000000003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-55.838900000000002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-50.496000000000002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-45.954700000000003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-41.2134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-42.924799999999998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-44.663600000000002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-45.022500000000001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-45.406999999999996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0.27079999999999999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1.6198999999999999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5.0263999999999998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10.379099999999999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15.4122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19.098800000000001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20.299800000000001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19.584800000000001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18.1403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16.565300000000001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16.048100000000002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15.4467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16.0274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16.511199999999999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16.349900000000002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16.257999999999999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0.27939999999999998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0.29959999999999998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0.29570000000000002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0.30620000000000003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0.31359999999999999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0.33910000000000001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0.35070000000000001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0.34420000000000001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0.31790000000000002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0.318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0.31790000000000002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0.31759999999999999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0.31619999999999998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0.31019999999999998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0.30249999999999999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0.28839999999999999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0.2727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0.65610000000000002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0.71679999999999999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0.74429999999999996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0.76990000000000003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0.74770000000000003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0.75980000000000003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0.77829999999999999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0.75570000000000004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0.77990000000000004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0.78869999999999996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0.80030000000000001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0.84050000000000002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0.87929999999999997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0.90880000000000005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0.93759999999999999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0.96330000000000005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0.9879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2.24E-2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4.8300000000000003E-2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8.6199999999999999E-2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0.12989999999999999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0.1603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0.1767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0.18390000000000001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0.18940000000000001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0.19259999999999999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0.2009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0.20799999999999999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0.21629999999999999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0.22600000000000001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0.2351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0.2457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0.25419999999999998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0.26040000000000002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5.8999999999999999E-3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4.8500000000000001E-2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6.9800000000000001E-2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9.6500000000000002E-2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0.1525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0.21809999999999999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0.2767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0.32900000000000001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0.31859999999999999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0.3004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0.28389999999999999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0.26600000000000001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0.25950000000000001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0.25169999999999998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0.2447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0.23910000000000001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8.6999999999999994E-2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2.5999999999999999E-2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2.7000000000000001E-3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0.25609999999999999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0.25180000000000002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8.2500000000000004E-2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1.1599999999999999E-2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1.6000000000000001E-3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1.5E-3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1.4E-3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8.9999999999999998E-4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5.0000000000000001E-4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4.19E-2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2.6599999999999999E-2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1.1599999999999999E-2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205.06630000000001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187.10650000000001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139.00479999999999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82.308099999999996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34.587600000000002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-1.9206000000000001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-26.137699999999999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-39.369700000000002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-50.482500000000002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-53.048699999999997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-55.376399999999997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-55.852600000000002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-56.2988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-57.036900000000003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-57.719799999999999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-55.917000000000002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-54.111400000000003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261.29050000000001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228.1251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182.47139999999999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130.40430000000001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85.236099999999993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49.642099999999999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25.822500000000002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10.906499999999999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-3.2138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-6.5721999999999996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-9.6946999999999992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-11.131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-12.523999999999999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-13.2645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-13.9239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-14.629200000000001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-15.3423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0.14510000000000001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0.1709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0.18279999999999999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0.19470000000000001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0.2074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0.2049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0.19839999999999999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0.17499999999999999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0.1203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6.4399999999999999E-2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3.1899999999999998E-2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0.27789999999999998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0.29530000000000001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0.30059999999999998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0.30099999999999999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0.30309999999999998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0.30840000000000001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0.3196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0.31280000000000002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0.29399999999999998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0.2928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0.29299999999999998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0.29049999999999998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0.28570000000000001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0.27739999999999998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0.26840000000000003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0.2576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0.24610000000000001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0.65600000000000003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0.71319999999999995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0.74760000000000004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0.75570000000000004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0.7359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0.71719999999999995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0.72340000000000004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0.70150000000000001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0.71040000000000003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0.71950000000000003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0.73099999999999998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0.76690000000000003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0.82499999999999996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0.84950000000000003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0.87490000000000001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0.90110000000000001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2.2700000000000001E-2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4.8000000000000001E-2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8.1000000000000003E-2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0.1111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0.13059999999999999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0.1371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0.14099999999999999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0.1489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0.15429999999999999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0.16239999999999999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0.1699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0.17710000000000001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0.1847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0.1915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0.19939999999999999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0.20660000000000001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0.21310000000000001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5.8999999999999999E-3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2.7099999999999999E-2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4.9200000000000001E-2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6.0600000000000001E-2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6.4699999999999994E-2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7.4899999999999994E-2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9.7199999999999995E-2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9.35E-2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0.15129999999999999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0.1875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0.218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0.25879999999999997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0.29070000000000001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0.32069999999999999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0.34110000000000001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0.3412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0.33879999999999999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8.7400000000000005E-2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3.0200000000000001E-2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1.2699999999999999E-2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9.7999999999999997E-3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4.8999999999999998E-3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4.0000000000000002E-4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3.2000000000000002E-3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6.0000000000000001E-3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1.14E-2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1.6899999999999998E-2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2.7699999999999999E-2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2.75E-2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2.7300000000000001E-2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0.25530000000000003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0.26729999999999998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0.1923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8.0699999999999994E-2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2.0299999999999999E-2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2.8E-3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3.2000000000000002E-3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3.7000000000000002E-3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4.4000000000000003E-3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4.5999999999999999E-3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4.7999999999999996E-3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3.8999999999999998E-3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3.3E-3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2.7000000000000001E-3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4.19E-2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2.64E-2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1.15E-2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204.7176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193.9237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166.89570000000001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133.6636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107.73050000000001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88.959900000000005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81.0441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68.356800000000007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58.441000000000003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52.023000000000003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45.770699999999998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37.593400000000003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29.5152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22.7559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15.946899999999999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14.806900000000001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13.789300000000001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260.98099999999999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232.8648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209.2055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177.72460000000001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153.79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137.31630000000001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131.73580000000001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118.5652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108.002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100.8155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93.783799999999999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86.188000000000002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78.714299999999994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70.401899999999998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62.058799999999998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56.628300000000003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51.320700000000002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0.15110000000000001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0.1769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0.97770000000000001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16.831299999999999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43.723700000000001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55.794499999999999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58.8185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56.164099999999998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54.697600000000001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52.918999999999997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47.804400000000001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42.373699999999999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36.4285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30.2532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28.815899999999999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27.437000000000001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0.2828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0.29770000000000002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0.309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0.34939999999999999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0.4052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0.39419999999999999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0.3775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0.34129999999999999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0.3377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0.33389999999999997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0.33389999999999997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0.3337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0.32690000000000002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0.317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0.3004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0.2833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0.65810000000000002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0.71840000000000004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0.74880000000000002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0.77229999999999999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0.78290000000000004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0.86260000000000003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0.86770000000000003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0.83069999999999999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0.82889999999999997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0.83130000000000004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0.83630000000000004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0.87150000000000005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0.90620000000000001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0.9335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0.95789999999999997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0.98419999999999996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1.0119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2.3300000000000001E-2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4.9700000000000001E-2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8.3799999999999999E-2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0.1181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0.1411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0.16600000000000001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0.1709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0.1736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0.17499999999999999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0.18210000000000001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0.18809999999999999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0.19570000000000001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0.2054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0.2147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0.22420000000000001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0.23150000000000001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0.2387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6.0000000000000001E-3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2.7699999999999999E-2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5.0099999999999999E-2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6.0299999999999999E-2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9.4299999999999995E-2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0.19950000000000001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0.3306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0.41189999999999999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0.46600000000000003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0.45490000000000003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0.43919999999999998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0.41720000000000002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0.39240000000000003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0.37959999999999999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0.36480000000000001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0.35310000000000002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0.34210000000000002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8.7499999999999994E-2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2.9899999999999999E-2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1.2500000000000001E-2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3.8E-3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0.2581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0.19209999999999999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6.1800000000000001E-2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8.0000000000000004E-4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5.9999999999999995E-4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4.2099999999999999E-2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2.6700000000000002E-2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1.15E-2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207.21250000000001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198.89750000000001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172.3535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113.0277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-7.8834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-74.231200000000001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-106.0963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-109.1588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-106.69199999999999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-107.1061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-107.26479999999999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-101.2608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-94.974800000000002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-88.548500000000004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-81.9071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-77.695099999999996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-73.505200000000002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263.40910000000002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236.1755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211.50470000000001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165.73869999999999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50.6434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-11.5656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-42.096800000000002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-47.363399999999999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-48.904200000000003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-51.139400000000002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-53.1233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-48.588700000000003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-43.760399999999997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-37.75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-31.5016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-30.1797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-28.880099999999999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0.1497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0.17380000000000001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0.5615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2.91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7.3699000000000003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11.1624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12.166600000000001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12.3241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11.852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11.3108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9.1721000000000004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7.0761000000000003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7.4924999999999997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7.8634000000000004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8.3839000000000006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8.9101999999999997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0.28089999999999998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0.29609999999999997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0.29870000000000002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0.29499999999999998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0.29730000000000001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0.3226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0.3422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0.33829999999999999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0.316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0.31630000000000003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0.31590000000000001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0.31509999999999999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0.31280000000000002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0.30249999999999999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0.28820000000000001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0.27729999999999999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0.26590000000000003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0.65969999999999995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0.71460000000000001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0.74360000000000004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0.76849999999999996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0.76060000000000005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0.78169999999999995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0.78200000000000003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0.75770000000000004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0.77249999999999996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0.7762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0.78180000000000005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0.81910000000000005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0.85470000000000002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0.8841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0.90959999999999996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0.93540000000000001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0.96160000000000001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2.3E-2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4.8800000000000003E-2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8.2299999999999998E-2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0.1138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0.13289999999999999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0.1447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0.15279999999999999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0.15870000000000001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0.16259999999999999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0.17069999999999999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0.1774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0.1865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0.1968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0.20449999999999999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0.2122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0.21970000000000001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0.2266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5.8999999999999999E-3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2.75E-2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4.9599999999999998E-2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5.7700000000000001E-2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7.6100000000000001E-2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0.11899999999999999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0.19939999999999999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0.26069999999999999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0.32440000000000002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0.32619999999999999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0.32129999999999997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0.31469999999999998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0.3034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0.30159999999999998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0.29830000000000001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0.28839999999999999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0.27910000000000001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8.7599999999999997E-2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2.9899999999999999E-2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1.2500000000000001E-2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4.7999999999999996E-3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0.25669999999999998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0.26700000000000002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0.19040000000000001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7.0800000000000002E-2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2.3999999999999998E-3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2.3999999999999998E-3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1.6999999999999999E-3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1.2999999999999999E-3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8.0000000000000004E-4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4.0000000000000002E-4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4.2000000000000003E-2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2.6499999999999999E-2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1.15E-2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205.6593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196.0034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169.2259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116.80329999999999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38.126100000000001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-4.6257999999999999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-28.898099999999999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-36.148600000000002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-41.628999999999998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-43.682600000000001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-45.409399999999998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-45.663699999999999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-45.817399999999999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-48.478999999999999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-50.897100000000002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-48.793799999999997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-46.882800000000003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261.86309999999997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234.0917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209.96250000000001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167.15719999999999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92.931799999999996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54.524000000000001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32.6648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23.529800000000002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14.8409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10.8071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7.0914000000000001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7.2305999999999999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7.4828000000000001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4.0762999999999998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0.92259999999999998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-1.1666000000000001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-3.4489999999999998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0.27100000000000002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5.8098999999999998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14.098100000000001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24.360299999999999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33.302999999999997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39.769599999999997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41.772500000000001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40.952500000000001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40.270499999999998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39.202599999999997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39.466700000000003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39.472799999999999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39.758400000000002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39.728499999999997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39.8262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39.976199999999999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0.2828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0.27039999999999997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0.2135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0.2024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0.2056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0.21190000000000001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0.2031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0.18340000000000001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0.1857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0.1883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0.1938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0.19789999999999999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0.2009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0.20180000000000001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0.19869999999999999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0.19539999999999999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0.66849999999999998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0.71950000000000003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0.68149999999999999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0.70399999999999996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0.71550000000000002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0.75600000000000001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0.78200000000000003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0.75270000000000004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0.75539999999999996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0.77200000000000002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0.79069999999999996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0.84670000000000001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0.89980000000000004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0.93979999999999997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0.97470000000000001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1.0034000000000001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1.0325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2.46E-2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5.0900000000000001E-2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8.6199999999999999E-2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0.12659999999999999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0.14849999999999999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0.15690000000000001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0.14979999999999999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0.17080000000000001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0.17530000000000001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0.18329999999999999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0.18990000000000001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0.20030000000000001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0.2112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0.2208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0.2301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0.23599999999999999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0.24129999999999999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6.0000000000000001E-3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2.1399999999999999E-2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3.7699999999999997E-2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5.1400000000000001E-2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7.0699999999999999E-2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8.3900000000000002E-2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0.10100000000000001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0.1812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0.1883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0.1908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0.18179999999999999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0.1721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0.1668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0.16039999999999999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0.15390000000000001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0.14779999999999999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8.6999999999999994E-2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2.3800000000000002E-2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0.25979999999999998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0.23369999999999999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4.4999999999999997E-3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8.9999999999999998E-4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5.9999999999999995E-4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4.0000000000000002E-4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4.2299999999999997E-2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2.69E-2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1.0999999999999999E-2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211.58269999999999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183.8921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79.244100000000003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18.742000000000001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-33.091999999999999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-66.187200000000004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-83.046099999999996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-92.520700000000005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-92.204999999999998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-88.268000000000001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-83.768600000000006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-87.063599999999994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-90.149900000000002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-88.160799999999995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-85.937100000000001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-88.967200000000005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-91.978099999999998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267.70490000000001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226.81460000000001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128.9829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74.139499999999998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25.223099999999999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-4.2369000000000003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-17.861000000000001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-26.131699999999999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-29.357199999999999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-30.226700000000001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-31.360099999999999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-32.270899999999997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-33.131599999999999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-33.7224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-34.57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-35.401600000000002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0.26240000000000002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2.2122000000000002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5.9340000000000002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11.069699999999999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13.7448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16.182300000000001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16.791499999999999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15.8857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14.2888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12.6012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9.3920999999999992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6.3169000000000004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6.0332999999999997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5.7382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6.7111000000000001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7.6714000000000002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0.28100000000000003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0.30099999999999999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0.29709999999999998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0.30880000000000002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0.32490000000000002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0.34039999999999998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0.33989999999999998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0.33339999999999997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0.3095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0.31009999999999999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0.31019999999999998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0.30869999999999997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0.3044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0.29480000000000001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0.28370000000000001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0.27289999999999998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0.26129999999999998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0.65910000000000002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0.71899999999999997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0.74019999999999997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0.77039999999999997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0.7651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0.75970000000000004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0.76400000000000001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0.73909999999999998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0.76190000000000002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0.76910000000000001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0.77859999999999996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0.81589999999999996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0.8488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0.87590000000000001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0.90110000000000001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0.9264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0.95230000000000004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2.3099999999999999E-2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4.9299999999999997E-2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8.1500000000000003E-2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0.1135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0.1333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0.1419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0.14680000000000001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0.154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0.16059999999999999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0.1696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0.17710000000000001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0.1857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0.1943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0.20119999999999999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0.2089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0.2162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0.2228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5.8999999999999999E-3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2.5899999999999999E-2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4.7300000000000002E-2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6.8699999999999997E-2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0.1079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0.1832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0.26140000000000002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0.31790000000000002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0.36909999999999998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0.3604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0.34399999999999997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0.33310000000000001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0.31940000000000002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0.31940000000000002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0.31809999999999999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0.30869999999999997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0.29980000000000001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8.7400000000000005E-2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2.3099999999999999E-2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0.25619999999999998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0.2485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4.6800000000000001E-2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4.1999999999999997E-3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1.5E-3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1.6000000000000001E-3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1.6000000000000001E-3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1.1999999999999999E-3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6.9999999999999999E-4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2.0000000000000001E-4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4.19E-2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2.64E-2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1.15E-2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205.33080000000001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184.5488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126.2045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76.054500000000004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32.995199999999997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3.2633000000000001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-18.372599999999998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-25.068200000000001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-32.172600000000003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-34.264099999999999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-35.898899999999998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-35.245699999999999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-34.714599999999997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-34.357799999999997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-34.148400000000002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-32.427599999999998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-30.632200000000001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261.54450000000003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225.37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170.1944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122.6438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82.285700000000006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54.371499999999997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34.387799999999999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26.001799999999999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15.864100000000001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11.916499999999999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8.4204000000000008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9.4916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10.4274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10.0863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9.6198999999999995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7.2545000000000002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4.9634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0.27810000000000001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10.4398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32.0625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54.3005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61.452100000000002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64.366299999999995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63.742699999999999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59.943300000000001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53.404899999999998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46.5152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42.860700000000001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38.935699999999997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40.368099999999998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41.722799999999999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42.097299999999997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42.5075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0.2863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0.30909999999999999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0.30259999999999998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0.35570000000000002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0.42849999999999999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0.44319999999999998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0.443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0.44159999999999999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0.42530000000000001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0.42659999999999998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0.42709999999999998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0.42559999999999998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0.4219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0.41620000000000001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0.4073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0.38650000000000001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0.36449999999999999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0.65300000000000002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0.71299999999999997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0.72219999999999995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0.82909999999999995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0.89259999999999995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0.88670000000000004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0.88880000000000003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0.86199999999999999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0.89059999999999995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0.88900000000000001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0.88929999999999998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0.92710000000000004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0.96289999999999998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0.99929999999999997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1.0331999999999999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1.0967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2.3099999999999999E-2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5.16E-2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9.0800000000000006E-2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0.15540000000000001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0.2077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0.22170000000000001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0.2253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0.23139999999999999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0.23780000000000001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0.24660000000000001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0.25430000000000003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0.2641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0.27479999999999999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0.28539999999999999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0.29659999999999997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0.30480000000000002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0.31190000000000001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6.0000000000000001E-3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2.7199999999999998E-2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6.4799999999999996E-2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0.12970000000000001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0.2092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0.29310000000000003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0.35620000000000002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0.38469999999999999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0.40300000000000002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0.38319999999999999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0.35720000000000002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0.35699999999999998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0.35460000000000003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0.36359999999999998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0.37190000000000001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0.3634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0.35599999999999998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8.6800000000000002E-2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2.3300000000000001E-2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0.25740000000000002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0.23380000000000001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1.29E-2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5.9999999999999995E-4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4.0000000000000002E-4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4.1799999999999997E-2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2.63E-2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207.37309999999999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184.24189999999999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96.561899999999994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4.2161999999999997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-71.238600000000005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-96.396299999999997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-111.3199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-111.1497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-107.1459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-97.669700000000006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-87.909300000000002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-88.213300000000004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-88.351600000000005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-87.708399999999997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-86.982100000000003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-89.312399999999997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-91.6845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263.55369999999999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225.9974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143.54150000000001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56.626600000000003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-15.8377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-41.223500000000001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-57.299300000000002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-58.161499999999997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-56.791499999999999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-51.867100000000001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-46.670099999999998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-43.7761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-40.702500000000001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-42.345999999999997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-43.868899999999996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-44.345799999999997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-44.860300000000002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0.27110000000000001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1.7707999999999999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5.6794000000000002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11.6678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17.291499999999999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21.2407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0.2792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0.29980000000000001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0.29409999999999997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0.3054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0.31309999999999999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0.34129999999999999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0.35460000000000003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0.65569999999999995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0.71750000000000003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0.745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0.77080000000000004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0.75090000000000001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0.76939999999999997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0.78990000000000005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2.2499999999999999E-2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4.8500000000000001E-2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8.6599999999999996E-2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0.1305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0.161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0.17860000000000001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0.18679999999999999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5.8999999999999999E-3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2.7300000000000001E-2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4.9000000000000002E-2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7.1999999999999995E-2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0.1007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0.15709999999999999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0.22359999999999999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8.6999999999999994E-2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2.5899999999999999E-2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2.7000000000000001E-3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0.25609999999999999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0.25740000000000002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8.7800000000000003E-2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1.2699999999999999E-2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1.2999999999999999E-3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4.19E-2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2.6499999999999999E-2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1.1599999999999999E-2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205.16749999999999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188.91499999999999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141.8006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84.667199999999994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36.084499999999998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-1.9193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-27.201799999999999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261.39030000000002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229.85830000000001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185.0384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131.4743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85.1477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47.839199999999998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22.9102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0.17419999999999999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0.19969999999999999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0.21199999999999999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0.22739999999999999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0.2457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0.24260000000000001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0.28570000000000001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0.3014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0.2994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0.29930000000000001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0.29930000000000001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0.30499999999999999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0.31659999999999999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0.66720000000000002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0.7228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0.74550000000000005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0.74919999999999998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0.7329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0.71630000000000005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0.72509999999999997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2.4799999999999999E-2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5.0900000000000001E-2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8.0399999999999999E-2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0.10929999999999999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0.12920000000000001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0.13619999999999999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0.14099999999999999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5.8999999999999999E-3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2.76E-2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4.9399999999999999E-2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6.08E-2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6.54E-2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7.5399999999999995E-2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9.8500000000000004E-2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8.7800000000000003E-2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3.0300000000000001E-2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1.24E-2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9.4999999999999998E-3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4.7999999999999996E-3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0.25769999999999998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0.2712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0.1908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8.1500000000000003E-2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2.12E-2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4.2000000000000003E-2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2.6499999999999999E-2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1.14E-2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205.49449999999999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193.16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166.5213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133.1207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107.9727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89.298299999999998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78.771500000000003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261.74180000000001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232.15209999999999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208.93530000000001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177.25399999999999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154.0549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137.65620000000001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129.4205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0.17380000000000001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0.1991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0.97640000000000005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15.0616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40.808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52.211300000000001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0.28389999999999999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0.29820000000000002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0.29399999999999998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0.29749999999999999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0.3397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0.39140000000000003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0.371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0.66920000000000002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0.72640000000000005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0.74939999999999996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0.77780000000000005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0.77759999999999996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0.85450000000000004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0.85629999999999995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2.4799999999999999E-2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5.0599999999999999E-2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7.9399999999999998E-2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0.11550000000000001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0.1371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0.16209999999999999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0.16589999999999999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5.8999999999999999E-3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2.76E-2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4.9299999999999997E-2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6.0400000000000002E-2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9.5100000000000004E-2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0.19900000000000001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0.3296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8.77E-2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3.0200000000000001E-2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1.23E-2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3.7000000000000002E-3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0.25790000000000002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0.27150000000000002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0.19089999999999999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6.25E-2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6.9999999999999999E-4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4.2200000000000001E-2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2.6700000000000002E-2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1.15E-2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205.40860000000001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194.5761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169.37559999999999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113.1944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-4.9642999999999997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-73.281599999999997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-105.1985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261.66750000000002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232.10570000000001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208.85820000000001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165.4563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53.153599999999997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-10.924300000000001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-41.345700000000001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0.17530000000000001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0.2039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0.64459999999999995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4.4607000000000001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7.8710000000000004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11.6351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0.27760000000000001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0.2918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0.29149999999999998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0.28620000000000001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0.28039999999999998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0.31259999999999999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0.32640000000000002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0.6583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0.71789999999999998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0.74919999999999998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0.7762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0.76019999999999999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0.78659999999999997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0.77959999999999996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4.8599999999999997E-2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8.14E-2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0.112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0.13009999999999999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0.14360000000000001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0.1507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5.8999999999999999E-3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2.7699999999999999E-2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4.9700000000000001E-2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5.8200000000000002E-2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7.9600000000000004E-2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0.14349999999999999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0.24279999999999999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8.7300000000000003E-2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2.9899999999999999E-2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1.2500000000000001E-2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4.8999999999999998E-3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0.2571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0.26929999999999998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0.19170000000000001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7.2800000000000004E-2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1.6000000000000001E-3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4.2099999999999999E-2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2.6800000000000001E-2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1.17E-2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205.4418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194.09889999999999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168.13040000000001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116.05629999999999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40.651800000000001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-8.3857999999999997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-39.162199999999999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261.65190000000001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232.27199999999999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208.95400000000001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167.27590000000001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97.192400000000006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51.540100000000002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23.085100000000001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0.27189999999999998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5.8647999999999998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14.1746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24.809899999999999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33.719000000000001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40.646299999999997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0.28720000000000001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0.27710000000000001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0.2238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0.21840000000000001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0.22309999999999999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0.23449999999999999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0.24479999999999999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0.66659999999999997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0.71760000000000002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0.68659999999999999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0.72309999999999997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0.75270000000000004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0.81020000000000003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0.84660000000000002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2.4899999999999999E-2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5.2200000000000003E-2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9.01E-2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0.1351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0.16450000000000001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0.17699999999999999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0.17680000000000001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6.0000000000000001E-3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2.1299999999999999E-2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3.73E-2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5.1700000000000003E-2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7.1499999999999994E-2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8.4000000000000005E-2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9.9900000000000003E-2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8.72E-2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2.3800000000000002E-2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0.25940000000000002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0.23619999999999999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6.1000000000000004E-3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4.2000000000000003E-2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2.6499999999999999E-2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1.09E-2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211.7731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183.75399999999999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78.428299999999993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18.028500000000001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-34.522799999999997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-68.058499999999995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-84.620900000000006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267.8657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225.66069999999999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126.9053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72.814300000000003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23.958500000000001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-5.8491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-20.924199999999999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0.26519999999999999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2.6842000000000001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7.1215000000000002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13.0473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15.9054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18.4574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0.28110000000000002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0.30159999999999998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0.29649999999999999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0.30740000000000001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0.32790000000000002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0.34510000000000002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0.34379999999999999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0.65900000000000003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0.71950000000000003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0.73970000000000002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0.76910000000000001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0.77239999999999998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0.76829999999999998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0.77139999999999997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2.3199999999999998E-2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4.9299999999999997E-2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8.14E-2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0.1137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0.13450000000000001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0.14349999999999999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0.14860000000000001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5.8999999999999999E-3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2.5899999999999999E-2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4.7800000000000002E-2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7.0800000000000002E-2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0.1905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0.27089999999999997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8.7400000000000005E-2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2.3099999999999999E-2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0.25609999999999999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0.25180000000000002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4.6100000000000002E-2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3.3999999999999998E-3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1.4E-3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1.4E-3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1.4E-3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4.19E-2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2.64E-2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1.15E-2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205.2816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185.15270000000001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126.53749999999999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74.344899999999996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29.694700000000001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0.19009999999999999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-20.292200000000001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261.49540000000002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226.672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171.28200000000001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121.74250000000001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79.660700000000006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51.930999999999997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33.0533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0.27860000000000001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10.5921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33.002099999999999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56.127699999999997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64.721599999999995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68.0976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0.2863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0.30990000000000001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0.30249999999999999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0.35680000000000001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0.4279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0.44619999999999999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0.44750000000000001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0.65290000000000004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0.71319999999999995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0.7218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0.83130000000000004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0.89349999999999996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0.89249999999999996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0.89249999999999996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2.3199999999999998E-2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5.1700000000000003E-2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9.0999999999999998E-2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0.1565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0.20880000000000001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0.2233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0.2268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6.0000000000000001E-3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2.6800000000000001E-2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6.4500000000000002E-2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0.1308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0.21299999999999999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0.29730000000000001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0.3624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8.6900000000000005E-2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2.3300000000000001E-2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0.25740000000000002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0.23669999999999999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5.9999999999999995E-4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4.0000000000000002E-4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4.1799999999999997E-2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2.63E-2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1.0999999999999999E-2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207.34450000000001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184.5171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95.647599999999997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1.5137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-73.584299999999999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-100.88200000000001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-112.1776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263.52569999999997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226.37100000000001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143.0427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54.709899999999998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-17.6358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-44.983400000000003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-57.311799999999998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2025-09-22T17:16:43Z</dcterms:modified>
</cp:coreProperties>
</file>