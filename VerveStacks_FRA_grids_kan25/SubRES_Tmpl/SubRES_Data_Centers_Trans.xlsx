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FRA_grids_kan25\SubRES_Tmpl\"/>
    </mc:Choice>
  </mc:AlternateContent>
  <xr:revisionPtr revIDLastSave="0" documentId="13_ncr:1_{1AFA3C06-AB26-48C6-90B1-FC0CC294D76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DC detail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6" l="1"/>
  <c r="N11" i="6"/>
  <c r="K11" i="6"/>
  <c r="L11" i="6" s="1"/>
  <c r="M11" i="6" s="1"/>
  <c r="J11" i="6"/>
  <c r="E13" i="6"/>
  <c r="E14" i="6"/>
  <c r="E15" i="6"/>
  <c r="E16" i="6"/>
  <c r="E12" i="6"/>
</calcChain>
</file>

<file path=xl/sharedStrings.xml><?xml version="1.0" encoding="utf-8"?>
<sst xmlns="http://schemas.openxmlformats.org/spreadsheetml/2006/main" count="47" uniqueCount="29">
  <si>
    <t>process</t>
  </si>
  <si>
    <t>commodity</t>
  </si>
  <si>
    <t>io</t>
  </si>
  <si>
    <t>IN</t>
  </si>
  <si>
    <t>e_w79866837-400_FRA</t>
  </si>
  <si>
    <t>e_w85203486-400_FRA</t>
  </si>
  <si>
    <t>paris</t>
  </si>
  <si>
    <t>dunkirk</t>
  </si>
  <si>
    <t>e_w49510896-400_FRA</t>
  </si>
  <si>
    <t>Toulouse</t>
  </si>
  <si>
    <t>e_w24020601-400_FRA</t>
  </si>
  <si>
    <t>Lyon</t>
  </si>
  <si>
    <t>e_w90842395-400_FRA</t>
  </si>
  <si>
    <t>Nice</t>
  </si>
  <si>
    <t>~tfm_topins</t>
  </si>
  <si>
    <t>DC_1</t>
  </si>
  <si>
    <t>DC_2</t>
  </si>
  <si>
    <t>DC_3</t>
  </si>
  <si>
    <t>DC_4</t>
  </si>
  <si>
    <t>DC_5</t>
  </si>
  <si>
    <t>Total</t>
  </si>
  <si>
    <t>~tfm_ins</t>
  </si>
  <si>
    <t>attribute</t>
  </si>
  <si>
    <t>cap2act</t>
  </si>
  <si>
    <t>value</t>
  </si>
  <si>
    <t>DC_*</t>
  </si>
  <si>
    <t>eff</t>
  </si>
  <si>
    <t>~tfm_ins-TS: attribute=NCAP_AF; limtype=FX</t>
  </si>
  <si>
    <t>~tfm_ins-TS: attribute=NCAP_PASTI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</si>
</sst>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0" borderId="0"/>
    <xf numFmtId="0" fontId="7" fillId="0" borderId="0"/>
    <xf numFmtId="9" fontId="7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xfId="0"/>
    <xf numFmtId="0" fontId="2" fillId="0" borderId="0" xfId="0" applyFont="1"/>
    <xf numFmtId="0" fontId="9" fillId="0" borderId="0" xfId="0" applyFont="1"/>
  </cellXfs>
  <cellStyles count="14">
    <cellStyle name="20% - Accent3 3 2" xfId="3" xr:uid="{59D3A925-6B7E-44B5-81EC-8C6FF8CA8AE5}"/>
    <cellStyle name="Comma 2" xfId="7" xr:uid="{2CEE6867-970A-42EA-BCFF-691982426456}"/>
    <cellStyle name="Neutral 2" xfId="1" xr:uid="{32FA146A-D266-4079-A99E-8A626F062ABE}"/>
    <cellStyle name="Normal" xfId="0" builtinId="0"/>
    <cellStyle name="Normal 10" xfId="13" xr:uid="{5B373CF2-B0E2-43EE-8D33-7FD41D45955C}"/>
    <cellStyle name="Normal 2" xfId="9" xr:uid="{5DC9C16E-B6D3-4458-B5A9-A445D3C07A92}"/>
    <cellStyle name="Normal 3" xfId="2" xr:uid="{FCFE18AD-AB16-4E25-B48A-C7B8A7745BD4}"/>
    <cellStyle name="Normal 3 2" xfId="4" xr:uid="{92C1BEAD-FDFC-4E87-A8E8-7737F88712D8}"/>
    <cellStyle name="Normal 4" xfId="5" xr:uid="{2AF13847-A8A9-4252-AA34-DFF2B743A685}"/>
    <cellStyle name="Normal 4 2" xfId="10" xr:uid="{7472EA0D-65E2-4F47-9D9D-F6F8FAF5327B}"/>
    <cellStyle name="Normal 5" xfId="11" xr:uid="{DDCF67BE-EB9E-42E3-8F45-A34E93113CCA}"/>
    <cellStyle name="Normal 5 2" xfId="12" xr:uid="{A5A68E1F-56AE-40E4-B5FC-371D74DDD53F}"/>
    <cellStyle name="Normal 6" xfId="8" xr:uid="{0A77384E-3D34-4B23-B744-E0E385FFB9A4}"/>
    <cellStyle name="Percent 4" xfId="6" xr:uid="{9F165C27-B9A1-42E0-A41F-91FE18CE7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C2:R26"/>
  <sheetViews>
    <sheetView tabSelected="1" workbookViewId="0">
      <selection activeCell="R23" sqref="R23"/>
    </sheetView>
  </sheetViews>
  <sheetFormatPr defaultRowHeight="14.25"/>
  <cols>
    <col min="3" max="3" width="10.265625" bestFit="1" customWidth="1"/>
    <col min="4" max="4" width="7.796875" bestFit="1" customWidth="1"/>
    <col min="5" max="5" width="19.73046875" bestFit="1" customWidth="1"/>
    <col min="8" max="8" width="9.86328125" customWidth="1"/>
    <col min="9" max="16" width="4.73046875" bestFit="1" customWidth="1"/>
    <col min="20" max="20" width="15.53125" customWidth="1"/>
    <col min="21" max="21" width="4.73046875" bestFit="1" customWidth="1"/>
    <col min="22" max="22" width="5.46484375" bestFit="1" customWidth="1"/>
  </cols>
  <sheetData>
    <row r="2" spans="3:16">
      <c r="D2" t="s">
        <v>6</v>
      </c>
      <c r="E2" t="s">
        <v>4</v>
      </c>
      <c r="H2" t="s">
        <v>21</v>
      </c>
    </row>
    <row r="3" spans="3:16">
      <c r="D3" t="s">
        <v>7</v>
      </c>
      <c r="E3" t="s">
        <v>5</v>
      </c>
      <c r="H3" t="s">
        <v>22</v>
      </c>
      <c r="I3" t="s">
        <v>24</v>
      </c>
      <c r="J3" t="s">
        <v>0</v>
      </c>
    </row>
    <row r="4" spans="3:16">
      <c r="D4" t="s">
        <v>9</v>
      </c>
      <c r="E4" t="s">
        <v>8</v>
      </c>
      <c r="H4" t="s">
        <v>23</v>
      </c>
      <c r="I4">
        <v>8.76</v>
      </c>
      <c r="J4" t="s">
        <v>25</v>
      </c>
    </row>
    <row r="5" spans="3:16">
      <c r="D5" t="s">
        <v>11</v>
      </c>
      <c r="E5" t="s">
        <v>10</v>
      </c>
      <c r="H5" t="s">
        <v>26</v>
      </c>
      <c r="I5">
        <v>1</v>
      </c>
      <c r="J5" t="s">
        <v>25</v>
      </c>
    </row>
    <row r="6" spans="3:16">
      <c r="D6" t="s">
        <v>13</v>
      </c>
      <c r="E6" t="s">
        <v>12</v>
      </c>
    </row>
    <row r="10" spans="3:16">
      <c r="C10" t="s">
        <v>14</v>
      </c>
      <c r="H10" t="s">
        <v>28</v>
      </c>
    </row>
    <row r="11" spans="3:16">
      <c r="C11" t="s">
        <v>0</v>
      </c>
      <c r="D11" t="s">
        <v>2</v>
      </c>
      <c r="E11" t="s">
        <v>1</v>
      </c>
      <c r="H11" t="s">
        <v>0</v>
      </c>
      <c r="I11">
        <v>2025</v>
      </c>
      <c r="J11">
        <f>I11+1</f>
        <v>2026</v>
      </c>
      <c r="K11">
        <f t="shared" ref="K11:N11" si="0">J11+1</f>
        <v>2027</v>
      </c>
      <c r="L11">
        <f t="shared" si="0"/>
        <v>2028</v>
      </c>
      <c r="M11">
        <f t="shared" si="0"/>
        <v>2029</v>
      </c>
      <c r="N11">
        <f t="shared" si="0"/>
        <v>2030</v>
      </c>
      <c r="O11">
        <v>2032</v>
      </c>
      <c r="P11">
        <v>2035</v>
      </c>
    </row>
    <row r="12" spans="3:16">
      <c r="C12" t="s">
        <v>15</v>
      </c>
      <c r="D12" t="s">
        <v>3</v>
      </c>
      <c r="E12" t="str">
        <f>E2</f>
        <v>e_w79866837-400_FRA</v>
      </c>
      <c r="H12" t="s">
        <v>15</v>
      </c>
      <c r="J12">
        <v>0.5</v>
      </c>
      <c r="L12">
        <v>0.5</v>
      </c>
      <c r="N12">
        <v>1</v>
      </c>
    </row>
    <row r="13" spans="3:16">
      <c r="C13" t="s">
        <v>16</v>
      </c>
      <c r="D13" t="s">
        <v>3</v>
      </c>
      <c r="E13" t="str">
        <f>E3</f>
        <v>e_w85203486-400_FRA</v>
      </c>
      <c r="H13" t="s">
        <v>16</v>
      </c>
      <c r="K13">
        <v>0.5</v>
      </c>
      <c r="M13">
        <v>0.5</v>
      </c>
      <c r="O13">
        <v>1</v>
      </c>
    </row>
    <row r="14" spans="3:16">
      <c r="C14" t="s">
        <v>17</v>
      </c>
      <c r="D14" t="s">
        <v>3</v>
      </c>
      <c r="E14" t="str">
        <f>E4</f>
        <v>e_w49510896-400_FRA</v>
      </c>
      <c r="H14" t="s">
        <v>17</v>
      </c>
      <c r="K14">
        <v>1</v>
      </c>
      <c r="N14">
        <v>1</v>
      </c>
    </row>
    <row r="15" spans="3:16">
      <c r="C15" t="s">
        <v>18</v>
      </c>
      <c r="D15" t="s">
        <v>3</v>
      </c>
      <c r="E15" t="str">
        <f>E5</f>
        <v>e_w24020601-400_FRA</v>
      </c>
      <c r="H15" t="s">
        <v>18</v>
      </c>
      <c r="J15">
        <v>0.25</v>
      </c>
      <c r="K15">
        <v>0.25</v>
      </c>
      <c r="M15">
        <v>0.5</v>
      </c>
    </row>
    <row r="16" spans="3:16">
      <c r="C16" t="s">
        <v>19</v>
      </c>
      <c r="D16" t="s">
        <v>3</v>
      </c>
      <c r="E16" t="str">
        <f>E6</f>
        <v>e_w90842395-400_FRA</v>
      </c>
      <c r="H16" t="s">
        <v>19</v>
      </c>
      <c r="L16">
        <v>1</v>
      </c>
    </row>
    <row r="18" spans="8:18">
      <c r="Q18" s="1">
        <f>SUM(I12:Q16)</f>
        <v>8</v>
      </c>
      <c r="R18" s="2" t="s">
        <v>20</v>
      </c>
    </row>
    <row r="20" spans="8:18">
      <c r="H20" t="s">
        <v>27</v>
      </c>
    </row>
    <row r="21" spans="8:18">
      <c r="H21" t="s">
        <v>0</v>
      </c>
      <c r="I21">
        <v>2025</v>
      </c>
      <c r="J21">
        <v>0</v>
      </c>
    </row>
    <row r="22" spans="8:18">
      <c r="H22" t="s">
        <v>15</v>
      </c>
      <c r="I22">
        <v>0.85</v>
      </c>
      <c r="J22">
        <v>3</v>
      </c>
    </row>
    <row r="23" spans="8:18">
      <c r="H23" t="s">
        <v>16</v>
      </c>
      <c r="I23">
        <v>0.85</v>
      </c>
      <c r="J23">
        <v>3</v>
      </c>
    </row>
    <row r="24" spans="8:18">
      <c r="H24" t="s">
        <v>17</v>
      </c>
      <c r="I24">
        <v>0.85</v>
      </c>
      <c r="J24">
        <v>3</v>
      </c>
    </row>
    <row r="25" spans="8:18">
      <c r="H25" t="s">
        <v>18</v>
      </c>
      <c r="I25">
        <v>0.85</v>
      </c>
      <c r="J25">
        <v>3</v>
      </c>
    </row>
    <row r="26" spans="8:18">
      <c r="H26" t="s">
        <v>19</v>
      </c>
      <c r="I26">
        <v>0.85</v>
      </c>
      <c r="J26">
        <v>3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2026-07-23T08:12:04Z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