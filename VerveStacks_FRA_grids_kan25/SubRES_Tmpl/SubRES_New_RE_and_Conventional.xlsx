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SubRES_Tmpl\"/>
    </mc:Choice>
  </mc:AlternateContent>
  <xr:revisionPtr revIDLastSave="0" documentId="8_{55103FB5-0894-458E-9986-5011D3071B53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<sst xmlns="http://schemas.openxmlformats.org/spreadsheetml/2006/main" count="2396" uniqueCount="648">
  <si>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</si>
  <si>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</si>
  <si>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</si>
  <si>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</si>
  <si>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</si>
  <si>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</si>
  <si>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</si>
  <si>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</si>
  <si>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</si>
  <si>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</si>
  <si>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</si>
  <si>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</si>
  <si>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</si>
  <si>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</si>
  <si>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</si>
  <si>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</si>
  <si>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</si>
  <si>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</si>
  <si>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</si>
  <si>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</si>
  <si>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</si>
  <si>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</si>
  <si>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</si>
  <si>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</si>
  <si>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</si>
  <si>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</si>
  <si>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</si>
  <si>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</si>
  <si>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</si>
  <si>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</si>
  <si>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</si>
  <si>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</si>
  <si>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</si>
  <si>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</si>
  <si>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</si>
  <si>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</si>
  <si>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</si>
  <si>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</si>
  <si>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</si>
  <si>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</si>
  <si>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</si>
  <si>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</si>
  <si>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</si>
  <si>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</si>
  <si>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</si>
  <si>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</si>
  <si>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</si>
  <si>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</si>
  <si>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</si>
  <si>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</si>
  <si>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</si>
  <si>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</si>
  <si>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</si>
  <si>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</si>
  <si>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</si>
  <si>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</si>
  <si>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</si>
  <si>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</si>
  <si>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</si>
  <si>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</si>
  <si>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</si>
  <si>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</si>
  <si>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</si>
  <si>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</si>
  <si>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</si>
  <si>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</si>
  <si>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</si>
  <si>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</si>
  <si>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</si>
  <si>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</si>
  <si>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</si>
  <si>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</si>
  <si>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</si>
  <si>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</si>
  <si>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</si>
  <si>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</si>
  <si>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</si>
  <si>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</si>
  <si>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</si>
  <si>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</si>
  <si>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</si>
  <si>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</si>
  <si>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</si>
  <si>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</si>
  <si>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</si>
  <si>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</si>
  <si>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</si>
  <si>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</si>
  <si>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</si>
  <si>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</si>
  <si>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</si>
  <si>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</si>
  <si>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</si>
  <si>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</si>
  <si>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</si>
  <si>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</si>
  <si>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</si>
  <si>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</si>
  <si>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</si>
  <si>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</si>
  <si>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</si>
  <si>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</si>
  <si>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</si>
  <si>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</si>
  <si>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</si>
  <si>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</si>
  <si>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</si>
  <si>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</si>
  <si>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</si>
  <si>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</si>
  <si>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</si>
  <si>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</si>
  <si>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</si>
  <si>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</si>
  <si>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</si>
  <si>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</si>
  <si>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</si>
  <si>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</si>
  <si>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</si>
  <si>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</si>
  <si>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</si>
  <si>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</si>
  <si>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</si>
  <si>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</si>
  <si>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</si>
  <si>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</si>
  <si>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</si>
  <si>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</si>
  <si>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</si>
  <si>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</si>
  <si>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</si>
  <si>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</si>
  <si>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</si>
  <si>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</si>
  <si>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</si>
  <si>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</si>
  <si>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</si>
  <si>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</si>
  <si>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</si>
  <si>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</si>
  <si>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</si>
  <si>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</si>
  <si>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</si>
  <si>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</si>
  <si>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</si>
  <si>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</si>
  <si>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</si>
  <si>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</si>
  <si>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</si>
  <si>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</si>
  <si>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</si>
  <si>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</si>
  <si>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</si>
  <si>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</si>
  <si>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</si>
  <si>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</si>
  <si>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</si>
  <si>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</si>
  <si>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</si>
  <si>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</si>
  <si>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</si>
  <si>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</si>
  <si>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</si>
  <si>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</si>
  <si>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</si>
  <si>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</si>
  <si>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</si>
  <si>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</si>
  <si>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</si>
  <si>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</si>
  <si>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</si>
  <si>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</si>
  <si>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</si>
  <si>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e_spv_FRA_001</t>
  </si>
  <si>
    <t>solar resource in cluster 1</t>
  </si>
  <si>
    <t>annual</t>
  </si>
  <si>
    <t>no</t>
  </si>
  <si>
    <t>e_spv_FRA_002</t>
  </si>
  <si>
    <t>solar resource in cluster 2</t>
  </si>
  <si>
    <t>e_spv_FRA_003</t>
  </si>
  <si>
    <t>solar resource in cluster 3</t>
  </si>
  <si>
    <t>e_spv_FRA_004</t>
  </si>
  <si>
    <t>solar resource in cluster 4</t>
  </si>
  <si>
    <t>e_spv_FRA_005</t>
  </si>
  <si>
    <t>solar resource in cluster 5</t>
  </si>
  <si>
    <t>e_spv_FRA_006</t>
  </si>
  <si>
    <t>solar resource in cluster 6</t>
  </si>
  <si>
    <t>e_spv_FRA_007</t>
  </si>
  <si>
    <t>solar resource in cluster 7</t>
  </si>
  <si>
    <t>e_spv_FRA_008</t>
  </si>
  <si>
    <t>solar resource in cluster 8</t>
  </si>
  <si>
    <t>e_spv_FRA_009</t>
  </si>
  <si>
    <t>solar resource in cluster 9</t>
  </si>
  <si>
    <t>e_spv_FRA_010</t>
  </si>
  <si>
    <t>solar resource in cluster 10</t>
  </si>
  <si>
    <t>e_spv_FRA_011</t>
  </si>
  <si>
    <t>solar resource in cluster 11</t>
  </si>
  <si>
    <t>e_spv_FRA_012</t>
  </si>
  <si>
    <t>solar resource in cluster 12</t>
  </si>
  <si>
    <t>e_spv_FRA_013</t>
  </si>
  <si>
    <t>solar resource in cluster 13</t>
  </si>
  <si>
    <t>e_spv_FRA_014</t>
  </si>
  <si>
    <t>solar resource in cluster 14</t>
  </si>
  <si>
    <t>e_spv_FRA_015</t>
  </si>
  <si>
    <t>solar resource in cluster 15</t>
  </si>
  <si>
    <t>e_spv_FRA_016</t>
  </si>
  <si>
    <t>solar resource in cluster 16</t>
  </si>
  <si>
    <t>e_spv_FRA_017</t>
  </si>
  <si>
    <t>solar resource in cluster 17</t>
  </si>
  <si>
    <t>e_spv_FRA_018</t>
  </si>
  <si>
    <t>solar resource in cluster 18</t>
  </si>
  <si>
    <t>e_spv_FRA_019</t>
  </si>
  <si>
    <t>solar resource in cluster 19</t>
  </si>
  <si>
    <t>e_spv_FRA_020</t>
  </si>
  <si>
    <t>solar resource in cluster 20</t>
  </si>
  <si>
    <t>e_spv_FRA_021</t>
  </si>
  <si>
    <t>solar resource in cluster 21</t>
  </si>
  <si>
    <t>e_spv_FRA_022</t>
  </si>
  <si>
    <t>solar resource in cluster 22</t>
  </si>
  <si>
    <t>e_spv_FRA_023</t>
  </si>
  <si>
    <t>solar resource in cluster 23</t>
  </si>
  <si>
    <t>e_spv_FRA_024</t>
  </si>
  <si>
    <t>solar resource in cluster 24</t>
  </si>
  <si>
    <t>e_spv_FRA_025</t>
  </si>
  <si>
    <t>solar resource in cluster 25</t>
  </si>
  <si>
    <t>e_spv_FRA_026</t>
  </si>
  <si>
    <t>solar resource in cluster 26</t>
  </si>
  <si>
    <t>e_spv_FRA_027</t>
  </si>
  <si>
    <t>solar resource in cluster 27</t>
  </si>
  <si>
    <t>e_spv_FRA_028</t>
  </si>
  <si>
    <t>solar resource in cluster 28</t>
  </si>
  <si>
    <t>e_spv_FRA_029</t>
  </si>
  <si>
    <t>solar resource in cluster 29</t>
  </si>
  <si>
    <t>e_spv_FRA_030</t>
  </si>
  <si>
    <t>solar resource in cluster 30</t>
  </si>
  <si>
    <t>~fi_t</t>
  </si>
  <si>
    <t>comm-out</t>
  </si>
  <si>
    <t>cap_bnd</t>
  </si>
  <si>
    <t>af~fx</t>
  </si>
  <si>
    <t>elc_spv_FRA_001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</si>
  <si>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</si>
  <si>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</si>
  <si>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</si>
  <si>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</si>
  <si>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</si>
  <si>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</si>
  <si>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</si>
  <si>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</si>
  <si>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</si>
  <si>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</si>
  <si>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</si>
  <si>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</si>
  <si>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</si>
  <si>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</si>
  <si>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</si>
  <si>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</si>
  <si>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</si>
  <si>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</si>
  <si>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</si>
  <si>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</si>
  <si>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</si>
  <si>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</si>
  <si>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</si>
  <si>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</si>
  <si>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</si>
  <si>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</si>
  <si>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</si>
  <si>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</si>
  <si>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</si>
  <si>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primarycg</t>
  </si>
  <si>
    <t>pre</t>
  </si>
  <si>
    <t>distr_solelc_spv_FRA_019</t>
  </si>
  <si>
    <t>connecting solar to buses in cluster 19</t>
  </si>
  <si>
    <t>NRGI</t>
  </si>
  <si>
    <t>daynite</t>
  </si>
  <si>
    <t>distr_solelc_spv_FRA_003</t>
  </si>
  <si>
    <t>connecting solar to buses in cluster 3</t>
  </si>
  <si>
    <t>distr_solelc_spv_FRA_015</t>
  </si>
  <si>
    <t>connecting solar to buses in cluster 15</t>
  </si>
  <si>
    <t>distr_solelc_spv_FRA_017</t>
  </si>
  <si>
    <t>connecting solar to buses in cluster 17</t>
  </si>
  <si>
    <t>distr_solelc_spv_FRA_030</t>
  </si>
  <si>
    <t>connecting solar to buses in cluster 30</t>
  </si>
  <si>
    <t>distr_solelc_spv_FRA_018</t>
  </si>
  <si>
    <t>connecting solar to buses in cluster 18</t>
  </si>
  <si>
    <t>distr_solelc_spv_FRA_020</t>
  </si>
  <si>
    <t>connecting solar to buses in cluster 20</t>
  </si>
  <si>
    <t>distr_solelc_spv_FRA_005</t>
  </si>
  <si>
    <t>connecting solar to buses in cluster 5</t>
  </si>
  <si>
    <t>distr_solelc_spv_FRA_026</t>
  </si>
  <si>
    <t>connecting solar to buses in cluster 26</t>
  </si>
  <si>
    <t>distr_solelc_spv_FRA_029</t>
  </si>
  <si>
    <t>connecting solar to buses in cluster 29</t>
  </si>
  <si>
    <t>distr_solelc_spv_FRA_025</t>
  </si>
  <si>
    <t>connecting solar to buses in cluster 25</t>
  </si>
  <si>
    <t>distr_solelc_spv_FRA_006</t>
  </si>
  <si>
    <t>connecting solar to buses in cluster 6</t>
  </si>
  <si>
    <t>distr_solelc_spv_FRA_004</t>
  </si>
  <si>
    <t>connecting solar to buses in cluster 4</t>
  </si>
  <si>
    <t>distr_solelc_spv_FRA_023</t>
  </si>
  <si>
    <t>connecting solar to buses in cluster 23</t>
  </si>
  <si>
    <t>distr_solelc_spv_FRA_011</t>
  </si>
  <si>
    <t>connecting solar to buses in cluster 11</t>
  </si>
  <si>
    <t>distr_solelc_spv_FRA_008</t>
  </si>
  <si>
    <t>connecting solar to buses in cluster 8</t>
  </si>
  <si>
    <t>distr_solelc_spv_FRA_024</t>
  </si>
  <si>
    <t>connecting solar to buses in cluster 24</t>
  </si>
  <si>
    <t>distr_solelc_spv_FRA_012</t>
  </si>
  <si>
    <t>connecting solar to buses in cluster 12</t>
  </si>
  <si>
    <t>distr_solelc_spv_FRA_010</t>
  </si>
  <si>
    <t>connecting solar to buses in cluster 10</t>
  </si>
  <si>
    <t>distr_solelc_spv_FRA_021</t>
  </si>
  <si>
    <t>connecting solar to buses in cluster 21</t>
  </si>
  <si>
    <t>distr_solelc_spv_FRA_022</t>
  </si>
  <si>
    <t>connecting solar to buses in cluster 22</t>
  </si>
  <si>
    <t>distr_solelc_spv_FRA_014</t>
  </si>
  <si>
    <t>connecting solar to buses in cluster 14</t>
  </si>
  <si>
    <t>distr_solelc_spv_FRA_016</t>
  </si>
  <si>
    <t>connecting solar to buses in cluster 16</t>
  </si>
  <si>
    <t>distr_solelc_spv_FRA_007</t>
  </si>
  <si>
    <t>connecting solar to buses in cluster 7</t>
  </si>
  <si>
    <t>distr_solelc_spv_FRA_028</t>
  </si>
  <si>
    <t>connecting solar to buses in cluster 28</t>
  </si>
  <si>
    <t>distr_solelc_spv_FRA_002</t>
  </si>
  <si>
    <t>connecting solar to buses in cluster 2</t>
  </si>
  <si>
    <t>distr_solelc_spv_FRA_027</t>
  </si>
  <si>
    <t>connecting solar to buses in cluster 27</t>
  </si>
  <si>
    <t>distr_solelc_spv_FRA_001</t>
  </si>
  <si>
    <t>connecting solar to buses in cluster 1</t>
  </si>
  <si>
    <t>distr_solelc_spv_FRA_009</t>
  </si>
  <si>
    <t>connecting solar to buses in cluster 9</t>
  </si>
  <si>
    <t>distr_solelc_spv_FRA_013</t>
  </si>
  <si>
    <t>connecting solar to buses in cluster 13</t>
  </si>
  <si>
    <t>comm-in</t>
  </si>
  <si>
    <t>ncap_cost~USD21_alt</t>
  </si>
  <si>
    <t>e_w24020601-400_FRA,e_w159167277-400_FRA,e_w147132694-400_FRA</t>
  </si>
  <si>
    <t>e_w36805588-400_FRA,e_w85605950-400_FRA,e_w82825438-400_FRA</t>
  </si>
  <si>
    <t>e_w98890904-400_FRA,e_w110086345-400_FRA</t>
  </si>
  <si>
    <t>e_w90842395-400_FRA</t>
  </si>
  <si>
    <t>e_w111558550-400_FRA,e_w235370803-400_FRA,e_w99722046-400_FRA</t>
  </si>
  <si>
    <t>e_w27259817-400_FRA,e_w147132694-400_FRA,e_w90842395-400_FRA</t>
  </si>
  <si>
    <t>e_w147132694-400_FRA,e_w159167277-400_FRA</t>
  </si>
  <si>
    <t>e_w112342683-400_FRA,e_w99722046-400_FRA</t>
  </si>
  <si>
    <t>e_w111558550-400_FRA,e_w49510896-400_FRA,e_w98890904-400_FRA</t>
  </si>
  <si>
    <t>e_w111558550-400_FRA,e_w235370803-400_FRA,e_w49510896-400_FRA</t>
  </si>
  <si>
    <t>e_w111558550-400_FRA</t>
  </si>
  <si>
    <t>e_w99722046-400_FRA,e_w85995894-400_FRA</t>
  </si>
  <si>
    <t>e_w85710783-400_FRA,e_w85203486-400_FRA,e_w85047359-400_FRA,e_w36805588-400_FRA</t>
  </si>
  <si>
    <t>e_w71933077-400_FRA,e_w179260933-400_FRA,e_w24020601-400_FRA</t>
  </si>
  <si>
    <t>e_w179260933-400_FRA,e_w81641090-400_FRA,e_w159167277-400_FRA,e_w118086309-400_FRA</t>
  </si>
  <si>
    <t>e_w146695955-400_FRA</t>
  </si>
  <si>
    <t>e_w71933077-400_FRA,e_w110086345-400_FRA,e_w24020601-400_FRA</t>
  </si>
  <si>
    <t>e_w82825438-400_FRA,e_w81641090-400_FRA</t>
  </si>
  <si>
    <t>e_w81641090-400_FRA,e_w118086309-400_FRA</t>
  </si>
  <si>
    <t>e_w49510896-400_FRA,e_w71933077-400_FRA,e_w98890904-400_FRA,e_w110086345-400_FRA</t>
  </si>
  <si>
    <t>e_w79866837-400_FRA,e_w71933077-400_FRA</t>
  </si>
  <si>
    <t>e_w82599261-400_FRA,e_w82825438-400_FRA,e_w81641090-400_FRA</t>
  </si>
  <si>
    <t>e_w146695955-400_FRA,e_w85995894-400_FRA,e_w99722046-400_FRA,e_w85710783-400_FRA</t>
  </si>
  <si>
    <t>e_w235370803-400_FRA,e_w99722046-400_FRA,e_w71933077-400_FRA,e_w79866837-400_FRA</t>
  </si>
  <si>
    <t>e_w85710783-400_FRA,e_w99722046-400_FRA,e_w85047359-400_FRA,e_w79866837-400_FRA</t>
  </si>
  <si>
    <t>e_w49510896-400_FRA,e_w235370803-400_FRA,e_w71933077-400_FRA</t>
  </si>
  <si>
    <t>e_w79866837-400_FRA,e_w85047359-400_FRA,e_w36805588-400_FRA</t>
  </si>
  <si>
    <t>e_w146695955-400_FRA,e_w112342683-400_FRA,e_w85995894-400_FRA</t>
  </si>
  <si>
    <t>e_w79866837-400_FRA,e_w82599261-400_FRA,e_w179260933-400_FRA</t>
  </si>
  <si>
    <t>distr_wonelc_won_FRA_022</t>
  </si>
  <si>
    <t>connecting wind onshore to buses in cluster 22</t>
  </si>
  <si>
    <t>distr_wonelc_won_FRA_012</t>
  </si>
  <si>
    <t>connecting wind onshore to buses in cluster 12</t>
  </si>
  <si>
    <t>distr_wonelc_won_FRA_020</t>
  </si>
  <si>
    <t>connecting wind onshore to buses in cluster 20</t>
  </si>
  <si>
    <t>distr_wonelc_won_FRA_001</t>
  </si>
  <si>
    <t>connecting wind onshore to buses in cluster 1</t>
  </si>
  <si>
    <t>distr_wonelc_won_FRA_010</t>
  </si>
  <si>
    <t>connecting wind onshore to buses in cluster 10</t>
  </si>
  <si>
    <t>distr_wonelc_won_FRA_002</t>
  </si>
  <si>
    <t>connecting wind onshore to buses in cluster 2</t>
  </si>
  <si>
    <t>distr_wonelc_won_FRA_004</t>
  </si>
  <si>
    <t>connecting wind onshore to buses in cluster 4</t>
  </si>
  <si>
    <t>distr_wonelc_won_FRA_018</t>
  </si>
  <si>
    <t>connecting wind onshore to buses in cluster 18</t>
  </si>
  <si>
    <t>distr_wonelc_won_FRA_013</t>
  </si>
  <si>
    <t>connecting wind onshore to buses in cluster 13</t>
  </si>
  <si>
    <t>distr_wonelc_won_FRA_024</t>
  </si>
  <si>
    <t>connecting wind onshore to buses in cluster 24</t>
  </si>
  <si>
    <t>distr_wonelc_won_FRA_015</t>
  </si>
  <si>
    <t>connecting wind onshore to buses in cluster 15</t>
  </si>
  <si>
    <t>distr_wonelc_won_FRA_011</t>
  </si>
  <si>
    <t>connecting wind onshore to buses in cluster 11</t>
  </si>
  <si>
    <t>distr_wonelc_won_FRA_006</t>
  </si>
  <si>
    <t>connecting wind onshore to buses in cluster 6</t>
  </si>
  <si>
    <t>distr_wonelc_won_FRA_027</t>
  </si>
  <si>
    <t>connecting wind onshore to buses in cluster 27</t>
  </si>
  <si>
    <t>distr_wonelc_won_FRA_005</t>
  </si>
  <si>
    <t>connecting wind onshore to buses in cluster 5</t>
  </si>
  <si>
    <t>distr_wonelc_won_FRA_025</t>
  </si>
  <si>
    <t>connecting wind onshore to buses in cluster 25</t>
  </si>
  <si>
    <t>distr_wonelc_won_FRA_009</t>
  </si>
  <si>
    <t>connecting wind onshore to buses in cluster 9</t>
  </si>
  <si>
    <t>distr_wonelc_won_FRA_017</t>
  </si>
  <si>
    <t>connecting wind onshore to buses in cluster 17</t>
  </si>
  <si>
    <t>distr_wonelc_won_FRA_007</t>
  </si>
  <si>
    <t>connecting wind onshore to buses in cluster 7</t>
  </si>
  <si>
    <t>distr_wonelc_won_FRA_023</t>
  </si>
  <si>
    <t>connecting wind onshore to buses in cluster 23</t>
  </si>
  <si>
    <t>distr_wonelc_won_FRA_021</t>
  </si>
  <si>
    <t>connecting wind onshore to buses in cluster 21</t>
  </si>
  <si>
    <t>distr_wonelc_won_FRA_003</t>
  </si>
  <si>
    <t>connecting wind onshore to buses in cluster 3</t>
  </si>
  <si>
    <t>distr_wonelc_won_FRA_008</t>
  </si>
  <si>
    <t>connecting wind onshore to buses in cluster 8</t>
  </si>
  <si>
    <t>distr_wonelc_won_FRA_028</t>
  </si>
  <si>
    <t>connecting wind onshore to buses in cluster 28</t>
  </si>
  <si>
    <t>distr_wonelc_won_FRA_019</t>
  </si>
  <si>
    <t>connecting wind onshore to buses in cluster 19</t>
  </si>
  <si>
    <t>distr_wonelc_won_FRA_026</t>
  </si>
  <si>
    <t>connecting wind onshore to buses in cluster 26</t>
  </si>
  <si>
    <t>distr_wonelc_won_FRA_014</t>
  </si>
  <si>
    <t>connecting wind onshore to buses in cluster 14</t>
  </si>
  <si>
    <t>distr_wonelc_won_FRA_016</t>
  </si>
  <si>
    <t>connecting wind onshore to buses in cluster 16</t>
  </si>
  <si>
    <t>elc_won_FRA_022</t>
  </si>
  <si>
    <t>e_w159167277-400_FRA,e_w118086309-400_FRA</t>
  </si>
  <si>
    <t>elc_won_FRA_012</t>
  </si>
  <si>
    <t>elc_won_FRA_020</t>
  </si>
  <si>
    <t>e_w82599261-400_FRA,e_w82825438-400_FRA,e_w81641090-400_FRA,e_w118086309-400_FRA</t>
  </si>
  <si>
    <t>elc_won_FRA_001</t>
  </si>
  <si>
    <t>e_w27259817-400_FRA,e_w90842395-400_FRA</t>
  </si>
  <si>
    <t>elc_won_FRA_010</t>
  </si>
  <si>
    <t>e_w111558550-400_FRA,e_w235370803-400_FRA</t>
  </si>
  <si>
    <t>elc_won_FRA_002</t>
  </si>
  <si>
    <t>elc_won_FRA_004</t>
  </si>
  <si>
    <t>e_w27259817-400_FRA,e_w147132694-400_FRA</t>
  </si>
  <si>
    <t>elc_won_FRA_018</t>
  </si>
  <si>
    <t>e_w146695955-400_FRA,e_w112342683-400_FRA,e_w85995894-400_FRA,e_w99722046-400_FRA,e_w85710783-400_FRA</t>
  </si>
  <si>
    <t>elc_won_FRA_013</t>
  </si>
  <si>
    <t>e_w49510896-400_FRA,e_w98890904-400_FRA,e_w71933077-400_FRA</t>
  </si>
  <si>
    <t>elc_won_FRA_024</t>
  </si>
  <si>
    <t>e_w71933077-400_FRA,e_w79866837-400_FRA,e_w179260933-400_FRA</t>
  </si>
  <si>
    <t>elc_won_FRA_015</t>
  </si>
  <si>
    <t>elc_won_FRA_011</t>
  </si>
  <si>
    <t>e_w111558550-400_FRA,e_w49510896-400_FRA</t>
  </si>
  <si>
    <t>elc_won_FRA_006</t>
  </si>
  <si>
    <t>e_w110086345-400_FRA,e_w24020601-400_FRA</t>
  </si>
  <si>
    <t>elc_won_FRA_027</t>
  </si>
  <si>
    <t>e_w235370803-400_FRA,e_w49510896-400_FRA</t>
  </si>
  <si>
    <t>elc_won_FRA_005</t>
  </si>
  <si>
    <t>e_w27259817-400_FRA</t>
  </si>
  <si>
    <t>elc_won_FRA_025</t>
  </si>
  <si>
    <t>e_w99722046-400_FRA,e_w79866837-400_FRA,e_w85047359-400_FRA,e_w82599261-400_FRA,e_w179260933-400_FRA,e_w82825438-400_FRA</t>
  </si>
  <si>
    <t>elc_won_FRA_009</t>
  </si>
  <si>
    <t>e_w71933077-400_FRA,e_w98890904-400_FRA,e_w110086345-400_FRA,e_w24020601-400_FRA</t>
  </si>
  <si>
    <t>elc_won_FRA_017</t>
  </si>
  <si>
    <t>e_w146695955-400_FRA,e_w85995894-400_FRA,e_w85710783-400_FRA</t>
  </si>
  <si>
    <t>elc_won_FRA_007</t>
  </si>
  <si>
    <t>e_w98890904-400_FRA,e_w110086345-400_FRA,e_w27259817-400_FRA</t>
  </si>
  <si>
    <t>elc_won_FRA_023</t>
  </si>
  <si>
    <t>e_w179260933-400_FRA,e_w24020601-400_FRA,e_w159167277-400_FRA,e_w81641090-400_FRA</t>
  </si>
  <si>
    <t>elc_won_FRA_021</t>
  </si>
  <si>
    <t>elc_won_FRA_003</t>
  </si>
  <si>
    <t>elc_won_FRA_008</t>
  </si>
  <si>
    <t>e_w24020601-400_FRA</t>
  </si>
  <si>
    <t>elc_won_FRA_028</t>
  </si>
  <si>
    <t>e_w235370803-400_FRA,e_w99722046-400_FRA,e_w71933077-400_FRA</t>
  </si>
  <si>
    <t>elc_won_FRA_019</t>
  </si>
  <si>
    <t>e_w118086309-400_FRA</t>
  </si>
  <si>
    <t>elc_won_FRA_026</t>
  </si>
  <si>
    <t>elc_won_FRA_014</t>
  </si>
  <si>
    <t>elc_won_FRA_016</t>
  </si>
  <si>
    <t>e_w85710783-400_FRA,e_w85047359-400_FRA,e_w85203486-400_FRA,e_w36805588-400_FRA,e_w85605950-400_FRA,e_w82825438-400_FRA</t>
  </si>
  <si>
    <t>distr_wofelc_wof_FRA_006</t>
  </si>
  <si>
    <t>connecting wind offshore to buses in cluster 6</t>
  </si>
  <si>
    <t>distr_wofelc_wof_FRA_015</t>
  </si>
  <si>
    <t>connecting wind offshore to buses in cluster 15</t>
  </si>
  <si>
    <t>distr_wofelc_wof_FRA_007</t>
  </si>
  <si>
    <t>connecting wind offshore to buses in cluster 7</t>
  </si>
  <si>
    <t>distr_wofelc_wof_FRA_001</t>
  </si>
  <si>
    <t>connecting wind offshore to buses in cluster 1</t>
  </si>
  <si>
    <t>distr_wofelc_wof_FRA_008</t>
  </si>
  <si>
    <t>connecting wind offshore to buses in cluster 8</t>
  </si>
  <si>
    <t>distr_wofelc_wof_FRA_005</t>
  </si>
  <si>
    <t>connecting wind offshore to buses in cluster 5</t>
  </si>
  <si>
    <t>distr_wofelc_wof_FRA_010</t>
  </si>
  <si>
    <t>connecting wind offshore to buses in cluster 10</t>
  </si>
  <si>
    <t>distr_wofelc_wof_FRA_017</t>
  </si>
  <si>
    <t>connecting wind offshore to buses in cluster 17</t>
  </si>
  <si>
    <t>distr_wofelc_wof_FRA_003</t>
  </si>
  <si>
    <t>connecting wind offshore to buses in cluster 3</t>
  </si>
  <si>
    <t>distr_wofelc_wof_FRA_002</t>
  </si>
  <si>
    <t>connecting wind offshore to buses in cluster 2</t>
  </si>
  <si>
    <t>distr_wofelc_wof_FRA_016</t>
  </si>
  <si>
    <t>connecting wind offshore to buses in cluster 16</t>
  </si>
  <si>
    <t>distr_wofelc_wof_FRA_011</t>
  </si>
  <si>
    <t>connecting wind offshore to buses in cluster 11</t>
  </si>
  <si>
    <t>distr_wofelc_wof_FRA_004</t>
  </si>
  <si>
    <t>connecting wind offshore to buses in cluster 4</t>
  </si>
  <si>
    <t>distr_wofelc_wof_FRA_013</t>
  </si>
  <si>
    <t>connecting wind offshore to buses in cluster 13</t>
  </si>
  <si>
    <t>distr_wofelc_wof_FRA_014</t>
  </si>
  <si>
    <t>connecting wind offshore to buses in cluster 14</t>
  </si>
  <si>
    <t>distr_wofelc_wof_FRA_012</t>
  </si>
  <si>
    <t>connecting wind offshore to buses in cluster 12</t>
  </si>
  <si>
    <t>distr_wofelc_wof_FRA_009</t>
  </si>
  <si>
    <t>connecting wind offshore to buses in cluster 9</t>
  </si>
  <si>
    <t>elc_wof_FRA_006</t>
  </si>
  <si>
    <t>elc_wof_FRA_015</t>
  </si>
  <si>
    <t>elc_wof_FRA_007</t>
  </si>
  <si>
    <t>elc_wof_FRA_001</t>
  </si>
  <si>
    <t>elc_wof_FRA_008</t>
  </si>
  <si>
    <t>elc_wof_FRA_005</t>
  </si>
  <si>
    <t>elc_wof_FRA_010</t>
  </si>
  <si>
    <t>elc_wof_FRA_017</t>
  </si>
  <si>
    <t>elc_wof_FRA_003</t>
  </si>
  <si>
    <t>elc_wof_FRA_002</t>
  </si>
  <si>
    <t>elc_wof_FRA_016</t>
  </si>
  <si>
    <t>elc_wof_FRA_011</t>
  </si>
  <si>
    <t>e_w111558550-400_FRA,e_w146695955-400_FRA,e_w235370803-400_FRA,e_w112342683-400_FRA,e_w99722046-400_FRA</t>
  </si>
  <si>
    <t>elc_wof_FRA_004</t>
  </si>
  <si>
    <t>elc_wof_FRA_013</t>
  </si>
  <si>
    <t>e_w146695955-400_FRA,e_w85995894-400_FRA</t>
  </si>
  <si>
    <t>elc_wof_FRA_014</t>
  </si>
  <si>
    <t>e_w85995894-400_FRA,e_w85710783-400_FRA,e_w85203486-400_FRA</t>
  </si>
  <si>
    <t>elc_wof_FRA_012</t>
  </si>
  <si>
    <t>e_w146695955-400_FRA,e_w112342683-400_FRA</t>
  </si>
  <si>
    <t>elc_wof_FRA_009</t>
  </si>
  <si>
    <t>e_won_FRA_001</t>
  </si>
  <si>
    <t>wind resource in cluster 1</t>
  </si>
  <si>
    <t>e_won_FRA_002</t>
  </si>
  <si>
    <t>wind resource in cluster 2</t>
  </si>
  <si>
    <t>e_won_FRA_003</t>
  </si>
  <si>
    <t>wind resource in cluster 3</t>
  </si>
  <si>
    <t>e_won_FRA_004</t>
  </si>
  <si>
    <t>wind resource in cluster 4</t>
  </si>
  <si>
    <t>e_won_FRA_005</t>
  </si>
  <si>
    <t>wind resource in cluster 5</t>
  </si>
  <si>
    <t>e_won_FRA_006</t>
  </si>
  <si>
    <t>wind resource in cluster 6</t>
  </si>
  <si>
    <t>e_won_FRA_007</t>
  </si>
  <si>
    <t>wind resource in cluster 7</t>
  </si>
  <si>
    <t>e_won_FRA_008</t>
  </si>
  <si>
    <t>wind resource in cluster 8</t>
  </si>
  <si>
    <t>e_won_FRA_009</t>
  </si>
  <si>
    <t>wind resource in cluster 9</t>
  </si>
  <si>
    <t>e_won_FRA_010</t>
  </si>
  <si>
    <t>wind resource in cluster 10</t>
  </si>
  <si>
    <t>e_won_FRA_011</t>
  </si>
  <si>
    <t>wind resource in cluster 11</t>
  </si>
  <si>
    <t>e_won_FRA_012</t>
  </si>
  <si>
    <t>wind resource in cluster 12</t>
  </si>
  <si>
    <t>e_won_FRA_013</t>
  </si>
  <si>
    <t>wind resource in cluster 13</t>
  </si>
  <si>
    <t>e_won_FRA_014</t>
  </si>
  <si>
    <t>wind resource in cluster 14</t>
  </si>
  <si>
    <t>e_won_FRA_015</t>
  </si>
  <si>
    <t>wind resource in cluster 15</t>
  </si>
  <si>
    <t>e_won_FRA_016</t>
  </si>
  <si>
    <t>wind resource in cluster 16</t>
  </si>
  <si>
    <t>e_won_FRA_017</t>
  </si>
  <si>
    <t>wind resource in cluster 17</t>
  </si>
  <si>
    <t>e_won_FRA_018</t>
  </si>
  <si>
    <t>wind resource in cluster 18</t>
  </si>
  <si>
    <t>e_won_FRA_019</t>
  </si>
  <si>
    <t>wind resource in cluster 19</t>
  </si>
  <si>
    <t>e_won_FRA_020</t>
  </si>
  <si>
    <t>wind resource in cluster 20</t>
  </si>
  <si>
    <t>e_won_FRA_021</t>
  </si>
  <si>
    <t>wind resource in cluster 21</t>
  </si>
  <si>
    <t>e_won_FRA_022</t>
  </si>
  <si>
    <t>wind resource in cluster 22</t>
  </si>
  <si>
    <t>e_won_FRA_023</t>
  </si>
  <si>
    <t>wind resource in cluster 23</t>
  </si>
  <si>
    <t>e_won_FRA_024</t>
  </si>
  <si>
    <t>wind resource in cluster 24</t>
  </si>
  <si>
    <t>e_won_FRA_025</t>
  </si>
  <si>
    <t>wind resource in cluster 25</t>
  </si>
  <si>
    <t>e_won_FRA_026</t>
  </si>
  <si>
    <t>wind resource in cluster 26</t>
  </si>
  <si>
    <t>e_won_FRA_027</t>
  </si>
  <si>
    <t>wind resource in cluster 27</t>
  </si>
  <si>
    <t>e_won_FRA_028</t>
  </si>
  <si>
    <t>wind resource in cluster 28</t>
  </si>
  <si>
    <t>e_wof_FRA_001</t>
  </si>
  <si>
    <t>wind offshore resource in cluster 1</t>
  </si>
  <si>
    <t>e_wof_FRA_002</t>
  </si>
  <si>
    <t>wind offshore resource in cluster 2</t>
  </si>
  <si>
    <t>e_wof_FRA_003</t>
  </si>
  <si>
    <t>wind offshore resource in cluster 3</t>
  </si>
  <si>
    <t>e_wof_FRA_004</t>
  </si>
  <si>
    <t>wind offshore resource in cluster 4</t>
  </si>
  <si>
    <t>e_wof_FRA_005</t>
  </si>
  <si>
    <t>wind offshore resource in cluster 5</t>
  </si>
  <si>
    <t>e_wof_FRA_006</t>
  </si>
  <si>
    <t>wind offshore resource in cluster 6</t>
  </si>
  <si>
    <t>e_wof_FRA_007</t>
  </si>
  <si>
    <t>wind offshore resource in cluster 7</t>
  </si>
  <si>
    <t>e_wof_FRA_008</t>
  </si>
  <si>
    <t>wind offshore resource in cluster 8</t>
  </si>
  <si>
    <t>e_wof_FRA_009</t>
  </si>
  <si>
    <t>wind offshore resource in cluster 9</t>
  </si>
  <si>
    <t>e_wof_FRA_010</t>
  </si>
  <si>
    <t>wind offshore resource in cluster 10</t>
  </si>
  <si>
    <t>e_wof_FRA_011</t>
  </si>
  <si>
    <t>wind offshore resource in cluster 11</t>
  </si>
  <si>
    <t>e_wof_FRA_012</t>
  </si>
  <si>
    <t>wind offshore resource in cluster 12</t>
  </si>
  <si>
    <t>e_wof_FRA_013</t>
  </si>
  <si>
    <t>wind offshore resource in cluster 13</t>
  </si>
  <si>
    <t>e_wof_FRA_014</t>
  </si>
  <si>
    <t>wind offshore resource in cluster 14</t>
  </si>
  <si>
    <t>e_wof_FRA_015</t>
  </si>
  <si>
    <t>wind offshore resource in cluster 15</t>
  </si>
  <si>
    <t>e_wof_FRA_016</t>
  </si>
  <si>
    <t>wind offshore resource in cluster 16</t>
  </si>
  <si>
    <t>e_wof_FRA_017</t>
  </si>
  <si>
    <t>wind offshore resource in cluster 17</t>
  </si>
  <si>
    <t>~fi_t: UP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</si>
  <si>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</si>
  <si>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</si>
  <si>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</si>
  <si>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</si>
  <si>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</si>
  <si>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</si>
  <si>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</si>
  <si>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</si>
  <si>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</si>
  <si>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</si>
  <si>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</si>
  <si>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</si>
  <si>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</si>
  <si>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</si>
  <si>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</si>
  <si>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</si>
  <si>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</si>
  <si>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</si>
  <si>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</si>
  <si>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</si>
  <si>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</si>
  <si>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</si>
  <si>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en_hop_gas_boiler</t>
  </si>
  <si>
    <t>en_hop_biomass_chips</t>
  </si>
  <si>
    <t>en_hop_electric_boiler</t>
  </si>
  <si>
    <t>en_hp_air_10mw</t>
  </si>
  <si>
    <t>en_chp_gas_cc_ext_ccs</t>
  </si>
  <si>
    <t>HET,CO2Cap</t>
  </si>
  <si>
    <t>yes</t>
  </si>
  <si>
    <t>CHP</t>
  </si>
  <si>
    <t>HPL</t>
  </si>
  <si>
    <t>season</t>
  </si>
  <si>
    <t>e_FR109-400_FRA,e_FR128-380_FRA,e_FR128-400_FRA,e_FR143-400_FRA,e_FR183-400_FRA,e_FR40-400_FRA,e_FR5-400_FRA,e_w118655802-400_FRA,e_w129378915-400_FRA,e_w133299582-400_FRA,e_w146449309-400_FRA,e_w225210595-400_FRA,e_w32196554-400_FRA,e_w49049745-380_FRA,e_w49049745-400_FRA,e_w761507281-400_FRA,e_w82949228-400_FRA,e_w82949240-400_FRA,e_w85605959-400_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</si>
</sst>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topLeftCell="H1" workbookViewId="0">
      <selection activeCell="L11" sqref="L11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163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104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103</v>
      </c>
      <c r="D15" s="1" t="s">
        <v>105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146</v>
      </c>
      <c r="D16" s="1" t="s">
        <v>147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148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151</v>
      </c>
      <c r="D19" s="1" t="s">
        <v>106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153</v>
      </c>
      <c r="D20" s="1" t="s">
        <v>152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154</v>
      </c>
      <c r="D21" s="1" t="s">
        <v>155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156</v>
      </c>
      <c r="D22" s="1" t="s">
        <v>159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157</v>
      </c>
      <c r="D23" t="s">
        <v>160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158</v>
      </c>
      <c r="D24" t="s">
        <v>161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149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150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FR109-400_FRA,e_FR128-380_FRA,e_FR128-400_FRA,e_FR143-400_FRA,e_FR183-400_FRA,e_FR40-400_FRA,e_FR5-400_FRA,e_w118655802-400_FRA,e_w129378915-400_FRA,e_w133299582-400_FRA,e_w146449309-400_FRA,e_w225210595-400_FRA,e_w32196554-400_FRA,e_w49049745-380_FRA,e_w49049745-400_FRA,e_w761507281-400_FRA,e_w82949228-400_FRA,e_w82949240-400_FRA,e_w85605959-400_FRA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FR109-400_FRA,e_FR128-380_FRA,e_FR128-400_FRA,e_FR143-400_FRA,e_FR183-400_FRA,e_FR40-400_FRA,e_FR5-400_FRA,e_w118655802-400_FRA,e_w129378915-400_FRA,e_w133299582-400_FRA,e_w146449309-400_FRA,e_w225210595-400_FRA,e_w32196554-400_FRA,e_w49049745-380_FRA,e_w49049745-400_FRA,e_w761507281-400_FRA,e_w82949228-400_FRA,e_w82949240-400_FRA,e_w85605959-400_FRA</v>
      </c>
      <c r="P28">
        <v>0</v>
      </c>
      <c r="Q28">
        <v>3</v>
      </c>
      <c r="R28">
        <v>1000</v>
      </c>
      <c r="S28">
        <v>50</v>
      </c>
      <c r="V28" s="147" t="s">
        <v>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102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162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107</v>
      </c>
      <c r="C1" s="148" t="s">
        <v>108</v>
      </c>
      <c r="D1" s="148"/>
      <c r="E1" s="148"/>
      <c r="F1" s="149" t="s">
        <v>109</v>
      </c>
      <c r="G1" s="148"/>
      <c r="H1" s="150"/>
      <c r="I1" s="148" t="s">
        <v>110</v>
      </c>
      <c r="J1" s="148"/>
      <c r="K1" s="148"/>
      <c r="L1" s="148"/>
      <c r="M1" s="148"/>
      <c r="N1" s="148"/>
      <c r="O1" s="151" t="s">
        <v>111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112</v>
      </c>
      <c r="G2" s="28" t="s">
        <v>112</v>
      </c>
      <c r="H2" s="28" t="s">
        <v>112</v>
      </c>
      <c r="I2" s="28" t="s">
        <v>113</v>
      </c>
      <c r="J2" s="28" t="s">
        <v>145</v>
      </c>
      <c r="K2" s="28" t="str">
        <f>I2</f>
        <v>input~GASNGA</v>
      </c>
      <c r="L2" s="28" t="s">
        <v>145</v>
      </c>
      <c r="M2" s="28" t="str">
        <f>K2</f>
        <v>input~GASNGA</v>
      </c>
      <c r="N2" s="28" t="s">
        <v>145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114</v>
      </c>
      <c r="F4" s="30">
        <v>2015</v>
      </c>
      <c r="G4" s="29">
        <v>2030</v>
      </c>
      <c r="H4" s="31" t="s">
        <v>114</v>
      </c>
      <c r="I4" s="29" t="s">
        <v>115</v>
      </c>
      <c r="J4" s="29" t="s">
        <v>116</v>
      </c>
      <c r="K4" s="32" t="s">
        <v>117</v>
      </c>
      <c r="L4" s="33" t="s">
        <v>118</v>
      </c>
      <c r="M4" s="29" t="s">
        <v>119</v>
      </c>
      <c r="N4" s="29" t="s">
        <v>120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121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122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123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124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125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126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127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128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129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130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131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132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133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134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135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136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137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138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139</v>
      </c>
      <c r="P23" s="123"/>
      <c r="Q23" s="123"/>
      <c r="R23" s="123"/>
    </row>
    <row r="26" spans="1:26" ht="17.25" thickBot="1">
      <c r="C26" s="143" t="s">
        <v>140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145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141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142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43BB-DB89-4E3D-81D4-CE91E7D29543}">
  <dimension ref="B9:BD40"/>
  <sheetViews>
    <sheetView workbookViewId="0"/>
  </sheetViews>
  <sheetFormatPr defaultRowHeight="14.25"/>
  <sheetData>
    <row r="9" spans="2:56">
      <c r="B9" t="s">
        <v>164</v>
      </c>
      <c r="J9" t="s">
        <v>235</v>
      </c>
      <c r="O9" t="s">
        <v>164</v>
      </c>
      <c r="X9" t="s">
        <v>235</v>
      </c>
      <c r="AD9" t="s">
        <v>164</v>
      </c>
      <c r="AL9" t="s">
        <v>235</v>
      </c>
      <c r="AR9" t="s">
        <v>164</v>
      </c>
      <c r="AZ9" t="s">
        <v>235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236</v>
      </c>
      <c r="L10" t="s">
        <v>237</v>
      </c>
      <c r="M10" t="s">
        <v>238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269</v>
      </c>
      <c r="U10" t="s">
        <v>170</v>
      </c>
      <c r="V10" t="s">
        <v>171</v>
      </c>
      <c r="X10" t="s">
        <v>166</v>
      </c>
      <c r="Y10" t="s">
        <v>333</v>
      </c>
      <c r="Z10" t="s">
        <v>236</v>
      </c>
      <c r="AA10" t="s">
        <v>145</v>
      </c>
      <c r="AB10" t="s">
        <v>334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333</v>
      </c>
      <c r="AN10" t="s">
        <v>236</v>
      </c>
      <c r="AO10" t="s">
        <v>145</v>
      </c>
      <c r="AP10" t="s">
        <v>334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333</v>
      </c>
      <c r="BB10" t="s">
        <v>236</v>
      </c>
      <c r="BC10" t="s">
        <v>145</v>
      </c>
      <c r="BD10" t="s">
        <v>334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239</v>
      </c>
      <c r="L11">
        <v>26.238031895067362</v>
      </c>
      <c r="M11">
        <v>0.14692303708404381</v>
      </c>
      <c r="O11" t="s">
        <v>270</v>
      </c>
      <c r="P11" t="s">
        <v>271</v>
      </c>
      <c r="Q11" t="s">
        <v>272</v>
      </c>
      <c r="R11" t="s">
        <v>10</v>
      </c>
      <c r="S11" t="s">
        <v>21</v>
      </c>
      <c r="T11" t="s">
        <v>273</v>
      </c>
      <c r="U11" t="s">
        <v>274</v>
      </c>
      <c r="V11" t="s">
        <v>176</v>
      </c>
      <c r="X11" t="s">
        <v>271</v>
      </c>
      <c r="Y11" t="s">
        <v>257</v>
      </c>
      <c r="Z11" t="s">
        <v>335</v>
      </c>
      <c r="AA11">
        <v>0.99764504969214185</v>
      </c>
      <c r="AB11">
        <v>43.174088977399613</v>
      </c>
      <c r="AD11" t="s">
        <v>270</v>
      </c>
      <c r="AE11" t="s">
        <v>364</v>
      </c>
      <c r="AF11" t="s">
        <v>365</v>
      </c>
      <c r="AG11" t="s">
        <v>10</v>
      </c>
      <c r="AH11" t="s">
        <v>21</v>
      </c>
      <c r="AI11" t="s">
        <v>274</v>
      </c>
      <c r="AJ11" t="s">
        <v>176</v>
      </c>
      <c r="AL11" t="s">
        <v>364</v>
      </c>
      <c r="AM11" t="s">
        <v>420</v>
      </c>
      <c r="AN11" t="s">
        <v>421</v>
      </c>
      <c r="AO11">
        <v>0.9979962856207204</v>
      </c>
      <c r="AP11">
        <v>36.734763620126827</v>
      </c>
      <c r="AR11" t="s">
        <v>270</v>
      </c>
      <c r="AS11" t="s">
        <v>469</v>
      </c>
      <c r="AT11" t="s">
        <v>470</v>
      </c>
      <c r="AU11" t="s">
        <v>10</v>
      </c>
      <c r="AV11" t="s">
        <v>21</v>
      </c>
      <c r="AW11" t="s">
        <v>274</v>
      </c>
      <c r="AX11" t="s">
        <v>176</v>
      </c>
      <c r="AZ11" t="s">
        <v>469</v>
      </c>
      <c r="BA11" t="s">
        <v>503</v>
      </c>
      <c r="BB11" t="s">
        <v>338</v>
      </c>
      <c r="BC11">
        <v>0.98772606347662006</v>
      </c>
      <c r="BD11">
        <v>225.02216959529935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240</v>
      </c>
      <c r="L12">
        <v>36.262785621908129</v>
      </c>
      <c r="M12">
        <v>0.15199815745206641</v>
      </c>
      <c r="O12" t="s">
        <v>270</v>
      </c>
      <c r="P12" t="s">
        <v>275</v>
      </c>
      <c r="Q12" t="s">
        <v>276</v>
      </c>
      <c r="R12" t="s">
        <v>10</v>
      </c>
      <c r="S12" t="s">
        <v>21</v>
      </c>
      <c r="T12" t="s">
        <v>273</v>
      </c>
      <c r="U12" t="s">
        <v>274</v>
      </c>
      <c r="V12" t="s">
        <v>176</v>
      </c>
      <c r="X12" t="s">
        <v>275</v>
      </c>
      <c r="Y12" t="s">
        <v>241</v>
      </c>
      <c r="Z12" t="s">
        <v>336</v>
      </c>
      <c r="AA12">
        <v>0.99811888657672254</v>
      </c>
      <c r="AB12">
        <v>34.487079426754121</v>
      </c>
      <c r="AD12" t="s">
        <v>270</v>
      </c>
      <c r="AE12" t="s">
        <v>366</v>
      </c>
      <c r="AF12" t="s">
        <v>367</v>
      </c>
      <c r="AG12" t="s">
        <v>10</v>
      </c>
      <c r="AH12" t="s">
        <v>21</v>
      </c>
      <c r="AI12" t="s">
        <v>274</v>
      </c>
      <c r="AJ12" t="s">
        <v>176</v>
      </c>
      <c r="AL12" t="s">
        <v>366</v>
      </c>
      <c r="AM12" t="s">
        <v>422</v>
      </c>
      <c r="AN12" t="s">
        <v>345</v>
      </c>
      <c r="AO12">
        <v>0.99724350262056138</v>
      </c>
      <c r="AP12">
        <v>50.535785289707377</v>
      </c>
      <c r="AR12" t="s">
        <v>270</v>
      </c>
      <c r="AS12" t="s">
        <v>471</v>
      </c>
      <c r="AT12" t="s">
        <v>472</v>
      </c>
      <c r="AU12" t="s">
        <v>10</v>
      </c>
      <c r="AV12" t="s">
        <v>21</v>
      </c>
      <c r="AW12" t="s">
        <v>274</v>
      </c>
      <c r="AX12" t="s">
        <v>176</v>
      </c>
      <c r="AZ12" t="s">
        <v>471</v>
      </c>
      <c r="BA12" t="s">
        <v>504</v>
      </c>
      <c r="BB12" t="s">
        <v>350</v>
      </c>
      <c r="BC12">
        <v>0.99093284602677045</v>
      </c>
      <c r="BD12">
        <v>166.23115617587521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241</v>
      </c>
      <c r="L13">
        <v>18.53367017170654</v>
      </c>
      <c r="M13">
        <v>0.14188490863727901</v>
      </c>
      <c r="O13" t="s">
        <v>270</v>
      </c>
      <c r="P13" t="s">
        <v>277</v>
      </c>
      <c r="Q13" t="s">
        <v>278</v>
      </c>
      <c r="R13" t="s">
        <v>10</v>
      </c>
      <c r="S13" t="s">
        <v>21</v>
      </c>
      <c r="T13" t="s">
        <v>273</v>
      </c>
      <c r="U13" t="s">
        <v>274</v>
      </c>
      <c r="V13" t="s">
        <v>176</v>
      </c>
      <c r="X13" t="s">
        <v>277</v>
      </c>
      <c r="Y13" t="s">
        <v>253</v>
      </c>
      <c r="Z13" t="s">
        <v>337</v>
      </c>
      <c r="AA13">
        <v>0.99796668524605581</v>
      </c>
      <c r="AB13">
        <v>37.277437155643319</v>
      </c>
      <c r="AD13" t="s">
        <v>270</v>
      </c>
      <c r="AE13" t="s">
        <v>368</v>
      </c>
      <c r="AF13" t="s">
        <v>369</v>
      </c>
      <c r="AG13" t="s">
        <v>10</v>
      </c>
      <c r="AH13" t="s">
        <v>21</v>
      </c>
      <c r="AI13" t="s">
        <v>274</v>
      </c>
      <c r="AJ13" t="s">
        <v>176</v>
      </c>
      <c r="AL13" t="s">
        <v>368</v>
      </c>
      <c r="AM13" t="s">
        <v>423</v>
      </c>
      <c r="AN13" t="s">
        <v>424</v>
      </c>
      <c r="AO13">
        <v>0.99816665404006633</v>
      </c>
      <c r="AP13">
        <v>33.611342598783573</v>
      </c>
      <c r="AR13" t="s">
        <v>270</v>
      </c>
      <c r="AS13" t="s">
        <v>473</v>
      </c>
      <c r="AT13" t="s">
        <v>474</v>
      </c>
      <c r="AU13" t="s">
        <v>10</v>
      </c>
      <c r="AV13" t="s">
        <v>21</v>
      </c>
      <c r="AW13" t="s">
        <v>274</v>
      </c>
      <c r="AX13" t="s">
        <v>176</v>
      </c>
      <c r="AZ13" t="s">
        <v>473</v>
      </c>
      <c r="BA13" t="s">
        <v>505</v>
      </c>
      <c r="BB13" t="s">
        <v>426</v>
      </c>
      <c r="BC13">
        <v>0.99703425039877824</v>
      </c>
      <c r="BD13">
        <v>54.372076022398424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242</v>
      </c>
      <c r="L14">
        <v>19.468489112876171</v>
      </c>
      <c r="M14">
        <v>0.1493214079464629</v>
      </c>
      <c r="O14" t="s">
        <v>270</v>
      </c>
      <c r="P14" t="s">
        <v>279</v>
      </c>
      <c r="Q14" t="s">
        <v>280</v>
      </c>
      <c r="R14" t="s">
        <v>10</v>
      </c>
      <c r="S14" t="s">
        <v>21</v>
      </c>
      <c r="T14" t="s">
        <v>273</v>
      </c>
      <c r="U14" t="s">
        <v>274</v>
      </c>
      <c r="V14" t="s">
        <v>176</v>
      </c>
      <c r="X14" t="s">
        <v>279</v>
      </c>
      <c r="Y14" t="s">
        <v>255</v>
      </c>
      <c r="Z14" t="s">
        <v>338</v>
      </c>
      <c r="AA14">
        <v>0.98282786238014608</v>
      </c>
      <c r="AB14">
        <v>314.82252303065502</v>
      </c>
      <c r="AD14" t="s">
        <v>270</v>
      </c>
      <c r="AE14" t="s">
        <v>370</v>
      </c>
      <c r="AF14" t="s">
        <v>371</v>
      </c>
      <c r="AG14" t="s">
        <v>10</v>
      </c>
      <c r="AH14" t="s">
        <v>21</v>
      </c>
      <c r="AI14" t="s">
        <v>274</v>
      </c>
      <c r="AJ14" t="s">
        <v>176</v>
      </c>
      <c r="AL14" t="s">
        <v>370</v>
      </c>
      <c r="AM14" t="s">
        <v>425</v>
      </c>
      <c r="AN14" t="s">
        <v>426</v>
      </c>
      <c r="AO14">
        <v>0.98918214360614543</v>
      </c>
      <c r="AP14">
        <v>198.32736722066633</v>
      </c>
      <c r="AR14" t="s">
        <v>270</v>
      </c>
      <c r="AS14" t="s">
        <v>475</v>
      </c>
      <c r="AT14" t="s">
        <v>476</v>
      </c>
      <c r="AU14" t="s">
        <v>10</v>
      </c>
      <c r="AV14" t="s">
        <v>21</v>
      </c>
      <c r="AW14" t="s">
        <v>274</v>
      </c>
      <c r="AX14" t="s">
        <v>176</v>
      </c>
      <c r="AZ14" t="s">
        <v>475</v>
      </c>
      <c r="BA14" t="s">
        <v>506</v>
      </c>
      <c r="BB14" t="s">
        <v>454</v>
      </c>
      <c r="BC14">
        <v>0.99536965776860997</v>
      </c>
      <c r="BD14">
        <v>84.889607575482927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243</v>
      </c>
      <c r="L15">
        <v>13.996026058289676</v>
      </c>
      <c r="M15">
        <v>0.175248716585685</v>
      </c>
      <c r="O15" t="s">
        <v>270</v>
      </c>
      <c r="P15" t="s">
        <v>281</v>
      </c>
      <c r="Q15" t="s">
        <v>282</v>
      </c>
      <c r="R15" t="s">
        <v>10</v>
      </c>
      <c r="S15" t="s">
        <v>21</v>
      </c>
      <c r="T15" t="s">
        <v>273</v>
      </c>
      <c r="U15" t="s">
        <v>274</v>
      </c>
      <c r="V15" t="s">
        <v>176</v>
      </c>
      <c r="X15" t="s">
        <v>281</v>
      </c>
      <c r="Y15" t="s">
        <v>268</v>
      </c>
      <c r="Z15" t="s">
        <v>339</v>
      </c>
      <c r="AA15">
        <v>0.9980700000086743</v>
      </c>
      <c r="AB15">
        <v>35.38333317430456</v>
      </c>
      <c r="AD15" t="s">
        <v>270</v>
      </c>
      <c r="AE15" t="s">
        <v>372</v>
      </c>
      <c r="AF15" t="s">
        <v>373</v>
      </c>
      <c r="AG15" t="s">
        <v>10</v>
      </c>
      <c r="AH15" t="s">
        <v>21</v>
      </c>
      <c r="AI15" t="s">
        <v>274</v>
      </c>
      <c r="AJ15" t="s">
        <v>176</v>
      </c>
      <c r="AL15" t="s">
        <v>372</v>
      </c>
      <c r="AM15" t="s">
        <v>427</v>
      </c>
      <c r="AN15" t="s">
        <v>428</v>
      </c>
      <c r="AO15">
        <v>0.99808767667924114</v>
      </c>
      <c r="AP15">
        <v>35.059260880579068</v>
      </c>
      <c r="AR15" t="s">
        <v>270</v>
      </c>
      <c r="AS15" t="s">
        <v>477</v>
      </c>
      <c r="AT15" t="s">
        <v>478</v>
      </c>
      <c r="AU15" t="s">
        <v>10</v>
      </c>
      <c r="AV15" t="s">
        <v>21</v>
      </c>
      <c r="AW15" t="s">
        <v>274</v>
      </c>
      <c r="AX15" t="s">
        <v>176</v>
      </c>
      <c r="AZ15" t="s">
        <v>477</v>
      </c>
      <c r="BA15" t="s">
        <v>507</v>
      </c>
      <c r="BB15" t="s">
        <v>446</v>
      </c>
      <c r="BC15">
        <v>0.99850355933568513</v>
      </c>
      <c r="BD15">
        <v>27.434745512439168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244</v>
      </c>
      <c r="L16">
        <v>46.181677851078405</v>
      </c>
      <c r="M16">
        <v>0.16117747379521219</v>
      </c>
      <c r="O16" t="s">
        <v>270</v>
      </c>
      <c r="P16" t="s">
        <v>283</v>
      </c>
      <c r="Q16" t="s">
        <v>284</v>
      </c>
      <c r="R16" t="s">
        <v>10</v>
      </c>
      <c r="S16" t="s">
        <v>21</v>
      </c>
      <c r="T16" t="s">
        <v>273</v>
      </c>
      <c r="U16" t="s">
        <v>274</v>
      </c>
      <c r="V16" t="s">
        <v>176</v>
      </c>
      <c r="X16" t="s">
        <v>283</v>
      </c>
      <c r="Y16" t="s">
        <v>256</v>
      </c>
      <c r="Z16" t="s">
        <v>340</v>
      </c>
      <c r="AA16">
        <v>0.99767867140691957</v>
      </c>
      <c r="AB16">
        <v>42.55769087314146</v>
      </c>
      <c r="AD16" t="s">
        <v>270</v>
      </c>
      <c r="AE16" t="s">
        <v>374</v>
      </c>
      <c r="AF16" t="s">
        <v>375</v>
      </c>
      <c r="AG16" t="s">
        <v>10</v>
      </c>
      <c r="AH16" t="s">
        <v>21</v>
      </c>
      <c r="AI16" t="s">
        <v>274</v>
      </c>
      <c r="AJ16" t="s">
        <v>176</v>
      </c>
      <c r="AL16" t="s">
        <v>374</v>
      </c>
      <c r="AM16" t="s">
        <v>429</v>
      </c>
      <c r="AN16" t="s">
        <v>426</v>
      </c>
      <c r="AO16">
        <v>0.99857814187768335</v>
      </c>
      <c r="AP16">
        <v>26.067398909139413</v>
      </c>
      <c r="AR16" t="s">
        <v>270</v>
      </c>
      <c r="AS16" t="s">
        <v>479</v>
      </c>
      <c r="AT16" t="s">
        <v>480</v>
      </c>
      <c r="AU16" t="s">
        <v>10</v>
      </c>
      <c r="AV16" t="s">
        <v>21</v>
      </c>
      <c r="AW16" t="s">
        <v>274</v>
      </c>
      <c r="AX16" t="s">
        <v>176</v>
      </c>
      <c r="AZ16" t="s">
        <v>479</v>
      </c>
      <c r="BA16" t="s">
        <v>508</v>
      </c>
      <c r="BB16" t="s">
        <v>338</v>
      </c>
      <c r="BC16">
        <v>0.97849331544243145</v>
      </c>
      <c r="BD16">
        <v>394.28921688875596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245</v>
      </c>
      <c r="L17">
        <v>31.96286591497708</v>
      </c>
      <c r="M17">
        <v>0.1620391557145153</v>
      </c>
      <c r="O17" t="s">
        <v>270</v>
      </c>
      <c r="P17" t="s">
        <v>285</v>
      </c>
      <c r="Q17" t="s">
        <v>286</v>
      </c>
      <c r="R17" t="s">
        <v>10</v>
      </c>
      <c r="S17" t="s">
        <v>21</v>
      </c>
      <c r="T17" t="s">
        <v>273</v>
      </c>
      <c r="U17" t="s">
        <v>274</v>
      </c>
      <c r="V17" t="s">
        <v>176</v>
      </c>
      <c r="X17" t="s">
        <v>285</v>
      </c>
      <c r="Y17" t="s">
        <v>258</v>
      </c>
      <c r="Z17" t="s">
        <v>341</v>
      </c>
      <c r="AA17">
        <v>0.9987681422400152</v>
      </c>
      <c r="AB17">
        <v>22.584058933054997</v>
      </c>
      <c r="AD17" t="s">
        <v>270</v>
      </c>
      <c r="AE17" t="s">
        <v>376</v>
      </c>
      <c r="AF17" t="s">
        <v>377</v>
      </c>
      <c r="AG17" t="s">
        <v>10</v>
      </c>
      <c r="AH17" t="s">
        <v>21</v>
      </c>
      <c r="AI17" t="s">
        <v>274</v>
      </c>
      <c r="AJ17" t="s">
        <v>176</v>
      </c>
      <c r="AL17" t="s">
        <v>376</v>
      </c>
      <c r="AM17" t="s">
        <v>430</v>
      </c>
      <c r="AN17" t="s">
        <v>431</v>
      </c>
      <c r="AO17">
        <v>0.99739565808689357</v>
      </c>
      <c r="AP17">
        <v>47.746268406951614</v>
      </c>
      <c r="AR17" t="s">
        <v>270</v>
      </c>
      <c r="AS17" t="s">
        <v>481</v>
      </c>
      <c r="AT17" t="s">
        <v>482</v>
      </c>
      <c r="AU17" t="s">
        <v>10</v>
      </c>
      <c r="AV17" t="s">
        <v>21</v>
      </c>
      <c r="AW17" t="s">
        <v>274</v>
      </c>
      <c r="AX17" t="s">
        <v>176</v>
      </c>
      <c r="AZ17" t="s">
        <v>481</v>
      </c>
      <c r="BA17" t="s">
        <v>509</v>
      </c>
      <c r="BB17" t="s">
        <v>345</v>
      </c>
      <c r="BC17">
        <v>0.99863344496525219</v>
      </c>
      <c r="BD17">
        <v>25.053508970375976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246</v>
      </c>
      <c r="L18">
        <v>6.171739417308574</v>
      </c>
      <c r="M18">
        <v>0.17757220944927549</v>
      </c>
      <c r="O18" t="s">
        <v>270</v>
      </c>
      <c r="P18" t="s">
        <v>287</v>
      </c>
      <c r="Q18" t="s">
        <v>288</v>
      </c>
      <c r="R18" t="s">
        <v>10</v>
      </c>
      <c r="S18" t="s">
        <v>21</v>
      </c>
      <c r="T18" t="s">
        <v>273</v>
      </c>
      <c r="U18" t="s">
        <v>274</v>
      </c>
      <c r="V18" t="s">
        <v>176</v>
      </c>
      <c r="X18" t="s">
        <v>287</v>
      </c>
      <c r="Y18" t="s">
        <v>243</v>
      </c>
      <c r="Z18" t="s">
        <v>342</v>
      </c>
      <c r="AA18">
        <v>0.9967781407005234</v>
      </c>
      <c r="AB18">
        <v>59.06742049040524</v>
      </c>
      <c r="AD18" t="s">
        <v>270</v>
      </c>
      <c r="AE18" t="s">
        <v>378</v>
      </c>
      <c r="AF18" t="s">
        <v>379</v>
      </c>
      <c r="AG18" t="s">
        <v>10</v>
      </c>
      <c r="AH18" t="s">
        <v>21</v>
      </c>
      <c r="AI18" t="s">
        <v>274</v>
      </c>
      <c r="AJ18" t="s">
        <v>176</v>
      </c>
      <c r="AL18" t="s">
        <v>378</v>
      </c>
      <c r="AM18" t="s">
        <v>432</v>
      </c>
      <c r="AN18" t="s">
        <v>433</v>
      </c>
      <c r="AO18">
        <v>0.99765345145842399</v>
      </c>
      <c r="AP18">
        <v>43.020056595559488</v>
      </c>
      <c r="AR18" t="s">
        <v>270</v>
      </c>
      <c r="AS18" t="s">
        <v>483</v>
      </c>
      <c r="AT18" t="s">
        <v>484</v>
      </c>
      <c r="AU18" t="s">
        <v>10</v>
      </c>
      <c r="AV18" t="s">
        <v>21</v>
      </c>
      <c r="AW18" t="s">
        <v>274</v>
      </c>
      <c r="AX18" t="s">
        <v>176</v>
      </c>
      <c r="AZ18" t="s">
        <v>483</v>
      </c>
      <c r="BA18" t="s">
        <v>510</v>
      </c>
      <c r="BB18" t="s">
        <v>350</v>
      </c>
      <c r="BC18">
        <v>0.98065397607653604</v>
      </c>
      <c r="BD18">
        <v>354.67710526350635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247</v>
      </c>
      <c r="L19">
        <v>26.591690470014932</v>
      </c>
      <c r="M19">
        <v>0.1696688589464487</v>
      </c>
      <c r="O19" t="s">
        <v>270</v>
      </c>
      <c r="P19" t="s">
        <v>289</v>
      </c>
      <c r="Q19" t="s">
        <v>290</v>
      </c>
      <c r="R19" t="s">
        <v>10</v>
      </c>
      <c r="S19" t="s">
        <v>21</v>
      </c>
      <c r="T19" t="s">
        <v>273</v>
      </c>
      <c r="U19" t="s">
        <v>274</v>
      </c>
      <c r="V19" t="s">
        <v>176</v>
      </c>
      <c r="X19" t="s">
        <v>289</v>
      </c>
      <c r="Y19" t="s">
        <v>264</v>
      </c>
      <c r="Z19" t="s">
        <v>343</v>
      </c>
      <c r="AA19">
        <v>0.99768389076925323</v>
      </c>
      <c r="AB19">
        <v>42.462002563689758</v>
      </c>
      <c r="AD19" t="s">
        <v>270</v>
      </c>
      <c r="AE19" t="s">
        <v>380</v>
      </c>
      <c r="AF19" t="s">
        <v>381</v>
      </c>
      <c r="AG19" t="s">
        <v>10</v>
      </c>
      <c r="AH19" t="s">
        <v>21</v>
      </c>
      <c r="AI19" t="s">
        <v>274</v>
      </c>
      <c r="AJ19" t="s">
        <v>176</v>
      </c>
      <c r="AL19" t="s">
        <v>380</v>
      </c>
      <c r="AM19" t="s">
        <v>434</v>
      </c>
      <c r="AN19" t="s">
        <v>435</v>
      </c>
      <c r="AO19">
        <v>0.99756226071513543</v>
      </c>
      <c r="AP19">
        <v>44.691886889183898</v>
      </c>
      <c r="AR19" t="s">
        <v>270</v>
      </c>
      <c r="AS19" t="s">
        <v>485</v>
      </c>
      <c r="AT19" t="s">
        <v>486</v>
      </c>
      <c r="AU19" t="s">
        <v>10</v>
      </c>
      <c r="AV19" t="s">
        <v>21</v>
      </c>
      <c r="AW19" t="s">
        <v>274</v>
      </c>
      <c r="AX19" t="s">
        <v>176</v>
      </c>
      <c r="AZ19" t="s">
        <v>485</v>
      </c>
      <c r="BA19" t="s">
        <v>511</v>
      </c>
      <c r="BB19" t="s">
        <v>338</v>
      </c>
      <c r="BC19">
        <v>0.98299346510038665</v>
      </c>
      <c r="BD19">
        <v>311.78647315957892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248</v>
      </c>
      <c r="L20">
        <v>30.067600637751266</v>
      </c>
      <c r="M20">
        <v>0.1466115751000151</v>
      </c>
      <c r="O20" t="s">
        <v>270</v>
      </c>
      <c r="P20" t="s">
        <v>291</v>
      </c>
      <c r="Q20" t="s">
        <v>292</v>
      </c>
      <c r="R20" t="s">
        <v>10</v>
      </c>
      <c r="S20" t="s">
        <v>21</v>
      </c>
      <c r="T20" t="s">
        <v>273</v>
      </c>
      <c r="U20" t="s">
        <v>274</v>
      </c>
      <c r="V20" t="s">
        <v>176</v>
      </c>
      <c r="X20" t="s">
        <v>291</v>
      </c>
      <c r="Y20" t="s">
        <v>267</v>
      </c>
      <c r="Z20" t="s">
        <v>344</v>
      </c>
      <c r="AA20">
        <v>0.99678800794697264</v>
      </c>
      <c r="AB20">
        <v>58.88652097216788</v>
      </c>
      <c r="AD20" t="s">
        <v>270</v>
      </c>
      <c r="AE20" t="s">
        <v>382</v>
      </c>
      <c r="AF20" t="s">
        <v>383</v>
      </c>
      <c r="AG20" t="s">
        <v>10</v>
      </c>
      <c r="AH20" t="s">
        <v>21</v>
      </c>
      <c r="AI20" t="s">
        <v>274</v>
      </c>
      <c r="AJ20" t="s">
        <v>176</v>
      </c>
      <c r="AL20" t="s">
        <v>382</v>
      </c>
      <c r="AM20" t="s">
        <v>436</v>
      </c>
      <c r="AN20" t="s">
        <v>437</v>
      </c>
      <c r="AO20">
        <v>0.99719673945277698</v>
      </c>
      <c r="AP20">
        <v>51.393110032423003</v>
      </c>
      <c r="AR20" t="s">
        <v>270</v>
      </c>
      <c r="AS20" t="s">
        <v>487</v>
      </c>
      <c r="AT20" t="s">
        <v>488</v>
      </c>
      <c r="AU20" t="s">
        <v>10</v>
      </c>
      <c r="AV20" t="s">
        <v>21</v>
      </c>
      <c r="AW20" t="s">
        <v>274</v>
      </c>
      <c r="AX20" t="s">
        <v>176</v>
      </c>
      <c r="AZ20" t="s">
        <v>487</v>
      </c>
      <c r="BA20" t="s">
        <v>512</v>
      </c>
      <c r="BB20" t="s">
        <v>338</v>
      </c>
      <c r="BC20">
        <v>0.98380382000267219</v>
      </c>
      <c r="BD20">
        <v>296.92996661767575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249</v>
      </c>
      <c r="L21">
        <v>26.105135857137661</v>
      </c>
      <c r="M21">
        <v>0.1546643248370469</v>
      </c>
      <c r="O21" t="s">
        <v>270</v>
      </c>
      <c r="P21" t="s">
        <v>293</v>
      </c>
      <c r="Q21" t="s">
        <v>294</v>
      </c>
      <c r="R21" t="s">
        <v>10</v>
      </c>
      <c r="S21" t="s">
        <v>21</v>
      </c>
      <c r="T21" t="s">
        <v>273</v>
      </c>
      <c r="U21" t="s">
        <v>274</v>
      </c>
      <c r="V21" t="s">
        <v>176</v>
      </c>
      <c r="X21" t="s">
        <v>293</v>
      </c>
      <c r="Y21" t="s">
        <v>263</v>
      </c>
      <c r="Z21" t="s">
        <v>345</v>
      </c>
      <c r="AA21">
        <v>0.99807548905811494</v>
      </c>
      <c r="AB21">
        <v>35.282700601226196</v>
      </c>
      <c r="AD21" t="s">
        <v>270</v>
      </c>
      <c r="AE21" t="s">
        <v>384</v>
      </c>
      <c r="AF21" t="s">
        <v>385</v>
      </c>
      <c r="AG21" t="s">
        <v>10</v>
      </c>
      <c r="AH21" t="s">
        <v>21</v>
      </c>
      <c r="AI21" t="s">
        <v>274</v>
      </c>
      <c r="AJ21" t="s">
        <v>176</v>
      </c>
      <c r="AL21" t="s">
        <v>384</v>
      </c>
      <c r="AM21" t="s">
        <v>438</v>
      </c>
      <c r="AN21" t="s">
        <v>352</v>
      </c>
      <c r="AO21">
        <v>0.99778204559874861</v>
      </c>
      <c r="AP21">
        <v>40.662497356275288</v>
      </c>
      <c r="AR21" t="s">
        <v>270</v>
      </c>
      <c r="AS21" t="s">
        <v>489</v>
      </c>
      <c r="AT21" t="s">
        <v>490</v>
      </c>
      <c r="AU21" t="s">
        <v>10</v>
      </c>
      <c r="AV21" t="s">
        <v>21</v>
      </c>
      <c r="AW21" t="s">
        <v>274</v>
      </c>
      <c r="AX21" t="s">
        <v>176</v>
      </c>
      <c r="AZ21" t="s">
        <v>489</v>
      </c>
      <c r="BA21" t="s">
        <v>513</v>
      </c>
      <c r="BB21" t="s">
        <v>350</v>
      </c>
      <c r="BC21">
        <v>0.98973273644055293</v>
      </c>
      <c r="BD21">
        <v>188.23316525652893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250</v>
      </c>
      <c r="L22">
        <v>31.534079658876248</v>
      </c>
      <c r="M22">
        <v>0.14159244261184881</v>
      </c>
      <c r="O22" t="s">
        <v>270</v>
      </c>
      <c r="P22" t="s">
        <v>295</v>
      </c>
      <c r="Q22" t="s">
        <v>296</v>
      </c>
      <c r="R22" t="s">
        <v>10</v>
      </c>
      <c r="S22" t="s">
        <v>21</v>
      </c>
      <c r="T22" t="s">
        <v>273</v>
      </c>
      <c r="U22" t="s">
        <v>274</v>
      </c>
      <c r="V22" t="s">
        <v>176</v>
      </c>
      <c r="X22" t="s">
        <v>295</v>
      </c>
      <c r="Y22" t="s">
        <v>244</v>
      </c>
      <c r="Z22" t="s">
        <v>346</v>
      </c>
      <c r="AA22">
        <v>0.99812782016534596</v>
      </c>
      <c r="AB22">
        <v>34.323296968657118</v>
      </c>
      <c r="AD22" t="s">
        <v>270</v>
      </c>
      <c r="AE22" t="s">
        <v>386</v>
      </c>
      <c r="AF22" t="s">
        <v>387</v>
      </c>
      <c r="AG22" t="s">
        <v>10</v>
      </c>
      <c r="AH22" t="s">
        <v>21</v>
      </c>
      <c r="AI22" t="s">
        <v>274</v>
      </c>
      <c r="AJ22" t="s">
        <v>176</v>
      </c>
      <c r="AL22" t="s">
        <v>386</v>
      </c>
      <c r="AM22" t="s">
        <v>439</v>
      </c>
      <c r="AN22" t="s">
        <v>440</v>
      </c>
      <c r="AO22">
        <v>0.99742029995821757</v>
      </c>
      <c r="AP22">
        <v>47.294500766011943</v>
      </c>
      <c r="AR22" t="s">
        <v>270</v>
      </c>
      <c r="AS22" t="s">
        <v>491</v>
      </c>
      <c r="AT22" t="s">
        <v>492</v>
      </c>
      <c r="AU22" t="s">
        <v>10</v>
      </c>
      <c r="AV22" t="s">
        <v>21</v>
      </c>
      <c r="AW22" t="s">
        <v>274</v>
      </c>
      <c r="AX22" t="s">
        <v>176</v>
      </c>
      <c r="AZ22" t="s">
        <v>491</v>
      </c>
      <c r="BA22" t="s">
        <v>514</v>
      </c>
      <c r="BB22" t="s">
        <v>515</v>
      </c>
      <c r="BC22">
        <v>0.98905121950258512</v>
      </c>
      <c r="BD22">
        <v>200.72764245260552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251</v>
      </c>
      <c r="L23">
        <v>25.335685877090089</v>
      </c>
      <c r="M23">
        <v>0.15078251670622081</v>
      </c>
      <c r="O23" t="s">
        <v>270</v>
      </c>
      <c r="P23" t="s">
        <v>297</v>
      </c>
      <c r="Q23" t="s">
        <v>298</v>
      </c>
      <c r="R23" t="s">
        <v>10</v>
      </c>
      <c r="S23" t="s">
        <v>21</v>
      </c>
      <c r="T23" t="s">
        <v>273</v>
      </c>
      <c r="U23" t="s">
        <v>274</v>
      </c>
      <c r="V23" t="s">
        <v>176</v>
      </c>
      <c r="X23" t="s">
        <v>297</v>
      </c>
      <c r="Y23" t="s">
        <v>242</v>
      </c>
      <c r="Z23" t="s">
        <v>347</v>
      </c>
      <c r="AA23">
        <v>0.99873749004157653</v>
      </c>
      <c r="AB23">
        <v>23.146015904430175</v>
      </c>
      <c r="AD23" t="s">
        <v>270</v>
      </c>
      <c r="AE23" t="s">
        <v>388</v>
      </c>
      <c r="AF23" t="s">
        <v>389</v>
      </c>
      <c r="AG23" t="s">
        <v>10</v>
      </c>
      <c r="AH23" t="s">
        <v>21</v>
      </c>
      <c r="AI23" t="s">
        <v>274</v>
      </c>
      <c r="AJ23" t="s">
        <v>176</v>
      </c>
      <c r="AL23" t="s">
        <v>388</v>
      </c>
      <c r="AM23" t="s">
        <v>441</v>
      </c>
      <c r="AN23" t="s">
        <v>442</v>
      </c>
      <c r="AO23">
        <v>0.99817633840500364</v>
      </c>
      <c r="AP23">
        <v>33.433795908267413</v>
      </c>
      <c r="AR23" t="s">
        <v>270</v>
      </c>
      <c r="AS23" t="s">
        <v>493</v>
      </c>
      <c r="AT23" t="s">
        <v>494</v>
      </c>
      <c r="AU23" t="s">
        <v>10</v>
      </c>
      <c r="AV23" t="s">
        <v>21</v>
      </c>
      <c r="AW23" t="s">
        <v>274</v>
      </c>
      <c r="AX23" t="s">
        <v>176</v>
      </c>
      <c r="AZ23" t="s">
        <v>493</v>
      </c>
      <c r="BA23" t="s">
        <v>516</v>
      </c>
      <c r="BB23" t="s">
        <v>338</v>
      </c>
      <c r="BC23">
        <v>0.99441277928791383</v>
      </c>
      <c r="BD23">
        <v>102.43237972158009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252</v>
      </c>
      <c r="L24">
        <v>25.273890667489873</v>
      </c>
      <c r="M24">
        <v>0.1471141642493132</v>
      </c>
      <c r="O24" t="s">
        <v>270</v>
      </c>
      <c r="P24" t="s">
        <v>299</v>
      </c>
      <c r="Q24" t="s">
        <v>300</v>
      </c>
      <c r="R24" t="s">
        <v>10</v>
      </c>
      <c r="S24" t="s">
        <v>21</v>
      </c>
      <c r="T24" t="s">
        <v>273</v>
      </c>
      <c r="U24" t="s">
        <v>274</v>
      </c>
      <c r="V24" t="s">
        <v>176</v>
      </c>
      <c r="X24" t="s">
        <v>299</v>
      </c>
      <c r="Y24" t="s">
        <v>261</v>
      </c>
      <c r="Z24" t="s">
        <v>348</v>
      </c>
      <c r="AA24">
        <v>0.99820251673680249</v>
      </c>
      <c r="AB24">
        <v>32.953859825288589</v>
      </c>
      <c r="AD24" t="s">
        <v>270</v>
      </c>
      <c r="AE24" t="s">
        <v>390</v>
      </c>
      <c r="AF24" t="s">
        <v>391</v>
      </c>
      <c r="AG24" t="s">
        <v>10</v>
      </c>
      <c r="AH24" t="s">
        <v>21</v>
      </c>
      <c r="AI24" t="s">
        <v>274</v>
      </c>
      <c r="AJ24" t="s">
        <v>176</v>
      </c>
      <c r="AL24" t="s">
        <v>390</v>
      </c>
      <c r="AM24" t="s">
        <v>443</v>
      </c>
      <c r="AN24" t="s">
        <v>444</v>
      </c>
      <c r="AO24">
        <v>0.99586599256158292</v>
      </c>
      <c r="AP24">
        <v>75.790136370979724</v>
      </c>
      <c r="AR24" t="s">
        <v>270</v>
      </c>
      <c r="AS24" t="s">
        <v>495</v>
      </c>
      <c r="AT24" t="s">
        <v>496</v>
      </c>
      <c r="AU24" t="s">
        <v>10</v>
      </c>
      <c r="AV24" t="s">
        <v>21</v>
      </c>
      <c r="AW24" t="s">
        <v>274</v>
      </c>
      <c r="AX24" t="s">
        <v>176</v>
      </c>
      <c r="AZ24" t="s">
        <v>495</v>
      </c>
      <c r="BA24" t="s">
        <v>517</v>
      </c>
      <c r="BB24" t="s">
        <v>518</v>
      </c>
      <c r="BC24">
        <v>0.99419387483019273</v>
      </c>
      <c r="BD24">
        <v>106.44562811313425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253</v>
      </c>
      <c r="L25">
        <v>16.407562974541626</v>
      </c>
      <c r="M25">
        <v>0.2043015812556736</v>
      </c>
      <c r="O25" t="s">
        <v>270</v>
      </c>
      <c r="P25" t="s">
        <v>301</v>
      </c>
      <c r="Q25" t="s">
        <v>302</v>
      </c>
      <c r="R25" t="s">
        <v>10</v>
      </c>
      <c r="S25" t="s">
        <v>21</v>
      </c>
      <c r="T25" t="s">
        <v>273</v>
      </c>
      <c r="U25" t="s">
        <v>274</v>
      </c>
      <c r="V25" t="s">
        <v>176</v>
      </c>
      <c r="X25" t="s">
        <v>301</v>
      </c>
      <c r="Y25" t="s">
        <v>249</v>
      </c>
      <c r="Z25" t="s">
        <v>349</v>
      </c>
      <c r="AA25">
        <v>0.99719319688440999</v>
      </c>
      <c r="AB25">
        <v>51.458057119150247</v>
      </c>
      <c r="AD25" t="s">
        <v>270</v>
      </c>
      <c r="AE25" t="s">
        <v>392</v>
      </c>
      <c r="AF25" t="s">
        <v>393</v>
      </c>
      <c r="AG25" t="s">
        <v>10</v>
      </c>
      <c r="AH25" t="s">
        <v>21</v>
      </c>
      <c r="AI25" t="s">
        <v>274</v>
      </c>
      <c r="AJ25" t="s">
        <v>176</v>
      </c>
      <c r="AL25" t="s">
        <v>392</v>
      </c>
      <c r="AM25" t="s">
        <v>445</v>
      </c>
      <c r="AN25" t="s">
        <v>446</v>
      </c>
      <c r="AO25">
        <v>0.99742293468348531</v>
      </c>
      <c r="AP25">
        <v>47.246197469436119</v>
      </c>
      <c r="AR25" t="s">
        <v>270</v>
      </c>
      <c r="AS25" t="s">
        <v>497</v>
      </c>
      <c r="AT25" t="s">
        <v>498</v>
      </c>
      <c r="AU25" t="s">
        <v>10</v>
      </c>
      <c r="AV25" t="s">
        <v>21</v>
      </c>
      <c r="AW25" t="s">
        <v>274</v>
      </c>
      <c r="AX25" t="s">
        <v>176</v>
      </c>
      <c r="AZ25" t="s">
        <v>497</v>
      </c>
      <c r="BA25" t="s">
        <v>519</v>
      </c>
      <c r="BB25" t="s">
        <v>520</v>
      </c>
      <c r="BC25">
        <v>0.99579717949467605</v>
      </c>
      <c r="BD25">
        <v>77.051709264272191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254</v>
      </c>
      <c r="L26">
        <v>10.381590711634406</v>
      </c>
      <c r="M26">
        <v>0.20289181596430611</v>
      </c>
      <c r="O26" t="s">
        <v>270</v>
      </c>
      <c r="P26" t="s">
        <v>303</v>
      </c>
      <c r="Q26" t="s">
        <v>304</v>
      </c>
      <c r="R26" t="s">
        <v>10</v>
      </c>
      <c r="S26" t="s">
        <v>21</v>
      </c>
      <c r="T26" t="s">
        <v>273</v>
      </c>
      <c r="U26" t="s">
        <v>274</v>
      </c>
      <c r="V26" t="s">
        <v>176</v>
      </c>
      <c r="X26" t="s">
        <v>303</v>
      </c>
      <c r="Y26" t="s">
        <v>246</v>
      </c>
      <c r="Z26" t="s">
        <v>350</v>
      </c>
      <c r="AA26">
        <v>0.99775269613274897</v>
      </c>
      <c r="AB26">
        <v>41.200570899602418</v>
      </c>
      <c r="AD26" t="s">
        <v>270</v>
      </c>
      <c r="AE26" t="s">
        <v>394</v>
      </c>
      <c r="AF26" t="s">
        <v>395</v>
      </c>
      <c r="AG26" t="s">
        <v>10</v>
      </c>
      <c r="AH26" t="s">
        <v>21</v>
      </c>
      <c r="AI26" t="s">
        <v>274</v>
      </c>
      <c r="AJ26" t="s">
        <v>176</v>
      </c>
      <c r="AL26" t="s">
        <v>394</v>
      </c>
      <c r="AM26" t="s">
        <v>447</v>
      </c>
      <c r="AN26" t="s">
        <v>448</v>
      </c>
      <c r="AO26">
        <v>0.99804245386379287</v>
      </c>
      <c r="AP26">
        <v>35.888345830464296</v>
      </c>
      <c r="AR26" t="s">
        <v>270</v>
      </c>
      <c r="AS26" t="s">
        <v>499</v>
      </c>
      <c r="AT26" t="s">
        <v>500</v>
      </c>
      <c r="AU26" t="s">
        <v>10</v>
      </c>
      <c r="AV26" t="s">
        <v>21</v>
      </c>
      <c r="AW26" t="s">
        <v>274</v>
      </c>
      <c r="AX26" t="s">
        <v>176</v>
      </c>
      <c r="AZ26" t="s">
        <v>499</v>
      </c>
      <c r="BA26" t="s">
        <v>521</v>
      </c>
      <c r="BB26" t="s">
        <v>522</v>
      </c>
      <c r="BC26">
        <v>0.9911086854453236</v>
      </c>
      <c r="BD26">
        <v>163.0074335024004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255</v>
      </c>
      <c r="L27">
        <v>0.92254128130641433</v>
      </c>
      <c r="M27">
        <v>0.2106714274917259</v>
      </c>
      <c r="O27" t="s">
        <v>270</v>
      </c>
      <c r="P27" t="s">
        <v>305</v>
      </c>
      <c r="Q27" t="s">
        <v>306</v>
      </c>
      <c r="R27" t="s">
        <v>10</v>
      </c>
      <c r="S27" t="s">
        <v>21</v>
      </c>
      <c r="T27" t="s">
        <v>273</v>
      </c>
      <c r="U27" t="s">
        <v>274</v>
      </c>
      <c r="V27" t="s">
        <v>176</v>
      </c>
      <c r="X27" t="s">
        <v>305</v>
      </c>
      <c r="Y27" t="s">
        <v>262</v>
      </c>
      <c r="Z27" t="s">
        <v>351</v>
      </c>
      <c r="AA27">
        <v>0.99737794036187466</v>
      </c>
      <c r="AB27">
        <v>48.07109336563137</v>
      </c>
      <c r="AD27" t="s">
        <v>270</v>
      </c>
      <c r="AE27" t="s">
        <v>396</v>
      </c>
      <c r="AF27" t="s">
        <v>397</v>
      </c>
      <c r="AG27" t="s">
        <v>10</v>
      </c>
      <c r="AH27" t="s">
        <v>21</v>
      </c>
      <c r="AI27" t="s">
        <v>274</v>
      </c>
      <c r="AJ27" t="s">
        <v>176</v>
      </c>
      <c r="AL27" t="s">
        <v>396</v>
      </c>
      <c r="AM27" t="s">
        <v>449</v>
      </c>
      <c r="AN27" t="s">
        <v>450</v>
      </c>
      <c r="AO27">
        <v>0.9970097215210143</v>
      </c>
      <c r="AP27">
        <v>54.82177211473752</v>
      </c>
      <c r="AR27" t="s">
        <v>270</v>
      </c>
      <c r="AS27" t="s">
        <v>501</v>
      </c>
      <c r="AT27" t="s">
        <v>502</v>
      </c>
      <c r="AU27" t="s">
        <v>10</v>
      </c>
      <c r="AV27" t="s">
        <v>21</v>
      </c>
      <c r="AW27" t="s">
        <v>274</v>
      </c>
      <c r="AX27" t="s">
        <v>176</v>
      </c>
      <c r="AZ27" t="s">
        <v>501</v>
      </c>
      <c r="BA27" t="s">
        <v>523</v>
      </c>
      <c r="BB27" t="s">
        <v>428</v>
      </c>
      <c r="BC27">
        <v>0.99440716597809709</v>
      </c>
      <c r="BD27">
        <v>102.53529040155342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256</v>
      </c>
      <c r="L28">
        <v>13.478627919828655</v>
      </c>
      <c r="M28">
        <v>0.2071773191059792</v>
      </c>
      <c r="O28" t="s">
        <v>270</v>
      </c>
      <c r="P28" t="s">
        <v>307</v>
      </c>
      <c r="Q28" t="s">
        <v>308</v>
      </c>
      <c r="R28" t="s">
        <v>10</v>
      </c>
      <c r="S28" t="s">
        <v>21</v>
      </c>
      <c r="T28" t="s">
        <v>273</v>
      </c>
      <c r="U28" t="s">
        <v>274</v>
      </c>
      <c r="V28" t="s">
        <v>176</v>
      </c>
      <c r="X28" t="s">
        <v>307</v>
      </c>
      <c r="Y28" t="s">
        <v>250</v>
      </c>
      <c r="Z28" t="s">
        <v>352</v>
      </c>
      <c r="AA28">
        <v>0.99790569401710338</v>
      </c>
      <c r="AB28">
        <v>38.395609686438895</v>
      </c>
      <c r="AD28" t="s">
        <v>270</v>
      </c>
      <c r="AE28" t="s">
        <v>398</v>
      </c>
      <c r="AF28" t="s">
        <v>399</v>
      </c>
      <c r="AG28" t="s">
        <v>10</v>
      </c>
      <c r="AH28" t="s">
        <v>21</v>
      </c>
      <c r="AI28" t="s">
        <v>274</v>
      </c>
      <c r="AJ28" t="s">
        <v>176</v>
      </c>
      <c r="AL28" t="s">
        <v>398</v>
      </c>
      <c r="AM28" t="s">
        <v>451</v>
      </c>
      <c r="AN28" t="s">
        <v>452</v>
      </c>
      <c r="AO28">
        <v>0.99784198809622926</v>
      </c>
      <c r="AP28">
        <v>39.563551569129636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257</v>
      </c>
      <c r="L29">
        <v>19.178912208633044</v>
      </c>
      <c r="M29">
        <v>0.1655802743700393</v>
      </c>
      <c r="O29" t="s">
        <v>270</v>
      </c>
      <c r="P29" t="s">
        <v>309</v>
      </c>
      <c r="Q29" t="s">
        <v>310</v>
      </c>
      <c r="R29" t="s">
        <v>10</v>
      </c>
      <c r="S29" t="s">
        <v>21</v>
      </c>
      <c r="T29" t="s">
        <v>273</v>
      </c>
      <c r="U29" t="s">
        <v>274</v>
      </c>
      <c r="V29" t="s">
        <v>176</v>
      </c>
      <c r="X29" t="s">
        <v>309</v>
      </c>
      <c r="Y29" t="s">
        <v>248</v>
      </c>
      <c r="Z29" t="s">
        <v>353</v>
      </c>
      <c r="AA29">
        <v>0.99777826206332976</v>
      </c>
      <c r="AB29">
        <v>40.731862172288039</v>
      </c>
      <c r="AD29" t="s">
        <v>270</v>
      </c>
      <c r="AE29" t="s">
        <v>400</v>
      </c>
      <c r="AF29" t="s">
        <v>401</v>
      </c>
      <c r="AG29" t="s">
        <v>10</v>
      </c>
      <c r="AH29" t="s">
        <v>21</v>
      </c>
      <c r="AI29" t="s">
        <v>274</v>
      </c>
      <c r="AJ29" t="s">
        <v>176</v>
      </c>
      <c r="AL29" t="s">
        <v>400</v>
      </c>
      <c r="AM29" t="s">
        <v>453</v>
      </c>
      <c r="AN29" t="s">
        <v>454</v>
      </c>
      <c r="AO29">
        <v>0.99746485747937264</v>
      </c>
      <c r="AP29">
        <v>46.477612878168472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258</v>
      </c>
      <c r="L30">
        <v>2.6687433304866932</v>
      </c>
      <c r="M30">
        <v>0.180343764764019</v>
      </c>
      <c r="O30" t="s">
        <v>270</v>
      </c>
      <c r="P30" t="s">
        <v>311</v>
      </c>
      <c r="Q30" t="s">
        <v>312</v>
      </c>
      <c r="R30" t="s">
        <v>10</v>
      </c>
      <c r="S30" t="s">
        <v>21</v>
      </c>
      <c r="T30" t="s">
        <v>273</v>
      </c>
      <c r="U30" t="s">
        <v>274</v>
      </c>
      <c r="V30" t="s">
        <v>176</v>
      </c>
      <c r="X30" t="s">
        <v>311</v>
      </c>
      <c r="Y30" t="s">
        <v>259</v>
      </c>
      <c r="Z30" t="s">
        <v>354</v>
      </c>
      <c r="AA30">
        <v>0.99700804792465858</v>
      </c>
      <c r="AB30">
        <v>54.85245471459325</v>
      </c>
      <c r="AD30" t="s">
        <v>270</v>
      </c>
      <c r="AE30" t="s">
        <v>402</v>
      </c>
      <c r="AF30" t="s">
        <v>403</v>
      </c>
      <c r="AG30" t="s">
        <v>10</v>
      </c>
      <c r="AH30" t="s">
        <v>21</v>
      </c>
      <c r="AI30" t="s">
        <v>274</v>
      </c>
      <c r="AJ30" t="s">
        <v>176</v>
      </c>
      <c r="AL30" t="s">
        <v>402</v>
      </c>
      <c r="AM30" t="s">
        <v>455</v>
      </c>
      <c r="AN30" t="s">
        <v>456</v>
      </c>
      <c r="AO30">
        <v>0.99648757714768388</v>
      </c>
      <c r="AP30">
        <v>64.394418959127933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259</v>
      </c>
      <c r="L31">
        <v>22.928568979768528</v>
      </c>
      <c r="M31">
        <v>0.1778969146732749</v>
      </c>
      <c r="O31" t="s">
        <v>270</v>
      </c>
      <c r="P31" t="s">
        <v>313</v>
      </c>
      <c r="Q31" t="s">
        <v>314</v>
      </c>
      <c r="R31" t="s">
        <v>10</v>
      </c>
      <c r="S31" t="s">
        <v>21</v>
      </c>
      <c r="T31" t="s">
        <v>273</v>
      </c>
      <c r="U31" t="s">
        <v>274</v>
      </c>
      <c r="V31" t="s">
        <v>176</v>
      </c>
      <c r="X31" t="s">
        <v>313</v>
      </c>
      <c r="Y31" t="s">
        <v>260</v>
      </c>
      <c r="Z31" t="s">
        <v>355</v>
      </c>
      <c r="AA31">
        <v>0.99754382386829921</v>
      </c>
      <c r="AB31">
        <v>45.029895747848158</v>
      </c>
      <c r="AD31" t="s">
        <v>270</v>
      </c>
      <c r="AE31" t="s">
        <v>404</v>
      </c>
      <c r="AF31" t="s">
        <v>405</v>
      </c>
      <c r="AG31" t="s">
        <v>10</v>
      </c>
      <c r="AH31" t="s">
        <v>21</v>
      </c>
      <c r="AI31" t="s">
        <v>274</v>
      </c>
      <c r="AJ31" t="s">
        <v>176</v>
      </c>
      <c r="AL31" t="s">
        <v>404</v>
      </c>
      <c r="AM31" t="s">
        <v>457</v>
      </c>
      <c r="AN31" t="s">
        <v>421</v>
      </c>
      <c r="AO31">
        <v>0.9988955767418648</v>
      </c>
      <c r="AP31">
        <v>20.247759732477729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260</v>
      </c>
      <c r="L32">
        <v>26.626346510664447</v>
      </c>
      <c r="M32">
        <v>0.1581266384565968</v>
      </c>
      <c r="O32" t="s">
        <v>270</v>
      </c>
      <c r="P32" t="s">
        <v>315</v>
      </c>
      <c r="Q32" t="s">
        <v>316</v>
      </c>
      <c r="R32" t="s">
        <v>10</v>
      </c>
      <c r="S32" t="s">
        <v>21</v>
      </c>
      <c r="T32" t="s">
        <v>273</v>
      </c>
      <c r="U32" t="s">
        <v>274</v>
      </c>
      <c r="V32" t="s">
        <v>176</v>
      </c>
      <c r="X32" t="s">
        <v>315</v>
      </c>
      <c r="Y32" t="s">
        <v>252</v>
      </c>
      <c r="Z32" t="s">
        <v>356</v>
      </c>
      <c r="AA32">
        <v>0.99783160220227129</v>
      </c>
      <c r="AB32">
        <v>39.753959625025857</v>
      </c>
      <c r="AD32" t="s">
        <v>270</v>
      </c>
      <c r="AE32" t="s">
        <v>406</v>
      </c>
      <c r="AF32" t="s">
        <v>407</v>
      </c>
      <c r="AG32" t="s">
        <v>10</v>
      </c>
      <c r="AH32" t="s">
        <v>21</v>
      </c>
      <c r="AI32" t="s">
        <v>274</v>
      </c>
      <c r="AJ32" t="s">
        <v>176</v>
      </c>
      <c r="AL32" t="s">
        <v>406</v>
      </c>
      <c r="AM32" t="s">
        <v>458</v>
      </c>
      <c r="AN32" t="s">
        <v>338</v>
      </c>
      <c r="AO32">
        <v>0.99512455257015542</v>
      </c>
      <c r="AP32">
        <v>89.383202880483722</v>
      </c>
    </row>
    <row r="33" spans="2:42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261</v>
      </c>
      <c r="L33">
        <v>22.533485532622432</v>
      </c>
      <c r="M33">
        <v>0.16094429791535239</v>
      </c>
      <c r="O33" t="s">
        <v>270</v>
      </c>
      <c r="P33" t="s">
        <v>317</v>
      </c>
      <c r="Q33" t="s">
        <v>318</v>
      </c>
      <c r="R33" t="s">
        <v>10</v>
      </c>
      <c r="S33" t="s">
        <v>21</v>
      </c>
      <c r="T33" t="s">
        <v>273</v>
      </c>
      <c r="U33" t="s">
        <v>274</v>
      </c>
      <c r="V33" t="s">
        <v>176</v>
      </c>
      <c r="X33" t="s">
        <v>317</v>
      </c>
      <c r="Y33" t="s">
        <v>254</v>
      </c>
      <c r="Z33" t="s">
        <v>337</v>
      </c>
      <c r="AA33">
        <v>0.99778628553476412</v>
      </c>
      <c r="AB33">
        <v>40.584765195991288</v>
      </c>
      <c r="AD33" t="s">
        <v>270</v>
      </c>
      <c r="AE33" t="s">
        <v>408</v>
      </c>
      <c r="AF33" t="s">
        <v>409</v>
      </c>
      <c r="AG33" t="s">
        <v>10</v>
      </c>
      <c r="AH33" t="s">
        <v>21</v>
      </c>
      <c r="AI33" t="s">
        <v>274</v>
      </c>
      <c r="AJ33" t="s">
        <v>176</v>
      </c>
      <c r="AL33" t="s">
        <v>408</v>
      </c>
      <c r="AM33" t="s">
        <v>459</v>
      </c>
      <c r="AN33" t="s">
        <v>460</v>
      </c>
      <c r="AO33">
        <v>0.99854067090268706</v>
      </c>
      <c r="AP33">
        <v>26.754366784069809</v>
      </c>
    </row>
    <row r="34" spans="2:42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262</v>
      </c>
      <c r="L34">
        <v>16.102395062036397</v>
      </c>
      <c r="M34">
        <v>0.17064234261175529</v>
      </c>
      <c r="O34" t="s">
        <v>270</v>
      </c>
      <c r="P34" t="s">
        <v>319</v>
      </c>
      <c r="Q34" t="s">
        <v>320</v>
      </c>
      <c r="R34" t="s">
        <v>10</v>
      </c>
      <c r="S34" t="s">
        <v>21</v>
      </c>
      <c r="T34" t="s">
        <v>273</v>
      </c>
      <c r="U34" t="s">
        <v>274</v>
      </c>
      <c r="V34" t="s">
        <v>176</v>
      </c>
      <c r="X34" t="s">
        <v>319</v>
      </c>
      <c r="Y34" t="s">
        <v>245</v>
      </c>
      <c r="Z34" t="s">
        <v>357</v>
      </c>
      <c r="AA34">
        <v>0.99760073307445152</v>
      </c>
      <c r="AB34">
        <v>43.986560301722875</v>
      </c>
      <c r="AD34" t="s">
        <v>270</v>
      </c>
      <c r="AE34" t="s">
        <v>410</v>
      </c>
      <c r="AF34" t="s">
        <v>411</v>
      </c>
      <c r="AG34" t="s">
        <v>10</v>
      </c>
      <c r="AH34" t="s">
        <v>21</v>
      </c>
      <c r="AI34" t="s">
        <v>274</v>
      </c>
      <c r="AJ34" t="s">
        <v>176</v>
      </c>
      <c r="AL34" t="s">
        <v>410</v>
      </c>
      <c r="AM34" t="s">
        <v>461</v>
      </c>
      <c r="AN34" t="s">
        <v>462</v>
      </c>
      <c r="AO34">
        <v>0.99712165362217109</v>
      </c>
      <c r="AP34">
        <v>52.769683593529635</v>
      </c>
    </row>
    <row r="35" spans="2:42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263</v>
      </c>
      <c r="L35">
        <v>9.6980920241699611</v>
      </c>
      <c r="M35">
        <v>0.1797618980602935</v>
      </c>
      <c r="O35" t="s">
        <v>270</v>
      </c>
      <c r="P35" t="s">
        <v>321</v>
      </c>
      <c r="Q35" t="s">
        <v>322</v>
      </c>
      <c r="R35" t="s">
        <v>10</v>
      </c>
      <c r="S35" t="s">
        <v>21</v>
      </c>
      <c r="T35" t="s">
        <v>273</v>
      </c>
      <c r="U35" t="s">
        <v>274</v>
      </c>
      <c r="V35" t="s">
        <v>176</v>
      </c>
      <c r="X35" t="s">
        <v>321</v>
      </c>
      <c r="Y35" t="s">
        <v>266</v>
      </c>
      <c r="Z35" t="s">
        <v>358</v>
      </c>
      <c r="AA35">
        <v>0.99771094718615749</v>
      </c>
      <c r="AB35">
        <v>41.965968253779806</v>
      </c>
      <c r="AD35" t="s">
        <v>270</v>
      </c>
      <c r="AE35" t="s">
        <v>412</v>
      </c>
      <c r="AF35" t="s">
        <v>413</v>
      </c>
      <c r="AG35" t="s">
        <v>10</v>
      </c>
      <c r="AH35" t="s">
        <v>21</v>
      </c>
      <c r="AI35" t="s">
        <v>274</v>
      </c>
      <c r="AJ35" t="s">
        <v>176</v>
      </c>
      <c r="AL35" t="s">
        <v>412</v>
      </c>
      <c r="AM35" t="s">
        <v>463</v>
      </c>
      <c r="AN35" t="s">
        <v>464</v>
      </c>
      <c r="AO35">
        <v>0.99650877616217826</v>
      </c>
      <c r="AP35">
        <v>64.005770360066109</v>
      </c>
    </row>
    <row r="36" spans="2:42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264</v>
      </c>
      <c r="L36">
        <v>27.395588365889658</v>
      </c>
      <c r="M36">
        <v>0.18151428631796929</v>
      </c>
      <c r="O36" t="s">
        <v>270</v>
      </c>
      <c r="P36" t="s">
        <v>323</v>
      </c>
      <c r="Q36" t="s">
        <v>324</v>
      </c>
      <c r="R36" t="s">
        <v>10</v>
      </c>
      <c r="S36" t="s">
        <v>21</v>
      </c>
      <c r="T36" t="s">
        <v>273</v>
      </c>
      <c r="U36" t="s">
        <v>274</v>
      </c>
      <c r="V36" t="s">
        <v>176</v>
      </c>
      <c r="X36" t="s">
        <v>323</v>
      </c>
      <c r="Y36" t="s">
        <v>240</v>
      </c>
      <c r="Z36" t="s">
        <v>359</v>
      </c>
      <c r="AA36">
        <v>0.99789185737427777</v>
      </c>
      <c r="AB36">
        <v>38.649281471573786</v>
      </c>
      <c r="AD36" t="s">
        <v>270</v>
      </c>
      <c r="AE36" t="s">
        <v>414</v>
      </c>
      <c r="AF36" t="s">
        <v>415</v>
      </c>
      <c r="AG36" t="s">
        <v>10</v>
      </c>
      <c r="AH36" t="s">
        <v>21</v>
      </c>
      <c r="AI36" t="s">
        <v>274</v>
      </c>
      <c r="AJ36" t="s">
        <v>176</v>
      </c>
      <c r="AL36" t="s">
        <v>414</v>
      </c>
      <c r="AM36" t="s">
        <v>465</v>
      </c>
      <c r="AN36" t="s">
        <v>462</v>
      </c>
      <c r="AO36">
        <v>0.99789185043252149</v>
      </c>
      <c r="AP36">
        <v>38.649408737106661</v>
      </c>
    </row>
    <row r="37" spans="2:42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265</v>
      </c>
      <c r="L37">
        <v>23.100660750782236</v>
      </c>
      <c r="M37">
        <v>0.1684277267946783</v>
      </c>
      <c r="O37" t="s">
        <v>270</v>
      </c>
      <c r="P37" t="s">
        <v>325</v>
      </c>
      <c r="Q37" t="s">
        <v>326</v>
      </c>
      <c r="R37" t="s">
        <v>10</v>
      </c>
      <c r="S37" t="s">
        <v>21</v>
      </c>
      <c r="T37" t="s">
        <v>273</v>
      </c>
      <c r="U37" t="s">
        <v>274</v>
      </c>
      <c r="V37" t="s">
        <v>176</v>
      </c>
      <c r="X37" t="s">
        <v>325</v>
      </c>
      <c r="Y37" t="s">
        <v>265</v>
      </c>
      <c r="Z37" t="s">
        <v>360</v>
      </c>
      <c r="AA37">
        <v>0.99603217268588318</v>
      </c>
      <c r="AB37">
        <v>72.743500758808537</v>
      </c>
      <c r="AD37" t="s">
        <v>270</v>
      </c>
      <c r="AE37" t="s">
        <v>416</v>
      </c>
      <c r="AF37" t="s">
        <v>417</v>
      </c>
      <c r="AG37" t="s">
        <v>10</v>
      </c>
      <c r="AH37" t="s">
        <v>21</v>
      </c>
      <c r="AI37" t="s">
        <v>274</v>
      </c>
      <c r="AJ37" t="s">
        <v>176</v>
      </c>
      <c r="AL37" t="s">
        <v>416</v>
      </c>
      <c r="AM37" t="s">
        <v>466</v>
      </c>
      <c r="AN37" t="s">
        <v>440</v>
      </c>
      <c r="AO37">
        <v>0.99518717763850095</v>
      </c>
      <c r="AP37">
        <v>88.235076627481902</v>
      </c>
    </row>
    <row r="38" spans="2:42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266</v>
      </c>
      <c r="L38">
        <v>41.666945881944905</v>
      </c>
      <c r="M38">
        <v>0.16689228463502129</v>
      </c>
      <c r="O38" t="s">
        <v>270</v>
      </c>
      <c r="P38" t="s">
        <v>327</v>
      </c>
      <c r="Q38" t="s">
        <v>328</v>
      </c>
      <c r="R38" t="s">
        <v>10</v>
      </c>
      <c r="S38" t="s">
        <v>21</v>
      </c>
      <c r="T38" t="s">
        <v>273</v>
      </c>
      <c r="U38" t="s">
        <v>274</v>
      </c>
      <c r="V38" t="s">
        <v>176</v>
      </c>
      <c r="X38" t="s">
        <v>327</v>
      </c>
      <c r="Y38" t="s">
        <v>239</v>
      </c>
      <c r="Z38" t="s">
        <v>361</v>
      </c>
      <c r="AA38">
        <v>0.99851075781809495</v>
      </c>
      <c r="AB38">
        <v>27.30277333492506</v>
      </c>
      <c r="AD38" t="s">
        <v>270</v>
      </c>
      <c r="AE38" t="s">
        <v>418</v>
      </c>
      <c r="AF38" t="s">
        <v>419</v>
      </c>
      <c r="AG38" t="s">
        <v>10</v>
      </c>
      <c r="AH38" t="s">
        <v>21</v>
      </c>
      <c r="AI38" t="s">
        <v>274</v>
      </c>
      <c r="AJ38" t="s">
        <v>176</v>
      </c>
      <c r="AL38" t="s">
        <v>418</v>
      </c>
      <c r="AM38" t="s">
        <v>467</v>
      </c>
      <c r="AN38" t="s">
        <v>468</v>
      </c>
      <c r="AO38">
        <v>0.99810940368916978</v>
      </c>
      <c r="AP38">
        <v>34.660932365220965</v>
      </c>
    </row>
    <row r="39" spans="2:42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267</v>
      </c>
      <c r="L39">
        <v>31.974525098733057</v>
      </c>
      <c r="M39">
        <v>0.17889609700216211</v>
      </c>
      <c r="O39" t="s">
        <v>270</v>
      </c>
      <c r="P39" t="s">
        <v>329</v>
      </c>
      <c r="Q39" t="s">
        <v>330</v>
      </c>
      <c r="R39" t="s">
        <v>10</v>
      </c>
      <c r="S39" t="s">
        <v>21</v>
      </c>
      <c r="T39" t="s">
        <v>273</v>
      </c>
      <c r="U39" t="s">
        <v>274</v>
      </c>
      <c r="V39" t="s">
        <v>176</v>
      </c>
      <c r="X39" t="s">
        <v>329</v>
      </c>
      <c r="Y39" t="s">
        <v>247</v>
      </c>
      <c r="Z39" t="s">
        <v>362</v>
      </c>
      <c r="AA39">
        <v>0.99738643688349482</v>
      </c>
      <c r="AB39">
        <v>47.915323802595424</v>
      </c>
    </row>
    <row r="40" spans="2:42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268</v>
      </c>
      <c r="L40">
        <v>26.780118246096261</v>
      </c>
      <c r="M40">
        <v>0.1808700760720266</v>
      </c>
      <c r="O40" t="s">
        <v>270</v>
      </c>
      <c r="P40" t="s">
        <v>331</v>
      </c>
      <c r="Q40" t="s">
        <v>332</v>
      </c>
      <c r="R40" t="s">
        <v>10</v>
      </c>
      <c r="S40" t="s">
        <v>21</v>
      </c>
      <c r="T40" t="s">
        <v>273</v>
      </c>
      <c r="U40" t="s">
        <v>274</v>
      </c>
      <c r="V40" t="s">
        <v>176</v>
      </c>
      <c r="X40" t="s">
        <v>331</v>
      </c>
      <c r="Y40" t="s">
        <v>251</v>
      </c>
      <c r="Z40" t="s">
        <v>363</v>
      </c>
      <c r="AA40">
        <v>0.99757113701984168</v>
      </c>
      <c r="AB40">
        <v>44.529154636235894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39B1-4FBC-41F8-981F-81A0FEC8D00F}">
  <dimension ref="B9:Z38"/>
  <sheetViews>
    <sheetView workbookViewId="0"/>
  </sheetViews>
  <sheetFormatPr defaultRowHeight="14.25"/>
  <sheetData>
    <row r="9" spans="2:26">
      <c r="B9" t="s">
        <v>164</v>
      </c>
      <c r="J9" t="s">
        <v>235</v>
      </c>
      <c r="O9" t="s">
        <v>164</v>
      </c>
      <c r="W9" t="s">
        <v>235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236</v>
      </c>
      <c r="L10" t="s">
        <v>237</v>
      </c>
      <c r="M10" t="s">
        <v>238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236</v>
      </c>
      <c r="Y10" t="s">
        <v>237</v>
      </c>
      <c r="Z10" t="s">
        <v>238</v>
      </c>
    </row>
    <row r="11" spans="2:26">
      <c r="B11" t="s">
        <v>172</v>
      </c>
      <c r="C11" t="s">
        <v>524</v>
      </c>
      <c r="D11" t="s">
        <v>525</v>
      </c>
      <c r="E11" t="s">
        <v>10</v>
      </c>
      <c r="F11" t="s">
        <v>21</v>
      </c>
      <c r="G11" t="s">
        <v>175</v>
      </c>
      <c r="H11" t="s">
        <v>176</v>
      </c>
      <c r="J11" t="s">
        <v>524</v>
      </c>
      <c r="K11" t="s">
        <v>425</v>
      </c>
      <c r="L11">
        <v>7.5214385218371174</v>
      </c>
      <c r="M11">
        <v>0.25877863860678618</v>
      </c>
      <c r="O11" t="s">
        <v>172</v>
      </c>
      <c r="P11" t="s">
        <v>580</v>
      </c>
      <c r="Q11" t="s">
        <v>581</v>
      </c>
      <c r="R11" t="s">
        <v>10</v>
      </c>
      <c r="S11" t="s">
        <v>21</v>
      </c>
      <c r="T11" t="s">
        <v>175</v>
      </c>
      <c r="U11" t="s">
        <v>176</v>
      </c>
      <c r="W11" t="s">
        <v>580</v>
      </c>
      <c r="X11" t="s">
        <v>506</v>
      </c>
      <c r="Y11">
        <v>38.3018</v>
      </c>
      <c r="Z11">
        <v>0.49413792693388731</v>
      </c>
    </row>
    <row r="12" spans="2:26">
      <c r="B12" t="s">
        <v>172</v>
      </c>
      <c r="C12" t="s">
        <v>526</v>
      </c>
      <c r="D12" t="s">
        <v>527</v>
      </c>
      <c r="E12" t="s">
        <v>10</v>
      </c>
      <c r="F12" t="s">
        <v>21</v>
      </c>
      <c r="G12" t="s">
        <v>175</v>
      </c>
      <c r="H12" t="s">
        <v>176</v>
      </c>
      <c r="J12" t="s">
        <v>526</v>
      </c>
      <c r="K12" t="s">
        <v>429</v>
      </c>
      <c r="L12">
        <v>8.5464211426904182</v>
      </c>
      <c r="M12">
        <v>0.20562745501269999</v>
      </c>
      <c r="O12" t="s">
        <v>172</v>
      </c>
      <c r="P12" t="s">
        <v>582</v>
      </c>
      <c r="Q12" t="s">
        <v>583</v>
      </c>
      <c r="R12" t="s">
        <v>10</v>
      </c>
      <c r="S12" t="s">
        <v>21</v>
      </c>
      <c r="T12" t="s">
        <v>175</v>
      </c>
      <c r="U12" t="s">
        <v>176</v>
      </c>
      <c r="W12" t="s">
        <v>582</v>
      </c>
      <c r="X12" t="s">
        <v>512</v>
      </c>
      <c r="Y12">
        <v>9.3112499999999994</v>
      </c>
      <c r="Z12">
        <v>0.21010648574891011</v>
      </c>
    </row>
    <row r="13" spans="2:26">
      <c r="B13" t="s">
        <v>172</v>
      </c>
      <c r="C13" t="s">
        <v>528</v>
      </c>
      <c r="D13" t="s">
        <v>529</v>
      </c>
      <c r="E13" t="s">
        <v>10</v>
      </c>
      <c r="F13" t="s">
        <v>21</v>
      </c>
      <c r="G13" t="s">
        <v>175</v>
      </c>
      <c r="H13" t="s">
        <v>176</v>
      </c>
      <c r="J13" t="s">
        <v>528</v>
      </c>
      <c r="K13" t="s">
        <v>458</v>
      </c>
      <c r="L13">
        <v>1.5340845206129941</v>
      </c>
      <c r="M13">
        <v>9.7592962323386198E-2</v>
      </c>
      <c r="O13" t="s">
        <v>172</v>
      </c>
      <c r="P13" t="s">
        <v>584</v>
      </c>
      <c r="Q13" t="s">
        <v>585</v>
      </c>
      <c r="R13" t="s">
        <v>10</v>
      </c>
      <c r="S13" t="s">
        <v>21</v>
      </c>
      <c r="T13" t="s">
        <v>175</v>
      </c>
      <c r="U13" t="s">
        <v>176</v>
      </c>
      <c r="W13" t="s">
        <v>584</v>
      </c>
      <c r="X13" t="s">
        <v>511</v>
      </c>
      <c r="Y13">
        <v>9.5287500000000005</v>
      </c>
      <c r="Z13">
        <v>0.25127880936987529</v>
      </c>
    </row>
    <row r="14" spans="2:26">
      <c r="B14" t="s">
        <v>172</v>
      </c>
      <c r="C14" t="s">
        <v>530</v>
      </c>
      <c r="D14" t="s">
        <v>531</v>
      </c>
      <c r="E14" t="s">
        <v>10</v>
      </c>
      <c r="F14" t="s">
        <v>21</v>
      </c>
      <c r="G14" t="s">
        <v>175</v>
      </c>
      <c r="H14" t="s">
        <v>176</v>
      </c>
      <c r="J14" t="s">
        <v>530</v>
      </c>
      <c r="K14" t="s">
        <v>430</v>
      </c>
      <c r="L14">
        <v>17.642367792804524</v>
      </c>
      <c r="M14">
        <v>0.2006384237160051</v>
      </c>
      <c r="O14" t="s">
        <v>172</v>
      </c>
      <c r="P14" t="s">
        <v>586</v>
      </c>
      <c r="Q14" t="s">
        <v>587</v>
      </c>
      <c r="R14" t="s">
        <v>10</v>
      </c>
      <c r="S14" t="s">
        <v>21</v>
      </c>
      <c r="T14" t="s">
        <v>175</v>
      </c>
      <c r="U14" t="s">
        <v>176</v>
      </c>
      <c r="W14" t="s">
        <v>586</v>
      </c>
      <c r="X14" t="s">
        <v>516</v>
      </c>
      <c r="Y14">
        <v>2.1749999999999999E-2</v>
      </c>
      <c r="Z14">
        <v>0.25219812485847459</v>
      </c>
    </row>
    <row r="15" spans="2:26">
      <c r="B15" t="s">
        <v>172</v>
      </c>
      <c r="C15" t="s">
        <v>532</v>
      </c>
      <c r="D15" t="s">
        <v>533</v>
      </c>
      <c r="E15" t="s">
        <v>10</v>
      </c>
      <c r="F15" t="s">
        <v>21</v>
      </c>
      <c r="G15" t="s">
        <v>175</v>
      </c>
      <c r="H15" t="s">
        <v>176</v>
      </c>
      <c r="J15" t="s">
        <v>532</v>
      </c>
      <c r="K15" t="s">
        <v>445</v>
      </c>
      <c r="L15">
        <v>3.7020770759557711</v>
      </c>
      <c r="M15">
        <v>9.6601232604683201E-2</v>
      </c>
      <c r="O15" t="s">
        <v>172</v>
      </c>
      <c r="P15" t="s">
        <v>588</v>
      </c>
      <c r="Q15" t="s">
        <v>589</v>
      </c>
      <c r="R15" t="s">
        <v>10</v>
      </c>
      <c r="S15" t="s">
        <v>21</v>
      </c>
      <c r="T15" t="s">
        <v>175</v>
      </c>
      <c r="U15" t="s">
        <v>176</v>
      </c>
      <c r="W15" t="s">
        <v>588</v>
      </c>
      <c r="X15" t="s">
        <v>508</v>
      </c>
      <c r="Y15">
        <v>8.2590000000000003</v>
      </c>
      <c r="Z15">
        <v>0.2644265522398867</v>
      </c>
    </row>
    <row r="16" spans="2:26">
      <c r="B16" t="s">
        <v>172</v>
      </c>
      <c r="C16" t="s">
        <v>534</v>
      </c>
      <c r="D16" t="s">
        <v>535</v>
      </c>
      <c r="E16" t="s">
        <v>10</v>
      </c>
      <c r="F16" t="s">
        <v>21</v>
      </c>
      <c r="G16" t="s">
        <v>175</v>
      </c>
      <c r="H16" t="s">
        <v>176</v>
      </c>
      <c r="J16" t="s">
        <v>534</v>
      </c>
      <c r="K16" t="s">
        <v>441</v>
      </c>
      <c r="L16">
        <v>28.142418601835601</v>
      </c>
      <c r="M16">
        <v>0.3015538253748985</v>
      </c>
      <c r="O16" t="s">
        <v>172</v>
      </c>
      <c r="P16" t="s">
        <v>590</v>
      </c>
      <c r="Q16" t="s">
        <v>591</v>
      </c>
      <c r="R16" t="s">
        <v>10</v>
      </c>
      <c r="S16" t="s">
        <v>21</v>
      </c>
      <c r="T16" t="s">
        <v>175</v>
      </c>
      <c r="U16" t="s">
        <v>176</v>
      </c>
      <c r="W16" t="s">
        <v>590</v>
      </c>
      <c r="X16" t="s">
        <v>503</v>
      </c>
      <c r="Y16">
        <v>0.40575</v>
      </c>
      <c r="Z16">
        <v>0.2349627885519403</v>
      </c>
    </row>
    <row r="17" spans="2:26">
      <c r="B17" t="s">
        <v>172</v>
      </c>
      <c r="C17" t="s">
        <v>536</v>
      </c>
      <c r="D17" t="s">
        <v>537</v>
      </c>
      <c r="E17" t="s">
        <v>10</v>
      </c>
      <c r="F17" t="s">
        <v>21</v>
      </c>
      <c r="G17" t="s">
        <v>175</v>
      </c>
      <c r="H17" t="s">
        <v>176</v>
      </c>
      <c r="J17" t="s">
        <v>536</v>
      </c>
      <c r="K17" t="s">
        <v>453</v>
      </c>
      <c r="L17">
        <v>52.588193451360631</v>
      </c>
      <c r="M17">
        <v>0.32370817452299522</v>
      </c>
      <c r="O17" t="s">
        <v>172</v>
      </c>
      <c r="P17" t="s">
        <v>592</v>
      </c>
      <c r="Q17" t="s">
        <v>593</v>
      </c>
      <c r="R17" t="s">
        <v>10</v>
      </c>
      <c r="S17" t="s">
        <v>21</v>
      </c>
      <c r="T17" t="s">
        <v>175</v>
      </c>
      <c r="U17" t="s">
        <v>176</v>
      </c>
      <c r="W17" t="s">
        <v>592</v>
      </c>
      <c r="X17" t="s">
        <v>505</v>
      </c>
      <c r="Y17">
        <v>6.4290000000000003</v>
      </c>
      <c r="Z17">
        <v>0.36890217528339547</v>
      </c>
    </row>
    <row r="18" spans="2:26">
      <c r="B18" t="s">
        <v>172</v>
      </c>
      <c r="C18" t="s">
        <v>538</v>
      </c>
      <c r="D18" t="s">
        <v>539</v>
      </c>
      <c r="E18" t="s">
        <v>10</v>
      </c>
      <c r="F18" t="s">
        <v>21</v>
      </c>
      <c r="G18" t="s">
        <v>175</v>
      </c>
      <c r="H18" t="s">
        <v>176</v>
      </c>
      <c r="J18" t="s">
        <v>538</v>
      </c>
      <c r="K18" t="s">
        <v>459</v>
      </c>
      <c r="L18">
        <v>21.66872817402496</v>
      </c>
      <c r="M18">
        <v>0.184084163332604</v>
      </c>
      <c r="O18" t="s">
        <v>172</v>
      </c>
      <c r="P18" t="s">
        <v>594</v>
      </c>
      <c r="Q18" t="s">
        <v>595</v>
      </c>
      <c r="R18" t="s">
        <v>10</v>
      </c>
      <c r="S18" t="s">
        <v>21</v>
      </c>
      <c r="T18" t="s">
        <v>175</v>
      </c>
      <c r="U18" t="s">
        <v>176</v>
      </c>
      <c r="W18" t="s">
        <v>594</v>
      </c>
      <c r="X18" t="s">
        <v>507</v>
      </c>
      <c r="Y18">
        <v>0.10199999999999999</v>
      </c>
      <c r="Z18">
        <v>0.21660132010898289</v>
      </c>
    </row>
    <row r="19" spans="2:26">
      <c r="B19" t="s">
        <v>172</v>
      </c>
      <c r="C19" t="s">
        <v>540</v>
      </c>
      <c r="D19" t="s">
        <v>541</v>
      </c>
      <c r="E19" t="s">
        <v>10</v>
      </c>
      <c r="F19" t="s">
        <v>21</v>
      </c>
      <c r="G19" t="s">
        <v>175</v>
      </c>
      <c r="H19" t="s">
        <v>176</v>
      </c>
      <c r="J19" t="s">
        <v>540</v>
      </c>
      <c r="K19" t="s">
        <v>449</v>
      </c>
      <c r="L19">
        <v>75.448981284454376</v>
      </c>
      <c r="M19">
        <v>0.21519125176775639</v>
      </c>
      <c r="O19" t="s">
        <v>172</v>
      </c>
      <c r="P19" t="s">
        <v>596</v>
      </c>
      <c r="Q19" t="s">
        <v>597</v>
      </c>
      <c r="R19" t="s">
        <v>10</v>
      </c>
      <c r="S19" t="s">
        <v>21</v>
      </c>
      <c r="T19" t="s">
        <v>175</v>
      </c>
      <c r="U19" t="s">
        <v>176</v>
      </c>
      <c r="W19" t="s">
        <v>596</v>
      </c>
      <c r="X19" t="s">
        <v>523</v>
      </c>
      <c r="Y19">
        <v>27.910499999999999</v>
      </c>
      <c r="Z19">
        <v>0.35466768543174748</v>
      </c>
    </row>
    <row r="20" spans="2:26">
      <c r="B20" t="s">
        <v>172</v>
      </c>
      <c r="C20" t="s">
        <v>542</v>
      </c>
      <c r="D20" t="s">
        <v>543</v>
      </c>
      <c r="E20" t="s">
        <v>10</v>
      </c>
      <c r="F20" t="s">
        <v>21</v>
      </c>
      <c r="G20" t="s">
        <v>175</v>
      </c>
      <c r="H20" t="s">
        <v>176</v>
      </c>
      <c r="J20" t="s">
        <v>542</v>
      </c>
      <c r="K20" t="s">
        <v>427</v>
      </c>
      <c r="L20">
        <v>15.373849239963436</v>
      </c>
      <c r="M20">
        <v>0.22002962944648199</v>
      </c>
      <c r="O20" t="s">
        <v>172</v>
      </c>
      <c r="P20" t="s">
        <v>598</v>
      </c>
      <c r="Q20" t="s">
        <v>599</v>
      </c>
      <c r="R20" t="s">
        <v>10</v>
      </c>
      <c r="S20" t="s">
        <v>21</v>
      </c>
      <c r="T20" t="s">
        <v>175</v>
      </c>
      <c r="U20" t="s">
        <v>176</v>
      </c>
      <c r="W20" t="s">
        <v>598</v>
      </c>
      <c r="X20" t="s">
        <v>509</v>
      </c>
      <c r="Y20">
        <v>2.7322500000000001</v>
      </c>
      <c r="Z20">
        <v>0.21654885801551199</v>
      </c>
    </row>
    <row r="21" spans="2:26">
      <c r="B21" t="s">
        <v>172</v>
      </c>
      <c r="C21" t="s">
        <v>544</v>
      </c>
      <c r="D21" t="s">
        <v>545</v>
      </c>
      <c r="E21" t="s">
        <v>10</v>
      </c>
      <c r="F21" t="s">
        <v>21</v>
      </c>
      <c r="G21" t="s">
        <v>175</v>
      </c>
      <c r="H21" t="s">
        <v>176</v>
      </c>
      <c r="J21" t="s">
        <v>544</v>
      </c>
      <c r="K21" t="s">
        <v>439</v>
      </c>
      <c r="L21">
        <v>20.923088433115996</v>
      </c>
      <c r="M21">
        <v>0.18518165797404951</v>
      </c>
      <c r="O21" t="s">
        <v>172</v>
      </c>
      <c r="P21" t="s">
        <v>600</v>
      </c>
      <c r="Q21" t="s">
        <v>601</v>
      </c>
      <c r="R21" t="s">
        <v>10</v>
      </c>
      <c r="S21" t="s">
        <v>21</v>
      </c>
      <c r="T21" t="s">
        <v>175</v>
      </c>
      <c r="U21" t="s">
        <v>176</v>
      </c>
      <c r="W21" t="s">
        <v>600</v>
      </c>
      <c r="X21" t="s">
        <v>514</v>
      </c>
      <c r="Y21">
        <v>69.386250000000004</v>
      </c>
      <c r="Z21">
        <v>0.44605753462082742</v>
      </c>
    </row>
    <row r="22" spans="2:26">
      <c r="B22" t="s">
        <v>172</v>
      </c>
      <c r="C22" t="s">
        <v>546</v>
      </c>
      <c r="D22" t="s">
        <v>547</v>
      </c>
      <c r="E22" t="s">
        <v>10</v>
      </c>
      <c r="F22" t="s">
        <v>21</v>
      </c>
      <c r="G22" t="s">
        <v>175</v>
      </c>
      <c r="H22" t="s">
        <v>176</v>
      </c>
      <c r="J22" t="s">
        <v>546</v>
      </c>
      <c r="K22" t="s">
        <v>422</v>
      </c>
      <c r="L22">
        <v>10.348692721070078</v>
      </c>
      <c r="M22">
        <v>0.16186261970388091</v>
      </c>
      <c r="O22" t="s">
        <v>172</v>
      </c>
      <c r="P22" t="s">
        <v>602</v>
      </c>
      <c r="Q22" t="s">
        <v>603</v>
      </c>
      <c r="R22" t="s">
        <v>10</v>
      </c>
      <c r="S22" t="s">
        <v>21</v>
      </c>
      <c r="T22" t="s">
        <v>175</v>
      </c>
      <c r="U22" t="s">
        <v>176</v>
      </c>
      <c r="W22" t="s">
        <v>602</v>
      </c>
      <c r="X22" t="s">
        <v>521</v>
      </c>
      <c r="Y22">
        <v>79.72475</v>
      </c>
      <c r="Z22">
        <v>0.51326331192307462</v>
      </c>
    </row>
    <row r="23" spans="2:26">
      <c r="B23" t="s">
        <v>172</v>
      </c>
      <c r="C23" t="s">
        <v>548</v>
      </c>
      <c r="D23" t="s">
        <v>549</v>
      </c>
      <c r="E23" t="s">
        <v>10</v>
      </c>
      <c r="F23" t="s">
        <v>21</v>
      </c>
      <c r="G23" t="s">
        <v>175</v>
      </c>
      <c r="H23" t="s">
        <v>176</v>
      </c>
      <c r="J23" t="s">
        <v>548</v>
      </c>
      <c r="K23" t="s">
        <v>434</v>
      </c>
      <c r="L23">
        <v>30.731418987588004</v>
      </c>
      <c r="M23">
        <v>0.25119922203887057</v>
      </c>
      <c r="O23" t="s">
        <v>172</v>
      </c>
      <c r="P23" t="s">
        <v>604</v>
      </c>
      <c r="Q23" t="s">
        <v>605</v>
      </c>
      <c r="R23" t="s">
        <v>10</v>
      </c>
      <c r="S23" t="s">
        <v>21</v>
      </c>
      <c r="T23" t="s">
        <v>175</v>
      </c>
      <c r="U23" t="s">
        <v>176</v>
      </c>
      <c r="W23" t="s">
        <v>604</v>
      </c>
      <c r="X23" t="s">
        <v>517</v>
      </c>
      <c r="Y23">
        <v>19.849499999999999</v>
      </c>
      <c r="Z23">
        <v>0.52476945970439282</v>
      </c>
    </row>
    <row r="24" spans="2:26">
      <c r="B24" t="s">
        <v>172</v>
      </c>
      <c r="C24" t="s">
        <v>550</v>
      </c>
      <c r="D24" t="s">
        <v>551</v>
      </c>
      <c r="E24" t="s">
        <v>10</v>
      </c>
      <c r="F24" t="s">
        <v>21</v>
      </c>
      <c r="G24" t="s">
        <v>175</v>
      </c>
      <c r="H24" t="s">
        <v>176</v>
      </c>
      <c r="J24" t="s">
        <v>550</v>
      </c>
      <c r="K24" t="s">
        <v>466</v>
      </c>
      <c r="L24">
        <v>6.8734480919946561</v>
      </c>
      <c r="M24">
        <v>0.10092770256455461</v>
      </c>
      <c r="O24" t="s">
        <v>172</v>
      </c>
      <c r="P24" t="s">
        <v>606</v>
      </c>
      <c r="Q24" t="s">
        <v>607</v>
      </c>
      <c r="R24" t="s">
        <v>10</v>
      </c>
      <c r="S24" t="s">
        <v>21</v>
      </c>
      <c r="T24" t="s">
        <v>175</v>
      </c>
      <c r="U24" t="s">
        <v>176</v>
      </c>
      <c r="W24" t="s">
        <v>606</v>
      </c>
      <c r="X24" t="s">
        <v>519</v>
      </c>
      <c r="Y24">
        <v>34.275750000000002</v>
      </c>
      <c r="Z24">
        <v>0.521903781536739</v>
      </c>
    </row>
    <row r="25" spans="2:26">
      <c r="B25" t="s">
        <v>172</v>
      </c>
      <c r="C25" t="s">
        <v>552</v>
      </c>
      <c r="D25" t="s">
        <v>553</v>
      </c>
      <c r="E25" t="s">
        <v>10</v>
      </c>
      <c r="F25" t="s">
        <v>21</v>
      </c>
      <c r="G25" t="s">
        <v>175</v>
      </c>
      <c r="H25" t="s">
        <v>176</v>
      </c>
      <c r="J25" t="s">
        <v>552</v>
      </c>
      <c r="K25" t="s">
        <v>438</v>
      </c>
      <c r="L25">
        <v>44.470842554915507</v>
      </c>
      <c r="M25">
        <v>0.33430432764492368</v>
      </c>
      <c r="O25" t="s">
        <v>172</v>
      </c>
      <c r="P25" t="s">
        <v>608</v>
      </c>
      <c r="Q25" t="s">
        <v>609</v>
      </c>
      <c r="R25" t="s">
        <v>10</v>
      </c>
      <c r="S25" t="s">
        <v>21</v>
      </c>
      <c r="T25" t="s">
        <v>175</v>
      </c>
      <c r="U25" t="s">
        <v>176</v>
      </c>
      <c r="W25" t="s">
        <v>608</v>
      </c>
      <c r="X25" t="s">
        <v>504</v>
      </c>
      <c r="Y25">
        <v>88.0535</v>
      </c>
      <c r="Z25">
        <v>0.57217584566557889</v>
      </c>
    </row>
    <row r="26" spans="2:26">
      <c r="B26" t="s">
        <v>172</v>
      </c>
      <c r="C26" t="s">
        <v>554</v>
      </c>
      <c r="D26" t="s">
        <v>555</v>
      </c>
      <c r="E26" t="s">
        <v>10</v>
      </c>
      <c r="F26" t="s">
        <v>21</v>
      </c>
      <c r="G26" t="s">
        <v>175</v>
      </c>
      <c r="H26" t="s">
        <v>176</v>
      </c>
      <c r="J26" t="s">
        <v>554</v>
      </c>
      <c r="K26" t="s">
        <v>467</v>
      </c>
      <c r="L26">
        <v>94.751954680638562</v>
      </c>
      <c r="M26">
        <v>0.36472926449108828</v>
      </c>
      <c r="O26" t="s">
        <v>172</v>
      </c>
      <c r="P26" t="s">
        <v>610</v>
      </c>
      <c r="Q26" t="s">
        <v>611</v>
      </c>
      <c r="R26" t="s">
        <v>10</v>
      </c>
      <c r="S26" t="s">
        <v>21</v>
      </c>
      <c r="T26" t="s">
        <v>175</v>
      </c>
      <c r="U26" t="s">
        <v>176</v>
      </c>
      <c r="W26" t="s">
        <v>610</v>
      </c>
      <c r="X26" t="s">
        <v>513</v>
      </c>
      <c r="Y26">
        <v>42.073500000000003</v>
      </c>
      <c r="Z26">
        <v>0.55450840288669323</v>
      </c>
    </row>
    <row r="27" spans="2:26">
      <c r="B27" t="s">
        <v>172</v>
      </c>
      <c r="C27" t="s">
        <v>556</v>
      </c>
      <c r="D27" t="s">
        <v>557</v>
      </c>
      <c r="E27" t="s">
        <v>10</v>
      </c>
      <c r="F27" t="s">
        <v>21</v>
      </c>
      <c r="G27" t="s">
        <v>175</v>
      </c>
      <c r="H27" t="s">
        <v>176</v>
      </c>
      <c r="J27" t="s">
        <v>556</v>
      </c>
      <c r="K27" t="s">
        <v>451</v>
      </c>
      <c r="L27">
        <v>32.871207794729088</v>
      </c>
      <c r="M27">
        <v>0.49315214501192389</v>
      </c>
      <c r="O27" t="s">
        <v>172</v>
      </c>
      <c r="P27" t="s">
        <v>612</v>
      </c>
      <c r="Q27" t="s">
        <v>613</v>
      </c>
      <c r="R27" t="s">
        <v>10</v>
      </c>
      <c r="S27" t="s">
        <v>21</v>
      </c>
      <c r="T27" t="s">
        <v>175</v>
      </c>
      <c r="U27" t="s">
        <v>176</v>
      </c>
      <c r="W27" t="s">
        <v>612</v>
      </c>
      <c r="X27" t="s">
        <v>510</v>
      </c>
      <c r="Y27">
        <v>65.507249999999999</v>
      </c>
      <c r="Z27">
        <v>0.58419076400853798</v>
      </c>
    </row>
    <row r="28" spans="2:26">
      <c r="B28" t="s">
        <v>172</v>
      </c>
      <c r="C28" t="s">
        <v>558</v>
      </c>
      <c r="D28" t="s">
        <v>559</v>
      </c>
      <c r="E28" t="s">
        <v>10</v>
      </c>
      <c r="F28" t="s">
        <v>21</v>
      </c>
      <c r="G28" t="s">
        <v>175</v>
      </c>
      <c r="H28" t="s">
        <v>176</v>
      </c>
      <c r="J28" t="s">
        <v>558</v>
      </c>
      <c r="K28" t="s">
        <v>432</v>
      </c>
      <c r="L28">
        <v>113.99847062392492</v>
      </c>
      <c r="M28">
        <v>0.35823545332619111</v>
      </c>
    </row>
    <row r="29" spans="2:26">
      <c r="B29" t="s">
        <v>172</v>
      </c>
      <c r="C29" t="s">
        <v>560</v>
      </c>
      <c r="D29" t="s">
        <v>561</v>
      </c>
      <c r="E29" t="s">
        <v>10</v>
      </c>
      <c r="F29" t="s">
        <v>21</v>
      </c>
      <c r="G29" t="s">
        <v>175</v>
      </c>
      <c r="H29" t="s">
        <v>176</v>
      </c>
      <c r="J29" t="s">
        <v>560</v>
      </c>
      <c r="K29" t="s">
        <v>463</v>
      </c>
      <c r="L29">
        <v>18.2196769426582</v>
      </c>
      <c r="M29">
        <v>0.17938235908950251</v>
      </c>
    </row>
    <row r="30" spans="2:26">
      <c r="B30" t="s">
        <v>172</v>
      </c>
      <c r="C30" t="s">
        <v>562</v>
      </c>
      <c r="D30" t="s">
        <v>563</v>
      </c>
      <c r="E30" t="s">
        <v>10</v>
      </c>
      <c r="F30" t="s">
        <v>21</v>
      </c>
      <c r="G30" t="s">
        <v>175</v>
      </c>
      <c r="H30" t="s">
        <v>176</v>
      </c>
      <c r="J30" t="s">
        <v>562</v>
      </c>
      <c r="K30" t="s">
        <v>423</v>
      </c>
      <c r="L30">
        <v>53.979644051935594</v>
      </c>
      <c r="M30">
        <v>0.28115317124750627</v>
      </c>
    </row>
    <row r="31" spans="2:26">
      <c r="B31" t="s">
        <v>172</v>
      </c>
      <c r="C31" t="s">
        <v>564</v>
      </c>
      <c r="D31" t="s">
        <v>565</v>
      </c>
      <c r="E31" t="s">
        <v>10</v>
      </c>
      <c r="F31" t="s">
        <v>21</v>
      </c>
      <c r="G31" t="s">
        <v>175</v>
      </c>
      <c r="H31" t="s">
        <v>176</v>
      </c>
      <c r="J31" t="s">
        <v>564</v>
      </c>
      <c r="K31" t="s">
        <v>457</v>
      </c>
      <c r="L31">
        <v>17.215449395412726</v>
      </c>
      <c r="M31">
        <v>0.10950985626110039</v>
      </c>
    </row>
    <row r="32" spans="2:26">
      <c r="B32" t="s">
        <v>172</v>
      </c>
      <c r="C32" t="s">
        <v>566</v>
      </c>
      <c r="D32" t="s">
        <v>567</v>
      </c>
      <c r="E32" t="s">
        <v>10</v>
      </c>
      <c r="F32" t="s">
        <v>21</v>
      </c>
      <c r="G32" t="s">
        <v>175</v>
      </c>
      <c r="H32" t="s">
        <v>176</v>
      </c>
      <c r="J32" t="s">
        <v>566</v>
      </c>
      <c r="K32" t="s">
        <v>420</v>
      </c>
      <c r="L32">
        <v>29.852997664126345</v>
      </c>
      <c r="M32">
        <v>0.16956654439362509</v>
      </c>
    </row>
    <row r="33" spans="2:13">
      <c r="B33" t="s">
        <v>172</v>
      </c>
      <c r="C33" t="s">
        <v>568</v>
      </c>
      <c r="D33" t="s">
        <v>569</v>
      </c>
      <c r="E33" t="s">
        <v>10</v>
      </c>
      <c r="F33" t="s">
        <v>21</v>
      </c>
      <c r="G33" t="s">
        <v>175</v>
      </c>
      <c r="H33" t="s">
        <v>176</v>
      </c>
      <c r="J33" t="s">
        <v>568</v>
      </c>
      <c r="K33" t="s">
        <v>455</v>
      </c>
      <c r="L33">
        <v>33.097235865274165</v>
      </c>
      <c r="M33">
        <v>0.23000858269740851</v>
      </c>
    </row>
    <row r="34" spans="2:13">
      <c r="B34" t="s">
        <v>172</v>
      </c>
      <c r="C34" t="s">
        <v>570</v>
      </c>
      <c r="D34" t="s">
        <v>571</v>
      </c>
      <c r="E34" t="s">
        <v>10</v>
      </c>
      <c r="F34" t="s">
        <v>21</v>
      </c>
      <c r="G34" t="s">
        <v>175</v>
      </c>
      <c r="H34" t="s">
        <v>176</v>
      </c>
      <c r="J34" t="s">
        <v>570</v>
      </c>
      <c r="K34" t="s">
        <v>436</v>
      </c>
      <c r="L34">
        <v>50.818330360170975</v>
      </c>
      <c r="M34">
        <v>0.23942538328354829</v>
      </c>
    </row>
    <row r="35" spans="2:13">
      <c r="B35" t="s">
        <v>172</v>
      </c>
      <c r="C35" t="s">
        <v>572</v>
      </c>
      <c r="D35" t="s">
        <v>573</v>
      </c>
      <c r="E35" t="s">
        <v>10</v>
      </c>
      <c r="F35" t="s">
        <v>21</v>
      </c>
      <c r="G35" t="s">
        <v>175</v>
      </c>
      <c r="H35" t="s">
        <v>176</v>
      </c>
      <c r="J35" t="s">
        <v>572</v>
      </c>
      <c r="K35" t="s">
        <v>447</v>
      </c>
      <c r="L35">
        <v>93.018246457332225</v>
      </c>
      <c r="M35">
        <v>0.2929730735857986</v>
      </c>
    </row>
    <row r="36" spans="2:13">
      <c r="B36" t="s">
        <v>172</v>
      </c>
      <c r="C36" t="s">
        <v>574</v>
      </c>
      <c r="D36" t="s">
        <v>575</v>
      </c>
      <c r="E36" t="s">
        <v>10</v>
      </c>
      <c r="F36" t="s">
        <v>21</v>
      </c>
      <c r="G36" t="s">
        <v>175</v>
      </c>
      <c r="H36" t="s">
        <v>176</v>
      </c>
      <c r="J36" t="s">
        <v>574</v>
      </c>
      <c r="K36" t="s">
        <v>465</v>
      </c>
      <c r="L36">
        <v>48.982209359452717</v>
      </c>
      <c r="M36">
        <v>0.3075585542003037</v>
      </c>
    </row>
    <row r="37" spans="2:13">
      <c r="B37" t="s">
        <v>172</v>
      </c>
      <c r="C37" t="s">
        <v>576</v>
      </c>
      <c r="D37" t="s">
        <v>577</v>
      </c>
      <c r="E37" t="s">
        <v>10</v>
      </c>
      <c r="F37" t="s">
        <v>21</v>
      </c>
      <c r="G37" t="s">
        <v>175</v>
      </c>
      <c r="H37" t="s">
        <v>176</v>
      </c>
      <c r="J37" t="s">
        <v>576</v>
      </c>
      <c r="K37" t="s">
        <v>443</v>
      </c>
      <c r="L37">
        <v>22.316533209679985</v>
      </c>
      <c r="M37">
        <v>0.21120785844736209</v>
      </c>
    </row>
    <row r="38" spans="2:13">
      <c r="B38" t="s">
        <v>172</v>
      </c>
      <c r="C38" t="s">
        <v>578</v>
      </c>
      <c r="D38" t="s">
        <v>579</v>
      </c>
      <c r="E38" t="s">
        <v>10</v>
      </c>
      <c r="F38" t="s">
        <v>21</v>
      </c>
      <c r="G38" t="s">
        <v>175</v>
      </c>
      <c r="H38" t="s">
        <v>176</v>
      </c>
      <c r="J38" t="s">
        <v>578</v>
      </c>
      <c r="K38" t="s">
        <v>461</v>
      </c>
      <c r="L38">
        <v>43.496233223332773</v>
      </c>
      <c r="M38">
        <v>0.26073962451068528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3A39-31C8-4171-BBA0-EEB604E09D1E}">
  <dimension ref="B9:U116"/>
  <sheetViews>
    <sheetView tabSelected="1" workbookViewId="0"/>
  </sheetViews>
  <sheetFormatPr defaultRowHeight="14.25"/>
  <sheetData>
    <row r="9" spans="2:21">
      <c r="B9" t="s">
        <v>614</v>
      </c>
      <c r="O9" t="s">
        <v>164</v>
      </c>
    </row>
    <row r="10" spans="2:21">
      <c r="B10" t="s">
        <v>166</v>
      </c>
      <c r="C10" t="s">
        <v>333</v>
      </c>
      <c r="D10" t="s">
        <v>236</v>
      </c>
      <c r="E10">
        <v>2020</v>
      </c>
      <c r="F10">
        <v>2024</v>
      </c>
      <c r="G10">
        <v>2025</v>
      </c>
      <c r="H10">
        <v>2030</v>
      </c>
      <c r="I10">
        <v>2035</v>
      </c>
      <c r="J10">
        <v>2040</v>
      </c>
      <c r="K10">
        <v>2045</v>
      </c>
      <c r="L10">
        <v>2050</v>
      </c>
      <c r="M10" t="s">
        <v>54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</row>
    <row r="11" spans="2:21">
      <c r="B11" t="s">
        <v>615</v>
      </c>
      <c r="C11" t="s">
        <v>33</v>
      </c>
      <c r="D11" t="s">
        <v>19</v>
      </c>
      <c r="F11">
        <v>941</v>
      </c>
      <c r="I11">
        <v>941</v>
      </c>
      <c r="L11">
        <v>941</v>
      </c>
      <c r="M11" t="s">
        <v>616</v>
      </c>
      <c r="O11" t="s">
        <v>172</v>
      </c>
      <c r="P11" t="s">
        <v>615</v>
      </c>
      <c r="R11" t="s">
        <v>10</v>
      </c>
      <c r="S11" t="s">
        <v>21</v>
      </c>
      <c r="T11" t="s">
        <v>274</v>
      </c>
      <c r="U11" t="s">
        <v>643</v>
      </c>
    </row>
    <row r="12" spans="2:21">
      <c r="B12" t="s">
        <v>615</v>
      </c>
      <c r="C12" t="s">
        <v>33</v>
      </c>
      <c r="D12" t="s">
        <v>19</v>
      </c>
      <c r="F12">
        <v>23.5</v>
      </c>
      <c r="I12">
        <v>23.5</v>
      </c>
      <c r="L12">
        <v>23.5</v>
      </c>
      <c r="M12" t="s">
        <v>617</v>
      </c>
      <c r="O12" t="s">
        <v>172</v>
      </c>
      <c r="P12" t="s">
        <v>621</v>
      </c>
      <c r="R12" t="s">
        <v>10</v>
      </c>
      <c r="S12" t="s">
        <v>21</v>
      </c>
      <c r="T12" t="s">
        <v>274</v>
      </c>
      <c r="U12" t="s">
        <v>643</v>
      </c>
    </row>
    <row r="13" spans="2:21">
      <c r="B13" t="s">
        <v>615</v>
      </c>
      <c r="C13" t="s">
        <v>33</v>
      </c>
      <c r="D13" t="s">
        <v>19</v>
      </c>
      <c r="F13">
        <v>0.58899999999999997</v>
      </c>
      <c r="I13">
        <v>0.54400000000000004</v>
      </c>
      <c r="L13">
        <v>0.497</v>
      </c>
      <c r="M13" t="s">
        <v>618</v>
      </c>
      <c r="O13" t="s">
        <v>644</v>
      </c>
      <c r="P13" t="s">
        <v>622</v>
      </c>
      <c r="R13" t="s">
        <v>10</v>
      </c>
      <c r="S13" t="s">
        <v>21</v>
      </c>
      <c r="T13" t="s">
        <v>274</v>
      </c>
      <c r="U13" t="s">
        <v>643</v>
      </c>
    </row>
    <row r="14" spans="2:21">
      <c r="B14" t="s">
        <v>615</v>
      </c>
      <c r="C14" t="s">
        <v>33</v>
      </c>
      <c r="D14" t="s">
        <v>19</v>
      </c>
      <c r="F14">
        <v>0.59</v>
      </c>
      <c r="I14">
        <v>0.61</v>
      </c>
      <c r="L14">
        <v>0.61</v>
      </c>
      <c r="M14" t="s">
        <v>145</v>
      </c>
      <c r="O14" t="s">
        <v>172</v>
      </c>
      <c r="P14" t="s">
        <v>626</v>
      </c>
      <c r="R14" t="s">
        <v>10</v>
      </c>
      <c r="S14" t="s">
        <v>21</v>
      </c>
      <c r="T14" t="s">
        <v>274</v>
      </c>
      <c r="U14" t="s">
        <v>643</v>
      </c>
    </row>
    <row r="15" spans="2:21">
      <c r="B15" t="s">
        <v>615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 t="s">
        <v>619</v>
      </c>
      <c r="O15" t="s">
        <v>172</v>
      </c>
      <c r="P15" t="s">
        <v>628</v>
      </c>
      <c r="R15" t="s">
        <v>10</v>
      </c>
      <c r="S15" t="s">
        <v>21</v>
      </c>
      <c r="T15" t="s">
        <v>274</v>
      </c>
      <c r="U15" t="s">
        <v>643</v>
      </c>
    </row>
    <row r="16" spans="2:21">
      <c r="B16" t="s">
        <v>615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 t="s">
        <v>620</v>
      </c>
      <c r="O16" t="s">
        <v>172</v>
      </c>
      <c r="P16" t="s">
        <v>629</v>
      </c>
      <c r="R16" t="s">
        <v>10</v>
      </c>
      <c r="S16" t="s">
        <v>21</v>
      </c>
      <c r="T16" t="s">
        <v>274</v>
      </c>
      <c r="U16" t="s">
        <v>643</v>
      </c>
    </row>
    <row r="17" spans="2:21">
      <c r="B17" t="s">
        <v>621</v>
      </c>
      <c r="C17" t="s">
        <v>33</v>
      </c>
      <c r="D17" t="s">
        <v>19</v>
      </c>
      <c r="F17">
        <v>470.5</v>
      </c>
      <c r="I17">
        <v>470.5</v>
      </c>
      <c r="L17">
        <v>470.5</v>
      </c>
      <c r="M17" t="s">
        <v>616</v>
      </c>
      <c r="O17" t="s">
        <v>172</v>
      </c>
      <c r="P17" t="s">
        <v>630</v>
      </c>
      <c r="R17" t="s">
        <v>10</v>
      </c>
      <c r="S17" t="s">
        <v>21</v>
      </c>
      <c r="T17" t="s">
        <v>274</v>
      </c>
      <c r="U17" t="s">
        <v>643</v>
      </c>
    </row>
    <row r="18" spans="2:21">
      <c r="B18" t="s">
        <v>621</v>
      </c>
      <c r="C18" t="s">
        <v>33</v>
      </c>
      <c r="D18" t="s">
        <v>19</v>
      </c>
      <c r="F18">
        <v>18.8</v>
      </c>
      <c r="I18">
        <v>18.8</v>
      </c>
      <c r="L18">
        <v>18.8</v>
      </c>
      <c r="M18" t="s">
        <v>617</v>
      </c>
      <c r="O18" t="s">
        <v>172</v>
      </c>
      <c r="P18" t="s">
        <v>631</v>
      </c>
      <c r="R18" t="s">
        <v>10</v>
      </c>
      <c r="S18" t="s">
        <v>21</v>
      </c>
      <c r="T18" t="s">
        <v>274</v>
      </c>
      <c r="U18" t="s">
        <v>643</v>
      </c>
    </row>
    <row r="19" spans="2:21">
      <c r="B19" t="s">
        <v>621</v>
      </c>
      <c r="C19" t="s">
        <v>33</v>
      </c>
      <c r="D19" t="s">
        <v>19</v>
      </c>
      <c r="F19">
        <v>1.9279999999999999</v>
      </c>
      <c r="I19">
        <v>1.9279999999999999</v>
      </c>
      <c r="L19">
        <v>1.9279999999999999</v>
      </c>
      <c r="M19" t="s">
        <v>618</v>
      </c>
      <c r="O19" t="s">
        <v>172</v>
      </c>
      <c r="P19" t="s">
        <v>632</v>
      </c>
      <c r="R19" t="s">
        <v>10</v>
      </c>
      <c r="S19" t="s">
        <v>21</v>
      </c>
      <c r="T19" t="s">
        <v>274</v>
      </c>
      <c r="U19" t="s">
        <v>643</v>
      </c>
    </row>
    <row r="20" spans="2:21">
      <c r="B20" t="s">
        <v>621</v>
      </c>
      <c r="C20" t="s">
        <v>33</v>
      </c>
      <c r="D20" t="s">
        <v>19</v>
      </c>
      <c r="F20">
        <v>0.41</v>
      </c>
      <c r="I20">
        <v>0.42</v>
      </c>
      <c r="L20">
        <v>0.42</v>
      </c>
      <c r="M20" t="s">
        <v>145</v>
      </c>
      <c r="O20" t="s">
        <v>172</v>
      </c>
      <c r="P20" t="s">
        <v>633</v>
      </c>
      <c r="R20" t="s">
        <v>10</v>
      </c>
      <c r="S20" t="s">
        <v>21</v>
      </c>
      <c r="T20" t="s">
        <v>274</v>
      </c>
      <c r="U20" t="s">
        <v>643</v>
      </c>
    </row>
    <row r="21" spans="2:21">
      <c r="B21" t="s">
        <v>621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 t="s">
        <v>619</v>
      </c>
      <c r="O21" t="s">
        <v>172</v>
      </c>
      <c r="P21" t="s">
        <v>634</v>
      </c>
      <c r="R21" t="s">
        <v>10</v>
      </c>
      <c r="S21" t="s">
        <v>21</v>
      </c>
      <c r="T21" t="s">
        <v>274</v>
      </c>
      <c r="U21" t="s">
        <v>643</v>
      </c>
    </row>
    <row r="22" spans="2:21">
      <c r="B22" t="s">
        <v>621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 t="s">
        <v>620</v>
      </c>
      <c r="O22" t="s">
        <v>644</v>
      </c>
      <c r="P22" t="s">
        <v>636</v>
      </c>
      <c r="R22" t="s">
        <v>10</v>
      </c>
      <c r="S22" t="s">
        <v>21</v>
      </c>
      <c r="T22" t="s">
        <v>274</v>
      </c>
      <c r="U22" t="s">
        <v>643</v>
      </c>
    </row>
    <row r="23" spans="2:21">
      <c r="B23" t="s">
        <v>622</v>
      </c>
      <c r="C23" t="s">
        <v>33</v>
      </c>
      <c r="D23" t="s">
        <v>623</v>
      </c>
      <c r="E23">
        <v>967.6</v>
      </c>
      <c r="H23">
        <v>912.6</v>
      </c>
      <c r="L23">
        <v>879.6</v>
      </c>
      <c r="M23" t="s">
        <v>616</v>
      </c>
      <c r="O23" t="s">
        <v>645</v>
      </c>
      <c r="P23" t="s">
        <v>637</v>
      </c>
      <c r="R23" t="s">
        <v>10</v>
      </c>
      <c r="S23" t="s">
        <v>21</v>
      </c>
      <c r="T23" t="s">
        <v>646</v>
      </c>
      <c r="U23" t="s">
        <v>643</v>
      </c>
    </row>
    <row r="24" spans="2:21">
      <c r="B24" t="s">
        <v>622</v>
      </c>
      <c r="C24" t="s">
        <v>33</v>
      </c>
      <c r="D24" t="s">
        <v>623</v>
      </c>
      <c r="E24">
        <v>32.200000000000003</v>
      </c>
      <c r="H24">
        <v>30.6</v>
      </c>
      <c r="L24">
        <v>28.6</v>
      </c>
      <c r="M24" t="s">
        <v>617</v>
      </c>
      <c r="O24" t="s">
        <v>645</v>
      </c>
      <c r="P24" t="s">
        <v>638</v>
      </c>
      <c r="R24" t="s">
        <v>10</v>
      </c>
      <c r="S24" t="s">
        <v>21</v>
      </c>
      <c r="T24" t="s">
        <v>646</v>
      </c>
      <c r="U24" t="s">
        <v>643</v>
      </c>
    </row>
    <row r="25" spans="2:21">
      <c r="B25" t="s">
        <v>622</v>
      </c>
      <c r="C25" t="s">
        <v>33</v>
      </c>
      <c r="D25" t="s">
        <v>623</v>
      </c>
      <c r="E25">
        <v>1.3</v>
      </c>
      <c r="H25">
        <v>1.3</v>
      </c>
      <c r="L25">
        <v>1.2</v>
      </c>
      <c r="M25" t="s">
        <v>618</v>
      </c>
      <c r="O25" t="s">
        <v>645</v>
      </c>
      <c r="P25" t="s">
        <v>639</v>
      </c>
      <c r="R25" t="s">
        <v>10</v>
      </c>
      <c r="S25" t="s">
        <v>21</v>
      </c>
      <c r="T25" t="s">
        <v>274</v>
      </c>
      <c r="U25" t="s">
        <v>643</v>
      </c>
    </row>
    <row r="26" spans="2:21">
      <c r="B26" t="s">
        <v>622</v>
      </c>
      <c r="C26" t="s">
        <v>33</v>
      </c>
      <c r="D26" t="s">
        <v>623</v>
      </c>
      <c r="E26">
        <v>0.56000000000000005</v>
      </c>
      <c r="H26">
        <v>0.57999999999999996</v>
      </c>
      <c r="L26">
        <v>0.6</v>
      </c>
      <c r="M26" t="s">
        <v>145</v>
      </c>
      <c r="O26" t="s">
        <v>645</v>
      </c>
      <c r="P26" t="s">
        <v>640</v>
      </c>
      <c r="R26" t="s">
        <v>10</v>
      </c>
      <c r="S26" t="s">
        <v>21</v>
      </c>
      <c r="T26" t="s">
        <v>274</v>
      </c>
      <c r="U26" t="s">
        <v>643</v>
      </c>
    </row>
    <row r="27" spans="2:21">
      <c r="B27" t="s">
        <v>622</v>
      </c>
      <c r="C27" t="s">
        <v>33</v>
      </c>
      <c r="D27" t="s">
        <v>623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 t="s">
        <v>619</v>
      </c>
      <c r="O27" t="s">
        <v>644</v>
      </c>
      <c r="P27" t="s">
        <v>641</v>
      </c>
      <c r="R27" t="s">
        <v>10</v>
      </c>
      <c r="S27" t="s">
        <v>21</v>
      </c>
      <c r="T27" t="s">
        <v>274</v>
      </c>
      <c r="U27" t="s">
        <v>643</v>
      </c>
    </row>
    <row r="28" spans="2:21">
      <c r="B28" t="s">
        <v>622</v>
      </c>
      <c r="C28" t="s">
        <v>33</v>
      </c>
      <c r="D28" t="s">
        <v>623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 t="s">
        <v>620</v>
      </c>
    </row>
    <row r="29" spans="2:21">
      <c r="B29" t="s">
        <v>622</v>
      </c>
      <c r="C29" t="s">
        <v>33</v>
      </c>
      <c r="D29" t="s">
        <v>623</v>
      </c>
      <c r="E29">
        <v>0.55559999999999998</v>
      </c>
      <c r="H29">
        <v>0.5</v>
      </c>
      <c r="L29">
        <v>0.45450000000000002</v>
      </c>
      <c r="M29" t="s">
        <v>624</v>
      </c>
    </row>
    <row r="30" spans="2:21">
      <c r="B30" t="s">
        <v>622</v>
      </c>
      <c r="C30" t="s">
        <v>33</v>
      </c>
      <c r="D30" t="s">
        <v>623</v>
      </c>
      <c r="E30">
        <v>-0.15</v>
      </c>
      <c r="H30">
        <v>-0.15</v>
      </c>
      <c r="L30">
        <v>-0.15</v>
      </c>
      <c r="M30" t="s">
        <v>625</v>
      </c>
    </row>
    <row r="31" spans="2:21">
      <c r="B31" t="s">
        <v>626</v>
      </c>
      <c r="C31" t="s">
        <v>33</v>
      </c>
      <c r="D31" t="s">
        <v>627</v>
      </c>
      <c r="F31">
        <v>2917</v>
      </c>
      <c r="I31">
        <v>2681.7</v>
      </c>
      <c r="L31">
        <v>2446.5</v>
      </c>
      <c r="M31" t="s">
        <v>616</v>
      </c>
    </row>
    <row r="32" spans="2:21">
      <c r="B32" t="s">
        <v>626</v>
      </c>
      <c r="C32" t="s">
        <v>33</v>
      </c>
      <c r="D32" t="s">
        <v>627</v>
      </c>
      <c r="F32">
        <v>70.599999999999994</v>
      </c>
      <c r="I32">
        <v>65.900000000000006</v>
      </c>
      <c r="L32">
        <v>61.2</v>
      </c>
      <c r="M32" t="s">
        <v>617</v>
      </c>
    </row>
    <row r="33" spans="2:13">
      <c r="B33" t="s">
        <v>626</v>
      </c>
      <c r="C33" t="s">
        <v>33</v>
      </c>
      <c r="D33" t="s">
        <v>627</v>
      </c>
      <c r="F33">
        <v>1.294</v>
      </c>
      <c r="I33">
        <v>1.1060000000000001</v>
      </c>
      <c r="L33">
        <v>0.98899999999999999</v>
      </c>
      <c r="M33" t="s">
        <v>618</v>
      </c>
    </row>
    <row r="34" spans="2:13">
      <c r="B34" t="s">
        <v>626</v>
      </c>
      <c r="C34" t="s">
        <v>33</v>
      </c>
      <c r="D34" t="s">
        <v>627</v>
      </c>
      <c r="F34">
        <v>0.52</v>
      </c>
      <c r="I34">
        <v>0.54</v>
      </c>
      <c r="L34">
        <v>0.54</v>
      </c>
      <c r="M34" t="s">
        <v>145</v>
      </c>
    </row>
    <row r="35" spans="2:13">
      <c r="B35" t="s">
        <v>626</v>
      </c>
      <c r="C35" t="s">
        <v>33</v>
      </c>
      <c r="D35" t="s">
        <v>627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 t="s">
        <v>619</v>
      </c>
    </row>
    <row r="36" spans="2:13">
      <c r="B36" t="s">
        <v>626</v>
      </c>
      <c r="C36" t="s">
        <v>33</v>
      </c>
      <c r="D36" t="s">
        <v>627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 t="s">
        <v>620</v>
      </c>
    </row>
    <row r="37" spans="2:13">
      <c r="B37" t="s">
        <v>628</v>
      </c>
      <c r="C37" t="s">
        <v>32</v>
      </c>
      <c r="D37" t="s">
        <v>19</v>
      </c>
      <c r="F37">
        <v>1599.6</v>
      </c>
      <c r="I37">
        <v>1599.6</v>
      </c>
      <c r="L37">
        <v>1599.6</v>
      </c>
      <c r="M37" t="s">
        <v>616</v>
      </c>
    </row>
    <row r="38" spans="2:13">
      <c r="B38" t="s">
        <v>628</v>
      </c>
      <c r="C38" t="s">
        <v>32</v>
      </c>
      <c r="D38" t="s">
        <v>19</v>
      </c>
      <c r="F38">
        <v>42.3</v>
      </c>
      <c r="I38">
        <v>42.3</v>
      </c>
      <c r="L38">
        <v>42.3</v>
      </c>
      <c r="M38" t="s">
        <v>617</v>
      </c>
    </row>
    <row r="39" spans="2:13">
      <c r="B39" t="s">
        <v>628</v>
      </c>
      <c r="C39" t="s">
        <v>32</v>
      </c>
      <c r="D39" t="s">
        <v>19</v>
      </c>
      <c r="F39">
        <v>2.3610000000000002</v>
      </c>
      <c r="I39">
        <v>2.3610000000000002</v>
      </c>
      <c r="L39">
        <v>2.3610000000000002</v>
      </c>
      <c r="M39" t="s">
        <v>618</v>
      </c>
    </row>
    <row r="40" spans="2:13">
      <c r="B40" t="s">
        <v>628</v>
      </c>
      <c r="C40" t="s">
        <v>32</v>
      </c>
      <c r="D40" t="s">
        <v>19</v>
      </c>
      <c r="F40">
        <v>0.39</v>
      </c>
      <c r="I40">
        <v>0.39</v>
      </c>
      <c r="L40">
        <v>0.39</v>
      </c>
      <c r="M40" t="s">
        <v>145</v>
      </c>
    </row>
    <row r="41" spans="2:13">
      <c r="B41" t="s">
        <v>628</v>
      </c>
      <c r="C41" t="s">
        <v>32</v>
      </c>
      <c r="D41" t="s">
        <v>19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 t="s">
        <v>619</v>
      </c>
    </row>
    <row r="42" spans="2:13">
      <c r="B42" t="s">
        <v>628</v>
      </c>
      <c r="C42" t="s">
        <v>32</v>
      </c>
      <c r="D42" t="s">
        <v>19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 t="s">
        <v>620</v>
      </c>
    </row>
    <row r="43" spans="2:13">
      <c r="B43" t="s">
        <v>629</v>
      </c>
      <c r="C43" t="s">
        <v>32</v>
      </c>
      <c r="D43" t="s">
        <v>19</v>
      </c>
      <c r="F43">
        <v>1881.9</v>
      </c>
      <c r="I43">
        <v>1881.9</v>
      </c>
      <c r="L43">
        <v>1881.9</v>
      </c>
      <c r="M43" t="s">
        <v>616</v>
      </c>
    </row>
    <row r="44" spans="2:13">
      <c r="B44" t="s">
        <v>629</v>
      </c>
      <c r="C44" t="s">
        <v>32</v>
      </c>
      <c r="D44" t="s">
        <v>19</v>
      </c>
      <c r="F44">
        <v>56.5</v>
      </c>
      <c r="I44">
        <v>56.5</v>
      </c>
      <c r="L44">
        <v>56.5</v>
      </c>
      <c r="M44" t="s">
        <v>617</v>
      </c>
    </row>
    <row r="45" spans="2:13">
      <c r="B45" t="s">
        <v>629</v>
      </c>
      <c r="C45" t="s">
        <v>32</v>
      </c>
      <c r="D45" t="s">
        <v>19</v>
      </c>
      <c r="F45">
        <v>2.5499999999999998</v>
      </c>
      <c r="I45">
        <v>2.4420000000000002</v>
      </c>
      <c r="L45">
        <v>2.3170000000000002</v>
      </c>
      <c r="M45" t="s">
        <v>618</v>
      </c>
    </row>
    <row r="46" spans="2:13">
      <c r="B46" t="s">
        <v>629</v>
      </c>
      <c r="C46" t="s">
        <v>32</v>
      </c>
      <c r="D46" t="s">
        <v>19</v>
      </c>
      <c r="F46">
        <v>0.43</v>
      </c>
      <c r="I46">
        <v>0.43</v>
      </c>
      <c r="L46">
        <v>0.43</v>
      </c>
      <c r="M46" t="s">
        <v>145</v>
      </c>
    </row>
    <row r="47" spans="2:13">
      <c r="B47" t="s">
        <v>629</v>
      </c>
      <c r="C47" t="s">
        <v>32</v>
      </c>
      <c r="D47" t="s">
        <v>19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 t="s">
        <v>619</v>
      </c>
    </row>
    <row r="48" spans="2:13">
      <c r="B48" t="s">
        <v>629</v>
      </c>
      <c r="C48" t="s">
        <v>32</v>
      </c>
      <c r="D48" t="s">
        <v>19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 t="s">
        <v>620</v>
      </c>
    </row>
    <row r="49" spans="2:13">
      <c r="B49" t="s">
        <v>630</v>
      </c>
      <c r="C49" t="s">
        <v>32</v>
      </c>
      <c r="D49" t="s">
        <v>19</v>
      </c>
      <c r="F49">
        <v>2070.1</v>
      </c>
      <c r="I49">
        <v>2070.1</v>
      </c>
      <c r="L49">
        <v>2070.1</v>
      </c>
      <c r="M49" t="s">
        <v>616</v>
      </c>
    </row>
    <row r="50" spans="2:13">
      <c r="B50" t="s">
        <v>630</v>
      </c>
      <c r="C50" t="s">
        <v>32</v>
      </c>
      <c r="D50" t="s">
        <v>19</v>
      </c>
      <c r="F50">
        <v>61.2</v>
      </c>
      <c r="I50">
        <v>61.2</v>
      </c>
      <c r="L50">
        <v>61.2</v>
      </c>
      <c r="M50" t="s">
        <v>617</v>
      </c>
    </row>
    <row r="51" spans="2:13">
      <c r="B51" t="s">
        <v>630</v>
      </c>
      <c r="C51" t="s">
        <v>32</v>
      </c>
      <c r="D51" t="s">
        <v>19</v>
      </c>
      <c r="F51">
        <v>2.6389999999999998</v>
      </c>
      <c r="I51">
        <v>2.6389999999999998</v>
      </c>
      <c r="L51">
        <v>2.6389999999999998</v>
      </c>
      <c r="M51" t="s">
        <v>618</v>
      </c>
    </row>
    <row r="52" spans="2:13">
      <c r="B52" t="s">
        <v>630</v>
      </c>
      <c r="C52" t="s">
        <v>32</v>
      </c>
      <c r="D52" t="s">
        <v>19</v>
      </c>
      <c r="F52">
        <v>0.46</v>
      </c>
      <c r="I52">
        <v>0.47</v>
      </c>
      <c r="L52">
        <v>0.48</v>
      </c>
      <c r="M52" t="s">
        <v>145</v>
      </c>
    </row>
    <row r="53" spans="2:13">
      <c r="B53" t="s">
        <v>630</v>
      </c>
      <c r="C53" t="s">
        <v>32</v>
      </c>
      <c r="D53" t="s">
        <v>19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 t="s">
        <v>619</v>
      </c>
    </row>
    <row r="54" spans="2:13">
      <c r="B54" t="s">
        <v>630</v>
      </c>
      <c r="C54" t="s">
        <v>32</v>
      </c>
      <c r="D54" t="s">
        <v>19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 t="s">
        <v>620</v>
      </c>
    </row>
    <row r="55" spans="2:13">
      <c r="B55" t="s">
        <v>631</v>
      </c>
      <c r="C55" t="s">
        <v>32</v>
      </c>
      <c r="D55" t="s">
        <v>19</v>
      </c>
      <c r="F55">
        <v>2352.4</v>
      </c>
      <c r="I55">
        <v>2164.1999999999998</v>
      </c>
      <c r="L55">
        <v>2164.1999999999998</v>
      </c>
      <c r="M55" t="s">
        <v>616</v>
      </c>
    </row>
    <row r="56" spans="2:13">
      <c r="B56" t="s">
        <v>631</v>
      </c>
      <c r="C56" t="s">
        <v>32</v>
      </c>
      <c r="D56" t="s">
        <v>19</v>
      </c>
      <c r="F56">
        <v>84.7</v>
      </c>
      <c r="I56">
        <v>75.3</v>
      </c>
      <c r="L56">
        <v>75.3</v>
      </c>
      <c r="M56" t="s">
        <v>617</v>
      </c>
    </row>
    <row r="57" spans="2:13">
      <c r="B57" t="s">
        <v>631</v>
      </c>
      <c r="C57" t="s">
        <v>32</v>
      </c>
      <c r="D57" t="s">
        <v>19</v>
      </c>
      <c r="F57">
        <v>0.46</v>
      </c>
      <c r="I57">
        <v>0.49</v>
      </c>
      <c r="L57">
        <v>0.5</v>
      </c>
      <c r="M57" t="s">
        <v>145</v>
      </c>
    </row>
    <row r="58" spans="2:13">
      <c r="B58" t="s">
        <v>631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 t="s">
        <v>619</v>
      </c>
    </row>
    <row r="59" spans="2:13">
      <c r="B59" t="s">
        <v>631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 t="s">
        <v>620</v>
      </c>
    </row>
    <row r="60" spans="2:13">
      <c r="B60" t="s">
        <v>632</v>
      </c>
      <c r="C60" t="s">
        <v>36</v>
      </c>
      <c r="D60" t="s">
        <v>19</v>
      </c>
      <c r="F60">
        <v>6210.4</v>
      </c>
      <c r="I60">
        <v>4704.8</v>
      </c>
      <c r="L60">
        <v>4234.3</v>
      </c>
      <c r="M60" t="s">
        <v>616</v>
      </c>
    </row>
    <row r="61" spans="2:13">
      <c r="B61" t="s">
        <v>632</v>
      </c>
      <c r="C61" t="s">
        <v>36</v>
      </c>
      <c r="D61" t="s">
        <v>19</v>
      </c>
      <c r="F61">
        <v>155.30000000000001</v>
      </c>
      <c r="I61">
        <v>160</v>
      </c>
      <c r="L61">
        <v>150.6</v>
      </c>
      <c r="M61" t="s">
        <v>617</v>
      </c>
    </row>
    <row r="62" spans="2:13">
      <c r="B62" t="s">
        <v>632</v>
      </c>
      <c r="C62" t="s">
        <v>36</v>
      </c>
      <c r="D62" t="s">
        <v>19</v>
      </c>
      <c r="I62">
        <v>0.77800000000000002</v>
      </c>
      <c r="L62">
        <v>0.77800000000000002</v>
      </c>
      <c r="M62" t="s">
        <v>618</v>
      </c>
    </row>
    <row r="63" spans="2:13">
      <c r="B63" t="s">
        <v>632</v>
      </c>
      <c r="C63" t="s">
        <v>36</v>
      </c>
      <c r="D63" t="s">
        <v>19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 t="s">
        <v>619</v>
      </c>
    </row>
    <row r="64" spans="2:13">
      <c r="B64" t="s">
        <v>632</v>
      </c>
      <c r="C64" t="s">
        <v>36</v>
      </c>
      <c r="D64" t="s">
        <v>19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 t="s">
        <v>620</v>
      </c>
    </row>
    <row r="65" spans="2:13">
      <c r="B65" t="s">
        <v>633</v>
      </c>
      <c r="C65" t="s">
        <v>36</v>
      </c>
      <c r="D65" t="s">
        <v>19</v>
      </c>
      <c r="H65">
        <v>10266</v>
      </c>
      <c r="I65">
        <v>8364.9</v>
      </c>
      <c r="J65">
        <v>6373.8</v>
      </c>
      <c r="K65">
        <v>5480.2</v>
      </c>
      <c r="L65">
        <v>4884.6000000000004</v>
      </c>
      <c r="M65" t="s">
        <v>616</v>
      </c>
    </row>
    <row r="66" spans="2:13">
      <c r="B66" t="s">
        <v>633</v>
      </c>
      <c r="C66" t="s">
        <v>36</v>
      </c>
      <c r="D66" t="s">
        <v>19</v>
      </c>
      <c r="H66">
        <v>144.69999999999999</v>
      </c>
      <c r="I66">
        <v>144.69999999999999</v>
      </c>
      <c r="J66">
        <v>136</v>
      </c>
      <c r="K66">
        <v>136</v>
      </c>
      <c r="L66">
        <v>136</v>
      </c>
      <c r="M66" t="s">
        <v>617</v>
      </c>
    </row>
    <row r="67" spans="2:13">
      <c r="B67" t="s">
        <v>633</v>
      </c>
      <c r="C67" t="s">
        <v>36</v>
      </c>
      <c r="D67" t="s">
        <v>19</v>
      </c>
      <c r="H67">
        <v>0.72199999999999998</v>
      </c>
      <c r="I67">
        <v>0.72199999999999998</v>
      </c>
      <c r="J67">
        <v>0.72199999999999998</v>
      </c>
      <c r="K67">
        <v>0.72199999999999998</v>
      </c>
      <c r="L67">
        <v>0.72199999999999998</v>
      </c>
      <c r="M67" t="s">
        <v>618</v>
      </c>
    </row>
    <row r="68" spans="2:13">
      <c r="B68" t="s">
        <v>633</v>
      </c>
      <c r="C68" t="s">
        <v>36</v>
      </c>
      <c r="D68" t="s">
        <v>19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 t="s">
        <v>619</v>
      </c>
    </row>
    <row r="69" spans="2:13">
      <c r="B69" t="s">
        <v>633</v>
      </c>
      <c r="C69" t="s">
        <v>36</v>
      </c>
      <c r="D69" t="s">
        <v>19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 t="s">
        <v>620</v>
      </c>
    </row>
    <row r="70" spans="2:13">
      <c r="B70" t="s">
        <v>634</v>
      </c>
      <c r="C70" t="s">
        <v>31</v>
      </c>
      <c r="D70" t="s">
        <v>19</v>
      </c>
      <c r="F70">
        <v>2258.3000000000002</v>
      </c>
      <c r="I70">
        <v>2211.3000000000002</v>
      </c>
      <c r="L70">
        <v>2164.1999999999998</v>
      </c>
      <c r="M70" t="s">
        <v>616</v>
      </c>
    </row>
    <row r="71" spans="2:13">
      <c r="B71" t="s">
        <v>634</v>
      </c>
      <c r="C71" t="s">
        <v>31</v>
      </c>
      <c r="D71" t="s">
        <v>19</v>
      </c>
      <c r="F71">
        <v>80</v>
      </c>
      <c r="I71">
        <v>75.3</v>
      </c>
      <c r="L71">
        <v>75.3</v>
      </c>
      <c r="M71" t="s">
        <v>617</v>
      </c>
    </row>
    <row r="72" spans="2:13">
      <c r="B72" t="s">
        <v>634</v>
      </c>
      <c r="C72" t="s">
        <v>31</v>
      </c>
      <c r="D72" t="s">
        <v>19</v>
      </c>
      <c r="F72">
        <v>1.4570000000000001</v>
      </c>
      <c r="I72">
        <v>1.4570000000000001</v>
      </c>
      <c r="L72">
        <v>1.4570000000000001</v>
      </c>
      <c r="M72" t="s">
        <v>618</v>
      </c>
    </row>
    <row r="73" spans="2:13">
      <c r="B73" t="s">
        <v>634</v>
      </c>
      <c r="C73" t="s">
        <v>31</v>
      </c>
      <c r="D73" t="s">
        <v>19</v>
      </c>
      <c r="F73">
        <v>0.35</v>
      </c>
      <c r="I73">
        <v>0.35</v>
      </c>
      <c r="L73">
        <v>0.35</v>
      </c>
      <c r="M73" t="s">
        <v>145</v>
      </c>
    </row>
    <row r="74" spans="2:13">
      <c r="B74" t="s">
        <v>634</v>
      </c>
      <c r="C74" t="s">
        <v>31</v>
      </c>
      <c r="D74" t="s">
        <v>19</v>
      </c>
      <c r="F74">
        <v>0.6</v>
      </c>
      <c r="I74">
        <v>0.6</v>
      </c>
      <c r="L74">
        <v>0.6</v>
      </c>
      <c r="M74" t="s">
        <v>635</v>
      </c>
    </row>
    <row r="75" spans="2:13">
      <c r="B75" t="s">
        <v>634</v>
      </c>
      <c r="C75" t="s">
        <v>31</v>
      </c>
      <c r="D75" t="s">
        <v>19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 t="s">
        <v>619</v>
      </c>
    </row>
    <row r="76" spans="2:13">
      <c r="B76" t="s">
        <v>634</v>
      </c>
      <c r="C76" t="s">
        <v>31</v>
      </c>
      <c r="D76" t="s">
        <v>19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 t="s">
        <v>620</v>
      </c>
    </row>
    <row r="77" spans="2:13">
      <c r="B77" t="s">
        <v>636</v>
      </c>
      <c r="C77" t="s">
        <v>31</v>
      </c>
      <c r="D77" t="s">
        <v>623</v>
      </c>
      <c r="E77">
        <v>2748.9</v>
      </c>
      <c r="H77">
        <v>2638.9</v>
      </c>
      <c r="L77">
        <v>2528.9</v>
      </c>
      <c r="M77" t="s">
        <v>616</v>
      </c>
    </row>
    <row r="78" spans="2:13">
      <c r="B78" t="s">
        <v>636</v>
      </c>
      <c r="C78" t="s">
        <v>31</v>
      </c>
      <c r="D78" t="s">
        <v>623</v>
      </c>
      <c r="E78">
        <v>75.900000000000006</v>
      </c>
      <c r="H78">
        <v>70.400000000000006</v>
      </c>
      <c r="L78">
        <v>68.2</v>
      </c>
      <c r="M78" t="s">
        <v>617</v>
      </c>
    </row>
    <row r="79" spans="2:13">
      <c r="B79" t="s">
        <v>636</v>
      </c>
      <c r="C79" t="s">
        <v>31</v>
      </c>
      <c r="D79" t="s">
        <v>623</v>
      </c>
      <c r="E79">
        <v>0.8</v>
      </c>
      <c r="H79">
        <v>0.8</v>
      </c>
      <c r="L79">
        <v>0.8</v>
      </c>
      <c r="M79" t="s">
        <v>618</v>
      </c>
    </row>
    <row r="80" spans="2:13">
      <c r="B80" t="s">
        <v>636</v>
      </c>
      <c r="C80" t="s">
        <v>31</v>
      </c>
      <c r="D80" t="s">
        <v>623</v>
      </c>
      <c r="E80">
        <v>0.40899999999999997</v>
      </c>
      <c r="H80">
        <v>0.41</v>
      </c>
      <c r="L80">
        <v>0.39400000000000002</v>
      </c>
      <c r="M80" t="s">
        <v>145</v>
      </c>
    </row>
    <row r="81" spans="2:13">
      <c r="B81" t="s">
        <v>636</v>
      </c>
      <c r="C81" t="s">
        <v>31</v>
      </c>
      <c r="D81" t="s">
        <v>623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 t="s">
        <v>619</v>
      </c>
    </row>
    <row r="82" spans="2:13">
      <c r="B82" t="s">
        <v>636</v>
      </c>
      <c r="C82" t="s">
        <v>31</v>
      </c>
      <c r="D82" t="s">
        <v>623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 t="s">
        <v>620</v>
      </c>
    </row>
    <row r="83" spans="2:13">
      <c r="B83" t="s">
        <v>636</v>
      </c>
      <c r="C83" t="s">
        <v>31</v>
      </c>
      <c r="D83" t="s">
        <v>623</v>
      </c>
      <c r="E83">
        <v>1.8237000000000001</v>
      </c>
      <c r="H83">
        <v>1.8137000000000001</v>
      </c>
      <c r="L83">
        <v>1.9169</v>
      </c>
      <c r="M83" t="s">
        <v>624</v>
      </c>
    </row>
    <row r="84" spans="2:13">
      <c r="B84" t="s">
        <v>636</v>
      </c>
      <c r="C84" t="s">
        <v>31</v>
      </c>
      <c r="D84" t="s">
        <v>623</v>
      </c>
      <c r="E84">
        <v>-0.14000000000000001</v>
      </c>
      <c r="H84">
        <v>-0.14000000000000001</v>
      </c>
      <c r="L84">
        <v>-0.13</v>
      </c>
      <c r="M84" t="s">
        <v>625</v>
      </c>
    </row>
    <row r="85" spans="2:13">
      <c r="B85" t="s">
        <v>637</v>
      </c>
      <c r="C85" t="s">
        <v>33</v>
      </c>
      <c r="D85" t="s">
        <v>623</v>
      </c>
      <c r="E85">
        <v>66</v>
      </c>
      <c r="H85">
        <v>55</v>
      </c>
      <c r="L85">
        <v>55</v>
      </c>
      <c r="M85" t="s">
        <v>616</v>
      </c>
    </row>
    <row r="86" spans="2:13">
      <c r="B86" t="s">
        <v>637</v>
      </c>
      <c r="C86" t="s">
        <v>33</v>
      </c>
      <c r="D86" t="s">
        <v>623</v>
      </c>
      <c r="E86">
        <v>2.1</v>
      </c>
      <c r="H86">
        <v>2.1</v>
      </c>
      <c r="L86">
        <v>1.9</v>
      </c>
      <c r="M86" t="s">
        <v>617</v>
      </c>
    </row>
    <row r="87" spans="2:13">
      <c r="B87" t="s">
        <v>637</v>
      </c>
      <c r="C87" t="s">
        <v>33</v>
      </c>
      <c r="D87" t="s">
        <v>623</v>
      </c>
      <c r="E87">
        <v>0.3</v>
      </c>
      <c r="H87">
        <v>0.3</v>
      </c>
      <c r="L87">
        <v>0.3</v>
      </c>
      <c r="M87" t="s">
        <v>618</v>
      </c>
    </row>
    <row r="88" spans="2:13">
      <c r="B88" t="s">
        <v>637</v>
      </c>
      <c r="C88" t="s">
        <v>33</v>
      </c>
      <c r="D88" t="s">
        <v>623</v>
      </c>
      <c r="E88">
        <v>1.03</v>
      </c>
      <c r="H88">
        <v>1.04</v>
      </c>
      <c r="L88">
        <v>1.04</v>
      </c>
      <c r="M88" t="s">
        <v>145</v>
      </c>
    </row>
    <row r="89" spans="2:13">
      <c r="B89" t="s">
        <v>637</v>
      </c>
      <c r="C89" t="s">
        <v>33</v>
      </c>
      <c r="D89" t="s">
        <v>623</v>
      </c>
      <c r="E89">
        <v>25</v>
      </c>
      <c r="F89">
        <v>25</v>
      </c>
      <c r="G89">
        <v>25</v>
      </c>
      <c r="H89">
        <v>25</v>
      </c>
      <c r="I89">
        <v>25</v>
      </c>
      <c r="J89">
        <v>25</v>
      </c>
      <c r="K89">
        <v>25</v>
      </c>
      <c r="L89">
        <v>25</v>
      </c>
      <c r="M89" t="s">
        <v>619</v>
      </c>
    </row>
    <row r="90" spans="2:13">
      <c r="B90" t="s">
        <v>637</v>
      </c>
      <c r="C90" t="s">
        <v>33</v>
      </c>
      <c r="D90" t="s">
        <v>623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 t="s">
        <v>620</v>
      </c>
    </row>
    <row r="91" spans="2:13">
      <c r="B91" t="s">
        <v>638</v>
      </c>
      <c r="C91" t="s">
        <v>31</v>
      </c>
      <c r="D91" t="s">
        <v>623</v>
      </c>
      <c r="E91">
        <v>483.8</v>
      </c>
      <c r="H91">
        <v>461.8</v>
      </c>
      <c r="L91">
        <v>439.8</v>
      </c>
      <c r="M91" t="s">
        <v>616</v>
      </c>
    </row>
    <row r="92" spans="2:13">
      <c r="B92" t="s">
        <v>638</v>
      </c>
      <c r="C92" t="s">
        <v>31</v>
      </c>
      <c r="D92" t="s">
        <v>623</v>
      </c>
      <c r="E92">
        <v>38</v>
      </c>
      <c r="H92">
        <v>36.6</v>
      </c>
      <c r="L92">
        <v>34.5</v>
      </c>
      <c r="M92" t="s">
        <v>617</v>
      </c>
    </row>
    <row r="93" spans="2:13">
      <c r="B93" t="s">
        <v>638</v>
      </c>
      <c r="C93" t="s">
        <v>31</v>
      </c>
      <c r="D93" t="s">
        <v>623</v>
      </c>
      <c r="E93">
        <v>0.4</v>
      </c>
      <c r="H93">
        <v>0.4</v>
      </c>
      <c r="L93">
        <v>0.4</v>
      </c>
      <c r="M93" t="s">
        <v>618</v>
      </c>
    </row>
    <row r="94" spans="2:13">
      <c r="B94" t="s">
        <v>638</v>
      </c>
      <c r="C94" t="s">
        <v>31</v>
      </c>
      <c r="D94" t="s">
        <v>623</v>
      </c>
      <c r="E94">
        <v>1.149</v>
      </c>
      <c r="H94">
        <v>1.149</v>
      </c>
      <c r="L94">
        <v>1.149</v>
      </c>
      <c r="M94" t="s">
        <v>145</v>
      </c>
    </row>
    <row r="95" spans="2:13">
      <c r="B95" t="s">
        <v>638</v>
      </c>
      <c r="C95" t="s">
        <v>31</v>
      </c>
      <c r="D95" t="s">
        <v>623</v>
      </c>
      <c r="E95">
        <v>25</v>
      </c>
      <c r="F95">
        <v>25</v>
      </c>
      <c r="G95">
        <v>25</v>
      </c>
      <c r="H95">
        <v>25</v>
      </c>
      <c r="I95">
        <v>25</v>
      </c>
      <c r="J95">
        <v>25</v>
      </c>
      <c r="K95">
        <v>25</v>
      </c>
      <c r="L95">
        <v>25</v>
      </c>
      <c r="M95" t="s">
        <v>619</v>
      </c>
    </row>
    <row r="96" spans="2:13">
      <c r="B96" t="s">
        <v>638</v>
      </c>
      <c r="C96" t="s">
        <v>31</v>
      </c>
      <c r="D96" t="s">
        <v>623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 t="s">
        <v>620</v>
      </c>
    </row>
    <row r="97" spans="2:13">
      <c r="B97" t="s">
        <v>639</v>
      </c>
      <c r="C97" t="s">
        <v>19</v>
      </c>
      <c r="D97" t="s">
        <v>623</v>
      </c>
      <c r="G97">
        <v>72.400000000000006</v>
      </c>
      <c r="H97">
        <v>72.400000000000006</v>
      </c>
      <c r="I97">
        <v>72.400000000000006</v>
      </c>
      <c r="J97">
        <v>72.400000000000006</v>
      </c>
      <c r="L97">
        <v>72.400000000000006</v>
      </c>
      <c r="M97" t="s">
        <v>616</v>
      </c>
    </row>
    <row r="98" spans="2:13">
      <c r="B98" t="s">
        <v>639</v>
      </c>
      <c r="C98" t="s">
        <v>19</v>
      </c>
      <c r="D98" t="s">
        <v>623</v>
      </c>
      <c r="G98">
        <v>1.2</v>
      </c>
      <c r="H98">
        <v>1.2</v>
      </c>
      <c r="I98">
        <v>1.2</v>
      </c>
      <c r="J98">
        <v>1.2</v>
      </c>
      <c r="L98">
        <v>1.2</v>
      </c>
      <c r="M98" t="s">
        <v>617</v>
      </c>
    </row>
    <row r="99" spans="2:13">
      <c r="B99" t="s">
        <v>639</v>
      </c>
      <c r="C99" t="s">
        <v>19</v>
      </c>
      <c r="D99" t="s">
        <v>623</v>
      </c>
      <c r="G99">
        <v>0.2</v>
      </c>
      <c r="H99">
        <v>0.2</v>
      </c>
      <c r="I99">
        <v>0.2</v>
      </c>
      <c r="J99">
        <v>0.2</v>
      </c>
      <c r="L99">
        <v>0.2</v>
      </c>
      <c r="M99" t="s">
        <v>618</v>
      </c>
    </row>
    <row r="100" spans="2:13">
      <c r="B100" t="s">
        <v>639</v>
      </c>
      <c r="C100" t="s">
        <v>19</v>
      </c>
      <c r="D100" t="s">
        <v>623</v>
      </c>
      <c r="G100">
        <v>0.99</v>
      </c>
      <c r="H100">
        <v>0.99</v>
      </c>
      <c r="I100">
        <v>0.99</v>
      </c>
      <c r="J100">
        <v>0.99</v>
      </c>
      <c r="L100">
        <v>0.99</v>
      </c>
      <c r="M100" t="s">
        <v>145</v>
      </c>
    </row>
    <row r="101" spans="2:13">
      <c r="B101" t="s">
        <v>639</v>
      </c>
      <c r="C101" t="s">
        <v>19</v>
      </c>
      <c r="D101" t="s">
        <v>623</v>
      </c>
      <c r="E101">
        <v>20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v>20</v>
      </c>
      <c r="L101">
        <v>20</v>
      </c>
      <c r="M101" t="s">
        <v>619</v>
      </c>
    </row>
    <row r="102" spans="2:13">
      <c r="B102" t="s">
        <v>639</v>
      </c>
      <c r="C102" t="s">
        <v>19</v>
      </c>
      <c r="D102" t="s">
        <v>623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 t="s">
        <v>620</v>
      </c>
    </row>
    <row r="103" spans="2:13">
      <c r="B103" t="s">
        <v>640</v>
      </c>
      <c r="C103" t="s">
        <v>19</v>
      </c>
      <c r="D103" t="s">
        <v>623</v>
      </c>
      <c r="G103">
        <v>1054.7</v>
      </c>
      <c r="H103">
        <v>1028.3</v>
      </c>
      <c r="I103">
        <v>1002</v>
      </c>
      <c r="J103">
        <v>976.9</v>
      </c>
      <c r="L103">
        <v>951.9</v>
      </c>
      <c r="M103" t="s">
        <v>616</v>
      </c>
    </row>
    <row r="104" spans="2:13">
      <c r="B104" t="s">
        <v>640</v>
      </c>
      <c r="C104" t="s">
        <v>19</v>
      </c>
      <c r="D104" t="s">
        <v>623</v>
      </c>
      <c r="G104">
        <v>2.2000000000000002</v>
      </c>
      <c r="H104">
        <v>2.1</v>
      </c>
      <c r="I104">
        <v>2.1</v>
      </c>
      <c r="J104">
        <v>2</v>
      </c>
      <c r="L104">
        <v>2</v>
      </c>
      <c r="M104" t="s">
        <v>617</v>
      </c>
    </row>
    <row r="105" spans="2:13">
      <c r="B105" t="s">
        <v>640</v>
      </c>
      <c r="C105" t="s">
        <v>19</v>
      </c>
      <c r="D105" t="s">
        <v>623</v>
      </c>
      <c r="G105">
        <v>0.2</v>
      </c>
      <c r="H105">
        <v>0.2</v>
      </c>
      <c r="I105">
        <v>0.2</v>
      </c>
      <c r="J105">
        <v>0.2</v>
      </c>
      <c r="L105">
        <v>0.2</v>
      </c>
      <c r="M105" t="s">
        <v>618</v>
      </c>
    </row>
    <row r="106" spans="2:13">
      <c r="B106" t="s">
        <v>640</v>
      </c>
      <c r="C106" t="s">
        <v>19</v>
      </c>
      <c r="D106" t="s">
        <v>623</v>
      </c>
      <c r="G106">
        <v>2.8</v>
      </c>
      <c r="H106">
        <v>2.8</v>
      </c>
      <c r="I106">
        <v>2.8</v>
      </c>
      <c r="J106">
        <v>2.8</v>
      </c>
      <c r="L106">
        <v>2.9169999999999998</v>
      </c>
      <c r="M106" t="s">
        <v>145</v>
      </c>
    </row>
    <row r="107" spans="2:13">
      <c r="B107" t="s">
        <v>640</v>
      </c>
      <c r="C107" t="s">
        <v>19</v>
      </c>
      <c r="D107" t="s">
        <v>623</v>
      </c>
      <c r="E107">
        <v>25</v>
      </c>
      <c r="F107">
        <v>25</v>
      </c>
      <c r="G107">
        <v>25</v>
      </c>
      <c r="H107">
        <v>25</v>
      </c>
      <c r="I107">
        <v>25</v>
      </c>
      <c r="J107">
        <v>25</v>
      </c>
      <c r="K107">
        <v>25</v>
      </c>
      <c r="L107">
        <v>25</v>
      </c>
      <c r="M107" t="s">
        <v>619</v>
      </c>
    </row>
    <row r="108" spans="2:13">
      <c r="B108" t="s">
        <v>640</v>
      </c>
      <c r="C108" t="s">
        <v>19</v>
      </c>
      <c r="D108" t="s">
        <v>623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 t="s">
        <v>620</v>
      </c>
    </row>
    <row r="109" spans="2:13">
      <c r="B109" t="s">
        <v>641</v>
      </c>
      <c r="C109" t="s">
        <v>33</v>
      </c>
      <c r="D109" t="s">
        <v>642</v>
      </c>
      <c r="E109">
        <v>0.52</v>
      </c>
      <c r="F109">
        <v>0.52</v>
      </c>
      <c r="G109">
        <v>0.52</v>
      </c>
      <c r="H109">
        <v>0.52</v>
      </c>
      <c r="I109">
        <v>0.52</v>
      </c>
      <c r="J109">
        <v>0.52</v>
      </c>
      <c r="K109">
        <v>0.52</v>
      </c>
      <c r="L109">
        <v>0.52</v>
      </c>
      <c r="M109" t="s">
        <v>145</v>
      </c>
    </row>
    <row r="110" spans="2:13">
      <c r="B110" t="s">
        <v>641</v>
      </c>
      <c r="C110" t="s">
        <v>33</v>
      </c>
      <c r="D110" t="s">
        <v>642</v>
      </c>
      <c r="E110">
        <v>2917</v>
      </c>
      <c r="F110">
        <v>2917</v>
      </c>
      <c r="G110">
        <v>2917</v>
      </c>
      <c r="H110">
        <v>2917</v>
      </c>
      <c r="I110">
        <v>2917</v>
      </c>
      <c r="J110">
        <v>2917</v>
      </c>
      <c r="K110">
        <v>2917</v>
      </c>
      <c r="L110">
        <v>2917</v>
      </c>
      <c r="M110" t="s">
        <v>616</v>
      </c>
    </row>
    <row r="111" spans="2:13">
      <c r="B111" t="s">
        <v>641</v>
      </c>
      <c r="C111" t="s">
        <v>33</v>
      </c>
      <c r="D111" t="s">
        <v>642</v>
      </c>
      <c r="E111">
        <v>70.599999999999994</v>
      </c>
      <c r="F111">
        <v>70.599999999999994</v>
      </c>
      <c r="G111">
        <v>70.599999999999994</v>
      </c>
      <c r="H111">
        <v>70.599999999999994</v>
      </c>
      <c r="I111">
        <v>70.599999999999994</v>
      </c>
      <c r="J111">
        <v>70.599999999999994</v>
      </c>
      <c r="K111">
        <v>70.599999999999994</v>
      </c>
      <c r="L111">
        <v>70.599999999999994</v>
      </c>
      <c r="M111" t="s">
        <v>617</v>
      </c>
    </row>
    <row r="112" spans="2:13">
      <c r="B112" t="s">
        <v>641</v>
      </c>
      <c r="C112" t="s">
        <v>33</v>
      </c>
      <c r="D112" t="s">
        <v>642</v>
      </c>
      <c r="E112">
        <v>1.3</v>
      </c>
      <c r="F112">
        <v>1.3</v>
      </c>
      <c r="G112">
        <v>1.3</v>
      </c>
      <c r="H112">
        <v>1.3</v>
      </c>
      <c r="I112">
        <v>1.3</v>
      </c>
      <c r="J112">
        <v>1.3</v>
      </c>
      <c r="K112">
        <v>1.3</v>
      </c>
      <c r="L112">
        <v>1.3</v>
      </c>
      <c r="M112" t="s">
        <v>618</v>
      </c>
    </row>
    <row r="113" spans="2:13">
      <c r="B113" t="s">
        <v>641</v>
      </c>
      <c r="C113" t="s">
        <v>33</v>
      </c>
      <c r="D113" t="s">
        <v>642</v>
      </c>
      <c r="E113">
        <v>0.55559999999999998</v>
      </c>
      <c r="F113">
        <v>0.55559999999999998</v>
      </c>
      <c r="G113">
        <v>0.55559999999999998</v>
      </c>
      <c r="H113">
        <v>0.55559999999999998</v>
      </c>
      <c r="I113">
        <v>0.55559999999999998</v>
      </c>
      <c r="J113">
        <v>0.55559999999999998</v>
      </c>
      <c r="K113">
        <v>0.55559999999999998</v>
      </c>
      <c r="L113">
        <v>0.55559999999999998</v>
      </c>
      <c r="M113" t="s">
        <v>624</v>
      </c>
    </row>
    <row r="114" spans="2:13">
      <c r="B114" t="s">
        <v>641</v>
      </c>
      <c r="C114" t="s">
        <v>33</v>
      </c>
      <c r="D114" t="s">
        <v>642</v>
      </c>
      <c r="E114">
        <v>-0.15</v>
      </c>
      <c r="F114">
        <v>-0.15</v>
      </c>
      <c r="G114">
        <v>-0.15</v>
      </c>
      <c r="H114">
        <v>-0.15</v>
      </c>
      <c r="I114">
        <v>-0.15</v>
      </c>
      <c r="J114">
        <v>-0.15</v>
      </c>
      <c r="K114">
        <v>-0.15</v>
      </c>
      <c r="L114">
        <v>-0.15</v>
      </c>
      <c r="M114" t="s">
        <v>625</v>
      </c>
    </row>
    <row r="115" spans="2:13">
      <c r="B115" t="s">
        <v>641</v>
      </c>
      <c r="C115" t="s">
        <v>33</v>
      </c>
      <c r="D115" t="s">
        <v>642</v>
      </c>
      <c r="E115">
        <v>25</v>
      </c>
      <c r="F115">
        <v>25</v>
      </c>
      <c r="G115">
        <v>25</v>
      </c>
      <c r="H115">
        <v>25</v>
      </c>
      <c r="I115">
        <v>25</v>
      </c>
      <c r="J115">
        <v>25</v>
      </c>
      <c r="K115">
        <v>25</v>
      </c>
      <c r="L115">
        <v>25</v>
      </c>
      <c r="M115" t="s">
        <v>619</v>
      </c>
    </row>
    <row r="116" spans="2:13">
      <c r="B116" t="s">
        <v>641</v>
      </c>
      <c r="C116" t="s">
        <v>33</v>
      </c>
      <c r="D116" t="s">
        <v>642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 t="s">
        <v>620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2026-07-29T08:38:15Z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