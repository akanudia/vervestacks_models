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SuppXLS\"/>
    </mc:Choice>
  </mc:AlternateContent>
  <xr:revisionPtr revIDLastSave="0" documentId="13_ncr:1_{629BA4CA-59A0-4D05-9CBD-6D73D7A40FF8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1" l="1"/>
  <c r="M48" i="1"/>
  <c r="N47" i="1"/>
  <c r="M47" i="1"/>
  <c r="N46" i="1"/>
  <c r="M46" i="1"/>
  <c r="N45" i="1"/>
  <c r="M45" i="1"/>
  <c r="J40" i="1"/>
  <c r="I40" i="1"/>
  <c r="H40" i="1"/>
  <c r="G40" i="1"/>
  <c r="F40" i="1"/>
  <c r="E40" i="1"/>
  <c r="D40" i="1"/>
  <c r="J39" i="1"/>
  <c r="I39" i="1"/>
  <c r="H39" i="1"/>
  <c r="G39" i="1"/>
  <c r="F39" i="1"/>
  <c r="E39" i="1"/>
  <c r="D39" i="1"/>
  <c r="J38" i="1"/>
  <c r="I38" i="1"/>
  <c r="H38" i="1"/>
  <c r="G38" i="1"/>
  <c r="F38" i="1"/>
  <c r="E38" i="1"/>
  <c r="D38" i="1"/>
  <c r="J37" i="1"/>
  <c r="I37" i="1"/>
  <c r="H37" i="1"/>
  <c r="G37" i="1"/>
  <c r="F37" i="1"/>
  <c r="E37" i="1"/>
  <c r="D37" i="1"/>
  <c r="L29" i="1"/>
  <c r="L28" i="1"/>
  <c r="N12" i="1"/>
  <c r="B43" i="1"/>
  <c r="N26" i="1"/>
  <c r="N16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3" i="1" l="1"/>
  <c r="AD16" i="1"/>
  <c r="AD15" i="1"/>
  <c r="AD14" i="1"/>
  <c r="AD13" i="1"/>
  <c r="AD12" i="1"/>
  <c r="AD11" i="1"/>
  <c r="AE15" i="1"/>
  <c r="AE16" i="1"/>
  <c r="AE21" i="1" s="1"/>
  <c r="AE26" i="1" s="1"/>
  <c r="AE31" i="1" s="1"/>
  <c r="AE36" i="1" s="1"/>
  <c r="AE41" i="1" s="1"/>
  <c r="AE46" i="1" s="1"/>
  <c r="AE51" i="1" s="1"/>
  <c r="AE56" i="1" s="1"/>
  <c r="AE61" i="1" s="1"/>
  <c r="AE66" i="1" s="1"/>
  <c r="AE71" i="1" s="1"/>
  <c r="AE76" i="1" s="1"/>
  <c r="AE17" i="1"/>
  <c r="AE22" i="1" s="1"/>
  <c r="AE27" i="1" s="1"/>
  <c r="AE32" i="1" s="1"/>
  <c r="AE37" i="1" s="1"/>
  <c r="AE42" i="1" s="1"/>
  <c r="AE47" i="1" s="1"/>
  <c r="AE52" i="1" s="1"/>
  <c r="AE57" i="1" s="1"/>
  <c r="AE62" i="1" s="1"/>
  <c r="AE67" i="1" s="1"/>
  <c r="AE72" i="1" s="1"/>
  <c r="AE77" i="1" s="1"/>
  <c r="AE18" i="1"/>
  <c r="AE23" i="1" s="1"/>
  <c r="AE14" i="1"/>
  <c r="AE19" i="1" s="1"/>
  <c r="AE28" i="1" l="1"/>
  <c r="AE24" i="1"/>
  <c r="AE20" i="1"/>
  <c r="C48" i="1"/>
  <c r="C47" i="1"/>
  <c r="C46" i="1"/>
  <c r="C45" i="1"/>
  <c r="AE33" i="1" l="1"/>
  <c r="AE25" i="1"/>
  <c r="AE29" i="1"/>
  <c r="O29" i="1"/>
  <c r="O28" i="1"/>
  <c r="N11" i="1" s="1"/>
  <c r="U27" i="1"/>
  <c r="T27" i="1"/>
  <c r="S27" i="1"/>
  <c r="R27" i="1"/>
  <c r="Q27" i="1"/>
  <c r="P27" i="1"/>
  <c r="O27" i="1"/>
  <c r="J17" i="1"/>
  <c r="I17" i="1"/>
  <c r="H17" i="1"/>
  <c r="G17" i="1"/>
  <c r="F17" i="1"/>
  <c r="E17" i="1"/>
  <c r="E44" i="1" s="1"/>
  <c r="AE38" i="1" l="1"/>
  <c r="AE34" i="1"/>
  <c r="AE30" i="1"/>
  <c r="E45" i="1"/>
  <c r="D47" i="1"/>
  <c r="H44" i="1"/>
  <c r="I44" i="1"/>
  <c r="F45" i="1"/>
  <c r="G45" i="1"/>
  <c r="D46" i="1"/>
  <c r="F46" i="1"/>
  <c r="H45" i="1"/>
  <c r="I45" i="1"/>
  <c r="G46" i="1"/>
  <c r="H46" i="1"/>
  <c r="I46" i="1"/>
  <c r="D48" i="1"/>
  <c r="I47" i="1"/>
  <c r="D45" i="1"/>
  <c r="F47" i="1"/>
  <c r="G47" i="1"/>
  <c r="E47" i="1"/>
  <c r="H47" i="1"/>
  <c r="J47" i="1"/>
  <c r="J45" i="1"/>
  <c r="F44" i="1"/>
  <c r="G44" i="1"/>
  <c r="J46" i="1"/>
  <c r="J44" i="1"/>
  <c r="E46" i="1"/>
  <c r="O14" i="1"/>
  <c r="AE43" i="1" l="1"/>
  <c r="AE39" i="1"/>
  <c r="AE35" i="1"/>
  <c r="AE48" i="1" l="1"/>
  <c r="AE40" i="1"/>
  <c r="AE44" i="1"/>
  <c r="AE53" i="1" l="1"/>
  <c r="AE58" i="1" s="1"/>
  <c r="AE63" i="1" s="1"/>
  <c r="AE68" i="1" s="1"/>
  <c r="AE73" i="1" s="1"/>
  <c r="AE78" i="1" s="1"/>
  <c r="AE49" i="1"/>
  <c r="AE45" i="1"/>
  <c r="AE50" i="1" l="1"/>
  <c r="C24" i="1"/>
  <c r="AE54" i="1"/>
  <c r="J24" i="1" l="1"/>
  <c r="I24" i="1"/>
  <c r="T24" i="1" s="1"/>
  <c r="H24" i="1"/>
  <c r="S24" i="1" s="1"/>
  <c r="G24" i="1"/>
  <c r="R24" i="1" s="1"/>
  <c r="F24" i="1"/>
  <c r="Q24" i="1" s="1"/>
  <c r="U24" i="1"/>
  <c r="C14" i="1"/>
  <c r="AE59" i="1"/>
  <c r="AE55" i="1"/>
  <c r="I21" i="1" l="1"/>
  <c r="H18" i="1"/>
  <c r="H21" i="1"/>
  <c r="G18" i="1"/>
  <c r="G21" i="1"/>
  <c r="F18" i="1"/>
  <c r="D21" i="1"/>
  <c r="O21" i="1" s="1"/>
  <c r="P21" i="1" s="1"/>
  <c r="Q21" i="1" s="1"/>
  <c r="R21" i="1" s="1"/>
  <c r="S21" i="1" s="1"/>
  <c r="T21" i="1" s="1"/>
  <c r="U21" i="1" s="1"/>
  <c r="H15" i="1"/>
  <c r="S23" i="1" s="1"/>
  <c r="E15" i="1"/>
  <c r="P23" i="1" s="1"/>
  <c r="D15" i="1"/>
  <c r="J14" i="1"/>
  <c r="U14" i="1" s="1"/>
  <c r="H14" i="1"/>
  <c r="S14" i="1" s="1"/>
  <c r="G14" i="1"/>
  <c r="R14" i="1" s="1"/>
  <c r="F14" i="1"/>
  <c r="Q14" i="1" s="1"/>
  <c r="D19" i="1"/>
  <c r="O19" i="1" s="1"/>
  <c r="I18" i="1"/>
  <c r="F21" i="1"/>
  <c r="E18" i="1"/>
  <c r="E21" i="1"/>
  <c r="D18" i="1"/>
  <c r="O18" i="1" s="1"/>
  <c r="J15" i="1"/>
  <c r="U23" i="1" s="1"/>
  <c r="J20" i="1"/>
  <c r="I15" i="1"/>
  <c r="I20" i="1"/>
  <c r="H20" i="1"/>
  <c r="G15" i="1"/>
  <c r="R23" i="1" s="1"/>
  <c r="G20" i="1"/>
  <c r="F15" i="1"/>
  <c r="F20" i="1"/>
  <c r="E20" i="1"/>
  <c r="D20" i="1"/>
  <c r="O20" i="1" s="1"/>
  <c r="J19" i="1"/>
  <c r="I19" i="1"/>
  <c r="I14" i="1"/>
  <c r="T14" i="1" s="1"/>
  <c r="H19" i="1"/>
  <c r="G19" i="1"/>
  <c r="F19" i="1"/>
  <c r="E19" i="1"/>
  <c r="E14" i="1"/>
  <c r="P14" i="1" s="1"/>
  <c r="D14" i="1"/>
  <c r="J18" i="1"/>
  <c r="J21" i="1"/>
  <c r="Q23" i="1"/>
  <c r="T23" i="1"/>
  <c r="J48" i="1"/>
  <c r="AE60" i="1"/>
  <c r="AE64" i="1"/>
  <c r="T18" i="1" l="1"/>
  <c r="Q19" i="1"/>
  <c r="P20" i="1"/>
  <c r="P19" i="1"/>
  <c r="S19" i="1"/>
  <c r="T19" i="1"/>
  <c r="Q20" i="1"/>
  <c r="U18" i="1"/>
  <c r="T20" i="1"/>
  <c r="R20" i="1"/>
  <c r="S20" i="1"/>
  <c r="U19" i="1"/>
  <c r="P18" i="1"/>
  <c r="O22" i="1"/>
  <c r="U20" i="1"/>
  <c r="R19" i="1"/>
  <c r="R22" i="1" s="1"/>
  <c r="R18" i="1"/>
  <c r="S18" i="1"/>
  <c r="Q18" i="1"/>
  <c r="AE69" i="1"/>
  <c r="AE65" i="1"/>
  <c r="S22" i="1" l="1"/>
  <c r="T22" i="1"/>
  <c r="Q22" i="1"/>
  <c r="U22" i="1"/>
  <c r="P22" i="1"/>
  <c r="AE70" i="1"/>
  <c r="AE74" i="1"/>
  <c r="AE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<sst xmlns="http://schemas.openxmlformats.org/spreadsheetml/2006/main" count="1716" uniqueCount="124">
  <si>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</si>
  <si>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</si>
  <si>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</si>
  <si>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</si>
  <si>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</si>
  <si>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</si>
  <si>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</si>
  <si>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</si>
  <si>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</si>
  <si>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</si>
  <si>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</si>
  <si>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</si>
  <si>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</si>
  <si>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</si>
  <si>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</si>
  <si>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</si>
  <si>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</si>
  <si>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</si>
  <si>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</si>
  <si>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</si>
  <si>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</si>
  <si>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</si>
  <si>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</si>
  <si>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</si>
  <si>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</si>
  <si>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</si>
  <si>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</si>
  <si>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</si>
  <si>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</si>
  <si>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</si>
  <si>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</si>
  <si>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</si>
  <si>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</si>
  <si>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</si>
  <si>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</si>
  <si>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</si>
  <si>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</si>
  <si>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</si>
  <si>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</si>
  <si>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</si>
  <si>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</si>
  <si>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</si>
  <si>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</si>
  <si>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</si>
  <si>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</si>
  <si>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</si>
  <si>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</si>
  <si>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</si>
  <si>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</si>
  <si>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</si>
  <si>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</si>
  <si>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</si>
  <si>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</si>
  <si>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</si>
  <si>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</si>
  <si>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</si>
  <si>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</si>
  <si>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</si>
  <si>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</si>
  <si>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</si>
  <si>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</si>
  <si>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</si>
  <si>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</si>
  <si>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</si>
  <si>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</si>
  <si>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</si>
  <si>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</si>
  <si>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</si>
  <si>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</si>
  <si>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</si>
  <si>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</si>
  <si>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</si>
  <si>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</si>
  <si>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</si>
  <si>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</si>
  <si>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</si>
  <si>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</si>
  <si>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</si>
  <si>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</si>
  <si>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</si>
  <si>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</si>
  <si>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</si>
  <si>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</si>
  <si>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</si>
  <si>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</si>
  <si>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</si>
  <si>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</si>
  <si>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</si>
  <si>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</si>
  <si>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</si>
  <si>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</si>
  <si>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</si>
  <si>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</si>
  <si>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</si>
  <si>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</si>
  <si>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</si>
  <si>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</si>
  <si>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</si>
  <si>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</si>
  <si>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</si>
  <si>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</si>
  <si>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</si>
  <si>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</si>
  <si>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</si>
  <si>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</si>
  <si>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</si>
  <si>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</si>
  <si>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</si>
  <si>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</si>
  <si>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</si>
  <si>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</si>
  <si>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</si>
  <si>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</si>
  <si>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</si>
  <si>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</si>
  <si>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</si>
  <si>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HET</t>
  </si>
  <si>
    <t>1-8</t>
  </si>
  <si>
    <t>chp_heat_twh</t>
  </si>
  <si>
    <t>FRA</t>
  </si>
  <si>
    <t>TTF-linked, forest resources</t>
  </si>
  <si>
    <t>~tfm_ins-ts: region=FRA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</si>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</sst>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Veda!$O$17:$U$17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Veda!$O$14:$U$14</c:f>
              <c:numCache>
                <c:formatCode>0</c:formatCode>
                <c:ptCount val="7"/>
                <c:pt idx="0">
                  <c:v>483.99</c:v>
                </c:pt>
                <c:pt idx="1">
                  <c:v>508.18950000000001</c:v>
                </c:pt>
                <c:pt idx="2">
                  <c:v>566.26829999999995</c:v>
                </c:pt>
                <c:pt idx="3">
                  <c:v>624.34710000000007</c:v>
                </c:pt>
                <c:pt idx="4">
                  <c:v>687.26580000000001</c:v>
                </c:pt>
                <c:pt idx="5">
                  <c:v>769.54410000000007</c:v>
                </c:pt>
                <c:pt idx="6">
                  <c:v>837.30269999999996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Veda!$D$17:$J$17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Veda!$D$24:$J$24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24</xdr:row>
      <xdr:rowOff>171450</xdr:rowOff>
    </xdr:from>
    <xdr:to>
      <xdr:col>10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117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93</v>
      </c>
    </row>
    <row r="8" spans="1:7" ht="14.65" thickBot="1" x14ac:dyDescent="0.5">
      <c r="A8" s="4" t="s">
        <v>96</v>
      </c>
      <c r="B8" s="4" t="s">
        <v>94</v>
      </c>
      <c r="C8" s="4" t="s">
        <v>95</v>
      </c>
      <c r="D8" s="4" t="s">
        <v>16</v>
      </c>
      <c r="E8" s="4" t="s">
        <v>114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113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113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113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113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"/>
  <sheetViews>
    <sheetView tabSelected="1" topLeftCell="A10" workbookViewId="0">
      <selection activeCell="J24" sqref="J24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119</v>
      </c>
      <c r="B1" s="16"/>
    </row>
    <row r="2" spans="1:34" x14ac:dyDescent="0.45">
      <c r="A2" s="15" t="s">
        <v>111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113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100</v>
      </c>
    </row>
    <row r="9" spans="1:34" x14ac:dyDescent="0.45">
      <c r="N9" t="s">
        <v>4</v>
      </c>
      <c r="AB9">
        <v>1</v>
      </c>
      <c r="AC9" t="s">
        <v>84</v>
      </c>
      <c r="AD9" t="s">
        <v>110</v>
      </c>
      <c r="AE9" s="10">
        <v>1</v>
      </c>
      <c r="AF9" t="s">
        <v>0</v>
      </c>
      <c r="AG9" t="s">
        <v>86</v>
      </c>
      <c r="AH9" s="12">
        <v>5</v>
      </c>
    </row>
    <row r="10" spans="1:34" x14ac:dyDescent="0.45">
      <c r="N10" s="1">
        <v>2022</v>
      </c>
      <c r="AB10">
        <v>2</v>
      </c>
      <c r="AC10" t="s">
        <v>99</v>
      </c>
      <c r="AD10" t="s">
        <v>109</v>
      </c>
      <c r="AE10" s="10">
        <v>1</v>
      </c>
      <c r="AF10" t="s">
        <v>2</v>
      </c>
      <c r="AG10" t="s">
        <v>88</v>
      </c>
      <c r="AH10" s="12">
        <v>4</v>
      </c>
    </row>
    <row r="11" spans="1:34" ht="14.65" thickBot="1" x14ac:dyDescent="0.5">
      <c r="N11" s="17">
        <f>SUMIFS(iea_data!I3:I9999,iea_data!$B$3:$B$9999,$N$10,iea_data!$A$3:A$9999,$A$1)+O28-O29</f>
        <v>483.99</v>
      </c>
      <c r="O11" s="2" t="s">
        <v>55</v>
      </c>
      <c r="AB11">
        <v>3</v>
      </c>
      <c r="AC11" t="s">
        <v>97</v>
      </c>
      <c r="AD11" t="str">
        <f>AC11</f>
        <v>ts_012</v>
      </c>
      <c r="AE11" s="10">
        <v>1</v>
      </c>
      <c r="AF11" t="s">
        <v>5</v>
      </c>
      <c r="AG11" t="s">
        <v>89</v>
      </c>
      <c r="AH11" s="12">
        <v>3</v>
      </c>
    </row>
    <row r="12" spans="1:34" ht="14.65" customHeight="1" thickTop="1" thickBot="1" x14ac:dyDescent="0.5">
      <c r="N12" s="17">
        <f>SUMIFS(iea_data!J3:J9999,iea_data!$B$3:$B$9999,$N$10,iea_data!$A$3:A$9999,$A$1)</f>
        <v>30.378</v>
      </c>
      <c r="AB12">
        <v>4</v>
      </c>
      <c r="AC12" t="s">
        <v>102</v>
      </c>
      <c r="AD12" t="str">
        <f t="shared" ref="AD12:AD16" si="0">AC12</f>
        <v>ts_030</v>
      </c>
      <c r="AE12" s="10">
        <v>1</v>
      </c>
      <c r="AF12" t="s">
        <v>7</v>
      </c>
      <c r="AG12" t="s">
        <v>90</v>
      </c>
      <c r="AH12" s="12">
        <v>3</v>
      </c>
    </row>
    <row r="13" spans="1:34" ht="14.65" customHeight="1" thickTop="1" x14ac:dyDescent="0.45">
      <c r="AB13">
        <v>5</v>
      </c>
      <c r="AC13" t="s">
        <v>98</v>
      </c>
      <c r="AD13" t="str">
        <f t="shared" si="0"/>
        <v>ts_048</v>
      </c>
      <c r="AE13" s="10">
        <v>1</v>
      </c>
      <c r="AF13" t="s">
        <v>9</v>
      </c>
      <c r="AG13" t="s">
        <v>91</v>
      </c>
      <c r="AH13" s="12">
        <v>1.5</v>
      </c>
    </row>
    <row r="14" spans="1:34" ht="14.65" thickBot="1" x14ac:dyDescent="0.5">
      <c r="B14" t="s">
        <v>11</v>
      </c>
      <c r="C14" s="3" t="str">
        <f>VLOOKUP(controller!$D$5,$I$3:$J$5,2,FALSE)</f>
        <v>C4</v>
      </c>
      <c r="D14" s="11">
        <f>SUMIFS(ar6_r10!$F$2:$F$99999,ar6_r10!$A$2:$A$99999,$C$14,ar6_r10!$C$2:$C$99999,D$17,ar6_r10!$M$2:$M$99999,$B14,ar6_r10!$B$2:$B$99999,$A$2)</f>
        <v>1</v>
      </c>
      <c r="E14" s="11">
        <f>SUMIFS(ar6_r10!$F$2:$F$99999,ar6_r10!$A$2:$A$99999,$C$14,ar6_r10!$C$2:$C$99999,E$17,ar6_r10!$M$2:$M$99999,$B14,ar6_r10!$B$2:$B$99999,$A$2)</f>
        <v>1.05</v>
      </c>
      <c r="F14" s="11">
        <f>SUMIFS(ar6_r10!$F$2:$F$99999,ar6_r10!$A$2:$A$99999,$C$14,ar6_r10!$C$2:$C$99999,F$17,ar6_r10!$M$2:$M$99999,$B14,ar6_r10!$B$2:$B$99999,$A$2)</f>
        <v>1.17</v>
      </c>
      <c r="G14" s="11">
        <f>SUMIFS(ar6_r10!$F$2:$F$99999,ar6_r10!$A$2:$A$99999,$C$14,ar6_r10!$C$2:$C$99999,G$17,ar6_r10!$M$2:$M$99999,$B14,ar6_r10!$B$2:$B$99999,$A$2)</f>
        <v>1.29</v>
      </c>
      <c r="H14" s="11">
        <f>SUMIFS(ar6_r10!$F$2:$F$99999,ar6_r10!$A$2:$A$99999,$C$14,ar6_r10!$C$2:$C$99999,H$17,ar6_r10!$M$2:$M$99999,$B14,ar6_r10!$B$2:$B$99999,$A$2)</f>
        <v>1.42</v>
      </c>
      <c r="I14" s="11">
        <f>SUMIFS(ar6_r10!$F$2:$F$99999,ar6_r10!$A$2:$A$99999,$C$14,ar6_r10!$C$2:$C$99999,I$17,ar6_r10!$M$2:$M$99999,$B14,ar6_r10!$B$2:$B$99999,$A$2)</f>
        <v>1.59</v>
      </c>
      <c r="J14" s="11">
        <f>SUMIFS(ar6_r10!$F$2:$F$99999,ar6_r10!$A$2:$A$99999,$C$14,ar6_r10!$C$2:$C$99999,J$17,ar6_r10!$M$2:$M$99999,$B14,ar6_r10!$B$2:$B$99999,$A$2)</f>
        <v>1.73</v>
      </c>
      <c r="O14" s="8">
        <f>N11</f>
        <v>483.99</v>
      </c>
      <c r="P14" s="8">
        <f t="shared" ref="P14:U14" si="1">$N$11*E14</f>
        <v>508.18950000000001</v>
      </c>
      <c r="Q14" s="8">
        <f t="shared" si="1"/>
        <v>566.26829999999995</v>
      </c>
      <c r="R14" s="8">
        <f t="shared" si="1"/>
        <v>624.34710000000007</v>
      </c>
      <c r="S14" s="8">
        <f t="shared" si="1"/>
        <v>687.26580000000001</v>
      </c>
      <c r="T14" s="8">
        <f t="shared" si="1"/>
        <v>769.54410000000007</v>
      </c>
      <c r="U14" s="8">
        <f t="shared" si="1"/>
        <v>837.30269999999996</v>
      </c>
      <c r="AB14">
        <v>6</v>
      </c>
      <c r="AC14" t="s">
        <v>106</v>
      </c>
      <c r="AD14" t="str">
        <f t="shared" si="0"/>
        <v>ts_072</v>
      </c>
      <c r="AE14" s="10">
        <f>AE9+1</f>
        <v>2</v>
      </c>
    </row>
    <row r="15" spans="1:34" ht="14.65" thickTop="1" x14ac:dyDescent="0.45">
      <c r="B15" t="s">
        <v>112</v>
      </c>
      <c r="D15" s="11">
        <f>SUMIFS(ar6_r10!$F$2:$F$99999,ar6_r10!$A$2:$A$99999,$C$14,ar6_r10!$C$2:$C$99999,D$17,ar6_r10!$M$2:$M$99999,$B15,ar6_r10!$B$2:$B$99999,$A$2)</f>
        <v>1</v>
      </c>
      <c r="E15" s="11">
        <f>SUMIFS(ar6_r10!$F$2:$F$99999,ar6_r10!$A$2:$A$99999,$C$14,ar6_r10!$C$2:$C$99999,E$17,ar6_r10!$M$2:$M$99999,$B15,ar6_r10!$B$2:$B$99999,$A$2)</f>
        <v>0.98</v>
      </c>
      <c r="F15" s="11">
        <f>SUMIFS(ar6_r10!$F$2:$F$99999,ar6_r10!$A$2:$A$99999,$C$14,ar6_r10!$C$2:$C$99999,F$17,ar6_r10!$M$2:$M$99999,$B15,ar6_r10!$B$2:$B$99999,$A$2)</f>
        <v>0.96</v>
      </c>
      <c r="G15" s="11">
        <f>SUMIFS(ar6_r10!$F$2:$F$99999,ar6_r10!$A$2:$A$99999,$C$14,ar6_r10!$C$2:$C$99999,G$17,ar6_r10!$M$2:$M$99999,$B15,ar6_r10!$B$2:$B$99999,$A$2)</f>
        <v>0.92</v>
      </c>
      <c r="H15" s="11">
        <f>SUMIFS(ar6_r10!$F$2:$F$99999,ar6_r10!$A$2:$A$99999,$C$14,ar6_r10!$C$2:$C$99999,H$17,ar6_r10!$M$2:$M$99999,$B15,ar6_r10!$B$2:$B$99999,$A$2)</f>
        <v>0.84</v>
      </c>
      <c r="I15" s="11">
        <f>SUMIFS(ar6_r10!$F$2:$F$99999,ar6_r10!$A$2:$A$99999,$C$14,ar6_r10!$C$2:$C$99999,I$17,ar6_r10!$M$2:$M$99999,$B15,ar6_r10!$B$2:$B$99999,$A$2)</f>
        <v>0.83</v>
      </c>
      <c r="J15" s="11">
        <f>SUMIFS(ar6_r10!$F$2:$F$99999,ar6_r10!$A$2:$A$99999,$C$14,ar6_r10!$C$2:$C$99999,J$17,ar6_r10!$M$2:$M$99999,$B15,ar6_r10!$B$2:$B$99999,$A$2)</f>
        <v>0.8</v>
      </c>
      <c r="AB15">
        <v>7</v>
      </c>
      <c r="AC15" t="s">
        <v>107</v>
      </c>
      <c r="AD15" t="str">
        <f t="shared" si="0"/>
        <v>ts_144</v>
      </c>
      <c r="AE15" s="10">
        <f t="shared" ref="AE15:AE78" si="2">AE10+1</f>
        <v>2</v>
      </c>
    </row>
    <row r="16" spans="1:34" ht="17.649999999999999" customHeight="1" thickBot="1" x14ac:dyDescent="0.6">
      <c r="N16" s="5" t="str">
        <f>"~TFM_INS-TS: region="&amp;$A$1</f>
        <v>~TFM_INS-TS: region=FRA</v>
      </c>
      <c r="AB16">
        <v>8</v>
      </c>
      <c r="AC16" t="s">
        <v>108</v>
      </c>
      <c r="AD16" t="str">
        <f t="shared" si="0"/>
        <v>ts_288</v>
      </c>
      <c r="AE16" s="10">
        <f t="shared" si="2"/>
        <v>2</v>
      </c>
    </row>
    <row r="17" spans="2:31" ht="15" customHeight="1" thickTop="1" thickBot="1" x14ac:dyDescent="0.5">
      <c r="D17" s="7">
        <v>2020</v>
      </c>
      <c r="E17" s="7">
        <f t="shared" ref="E17:J17" si="3">P17</f>
        <v>2025</v>
      </c>
      <c r="F17" s="7">
        <f t="shared" si="3"/>
        <v>2030</v>
      </c>
      <c r="G17" s="7">
        <f t="shared" si="3"/>
        <v>2035</v>
      </c>
      <c r="H17" s="7">
        <f t="shared" si="3"/>
        <v>2040</v>
      </c>
      <c r="I17" s="7">
        <f t="shared" si="3"/>
        <v>2045</v>
      </c>
      <c r="J17" s="7">
        <f t="shared" si="3"/>
        <v>2050</v>
      </c>
      <c r="N17" s="4" t="s">
        <v>12</v>
      </c>
      <c r="O17" s="4">
        <v>2022</v>
      </c>
      <c r="P17" s="4">
        <v>2025</v>
      </c>
      <c r="Q17" s="4">
        <v>2030</v>
      </c>
      <c r="R17" s="4">
        <v>2035</v>
      </c>
      <c r="S17" s="4">
        <v>2040</v>
      </c>
      <c r="T17" s="4">
        <v>2045</v>
      </c>
      <c r="U17" s="4">
        <v>2050</v>
      </c>
      <c r="V17" s="4" t="s">
        <v>13</v>
      </c>
      <c r="AB17">
        <v>9</v>
      </c>
      <c r="AC17" t="s">
        <v>101</v>
      </c>
      <c r="AD17" t="s">
        <v>103</v>
      </c>
      <c r="AE17" s="10">
        <f t="shared" si="2"/>
        <v>2</v>
      </c>
    </row>
    <row r="18" spans="2:31" x14ac:dyDescent="0.45">
      <c r="B18" t="s">
        <v>14</v>
      </c>
      <c r="D18" s="11">
        <f>SUMIFS(ar6_r10!$F$2:$F$99999,ar6_r10!$A$2:$A$99999,$C$14,ar6_r10!$C$2:$C$99999,D$17,ar6_r10!$M$2:$M$99999,$B18,ar6_r10!$B$2:$B$99999,$A$2)</f>
        <v>0</v>
      </c>
      <c r="E18" s="11">
        <f>SUMIFS(ar6_r10!$F$2:$F$99999,ar6_r10!$A$2:$A$99999,$C$14,ar6_r10!$C$2:$C$99999,E$17,ar6_r10!$M$2:$M$99999,$B18,ar6_r10!$B$2:$B$99999,$A$2)</f>
        <v>0</v>
      </c>
      <c r="F18" s="11">
        <f>SUMIFS(ar6_r10!$F$2:$F$99999,ar6_r10!$A$2:$A$99999,$C$14,ar6_r10!$C$2:$C$99999,F$17,ar6_r10!$M$2:$M$99999,$B18,ar6_r10!$B$2:$B$99999,$A$2)</f>
        <v>0</v>
      </c>
      <c r="G18" s="11">
        <f>SUMIFS(ar6_r10!$F$2:$F$99999,ar6_r10!$A$2:$A$99999,$C$14,ar6_r10!$C$2:$C$99999,G$17,ar6_r10!$M$2:$M$99999,$B18,ar6_r10!$B$2:$B$99999,$A$2)</f>
        <v>0</v>
      </c>
      <c r="H18" s="11">
        <f>SUMIFS(ar6_r10!$F$2:$F$99999,ar6_r10!$A$2:$A$99999,$C$14,ar6_r10!$C$2:$C$99999,H$17,ar6_r10!$M$2:$M$99999,$B18,ar6_r10!$B$2:$B$99999,$A$2)</f>
        <v>0</v>
      </c>
      <c r="I18" s="11">
        <f>SUMIFS(ar6_r10!$F$2:$F$99999,ar6_r10!$A$2:$A$99999,$C$14,ar6_r10!$C$2:$C$99999,I$17,ar6_r10!$M$2:$M$99999,$B18,ar6_r10!$B$2:$B$99999,$A$2)</f>
        <v>0</v>
      </c>
      <c r="J18" s="11">
        <f>SUMIFS(ar6_r10!$F$2:$F$99999,ar6_r10!$A$2:$A$99999,$C$14,ar6_r10!$C$2:$C$99999,J$17,ar6_r10!$M$2:$M$99999,$B18,ar6_r10!$B$2:$B$99999,$A$2)</f>
        <v>0</v>
      </c>
      <c r="N18" s="10" t="s">
        <v>15</v>
      </c>
      <c r="O18" s="6">
        <f t="shared" ref="O18:U20" si="4">D18*O$14</f>
        <v>0</v>
      </c>
      <c r="P18" s="6">
        <f t="shared" si="4"/>
        <v>0</v>
      </c>
      <c r="Q18" s="6">
        <f t="shared" si="4"/>
        <v>0</v>
      </c>
      <c r="R18" s="6">
        <f t="shared" si="4"/>
        <v>0</v>
      </c>
      <c r="S18" s="6">
        <f t="shared" si="4"/>
        <v>0</v>
      </c>
      <c r="T18" s="6">
        <f t="shared" si="4"/>
        <v>0</v>
      </c>
      <c r="U18" s="6">
        <f t="shared" si="4"/>
        <v>0</v>
      </c>
      <c r="V18" t="s">
        <v>16</v>
      </c>
      <c r="X18" s="2"/>
      <c r="AB18">
        <v>10</v>
      </c>
      <c r="AC18" t="s">
        <v>104</v>
      </c>
      <c r="AD18" t="s">
        <v>105</v>
      </c>
      <c r="AE18" s="10">
        <f t="shared" si="2"/>
        <v>2</v>
      </c>
    </row>
    <row r="19" spans="2:31" x14ac:dyDescent="0.45">
      <c r="B19" t="s">
        <v>17</v>
      </c>
      <c r="D19" s="11">
        <f>SUMIFS(ar6_r10!$F$2:$F$99999,ar6_r10!$A$2:$A$99999,$C$14,ar6_r10!$C$2:$C$99999,D$17,ar6_r10!$M$2:$M$99999,$B19,ar6_r10!$B$2:$B$99999,$A$2)</f>
        <v>0.37</v>
      </c>
      <c r="E19" s="11">
        <f>SUMIFS(ar6_r10!$F$2:$F$99999,ar6_r10!$A$2:$A$99999,$C$14,ar6_r10!$C$2:$C$99999,E$17,ar6_r10!$M$2:$M$99999,$B19,ar6_r10!$B$2:$B$99999,$A$2)</f>
        <v>0.35</v>
      </c>
      <c r="F19" s="11">
        <f>SUMIFS(ar6_r10!$F$2:$F$99999,ar6_r10!$A$2:$A$99999,$C$14,ar6_r10!$C$2:$C$99999,F$17,ar6_r10!$M$2:$M$99999,$B19,ar6_r10!$B$2:$B$99999,$A$2)</f>
        <v>0.34</v>
      </c>
      <c r="G19" s="11">
        <f>SUMIFS(ar6_r10!$F$2:$F$99999,ar6_r10!$A$2:$A$99999,$C$14,ar6_r10!$C$2:$C$99999,G$17,ar6_r10!$M$2:$M$99999,$B19,ar6_r10!$B$2:$B$99999,$A$2)</f>
        <v>0.33</v>
      </c>
      <c r="H19" s="11">
        <f>SUMIFS(ar6_r10!$F$2:$F$99999,ar6_r10!$A$2:$A$99999,$C$14,ar6_r10!$C$2:$C$99999,H$17,ar6_r10!$M$2:$M$99999,$B19,ar6_r10!$B$2:$B$99999,$A$2)</f>
        <v>0.3</v>
      </c>
      <c r="I19" s="11">
        <f>SUMIFS(ar6_r10!$F$2:$F$99999,ar6_r10!$A$2:$A$99999,$C$14,ar6_r10!$C$2:$C$99999,I$17,ar6_r10!$M$2:$M$99999,$B19,ar6_r10!$B$2:$B$99999,$A$2)</f>
        <v>0.28999999999999998</v>
      </c>
      <c r="J19" s="11">
        <f>SUMIFS(ar6_r10!$F$2:$F$99999,ar6_r10!$A$2:$A$99999,$C$14,ar6_r10!$C$2:$C$99999,J$17,ar6_r10!$M$2:$M$99999,$B19,ar6_r10!$B$2:$B$99999,$A$2)</f>
        <v>0.3</v>
      </c>
      <c r="N19" s="10" t="s">
        <v>18</v>
      </c>
      <c r="O19" s="6">
        <f t="shared" si="4"/>
        <v>179.0763</v>
      </c>
      <c r="P19" s="6">
        <f t="shared" si="4"/>
        <v>177.86632499999999</v>
      </c>
      <c r="Q19" s="6">
        <f t="shared" si="4"/>
        <v>192.53122199999999</v>
      </c>
      <c r="R19" s="6">
        <f t="shared" si="4"/>
        <v>206.03454300000004</v>
      </c>
      <c r="S19" s="6">
        <f t="shared" si="4"/>
        <v>206.17974000000001</v>
      </c>
      <c r="T19" s="6">
        <f t="shared" si="4"/>
        <v>223.167789</v>
      </c>
      <c r="U19" s="6">
        <f t="shared" si="4"/>
        <v>251.19080999999997</v>
      </c>
      <c r="V19" t="s">
        <v>16</v>
      </c>
      <c r="AB19">
        <v>11</v>
      </c>
      <c r="AC19" t="s">
        <v>82</v>
      </c>
      <c r="AD19" t="s">
        <v>87</v>
      </c>
      <c r="AE19" s="10">
        <f t="shared" si="2"/>
        <v>3</v>
      </c>
    </row>
    <row r="20" spans="2:31" x14ac:dyDescent="0.45">
      <c r="B20" t="s">
        <v>20</v>
      </c>
      <c r="D20" s="11">
        <f>SUMIFS(ar6_r10!$F$2:$F$99999,ar6_r10!$A$2:$A$99999,$C$14,ar6_r10!$C$2:$C$99999,D$17,ar6_r10!$M$2:$M$99999,$B20,ar6_r10!$B$2:$B$99999,$A$2)</f>
        <v>0.59</v>
      </c>
      <c r="E20" s="11">
        <f>SUMIFS(ar6_r10!$F$2:$F$99999,ar6_r10!$A$2:$A$99999,$C$14,ar6_r10!$C$2:$C$99999,E$17,ar6_r10!$M$2:$M$99999,$B20,ar6_r10!$B$2:$B$99999,$A$2)</f>
        <v>0.59</v>
      </c>
      <c r="F20" s="11">
        <f>SUMIFS(ar6_r10!$F$2:$F$99999,ar6_r10!$A$2:$A$99999,$C$14,ar6_r10!$C$2:$C$99999,F$17,ar6_r10!$M$2:$M$99999,$B20,ar6_r10!$B$2:$B$99999,$A$2)</f>
        <v>0.59</v>
      </c>
      <c r="G20" s="11">
        <f>SUMIFS(ar6_r10!$F$2:$F$99999,ar6_r10!$A$2:$A$99999,$C$14,ar6_r10!$C$2:$C$99999,G$17,ar6_r10!$M$2:$M$99999,$B20,ar6_r10!$B$2:$B$99999,$A$2)</f>
        <v>0.57999999999999996</v>
      </c>
      <c r="H20" s="11">
        <f>SUMIFS(ar6_r10!$F$2:$F$99999,ar6_r10!$A$2:$A$99999,$C$14,ar6_r10!$C$2:$C$99999,H$17,ar6_r10!$M$2:$M$99999,$B20,ar6_r10!$B$2:$B$99999,$A$2)</f>
        <v>0.57999999999999996</v>
      </c>
      <c r="I20" s="11">
        <f>SUMIFS(ar6_r10!$F$2:$F$99999,ar6_r10!$A$2:$A$99999,$C$14,ar6_r10!$C$2:$C$99999,I$17,ar6_r10!$M$2:$M$99999,$B20,ar6_r10!$B$2:$B$99999,$A$2)</f>
        <v>0.56000000000000005</v>
      </c>
      <c r="J20" s="11">
        <f>SUMIFS(ar6_r10!$F$2:$F$99999,ar6_r10!$A$2:$A$99999,$C$14,ar6_r10!$C$2:$C$99999,J$17,ar6_r10!$M$2:$M$99999,$B20,ar6_r10!$B$2:$B$99999,$A$2)</f>
        <v>0.54</v>
      </c>
      <c r="N20" s="10" t="s">
        <v>21</v>
      </c>
      <c r="O20" s="6">
        <f t="shared" si="4"/>
        <v>285.55410000000001</v>
      </c>
      <c r="P20" s="6">
        <f t="shared" si="4"/>
        <v>299.83180499999997</v>
      </c>
      <c r="Q20" s="6">
        <f t="shared" si="4"/>
        <v>334.09829699999995</v>
      </c>
      <c r="R20" s="6">
        <f t="shared" si="4"/>
        <v>362.12131800000003</v>
      </c>
      <c r="S20" s="6">
        <f t="shared" si="4"/>
        <v>398.61416399999996</v>
      </c>
      <c r="T20" s="6">
        <f t="shared" si="4"/>
        <v>430.94469600000008</v>
      </c>
      <c r="U20" s="6">
        <f t="shared" si="4"/>
        <v>452.14345800000001</v>
      </c>
      <c r="V20" t="s">
        <v>16</v>
      </c>
      <c r="AB20">
        <v>12</v>
      </c>
      <c r="AC20" t="s">
        <v>83</v>
      </c>
      <c r="AD20" t="s">
        <v>92</v>
      </c>
      <c r="AE20" s="10">
        <f t="shared" si="2"/>
        <v>3</v>
      </c>
    </row>
    <row r="21" spans="2:31" x14ac:dyDescent="0.45">
      <c r="B21" t="s">
        <v>22</v>
      </c>
      <c r="D21" s="11">
        <f>SUMIFS(ar6_r10!$F$2:$F$99999,ar6_r10!$A$2:$A$99999,$C$14,ar6_r10!$C$2:$C$99999,D$17,ar6_r10!$M$2:$M$99999,$B21,ar6_r10!$B$2:$B$99999,$A$2)</f>
        <v>0.03</v>
      </c>
      <c r="E21" s="11">
        <f>SUMIFS(ar6_r10!$F$2:$F$99999,ar6_r10!$A$2:$A$99999,$C$14,ar6_r10!$C$2:$C$99999,E$17,ar6_r10!$M$2:$M$99999,$B21,ar6_r10!$B$2:$B$99999,$A$2)</f>
        <v>0.05</v>
      </c>
      <c r="F21" s="11">
        <f>SUMIFS(ar6_r10!$F$2:$F$99999,ar6_r10!$A$2:$A$99999,$C$14,ar6_r10!$C$2:$C$99999,F$17,ar6_r10!$M$2:$M$99999,$B21,ar6_r10!$B$2:$B$99999,$A$2)</f>
        <v>0.04</v>
      </c>
      <c r="G21" s="11">
        <f>SUMIFS(ar6_r10!$F$2:$F$99999,ar6_r10!$A$2:$A$99999,$C$14,ar6_r10!$C$2:$C$99999,G$17,ar6_r10!$M$2:$M$99999,$B21,ar6_r10!$B$2:$B$99999,$A$2)</f>
        <v>0.06</v>
      </c>
      <c r="H21" s="11">
        <f>SUMIFS(ar6_r10!$F$2:$F$99999,ar6_r10!$A$2:$A$99999,$C$14,ar6_r10!$C$2:$C$99999,H$17,ar6_r10!$M$2:$M$99999,$B21,ar6_r10!$B$2:$B$99999,$A$2)</f>
        <v>7.0000000000000007E-2</v>
      </c>
      <c r="I21" s="11">
        <f>SUMIFS(ar6_r10!$F$2:$F$99999,ar6_r10!$A$2:$A$99999,$C$14,ar6_r10!$C$2:$C$99999,I$17,ar6_r10!$M$2:$M$99999,$B21,ar6_r10!$B$2:$B$99999,$A$2)</f>
        <v>0.08</v>
      </c>
      <c r="J21" s="11">
        <f>SUMIFS(ar6_r10!$F$2:$F$99999,ar6_r10!$A$2:$A$99999,$C$14,ar6_r10!$C$2:$C$99999,J$17,ar6_r10!$M$2:$M$99999,$B21,ar6_r10!$B$2:$B$99999,$A$2)</f>
        <v>0.08</v>
      </c>
      <c r="N21" s="10" t="s">
        <v>23</v>
      </c>
      <c r="O21" s="6">
        <f>D21*O$14</f>
        <v>14.5197</v>
      </c>
      <c r="P21" s="6">
        <f t="shared" ref="P21:U21" si="5">O21</f>
        <v>14.5197</v>
      </c>
      <c r="Q21" s="6">
        <f t="shared" si="5"/>
        <v>14.5197</v>
      </c>
      <c r="R21" s="6">
        <f t="shared" si="5"/>
        <v>14.5197</v>
      </c>
      <c r="S21" s="6">
        <f t="shared" si="5"/>
        <v>14.5197</v>
      </c>
      <c r="T21" s="6">
        <f t="shared" si="5"/>
        <v>14.5197</v>
      </c>
      <c r="U21" s="6">
        <f t="shared" si="5"/>
        <v>14.5197</v>
      </c>
      <c r="V21" t="s">
        <v>16</v>
      </c>
      <c r="X21" s="2" t="s">
        <v>19</v>
      </c>
      <c r="AE21" s="10">
        <f t="shared" si="2"/>
        <v>3</v>
      </c>
    </row>
    <row r="22" spans="2:31" x14ac:dyDescent="0.45">
      <c r="N22" s="10" t="s">
        <v>24</v>
      </c>
      <c r="O22" s="6">
        <f t="shared" ref="O22:U22" si="6">O14-SUM(O19:O21)</f>
        <v>4.8399000000000001</v>
      </c>
      <c r="P22" s="6">
        <f t="shared" si="6"/>
        <v>15.971670000000017</v>
      </c>
      <c r="Q22" s="6">
        <f t="shared" si="6"/>
        <v>25.119081000000051</v>
      </c>
      <c r="R22" s="6">
        <f t="shared" si="6"/>
        <v>41.671539000000053</v>
      </c>
      <c r="S22" s="6">
        <f t="shared" si="6"/>
        <v>67.952196000000072</v>
      </c>
      <c r="T22" s="6">
        <f t="shared" si="6"/>
        <v>100.91191499999991</v>
      </c>
      <c r="U22" s="6">
        <f t="shared" si="6"/>
        <v>119.44873200000006</v>
      </c>
      <c r="V22" t="s">
        <v>16</v>
      </c>
      <c r="AE22" s="10">
        <f t="shared" si="2"/>
        <v>3</v>
      </c>
    </row>
    <row r="23" spans="2:31" x14ac:dyDescent="0.45">
      <c r="N23" s="18" t="s">
        <v>116</v>
      </c>
      <c r="O23" s="19">
        <f>N12</f>
        <v>30.378</v>
      </c>
      <c r="P23" s="20">
        <f>$N$12*E15</f>
        <v>29.770440000000001</v>
      </c>
      <c r="Q23" s="20">
        <f>$N$12*F15</f>
        <v>29.162879999999998</v>
      </c>
      <c r="R23" s="20">
        <f t="shared" ref="R23:U23" si="7">$N$12*G15</f>
        <v>27.947760000000002</v>
      </c>
      <c r="S23" s="20">
        <f t="shared" si="7"/>
        <v>25.517519999999998</v>
      </c>
      <c r="T23" s="20">
        <f t="shared" si="7"/>
        <v>25.213739999999998</v>
      </c>
      <c r="U23" s="20">
        <f t="shared" si="7"/>
        <v>24.302400000000002</v>
      </c>
      <c r="V23" s="18" t="s">
        <v>16</v>
      </c>
      <c r="AE23" s="10">
        <f t="shared" si="2"/>
        <v>3</v>
      </c>
    </row>
    <row r="24" spans="2:31" ht="14.65" customHeight="1" thickBot="1" x14ac:dyDescent="0.5">
      <c r="B24" s="10" t="s">
        <v>25</v>
      </c>
      <c r="C24" s="3" t="str">
        <f>VLOOKUP(controller!E5,$F$3:$G$6,2,FALSE)</f>
        <v>C3</v>
      </c>
      <c r="D24" s="8">
        <v>0</v>
      </c>
      <c r="E24" s="8">
        <v>0</v>
      </c>
      <c r="F24" s="8">
        <f>SUMIFS(ar6_r10!$F$2:$F$99999,ar6_r10!$A$2:$A$99999,$C$24,ar6_r10!$C$2:$C$99999,F$17,ar6_r10!$M$2:$M$99999,$B24,ar6_r10!$B$2:$B$99999,$A$2)</f>
        <v>71.48</v>
      </c>
      <c r="G24" s="8">
        <f>SUMIFS(ar6_r10!$F$2:$F$99999,ar6_r10!$A$2:$A$99999,$C$24,ar6_r10!$C$2:$C$99999,G$17,ar6_r10!$M$2:$M$99999,$B24,ar6_r10!$B$2:$B$99999,$A$2)</f>
        <v>104.42</v>
      </c>
      <c r="H24" s="8">
        <f>SUMIFS(ar6_r10!$F$2:$F$99999,ar6_r10!$A$2:$A$99999,$C$24,ar6_r10!$C$2:$C$99999,H$17,ar6_r10!$M$2:$M$99999,$B24,ar6_r10!$B$2:$B$99999,$A$2)</f>
        <v>134.85</v>
      </c>
      <c r="I24" s="8">
        <f>SUMIFS(ar6_r10!$F$2:$F$99999,ar6_r10!$A$2:$A$99999,$C$24,ar6_r10!$C$2:$C$99999,I$17,ar6_r10!$M$2:$M$99999,$B24,ar6_r10!$B$2:$B$99999,$A$2)</f>
        <v>178.1</v>
      </c>
      <c r="J24" s="8">
        <f>SUMIFS(ar6_r10!$F$2:$F$99999,ar6_r10!$A$2:$A$99999,$C$24,ar6_r10!$C$2:$C$99999,J$17,ar6_r10!$M$2:$M$99999,$B24,ar6_r10!$B$2:$B$99999,$A$2)</f>
        <v>209.45</v>
      </c>
      <c r="N24" s="21" t="s">
        <v>26</v>
      </c>
      <c r="O24" s="22"/>
      <c r="P24" s="22">
        <v>0</v>
      </c>
      <c r="Q24" s="23">
        <f>F24/1000</f>
        <v>7.1480000000000002E-2</v>
      </c>
      <c r="R24" s="23">
        <f>G24/1000</f>
        <v>0.10442</v>
      </c>
      <c r="S24" s="23">
        <f>H24/1000</f>
        <v>0.13485</v>
      </c>
      <c r="T24" s="23">
        <f>I24/1000</f>
        <v>0.17809999999999998</v>
      </c>
      <c r="U24" s="23">
        <f>J24/1000</f>
        <v>0.20945</v>
      </c>
      <c r="V24" s="24" t="s">
        <v>27</v>
      </c>
      <c r="AE24" s="10">
        <f t="shared" si="2"/>
        <v>4</v>
      </c>
    </row>
    <row r="25" spans="2:31" ht="14.65" customHeight="1" thickTop="1" x14ac:dyDescent="0.45">
      <c r="AE25" s="10">
        <f t="shared" si="2"/>
        <v>4</v>
      </c>
    </row>
    <row r="26" spans="2:31" ht="17.649999999999999" customHeight="1" thickBot="1" x14ac:dyDescent="0.6">
      <c r="N26" s="5" t="str">
        <f>"~TFM_INS-TS: region="&amp;$A$1</f>
        <v>~TFM_INS-TS: region=FRA</v>
      </c>
      <c r="AE26" s="10">
        <f t="shared" si="2"/>
        <v>4</v>
      </c>
    </row>
    <row r="27" spans="2:31" ht="15" customHeight="1" thickTop="1" thickBot="1" x14ac:dyDescent="0.5">
      <c r="N27" s="4" t="s">
        <v>28</v>
      </c>
      <c r="O27" s="4">
        <f t="shared" ref="O27:U27" si="8">O17</f>
        <v>2022</v>
      </c>
      <c r="P27" s="4">
        <f t="shared" si="8"/>
        <v>2025</v>
      </c>
      <c r="Q27" s="4">
        <f t="shared" si="8"/>
        <v>2030</v>
      </c>
      <c r="R27" s="4">
        <f t="shared" si="8"/>
        <v>2035</v>
      </c>
      <c r="S27" s="4">
        <f t="shared" si="8"/>
        <v>2040</v>
      </c>
      <c r="T27" s="4">
        <f t="shared" si="8"/>
        <v>2045</v>
      </c>
      <c r="U27" s="4">
        <f t="shared" si="8"/>
        <v>2050</v>
      </c>
      <c r="V27" s="4" t="s">
        <v>13</v>
      </c>
      <c r="W27" s="4" t="s">
        <v>29</v>
      </c>
      <c r="AE27" s="10">
        <f t="shared" si="2"/>
        <v>4</v>
      </c>
    </row>
    <row r="28" spans="2:31" ht="14.65" customHeight="1" thickBot="1" x14ac:dyDescent="0.5">
      <c r="L28" s="3">
        <f>SUMIFS(iea_data!G3:G9999,iea_data!$B$3:$B$9999,$N$10,iea_data!$A$3:A$9999,$A$1)</f>
        <v>52.44</v>
      </c>
      <c r="N28" t="s">
        <v>30</v>
      </c>
      <c r="O28" s="3">
        <f>L28</f>
        <v>52.44</v>
      </c>
      <c r="Q28" s="6"/>
      <c r="R28" s="6"/>
      <c r="S28" s="6"/>
      <c r="T28" s="6"/>
      <c r="U28" s="6"/>
      <c r="V28" t="s">
        <v>31</v>
      </c>
      <c r="W28" t="s">
        <v>32</v>
      </c>
      <c r="AE28" s="10">
        <f t="shared" si="2"/>
        <v>4</v>
      </c>
    </row>
    <row r="29" spans="2:31" ht="15" customHeight="1" thickTop="1" thickBot="1" x14ac:dyDescent="0.5">
      <c r="L29" s="3">
        <f>SUMIFS(iea_data!H3:H9999,iea_data!$B$3:$B$9999,$N$10,iea_data!$A$3:A$9999,$A$1)</f>
        <v>-37.49</v>
      </c>
      <c r="N29" t="s">
        <v>33</v>
      </c>
      <c r="O29" s="3">
        <f>-1*L29</f>
        <v>37.49</v>
      </c>
      <c r="Q29" s="6"/>
      <c r="R29" s="6"/>
      <c r="S29" s="6"/>
      <c r="T29" s="6"/>
      <c r="U29" s="6"/>
      <c r="V29" t="s">
        <v>31</v>
      </c>
      <c r="W29" t="s">
        <v>32</v>
      </c>
      <c r="AE29" s="10">
        <f t="shared" si="2"/>
        <v>5</v>
      </c>
    </row>
    <row r="30" spans="2:31" ht="14.65" customHeight="1" thickTop="1" x14ac:dyDescent="0.45">
      <c r="AE30" s="10">
        <f t="shared" si="2"/>
        <v>5</v>
      </c>
    </row>
    <row r="31" spans="2:31" x14ac:dyDescent="0.45">
      <c r="AE31" s="10">
        <f t="shared" si="2"/>
        <v>5</v>
      </c>
    </row>
    <row r="32" spans="2:31" x14ac:dyDescent="0.45">
      <c r="AE32" s="10">
        <f t="shared" si="2"/>
        <v>5</v>
      </c>
    </row>
    <row r="33" spans="2:31" x14ac:dyDescent="0.45">
      <c r="AE33" s="10">
        <f t="shared" si="2"/>
        <v>5</v>
      </c>
    </row>
    <row r="34" spans="2:31" x14ac:dyDescent="0.45">
      <c r="AE34" s="10">
        <f t="shared" si="2"/>
        <v>6</v>
      </c>
    </row>
    <row r="35" spans="2:31" x14ac:dyDescent="0.45">
      <c r="AE35" s="10">
        <f t="shared" si="2"/>
        <v>6</v>
      </c>
    </row>
    <row r="36" spans="2:31" x14ac:dyDescent="0.45">
      <c r="B36" s="2" t="s">
        <v>9</v>
      </c>
      <c r="AE36" s="10">
        <f t="shared" si="2"/>
        <v>6</v>
      </c>
    </row>
    <row r="37" spans="2:31" x14ac:dyDescent="0.45">
      <c r="B37" t="s">
        <v>72</v>
      </c>
      <c r="D37" s="11">
        <f>SUMIFS(ar6_r10!$F$2:$F$99999,ar6_r10!$A$2:$A$99999,$B$36,ar6_r10!$C$2:$C$99999,D$17,ar6_r10!$M$2:$M$99999,$B37,ar6_r10!$B$2:$B$99999,$A$2)</f>
        <v>1</v>
      </c>
      <c r="E37" s="11">
        <f>SUMIFS(ar6_r10!$F$2:$F$99999,ar6_r10!$A$2:$A$99999,$B$36,ar6_r10!$C$2:$C$99999,E$17,ar6_r10!$M$2:$M$99999,$B37,ar6_r10!$B$2:$B$99999,$A$2)</f>
        <v>1.07</v>
      </c>
      <c r="F37" s="11">
        <f>SUMIFS(ar6_r10!$F$2:$F$99999,ar6_r10!$A$2:$A$99999,$B$36,ar6_r10!$C$2:$C$99999,F$17,ar6_r10!$M$2:$M$99999,$B37,ar6_r10!$B$2:$B$99999,$A$2)</f>
        <v>1.24</v>
      </c>
      <c r="G37" s="11">
        <f>SUMIFS(ar6_r10!$F$2:$F$99999,ar6_r10!$A$2:$A$99999,$B$36,ar6_r10!$C$2:$C$99999,G$17,ar6_r10!$M$2:$M$99999,$B37,ar6_r10!$B$2:$B$99999,$A$2)</f>
        <v>1.1499999999999999</v>
      </c>
      <c r="H37" s="11">
        <f>SUMIFS(ar6_r10!$F$2:$F$99999,ar6_r10!$A$2:$A$99999,$B$36,ar6_r10!$C$2:$C$99999,H$17,ar6_r10!$M$2:$M$99999,$B37,ar6_r10!$B$2:$B$99999,$A$2)</f>
        <v>1.25</v>
      </c>
      <c r="I37" s="11">
        <f>SUMIFS(ar6_r10!$F$2:$F$99999,ar6_r10!$A$2:$A$99999,$B$36,ar6_r10!$C$2:$C$99999,I$17,ar6_r10!$M$2:$M$99999,$B37,ar6_r10!$B$2:$B$99999,$A$2)</f>
        <v>1.17</v>
      </c>
      <c r="J37" s="11">
        <f>SUMIFS(ar6_r10!$F$2:$F$99999,ar6_r10!$A$2:$A$99999,$B$36,ar6_r10!$C$2:$C$99999,J$17,ar6_r10!$M$2:$M$99999,$B37,ar6_r10!$B$2:$B$99999,$A$2)</f>
        <v>1.34</v>
      </c>
      <c r="AE37" s="10">
        <f t="shared" si="2"/>
        <v>6</v>
      </c>
    </row>
    <row r="38" spans="2:31" x14ac:dyDescent="0.45">
      <c r="B38" t="s">
        <v>73</v>
      </c>
      <c r="D38" s="11">
        <f>SUMIFS(ar6_r10!$F$2:$F$99999,ar6_r10!$A$2:$A$99999,$B$36,ar6_r10!$C$2:$C$99999,D$17,ar6_r10!$M$2:$M$99999,$B38,ar6_r10!$B$2:$B$99999,$A$2)</f>
        <v>1</v>
      </c>
      <c r="E38" s="11">
        <f>SUMIFS(ar6_r10!$F$2:$F$99999,ar6_r10!$A$2:$A$99999,$B$36,ar6_r10!$C$2:$C$99999,E$17,ar6_r10!$M$2:$M$99999,$B38,ar6_r10!$B$2:$B$99999,$A$2)</f>
        <v>1.02</v>
      </c>
      <c r="F38" s="11">
        <f>SUMIFS(ar6_r10!$F$2:$F$99999,ar6_r10!$A$2:$A$99999,$B$36,ar6_r10!$C$2:$C$99999,F$17,ar6_r10!$M$2:$M$99999,$B38,ar6_r10!$B$2:$B$99999,$A$2)</f>
        <v>1.06</v>
      </c>
      <c r="G38" s="11">
        <f>SUMIFS(ar6_r10!$F$2:$F$99999,ar6_r10!$A$2:$A$99999,$B$36,ar6_r10!$C$2:$C$99999,G$17,ar6_r10!$M$2:$M$99999,$B38,ar6_r10!$B$2:$B$99999,$A$2)</f>
        <v>1.07</v>
      </c>
      <c r="H38" s="11">
        <f>SUMIFS(ar6_r10!$F$2:$F$99999,ar6_r10!$A$2:$A$99999,$B$36,ar6_r10!$C$2:$C$99999,H$17,ar6_r10!$M$2:$M$99999,$B38,ar6_r10!$B$2:$B$99999,$A$2)</f>
        <v>1.08</v>
      </c>
      <c r="I38" s="11">
        <f>SUMIFS(ar6_r10!$F$2:$F$99999,ar6_r10!$A$2:$A$99999,$B$36,ar6_r10!$C$2:$C$99999,I$17,ar6_r10!$M$2:$M$99999,$B38,ar6_r10!$B$2:$B$99999,$A$2)</f>
        <v>1.1000000000000001</v>
      </c>
      <c r="J38" s="11">
        <f>SUMIFS(ar6_r10!$F$2:$F$99999,ar6_r10!$A$2:$A$99999,$B$36,ar6_r10!$C$2:$C$99999,J$17,ar6_r10!$M$2:$M$99999,$B38,ar6_r10!$B$2:$B$99999,$A$2)</f>
        <v>1.1200000000000001</v>
      </c>
      <c r="AE38" s="10">
        <f t="shared" si="2"/>
        <v>6</v>
      </c>
    </row>
    <row r="39" spans="2:31" x14ac:dyDescent="0.45">
      <c r="B39" t="s">
        <v>74</v>
      </c>
      <c r="D39" s="11">
        <f>SUMIFS(ar6_r10!$F$2:$F$99999,ar6_r10!$A$2:$A$99999,$B$36,ar6_r10!$C$2:$C$99999,D$17,ar6_r10!$M$2:$M$99999,$B39,ar6_r10!$B$2:$B$99999,$A$2)</f>
        <v>1</v>
      </c>
      <c r="E39" s="11">
        <f>SUMIFS(ar6_r10!$F$2:$F$99999,ar6_r10!$A$2:$A$99999,$B$36,ar6_r10!$C$2:$C$99999,E$17,ar6_r10!$M$2:$M$99999,$B39,ar6_r10!$B$2:$B$99999,$A$2)</f>
        <v>1.01</v>
      </c>
      <c r="F39" s="11">
        <f>SUMIFS(ar6_r10!$F$2:$F$99999,ar6_r10!$A$2:$A$99999,$B$36,ar6_r10!$C$2:$C$99999,F$17,ar6_r10!$M$2:$M$99999,$B39,ar6_r10!$B$2:$B$99999,$A$2)</f>
        <v>1.1100000000000001</v>
      </c>
      <c r="G39" s="11">
        <f>SUMIFS(ar6_r10!$F$2:$F$99999,ar6_r10!$A$2:$A$99999,$B$36,ar6_r10!$C$2:$C$99999,G$17,ar6_r10!$M$2:$M$99999,$B39,ar6_r10!$B$2:$B$99999,$A$2)</f>
        <v>1.01</v>
      </c>
      <c r="H39" s="11">
        <f>SUMIFS(ar6_r10!$F$2:$F$99999,ar6_r10!$A$2:$A$99999,$B$36,ar6_r10!$C$2:$C$99999,H$17,ar6_r10!$M$2:$M$99999,$B39,ar6_r10!$B$2:$B$99999,$A$2)</f>
        <v>1.01</v>
      </c>
      <c r="I39" s="11">
        <f>SUMIFS(ar6_r10!$F$2:$F$99999,ar6_r10!$A$2:$A$99999,$B$36,ar6_r10!$C$2:$C$99999,I$17,ar6_r10!$M$2:$M$99999,$B39,ar6_r10!$B$2:$B$99999,$A$2)</f>
        <v>1.04</v>
      </c>
      <c r="J39" s="11">
        <f>SUMIFS(ar6_r10!$F$2:$F$99999,ar6_r10!$A$2:$A$99999,$B$36,ar6_r10!$C$2:$C$99999,J$17,ar6_r10!$M$2:$M$99999,$B39,ar6_r10!$B$2:$B$99999,$A$2)</f>
        <v>1.1399999999999999</v>
      </c>
      <c r="AE39" s="10">
        <f t="shared" si="2"/>
        <v>7</v>
      </c>
    </row>
    <row r="40" spans="2:31" x14ac:dyDescent="0.45">
      <c r="B40" t="s">
        <v>75</v>
      </c>
      <c r="D40" s="11">
        <f>SUMIFS(ar6_r10!$F$2:$F$99999,ar6_r10!$A$2:$A$99999,$B$36,ar6_r10!$C$2:$C$99999,D$17,ar6_r10!$M$2:$M$99999,$B40,ar6_r10!$B$2:$B$99999,$A$2)</f>
        <v>1</v>
      </c>
      <c r="E40" s="11">
        <f>SUMIFS(ar6_r10!$F$2:$F$99999,ar6_r10!$A$2:$A$99999,$B$36,ar6_r10!$C$2:$C$99999,E$17,ar6_r10!$M$2:$M$99999,$B40,ar6_r10!$B$2:$B$99999,$A$2)</f>
        <v>0.96</v>
      </c>
      <c r="F40" s="11">
        <f>SUMIFS(ar6_r10!$F$2:$F$99999,ar6_r10!$A$2:$A$99999,$B$36,ar6_r10!$C$2:$C$99999,F$17,ar6_r10!$M$2:$M$99999,$B40,ar6_r10!$B$2:$B$99999,$A$2)</f>
        <v>1.04</v>
      </c>
      <c r="G40" s="11">
        <f>SUMIFS(ar6_r10!$F$2:$F$99999,ar6_r10!$A$2:$A$99999,$B$36,ar6_r10!$C$2:$C$99999,G$17,ar6_r10!$M$2:$M$99999,$B40,ar6_r10!$B$2:$B$99999,$A$2)</f>
        <v>1.04</v>
      </c>
      <c r="H40" s="11">
        <f>SUMIFS(ar6_r10!$F$2:$F$99999,ar6_r10!$A$2:$A$99999,$B$36,ar6_r10!$C$2:$C$99999,H$17,ar6_r10!$M$2:$M$99999,$B40,ar6_r10!$B$2:$B$99999,$A$2)</f>
        <v>0.98</v>
      </c>
      <c r="I40" s="11">
        <f>SUMIFS(ar6_r10!$F$2:$F$99999,ar6_r10!$A$2:$A$99999,$B$36,ar6_r10!$C$2:$C$99999,I$17,ar6_r10!$M$2:$M$99999,$B40,ar6_r10!$B$2:$B$99999,$A$2)</f>
        <v>0.99</v>
      </c>
      <c r="J40" s="11">
        <f>SUMIFS(ar6_r10!$F$2:$F$99999,ar6_r10!$A$2:$A$99999,$B$36,ar6_r10!$C$2:$C$99999,J$17,ar6_r10!$M$2:$M$99999,$B40,ar6_r10!$B$2:$B$99999,$A$2)</f>
        <v>1</v>
      </c>
      <c r="AE40" s="10">
        <f t="shared" si="2"/>
        <v>7</v>
      </c>
    </row>
    <row r="41" spans="2:31" x14ac:dyDescent="0.45">
      <c r="AE41" s="10">
        <f t="shared" si="2"/>
        <v>7</v>
      </c>
    </row>
    <row r="42" spans="2:31" x14ac:dyDescent="0.45">
      <c r="AE42" s="10">
        <f t="shared" si="2"/>
        <v>7</v>
      </c>
    </row>
    <row r="43" spans="2:31" ht="17.649999999999999" thickBot="1" x14ac:dyDescent="0.6">
      <c r="B43" s="5" t="str">
        <f>"~TFM_INS-TS: region="&amp;$A$1&amp;"; attribute=flo_cost;pset_pn=-IMP*Z"</f>
        <v>~TFM_INS-TS: region=FRA; attribute=flo_cost;pset_pn=-IMP*Z</v>
      </c>
      <c r="AE43" s="10">
        <f t="shared" si="2"/>
        <v>7</v>
      </c>
    </row>
    <row r="44" spans="2:31" ht="14.65" thickTop="1" x14ac:dyDescent="0.45">
      <c r="B44" t="s">
        <v>12</v>
      </c>
      <c r="C44" t="s">
        <v>85</v>
      </c>
      <c r="D44">
        <v>2022</v>
      </c>
      <c r="E44">
        <f>E17</f>
        <v>2025</v>
      </c>
      <c r="F44">
        <f t="shared" ref="F44:J44" si="9">F17</f>
        <v>2030</v>
      </c>
      <c r="G44">
        <f t="shared" si="9"/>
        <v>2035</v>
      </c>
      <c r="H44">
        <f t="shared" si="9"/>
        <v>2040</v>
      </c>
      <c r="I44">
        <f t="shared" si="9"/>
        <v>2045</v>
      </c>
      <c r="J44">
        <f t="shared" si="9"/>
        <v>2050</v>
      </c>
      <c r="M44" t="s">
        <v>80</v>
      </c>
      <c r="N44" t="s">
        <v>81</v>
      </c>
      <c r="AE44" s="10">
        <f t="shared" si="2"/>
        <v>8</v>
      </c>
    </row>
    <row r="45" spans="2:31" x14ac:dyDescent="0.45">
      <c r="B45" t="s">
        <v>76</v>
      </c>
      <c r="C45" t="str">
        <f>B45</f>
        <v>Gas</v>
      </c>
      <c r="D45">
        <f t="shared" ref="D45:J48" si="10">AVERAGE($M45:$N45)*D37</f>
        <v>35.1</v>
      </c>
      <c r="E45">
        <f t="shared" si="10"/>
        <v>37.557000000000002</v>
      </c>
      <c r="F45">
        <f t="shared" si="10"/>
        <v>43.524000000000001</v>
      </c>
      <c r="G45">
        <f t="shared" si="10"/>
        <v>40.365000000000002</v>
      </c>
      <c r="H45">
        <f t="shared" si="10"/>
        <v>43.875</v>
      </c>
      <c r="I45">
        <f t="shared" si="10"/>
        <v>41.067</v>
      </c>
      <c r="J45">
        <f t="shared" si="10"/>
        <v>47.034000000000006</v>
      </c>
      <c r="M45">
        <f>HLOOKUP($B45&amp;"_"&amp;M$44,fuel_prices!$B$10:$I$100,MATCH($A$1,fuel_prices!$A$10:$A$100,0),FALSE)</f>
        <v>29.1</v>
      </c>
      <c r="N45">
        <f>HLOOKUP($B45&amp;"_"&amp;N$44,fuel_prices!$B$10:$I$100,MATCH($A$1,fuel_prices!$A$10:$A$100,0),FALSE)</f>
        <v>41.1</v>
      </c>
      <c r="AE45" s="10">
        <f t="shared" si="2"/>
        <v>8</v>
      </c>
    </row>
    <row r="46" spans="2:31" x14ac:dyDescent="0.45">
      <c r="B46" t="s">
        <v>77</v>
      </c>
      <c r="C46" t="str">
        <f t="shared" ref="C46:C48" si="11">B46</f>
        <v>Coal</v>
      </c>
      <c r="D46">
        <f t="shared" si="10"/>
        <v>15.2</v>
      </c>
      <c r="E46">
        <f t="shared" si="10"/>
        <v>15.504</v>
      </c>
      <c r="F46">
        <f t="shared" si="10"/>
        <v>16.111999999999998</v>
      </c>
      <c r="G46">
        <f t="shared" si="10"/>
        <v>16.263999999999999</v>
      </c>
      <c r="H46">
        <f t="shared" si="10"/>
        <v>16.416</v>
      </c>
      <c r="I46">
        <f t="shared" si="10"/>
        <v>16.72</v>
      </c>
      <c r="J46">
        <f t="shared" si="10"/>
        <v>17.024000000000001</v>
      </c>
      <c r="M46">
        <f>HLOOKUP($B46&amp;"_"&amp;M$44,fuel_prices!$B$10:$I$100,MATCH($A$1,fuel_prices!$A$10:$A$100,0),FALSE)</f>
        <v>13.7</v>
      </c>
      <c r="N46">
        <f>HLOOKUP($B46&amp;"_"&amp;N$44,fuel_prices!$B$10:$I$100,MATCH($A$1,fuel_prices!$A$10:$A$100,0),FALSE)</f>
        <v>16.7</v>
      </c>
      <c r="AE46" s="10">
        <f t="shared" si="2"/>
        <v>8</v>
      </c>
    </row>
    <row r="47" spans="2:31" x14ac:dyDescent="0.45">
      <c r="B47" t="s">
        <v>78</v>
      </c>
      <c r="C47" t="str">
        <f t="shared" si="11"/>
        <v>Oil</v>
      </c>
      <c r="D47">
        <f t="shared" si="10"/>
        <v>53</v>
      </c>
      <c r="E47">
        <f t="shared" si="10"/>
        <v>53.53</v>
      </c>
      <c r="F47">
        <f t="shared" si="10"/>
        <v>58.830000000000005</v>
      </c>
      <c r="G47">
        <f t="shared" si="10"/>
        <v>53.53</v>
      </c>
      <c r="H47">
        <f t="shared" si="10"/>
        <v>53.53</v>
      </c>
      <c r="I47">
        <f t="shared" si="10"/>
        <v>55.120000000000005</v>
      </c>
      <c r="J47">
        <f t="shared" si="10"/>
        <v>60.419999999999995</v>
      </c>
      <c r="M47">
        <f>HLOOKUP($B47&amp;"_"&amp;M$44,fuel_prices!$B$10:$I$100,MATCH($A$1,fuel_prices!$A$10:$A$100,0),FALSE)</f>
        <v>48</v>
      </c>
      <c r="N47">
        <f>HLOOKUP($B47&amp;"_"&amp;N$44,fuel_prices!$B$10:$I$100,MATCH($A$1,fuel_prices!$A$10:$A$100,0),FALSE)</f>
        <v>58</v>
      </c>
      <c r="AE47" s="10">
        <f t="shared" si="2"/>
        <v>8</v>
      </c>
    </row>
    <row r="48" spans="2:31" x14ac:dyDescent="0.45">
      <c r="B48" t="s">
        <v>79</v>
      </c>
      <c r="C48" t="str">
        <f t="shared" si="11"/>
        <v>Bioenergy</v>
      </c>
      <c r="D48">
        <f t="shared" si="10"/>
        <v>28</v>
      </c>
      <c r="J48">
        <f>VLOOKUP($C$14,$AF$9:$AH$15,3,FALSE)*D48</f>
        <v>84</v>
      </c>
      <c r="M48">
        <f>HLOOKUP($B48&amp;"_"&amp;M$44,fuel_prices!$B$10:$I$100,MATCH($A$1,fuel_prices!$A$10:$A$100,0),FALSE)</f>
        <v>24</v>
      </c>
      <c r="N48">
        <f>HLOOKUP($B48&amp;"_"&amp;N$44,fuel_prices!$B$10:$I$100,MATCH($A$1,fuel_prices!$A$10:$A$100,0),FALSE)</f>
        <v>32</v>
      </c>
      <c r="AE48" s="10">
        <f t="shared" si="2"/>
        <v>8</v>
      </c>
    </row>
    <row r="49" spans="31:31" x14ac:dyDescent="0.45">
      <c r="AE49" s="10">
        <f t="shared" si="2"/>
        <v>9</v>
      </c>
    </row>
    <row r="50" spans="31:31" x14ac:dyDescent="0.45">
      <c r="AE50" s="10">
        <f t="shared" si="2"/>
        <v>9</v>
      </c>
    </row>
    <row r="51" spans="31:31" x14ac:dyDescent="0.45">
      <c r="AE51" s="10">
        <f t="shared" si="2"/>
        <v>9</v>
      </c>
    </row>
    <row r="52" spans="31:31" x14ac:dyDescent="0.45">
      <c r="AE52" s="10">
        <f t="shared" si="2"/>
        <v>9</v>
      </c>
    </row>
    <row r="53" spans="31:31" x14ac:dyDescent="0.45">
      <c r="AE53" s="10">
        <f t="shared" si="2"/>
        <v>9</v>
      </c>
    </row>
    <row r="54" spans="31:31" x14ac:dyDescent="0.45">
      <c r="AE54" s="10">
        <f t="shared" si="2"/>
        <v>10</v>
      </c>
    </row>
    <row r="55" spans="31:31" x14ac:dyDescent="0.45">
      <c r="AE55" s="10">
        <f t="shared" si="2"/>
        <v>10</v>
      </c>
    </row>
    <row r="56" spans="31:31" x14ac:dyDescent="0.45">
      <c r="AE56" s="10">
        <f t="shared" si="2"/>
        <v>10</v>
      </c>
    </row>
    <row r="57" spans="31:31" x14ac:dyDescent="0.45">
      <c r="AE57" s="10">
        <f t="shared" si="2"/>
        <v>10</v>
      </c>
    </row>
    <row r="58" spans="31:31" x14ac:dyDescent="0.45">
      <c r="AE58" s="10">
        <f t="shared" si="2"/>
        <v>10</v>
      </c>
    </row>
    <row r="59" spans="31:31" x14ac:dyDescent="0.45">
      <c r="AE59" s="10">
        <f t="shared" si="2"/>
        <v>11</v>
      </c>
    </row>
    <row r="60" spans="31:31" x14ac:dyDescent="0.45">
      <c r="AE60" s="10">
        <f t="shared" si="2"/>
        <v>11</v>
      </c>
    </row>
    <row r="61" spans="31:31" x14ac:dyDescent="0.45">
      <c r="AE61" s="10">
        <f t="shared" si="2"/>
        <v>11</v>
      </c>
    </row>
    <row r="62" spans="31:31" x14ac:dyDescent="0.45">
      <c r="AE62" s="10">
        <f t="shared" si="2"/>
        <v>11</v>
      </c>
    </row>
    <row r="63" spans="31:31" x14ac:dyDescent="0.45">
      <c r="AE63" s="10">
        <f t="shared" si="2"/>
        <v>11</v>
      </c>
    </row>
    <row r="64" spans="31:31" x14ac:dyDescent="0.45">
      <c r="AE64" s="10">
        <f t="shared" si="2"/>
        <v>12</v>
      </c>
    </row>
    <row r="65" spans="31:31" x14ac:dyDescent="0.45">
      <c r="AE65" s="10">
        <f t="shared" si="2"/>
        <v>12</v>
      </c>
    </row>
    <row r="66" spans="31:31" x14ac:dyDescent="0.45">
      <c r="AE66" s="10">
        <f t="shared" si="2"/>
        <v>12</v>
      </c>
    </row>
    <row r="67" spans="31:31" x14ac:dyDescent="0.45">
      <c r="AE67" s="10">
        <f t="shared" si="2"/>
        <v>12</v>
      </c>
    </row>
    <row r="68" spans="31:31" x14ac:dyDescent="0.45">
      <c r="AE68" s="10">
        <f t="shared" si="2"/>
        <v>12</v>
      </c>
    </row>
    <row r="69" spans="31:31" x14ac:dyDescent="0.45">
      <c r="AE69" s="10">
        <f t="shared" si="2"/>
        <v>13</v>
      </c>
    </row>
    <row r="70" spans="31:31" x14ac:dyDescent="0.45">
      <c r="AE70" s="10">
        <f t="shared" si="2"/>
        <v>13</v>
      </c>
    </row>
    <row r="71" spans="31:31" x14ac:dyDescent="0.45">
      <c r="AE71" s="10">
        <f t="shared" si="2"/>
        <v>13</v>
      </c>
    </row>
    <row r="72" spans="31:31" x14ac:dyDescent="0.45">
      <c r="AE72" s="10">
        <f t="shared" si="2"/>
        <v>13</v>
      </c>
    </row>
    <row r="73" spans="31:31" x14ac:dyDescent="0.45">
      <c r="AE73" s="10">
        <f t="shared" si="2"/>
        <v>13</v>
      </c>
    </row>
    <row r="74" spans="31:31" x14ac:dyDescent="0.45">
      <c r="AE74" s="10">
        <f t="shared" si="2"/>
        <v>14</v>
      </c>
    </row>
    <row r="75" spans="31:31" x14ac:dyDescent="0.45">
      <c r="AE75" s="10">
        <f t="shared" si="2"/>
        <v>14</v>
      </c>
    </row>
    <row r="76" spans="31:31" x14ac:dyDescent="0.45">
      <c r="AE76" s="10">
        <f t="shared" si="2"/>
        <v>14</v>
      </c>
    </row>
    <row r="77" spans="31:31" x14ac:dyDescent="0.45">
      <c r="AE77" s="10">
        <f t="shared" si="2"/>
        <v>14</v>
      </c>
    </row>
    <row r="78" spans="31:31" x14ac:dyDescent="0.45">
      <c r="AE78" s="10">
        <f t="shared" si="2"/>
        <v>14</v>
      </c>
    </row>
    <row r="82" spans="1:6" x14ac:dyDescent="0.45">
      <c r="A82" t="s">
        <v>121</v>
      </c>
    </row>
    <row r="83" spans="1:6" x14ac:dyDescent="0.45">
      <c r="A83" t="s">
        <v>28</v>
      </c>
      <c r="B83" t="s">
        <v>29</v>
      </c>
      <c r="C83">
        <v>2024</v>
      </c>
      <c r="D83">
        <v>2030</v>
      </c>
      <c r="E83">
        <v>2040</v>
      </c>
      <c r="F83" t="s">
        <v>13</v>
      </c>
    </row>
    <row r="84" spans="1:6" x14ac:dyDescent="0.45">
      <c r="A84" t="s">
        <v>33</v>
      </c>
      <c r="B84" t="s">
        <v>122</v>
      </c>
      <c r="C84">
        <v>9.1</v>
      </c>
      <c r="D84">
        <v>11.285</v>
      </c>
      <c r="E84">
        <v>14.41</v>
      </c>
      <c r="F84" t="s">
        <v>123</v>
      </c>
    </row>
    <row r="85" spans="1:6" x14ac:dyDescent="0.45">
      <c r="A85" t="s">
        <v>30</v>
      </c>
      <c r="B85" t="s">
        <v>122</v>
      </c>
      <c r="C85">
        <v>7.25</v>
      </c>
      <c r="D85">
        <v>14.8</v>
      </c>
      <c r="E85">
        <v>17.3</v>
      </c>
      <c r="F85" t="s">
        <v>123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45">
      <c r="A11" t="s">
        <v>119</v>
      </c>
      <c r="B11">
        <v>29.1</v>
      </c>
      <c r="C11">
        <v>41.1</v>
      </c>
      <c r="D11">
        <v>13.7</v>
      </c>
      <c r="E11">
        <v>16.7</v>
      </c>
      <c r="F11">
        <v>48</v>
      </c>
      <c r="G11">
        <v>58</v>
      </c>
      <c r="H11">
        <v>24</v>
      </c>
      <c r="I11">
        <v>32</v>
      </c>
      <c r="J11" t="s">
        <v>120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56</v>
      </c>
    </row>
    <row r="10" spans="1:11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118</v>
      </c>
      <c r="K10" t="s">
        <v>115</v>
      </c>
    </row>
    <row r="11" spans="1:11" x14ac:dyDescent="0.45">
      <c r="A11" t="s">
        <v>119</v>
      </c>
      <c r="B11">
        <v>2000</v>
      </c>
      <c r="C11">
        <v>194.06</v>
      </c>
      <c r="D11">
        <v>237.76</v>
      </c>
      <c r="E11">
        <v>9.3800000000000008</v>
      </c>
      <c r="F11">
        <v>0</v>
      </c>
      <c r="G11">
        <v>3.69</v>
      </c>
      <c r="H11">
        <v>-73.17</v>
      </c>
      <c r="I11">
        <v>533.6</v>
      </c>
      <c r="J11">
        <v>35.914000000000001</v>
      </c>
      <c r="K11">
        <v>37.631</v>
      </c>
    </row>
    <row r="12" spans="1:11" x14ac:dyDescent="0.45">
      <c r="A12" t="s">
        <v>119</v>
      </c>
      <c r="B12">
        <v>2001</v>
      </c>
      <c r="C12">
        <v>194.58</v>
      </c>
      <c r="D12">
        <v>245.54</v>
      </c>
      <c r="E12">
        <v>9.5500000000000007</v>
      </c>
      <c r="F12">
        <v>0</v>
      </c>
      <c r="G12">
        <v>4.47</v>
      </c>
      <c r="H12">
        <v>-72.86</v>
      </c>
      <c r="I12">
        <v>543.64</v>
      </c>
      <c r="J12">
        <v>43.832000000000001</v>
      </c>
      <c r="K12">
        <v>45.606999999999999</v>
      </c>
    </row>
    <row r="13" spans="1:11" x14ac:dyDescent="0.45">
      <c r="A13" t="s">
        <v>119</v>
      </c>
      <c r="B13">
        <v>2002</v>
      </c>
      <c r="C13">
        <v>193.99</v>
      </c>
      <c r="D13">
        <v>244.71</v>
      </c>
      <c r="E13">
        <v>9.67</v>
      </c>
      <c r="F13">
        <v>0</v>
      </c>
      <c r="G13">
        <v>3.71</v>
      </c>
      <c r="H13">
        <v>-80.739999999999995</v>
      </c>
      <c r="I13">
        <v>552.11</v>
      </c>
      <c r="J13">
        <v>45.671999999999997</v>
      </c>
      <c r="K13">
        <v>47.503</v>
      </c>
    </row>
    <row r="14" spans="1:11" x14ac:dyDescent="0.45">
      <c r="A14" t="s">
        <v>119</v>
      </c>
      <c r="B14">
        <v>2003</v>
      </c>
      <c r="C14">
        <v>195.87</v>
      </c>
      <c r="D14">
        <v>261.02</v>
      </c>
      <c r="E14">
        <v>9.7899999999999991</v>
      </c>
      <c r="F14">
        <v>0</v>
      </c>
      <c r="G14">
        <v>6.96</v>
      </c>
      <c r="H14">
        <v>-73.37</v>
      </c>
      <c r="I14">
        <v>559.91</v>
      </c>
      <c r="J14">
        <v>44.271999999999998</v>
      </c>
      <c r="K14">
        <v>46.07</v>
      </c>
    </row>
    <row r="15" spans="1:11" x14ac:dyDescent="0.45">
      <c r="A15" t="s">
        <v>119</v>
      </c>
      <c r="B15">
        <v>2004</v>
      </c>
      <c r="C15">
        <v>198.37</v>
      </c>
      <c r="D15">
        <v>270.62</v>
      </c>
      <c r="E15">
        <v>10.02</v>
      </c>
      <c r="F15">
        <v>0</v>
      </c>
      <c r="G15">
        <v>6.57</v>
      </c>
      <c r="H15">
        <v>-68.48</v>
      </c>
      <c r="I15">
        <v>567.20000000000005</v>
      </c>
      <c r="J15">
        <v>44.984999999999999</v>
      </c>
      <c r="K15">
        <v>46.722000000000001</v>
      </c>
    </row>
    <row r="16" spans="1:11" x14ac:dyDescent="0.45">
      <c r="A16" t="s">
        <v>119</v>
      </c>
      <c r="B16">
        <v>2005</v>
      </c>
      <c r="C16">
        <v>202.39</v>
      </c>
      <c r="D16">
        <v>271</v>
      </c>
      <c r="E16">
        <v>9.86</v>
      </c>
      <c r="F16">
        <v>0</v>
      </c>
      <c r="G16">
        <v>8.06</v>
      </c>
      <c r="H16">
        <v>-68.39</v>
      </c>
      <c r="I16">
        <v>569.87</v>
      </c>
      <c r="J16">
        <v>47.009</v>
      </c>
      <c r="K16">
        <v>48.417999999999999</v>
      </c>
    </row>
    <row r="17" spans="1:11" x14ac:dyDescent="0.45">
      <c r="A17" t="s">
        <v>119</v>
      </c>
      <c r="B17">
        <v>2006</v>
      </c>
      <c r="C17">
        <v>196.17</v>
      </c>
      <c r="D17">
        <v>280.74</v>
      </c>
      <c r="E17">
        <v>9.98</v>
      </c>
      <c r="F17">
        <v>0</v>
      </c>
      <c r="G17">
        <v>8.52</v>
      </c>
      <c r="H17">
        <v>-71.86</v>
      </c>
      <c r="I17">
        <v>568.01</v>
      </c>
      <c r="J17">
        <v>43.725000000000001</v>
      </c>
      <c r="K17">
        <v>45.485999999999997</v>
      </c>
    </row>
    <row r="18" spans="1:11" x14ac:dyDescent="0.45">
      <c r="A18" t="s">
        <v>119</v>
      </c>
      <c r="B18">
        <v>2007</v>
      </c>
      <c r="C18">
        <v>193.97</v>
      </c>
      <c r="D18">
        <v>281.70999999999998</v>
      </c>
      <c r="E18">
        <v>10.029999999999999</v>
      </c>
      <c r="F18">
        <v>0</v>
      </c>
      <c r="G18">
        <v>10.78</v>
      </c>
      <c r="H18">
        <v>-67.59</v>
      </c>
      <c r="I18">
        <v>562.48</v>
      </c>
      <c r="J18">
        <v>37.177</v>
      </c>
      <c r="K18">
        <v>38.771000000000001</v>
      </c>
    </row>
    <row r="19" spans="1:11" x14ac:dyDescent="0.45">
      <c r="A19" t="s">
        <v>119</v>
      </c>
      <c r="B19">
        <v>2008</v>
      </c>
      <c r="C19">
        <v>192.61</v>
      </c>
      <c r="D19">
        <v>291.74</v>
      </c>
      <c r="E19">
        <v>10.42</v>
      </c>
      <c r="F19">
        <v>0</v>
      </c>
      <c r="G19">
        <v>10.75</v>
      </c>
      <c r="H19">
        <v>-58.74</v>
      </c>
      <c r="I19">
        <v>567.55999999999995</v>
      </c>
      <c r="J19">
        <v>37.622</v>
      </c>
      <c r="K19">
        <v>42.32</v>
      </c>
    </row>
    <row r="20" spans="1:11" x14ac:dyDescent="0.45">
      <c r="A20" t="s">
        <v>119</v>
      </c>
      <c r="B20">
        <v>2009</v>
      </c>
      <c r="C20">
        <v>175.21</v>
      </c>
      <c r="D20">
        <v>293.16000000000003</v>
      </c>
      <c r="E20">
        <v>10.08</v>
      </c>
      <c r="F20">
        <v>0</v>
      </c>
      <c r="G20">
        <v>18.52</v>
      </c>
      <c r="H20">
        <v>-44.45</v>
      </c>
      <c r="I20">
        <v>529.42999999999995</v>
      </c>
      <c r="J20">
        <v>26.555</v>
      </c>
      <c r="K20">
        <v>37.185000000000002</v>
      </c>
    </row>
    <row r="21" spans="1:11" x14ac:dyDescent="0.45">
      <c r="A21" t="s">
        <v>119</v>
      </c>
      <c r="B21">
        <v>2010</v>
      </c>
      <c r="C21">
        <v>181.68</v>
      </c>
      <c r="D21">
        <v>313.8</v>
      </c>
      <c r="E21">
        <v>10.039999999999999</v>
      </c>
      <c r="F21">
        <v>0</v>
      </c>
      <c r="G21">
        <v>19.48</v>
      </c>
      <c r="H21">
        <v>-50.19</v>
      </c>
      <c r="I21">
        <v>562.94000000000005</v>
      </c>
      <c r="J21">
        <v>24.475000000000001</v>
      </c>
      <c r="K21">
        <v>33.140999999999998</v>
      </c>
    </row>
    <row r="22" spans="1:11" x14ac:dyDescent="0.45">
      <c r="A22" t="s">
        <v>119</v>
      </c>
      <c r="B22">
        <v>2011</v>
      </c>
      <c r="C22">
        <v>186.46</v>
      </c>
      <c r="D22">
        <v>293.82</v>
      </c>
      <c r="E22">
        <v>9.14</v>
      </c>
      <c r="F22">
        <v>0.03</v>
      </c>
      <c r="G22">
        <v>9.5</v>
      </c>
      <c r="H22">
        <v>-65.91</v>
      </c>
      <c r="I22">
        <v>567.95000000000005</v>
      </c>
      <c r="J22">
        <v>25.579000000000001</v>
      </c>
      <c r="K22">
        <v>33.526000000000003</v>
      </c>
    </row>
    <row r="23" spans="1:11" x14ac:dyDescent="0.45">
      <c r="A23" t="s">
        <v>119</v>
      </c>
      <c r="B23">
        <v>2012</v>
      </c>
      <c r="C23">
        <v>186.69</v>
      </c>
      <c r="D23">
        <v>312.39</v>
      </c>
      <c r="E23">
        <v>9.2799999999999994</v>
      </c>
      <c r="F23">
        <v>0.04</v>
      </c>
      <c r="G23">
        <v>12.21</v>
      </c>
      <c r="H23">
        <v>-56.73</v>
      </c>
      <c r="I23">
        <v>567.83000000000004</v>
      </c>
      <c r="J23">
        <v>25.388999999999999</v>
      </c>
      <c r="K23">
        <v>35.433</v>
      </c>
    </row>
    <row r="24" spans="1:11" x14ac:dyDescent="0.45">
      <c r="A24" t="s">
        <v>119</v>
      </c>
      <c r="B24">
        <v>2013</v>
      </c>
      <c r="C24">
        <v>185.3</v>
      </c>
      <c r="D24">
        <v>320.97000000000003</v>
      </c>
      <c r="E24">
        <v>9.3699999999999992</v>
      </c>
      <c r="F24">
        <v>0.06</v>
      </c>
      <c r="G24">
        <v>11.69</v>
      </c>
      <c r="H24">
        <v>-60.15</v>
      </c>
      <c r="I24">
        <v>577.14</v>
      </c>
      <c r="J24">
        <v>23.777000000000001</v>
      </c>
      <c r="K24">
        <v>36.747999999999998</v>
      </c>
    </row>
    <row r="25" spans="1:11" x14ac:dyDescent="0.45">
      <c r="A25" t="s">
        <v>119</v>
      </c>
      <c r="B25">
        <v>2014</v>
      </c>
      <c r="C25">
        <v>179.65</v>
      </c>
      <c r="D25">
        <v>296.82</v>
      </c>
      <c r="E25">
        <v>9.1300000000000008</v>
      </c>
      <c r="F25">
        <v>0.08</v>
      </c>
      <c r="G25">
        <v>7.87</v>
      </c>
      <c r="H25">
        <v>-75.06</v>
      </c>
      <c r="I25">
        <v>566.77</v>
      </c>
      <c r="J25">
        <v>22.052</v>
      </c>
      <c r="K25">
        <v>32.378999999999998</v>
      </c>
    </row>
    <row r="26" spans="1:11" x14ac:dyDescent="0.45">
      <c r="A26" t="s">
        <v>119</v>
      </c>
      <c r="B26">
        <v>2015</v>
      </c>
      <c r="C26">
        <v>180.44</v>
      </c>
      <c r="D26">
        <v>307.36</v>
      </c>
      <c r="E26">
        <v>9.25</v>
      </c>
      <c r="F26">
        <v>0.11</v>
      </c>
      <c r="G26">
        <v>9.9600000000000009</v>
      </c>
      <c r="H26">
        <v>-74.02</v>
      </c>
      <c r="I26">
        <v>574.45000000000005</v>
      </c>
      <c r="J26">
        <v>23.239000000000001</v>
      </c>
      <c r="K26">
        <v>36.021999999999998</v>
      </c>
    </row>
    <row r="27" spans="1:11" x14ac:dyDescent="0.45">
      <c r="A27" t="s">
        <v>119</v>
      </c>
      <c r="B27">
        <v>2016</v>
      </c>
      <c r="C27">
        <v>183.04</v>
      </c>
      <c r="D27">
        <v>313.68</v>
      </c>
      <c r="E27">
        <v>9.06</v>
      </c>
      <c r="F27">
        <v>0.15</v>
      </c>
      <c r="G27">
        <v>19.899999999999999</v>
      </c>
      <c r="H27">
        <v>-61.4</v>
      </c>
      <c r="I27">
        <v>559.17999999999995</v>
      </c>
      <c r="J27">
        <v>26.399000000000001</v>
      </c>
      <c r="K27">
        <v>40.295000000000002</v>
      </c>
    </row>
    <row r="28" spans="1:11" x14ac:dyDescent="0.45">
      <c r="A28" t="s">
        <v>119</v>
      </c>
      <c r="B28">
        <v>2017</v>
      </c>
      <c r="C28">
        <v>183.41</v>
      </c>
      <c r="D28">
        <v>311.24</v>
      </c>
      <c r="E28">
        <v>9.0500000000000007</v>
      </c>
      <c r="F28">
        <v>0.19</v>
      </c>
      <c r="G28">
        <v>21.12</v>
      </c>
      <c r="H28">
        <v>-61.25</v>
      </c>
      <c r="I28">
        <v>556.76</v>
      </c>
      <c r="J28">
        <v>27.408999999999999</v>
      </c>
      <c r="K28">
        <v>41.779000000000003</v>
      </c>
    </row>
    <row r="29" spans="1:11" x14ac:dyDescent="0.45">
      <c r="A29" t="s">
        <v>119</v>
      </c>
      <c r="B29">
        <v>2018</v>
      </c>
      <c r="C29">
        <v>183.37</v>
      </c>
      <c r="D29">
        <v>309.16000000000003</v>
      </c>
      <c r="E29">
        <v>8.6199999999999992</v>
      </c>
      <c r="F29">
        <v>0.24</v>
      </c>
      <c r="G29">
        <v>13.51</v>
      </c>
      <c r="H29">
        <v>-76.48</v>
      </c>
      <c r="I29">
        <v>576.26</v>
      </c>
      <c r="J29">
        <v>26.780999999999999</v>
      </c>
      <c r="K29">
        <v>41.076000000000001</v>
      </c>
    </row>
    <row r="30" spans="1:11" x14ac:dyDescent="0.45">
      <c r="A30" t="s">
        <v>119</v>
      </c>
      <c r="B30">
        <v>2019</v>
      </c>
      <c r="C30">
        <v>181.24</v>
      </c>
      <c r="D30">
        <v>304.60000000000002</v>
      </c>
      <c r="E30">
        <v>8.4700000000000006</v>
      </c>
      <c r="F30">
        <v>0.33</v>
      </c>
      <c r="G30">
        <v>15.63</v>
      </c>
      <c r="H30">
        <v>-73.3</v>
      </c>
      <c r="I30">
        <v>566.01</v>
      </c>
      <c r="J30">
        <v>28.838000000000001</v>
      </c>
      <c r="K30">
        <v>43.131</v>
      </c>
    </row>
    <row r="31" spans="1:11" x14ac:dyDescent="0.45">
      <c r="A31" t="s">
        <v>119</v>
      </c>
      <c r="B31">
        <v>2020</v>
      </c>
      <c r="C31">
        <v>167.45</v>
      </c>
      <c r="D31">
        <v>295.89</v>
      </c>
      <c r="E31">
        <v>6.94</v>
      </c>
      <c r="F31">
        <v>0.42</v>
      </c>
      <c r="G31">
        <v>19.54</v>
      </c>
      <c r="H31">
        <v>-64.58</v>
      </c>
      <c r="I31">
        <v>527.64</v>
      </c>
      <c r="J31">
        <v>28.8</v>
      </c>
      <c r="K31">
        <v>41.771000000000001</v>
      </c>
    </row>
    <row r="32" spans="1:11" x14ac:dyDescent="0.45">
      <c r="A32" t="s">
        <v>119</v>
      </c>
      <c r="B32">
        <v>2021</v>
      </c>
      <c r="C32">
        <v>177.58</v>
      </c>
      <c r="D32">
        <v>309.27</v>
      </c>
      <c r="E32">
        <v>7.83</v>
      </c>
      <c r="F32">
        <v>0.79</v>
      </c>
      <c r="G32">
        <v>24.33</v>
      </c>
      <c r="H32">
        <v>-69.23</v>
      </c>
      <c r="I32">
        <v>550.63</v>
      </c>
      <c r="J32">
        <v>29.742999999999999</v>
      </c>
      <c r="K32">
        <v>48.042999999999999</v>
      </c>
    </row>
    <row r="33" spans="1:11" x14ac:dyDescent="0.45">
      <c r="A33" t="s">
        <v>119</v>
      </c>
      <c r="B33">
        <v>2022</v>
      </c>
      <c r="C33">
        <v>165.91</v>
      </c>
      <c r="D33">
        <v>294.72000000000003</v>
      </c>
      <c r="E33">
        <v>8.24</v>
      </c>
      <c r="F33">
        <v>1.41</v>
      </c>
      <c r="G33">
        <v>52.44</v>
      </c>
      <c r="H33">
        <v>-37.49</v>
      </c>
      <c r="I33">
        <v>469.04</v>
      </c>
      <c r="J33">
        <v>30.378</v>
      </c>
      <c r="K33">
        <v>46.09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111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25</v>
      </c>
    </row>
    <row r="12" spans="1:13" x14ac:dyDescent="0.45">
      <c r="A12" t="s">
        <v>0</v>
      </c>
      <c r="B12" t="s">
        <v>111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25</v>
      </c>
    </row>
    <row r="13" spans="1:13" x14ac:dyDescent="0.45">
      <c r="A13" t="s">
        <v>0</v>
      </c>
      <c r="B13" t="s">
        <v>111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25</v>
      </c>
    </row>
    <row r="14" spans="1:13" x14ac:dyDescent="0.45">
      <c r="A14" t="s">
        <v>0</v>
      </c>
      <c r="B14" t="s">
        <v>111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25</v>
      </c>
    </row>
    <row r="15" spans="1:13" x14ac:dyDescent="0.45">
      <c r="A15" t="s">
        <v>0</v>
      </c>
      <c r="B15" t="s">
        <v>111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25</v>
      </c>
    </row>
    <row r="16" spans="1:13" x14ac:dyDescent="0.45">
      <c r="A16" t="s">
        <v>0</v>
      </c>
      <c r="B16" t="s">
        <v>111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25</v>
      </c>
    </row>
    <row r="17" spans="1:13" x14ac:dyDescent="0.45">
      <c r="A17" t="s">
        <v>0</v>
      </c>
      <c r="B17" t="s">
        <v>111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25</v>
      </c>
    </row>
    <row r="18" spans="1:13" x14ac:dyDescent="0.45">
      <c r="A18" t="s">
        <v>2</v>
      </c>
      <c r="B18" t="s">
        <v>111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25</v>
      </c>
    </row>
    <row r="19" spans="1:13" x14ac:dyDescent="0.45">
      <c r="A19" t="s">
        <v>2</v>
      </c>
      <c r="B19" t="s">
        <v>111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25</v>
      </c>
    </row>
    <row r="20" spans="1:13" x14ac:dyDescent="0.45">
      <c r="A20" t="s">
        <v>2</v>
      </c>
      <c r="B20" t="s">
        <v>111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25</v>
      </c>
    </row>
    <row r="21" spans="1:13" x14ac:dyDescent="0.45">
      <c r="A21" t="s">
        <v>2</v>
      </c>
      <c r="B21" t="s">
        <v>111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25</v>
      </c>
    </row>
    <row r="22" spans="1:13" x14ac:dyDescent="0.45">
      <c r="A22" t="s">
        <v>2</v>
      </c>
      <c r="B22" t="s">
        <v>111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25</v>
      </c>
    </row>
    <row r="23" spans="1:13" x14ac:dyDescent="0.45">
      <c r="A23" t="s">
        <v>2</v>
      </c>
      <c r="B23" t="s">
        <v>111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25</v>
      </c>
    </row>
    <row r="24" spans="1:13" x14ac:dyDescent="0.45">
      <c r="A24" t="s">
        <v>2</v>
      </c>
      <c r="B24" t="s">
        <v>111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111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25</v>
      </c>
    </row>
    <row r="26" spans="1:13" x14ac:dyDescent="0.45">
      <c r="A26" t="s">
        <v>5</v>
      </c>
      <c r="B26" t="s">
        <v>111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25</v>
      </c>
    </row>
    <row r="27" spans="1:13" x14ac:dyDescent="0.45">
      <c r="A27" t="s">
        <v>5</v>
      </c>
      <c r="B27" t="s">
        <v>111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25</v>
      </c>
    </row>
    <row r="28" spans="1:13" x14ac:dyDescent="0.45">
      <c r="A28" t="s">
        <v>5</v>
      </c>
      <c r="B28" t="s">
        <v>111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25</v>
      </c>
    </row>
    <row r="29" spans="1:13" x14ac:dyDescent="0.45">
      <c r="A29" t="s">
        <v>5</v>
      </c>
      <c r="B29" t="s">
        <v>111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25</v>
      </c>
    </row>
    <row r="30" spans="1:13" x14ac:dyDescent="0.45">
      <c r="A30" t="s">
        <v>5</v>
      </c>
      <c r="B30" t="s">
        <v>111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25</v>
      </c>
    </row>
    <row r="31" spans="1:13" x14ac:dyDescent="0.45">
      <c r="A31" t="s">
        <v>5</v>
      </c>
      <c r="B31" t="s">
        <v>111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25</v>
      </c>
    </row>
    <row r="32" spans="1:13" x14ac:dyDescent="0.45">
      <c r="A32" t="s">
        <v>7</v>
      </c>
      <c r="B32" t="s">
        <v>111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25</v>
      </c>
    </row>
    <row r="33" spans="1:13" x14ac:dyDescent="0.45">
      <c r="A33" t="s">
        <v>7</v>
      </c>
      <c r="B33" t="s">
        <v>111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25</v>
      </c>
    </row>
    <row r="34" spans="1:13" x14ac:dyDescent="0.45">
      <c r="A34" t="s">
        <v>7</v>
      </c>
      <c r="B34" t="s">
        <v>111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25</v>
      </c>
    </row>
    <row r="35" spans="1:13" x14ac:dyDescent="0.45">
      <c r="A35" t="s">
        <v>7</v>
      </c>
      <c r="B35" t="s">
        <v>111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111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25</v>
      </c>
    </row>
    <row r="37" spans="1:13" x14ac:dyDescent="0.45">
      <c r="A37" t="s">
        <v>7</v>
      </c>
      <c r="B37" t="s">
        <v>111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111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111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25</v>
      </c>
    </row>
    <row r="40" spans="1:13" x14ac:dyDescent="0.45">
      <c r="A40" t="s">
        <v>9</v>
      </c>
      <c r="B40" t="s">
        <v>111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25</v>
      </c>
    </row>
    <row r="41" spans="1:13" x14ac:dyDescent="0.45">
      <c r="A41" t="s">
        <v>9</v>
      </c>
      <c r="B41" t="s">
        <v>111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25</v>
      </c>
    </row>
    <row r="42" spans="1:13" x14ac:dyDescent="0.45">
      <c r="A42" t="s">
        <v>9</v>
      </c>
      <c r="B42" t="s">
        <v>111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25</v>
      </c>
    </row>
    <row r="43" spans="1:13" x14ac:dyDescent="0.45">
      <c r="A43" t="s">
        <v>9</v>
      </c>
      <c r="B43" t="s">
        <v>111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25</v>
      </c>
    </row>
    <row r="44" spans="1:13" x14ac:dyDescent="0.45">
      <c r="A44" t="s">
        <v>9</v>
      </c>
      <c r="B44" t="s">
        <v>111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25</v>
      </c>
    </row>
    <row r="45" spans="1:13" x14ac:dyDescent="0.45">
      <c r="A45" t="s">
        <v>9</v>
      </c>
      <c r="B45" t="s">
        <v>111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25</v>
      </c>
    </row>
    <row r="46" spans="1:13" x14ac:dyDescent="0.45">
      <c r="A46" t="s">
        <v>0</v>
      </c>
      <c r="B46" t="s">
        <v>111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111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111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111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111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111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111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111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111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111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111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111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111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111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111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111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111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111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111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111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111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111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111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111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111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111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111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111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111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111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111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111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111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111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111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111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112</v>
      </c>
    </row>
    <row r="82" spans="1:13" x14ac:dyDescent="0.45">
      <c r="A82" t="s">
        <v>0</v>
      </c>
      <c r="B82" t="s">
        <v>111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112</v>
      </c>
    </row>
    <row r="83" spans="1:13" x14ac:dyDescent="0.45">
      <c r="A83" t="s">
        <v>0</v>
      </c>
      <c r="B83" t="s">
        <v>111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112</v>
      </c>
    </row>
    <row r="84" spans="1:13" x14ac:dyDescent="0.45">
      <c r="A84" t="s">
        <v>0</v>
      </c>
      <c r="B84" t="s">
        <v>111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112</v>
      </c>
    </row>
    <row r="85" spans="1:13" x14ac:dyDescent="0.45">
      <c r="A85" t="s">
        <v>0</v>
      </c>
      <c r="B85" t="s">
        <v>111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112</v>
      </c>
    </row>
    <row r="86" spans="1:13" x14ac:dyDescent="0.45">
      <c r="A86" t="s">
        <v>0</v>
      </c>
      <c r="B86" t="s">
        <v>111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112</v>
      </c>
    </row>
    <row r="87" spans="1:13" x14ac:dyDescent="0.45">
      <c r="A87" t="s">
        <v>0</v>
      </c>
      <c r="B87" t="s">
        <v>111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112</v>
      </c>
    </row>
    <row r="88" spans="1:13" x14ac:dyDescent="0.45">
      <c r="A88" t="s">
        <v>2</v>
      </c>
      <c r="B88" t="s">
        <v>111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112</v>
      </c>
    </row>
    <row r="89" spans="1:13" x14ac:dyDescent="0.45">
      <c r="A89" t="s">
        <v>2</v>
      </c>
      <c r="B89" t="s">
        <v>111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112</v>
      </c>
    </row>
    <row r="90" spans="1:13" x14ac:dyDescent="0.45">
      <c r="A90" t="s">
        <v>2</v>
      </c>
      <c r="B90" t="s">
        <v>111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112</v>
      </c>
    </row>
    <row r="91" spans="1:13" x14ac:dyDescent="0.45">
      <c r="A91" t="s">
        <v>2</v>
      </c>
      <c r="B91" t="s">
        <v>111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112</v>
      </c>
    </row>
    <row r="92" spans="1:13" x14ac:dyDescent="0.45">
      <c r="A92" t="s">
        <v>2</v>
      </c>
      <c r="B92" t="s">
        <v>111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112</v>
      </c>
    </row>
    <row r="93" spans="1:13" x14ac:dyDescent="0.45">
      <c r="A93" t="s">
        <v>2</v>
      </c>
      <c r="B93" t="s">
        <v>111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112</v>
      </c>
    </row>
    <row r="94" spans="1:13" x14ac:dyDescent="0.45">
      <c r="A94" t="s">
        <v>2</v>
      </c>
      <c r="B94" t="s">
        <v>111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112</v>
      </c>
    </row>
    <row r="95" spans="1:13" x14ac:dyDescent="0.45">
      <c r="A95" t="s">
        <v>5</v>
      </c>
      <c r="B95" t="s">
        <v>111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112</v>
      </c>
    </row>
    <row r="96" spans="1:13" x14ac:dyDescent="0.45">
      <c r="A96" t="s">
        <v>5</v>
      </c>
      <c r="B96" t="s">
        <v>111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112</v>
      </c>
    </row>
    <row r="97" spans="1:13" x14ac:dyDescent="0.45">
      <c r="A97" t="s">
        <v>5</v>
      </c>
      <c r="B97" t="s">
        <v>111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112</v>
      </c>
    </row>
    <row r="98" spans="1:13" x14ac:dyDescent="0.45">
      <c r="A98" t="s">
        <v>5</v>
      </c>
      <c r="B98" t="s">
        <v>111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112</v>
      </c>
    </row>
    <row r="99" spans="1:13" x14ac:dyDescent="0.45">
      <c r="A99" t="s">
        <v>5</v>
      </c>
      <c r="B99" t="s">
        <v>111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112</v>
      </c>
    </row>
    <row r="100" spans="1:13" x14ac:dyDescent="0.45">
      <c r="A100" t="s">
        <v>5</v>
      </c>
      <c r="B100" t="s">
        <v>111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112</v>
      </c>
    </row>
    <row r="101" spans="1:13" x14ac:dyDescent="0.45">
      <c r="A101" t="s">
        <v>5</v>
      </c>
      <c r="B101" t="s">
        <v>111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112</v>
      </c>
    </row>
    <row r="102" spans="1:13" x14ac:dyDescent="0.45">
      <c r="A102" t="s">
        <v>7</v>
      </c>
      <c r="B102" t="s">
        <v>111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112</v>
      </c>
    </row>
    <row r="103" spans="1:13" x14ac:dyDescent="0.45">
      <c r="A103" t="s">
        <v>7</v>
      </c>
      <c r="B103" t="s">
        <v>111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112</v>
      </c>
    </row>
    <row r="104" spans="1:13" x14ac:dyDescent="0.45">
      <c r="A104" t="s">
        <v>7</v>
      </c>
      <c r="B104" t="s">
        <v>111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112</v>
      </c>
    </row>
    <row r="105" spans="1:13" x14ac:dyDescent="0.45">
      <c r="A105" t="s">
        <v>7</v>
      </c>
      <c r="B105" t="s">
        <v>111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112</v>
      </c>
    </row>
    <row r="106" spans="1:13" x14ac:dyDescent="0.45">
      <c r="A106" t="s">
        <v>7</v>
      </c>
      <c r="B106" t="s">
        <v>111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112</v>
      </c>
    </row>
    <row r="107" spans="1:13" x14ac:dyDescent="0.45">
      <c r="A107" t="s">
        <v>7</v>
      </c>
      <c r="B107" t="s">
        <v>111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112</v>
      </c>
    </row>
    <row r="108" spans="1:13" x14ac:dyDescent="0.45">
      <c r="A108" t="s">
        <v>7</v>
      </c>
      <c r="B108" t="s">
        <v>111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112</v>
      </c>
    </row>
    <row r="109" spans="1:13" x14ac:dyDescent="0.45">
      <c r="A109" t="s">
        <v>9</v>
      </c>
      <c r="B109" t="s">
        <v>111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112</v>
      </c>
    </row>
    <row r="110" spans="1:13" x14ac:dyDescent="0.45">
      <c r="A110" t="s">
        <v>9</v>
      </c>
      <c r="B110" t="s">
        <v>111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112</v>
      </c>
    </row>
    <row r="111" spans="1:13" x14ac:dyDescent="0.45">
      <c r="A111" t="s">
        <v>9</v>
      </c>
      <c r="B111" t="s">
        <v>111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112</v>
      </c>
    </row>
    <row r="112" spans="1:13" x14ac:dyDescent="0.45">
      <c r="A112" t="s">
        <v>9</v>
      </c>
      <c r="B112" t="s">
        <v>111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112</v>
      </c>
    </row>
    <row r="113" spans="1:13" x14ac:dyDescent="0.45">
      <c r="A113" t="s">
        <v>9</v>
      </c>
      <c r="B113" t="s">
        <v>111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112</v>
      </c>
    </row>
    <row r="114" spans="1:13" x14ac:dyDescent="0.45">
      <c r="A114" t="s">
        <v>9</v>
      </c>
      <c r="B114" t="s">
        <v>111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112</v>
      </c>
    </row>
    <row r="115" spans="1:13" x14ac:dyDescent="0.45">
      <c r="A115" t="s">
        <v>9</v>
      </c>
      <c r="B115" t="s">
        <v>111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112</v>
      </c>
    </row>
    <row r="116" spans="1:13" x14ac:dyDescent="0.45">
      <c r="A116" t="s">
        <v>0</v>
      </c>
      <c r="B116" t="s">
        <v>111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14</v>
      </c>
    </row>
    <row r="117" spans="1:13" x14ac:dyDescent="0.45">
      <c r="A117" t="s">
        <v>0</v>
      </c>
      <c r="B117" t="s">
        <v>111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14</v>
      </c>
    </row>
    <row r="118" spans="1:13" x14ac:dyDescent="0.45">
      <c r="A118" t="s">
        <v>0</v>
      </c>
      <c r="B118" t="s">
        <v>111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14</v>
      </c>
    </row>
    <row r="119" spans="1:13" x14ac:dyDescent="0.45">
      <c r="A119" t="s">
        <v>0</v>
      </c>
      <c r="B119" t="s">
        <v>111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14</v>
      </c>
    </row>
    <row r="120" spans="1:13" x14ac:dyDescent="0.45">
      <c r="A120" t="s">
        <v>0</v>
      </c>
      <c r="B120" t="s">
        <v>111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14</v>
      </c>
    </row>
    <row r="121" spans="1:13" x14ac:dyDescent="0.45">
      <c r="A121" t="s">
        <v>0</v>
      </c>
      <c r="B121" t="s">
        <v>111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14</v>
      </c>
    </row>
    <row r="122" spans="1:13" x14ac:dyDescent="0.45">
      <c r="A122" t="s">
        <v>0</v>
      </c>
      <c r="B122" t="s">
        <v>111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14</v>
      </c>
    </row>
    <row r="123" spans="1:13" x14ac:dyDescent="0.45">
      <c r="A123" t="s">
        <v>2</v>
      </c>
      <c r="B123" t="s">
        <v>111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111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14</v>
      </c>
    </row>
    <row r="125" spans="1:13" x14ac:dyDescent="0.45">
      <c r="A125" t="s">
        <v>2</v>
      </c>
      <c r="B125" t="s">
        <v>111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14</v>
      </c>
    </row>
    <row r="126" spans="1:13" x14ac:dyDescent="0.45">
      <c r="A126" t="s">
        <v>2</v>
      </c>
      <c r="B126" t="s">
        <v>111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14</v>
      </c>
    </row>
    <row r="127" spans="1:13" x14ac:dyDescent="0.45">
      <c r="A127" t="s">
        <v>2</v>
      </c>
      <c r="B127" t="s">
        <v>111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111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14</v>
      </c>
    </row>
    <row r="129" spans="1:13" x14ac:dyDescent="0.45">
      <c r="A129" t="s">
        <v>2</v>
      </c>
      <c r="B129" t="s">
        <v>111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14</v>
      </c>
    </row>
    <row r="130" spans="1:13" x14ac:dyDescent="0.45">
      <c r="A130" t="s">
        <v>5</v>
      </c>
      <c r="B130" t="s">
        <v>111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14</v>
      </c>
    </row>
    <row r="131" spans="1:13" x14ac:dyDescent="0.45">
      <c r="A131" t="s">
        <v>5</v>
      </c>
      <c r="B131" t="s">
        <v>111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14</v>
      </c>
    </row>
    <row r="132" spans="1:13" x14ac:dyDescent="0.45">
      <c r="A132" t="s">
        <v>5</v>
      </c>
      <c r="B132" t="s">
        <v>111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14</v>
      </c>
    </row>
    <row r="133" spans="1:13" x14ac:dyDescent="0.45">
      <c r="A133" t="s">
        <v>5</v>
      </c>
      <c r="B133" t="s">
        <v>111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14</v>
      </c>
    </row>
    <row r="134" spans="1:13" x14ac:dyDescent="0.45">
      <c r="A134" t="s">
        <v>5</v>
      </c>
      <c r="B134" t="s">
        <v>111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14</v>
      </c>
    </row>
    <row r="135" spans="1:13" x14ac:dyDescent="0.45">
      <c r="A135" t="s">
        <v>5</v>
      </c>
      <c r="B135" t="s">
        <v>111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14</v>
      </c>
    </row>
    <row r="136" spans="1:13" x14ac:dyDescent="0.45">
      <c r="A136" t="s">
        <v>5</v>
      </c>
      <c r="B136" t="s">
        <v>111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14</v>
      </c>
    </row>
    <row r="137" spans="1:13" x14ac:dyDescent="0.45">
      <c r="A137" t="s">
        <v>7</v>
      </c>
      <c r="B137" t="s">
        <v>111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111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111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14</v>
      </c>
    </row>
    <row r="140" spans="1:13" x14ac:dyDescent="0.45">
      <c r="A140" t="s">
        <v>7</v>
      </c>
      <c r="B140" t="s">
        <v>111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111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14</v>
      </c>
    </row>
    <row r="142" spans="1:13" x14ac:dyDescent="0.45">
      <c r="A142" t="s">
        <v>7</v>
      </c>
      <c r="B142" t="s">
        <v>111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111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14</v>
      </c>
    </row>
    <row r="144" spans="1:13" x14ac:dyDescent="0.45">
      <c r="A144" t="s">
        <v>9</v>
      </c>
      <c r="B144" t="s">
        <v>111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14</v>
      </c>
    </row>
    <row r="145" spans="1:13" x14ac:dyDescent="0.45">
      <c r="A145" t="s">
        <v>9</v>
      </c>
      <c r="B145" t="s">
        <v>111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14</v>
      </c>
    </row>
    <row r="146" spans="1:13" x14ac:dyDescent="0.45">
      <c r="A146" t="s">
        <v>9</v>
      </c>
      <c r="B146" t="s">
        <v>111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14</v>
      </c>
    </row>
    <row r="147" spans="1:13" x14ac:dyDescent="0.45">
      <c r="A147" t="s">
        <v>9</v>
      </c>
      <c r="B147" t="s">
        <v>111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14</v>
      </c>
    </row>
    <row r="148" spans="1:13" x14ac:dyDescent="0.45">
      <c r="A148" t="s">
        <v>9</v>
      </c>
      <c r="B148" t="s">
        <v>111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14</v>
      </c>
    </row>
    <row r="149" spans="1:13" x14ac:dyDescent="0.45">
      <c r="A149" t="s">
        <v>9</v>
      </c>
      <c r="B149" t="s">
        <v>111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14</v>
      </c>
    </row>
    <row r="150" spans="1:13" x14ac:dyDescent="0.45">
      <c r="A150" t="s">
        <v>9</v>
      </c>
      <c r="B150" t="s">
        <v>111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14</v>
      </c>
    </row>
    <row r="151" spans="1:13" x14ac:dyDescent="0.45">
      <c r="A151" t="s">
        <v>0</v>
      </c>
      <c r="B151" t="s">
        <v>111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17</v>
      </c>
    </row>
    <row r="152" spans="1:13" x14ac:dyDescent="0.45">
      <c r="A152" t="s">
        <v>0</v>
      </c>
      <c r="B152" t="s">
        <v>111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17</v>
      </c>
    </row>
    <row r="153" spans="1:13" x14ac:dyDescent="0.45">
      <c r="A153" t="s">
        <v>0</v>
      </c>
      <c r="B153" t="s">
        <v>111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17</v>
      </c>
    </row>
    <row r="154" spans="1:13" x14ac:dyDescent="0.45">
      <c r="A154" t="s">
        <v>0</v>
      </c>
      <c r="B154" t="s">
        <v>111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17</v>
      </c>
    </row>
    <row r="155" spans="1:13" x14ac:dyDescent="0.45">
      <c r="A155" t="s">
        <v>0</v>
      </c>
      <c r="B155" t="s">
        <v>111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17</v>
      </c>
    </row>
    <row r="156" spans="1:13" x14ac:dyDescent="0.45">
      <c r="A156" t="s">
        <v>0</v>
      </c>
      <c r="B156" t="s">
        <v>111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17</v>
      </c>
    </row>
    <row r="157" spans="1:13" x14ac:dyDescent="0.45">
      <c r="A157" t="s">
        <v>0</v>
      </c>
      <c r="B157" t="s">
        <v>111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17</v>
      </c>
    </row>
    <row r="158" spans="1:13" x14ac:dyDescent="0.45">
      <c r="A158" t="s">
        <v>2</v>
      </c>
      <c r="B158" t="s">
        <v>111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17</v>
      </c>
    </row>
    <row r="159" spans="1:13" x14ac:dyDescent="0.45">
      <c r="A159" t="s">
        <v>2</v>
      </c>
      <c r="B159" t="s">
        <v>111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17</v>
      </c>
    </row>
    <row r="160" spans="1:13" x14ac:dyDescent="0.45">
      <c r="A160" t="s">
        <v>2</v>
      </c>
      <c r="B160" t="s">
        <v>111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17</v>
      </c>
    </row>
    <row r="161" spans="1:13" x14ac:dyDescent="0.45">
      <c r="A161" t="s">
        <v>2</v>
      </c>
      <c r="B161" t="s">
        <v>111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17</v>
      </c>
    </row>
    <row r="162" spans="1:13" x14ac:dyDescent="0.45">
      <c r="A162" t="s">
        <v>2</v>
      </c>
      <c r="B162" t="s">
        <v>111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17</v>
      </c>
    </row>
    <row r="163" spans="1:13" x14ac:dyDescent="0.45">
      <c r="A163" t="s">
        <v>2</v>
      </c>
      <c r="B163" t="s">
        <v>111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17</v>
      </c>
    </row>
    <row r="164" spans="1:13" x14ac:dyDescent="0.45">
      <c r="A164" t="s">
        <v>2</v>
      </c>
      <c r="B164" t="s">
        <v>111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17</v>
      </c>
    </row>
    <row r="165" spans="1:13" x14ac:dyDescent="0.45">
      <c r="A165" t="s">
        <v>5</v>
      </c>
      <c r="B165" t="s">
        <v>111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17</v>
      </c>
    </row>
    <row r="166" spans="1:13" x14ac:dyDescent="0.45">
      <c r="A166" t="s">
        <v>5</v>
      </c>
      <c r="B166" t="s">
        <v>111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17</v>
      </c>
    </row>
    <row r="167" spans="1:13" x14ac:dyDescent="0.45">
      <c r="A167" t="s">
        <v>5</v>
      </c>
      <c r="B167" t="s">
        <v>111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17</v>
      </c>
    </row>
    <row r="168" spans="1:13" x14ac:dyDescent="0.45">
      <c r="A168" t="s">
        <v>5</v>
      </c>
      <c r="B168" t="s">
        <v>111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17</v>
      </c>
    </row>
    <row r="169" spans="1:13" x14ac:dyDescent="0.45">
      <c r="A169" t="s">
        <v>5</v>
      </c>
      <c r="B169" t="s">
        <v>111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17</v>
      </c>
    </row>
    <row r="170" spans="1:13" x14ac:dyDescent="0.45">
      <c r="A170" t="s">
        <v>5</v>
      </c>
      <c r="B170" t="s">
        <v>111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17</v>
      </c>
    </row>
    <row r="171" spans="1:13" x14ac:dyDescent="0.45">
      <c r="A171" t="s">
        <v>5</v>
      </c>
      <c r="B171" t="s">
        <v>111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17</v>
      </c>
    </row>
    <row r="172" spans="1:13" x14ac:dyDescent="0.45">
      <c r="A172" t="s">
        <v>7</v>
      </c>
      <c r="B172" t="s">
        <v>111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17</v>
      </c>
    </row>
    <row r="173" spans="1:13" x14ac:dyDescent="0.45">
      <c r="A173" t="s">
        <v>7</v>
      </c>
      <c r="B173" t="s">
        <v>111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17</v>
      </c>
    </row>
    <row r="174" spans="1:13" x14ac:dyDescent="0.45">
      <c r="A174" t="s">
        <v>7</v>
      </c>
      <c r="B174" t="s">
        <v>111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17</v>
      </c>
    </row>
    <row r="175" spans="1:13" x14ac:dyDescent="0.45">
      <c r="A175" t="s">
        <v>7</v>
      </c>
      <c r="B175" t="s">
        <v>111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17</v>
      </c>
    </row>
    <row r="176" spans="1:13" x14ac:dyDescent="0.45">
      <c r="A176" t="s">
        <v>7</v>
      </c>
      <c r="B176" t="s">
        <v>111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17</v>
      </c>
    </row>
    <row r="177" spans="1:13" x14ac:dyDescent="0.45">
      <c r="A177" t="s">
        <v>7</v>
      </c>
      <c r="B177" t="s">
        <v>111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17</v>
      </c>
    </row>
    <row r="178" spans="1:13" x14ac:dyDescent="0.45">
      <c r="A178" t="s">
        <v>7</v>
      </c>
      <c r="B178" t="s">
        <v>111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17</v>
      </c>
    </row>
    <row r="179" spans="1:13" x14ac:dyDescent="0.45">
      <c r="A179" t="s">
        <v>9</v>
      </c>
      <c r="B179" t="s">
        <v>111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17</v>
      </c>
    </row>
    <row r="180" spans="1:13" x14ac:dyDescent="0.45">
      <c r="A180" t="s">
        <v>9</v>
      </c>
      <c r="B180" t="s">
        <v>111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17</v>
      </c>
    </row>
    <row r="181" spans="1:13" x14ac:dyDescent="0.45">
      <c r="A181" t="s">
        <v>9</v>
      </c>
      <c r="B181" t="s">
        <v>111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17</v>
      </c>
    </row>
    <row r="182" spans="1:13" x14ac:dyDescent="0.45">
      <c r="A182" t="s">
        <v>9</v>
      </c>
      <c r="B182" t="s">
        <v>111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17</v>
      </c>
    </row>
    <row r="183" spans="1:13" x14ac:dyDescent="0.45">
      <c r="A183" t="s">
        <v>9</v>
      </c>
      <c r="B183" t="s">
        <v>111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17</v>
      </c>
    </row>
    <row r="184" spans="1:13" x14ac:dyDescent="0.45">
      <c r="A184" t="s">
        <v>9</v>
      </c>
      <c r="B184" t="s">
        <v>111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17</v>
      </c>
    </row>
    <row r="185" spans="1:13" x14ac:dyDescent="0.45">
      <c r="A185" t="s">
        <v>9</v>
      </c>
      <c r="B185" t="s">
        <v>111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17</v>
      </c>
    </row>
    <row r="186" spans="1:13" x14ac:dyDescent="0.45">
      <c r="A186" t="s">
        <v>0</v>
      </c>
      <c r="B186" t="s">
        <v>111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20</v>
      </c>
    </row>
    <row r="187" spans="1:13" x14ac:dyDescent="0.45">
      <c r="A187" t="s">
        <v>0</v>
      </c>
      <c r="B187" t="s">
        <v>111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20</v>
      </c>
    </row>
    <row r="188" spans="1:13" x14ac:dyDescent="0.45">
      <c r="A188" t="s">
        <v>0</v>
      </c>
      <c r="B188" t="s">
        <v>111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20</v>
      </c>
    </row>
    <row r="189" spans="1:13" x14ac:dyDescent="0.45">
      <c r="A189" t="s">
        <v>0</v>
      </c>
      <c r="B189" t="s">
        <v>111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20</v>
      </c>
    </row>
    <row r="190" spans="1:13" x14ac:dyDescent="0.45">
      <c r="A190" t="s">
        <v>0</v>
      </c>
      <c r="B190" t="s">
        <v>111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20</v>
      </c>
    </row>
    <row r="191" spans="1:13" x14ac:dyDescent="0.45">
      <c r="A191" t="s">
        <v>0</v>
      </c>
      <c r="B191" t="s">
        <v>111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20</v>
      </c>
    </row>
    <row r="192" spans="1:13" x14ac:dyDescent="0.45">
      <c r="A192" t="s">
        <v>0</v>
      </c>
      <c r="B192" t="s">
        <v>111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20</v>
      </c>
    </row>
    <row r="193" spans="1:13" x14ac:dyDescent="0.45">
      <c r="A193" t="s">
        <v>2</v>
      </c>
      <c r="B193" t="s">
        <v>111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20</v>
      </c>
    </row>
    <row r="194" spans="1:13" x14ac:dyDescent="0.45">
      <c r="A194" t="s">
        <v>2</v>
      </c>
      <c r="B194" t="s">
        <v>111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20</v>
      </c>
    </row>
    <row r="195" spans="1:13" x14ac:dyDescent="0.45">
      <c r="A195" t="s">
        <v>2</v>
      </c>
      <c r="B195" t="s">
        <v>111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20</v>
      </c>
    </row>
    <row r="196" spans="1:13" x14ac:dyDescent="0.45">
      <c r="A196" t="s">
        <v>2</v>
      </c>
      <c r="B196" t="s">
        <v>111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20</v>
      </c>
    </row>
    <row r="197" spans="1:13" x14ac:dyDescent="0.45">
      <c r="A197" t="s">
        <v>2</v>
      </c>
      <c r="B197" t="s">
        <v>111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20</v>
      </c>
    </row>
    <row r="198" spans="1:13" x14ac:dyDescent="0.45">
      <c r="A198" t="s">
        <v>2</v>
      </c>
      <c r="B198" t="s">
        <v>111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20</v>
      </c>
    </row>
    <row r="199" spans="1:13" x14ac:dyDescent="0.45">
      <c r="A199" t="s">
        <v>2</v>
      </c>
      <c r="B199" t="s">
        <v>111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20</v>
      </c>
    </row>
    <row r="200" spans="1:13" x14ac:dyDescent="0.45">
      <c r="A200" t="s">
        <v>5</v>
      </c>
      <c r="B200" t="s">
        <v>111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20</v>
      </c>
    </row>
    <row r="201" spans="1:13" x14ac:dyDescent="0.45">
      <c r="A201" t="s">
        <v>5</v>
      </c>
      <c r="B201" t="s">
        <v>111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20</v>
      </c>
    </row>
    <row r="202" spans="1:13" x14ac:dyDescent="0.45">
      <c r="A202" t="s">
        <v>5</v>
      </c>
      <c r="B202" t="s">
        <v>111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20</v>
      </c>
    </row>
    <row r="203" spans="1:13" x14ac:dyDescent="0.45">
      <c r="A203" t="s">
        <v>5</v>
      </c>
      <c r="B203" t="s">
        <v>111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20</v>
      </c>
    </row>
    <row r="204" spans="1:13" x14ac:dyDescent="0.45">
      <c r="A204" t="s">
        <v>5</v>
      </c>
      <c r="B204" t="s">
        <v>111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20</v>
      </c>
    </row>
    <row r="205" spans="1:13" x14ac:dyDescent="0.45">
      <c r="A205" t="s">
        <v>5</v>
      </c>
      <c r="B205" t="s">
        <v>111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20</v>
      </c>
    </row>
    <row r="206" spans="1:13" x14ac:dyDescent="0.45">
      <c r="A206" t="s">
        <v>5</v>
      </c>
      <c r="B206" t="s">
        <v>111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20</v>
      </c>
    </row>
    <row r="207" spans="1:13" x14ac:dyDescent="0.45">
      <c r="A207" t="s">
        <v>7</v>
      </c>
      <c r="B207" t="s">
        <v>111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20</v>
      </c>
    </row>
    <row r="208" spans="1:13" x14ac:dyDescent="0.45">
      <c r="A208" t="s">
        <v>7</v>
      </c>
      <c r="B208" t="s">
        <v>111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20</v>
      </c>
    </row>
    <row r="209" spans="1:13" x14ac:dyDescent="0.45">
      <c r="A209" t="s">
        <v>7</v>
      </c>
      <c r="B209" t="s">
        <v>111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20</v>
      </c>
    </row>
    <row r="210" spans="1:13" x14ac:dyDescent="0.45">
      <c r="A210" t="s">
        <v>7</v>
      </c>
      <c r="B210" t="s">
        <v>111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20</v>
      </c>
    </row>
    <row r="211" spans="1:13" x14ac:dyDescent="0.45">
      <c r="A211" t="s">
        <v>7</v>
      </c>
      <c r="B211" t="s">
        <v>111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20</v>
      </c>
    </row>
    <row r="212" spans="1:13" x14ac:dyDescent="0.45">
      <c r="A212" t="s">
        <v>7</v>
      </c>
      <c r="B212" t="s">
        <v>111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20</v>
      </c>
    </row>
    <row r="213" spans="1:13" x14ac:dyDescent="0.45">
      <c r="A213" t="s">
        <v>7</v>
      </c>
      <c r="B213" t="s">
        <v>111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20</v>
      </c>
    </row>
    <row r="214" spans="1:13" x14ac:dyDescent="0.45">
      <c r="A214" t="s">
        <v>9</v>
      </c>
      <c r="B214" t="s">
        <v>111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20</v>
      </c>
    </row>
    <row r="215" spans="1:13" x14ac:dyDescent="0.45">
      <c r="A215" t="s">
        <v>9</v>
      </c>
      <c r="B215" t="s">
        <v>111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20</v>
      </c>
    </row>
    <row r="216" spans="1:13" x14ac:dyDescent="0.45">
      <c r="A216" t="s">
        <v>9</v>
      </c>
      <c r="B216" t="s">
        <v>111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20</v>
      </c>
    </row>
    <row r="217" spans="1:13" x14ac:dyDescent="0.45">
      <c r="A217" t="s">
        <v>9</v>
      </c>
      <c r="B217" t="s">
        <v>111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20</v>
      </c>
    </row>
    <row r="218" spans="1:13" x14ac:dyDescent="0.45">
      <c r="A218" t="s">
        <v>9</v>
      </c>
      <c r="B218" t="s">
        <v>111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20</v>
      </c>
    </row>
    <row r="219" spans="1:13" x14ac:dyDescent="0.45">
      <c r="A219" t="s">
        <v>9</v>
      </c>
      <c r="B219" t="s">
        <v>111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20</v>
      </c>
    </row>
    <row r="220" spans="1:13" x14ac:dyDescent="0.45">
      <c r="A220" t="s">
        <v>9</v>
      </c>
      <c r="B220" t="s">
        <v>111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20</v>
      </c>
    </row>
    <row r="221" spans="1:13" x14ac:dyDescent="0.45">
      <c r="A221" t="s">
        <v>0</v>
      </c>
      <c r="B221" t="s">
        <v>111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22</v>
      </c>
    </row>
    <row r="222" spans="1:13" x14ac:dyDescent="0.45">
      <c r="A222" t="s">
        <v>0</v>
      </c>
      <c r="B222" t="s">
        <v>111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22</v>
      </c>
    </row>
    <row r="223" spans="1:13" x14ac:dyDescent="0.45">
      <c r="A223" t="s">
        <v>0</v>
      </c>
      <c r="B223" t="s">
        <v>111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22</v>
      </c>
    </row>
    <row r="224" spans="1:13" x14ac:dyDescent="0.45">
      <c r="A224" t="s">
        <v>0</v>
      </c>
      <c r="B224" t="s">
        <v>111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22</v>
      </c>
    </row>
    <row r="225" spans="1:13" x14ac:dyDescent="0.45">
      <c r="A225" t="s">
        <v>0</v>
      </c>
      <c r="B225" t="s">
        <v>111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22</v>
      </c>
    </row>
    <row r="226" spans="1:13" x14ac:dyDescent="0.45">
      <c r="A226" t="s">
        <v>0</v>
      </c>
      <c r="B226" t="s">
        <v>111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22</v>
      </c>
    </row>
    <row r="227" spans="1:13" x14ac:dyDescent="0.45">
      <c r="A227" t="s">
        <v>0</v>
      </c>
      <c r="B227" t="s">
        <v>111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22</v>
      </c>
    </row>
    <row r="228" spans="1:13" x14ac:dyDescent="0.45">
      <c r="A228" t="s">
        <v>2</v>
      </c>
      <c r="B228" t="s">
        <v>111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22</v>
      </c>
    </row>
    <row r="229" spans="1:13" x14ac:dyDescent="0.45">
      <c r="A229" t="s">
        <v>2</v>
      </c>
      <c r="B229" t="s">
        <v>111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22</v>
      </c>
    </row>
    <row r="230" spans="1:13" x14ac:dyDescent="0.45">
      <c r="A230" t="s">
        <v>2</v>
      </c>
      <c r="B230" t="s">
        <v>111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22</v>
      </c>
    </row>
    <row r="231" spans="1:13" x14ac:dyDescent="0.45">
      <c r="A231" t="s">
        <v>2</v>
      </c>
      <c r="B231" t="s">
        <v>111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22</v>
      </c>
    </row>
    <row r="232" spans="1:13" x14ac:dyDescent="0.45">
      <c r="A232" t="s">
        <v>2</v>
      </c>
      <c r="B232" t="s">
        <v>111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22</v>
      </c>
    </row>
    <row r="233" spans="1:13" x14ac:dyDescent="0.45">
      <c r="A233" t="s">
        <v>2</v>
      </c>
      <c r="B233" t="s">
        <v>111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22</v>
      </c>
    </row>
    <row r="234" spans="1:13" x14ac:dyDescent="0.45">
      <c r="A234" t="s">
        <v>2</v>
      </c>
      <c r="B234" t="s">
        <v>111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22</v>
      </c>
    </row>
    <row r="235" spans="1:13" x14ac:dyDescent="0.45">
      <c r="A235" t="s">
        <v>5</v>
      </c>
      <c r="B235" t="s">
        <v>111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22</v>
      </c>
    </row>
    <row r="236" spans="1:13" x14ac:dyDescent="0.45">
      <c r="A236" t="s">
        <v>5</v>
      </c>
      <c r="B236" t="s">
        <v>111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22</v>
      </c>
    </row>
    <row r="237" spans="1:13" x14ac:dyDescent="0.45">
      <c r="A237" t="s">
        <v>5</v>
      </c>
      <c r="B237" t="s">
        <v>111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22</v>
      </c>
    </row>
    <row r="238" spans="1:13" x14ac:dyDescent="0.45">
      <c r="A238" t="s">
        <v>5</v>
      </c>
      <c r="B238" t="s">
        <v>111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22</v>
      </c>
    </row>
    <row r="239" spans="1:13" x14ac:dyDescent="0.45">
      <c r="A239" t="s">
        <v>5</v>
      </c>
      <c r="B239" t="s">
        <v>111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22</v>
      </c>
    </row>
    <row r="240" spans="1:13" x14ac:dyDescent="0.45">
      <c r="A240" t="s">
        <v>5</v>
      </c>
      <c r="B240" t="s">
        <v>111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22</v>
      </c>
    </row>
    <row r="241" spans="1:13" x14ac:dyDescent="0.45">
      <c r="A241" t="s">
        <v>5</v>
      </c>
      <c r="B241" t="s">
        <v>111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22</v>
      </c>
    </row>
    <row r="242" spans="1:13" x14ac:dyDescent="0.45">
      <c r="A242" t="s">
        <v>7</v>
      </c>
      <c r="B242" t="s">
        <v>111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22</v>
      </c>
    </row>
    <row r="243" spans="1:13" x14ac:dyDescent="0.45">
      <c r="A243" t="s">
        <v>7</v>
      </c>
      <c r="B243" t="s">
        <v>111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22</v>
      </c>
    </row>
    <row r="244" spans="1:13" x14ac:dyDescent="0.45">
      <c r="A244" t="s">
        <v>7</v>
      </c>
      <c r="B244" t="s">
        <v>111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22</v>
      </c>
    </row>
    <row r="245" spans="1:13" x14ac:dyDescent="0.45">
      <c r="A245" t="s">
        <v>7</v>
      </c>
      <c r="B245" t="s">
        <v>111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22</v>
      </c>
    </row>
    <row r="246" spans="1:13" x14ac:dyDescent="0.45">
      <c r="A246" t="s">
        <v>7</v>
      </c>
      <c r="B246" t="s">
        <v>111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22</v>
      </c>
    </row>
    <row r="247" spans="1:13" x14ac:dyDescent="0.45">
      <c r="A247" t="s">
        <v>7</v>
      </c>
      <c r="B247" t="s">
        <v>111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22</v>
      </c>
    </row>
    <row r="248" spans="1:13" x14ac:dyDescent="0.45">
      <c r="A248" t="s">
        <v>7</v>
      </c>
      <c r="B248" t="s">
        <v>111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22</v>
      </c>
    </row>
    <row r="249" spans="1:13" x14ac:dyDescent="0.45">
      <c r="A249" t="s">
        <v>9</v>
      </c>
      <c r="B249" t="s">
        <v>111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22</v>
      </c>
    </row>
    <row r="250" spans="1:13" x14ac:dyDescent="0.45">
      <c r="A250" t="s">
        <v>9</v>
      </c>
      <c r="B250" t="s">
        <v>111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22</v>
      </c>
    </row>
    <row r="251" spans="1:13" x14ac:dyDescent="0.45">
      <c r="A251" t="s">
        <v>9</v>
      </c>
      <c r="B251" t="s">
        <v>111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22</v>
      </c>
    </row>
    <row r="252" spans="1:13" x14ac:dyDescent="0.45">
      <c r="A252" t="s">
        <v>9</v>
      </c>
      <c r="B252" t="s">
        <v>111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22</v>
      </c>
    </row>
    <row r="253" spans="1:13" x14ac:dyDescent="0.45">
      <c r="A253" t="s">
        <v>9</v>
      </c>
      <c r="B253" t="s">
        <v>111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22</v>
      </c>
    </row>
    <row r="254" spans="1:13" x14ac:dyDescent="0.45">
      <c r="A254" t="s">
        <v>9</v>
      </c>
      <c r="B254" t="s">
        <v>111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22</v>
      </c>
    </row>
    <row r="255" spans="1:13" x14ac:dyDescent="0.45">
      <c r="A255" t="s">
        <v>9</v>
      </c>
      <c r="B255" t="s">
        <v>111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22</v>
      </c>
    </row>
    <row r="256" spans="1:13" x14ac:dyDescent="0.45">
      <c r="A256" t="s">
        <v>0</v>
      </c>
      <c r="B256" t="s">
        <v>111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111</v>
      </c>
      <c r="C257">
        <v>2025</v>
      </c>
      <c r="D257">
        <v>34</v>
      </c>
      <c r="E257" t="e">
        <v>#NUM!</v>
      </c>
      <c r="F257">
        <v>2.42</v>
      </c>
      <c r="H257">
        <v>1.18</v>
      </c>
      <c r="I257" t="e">
        <v>#NUM!</v>
      </c>
      <c r="J257">
        <v>2.0099999999999998</v>
      </c>
      <c r="K257">
        <v>2.75</v>
      </c>
      <c r="L257" t="s">
        <v>1</v>
      </c>
      <c r="M257" t="s">
        <v>68</v>
      </c>
    </row>
    <row r="258" spans="1:13" x14ac:dyDescent="0.45">
      <c r="A258" t="s">
        <v>0</v>
      </c>
      <c r="B258" t="s">
        <v>111</v>
      </c>
      <c r="C258">
        <v>2030</v>
      </c>
      <c r="D258">
        <v>34</v>
      </c>
      <c r="E258" t="e">
        <v>#NUM!</v>
      </c>
      <c r="F258">
        <v>3.1</v>
      </c>
      <c r="H258">
        <v>1.71</v>
      </c>
      <c r="I258" t="e">
        <v>#NUM!</v>
      </c>
      <c r="J258">
        <v>2.38</v>
      </c>
      <c r="K258">
        <v>3.46</v>
      </c>
      <c r="L258" t="s">
        <v>1</v>
      </c>
      <c r="M258" t="s">
        <v>68</v>
      </c>
    </row>
    <row r="259" spans="1:13" x14ac:dyDescent="0.45">
      <c r="A259" t="s">
        <v>0</v>
      </c>
      <c r="B259" t="s">
        <v>111</v>
      </c>
      <c r="C259">
        <v>2035</v>
      </c>
      <c r="D259">
        <v>34</v>
      </c>
      <c r="E259" t="e">
        <v>#NUM!</v>
      </c>
      <c r="F259">
        <v>3.54</v>
      </c>
      <c r="H259">
        <v>1.91</v>
      </c>
      <c r="I259" t="e">
        <v>#NUM!</v>
      </c>
      <c r="J259">
        <v>2.66</v>
      </c>
      <c r="K259">
        <v>4.16</v>
      </c>
      <c r="L259" t="s">
        <v>1</v>
      </c>
      <c r="M259" t="s">
        <v>68</v>
      </c>
    </row>
    <row r="260" spans="1:13" x14ac:dyDescent="0.45">
      <c r="A260" t="s">
        <v>0</v>
      </c>
      <c r="B260" t="s">
        <v>111</v>
      </c>
      <c r="C260">
        <v>2040</v>
      </c>
      <c r="D260">
        <v>34</v>
      </c>
      <c r="E260" t="e">
        <v>#NUM!</v>
      </c>
      <c r="F260">
        <v>4.0999999999999996</v>
      </c>
      <c r="H260">
        <v>2.27</v>
      </c>
      <c r="I260" t="e">
        <v>#NUM!</v>
      </c>
      <c r="J260">
        <v>2.96</v>
      </c>
      <c r="K260">
        <v>4.5199999999999996</v>
      </c>
      <c r="L260" t="s">
        <v>1</v>
      </c>
      <c r="M260" t="s">
        <v>68</v>
      </c>
    </row>
    <row r="261" spans="1:13" x14ac:dyDescent="0.45">
      <c r="A261" t="s">
        <v>0</v>
      </c>
      <c r="B261" t="s">
        <v>111</v>
      </c>
      <c r="C261">
        <v>2045</v>
      </c>
      <c r="D261">
        <v>34</v>
      </c>
      <c r="E261" t="e">
        <v>#NUM!</v>
      </c>
      <c r="F261">
        <v>3.86</v>
      </c>
      <c r="H261">
        <v>2.54</v>
      </c>
      <c r="I261" t="e">
        <v>#NUM!</v>
      </c>
      <c r="J261">
        <v>3.3</v>
      </c>
      <c r="K261">
        <v>4.8899999999999997</v>
      </c>
      <c r="L261" t="s">
        <v>1</v>
      </c>
      <c r="M261" t="s">
        <v>68</v>
      </c>
    </row>
    <row r="262" spans="1:13" x14ac:dyDescent="0.45">
      <c r="A262" t="s">
        <v>0</v>
      </c>
      <c r="B262" t="s">
        <v>111</v>
      </c>
      <c r="C262">
        <v>2050</v>
      </c>
      <c r="D262">
        <v>34</v>
      </c>
      <c r="E262" t="e">
        <v>#NUM!</v>
      </c>
      <c r="F262">
        <v>3.59</v>
      </c>
      <c r="H262">
        <v>2.73</v>
      </c>
      <c r="I262" t="e">
        <v>#NUM!</v>
      </c>
      <c r="J262">
        <v>3.07</v>
      </c>
      <c r="K262">
        <v>4.0599999999999996</v>
      </c>
      <c r="L262" t="s">
        <v>1</v>
      </c>
      <c r="M262" t="s">
        <v>68</v>
      </c>
    </row>
    <row r="263" spans="1:13" x14ac:dyDescent="0.45">
      <c r="A263" t="s">
        <v>2</v>
      </c>
      <c r="B263" t="s">
        <v>111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111</v>
      </c>
      <c r="C264">
        <v>2025</v>
      </c>
      <c r="D264">
        <v>44</v>
      </c>
      <c r="E264" t="e">
        <v>#NUM!</v>
      </c>
      <c r="F264">
        <v>1.22</v>
      </c>
      <c r="H264">
        <v>0</v>
      </c>
      <c r="I264" t="e">
        <v>#NUM!</v>
      </c>
      <c r="J264">
        <v>1.1299999999999999</v>
      </c>
      <c r="K264">
        <v>1.35</v>
      </c>
      <c r="L264" t="s">
        <v>3</v>
      </c>
      <c r="M264" t="s">
        <v>68</v>
      </c>
    </row>
    <row r="265" spans="1:13" x14ac:dyDescent="0.45">
      <c r="A265" t="s">
        <v>2</v>
      </c>
      <c r="B265" t="s">
        <v>111</v>
      </c>
      <c r="C265">
        <v>2030</v>
      </c>
      <c r="D265">
        <v>44</v>
      </c>
      <c r="E265" t="e">
        <v>#NUM!</v>
      </c>
      <c r="F265">
        <v>1.5</v>
      </c>
      <c r="H265">
        <v>0</v>
      </c>
      <c r="I265" t="e">
        <v>#NUM!</v>
      </c>
      <c r="J265">
        <v>1.31</v>
      </c>
      <c r="K265">
        <v>1.83</v>
      </c>
      <c r="L265" t="s">
        <v>3</v>
      </c>
      <c r="M265" t="s">
        <v>68</v>
      </c>
    </row>
    <row r="266" spans="1:13" x14ac:dyDescent="0.45">
      <c r="A266" t="s">
        <v>2</v>
      </c>
      <c r="B266" t="s">
        <v>111</v>
      </c>
      <c r="C266">
        <v>2035</v>
      </c>
      <c r="D266">
        <v>44</v>
      </c>
      <c r="E266" t="e">
        <v>#NUM!</v>
      </c>
      <c r="F266">
        <v>2.12</v>
      </c>
      <c r="H266">
        <v>0</v>
      </c>
      <c r="I266" t="e">
        <v>#NUM!</v>
      </c>
      <c r="J266">
        <v>1.68</v>
      </c>
      <c r="K266">
        <v>2.46</v>
      </c>
      <c r="L266" t="s">
        <v>3</v>
      </c>
      <c r="M266" t="s">
        <v>68</v>
      </c>
    </row>
    <row r="267" spans="1:13" x14ac:dyDescent="0.45">
      <c r="A267" t="s">
        <v>2</v>
      </c>
      <c r="B267" t="s">
        <v>111</v>
      </c>
      <c r="C267">
        <v>2040</v>
      </c>
      <c r="D267">
        <v>44</v>
      </c>
      <c r="E267" t="e">
        <v>#NUM!</v>
      </c>
      <c r="F267">
        <v>2.5</v>
      </c>
      <c r="H267">
        <v>0</v>
      </c>
      <c r="I267" t="e">
        <v>#NUM!</v>
      </c>
      <c r="J267">
        <v>2</v>
      </c>
      <c r="K267">
        <v>2.94</v>
      </c>
      <c r="L267" t="s">
        <v>3</v>
      </c>
      <c r="M267" t="s">
        <v>68</v>
      </c>
    </row>
    <row r="268" spans="1:13" x14ac:dyDescent="0.45">
      <c r="A268" t="s">
        <v>2</v>
      </c>
      <c r="B268" t="s">
        <v>111</v>
      </c>
      <c r="C268">
        <v>2045</v>
      </c>
      <c r="D268">
        <v>44</v>
      </c>
      <c r="E268" t="e">
        <v>#NUM!</v>
      </c>
      <c r="F268">
        <v>2.79</v>
      </c>
      <c r="H268">
        <v>0</v>
      </c>
      <c r="I268" t="e">
        <v>#NUM!</v>
      </c>
      <c r="J268">
        <v>2.08</v>
      </c>
      <c r="K268">
        <v>3.44</v>
      </c>
      <c r="L268" t="s">
        <v>3</v>
      </c>
      <c r="M268" t="s">
        <v>68</v>
      </c>
    </row>
    <row r="269" spans="1:13" x14ac:dyDescent="0.45">
      <c r="A269" t="s">
        <v>2</v>
      </c>
      <c r="B269" t="s">
        <v>111</v>
      </c>
      <c r="C269">
        <v>2050</v>
      </c>
      <c r="D269">
        <v>44</v>
      </c>
      <c r="E269" t="e">
        <v>#NUM!</v>
      </c>
      <c r="F269">
        <v>2.95</v>
      </c>
      <c r="H269">
        <v>0</v>
      </c>
      <c r="I269" t="e">
        <v>#NUM!</v>
      </c>
      <c r="J269">
        <v>2.4900000000000002</v>
      </c>
      <c r="K269">
        <v>3.78</v>
      </c>
      <c r="L269" t="s">
        <v>3</v>
      </c>
      <c r="M269" t="s">
        <v>68</v>
      </c>
    </row>
    <row r="270" spans="1:13" x14ac:dyDescent="0.45">
      <c r="A270" t="s">
        <v>5</v>
      </c>
      <c r="B270" t="s">
        <v>111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111</v>
      </c>
      <c r="C271">
        <v>2025</v>
      </c>
      <c r="D271">
        <v>112</v>
      </c>
      <c r="E271" t="e">
        <v>#NUM!</v>
      </c>
      <c r="F271">
        <v>1.41</v>
      </c>
      <c r="H271">
        <v>0.98</v>
      </c>
      <c r="I271" t="e">
        <v>#NUM!</v>
      </c>
      <c r="J271">
        <v>1.23</v>
      </c>
      <c r="K271">
        <v>1.96</v>
      </c>
      <c r="L271" t="s">
        <v>6</v>
      </c>
      <c r="M271" t="s">
        <v>68</v>
      </c>
    </row>
    <row r="272" spans="1:13" x14ac:dyDescent="0.45">
      <c r="A272" t="s">
        <v>5</v>
      </c>
      <c r="B272" t="s">
        <v>111</v>
      </c>
      <c r="C272">
        <v>2030</v>
      </c>
      <c r="D272">
        <v>112</v>
      </c>
      <c r="E272" t="e">
        <v>#NUM!</v>
      </c>
      <c r="F272">
        <v>2.04</v>
      </c>
      <c r="H272">
        <v>1.05</v>
      </c>
      <c r="I272" t="e">
        <v>#NUM!</v>
      </c>
      <c r="J272">
        <v>1.52</v>
      </c>
      <c r="K272">
        <v>2.5499999999999998</v>
      </c>
      <c r="L272" t="s">
        <v>6</v>
      </c>
      <c r="M272" t="s">
        <v>68</v>
      </c>
    </row>
    <row r="273" spans="1:13" x14ac:dyDescent="0.45">
      <c r="A273" t="s">
        <v>5</v>
      </c>
      <c r="B273" t="s">
        <v>111</v>
      </c>
      <c r="C273">
        <v>2035</v>
      </c>
      <c r="D273">
        <v>112</v>
      </c>
      <c r="E273" t="e">
        <v>#NUM!</v>
      </c>
      <c r="F273">
        <v>2.4</v>
      </c>
      <c r="H273">
        <v>1.05</v>
      </c>
      <c r="I273" t="e">
        <v>#NUM!</v>
      </c>
      <c r="J273">
        <v>1.71</v>
      </c>
      <c r="K273">
        <v>3.14</v>
      </c>
      <c r="L273" t="s">
        <v>6</v>
      </c>
      <c r="M273" t="s">
        <v>68</v>
      </c>
    </row>
    <row r="274" spans="1:13" x14ac:dyDescent="0.45">
      <c r="A274" t="s">
        <v>5</v>
      </c>
      <c r="B274" t="s">
        <v>111</v>
      </c>
      <c r="C274">
        <v>2040</v>
      </c>
      <c r="D274">
        <v>112</v>
      </c>
      <c r="E274" t="e">
        <v>#NUM!</v>
      </c>
      <c r="F274">
        <v>2.6</v>
      </c>
      <c r="H274">
        <v>1.06</v>
      </c>
      <c r="I274" t="e">
        <v>#NUM!</v>
      </c>
      <c r="J274">
        <v>1.85</v>
      </c>
      <c r="K274">
        <v>3.74</v>
      </c>
      <c r="L274" t="s">
        <v>6</v>
      </c>
      <c r="M274" t="s">
        <v>68</v>
      </c>
    </row>
    <row r="275" spans="1:13" x14ac:dyDescent="0.45">
      <c r="A275" t="s">
        <v>5</v>
      </c>
      <c r="B275" t="s">
        <v>111</v>
      </c>
      <c r="C275">
        <v>2045</v>
      </c>
      <c r="D275">
        <v>112</v>
      </c>
      <c r="E275" t="e">
        <v>#NUM!</v>
      </c>
      <c r="F275">
        <v>2.85</v>
      </c>
      <c r="H275">
        <v>1.08</v>
      </c>
      <c r="I275" t="e">
        <v>#NUM!</v>
      </c>
      <c r="J275">
        <v>2</v>
      </c>
      <c r="K275">
        <v>4.28</v>
      </c>
      <c r="L275" t="s">
        <v>6</v>
      </c>
      <c r="M275" t="s">
        <v>68</v>
      </c>
    </row>
    <row r="276" spans="1:13" x14ac:dyDescent="0.45">
      <c r="A276" t="s">
        <v>5</v>
      </c>
      <c r="B276" t="s">
        <v>111</v>
      </c>
      <c r="C276">
        <v>2050</v>
      </c>
      <c r="D276">
        <v>112</v>
      </c>
      <c r="E276" t="e">
        <v>#NUM!</v>
      </c>
      <c r="F276">
        <v>2.97</v>
      </c>
      <c r="H276">
        <v>0</v>
      </c>
      <c r="I276" t="e">
        <v>#NUM!</v>
      </c>
      <c r="J276">
        <v>2.15</v>
      </c>
      <c r="K276">
        <v>4.51</v>
      </c>
      <c r="L276" t="s">
        <v>6</v>
      </c>
      <c r="M276" t="s">
        <v>68</v>
      </c>
    </row>
    <row r="277" spans="1:13" x14ac:dyDescent="0.45">
      <c r="A277" t="s">
        <v>7</v>
      </c>
      <c r="B277" t="s">
        <v>111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111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68</v>
      </c>
    </row>
    <row r="279" spans="1:13" x14ac:dyDescent="0.45">
      <c r="A279" t="s">
        <v>7</v>
      </c>
      <c r="B279" t="s">
        <v>111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68</v>
      </c>
    </row>
    <row r="280" spans="1:13" x14ac:dyDescent="0.45">
      <c r="A280" t="s">
        <v>7</v>
      </c>
      <c r="B280" t="s">
        <v>111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68</v>
      </c>
    </row>
    <row r="281" spans="1:13" x14ac:dyDescent="0.45">
      <c r="A281" t="s">
        <v>7</v>
      </c>
      <c r="B281" t="s">
        <v>111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68</v>
      </c>
    </row>
    <row r="282" spans="1:13" x14ac:dyDescent="0.45">
      <c r="A282" t="s">
        <v>7</v>
      </c>
      <c r="B282" t="s">
        <v>111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68</v>
      </c>
    </row>
    <row r="283" spans="1:13" x14ac:dyDescent="0.45">
      <c r="A283" t="s">
        <v>7</v>
      </c>
      <c r="B283" t="s">
        <v>111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68</v>
      </c>
    </row>
    <row r="284" spans="1:13" x14ac:dyDescent="0.45">
      <c r="A284" t="s">
        <v>9</v>
      </c>
      <c r="B284" t="s">
        <v>111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111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68</v>
      </c>
    </row>
    <row r="286" spans="1:13" x14ac:dyDescent="0.45">
      <c r="A286" t="s">
        <v>9</v>
      </c>
      <c r="B286" t="s">
        <v>111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68</v>
      </c>
    </row>
    <row r="287" spans="1:13" x14ac:dyDescent="0.45">
      <c r="A287" t="s">
        <v>9</v>
      </c>
      <c r="B287" t="s">
        <v>111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68</v>
      </c>
    </row>
    <row r="288" spans="1:13" x14ac:dyDescent="0.45">
      <c r="A288" t="s">
        <v>9</v>
      </c>
      <c r="B288" t="s">
        <v>111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68</v>
      </c>
    </row>
    <row r="289" spans="1:13" x14ac:dyDescent="0.45">
      <c r="A289" t="s">
        <v>9</v>
      </c>
      <c r="B289" t="s">
        <v>111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68</v>
      </c>
    </row>
    <row r="290" spans="1:13" x14ac:dyDescent="0.45">
      <c r="A290" t="s">
        <v>9</v>
      </c>
      <c r="B290" t="s">
        <v>111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68</v>
      </c>
    </row>
    <row r="291" spans="1:13" x14ac:dyDescent="0.45">
      <c r="A291" t="s">
        <v>0</v>
      </c>
      <c r="B291" t="s">
        <v>111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111</v>
      </c>
      <c r="C292">
        <v>2025</v>
      </c>
      <c r="D292">
        <v>50</v>
      </c>
      <c r="E292" t="e">
        <v>#NUM!</v>
      </c>
      <c r="F292">
        <v>1.1000000000000001</v>
      </c>
      <c r="H292">
        <v>-4.33</v>
      </c>
      <c r="I292" t="e">
        <v>#NUM!</v>
      </c>
      <c r="J292">
        <v>0.81</v>
      </c>
      <c r="K292">
        <v>1.5</v>
      </c>
      <c r="L292" t="s">
        <v>1</v>
      </c>
      <c r="M292" t="s">
        <v>69</v>
      </c>
    </row>
    <row r="293" spans="1:13" x14ac:dyDescent="0.45">
      <c r="A293" t="s">
        <v>0</v>
      </c>
      <c r="B293" t="s">
        <v>111</v>
      </c>
      <c r="C293">
        <v>2030</v>
      </c>
      <c r="D293">
        <v>50</v>
      </c>
      <c r="E293" t="e">
        <v>#NUM!</v>
      </c>
      <c r="F293">
        <v>1.77</v>
      </c>
      <c r="H293">
        <v>-6.1</v>
      </c>
      <c r="I293" t="e">
        <v>#NUM!</v>
      </c>
      <c r="J293">
        <v>1.27</v>
      </c>
      <c r="K293">
        <v>2.54</v>
      </c>
      <c r="L293" t="s">
        <v>1</v>
      </c>
      <c r="M293" t="s">
        <v>69</v>
      </c>
    </row>
    <row r="294" spans="1:13" x14ac:dyDescent="0.45">
      <c r="A294" t="s">
        <v>0</v>
      </c>
      <c r="B294" t="s">
        <v>111</v>
      </c>
      <c r="C294">
        <v>2035</v>
      </c>
      <c r="D294">
        <v>50</v>
      </c>
      <c r="E294" t="e">
        <v>#NUM!</v>
      </c>
      <c r="F294">
        <v>1.87</v>
      </c>
      <c r="H294">
        <v>-6.86</v>
      </c>
      <c r="I294" t="e">
        <v>#NUM!</v>
      </c>
      <c r="J294">
        <v>1.1499999999999999</v>
      </c>
      <c r="K294">
        <v>2.77</v>
      </c>
      <c r="L294" t="s">
        <v>1</v>
      </c>
      <c r="M294" t="s">
        <v>69</v>
      </c>
    </row>
    <row r="295" spans="1:13" x14ac:dyDescent="0.45">
      <c r="A295" t="s">
        <v>0</v>
      </c>
      <c r="B295" t="s">
        <v>111</v>
      </c>
      <c r="C295">
        <v>2040</v>
      </c>
      <c r="D295">
        <v>50</v>
      </c>
      <c r="E295" t="e">
        <v>#NUM!</v>
      </c>
      <c r="F295">
        <v>1.96</v>
      </c>
      <c r="H295">
        <v>-9.2100000000000009</v>
      </c>
      <c r="I295" t="e">
        <v>#NUM!</v>
      </c>
      <c r="J295">
        <v>1.31</v>
      </c>
      <c r="K295">
        <v>3.39</v>
      </c>
      <c r="L295" t="s">
        <v>1</v>
      </c>
      <c r="M295" t="s">
        <v>69</v>
      </c>
    </row>
    <row r="296" spans="1:13" x14ac:dyDescent="0.45">
      <c r="A296" t="s">
        <v>0</v>
      </c>
      <c r="B296" t="s">
        <v>111</v>
      </c>
      <c r="C296">
        <v>2045</v>
      </c>
      <c r="D296">
        <v>50</v>
      </c>
      <c r="E296" t="e">
        <v>#NUM!</v>
      </c>
      <c r="F296">
        <v>2.13</v>
      </c>
      <c r="H296">
        <v>-6.95</v>
      </c>
      <c r="I296" t="e">
        <v>#NUM!</v>
      </c>
      <c r="J296">
        <v>1.6</v>
      </c>
      <c r="K296">
        <v>3.41</v>
      </c>
      <c r="L296" t="s">
        <v>1</v>
      </c>
      <c r="M296" t="s">
        <v>69</v>
      </c>
    </row>
    <row r="297" spans="1:13" x14ac:dyDescent="0.45">
      <c r="A297" t="s">
        <v>0</v>
      </c>
      <c r="B297" t="s">
        <v>111</v>
      </c>
      <c r="C297">
        <v>2050</v>
      </c>
      <c r="D297">
        <v>50</v>
      </c>
      <c r="E297" t="e">
        <v>#NUM!</v>
      </c>
      <c r="F297">
        <v>2</v>
      </c>
      <c r="H297">
        <v>-10.07</v>
      </c>
      <c r="I297" t="e">
        <v>#NUM!</v>
      </c>
      <c r="J297">
        <v>1.55</v>
      </c>
      <c r="K297">
        <v>4.63</v>
      </c>
      <c r="L297" t="s">
        <v>1</v>
      </c>
      <c r="M297" t="s">
        <v>69</v>
      </c>
    </row>
    <row r="298" spans="1:13" x14ac:dyDescent="0.45">
      <c r="A298" t="s">
        <v>2</v>
      </c>
      <c r="B298" t="s">
        <v>111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111</v>
      </c>
      <c r="C299">
        <v>2025</v>
      </c>
      <c r="D299">
        <v>52</v>
      </c>
      <c r="E299" t="e">
        <v>#NUM!</v>
      </c>
      <c r="F299">
        <v>0.61</v>
      </c>
      <c r="H299">
        <v>0</v>
      </c>
      <c r="I299" t="e">
        <v>#NUM!</v>
      </c>
      <c r="J299">
        <v>0.53</v>
      </c>
      <c r="K299">
        <v>0.89</v>
      </c>
      <c r="L299" t="s">
        <v>3</v>
      </c>
      <c r="M299" t="s">
        <v>69</v>
      </c>
    </row>
    <row r="300" spans="1:13" x14ac:dyDescent="0.45">
      <c r="A300" t="s">
        <v>2</v>
      </c>
      <c r="B300" t="s">
        <v>111</v>
      </c>
      <c r="C300">
        <v>2030</v>
      </c>
      <c r="D300">
        <v>63</v>
      </c>
      <c r="E300" t="e">
        <v>#NUM!</v>
      </c>
      <c r="F300">
        <v>1.07</v>
      </c>
      <c r="H300">
        <v>0</v>
      </c>
      <c r="I300" t="e">
        <v>#NUM!</v>
      </c>
      <c r="J300">
        <v>0.6</v>
      </c>
      <c r="K300">
        <v>1.55</v>
      </c>
      <c r="L300" t="s">
        <v>3</v>
      </c>
      <c r="M300" t="s">
        <v>69</v>
      </c>
    </row>
    <row r="301" spans="1:13" x14ac:dyDescent="0.45">
      <c r="A301" t="s">
        <v>2</v>
      </c>
      <c r="B301" t="s">
        <v>111</v>
      </c>
      <c r="C301">
        <v>2035</v>
      </c>
      <c r="D301">
        <v>52</v>
      </c>
      <c r="E301" t="e">
        <v>#NUM!</v>
      </c>
      <c r="F301">
        <v>1.0900000000000001</v>
      </c>
      <c r="H301">
        <v>0</v>
      </c>
      <c r="I301" t="e">
        <v>#NUM!</v>
      </c>
      <c r="J301">
        <v>0.6</v>
      </c>
      <c r="K301">
        <v>1.76</v>
      </c>
      <c r="L301" t="s">
        <v>3</v>
      </c>
      <c r="M301" t="s">
        <v>69</v>
      </c>
    </row>
    <row r="302" spans="1:13" x14ac:dyDescent="0.45">
      <c r="A302" t="s">
        <v>2</v>
      </c>
      <c r="B302" t="s">
        <v>111</v>
      </c>
      <c r="C302">
        <v>2040</v>
      </c>
      <c r="D302">
        <v>63</v>
      </c>
      <c r="E302" t="e">
        <v>#NUM!</v>
      </c>
      <c r="F302">
        <v>1.25</v>
      </c>
      <c r="H302">
        <v>0</v>
      </c>
      <c r="I302" t="e">
        <v>#NUM!</v>
      </c>
      <c r="J302">
        <v>0.87</v>
      </c>
      <c r="K302">
        <v>1.91</v>
      </c>
      <c r="L302" t="s">
        <v>3</v>
      </c>
      <c r="M302" t="s">
        <v>69</v>
      </c>
    </row>
    <row r="303" spans="1:13" x14ac:dyDescent="0.45">
      <c r="A303" t="s">
        <v>2</v>
      </c>
      <c r="B303" t="s">
        <v>111</v>
      </c>
      <c r="C303">
        <v>2045</v>
      </c>
      <c r="D303">
        <v>52</v>
      </c>
      <c r="E303" t="e">
        <v>#NUM!</v>
      </c>
      <c r="F303">
        <v>1.35</v>
      </c>
      <c r="H303">
        <v>0</v>
      </c>
      <c r="I303" t="e">
        <v>#NUM!</v>
      </c>
      <c r="J303">
        <v>0.78</v>
      </c>
      <c r="K303">
        <v>1.89</v>
      </c>
      <c r="L303" t="s">
        <v>3</v>
      </c>
      <c r="M303" t="s">
        <v>69</v>
      </c>
    </row>
    <row r="304" spans="1:13" x14ac:dyDescent="0.45">
      <c r="A304" t="s">
        <v>2</v>
      </c>
      <c r="B304" t="s">
        <v>111</v>
      </c>
      <c r="C304">
        <v>2050</v>
      </c>
      <c r="D304">
        <v>63</v>
      </c>
      <c r="E304" t="e">
        <v>#NUM!</v>
      </c>
      <c r="F304">
        <v>1.62</v>
      </c>
      <c r="H304">
        <v>-2.31</v>
      </c>
      <c r="I304" t="e">
        <v>#NUM!</v>
      </c>
      <c r="J304">
        <v>0.61</v>
      </c>
      <c r="K304">
        <v>2.16</v>
      </c>
      <c r="L304" t="s">
        <v>3</v>
      </c>
      <c r="M304" t="s">
        <v>69</v>
      </c>
    </row>
    <row r="305" spans="1:13" x14ac:dyDescent="0.45">
      <c r="A305" t="s">
        <v>5</v>
      </c>
      <c r="B305" t="s">
        <v>111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111</v>
      </c>
      <c r="C306">
        <v>2025</v>
      </c>
      <c r="D306">
        <v>163</v>
      </c>
      <c r="E306" t="e">
        <v>#NUM!</v>
      </c>
      <c r="F306">
        <v>0.75</v>
      </c>
      <c r="H306">
        <v>0.46</v>
      </c>
      <c r="I306" t="e">
        <v>#NUM!</v>
      </c>
      <c r="J306">
        <v>0.54</v>
      </c>
      <c r="K306">
        <v>1.24</v>
      </c>
      <c r="L306" t="s">
        <v>6</v>
      </c>
      <c r="M306" t="s">
        <v>69</v>
      </c>
    </row>
    <row r="307" spans="1:13" x14ac:dyDescent="0.45">
      <c r="A307" t="s">
        <v>5</v>
      </c>
      <c r="B307" t="s">
        <v>111</v>
      </c>
      <c r="C307">
        <v>2030</v>
      </c>
      <c r="D307">
        <v>166</v>
      </c>
      <c r="E307" t="e">
        <v>#NUM!</v>
      </c>
      <c r="F307">
        <v>1.1499999999999999</v>
      </c>
      <c r="H307">
        <v>0.51</v>
      </c>
      <c r="I307" t="e">
        <v>#NUM!</v>
      </c>
      <c r="J307">
        <v>0.74</v>
      </c>
      <c r="K307">
        <v>1.65</v>
      </c>
      <c r="L307" t="s">
        <v>6</v>
      </c>
      <c r="M307" t="s">
        <v>69</v>
      </c>
    </row>
    <row r="308" spans="1:13" x14ac:dyDescent="0.45">
      <c r="A308" t="s">
        <v>5</v>
      </c>
      <c r="B308" t="s">
        <v>111</v>
      </c>
      <c r="C308">
        <v>2035</v>
      </c>
      <c r="D308">
        <v>163</v>
      </c>
      <c r="E308" t="e">
        <v>#NUM!</v>
      </c>
      <c r="F308">
        <v>1.21</v>
      </c>
      <c r="H308">
        <v>-0.95</v>
      </c>
      <c r="I308" t="e">
        <v>#NUM!</v>
      </c>
      <c r="J308">
        <v>0.88</v>
      </c>
      <c r="K308">
        <v>2.11</v>
      </c>
      <c r="L308" t="s">
        <v>6</v>
      </c>
      <c r="M308" t="s">
        <v>69</v>
      </c>
    </row>
    <row r="309" spans="1:13" x14ac:dyDescent="0.45">
      <c r="A309" t="s">
        <v>5</v>
      </c>
      <c r="B309" t="s">
        <v>111</v>
      </c>
      <c r="C309">
        <v>2040</v>
      </c>
      <c r="D309">
        <v>166</v>
      </c>
      <c r="E309" t="e">
        <v>#NUM!</v>
      </c>
      <c r="F309">
        <v>1.28</v>
      </c>
      <c r="H309">
        <v>-1.8</v>
      </c>
      <c r="I309" t="e">
        <v>#NUM!</v>
      </c>
      <c r="J309">
        <v>0.89</v>
      </c>
      <c r="K309">
        <v>2.4300000000000002</v>
      </c>
      <c r="L309" t="s">
        <v>6</v>
      </c>
      <c r="M309" t="s">
        <v>69</v>
      </c>
    </row>
    <row r="310" spans="1:13" x14ac:dyDescent="0.45">
      <c r="A310" t="s">
        <v>5</v>
      </c>
      <c r="B310" t="s">
        <v>111</v>
      </c>
      <c r="C310">
        <v>2045</v>
      </c>
      <c r="D310">
        <v>163</v>
      </c>
      <c r="E310" t="e">
        <v>#NUM!</v>
      </c>
      <c r="F310">
        <v>1.48</v>
      </c>
      <c r="H310">
        <v>-5.93</v>
      </c>
      <c r="I310" t="e">
        <v>#NUM!</v>
      </c>
      <c r="J310">
        <v>1.08</v>
      </c>
      <c r="K310">
        <v>2.75</v>
      </c>
      <c r="L310" t="s">
        <v>6</v>
      </c>
      <c r="M310" t="s">
        <v>69</v>
      </c>
    </row>
    <row r="311" spans="1:13" x14ac:dyDescent="0.45">
      <c r="A311" t="s">
        <v>5</v>
      </c>
      <c r="B311" t="s">
        <v>111</v>
      </c>
      <c r="C311">
        <v>2050</v>
      </c>
      <c r="D311">
        <v>166</v>
      </c>
      <c r="E311" t="e">
        <v>#NUM!</v>
      </c>
      <c r="F311">
        <v>1.59</v>
      </c>
      <c r="H311">
        <v>-5.35</v>
      </c>
      <c r="I311" t="e">
        <v>#NUM!</v>
      </c>
      <c r="J311">
        <v>0.97</v>
      </c>
      <c r="K311">
        <v>2.91</v>
      </c>
      <c r="L311" t="s">
        <v>6</v>
      </c>
      <c r="M311" t="s">
        <v>69</v>
      </c>
    </row>
    <row r="312" spans="1:13" x14ac:dyDescent="0.45">
      <c r="A312" t="s">
        <v>7</v>
      </c>
      <c r="B312" t="s">
        <v>111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111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69</v>
      </c>
    </row>
    <row r="314" spans="1:13" x14ac:dyDescent="0.45">
      <c r="A314" t="s">
        <v>7</v>
      </c>
      <c r="B314" t="s">
        <v>111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69</v>
      </c>
    </row>
    <row r="315" spans="1:13" x14ac:dyDescent="0.45">
      <c r="A315" t="s">
        <v>7</v>
      </c>
      <c r="B315" t="s">
        <v>111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69</v>
      </c>
    </row>
    <row r="316" spans="1:13" x14ac:dyDescent="0.45">
      <c r="A316" t="s">
        <v>7</v>
      </c>
      <c r="B316" t="s">
        <v>111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69</v>
      </c>
    </row>
    <row r="317" spans="1:13" x14ac:dyDescent="0.45">
      <c r="A317" t="s">
        <v>7</v>
      </c>
      <c r="B317" t="s">
        <v>111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69</v>
      </c>
    </row>
    <row r="318" spans="1:13" x14ac:dyDescent="0.45">
      <c r="A318" t="s">
        <v>7</v>
      </c>
      <c r="B318" t="s">
        <v>111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69</v>
      </c>
    </row>
    <row r="319" spans="1:13" x14ac:dyDescent="0.45">
      <c r="A319" t="s">
        <v>9</v>
      </c>
      <c r="B319" t="s">
        <v>111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111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69</v>
      </c>
    </row>
    <row r="321" spans="1:13" x14ac:dyDescent="0.45">
      <c r="A321" t="s">
        <v>9</v>
      </c>
      <c r="B321" t="s">
        <v>111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69</v>
      </c>
    </row>
    <row r="322" spans="1:13" x14ac:dyDescent="0.45">
      <c r="A322" t="s">
        <v>9</v>
      </c>
      <c r="B322" t="s">
        <v>111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69</v>
      </c>
    </row>
    <row r="323" spans="1:13" x14ac:dyDescent="0.45">
      <c r="A323" t="s">
        <v>9</v>
      </c>
      <c r="B323" t="s">
        <v>111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69</v>
      </c>
    </row>
    <row r="324" spans="1:13" x14ac:dyDescent="0.45">
      <c r="A324" t="s">
        <v>9</v>
      </c>
      <c r="B324" t="s">
        <v>111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69</v>
      </c>
    </row>
    <row r="325" spans="1:13" x14ac:dyDescent="0.45">
      <c r="A325" t="s">
        <v>9</v>
      </c>
      <c r="B325" t="s">
        <v>111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69</v>
      </c>
    </row>
    <row r="326" spans="1:13" x14ac:dyDescent="0.45">
      <c r="A326" t="s">
        <v>0</v>
      </c>
      <c r="B326" t="s">
        <v>111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111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70</v>
      </c>
    </row>
    <row r="328" spans="1:13" x14ac:dyDescent="0.45">
      <c r="A328" t="s">
        <v>0</v>
      </c>
      <c r="B328" t="s">
        <v>111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70</v>
      </c>
    </row>
    <row r="329" spans="1:13" x14ac:dyDescent="0.45">
      <c r="A329" t="s">
        <v>0</v>
      </c>
      <c r="B329" t="s">
        <v>111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70</v>
      </c>
    </row>
    <row r="330" spans="1:13" x14ac:dyDescent="0.45">
      <c r="A330" t="s">
        <v>0</v>
      </c>
      <c r="B330" t="s">
        <v>111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70</v>
      </c>
    </row>
    <row r="331" spans="1:13" x14ac:dyDescent="0.45">
      <c r="A331" t="s">
        <v>0</v>
      </c>
      <c r="B331" t="s">
        <v>111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70</v>
      </c>
    </row>
    <row r="332" spans="1:13" x14ac:dyDescent="0.45">
      <c r="A332" t="s">
        <v>0</v>
      </c>
      <c r="B332" t="s">
        <v>111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70</v>
      </c>
    </row>
    <row r="333" spans="1:13" x14ac:dyDescent="0.45">
      <c r="A333" t="s">
        <v>2</v>
      </c>
      <c r="B333" t="s">
        <v>111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111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70</v>
      </c>
    </row>
    <row r="335" spans="1:13" x14ac:dyDescent="0.45">
      <c r="A335" t="s">
        <v>2</v>
      </c>
      <c r="B335" t="s">
        <v>111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70</v>
      </c>
    </row>
    <row r="336" spans="1:13" x14ac:dyDescent="0.45">
      <c r="A336" t="s">
        <v>2</v>
      </c>
      <c r="B336" t="s">
        <v>111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70</v>
      </c>
    </row>
    <row r="337" spans="1:13" x14ac:dyDescent="0.45">
      <c r="A337" t="s">
        <v>2</v>
      </c>
      <c r="B337" t="s">
        <v>111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70</v>
      </c>
    </row>
    <row r="338" spans="1:13" x14ac:dyDescent="0.45">
      <c r="A338" t="s">
        <v>2</v>
      </c>
      <c r="B338" t="s">
        <v>111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70</v>
      </c>
    </row>
    <row r="339" spans="1:13" x14ac:dyDescent="0.45">
      <c r="A339" t="s">
        <v>2</v>
      </c>
      <c r="B339" t="s">
        <v>111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70</v>
      </c>
    </row>
    <row r="340" spans="1:13" x14ac:dyDescent="0.45">
      <c r="A340" t="s">
        <v>5</v>
      </c>
      <c r="B340" t="s">
        <v>111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111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70</v>
      </c>
    </row>
    <row r="342" spans="1:13" x14ac:dyDescent="0.45">
      <c r="A342" t="s">
        <v>5</v>
      </c>
      <c r="B342" t="s">
        <v>111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70</v>
      </c>
    </row>
    <row r="343" spans="1:13" x14ac:dyDescent="0.45">
      <c r="A343" t="s">
        <v>5</v>
      </c>
      <c r="B343" t="s">
        <v>111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70</v>
      </c>
    </row>
    <row r="344" spans="1:13" x14ac:dyDescent="0.45">
      <c r="A344" t="s">
        <v>5</v>
      </c>
      <c r="B344" t="s">
        <v>111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70</v>
      </c>
    </row>
    <row r="345" spans="1:13" x14ac:dyDescent="0.45">
      <c r="A345" t="s">
        <v>5</v>
      </c>
      <c r="B345" t="s">
        <v>111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70</v>
      </c>
    </row>
    <row r="346" spans="1:13" x14ac:dyDescent="0.45">
      <c r="A346" t="s">
        <v>5</v>
      </c>
      <c r="B346" t="s">
        <v>111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70</v>
      </c>
    </row>
    <row r="347" spans="1:13" x14ac:dyDescent="0.45">
      <c r="A347" t="s">
        <v>7</v>
      </c>
      <c r="B347" t="s">
        <v>111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111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70</v>
      </c>
    </row>
    <row r="349" spans="1:13" x14ac:dyDescent="0.45">
      <c r="A349" t="s">
        <v>7</v>
      </c>
      <c r="B349" t="s">
        <v>111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70</v>
      </c>
    </row>
    <row r="350" spans="1:13" x14ac:dyDescent="0.45">
      <c r="A350" t="s">
        <v>7</v>
      </c>
      <c r="B350" t="s">
        <v>111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70</v>
      </c>
    </row>
    <row r="351" spans="1:13" x14ac:dyDescent="0.45">
      <c r="A351" t="s">
        <v>7</v>
      </c>
      <c r="B351" t="s">
        <v>111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70</v>
      </c>
    </row>
    <row r="352" spans="1:13" x14ac:dyDescent="0.45">
      <c r="A352" t="s">
        <v>7</v>
      </c>
      <c r="B352" t="s">
        <v>111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70</v>
      </c>
    </row>
    <row r="353" spans="1:13" x14ac:dyDescent="0.45">
      <c r="A353" t="s">
        <v>7</v>
      </c>
      <c r="B353" t="s">
        <v>111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70</v>
      </c>
    </row>
    <row r="354" spans="1:13" x14ac:dyDescent="0.45">
      <c r="A354" t="s">
        <v>9</v>
      </c>
      <c r="B354" t="s">
        <v>111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111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70</v>
      </c>
    </row>
    <row r="356" spans="1:13" x14ac:dyDescent="0.45">
      <c r="A356" t="s">
        <v>9</v>
      </c>
      <c r="B356" t="s">
        <v>111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70</v>
      </c>
    </row>
    <row r="357" spans="1:13" x14ac:dyDescent="0.45">
      <c r="A357" t="s">
        <v>9</v>
      </c>
      <c r="B357" t="s">
        <v>111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70</v>
      </c>
    </row>
    <row r="358" spans="1:13" x14ac:dyDescent="0.45">
      <c r="A358" t="s">
        <v>9</v>
      </c>
      <c r="B358" t="s">
        <v>111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70</v>
      </c>
    </row>
    <row r="359" spans="1:13" x14ac:dyDescent="0.45">
      <c r="A359" t="s">
        <v>9</v>
      </c>
      <c r="B359" t="s">
        <v>111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70</v>
      </c>
    </row>
    <row r="360" spans="1:13" x14ac:dyDescent="0.45">
      <c r="A360" t="s">
        <v>9</v>
      </c>
      <c r="B360" t="s">
        <v>111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70</v>
      </c>
    </row>
    <row r="361" spans="1:13" x14ac:dyDescent="0.45">
      <c r="A361" t="s">
        <v>0</v>
      </c>
      <c r="B361" t="s">
        <v>111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111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71</v>
      </c>
    </row>
    <row r="363" spans="1:13" x14ac:dyDescent="0.45">
      <c r="A363" t="s">
        <v>0</v>
      </c>
      <c r="B363" t="s">
        <v>111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71</v>
      </c>
    </row>
    <row r="364" spans="1:13" x14ac:dyDescent="0.45">
      <c r="A364" t="s">
        <v>0</v>
      </c>
      <c r="B364" t="s">
        <v>111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71</v>
      </c>
    </row>
    <row r="365" spans="1:13" x14ac:dyDescent="0.45">
      <c r="A365" t="s">
        <v>0</v>
      </c>
      <c r="B365" t="s">
        <v>111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71</v>
      </c>
    </row>
    <row r="366" spans="1:13" x14ac:dyDescent="0.45">
      <c r="A366" t="s">
        <v>0</v>
      </c>
      <c r="B366" t="s">
        <v>111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71</v>
      </c>
    </row>
    <row r="367" spans="1:13" x14ac:dyDescent="0.45">
      <c r="A367" t="s">
        <v>0</v>
      </c>
      <c r="B367" t="s">
        <v>111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71</v>
      </c>
    </row>
    <row r="368" spans="1:13" x14ac:dyDescent="0.45">
      <c r="A368" t="s">
        <v>2</v>
      </c>
      <c r="B368" t="s">
        <v>111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111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71</v>
      </c>
    </row>
    <row r="370" spans="1:13" x14ac:dyDescent="0.45">
      <c r="A370" t="s">
        <v>2</v>
      </c>
      <c r="B370" t="s">
        <v>111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71</v>
      </c>
    </row>
    <row r="371" spans="1:13" x14ac:dyDescent="0.45">
      <c r="A371" t="s">
        <v>2</v>
      </c>
      <c r="B371" t="s">
        <v>111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71</v>
      </c>
    </row>
    <row r="372" spans="1:13" x14ac:dyDescent="0.45">
      <c r="A372" t="s">
        <v>2</v>
      </c>
      <c r="B372" t="s">
        <v>111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71</v>
      </c>
    </row>
    <row r="373" spans="1:13" x14ac:dyDescent="0.45">
      <c r="A373" t="s">
        <v>2</v>
      </c>
      <c r="B373" t="s">
        <v>111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71</v>
      </c>
    </row>
    <row r="374" spans="1:13" x14ac:dyDescent="0.45">
      <c r="A374" t="s">
        <v>2</v>
      </c>
      <c r="B374" t="s">
        <v>111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71</v>
      </c>
    </row>
    <row r="375" spans="1:13" x14ac:dyDescent="0.45">
      <c r="A375" t="s">
        <v>5</v>
      </c>
      <c r="B375" t="s">
        <v>111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111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71</v>
      </c>
    </row>
    <row r="377" spans="1:13" x14ac:dyDescent="0.45">
      <c r="A377" t="s">
        <v>5</v>
      </c>
      <c r="B377" t="s">
        <v>111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71</v>
      </c>
    </row>
    <row r="378" spans="1:13" x14ac:dyDescent="0.45">
      <c r="A378" t="s">
        <v>5</v>
      </c>
      <c r="B378" t="s">
        <v>111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71</v>
      </c>
    </row>
    <row r="379" spans="1:13" x14ac:dyDescent="0.45">
      <c r="A379" t="s">
        <v>5</v>
      </c>
      <c r="B379" t="s">
        <v>111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71</v>
      </c>
    </row>
    <row r="380" spans="1:13" x14ac:dyDescent="0.45">
      <c r="A380" t="s">
        <v>5</v>
      </c>
      <c r="B380" t="s">
        <v>111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71</v>
      </c>
    </row>
    <row r="381" spans="1:13" x14ac:dyDescent="0.45">
      <c r="A381" t="s">
        <v>5</v>
      </c>
      <c r="B381" t="s">
        <v>111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71</v>
      </c>
    </row>
    <row r="382" spans="1:13" x14ac:dyDescent="0.45">
      <c r="A382" t="s">
        <v>7</v>
      </c>
      <c r="B382" t="s">
        <v>111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111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71</v>
      </c>
    </row>
    <row r="384" spans="1:13" x14ac:dyDescent="0.45">
      <c r="A384" t="s">
        <v>7</v>
      </c>
      <c r="B384" t="s">
        <v>111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71</v>
      </c>
    </row>
    <row r="385" spans="1:13" x14ac:dyDescent="0.45">
      <c r="A385" t="s">
        <v>7</v>
      </c>
      <c r="B385" t="s">
        <v>111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71</v>
      </c>
    </row>
    <row r="386" spans="1:13" x14ac:dyDescent="0.45">
      <c r="A386" t="s">
        <v>7</v>
      </c>
      <c r="B386" t="s">
        <v>111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71</v>
      </c>
    </row>
    <row r="387" spans="1:13" x14ac:dyDescent="0.45">
      <c r="A387" t="s">
        <v>7</v>
      </c>
      <c r="B387" t="s">
        <v>111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71</v>
      </c>
    </row>
    <row r="388" spans="1:13" x14ac:dyDescent="0.45">
      <c r="A388" t="s">
        <v>7</v>
      </c>
      <c r="B388" t="s">
        <v>111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71</v>
      </c>
    </row>
    <row r="389" spans="1:13" x14ac:dyDescent="0.45">
      <c r="A389" t="s">
        <v>9</v>
      </c>
      <c r="B389" t="s">
        <v>111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111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71</v>
      </c>
    </row>
    <row r="391" spans="1:13" x14ac:dyDescent="0.45">
      <c r="A391" t="s">
        <v>9</v>
      </c>
      <c r="B391" t="s">
        <v>111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71</v>
      </c>
    </row>
    <row r="392" spans="1:13" x14ac:dyDescent="0.45">
      <c r="A392" t="s">
        <v>9</v>
      </c>
      <c r="B392" t="s">
        <v>111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71</v>
      </c>
    </row>
    <row r="393" spans="1:13" x14ac:dyDescent="0.45">
      <c r="A393" t="s">
        <v>9</v>
      </c>
      <c r="B393" t="s">
        <v>111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71</v>
      </c>
    </row>
    <row r="394" spans="1:13" x14ac:dyDescent="0.45">
      <c r="A394" t="s">
        <v>9</v>
      </c>
      <c r="B394" t="s">
        <v>111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71</v>
      </c>
    </row>
    <row r="395" spans="1:13" x14ac:dyDescent="0.45">
      <c r="A395" t="s">
        <v>9</v>
      </c>
      <c r="B395" t="s">
        <v>111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2026-07-23T04:31:22Z</dcterms:modified>
</cp:coreProperties>
</file>