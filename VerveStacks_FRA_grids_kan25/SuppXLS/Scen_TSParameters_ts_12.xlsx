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FRA_grids_kan25\SuppXLS\"/>
    </mc:Choice>
  </mc:AlternateContent>
  <xr:revisionPtr revIDLastSave="0" documentId="13_ncr:1_{65556411-7F6F-42B2-84F4-A8EE84F0F776}" xr6:coauthVersionLast="47" xr6:coauthVersionMax="47" xr10:uidLastSave="{00000000-0000-0000-0000-000000000000}"/>
  <bookViews>
    <workbookView xWindow="28702" yWindow="-98" windowWidth="28995" windowHeight="15675" firstSheet="4" activeTab="4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demand_peak_hydro" sheetId="10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0" l="1"/>
  <c r="P9" i="10"/>
  <c r="A11" i="10"/>
  <c r="L9" i="10" s="1"/>
  <c r="A10" i="6"/>
  <c r="H24" i="6" s="1"/>
  <c r="BI9" i="9"/>
  <c r="AU9" i="9"/>
  <c r="AF9" i="9"/>
  <c r="Q9" i="9"/>
  <c r="B9" i="9"/>
  <c r="L9" i="8"/>
  <c r="G9" i="8"/>
  <c r="B9" i="8"/>
  <c r="A11" i="7"/>
  <c r="C9" i="7"/>
  <c r="C9" i="10" l="1"/>
  <c r="H23" i="6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<sst xmlns="http://schemas.openxmlformats.org/spreadsheetml/2006/main" count="3640" uniqueCount="237">
  <si>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</si>
  <si>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</si>
  <si>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</si>
  <si>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</si>
  <si>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</si>
  <si>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</si>
  <si>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</si>
  <si>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</si>
  <si>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</si>
  <si>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</si>
  <si>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</si>
  <si>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</si>
  <si>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</si>
  <si>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</si>
  <si>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</si>
  <si>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</si>
  <si>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</si>
  <si>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</si>
  <si>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</si>
  <si>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</si>
  <si>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</si>
  <si>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</si>
  <si>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</si>
  <si>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</si>
  <si>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</si>
  <si>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</si>
  <si>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</si>
  <si>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</si>
  <si>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</si>
  <si>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</si>
  <si>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</si>
  <si>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</si>
  <si>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</si>
  <si>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</si>
  <si>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</si>
  <si>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</si>
  <si>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</si>
  <si>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S1</t>
  </si>
  <si>
    <t>a</t>
  </si>
  <si>
    <t>H1</t>
  </si>
  <si>
    <t>S1,S2,S3,S4</t>
  </si>
  <si>
    <t>S2</t>
  </si>
  <si>
    <t>H2</t>
  </si>
  <si>
    <t>S3</t>
  </si>
  <si>
    <t>H3</t>
  </si>
  <si>
    <t>S4</t>
  </si>
  <si>
    <t>ts_12</t>
  </si>
  <si>
    <t>commodity</t>
  </si>
  <si>
    <t>timeslice</t>
  </si>
  <si>
    <t>com_fr</t>
  </si>
  <si>
    <t>process</t>
  </si>
  <si>
    <t>elc_spv_FRA_001</t>
  </si>
  <si>
    <t>S1aH1</t>
  </si>
  <si>
    <t>IMPNRGZ</t>
  </si>
  <si>
    <t>S1aH2</t>
  </si>
  <si>
    <t>S1aH3</t>
  </si>
  <si>
    <t>S2aH1</t>
  </si>
  <si>
    <t>S2aH2</t>
  </si>
  <si>
    <t>S2aH3</t>
  </si>
  <si>
    <t>S3aH1</t>
  </si>
  <si>
    <t>S3aH2</t>
  </si>
  <si>
    <t>S3aH3</t>
  </si>
  <si>
    <t>S4aH1</t>
  </si>
  <si>
    <t>S4aH2</t>
  </si>
  <si>
    <t>S4aH3</t>
  </si>
  <si>
    <t>elc_spv_FRA_002</t>
  </si>
  <si>
    <t>elc_spv_FRA_003</t>
  </si>
  <si>
    <t>elc_spv_FRA_004</t>
  </si>
  <si>
    <t>elc_spv_FRA_005</t>
  </si>
  <si>
    <t>elc_spv_FRA_006</t>
  </si>
  <si>
    <t>elc_spv_FRA_007</t>
  </si>
  <si>
    <t>elc_spv_FRA_008</t>
  </si>
  <si>
    <t>elc_spv_FRA_009</t>
  </si>
  <si>
    <t>elc_spv_FRA_010</t>
  </si>
  <si>
    <t>elc_spv_FRA_011</t>
  </si>
  <si>
    <t>elc_spv_FRA_012</t>
  </si>
  <si>
    <t>elc_spv_FRA_013</t>
  </si>
  <si>
    <t>elc_spv_FRA_014</t>
  </si>
  <si>
    <t>elc_spv_FRA_015</t>
  </si>
  <si>
    <t>elc_spv_FRA_016</t>
  </si>
  <si>
    <t>elc_spv_FRA_017</t>
  </si>
  <si>
    <t>elc_spv_FRA_018</t>
  </si>
  <si>
    <t>elc_spv_FRA_019</t>
  </si>
  <si>
    <t>elc_spv_FRA_020</t>
  </si>
  <si>
    <t>elc_spv_FRA_021</t>
  </si>
  <si>
    <t>elc_spv_FRA_022</t>
  </si>
  <si>
    <t>elc_spv_FRA_023</t>
  </si>
  <si>
    <t>elc_spv_FRA_024</t>
  </si>
  <si>
    <t>elc_spv_FRA_025</t>
  </si>
  <si>
    <t>elc_spv_FRA_026</t>
  </si>
  <si>
    <t>elc_spv_FRA_027</t>
  </si>
  <si>
    <t>elc_spv_FRA_028</t>
  </si>
  <si>
    <t>elc_spv_FRA_029</t>
  </si>
  <si>
    <t>elc_spv_FRA_030</t>
  </si>
  <si>
    <t>elc_won_FRA_001</t>
  </si>
  <si>
    <t>elc_won_FRA_002</t>
  </si>
  <si>
    <t>elc_won_FRA_003</t>
  </si>
  <si>
    <t>elc_won_FRA_004</t>
  </si>
  <si>
    <t>elc_won_FRA_005</t>
  </si>
  <si>
    <t>elc_won_FRA_006</t>
  </si>
  <si>
    <t>elc_won_FRA_007</t>
  </si>
  <si>
    <t>elc_won_FRA_008</t>
  </si>
  <si>
    <t>elc_won_FRA_009</t>
  </si>
  <si>
    <t>elc_won_FRA_010</t>
  </si>
  <si>
    <t>elc_won_FRA_011</t>
  </si>
  <si>
    <t>elc_won_FRA_012</t>
  </si>
  <si>
    <t>elc_won_FRA_013</t>
  </si>
  <si>
    <t>elc_won_FRA_014</t>
  </si>
  <si>
    <t>elc_won_FRA_015</t>
  </si>
  <si>
    <t>elc_won_FRA_016</t>
  </si>
  <si>
    <t>elc_won_FRA_017</t>
  </si>
  <si>
    <t>elc_won_FRA_018</t>
  </si>
  <si>
    <t>elc_won_FRA_019</t>
  </si>
  <si>
    <t>elc_won_FRA_020</t>
  </si>
  <si>
    <t>elc_won_FRA_021</t>
  </si>
  <si>
    <t>elc_won_FRA_022</t>
  </si>
  <si>
    <t>elc_won_FRA_023</t>
  </si>
  <si>
    <t>elc_won_FRA_024</t>
  </si>
  <si>
    <t>elc_won_FRA_025</t>
  </si>
  <si>
    <t>elc_won_FRA_026</t>
  </si>
  <si>
    <t>elc_won_FRA_027</t>
  </si>
  <si>
    <t>elc_won_FRA_028</t>
  </si>
  <si>
    <t>elc_wof_FRA_001</t>
  </si>
  <si>
    <t>elc_wof_FRA_002</t>
  </si>
  <si>
    <t>elc_wof_FRA_003</t>
  </si>
  <si>
    <t>elc_wof_FRA_004</t>
  </si>
  <si>
    <t>elc_wof_FRA_005</t>
  </si>
  <si>
    <t>elc_wof_FRA_006</t>
  </si>
  <si>
    <t>elc_wof_FRA_007</t>
  </si>
  <si>
    <t>elc_wof_FRA_008</t>
  </si>
  <si>
    <t>elc_wof_FRA_009</t>
  </si>
  <si>
    <t>elc_wof_FRA_010</t>
  </si>
  <si>
    <t>elc_wof_FRA_011</t>
  </si>
  <si>
    <t>elc_wof_FRA_012</t>
  </si>
  <si>
    <t>elc_wof_FRA_013</t>
  </si>
  <si>
    <t>elc_wof_FRA_014</t>
  </si>
  <si>
    <t>elc_wof_FRA_015</t>
  </si>
  <si>
    <t>elc_wof_FRA_016</t>
  </si>
  <si>
    <t>elc_wof_FRA_017</t>
  </si>
  <si>
    <t>distr_solelc_spv_FRA_001</t>
  </si>
  <si>
    <t>distr_solelc_spv_FRA_002</t>
  </si>
  <si>
    <t>distr_solelc_spv_FRA_003</t>
  </si>
  <si>
    <t>distr_solelc_spv_FRA_004</t>
  </si>
  <si>
    <t>distr_solelc_spv_FRA_005</t>
  </si>
  <si>
    <t>distr_solelc_spv_FRA_006</t>
  </si>
  <si>
    <t>distr_solelc_spv_FRA_007</t>
  </si>
  <si>
    <t>distr_solelc_spv_FRA_008</t>
  </si>
  <si>
    <t>distr_solelc_spv_FRA_009</t>
  </si>
  <si>
    <t>distr_solelc_spv_FRA_010</t>
  </si>
  <si>
    <t>distr_solelc_spv_FRA_011</t>
  </si>
  <si>
    <t>distr_solelc_spv_FRA_012</t>
  </si>
  <si>
    <t>distr_solelc_spv_FRA_013</t>
  </si>
  <si>
    <t>distr_solelc_spv_FRA_014</t>
  </si>
  <si>
    <t>distr_solelc_spv_FRA_015</t>
  </si>
  <si>
    <t>distr_solelc_spv_FRA_016</t>
  </si>
  <si>
    <t>distr_solelc_spv_FRA_017</t>
  </si>
  <si>
    <t>distr_solelc_spv_FRA_018</t>
  </si>
  <si>
    <t>distr_solelc_spv_FRA_019</t>
  </si>
  <si>
    <t>distr_solelc_spv_FRA_020</t>
  </si>
  <si>
    <t>distr_solelc_spv_FRA_021</t>
  </si>
  <si>
    <t>distr_solelc_spv_FRA_022</t>
  </si>
  <si>
    <t>distr_solelc_spv_FRA_023</t>
  </si>
  <si>
    <t>distr_solelc_spv_FRA_024</t>
  </si>
  <si>
    <t>distr_solelc_spv_FRA_025</t>
  </si>
  <si>
    <t>distr_solelc_spv_FRA_026</t>
  </si>
  <si>
    <t>distr_solelc_spv_FRA_027</t>
  </si>
  <si>
    <t>distr_solelc_spv_FRA_028</t>
  </si>
  <si>
    <t>distr_solelc_spv_FRA_029</t>
  </si>
  <si>
    <t>distr_solelc_spv_FRA_030</t>
  </si>
  <si>
    <t>distr_wofelc_wof_FRA_001</t>
  </si>
  <si>
    <t>distr_wofelc_wof_FRA_002</t>
  </si>
  <si>
    <t>distr_wofelc_wof_FRA_003</t>
  </si>
  <si>
    <t>distr_wofelc_wof_FRA_004</t>
  </si>
  <si>
    <t>distr_wofelc_wof_FRA_005</t>
  </si>
  <si>
    <t>distr_wofelc_wof_FRA_006</t>
  </si>
  <si>
    <t>distr_wofelc_wof_FRA_007</t>
  </si>
  <si>
    <t>distr_wofelc_wof_FRA_008</t>
  </si>
  <si>
    <t>distr_wofelc_wof_FRA_009</t>
  </si>
  <si>
    <t>distr_wofelc_wof_FRA_010</t>
  </si>
  <si>
    <t>distr_wofelc_wof_FRA_011</t>
  </si>
  <si>
    <t>distr_wofelc_wof_FRA_012</t>
  </si>
  <si>
    <t>distr_wofelc_wof_FRA_013</t>
  </si>
  <si>
    <t>distr_wofelc_wof_FRA_014</t>
  </si>
  <si>
    <t>distr_wofelc_wof_FRA_015</t>
  </si>
  <si>
    <t>distr_wofelc_wof_FRA_016</t>
  </si>
  <si>
    <t>distr_wofelc_wof_FRA_017</t>
  </si>
  <si>
    <t>distr_wonelc_won_FRA_001</t>
  </si>
  <si>
    <t>distr_wonelc_won_FRA_002</t>
  </si>
  <si>
    <t>distr_wonelc_won_FRA_003</t>
  </si>
  <si>
    <t>distr_wonelc_won_FRA_004</t>
  </si>
  <si>
    <t>distr_wonelc_won_FRA_005</t>
  </si>
  <si>
    <t>distr_wonelc_won_FRA_006</t>
  </si>
  <si>
    <t>distr_wonelc_won_FRA_007</t>
  </si>
  <si>
    <t>distr_wonelc_won_FRA_008</t>
  </si>
  <si>
    <t>distr_wonelc_won_FRA_009</t>
  </si>
  <si>
    <t>distr_wonelc_won_FRA_010</t>
  </si>
  <si>
    <t>distr_wonelc_won_FRA_011</t>
  </si>
  <si>
    <t>distr_wonelc_won_FRA_012</t>
  </si>
  <si>
    <t>distr_wonelc_won_FRA_013</t>
  </si>
  <si>
    <t>distr_wonelc_won_FRA_014</t>
  </si>
  <si>
    <t>distr_wonelc_won_FRA_015</t>
  </si>
  <si>
    <t>distr_wonelc_won_FRA_016</t>
  </si>
  <si>
    <t>distr_wonelc_won_FRA_017</t>
  </si>
  <si>
    <t>distr_wonelc_won_FRA_018</t>
  </si>
  <si>
    <t>distr_wonelc_won_FRA_019</t>
  </si>
  <si>
    <t>distr_wonelc_won_FRA_020</t>
  </si>
  <si>
    <t>distr_wonelc_won_FRA_021</t>
  </si>
  <si>
    <t>distr_wonelc_won_FRA_022</t>
  </si>
  <si>
    <t>distr_wonelc_won_FRA_023</t>
  </si>
  <si>
    <t>distr_wonelc_won_FRA_024</t>
  </si>
  <si>
    <t>distr_wonelc_won_FRA_025</t>
  </si>
  <si>
    <t>distr_wonelc_won_FRA_026</t>
  </si>
  <si>
    <t>distr_wonelc_won_FRA_027</t>
  </si>
  <si>
    <t>distr_wonelc_won_FRA_028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</si>
  <si>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</si>
  <si>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</si>
  <si>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</si>
  <si>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</si>
  <si>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</si>
  <si>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</si>
  <si>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</si>
  <si>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</si>
  <si>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</si>
  <si>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</si>
  <si>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</si>
  <si>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</si>
  <si>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</si>
  <si>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S4aH2,S2aH2,S3aH2,S1aH2</t>
  </si>
  <si>
    <t>N</t>
  </si>
  <si>
    <t>S2aH3,S2aH1,S3aH3,S4aH1,S1aH1,S4aH3,S1aH3,S3aH1</t>
  </si>
  <si>
    <t>com_pkflx</t>
  </si>
  <si>
    <t>Year</t>
  </si>
  <si>
    <t>ncap_afs</t>
  </si>
  <si>
    <t>pset_ci</t>
  </si>
  <si>
    <t>hydro</t>
  </si>
  <si>
    <t>*[_]buildings</t>
  </si>
  <si>
    <t>*[_]industry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</si>
</sst>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IFERROR([1]Veda!D5,"ts_12")</f>
        <v>ts_12</v>
      </c>
      <c r="B10" s="5"/>
      <c r="C10" s="5" t="s">
        <v>225</v>
      </c>
      <c r="D10" t="s">
        <v>46</v>
      </c>
    </row>
    <row r="11" spans="1:4" x14ac:dyDescent="0.45">
      <c r="B11" s="5"/>
      <c r="C11" s="5" t="s">
        <v>226</v>
      </c>
      <c r="D11" t="s">
        <v>227</v>
      </c>
    </row>
    <row r="12" spans="1:4" x14ac:dyDescent="0.45">
      <c r="B12" s="5"/>
      <c r="C12" s="5" t="s">
        <v>228</v>
      </c>
      <c r="D12" t="s">
        <v>229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S2aH3,S2aH1,S3aH3,S4aH1,S1aH1,S4aH3,S1aH3,S3aH1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S4aH2,S2aH2,S3aH2,S1aH2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FA906-5FE5-4D5D-8CB4-D906D0B01E10}">
  <dimension ref="A9:G14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46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24118-B782-4291-853A-91915EF48551}">
  <dimension ref="B9:O37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47</v>
      </c>
      <c r="C10" t="s">
        <v>48</v>
      </c>
      <c r="D10" t="s">
        <v>49</v>
      </c>
      <c r="E10" t="s">
        <v>50</v>
      </c>
      <c r="G10" t="s">
        <v>47</v>
      </c>
      <c r="H10" t="s">
        <v>48</v>
      </c>
      <c r="I10" t="s">
        <v>49</v>
      </c>
      <c r="J10" t="s">
        <v>50</v>
      </c>
      <c r="L10" t="s">
        <v>47</v>
      </c>
      <c r="M10" t="s">
        <v>48</v>
      </c>
      <c r="N10" t="s">
        <v>49</v>
      </c>
      <c r="O10" t="s">
        <v>50</v>
      </c>
    </row>
    <row r="11" spans="2:15" x14ac:dyDescent="0.45">
      <c r="B11" t="s">
        <v>51</v>
      </c>
      <c r="C11" t="s">
        <v>52</v>
      </c>
      <c r="D11">
        <v>0</v>
      </c>
      <c r="E11" t="s">
        <v>53</v>
      </c>
      <c r="G11" t="s">
        <v>94</v>
      </c>
      <c r="H11" t="s">
        <v>52</v>
      </c>
      <c r="I11">
        <v>8.3392204557471164E-2</v>
      </c>
      <c r="J11" t="s">
        <v>53</v>
      </c>
      <c r="L11" t="s">
        <v>122</v>
      </c>
      <c r="M11" t="s">
        <v>52</v>
      </c>
      <c r="N11">
        <v>9.3305740517401106E-2</v>
      </c>
      <c r="O11" t="s">
        <v>53</v>
      </c>
    </row>
    <row r="12" spans="2:15" x14ac:dyDescent="0.45">
      <c r="B12" t="s">
        <v>51</v>
      </c>
      <c r="C12" t="s">
        <v>54</v>
      </c>
      <c r="D12">
        <v>0.10691927243321692</v>
      </c>
      <c r="E12" t="s">
        <v>53</v>
      </c>
      <c r="G12" t="s">
        <v>94</v>
      </c>
      <c r="H12" t="s">
        <v>54</v>
      </c>
      <c r="I12">
        <v>0.11011252945090225</v>
      </c>
      <c r="J12" t="s">
        <v>53</v>
      </c>
      <c r="L12" t="s">
        <v>122</v>
      </c>
      <c r="M12" t="s">
        <v>54</v>
      </c>
      <c r="N12">
        <v>0.10958809782771145</v>
      </c>
      <c r="O12" t="s">
        <v>53</v>
      </c>
    </row>
    <row r="13" spans="2:15" x14ac:dyDescent="0.45">
      <c r="B13" t="s">
        <v>51</v>
      </c>
      <c r="C13" t="s">
        <v>55</v>
      </c>
      <c r="D13">
        <v>0</v>
      </c>
      <c r="E13" t="s">
        <v>53</v>
      </c>
      <c r="G13" t="s">
        <v>94</v>
      </c>
      <c r="H13" t="s">
        <v>55</v>
      </c>
      <c r="I13">
        <v>6.3802266259868082E-2</v>
      </c>
      <c r="J13" t="s">
        <v>53</v>
      </c>
      <c r="L13" t="s">
        <v>122</v>
      </c>
      <c r="M13" t="s">
        <v>55</v>
      </c>
      <c r="N13">
        <v>7.1405767442945828E-2</v>
      </c>
      <c r="O13" t="s">
        <v>53</v>
      </c>
    </row>
    <row r="14" spans="2:15" x14ac:dyDescent="0.45">
      <c r="B14" t="s">
        <v>51</v>
      </c>
      <c r="C14" t="s">
        <v>56</v>
      </c>
      <c r="D14">
        <v>2.1937583821565541E-2</v>
      </c>
      <c r="E14" t="s">
        <v>53</v>
      </c>
      <c r="G14" t="s">
        <v>94</v>
      </c>
      <c r="H14" t="s">
        <v>56</v>
      </c>
      <c r="I14">
        <v>0.10080976807944633</v>
      </c>
      <c r="J14" t="s">
        <v>53</v>
      </c>
      <c r="L14" t="s">
        <v>122</v>
      </c>
      <c r="M14" t="s">
        <v>56</v>
      </c>
      <c r="N14">
        <v>8.5400062804717805E-2</v>
      </c>
      <c r="O14" t="s">
        <v>53</v>
      </c>
    </row>
    <row r="15" spans="2:15" x14ac:dyDescent="0.45">
      <c r="B15" t="s">
        <v>51</v>
      </c>
      <c r="C15" t="s">
        <v>57</v>
      </c>
      <c r="D15">
        <v>0.26257183573383935</v>
      </c>
      <c r="E15" t="s">
        <v>53</v>
      </c>
      <c r="G15" t="s">
        <v>94</v>
      </c>
      <c r="H15" t="s">
        <v>57</v>
      </c>
      <c r="I15">
        <v>0.14499696179739324</v>
      </c>
      <c r="J15" t="s">
        <v>53</v>
      </c>
      <c r="L15" t="s">
        <v>122</v>
      </c>
      <c r="M15" t="s">
        <v>57</v>
      </c>
      <c r="N15">
        <v>0.10384530170485408</v>
      </c>
      <c r="O15" t="s">
        <v>53</v>
      </c>
    </row>
    <row r="16" spans="2:15" x14ac:dyDescent="0.45">
      <c r="B16" t="s">
        <v>51</v>
      </c>
      <c r="C16" t="s">
        <v>58</v>
      </c>
      <c r="D16">
        <v>1.341667665946363E-2</v>
      </c>
      <c r="E16" t="s">
        <v>53</v>
      </c>
      <c r="G16" t="s">
        <v>94</v>
      </c>
      <c r="H16" t="s">
        <v>58</v>
      </c>
      <c r="I16">
        <v>8.6251966199974939E-2</v>
      </c>
      <c r="J16" t="s">
        <v>53</v>
      </c>
      <c r="L16" t="s">
        <v>122</v>
      </c>
      <c r="M16" t="s">
        <v>58</v>
      </c>
      <c r="N16">
        <v>6.4914018146530028E-2</v>
      </c>
      <c r="O16" t="s">
        <v>53</v>
      </c>
    </row>
    <row r="17" spans="2:15" x14ac:dyDescent="0.45">
      <c r="B17" t="s">
        <v>51</v>
      </c>
      <c r="C17" t="s">
        <v>59</v>
      </c>
      <c r="D17">
        <v>4.2339553688137195E-2</v>
      </c>
      <c r="E17" t="s">
        <v>53</v>
      </c>
      <c r="G17" t="s">
        <v>94</v>
      </c>
      <c r="H17" t="s">
        <v>59</v>
      </c>
      <c r="I17">
        <v>3.5919406376260704E-2</v>
      </c>
      <c r="J17" t="s">
        <v>53</v>
      </c>
      <c r="L17" t="s">
        <v>122</v>
      </c>
      <c r="M17" t="s">
        <v>59</v>
      </c>
      <c r="N17">
        <v>6.4731219874288523E-2</v>
      </c>
      <c r="O17" t="s">
        <v>53</v>
      </c>
    </row>
    <row r="18" spans="2:15" x14ac:dyDescent="0.45">
      <c r="B18" t="s">
        <v>51</v>
      </c>
      <c r="C18" t="s">
        <v>60</v>
      </c>
      <c r="D18">
        <v>0.33924544187868322</v>
      </c>
      <c r="E18" t="s">
        <v>53</v>
      </c>
      <c r="G18" t="s">
        <v>94</v>
      </c>
      <c r="H18" t="s">
        <v>60</v>
      </c>
      <c r="I18">
        <v>5.6128927672236602E-2</v>
      </c>
      <c r="J18" t="s">
        <v>53</v>
      </c>
      <c r="L18" t="s">
        <v>122</v>
      </c>
      <c r="M18" t="s">
        <v>60</v>
      </c>
      <c r="N18">
        <v>7.5166769485265975E-2</v>
      </c>
      <c r="O18" t="s">
        <v>53</v>
      </c>
    </row>
    <row r="19" spans="2:15" x14ac:dyDescent="0.45">
      <c r="B19" t="s">
        <v>51</v>
      </c>
      <c r="C19" t="s">
        <v>61</v>
      </c>
      <c r="D19">
        <v>3.2676968853678427E-2</v>
      </c>
      <c r="E19" t="s">
        <v>53</v>
      </c>
      <c r="G19" t="s">
        <v>94</v>
      </c>
      <c r="H19" t="s">
        <v>61</v>
      </c>
      <c r="I19">
        <v>3.5081794010965957E-2</v>
      </c>
      <c r="J19" t="s">
        <v>53</v>
      </c>
      <c r="L19" t="s">
        <v>122</v>
      </c>
      <c r="M19" t="s">
        <v>61</v>
      </c>
      <c r="N19">
        <v>5.2269610830431724E-2</v>
      </c>
      <c r="O19" t="s">
        <v>53</v>
      </c>
    </row>
    <row r="20" spans="2:15" x14ac:dyDescent="0.45">
      <c r="B20" t="s">
        <v>51</v>
      </c>
      <c r="C20" t="s">
        <v>62</v>
      </c>
      <c r="D20">
        <v>7.2734139983038765E-3</v>
      </c>
      <c r="E20" t="s">
        <v>53</v>
      </c>
      <c r="G20" t="s">
        <v>94</v>
      </c>
      <c r="H20" t="s">
        <v>62</v>
      </c>
      <c r="I20">
        <v>9.2124125275150112E-2</v>
      </c>
      <c r="J20" t="s">
        <v>53</v>
      </c>
      <c r="L20" t="s">
        <v>122</v>
      </c>
      <c r="M20" t="s">
        <v>62</v>
      </c>
      <c r="N20">
        <v>9.6818820540830797E-2</v>
      </c>
      <c r="O20" t="s">
        <v>53</v>
      </c>
    </row>
    <row r="21" spans="2:15" x14ac:dyDescent="0.45">
      <c r="B21" t="s">
        <v>51</v>
      </c>
      <c r="C21" t="s">
        <v>63</v>
      </c>
      <c r="D21">
        <v>0.17119221624074829</v>
      </c>
      <c r="E21" t="s">
        <v>53</v>
      </c>
      <c r="G21" t="s">
        <v>94</v>
      </c>
      <c r="H21" t="s">
        <v>63</v>
      </c>
      <c r="I21">
        <v>0.11760757920202194</v>
      </c>
      <c r="J21" t="s">
        <v>53</v>
      </c>
      <c r="L21" t="s">
        <v>122</v>
      </c>
      <c r="M21" t="s">
        <v>63</v>
      </c>
      <c r="N21">
        <v>0.11027472313075749</v>
      </c>
      <c r="O21" t="s">
        <v>53</v>
      </c>
    </row>
    <row r="22" spans="2:15" x14ac:dyDescent="0.45">
      <c r="B22" t="s">
        <v>51</v>
      </c>
      <c r="C22" t="s">
        <v>64</v>
      </c>
      <c r="D22">
        <v>2.4270366923644154E-3</v>
      </c>
      <c r="E22" t="s">
        <v>53</v>
      </c>
      <c r="G22" t="s">
        <v>94</v>
      </c>
      <c r="H22" t="s">
        <v>64</v>
      </c>
      <c r="I22">
        <v>7.37724711183122E-2</v>
      </c>
      <c r="J22" t="s">
        <v>53</v>
      </c>
      <c r="L22" t="s">
        <v>122</v>
      </c>
      <c r="M22" t="s">
        <v>64</v>
      </c>
      <c r="N22">
        <v>7.2279867694260841E-2</v>
      </c>
      <c r="O22" t="s">
        <v>53</v>
      </c>
    </row>
    <row r="23" spans="2:15" x14ac:dyDescent="0.45">
      <c r="B23" t="s">
        <v>65</v>
      </c>
      <c r="C23" t="s">
        <v>52</v>
      </c>
      <c r="D23">
        <v>0</v>
      </c>
      <c r="E23" t="s">
        <v>53</v>
      </c>
      <c r="G23" t="s">
        <v>95</v>
      </c>
      <c r="H23" t="s">
        <v>52</v>
      </c>
      <c r="I23">
        <v>8.3528843022083493E-2</v>
      </c>
      <c r="J23" t="s">
        <v>53</v>
      </c>
      <c r="L23" t="s">
        <v>123</v>
      </c>
      <c r="M23" t="s">
        <v>52</v>
      </c>
      <c r="N23">
        <v>7.7912169027155323E-2</v>
      </c>
      <c r="O23" t="s">
        <v>53</v>
      </c>
    </row>
    <row r="24" spans="2:15" x14ac:dyDescent="0.45">
      <c r="B24" t="s">
        <v>65</v>
      </c>
      <c r="C24" t="s">
        <v>54</v>
      </c>
      <c r="D24">
        <v>0.10894457263786356</v>
      </c>
      <c r="E24" t="s">
        <v>53</v>
      </c>
      <c r="G24" t="s">
        <v>95</v>
      </c>
      <c r="H24" t="s">
        <v>54</v>
      </c>
      <c r="I24">
        <v>0.10626935993356502</v>
      </c>
      <c r="J24" t="s">
        <v>53</v>
      </c>
      <c r="L24" t="s">
        <v>123</v>
      </c>
      <c r="M24" t="s">
        <v>54</v>
      </c>
      <c r="N24">
        <v>9.3272516083682144E-2</v>
      </c>
      <c r="O24" t="s">
        <v>53</v>
      </c>
    </row>
    <row r="25" spans="2:15" x14ac:dyDescent="0.45">
      <c r="B25" t="s">
        <v>65</v>
      </c>
      <c r="C25" t="s">
        <v>55</v>
      </c>
      <c r="D25">
        <v>0</v>
      </c>
      <c r="E25" t="s">
        <v>53</v>
      </c>
      <c r="G25" t="s">
        <v>95</v>
      </c>
      <c r="H25" t="s">
        <v>55</v>
      </c>
      <c r="I25">
        <v>5.8830618620626787E-2</v>
      </c>
      <c r="J25" t="s">
        <v>53</v>
      </c>
      <c r="L25" t="s">
        <v>123</v>
      </c>
      <c r="M25" t="s">
        <v>55</v>
      </c>
      <c r="N25">
        <v>5.7208218055295308E-2</v>
      </c>
      <c r="O25" t="s">
        <v>53</v>
      </c>
    </row>
    <row r="26" spans="2:15" x14ac:dyDescent="0.45">
      <c r="B26" t="s">
        <v>65</v>
      </c>
      <c r="C26" t="s">
        <v>56</v>
      </c>
      <c r="D26">
        <v>2.1688194116991206E-2</v>
      </c>
      <c r="E26" t="s">
        <v>53</v>
      </c>
      <c r="G26" t="s">
        <v>95</v>
      </c>
      <c r="H26" t="s">
        <v>56</v>
      </c>
      <c r="I26">
        <v>9.4845388040105019E-2</v>
      </c>
      <c r="J26" t="s">
        <v>53</v>
      </c>
      <c r="L26" t="s">
        <v>123</v>
      </c>
      <c r="M26" t="s">
        <v>56</v>
      </c>
      <c r="N26">
        <v>0.11799891342967797</v>
      </c>
      <c r="O26" t="s">
        <v>53</v>
      </c>
    </row>
    <row r="27" spans="2:15" x14ac:dyDescent="0.45">
      <c r="B27" t="s">
        <v>65</v>
      </c>
      <c r="C27" t="s">
        <v>57</v>
      </c>
      <c r="D27">
        <v>0.26452195265407941</v>
      </c>
      <c r="E27" t="s">
        <v>53</v>
      </c>
      <c r="G27" t="s">
        <v>95</v>
      </c>
      <c r="H27" t="s">
        <v>57</v>
      </c>
      <c r="I27">
        <v>0.15901089008998001</v>
      </c>
      <c r="J27" t="s">
        <v>53</v>
      </c>
      <c r="L27" t="s">
        <v>123</v>
      </c>
      <c r="M27" t="s">
        <v>57</v>
      </c>
      <c r="N27">
        <v>0.14591546948804054</v>
      </c>
      <c r="O27" t="s">
        <v>53</v>
      </c>
    </row>
    <row r="28" spans="2:15" x14ac:dyDescent="0.45">
      <c r="B28" t="s">
        <v>65</v>
      </c>
      <c r="C28" t="s">
        <v>58</v>
      </c>
      <c r="D28">
        <v>1.623751067393123E-2</v>
      </c>
      <c r="E28" t="s">
        <v>53</v>
      </c>
      <c r="G28" t="s">
        <v>95</v>
      </c>
      <c r="H28" t="s">
        <v>58</v>
      </c>
      <c r="I28">
        <v>8.7611838935607783E-2</v>
      </c>
      <c r="J28" t="s">
        <v>53</v>
      </c>
      <c r="L28" t="s">
        <v>123</v>
      </c>
      <c r="M28" t="s">
        <v>58</v>
      </c>
      <c r="N28">
        <v>8.3942570948063205E-2</v>
      </c>
      <c r="O28" t="s">
        <v>53</v>
      </c>
    </row>
    <row r="29" spans="2:15" x14ac:dyDescent="0.45">
      <c r="B29" t="s">
        <v>65</v>
      </c>
      <c r="C29" t="s">
        <v>59</v>
      </c>
      <c r="D29">
        <v>3.993419020030875E-2</v>
      </c>
      <c r="E29" t="s">
        <v>53</v>
      </c>
      <c r="G29" t="s">
        <v>95</v>
      </c>
      <c r="H29" t="s">
        <v>59</v>
      </c>
      <c r="I29">
        <v>2.5968838544927698E-2</v>
      </c>
      <c r="J29" t="s">
        <v>53</v>
      </c>
      <c r="L29" t="s">
        <v>123</v>
      </c>
      <c r="M29" t="s">
        <v>59</v>
      </c>
      <c r="N29">
        <v>2.8551821481211014E-2</v>
      </c>
      <c r="O29" t="s">
        <v>53</v>
      </c>
    </row>
    <row r="30" spans="2:15" x14ac:dyDescent="0.45">
      <c r="B30" t="s">
        <v>65</v>
      </c>
      <c r="C30" t="s">
        <v>60</v>
      </c>
      <c r="D30">
        <v>0.33373921028478754</v>
      </c>
      <c r="E30" t="s">
        <v>53</v>
      </c>
      <c r="G30" t="s">
        <v>95</v>
      </c>
      <c r="H30" t="s">
        <v>60</v>
      </c>
      <c r="I30">
        <v>5.5945174242904121E-2</v>
      </c>
      <c r="J30" t="s">
        <v>53</v>
      </c>
      <c r="L30" t="s">
        <v>123</v>
      </c>
      <c r="M30" t="s">
        <v>60</v>
      </c>
      <c r="N30">
        <v>3.6493880228718092E-2</v>
      </c>
      <c r="O30" t="s">
        <v>53</v>
      </c>
    </row>
    <row r="31" spans="2:15" x14ac:dyDescent="0.45">
      <c r="B31" t="s">
        <v>65</v>
      </c>
      <c r="C31" t="s">
        <v>61</v>
      </c>
      <c r="D31">
        <v>3.5412005221781832E-2</v>
      </c>
      <c r="E31" t="s">
        <v>53</v>
      </c>
      <c r="G31" t="s">
        <v>95</v>
      </c>
      <c r="H31" t="s">
        <v>61</v>
      </c>
      <c r="I31">
        <v>3.6335795342945162E-2</v>
      </c>
      <c r="J31" t="s">
        <v>53</v>
      </c>
      <c r="L31" t="s">
        <v>123</v>
      </c>
      <c r="M31" t="s">
        <v>61</v>
      </c>
      <c r="N31">
        <v>2.6391030341712671E-2</v>
      </c>
      <c r="O31" t="s">
        <v>53</v>
      </c>
    </row>
    <row r="32" spans="2:15" x14ac:dyDescent="0.45">
      <c r="B32" t="s">
        <v>65</v>
      </c>
      <c r="C32" t="s">
        <v>62</v>
      </c>
      <c r="D32">
        <v>5.9657260192505016E-3</v>
      </c>
      <c r="E32" t="s">
        <v>53</v>
      </c>
      <c r="G32" t="s">
        <v>95</v>
      </c>
      <c r="H32" t="s">
        <v>62</v>
      </c>
      <c r="I32">
        <v>8.8318655951875019E-2</v>
      </c>
      <c r="J32" t="s">
        <v>53</v>
      </c>
      <c r="L32" t="s">
        <v>123</v>
      </c>
      <c r="M32" t="s">
        <v>62</v>
      </c>
      <c r="N32">
        <v>0.11173545664184363</v>
      </c>
      <c r="O32" t="s">
        <v>53</v>
      </c>
    </row>
    <row r="33" spans="2:15" x14ac:dyDescent="0.45">
      <c r="B33" t="s">
        <v>65</v>
      </c>
      <c r="C33" t="s">
        <v>63</v>
      </c>
      <c r="D33">
        <v>0.17052977016166607</v>
      </c>
      <c r="E33" t="s">
        <v>53</v>
      </c>
      <c r="G33" t="s">
        <v>95</v>
      </c>
      <c r="H33" t="s">
        <v>63</v>
      </c>
      <c r="I33">
        <v>0.12125518428648567</v>
      </c>
      <c r="J33" t="s">
        <v>53</v>
      </c>
      <c r="L33" t="s">
        <v>123</v>
      </c>
      <c r="M33" t="s">
        <v>63</v>
      </c>
      <c r="N33">
        <v>0.13352101988209464</v>
      </c>
      <c r="O33" t="s">
        <v>53</v>
      </c>
    </row>
    <row r="34" spans="2:15" x14ac:dyDescent="0.45">
      <c r="B34" t="s">
        <v>65</v>
      </c>
      <c r="C34" t="s">
        <v>64</v>
      </c>
      <c r="D34">
        <v>3.0268680293410229E-3</v>
      </c>
      <c r="E34" t="s">
        <v>53</v>
      </c>
      <c r="G34" t="s">
        <v>95</v>
      </c>
      <c r="H34" t="s">
        <v>64</v>
      </c>
      <c r="I34">
        <v>8.2079412988894873E-2</v>
      </c>
      <c r="J34" t="s">
        <v>53</v>
      </c>
      <c r="L34" t="s">
        <v>123</v>
      </c>
      <c r="M34" t="s">
        <v>64</v>
      </c>
      <c r="N34">
        <v>8.7056934392506946E-2</v>
      </c>
      <c r="O34" t="s">
        <v>53</v>
      </c>
    </row>
    <row r="35" spans="2:15" x14ac:dyDescent="0.45">
      <c r="B35" t="s">
        <v>66</v>
      </c>
      <c r="C35" t="s">
        <v>52</v>
      </c>
      <c r="D35">
        <v>0</v>
      </c>
      <c r="E35" t="s">
        <v>53</v>
      </c>
      <c r="G35" t="s">
        <v>96</v>
      </c>
      <c r="H35" t="s">
        <v>52</v>
      </c>
      <c r="I35">
        <v>0.11395618239845169</v>
      </c>
      <c r="J35" t="s">
        <v>53</v>
      </c>
      <c r="L35" t="s">
        <v>124</v>
      </c>
      <c r="M35" t="s">
        <v>52</v>
      </c>
      <c r="N35">
        <v>8.2934772182016434E-2</v>
      </c>
      <c r="O35" t="s">
        <v>53</v>
      </c>
    </row>
    <row r="36" spans="2:15" x14ac:dyDescent="0.45">
      <c r="B36" t="s">
        <v>66</v>
      </c>
      <c r="C36" t="s">
        <v>54</v>
      </c>
      <c r="D36">
        <v>0.1082010960173149</v>
      </c>
      <c r="E36" t="s">
        <v>53</v>
      </c>
      <c r="G36" t="s">
        <v>96</v>
      </c>
      <c r="H36" t="s">
        <v>54</v>
      </c>
      <c r="I36">
        <v>0.13740738633534683</v>
      </c>
      <c r="J36" t="s">
        <v>53</v>
      </c>
      <c r="L36" t="s">
        <v>124</v>
      </c>
      <c r="M36" t="s">
        <v>54</v>
      </c>
      <c r="N36">
        <v>0.10672918207470269</v>
      </c>
      <c r="O36" t="s">
        <v>53</v>
      </c>
    </row>
    <row r="37" spans="2:15" x14ac:dyDescent="0.45">
      <c r="B37" t="s">
        <v>66</v>
      </c>
      <c r="C37" t="s">
        <v>55</v>
      </c>
      <c r="D37">
        <v>0</v>
      </c>
      <c r="E37" t="s">
        <v>53</v>
      </c>
      <c r="G37" t="s">
        <v>96</v>
      </c>
      <c r="H37" t="s">
        <v>55</v>
      </c>
      <c r="I37">
        <v>8.1087531695436865E-2</v>
      </c>
      <c r="J37" t="s">
        <v>53</v>
      </c>
      <c r="L37" t="s">
        <v>124</v>
      </c>
      <c r="M37" t="s">
        <v>55</v>
      </c>
      <c r="N37">
        <v>6.172625307690998E-2</v>
      </c>
      <c r="O37" t="s">
        <v>53</v>
      </c>
    </row>
    <row r="38" spans="2:15" x14ac:dyDescent="0.45">
      <c r="B38" t="s">
        <v>66</v>
      </c>
      <c r="C38" t="s">
        <v>56</v>
      </c>
      <c r="D38">
        <v>2.3537979609126229E-2</v>
      </c>
      <c r="E38" t="s">
        <v>53</v>
      </c>
      <c r="G38" t="s">
        <v>96</v>
      </c>
      <c r="H38" t="s">
        <v>56</v>
      </c>
      <c r="I38">
        <v>9.8214024005502776E-2</v>
      </c>
      <c r="J38" t="s">
        <v>53</v>
      </c>
      <c r="L38" t="s">
        <v>124</v>
      </c>
      <c r="M38" t="s">
        <v>56</v>
      </c>
      <c r="N38">
        <v>0.11031381547023451</v>
      </c>
      <c r="O38" t="s">
        <v>53</v>
      </c>
    </row>
    <row r="39" spans="2:15" x14ac:dyDescent="0.45">
      <c r="B39" t="s">
        <v>66</v>
      </c>
      <c r="C39" t="s">
        <v>57</v>
      </c>
      <c r="D39">
        <v>0.26389825948254142</v>
      </c>
      <c r="E39" t="s">
        <v>53</v>
      </c>
      <c r="G39" t="s">
        <v>96</v>
      </c>
      <c r="H39" t="s">
        <v>57</v>
      </c>
      <c r="I39">
        <v>0.12950917297289652</v>
      </c>
      <c r="J39" t="s">
        <v>53</v>
      </c>
      <c r="L39" t="s">
        <v>124</v>
      </c>
      <c r="M39" t="s">
        <v>57</v>
      </c>
      <c r="N39">
        <v>0.13777861864683874</v>
      </c>
      <c r="O39" t="s">
        <v>53</v>
      </c>
    </row>
    <row r="40" spans="2:15" x14ac:dyDescent="0.45">
      <c r="B40" t="s">
        <v>66</v>
      </c>
      <c r="C40" t="s">
        <v>58</v>
      </c>
      <c r="D40">
        <v>1.5224607950417891E-2</v>
      </c>
      <c r="E40" t="s">
        <v>53</v>
      </c>
      <c r="G40" t="s">
        <v>96</v>
      </c>
      <c r="H40" t="s">
        <v>58</v>
      </c>
      <c r="I40">
        <v>7.4023888706791302E-2</v>
      </c>
      <c r="J40" t="s">
        <v>53</v>
      </c>
      <c r="L40" t="s">
        <v>124</v>
      </c>
      <c r="M40" t="s">
        <v>58</v>
      </c>
      <c r="N40">
        <v>8.2814597648771401E-2</v>
      </c>
      <c r="O40" t="s">
        <v>53</v>
      </c>
    </row>
    <row r="41" spans="2:15" x14ac:dyDescent="0.45">
      <c r="B41" t="s">
        <v>66</v>
      </c>
      <c r="C41" t="s">
        <v>59</v>
      </c>
      <c r="D41">
        <v>4.0576600850749357E-2</v>
      </c>
      <c r="E41" t="s">
        <v>53</v>
      </c>
      <c r="G41" t="s">
        <v>96</v>
      </c>
      <c r="H41" t="s">
        <v>59</v>
      </c>
      <c r="I41">
        <v>2.6207676926310635E-2</v>
      </c>
      <c r="J41" t="s">
        <v>53</v>
      </c>
      <c r="L41" t="s">
        <v>124</v>
      </c>
      <c r="M41" t="s">
        <v>59</v>
      </c>
      <c r="N41">
        <v>3.4629561444641681E-2</v>
      </c>
      <c r="O41" t="s">
        <v>53</v>
      </c>
    </row>
    <row r="42" spans="2:15" x14ac:dyDescent="0.45">
      <c r="B42" t="s">
        <v>66</v>
      </c>
      <c r="C42" t="s">
        <v>60</v>
      </c>
      <c r="D42">
        <v>0.3340336392300709</v>
      </c>
      <c r="E42" t="s">
        <v>53</v>
      </c>
      <c r="G42" t="s">
        <v>96</v>
      </c>
      <c r="H42" t="s">
        <v>60</v>
      </c>
      <c r="I42">
        <v>2.3619942581201384E-2</v>
      </c>
      <c r="J42" t="s">
        <v>53</v>
      </c>
      <c r="L42" t="s">
        <v>124</v>
      </c>
      <c r="M42" t="s">
        <v>60</v>
      </c>
      <c r="N42">
        <v>4.1880012895930831E-2</v>
      </c>
      <c r="O42" t="s">
        <v>53</v>
      </c>
    </row>
    <row r="43" spans="2:15" x14ac:dyDescent="0.45">
      <c r="B43" t="s">
        <v>66</v>
      </c>
      <c r="C43" t="s">
        <v>61</v>
      </c>
      <c r="D43">
        <v>3.5372616351165884E-2</v>
      </c>
      <c r="E43" t="s">
        <v>53</v>
      </c>
      <c r="G43" t="s">
        <v>96</v>
      </c>
      <c r="H43" t="s">
        <v>61</v>
      </c>
      <c r="I43">
        <v>1.0671314628874582E-2</v>
      </c>
      <c r="J43" t="s">
        <v>53</v>
      </c>
      <c r="L43" t="s">
        <v>124</v>
      </c>
      <c r="M43" t="s">
        <v>61</v>
      </c>
      <c r="N43">
        <v>2.8969554551013774E-2</v>
      </c>
      <c r="O43" t="s">
        <v>53</v>
      </c>
    </row>
    <row r="44" spans="2:15" x14ac:dyDescent="0.45">
      <c r="B44" t="s">
        <v>66</v>
      </c>
      <c r="C44" t="s">
        <v>62</v>
      </c>
      <c r="D44">
        <v>7.2825675744912109E-3</v>
      </c>
      <c r="E44" t="s">
        <v>53</v>
      </c>
      <c r="G44" t="s">
        <v>96</v>
      </c>
      <c r="H44" t="s">
        <v>62</v>
      </c>
      <c r="I44">
        <v>0.10556209967594973</v>
      </c>
      <c r="J44" t="s">
        <v>53</v>
      </c>
      <c r="L44" t="s">
        <v>124</v>
      </c>
      <c r="M44" t="s">
        <v>62</v>
      </c>
      <c r="N44">
        <v>0.10719397953859632</v>
      </c>
      <c r="O44" t="s">
        <v>53</v>
      </c>
    </row>
    <row r="45" spans="2:15" x14ac:dyDescent="0.45">
      <c r="B45" t="s">
        <v>66</v>
      </c>
      <c r="C45" t="s">
        <v>63</v>
      </c>
      <c r="D45">
        <v>0.16976251805848111</v>
      </c>
      <c r="E45" t="s">
        <v>53</v>
      </c>
      <c r="G45" t="s">
        <v>96</v>
      </c>
      <c r="H45" t="s">
        <v>63</v>
      </c>
      <c r="I45">
        <v>0.11636452986205541</v>
      </c>
      <c r="J45" t="s">
        <v>53</v>
      </c>
      <c r="L45" t="s">
        <v>124</v>
      </c>
      <c r="M45" t="s">
        <v>63</v>
      </c>
      <c r="N45">
        <v>0.12140009019299208</v>
      </c>
      <c r="O45" t="s">
        <v>53</v>
      </c>
    </row>
    <row r="46" spans="2:15" x14ac:dyDescent="0.45">
      <c r="B46" t="s">
        <v>66</v>
      </c>
      <c r="C46" t="s">
        <v>64</v>
      </c>
      <c r="D46">
        <v>2.1101148756423249E-3</v>
      </c>
      <c r="E46" t="s">
        <v>53</v>
      </c>
      <c r="G46" t="s">
        <v>96</v>
      </c>
      <c r="H46" t="s">
        <v>64</v>
      </c>
      <c r="I46">
        <v>8.33762502111874E-2</v>
      </c>
      <c r="J46" t="s">
        <v>53</v>
      </c>
      <c r="L46" t="s">
        <v>124</v>
      </c>
      <c r="M46" t="s">
        <v>64</v>
      </c>
      <c r="N46">
        <v>8.3629562277350591E-2</v>
      </c>
      <c r="O46" t="s">
        <v>53</v>
      </c>
    </row>
    <row r="47" spans="2:15" x14ac:dyDescent="0.45">
      <c r="B47" t="s">
        <v>67</v>
      </c>
      <c r="C47" t="s">
        <v>52</v>
      </c>
      <c r="D47">
        <v>0</v>
      </c>
      <c r="E47" t="s">
        <v>53</v>
      </c>
      <c r="G47" t="s">
        <v>97</v>
      </c>
      <c r="H47" t="s">
        <v>52</v>
      </c>
      <c r="I47">
        <v>9.4091697683218317E-2</v>
      </c>
      <c r="J47" t="s">
        <v>53</v>
      </c>
      <c r="L47" t="s">
        <v>125</v>
      </c>
      <c r="M47" t="s">
        <v>52</v>
      </c>
      <c r="N47">
        <v>8.2492300408366276E-2</v>
      </c>
      <c r="O47" t="s">
        <v>53</v>
      </c>
    </row>
    <row r="48" spans="2:15" x14ac:dyDescent="0.45">
      <c r="B48" t="s">
        <v>67</v>
      </c>
      <c r="C48" t="s">
        <v>54</v>
      </c>
      <c r="D48">
        <v>0.10743915191776418</v>
      </c>
      <c r="E48" t="s">
        <v>53</v>
      </c>
      <c r="G48" t="s">
        <v>97</v>
      </c>
      <c r="H48" t="s">
        <v>54</v>
      </c>
      <c r="I48">
        <v>0.12302274144681283</v>
      </c>
      <c r="J48" t="s">
        <v>53</v>
      </c>
      <c r="L48" t="s">
        <v>125</v>
      </c>
      <c r="M48" t="s">
        <v>54</v>
      </c>
      <c r="N48">
        <v>0.11400358786126659</v>
      </c>
      <c r="O48" t="s">
        <v>53</v>
      </c>
    </row>
    <row r="49" spans="2:15" x14ac:dyDescent="0.45">
      <c r="B49" t="s">
        <v>67</v>
      </c>
      <c r="C49" t="s">
        <v>55</v>
      </c>
      <c r="D49">
        <v>0</v>
      </c>
      <c r="E49" t="s">
        <v>53</v>
      </c>
      <c r="G49" t="s">
        <v>97</v>
      </c>
      <c r="H49" t="s">
        <v>55</v>
      </c>
      <c r="I49">
        <v>7.6801090807359793E-2</v>
      </c>
      <c r="J49" t="s">
        <v>53</v>
      </c>
      <c r="L49" t="s">
        <v>125</v>
      </c>
      <c r="M49" t="s">
        <v>55</v>
      </c>
      <c r="N49">
        <v>6.1648371601798986E-2</v>
      </c>
      <c r="O49" t="s">
        <v>53</v>
      </c>
    </row>
    <row r="50" spans="2:15" x14ac:dyDescent="0.45">
      <c r="B50" t="s">
        <v>67</v>
      </c>
      <c r="C50" t="s">
        <v>56</v>
      </c>
      <c r="D50">
        <v>2.0469646545717837E-2</v>
      </c>
      <c r="E50" t="s">
        <v>53</v>
      </c>
      <c r="G50" t="s">
        <v>97</v>
      </c>
      <c r="H50" t="s">
        <v>56</v>
      </c>
      <c r="I50">
        <v>7.4138001562038938E-2</v>
      </c>
      <c r="J50" t="s">
        <v>53</v>
      </c>
      <c r="L50" t="s">
        <v>125</v>
      </c>
      <c r="M50" t="s">
        <v>56</v>
      </c>
      <c r="N50">
        <v>0.10472360338097018</v>
      </c>
      <c r="O50" t="s">
        <v>53</v>
      </c>
    </row>
    <row r="51" spans="2:15" x14ac:dyDescent="0.45">
      <c r="B51" t="s">
        <v>67</v>
      </c>
      <c r="C51" t="s">
        <v>57</v>
      </c>
      <c r="D51">
        <v>0.27127476107950166</v>
      </c>
      <c r="E51" t="s">
        <v>53</v>
      </c>
      <c r="G51" t="s">
        <v>97</v>
      </c>
      <c r="H51" t="s">
        <v>57</v>
      </c>
      <c r="I51">
        <v>0.13619403750062045</v>
      </c>
      <c r="J51" t="s">
        <v>53</v>
      </c>
      <c r="L51" t="s">
        <v>125</v>
      </c>
      <c r="M51" t="s">
        <v>57</v>
      </c>
      <c r="N51">
        <v>0.13054841251814012</v>
      </c>
      <c r="O51" t="s">
        <v>53</v>
      </c>
    </row>
    <row r="52" spans="2:15" x14ac:dyDescent="0.45">
      <c r="B52" t="s">
        <v>67</v>
      </c>
      <c r="C52" t="s">
        <v>58</v>
      </c>
      <c r="D52">
        <v>1.9096184637187485E-2</v>
      </c>
      <c r="E52" t="s">
        <v>53</v>
      </c>
      <c r="G52" t="s">
        <v>97</v>
      </c>
      <c r="H52" t="s">
        <v>58</v>
      </c>
      <c r="I52">
        <v>6.9408201964413205E-2</v>
      </c>
      <c r="J52" t="s">
        <v>53</v>
      </c>
      <c r="L52" t="s">
        <v>125</v>
      </c>
      <c r="M52" t="s">
        <v>58</v>
      </c>
      <c r="N52">
        <v>7.9113356308180074E-2</v>
      </c>
      <c r="O52" t="s">
        <v>53</v>
      </c>
    </row>
    <row r="53" spans="2:15" x14ac:dyDescent="0.45">
      <c r="B53" t="s">
        <v>67</v>
      </c>
      <c r="C53" t="s">
        <v>59</v>
      </c>
      <c r="D53">
        <v>3.7591300560446156E-2</v>
      </c>
      <c r="E53" t="s">
        <v>53</v>
      </c>
      <c r="G53" t="s">
        <v>97</v>
      </c>
      <c r="H53" t="s">
        <v>59</v>
      </c>
      <c r="I53">
        <v>4.3170737836197501E-2</v>
      </c>
      <c r="J53" t="s">
        <v>53</v>
      </c>
      <c r="L53" t="s">
        <v>125</v>
      </c>
      <c r="M53" t="s">
        <v>59</v>
      </c>
      <c r="N53">
        <v>3.3466166994529332E-2</v>
      </c>
      <c r="O53" t="s">
        <v>53</v>
      </c>
    </row>
    <row r="54" spans="2:15" x14ac:dyDescent="0.45">
      <c r="B54" t="s">
        <v>67</v>
      </c>
      <c r="C54" t="s">
        <v>60</v>
      </c>
      <c r="D54">
        <v>0.33307322624077751</v>
      </c>
      <c r="E54" t="s">
        <v>53</v>
      </c>
      <c r="G54" t="s">
        <v>97</v>
      </c>
      <c r="H54" t="s">
        <v>60</v>
      </c>
      <c r="I54">
        <v>8.8214952817181433E-2</v>
      </c>
      <c r="J54" t="s">
        <v>53</v>
      </c>
      <c r="L54" t="s">
        <v>125</v>
      </c>
      <c r="M54" t="s">
        <v>60</v>
      </c>
      <c r="N54">
        <v>4.0930145719719278E-2</v>
      </c>
      <c r="O54" t="s">
        <v>53</v>
      </c>
    </row>
    <row r="55" spans="2:15" x14ac:dyDescent="0.45">
      <c r="B55" t="s">
        <v>67</v>
      </c>
      <c r="C55" t="s">
        <v>61</v>
      </c>
      <c r="D55">
        <v>3.8864811194932881E-2</v>
      </c>
      <c r="E55" t="s">
        <v>53</v>
      </c>
      <c r="G55" t="s">
        <v>97</v>
      </c>
      <c r="H55" t="s">
        <v>61</v>
      </c>
      <c r="I55">
        <v>5.1676537334082687E-2</v>
      </c>
      <c r="J55" t="s">
        <v>53</v>
      </c>
      <c r="L55" t="s">
        <v>125</v>
      </c>
      <c r="M55" t="s">
        <v>61</v>
      </c>
      <c r="N55">
        <v>2.3812560840422374E-2</v>
      </c>
      <c r="O55" t="s">
        <v>53</v>
      </c>
    </row>
    <row r="56" spans="2:15" x14ac:dyDescent="0.45">
      <c r="B56" t="s">
        <v>67</v>
      </c>
      <c r="C56" t="s">
        <v>62</v>
      </c>
      <c r="D56">
        <v>6.044324671360091E-3</v>
      </c>
      <c r="E56" t="s">
        <v>53</v>
      </c>
      <c r="G56" t="s">
        <v>97</v>
      </c>
      <c r="H56" t="s">
        <v>62</v>
      </c>
      <c r="I56">
        <v>7.6184830737968265E-2</v>
      </c>
      <c r="J56" t="s">
        <v>53</v>
      </c>
      <c r="L56" t="s">
        <v>125</v>
      </c>
      <c r="M56" t="s">
        <v>62</v>
      </c>
      <c r="N56">
        <v>0.10181338449746943</v>
      </c>
      <c r="O56" t="s">
        <v>53</v>
      </c>
    </row>
    <row r="57" spans="2:15" x14ac:dyDescent="0.45">
      <c r="B57" t="s">
        <v>67</v>
      </c>
      <c r="C57" t="s">
        <v>63</v>
      </c>
      <c r="D57">
        <v>0.16325884612704053</v>
      </c>
      <c r="E57" t="s">
        <v>53</v>
      </c>
      <c r="G57" t="s">
        <v>97</v>
      </c>
      <c r="H57" t="s">
        <v>63</v>
      </c>
      <c r="I57">
        <v>0.10486809300880563</v>
      </c>
      <c r="J57" t="s">
        <v>53</v>
      </c>
      <c r="L57" t="s">
        <v>125</v>
      </c>
      <c r="M57" t="s">
        <v>63</v>
      </c>
      <c r="N57">
        <v>0.13796770118621787</v>
      </c>
      <c r="O57" t="s">
        <v>53</v>
      </c>
    </row>
    <row r="58" spans="2:15" x14ac:dyDescent="0.45">
      <c r="B58" t="s">
        <v>67</v>
      </c>
      <c r="C58" t="s">
        <v>64</v>
      </c>
      <c r="D58">
        <v>2.8877470252739431E-3</v>
      </c>
      <c r="E58" t="s">
        <v>53</v>
      </c>
      <c r="G58" t="s">
        <v>97</v>
      </c>
      <c r="H58" t="s">
        <v>64</v>
      </c>
      <c r="I58">
        <v>6.2229077301302019E-2</v>
      </c>
      <c r="J58" t="s">
        <v>53</v>
      </c>
      <c r="L58" t="s">
        <v>125</v>
      </c>
      <c r="M58" t="s">
        <v>64</v>
      </c>
      <c r="N58">
        <v>8.9480408682918205E-2</v>
      </c>
      <c r="O58" t="s">
        <v>53</v>
      </c>
    </row>
    <row r="59" spans="2:15" x14ac:dyDescent="0.45">
      <c r="B59" t="s">
        <v>68</v>
      </c>
      <c r="C59" t="s">
        <v>52</v>
      </c>
      <c r="D59">
        <v>0</v>
      </c>
      <c r="E59" t="s">
        <v>53</v>
      </c>
      <c r="G59" t="s">
        <v>98</v>
      </c>
      <c r="H59" t="s">
        <v>52</v>
      </c>
      <c r="I59">
        <v>9.7016143709548239E-2</v>
      </c>
      <c r="J59" t="s">
        <v>53</v>
      </c>
      <c r="L59" t="s">
        <v>126</v>
      </c>
      <c r="M59" t="s">
        <v>52</v>
      </c>
      <c r="N59">
        <v>8.8091849926848972E-2</v>
      </c>
      <c r="O59" t="s">
        <v>53</v>
      </c>
    </row>
    <row r="60" spans="2:15" x14ac:dyDescent="0.45">
      <c r="B60" t="s">
        <v>68</v>
      </c>
      <c r="C60" t="s">
        <v>54</v>
      </c>
      <c r="D60">
        <v>0.12499612455956398</v>
      </c>
      <c r="E60" t="s">
        <v>53</v>
      </c>
      <c r="G60" t="s">
        <v>98</v>
      </c>
      <c r="H60" t="s">
        <v>54</v>
      </c>
      <c r="I60">
        <v>0.12890258287141618</v>
      </c>
      <c r="J60" t="s">
        <v>53</v>
      </c>
      <c r="L60" t="s">
        <v>126</v>
      </c>
      <c r="M60" t="s">
        <v>54</v>
      </c>
      <c r="N60">
        <v>0.11261893323874765</v>
      </c>
      <c r="O60" t="s">
        <v>53</v>
      </c>
    </row>
    <row r="61" spans="2:15" x14ac:dyDescent="0.45">
      <c r="B61" t="s">
        <v>68</v>
      </c>
      <c r="C61" t="s">
        <v>55</v>
      </c>
      <c r="D61">
        <v>6.4392321100127051E-4</v>
      </c>
      <c r="E61" t="s">
        <v>53</v>
      </c>
      <c r="G61" t="s">
        <v>98</v>
      </c>
      <c r="H61" t="s">
        <v>55</v>
      </c>
      <c r="I61">
        <v>6.5547489120161936E-2</v>
      </c>
      <c r="J61" t="s">
        <v>53</v>
      </c>
      <c r="L61" t="s">
        <v>126</v>
      </c>
      <c r="M61" t="s">
        <v>55</v>
      </c>
      <c r="N61">
        <v>6.8148270720438997E-2</v>
      </c>
      <c r="O61" t="s">
        <v>53</v>
      </c>
    </row>
    <row r="62" spans="2:15" x14ac:dyDescent="0.45">
      <c r="B62" t="s">
        <v>68</v>
      </c>
      <c r="C62" t="s">
        <v>56</v>
      </c>
      <c r="D62">
        <v>1.8100208286824276E-2</v>
      </c>
      <c r="E62" t="s">
        <v>53</v>
      </c>
      <c r="G62" t="s">
        <v>98</v>
      </c>
      <c r="H62" t="s">
        <v>56</v>
      </c>
      <c r="I62">
        <v>6.668965439327261E-2</v>
      </c>
      <c r="J62" t="s">
        <v>53</v>
      </c>
      <c r="L62" t="s">
        <v>126</v>
      </c>
      <c r="M62" t="s">
        <v>56</v>
      </c>
      <c r="N62">
        <v>0.10534717858535848</v>
      </c>
      <c r="O62" t="s">
        <v>53</v>
      </c>
    </row>
    <row r="63" spans="2:15" x14ac:dyDescent="0.45">
      <c r="B63" t="s">
        <v>68</v>
      </c>
      <c r="C63" t="s">
        <v>57</v>
      </c>
      <c r="D63">
        <v>0.26094459382196639</v>
      </c>
      <c r="E63" t="s">
        <v>53</v>
      </c>
      <c r="G63" t="s">
        <v>98</v>
      </c>
      <c r="H63" t="s">
        <v>57</v>
      </c>
      <c r="I63">
        <v>0.17713481203968123</v>
      </c>
      <c r="J63" t="s">
        <v>53</v>
      </c>
      <c r="L63" t="s">
        <v>126</v>
      </c>
      <c r="M63" t="s">
        <v>57</v>
      </c>
      <c r="N63">
        <v>0.1434132034259063</v>
      </c>
      <c r="O63" t="s">
        <v>53</v>
      </c>
    </row>
    <row r="64" spans="2:15" x14ac:dyDescent="0.45">
      <c r="B64" t="s">
        <v>68</v>
      </c>
      <c r="C64" t="s">
        <v>58</v>
      </c>
      <c r="D64">
        <v>1.9913082400654283E-2</v>
      </c>
      <c r="E64" t="s">
        <v>53</v>
      </c>
      <c r="G64" t="s">
        <v>98</v>
      </c>
      <c r="H64" t="s">
        <v>58</v>
      </c>
      <c r="I64">
        <v>7.0542575825096709E-2</v>
      </c>
      <c r="J64" t="s">
        <v>53</v>
      </c>
      <c r="L64" t="s">
        <v>126</v>
      </c>
      <c r="M64" t="s">
        <v>58</v>
      </c>
      <c r="N64">
        <v>8.3613900979228828E-2</v>
      </c>
      <c r="O64" t="s">
        <v>53</v>
      </c>
    </row>
    <row r="65" spans="2:15" x14ac:dyDescent="0.45">
      <c r="B65" t="s">
        <v>68</v>
      </c>
      <c r="C65" t="s">
        <v>59</v>
      </c>
      <c r="D65">
        <v>3.0757147125747144E-2</v>
      </c>
      <c r="E65" t="s">
        <v>53</v>
      </c>
      <c r="G65" t="s">
        <v>98</v>
      </c>
      <c r="H65" t="s">
        <v>59</v>
      </c>
      <c r="I65">
        <v>2.9845449437048612E-2</v>
      </c>
      <c r="J65" t="s">
        <v>53</v>
      </c>
      <c r="L65" t="s">
        <v>126</v>
      </c>
      <c r="M65" t="s">
        <v>59</v>
      </c>
      <c r="N65">
        <v>3.495678666369164E-2</v>
      </c>
      <c r="O65" t="s">
        <v>53</v>
      </c>
    </row>
    <row r="66" spans="2:15" x14ac:dyDescent="0.45">
      <c r="B66" t="s">
        <v>68</v>
      </c>
      <c r="C66" t="s">
        <v>60</v>
      </c>
      <c r="D66">
        <v>0.31177807382990935</v>
      </c>
      <c r="E66" t="s">
        <v>53</v>
      </c>
      <c r="G66" t="s">
        <v>98</v>
      </c>
      <c r="H66" t="s">
        <v>60</v>
      </c>
      <c r="I66">
        <v>9.912178087385172E-2</v>
      </c>
      <c r="J66" t="s">
        <v>53</v>
      </c>
      <c r="L66" t="s">
        <v>126</v>
      </c>
      <c r="M66" t="s">
        <v>60</v>
      </c>
      <c r="N66">
        <v>4.8551398687537148E-2</v>
      </c>
      <c r="O66" t="s">
        <v>53</v>
      </c>
    </row>
    <row r="67" spans="2:15" x14ac:dyDescent="0.45">
      <c r="B67" t="s">
        <v>68</v>
      </c>
      <c r="C67" t="s">
        <v>61</v>
      </c>
      <c r="D67">
        <v>4.0596250434731876E-2</v>
      </c>
      <c r="E67" t="s">
        <v>53</v>
      </c>
      <c r="G67" t="s">
        <v>98</v>
      </c>
      <c r="H67" t="s">
        <v>61</v>
      </c>
      <c r="I67">
        <v>4.0452546312364439E-2</v>
      </c>
      <c r="J67" t="s">
        <v>53</v>
      </c>
      <c r="L67" t="s">
        <v>126</v>
      </c>
      <c r="M67" t="s">
        <v>61</v>
      </c>
      <c r="N67">
        <v>3.1892344213278738E-2</v>
      </c>
      <c r="O67" t="s">
        <v>53</v>
      </c>
    </row>
    <row r="68" spans="2:15" x14ac:dyDescent="0.45">
      <c r="B68" t="s">
        <v>68</v>
      </c>
      <c r="C68" t="s">
        <v>62</v>
      </c>
      <c r="D68">
        <v>4.8625477638685162E-3</v>
      </c>
      <c r="E68" t="s">
        <v>53</v>
      </c>
      <c r="G68" t="s">
        <v>98</v>
      </c>
      <c r="H68" t="s">
        <v>62</v>
      </c>
      <c r="I68">
        <v>6.2640400838167701E-2</v>
      </c>
      <c r="J68" t="s">
        <v>53</v>
      </c>
      <c r="L68" t="s">
        <v>126</v>
      </c>
      <c r="M68" t="s">
        <v>62</v>
      </c>
      <c r="N68">
        <v>9.0575172147568259E-2</v>
      </c>
      <c r="O68" t="s">
        <v>53</v>
      </c>
    </row>
    <row r="69" spans="2:15" x14ac:dyDescent="0.45">
      <c r="B69" t="s">
        <v>68</v>
      </c>
      <c r="C69" t="s">
        <v>63</v>
      </c>
      <c r="D69">
        <v>0.18280047484410047</v>
      </c>
      <c r="E69" t="s">
        <v>53</v>
      </c>
      <c r="G69" t="s">
        <v>98</v>
      </c>
      <c r="H69" t="s">
        <v>63</v>
      </c>
      <c r="I69">
        <v>0.10613824979554635</v>
      </c>
      <c r="J69" t="s">
        <v>53</v>
      </c>
      <c r="L69" t="s">
        <v>126</v>
      </c>
      <c r="M69" t="s">
        <v>63</v>
      </c>
      <c r="N69">
        <v>0.12061664797044169</v>
      </c>
      <c r="O69" t="s">
        <v>53</v>
      </c>
    </row>
    <row r="70" spans="2:15" x14ac:dyDescent="0.45">
      <c r="B70" t="s">
        <v>68</v>
      </c>
      <c r="C70" t="s">
        <v>64</v>
      </c>
      <c r="D70">
        <v>4.6075737216342534E-3</v>
      </c>
      <c r="E70" t="s">
        <v>53</v>
      </c>
      <c r="G70" t="s">
        <v>98</v>
      </c>
      <c r="H70" t="s">
        <v>64</v>
      </c>
      <c r="I70">
        <v>5.5968314783844439E-2</v>
      </c>
      <c r="J70" t="s">
        <v>53</v>
      </c>
      <c r="L70" t="s">
        <v>126</v>
      </c>
      <c r="M70" t="s">
        <v>64</v>
      </c>
      <c r="N70">
        <v>7.2174313440952764E-2</v>
      </c>
      <c r="O70" t="s">
        <v>53</v>
      </c>
    </row>
    <row r="71" spans="2:15" x14ac:dyDescent="0.45">
      <c r="B71" t="s">
        <v>69</v>
      </c>
      <c r="C71" t="s">
        <v>52</v>
      </c>
      <c r="D71">
        <v>0</v>
      </c>
      <c r="E71" t="s">
        <v>53</v>
      </c>
      <c r="G71" t="s">
        <v>99</v>
      </c>
      <c r="H71" t="s">
        <v>52</v>
      </c>
      <c r="I71">
        <v>0.10120224041108672</v>
      </c>
      <c r="J71" t="s">
        <v>53</v>
      </c>
      <c r="L71" t="s">
        <v>127</v>
      </c>
      <c r="M71" t="s">
        <v>52</v>
      </c>
      <c r="N71">
        <v>8.8489583010271156E-2</v>
      </c>
      <c r="O71" t="s">
        <v>53</v>
      </c>
    </row>
    <row r="72" spans="2:15" x14ac:dyDescent="0.45">
      <c r="B72" t="s">
        <v>69</v>
      </c>
      <c r="C72" t="s">
        <v>54</v>
      </c>
      <c r="D72">
        <v>0.11835631232648232</v>
      </c>
      <c r="E72" t="s">
        <v>53</v>
      </c>
      <c r="G72" t="s">
        <v>99</v>
      </c>
      <c r="H72" t="s">
        <v>54</v>
      </c>
      <c r="I72">
        <v>0.12214225814877215</v>
      </c>
      <c r="J72" t="s">
        <v>53</v>
      </c>
      <c r="L72" t="s">
        <v>127</v>
      </c>
      <c r="M72" t="s">
        <v>54</v>
      </c>
      <c r="N72">
        <v>0.12349087486441704</v>
      </c>
      <c r="O72" t="s">
        <v>53</v>
      </c>
    </row>
    <row r="73" spans="2:15" x14ac:dyDescent="0.45">
      <c r="B73" t="s">
        <v>69</v>
      </c>
      <c r="C73" t="s">
        <v>55</v>
      </c>
      <c r="D73">
        <v>1.8224882809138575E-4</v>
      </c>
      <c r="E73" t="s">
        <v>53</v>
      </c>
      <c r="G73" t="s">
        <v>99</v>
      </c>
      <c r="H73" t="s">
        <v>55</v>
      </c>
      <c r="I73">
        <v>7.9923003059259007E-2</v>
      </c>
      <c r="J73" t="s">
        <v>53</v>
      </c>
      <c r="L73" t="s">
        <v>127</v>
      </c>
      <c r="M73" t="s">
        <v>55</v>
      </c>
      <c r="N73">
        <v>7.1814921411597538E-2</v>
      </c>
      <c r="O73" t="s">
        <v>53</v>
      </c>
    </row>
    <row r="74" spans="2:15" x14ac:dyDescent="0.45">
      <c r="B74" t="s">
        <v>69</v>
      </c>
      <c r="C74" t="s">
        <v>56</v>
      </c>
      <c r="D74">
        <v>2.1047994981391899E-2</v>
      </c>
      <c r="E74" t="s">
        <v>53</v>
      </c>
      <c r="G74" t="s">
        <v>99</v>
      </c>
      <c r="H74" t="s">
        <v>56</v>
      </c>
      <c r="I74">
        <v>6.4763734980228679E-2</v>
      </c>
      <c r="J74" t="s">
        <v>53</v>
      </c>
      <c r="L74" t="s">
        <v>127</v>
      </c>
      <c r="M74" t="s">
        <v>56</v>
      </c>
      <c r="N74">
        <v>0.10344988144154067</v>
      </c>
      <c r="O74" t="s">
        <v>53</v>
      </c>
    </row>
    <row r="75" spans="2:15" x14ac:dyDescent="0.45">
      <c r="B75" t="s">
        <v>69</v>
      </c>
      <c r="C75" t="s">
        <v>57</v>
      </c>
      <c r="D75">
        <v>0.26397330852233858</v>
      </c>
      <c r="E75" t="s">
        <v>53</v>
      </c>
      <c r="G75" t="s">
        <v>99</v>
      </c>
      <c r="H75" t="s">
        <v>57</v>
      </c>
      <c r="I75">
        <v>0.10106619375682378</v>
      </c>
      <c r="J75" t="s">
        <v>53</v>
      </c>
      <c r="L75" t="s">
        <v>127</v>
      </c>
      <c r="M75" t="s">
        <v>57</v>
      </c>
      <c r="N75">
        <v>0.13455928177018142</v>
      </c>
      <c r="O75" t="s">
        <v>53</v>
      </c>
    </row>
    <row r="76" spans="2:15" x14ac:dyDescent="0.45">
      <c r="B76" t="s">
        <v>69</v>
      </c>
      <c r="C76" t="s">
        <v>58</v>
      </c>
      <c r="D76">
        <v>1.7622147796542292E-2</v>
      </c>
      <c r="E76" t="s">
        <v>53</v>
      </c>
      <c r="G76" t="s">
        <v>99</v>
      </c>
      <c r="H76" t="s">
        <v>58</v>
      </c>
      <c r="I76">
        <v>5.6742427705009056E-2</v>
      </c>
      <c r="J76" t="s">
        <v>53</v>
      </c>
      <c r="L76" t="s">
        <v>127</v>
      </c>
      <c r="M76" t="s">
        <v>58</v>
      </c>
      <c r="N76">
        <v>8.1918284280003126E-2</v>
      </c>
      <c r="O76" t="s">
        <v>53</v>
      </c>
    </row>
    <row r="77" spans="2:15" x14ac:dyDescent="0.45">
      <c r="B77" t="s">
        <v>69</v>
      </c>
      <c r="C77" t="s">
        <v>59</v>
      </c>
      <c r="D77">
        <v>3.5438094087434986E-2</v>
      </c>
      <c r="E77" t="s">
        <v>53</v>
      </c>
      <c r="G77" t="s">
        <v>99</v>
      </c>
      <c r="H77" t="s">
        <v>59</v>
      </c>
      <c r="I77">
        <v>6.453549608394904E-2</v>
      </c>
      <c r="J77" t="s">
        <v>53</v>
      </c>
      <c r="L77" t="s">
        <v>127</v>
      </c>
      <c r="M77" t="s">
        <v>59</v>
      </c>
      <c r="N77">
        <v>3.0050462900555703E-2</v>
      </c>
      <c r="O77" t="s">
        <v>53</v>
      </c>
    </row>
    <row r="78" spans="2:15" x14ac:dyDescent="0.45">
      <c r="B78" t="s">
        <v>69</v>
      </c>
      <c r="C78" t="s">
        <v>60</v>
      </c>
      <c r="D78">
        <v>0.32148634567757978</v>
      </c>
      <c r="E78" t="s">
        <v>53</v>
      </c>
      <c r="G78" t="s">
        <v>99</v>
      </c>
      <c r="H78" t="s">
        <v>60</v>
      </c>
      <c r="I78">
        <v>8.8472784887061673E-2</v>
      </c>
      <c r="J78" t="s">
        <v>53</v>
      </c>
      <c r="L78" t="s">
        <v>127</v>
      </c>
      <c r="M78" t="s">
        <v>60</v>
      </c>
      <c r="N78">
        <v>4.8814942663168569E-2</v>
      </c>
      <c r="O78" t="s">
        <v>53</v>
      </c>
    </row>
    <row r="79" spans="2:15" x14ac:dyDescent="0.45">
      <c r="B79" t="s">
        <v>69</v>
      </c>
      <c r="C79" t="s">
        <v>61</v>
      </c>
      <c r="D79">
        <v>3.7832363513732606E-2</v>
      </c>
      <c r="E79" t="s">
        <v>53</v>
      </c>
      <c r="G79" t="s">
        <v>99</v>
      </c>
      <c r="H79" t="s">
        <v>61</v>
      </c>
      <c r="I79">
        <v>5.5306167840616018E-2</v>
      </c>
      <c r="J79" t="s">
        <v>53</v>
      </c>
      <c r="L79" t="s">
        <v>127</v>
      </c>
      <c r="M79" t="s">
        <v>61</v>
      </c>
      <c r="N79">
        <v>2.547927697523544E-2</v>
      </c>
      <c r="O79" t="s">
        <v>53</v>
      </c>
    </row>
    <row r="80" spans="2:15" x14ac:dyDescent="0.45">
      <c r="B80" t="s">
        <v>69</v>
      </c>
      <c r="C80" t="s">
        <v>62</v>
      </c>
      <c r="D80">
        <v>5.113978218155962E-3</v>
      </c>
      <c r="E80" t="s">
        <v>53</v>
      </c>
      <c r="G80" t="s">
        <v>99</v>
      </c>
      <c r="H80" t="s">
        <v>62</v>
      </c>
      <c r="I80">
        <v>8.7710883629477474E-2</v>
      </c>
      <c r="J80" t="s">
        <v>53</v>
      </c>
      <c r="L80" t="s">
        <v>127</v>
      </c>
      <c r="M80" t="s">
        <v>62</v>
      </c>
      <c r="N80">
        <v>9.3908864051871044E-2</v>
      </c>
      <c r="O80" t="s">
        <v>53</v>
      </c>
    </row>
    <row r="81" spans="2:15" x14ac:dyDescent="0.45">
      <c r="B81" t="s">
        <v>69</v>
      </c>
      <c r="C81" t="s">
        <v>63</v>
      </c>
      <c r="D81">
        <v>0.17524072298984747</v>
      </c>
      <c r="E81" t="s">
        <v>53</v>
      </c>
      <c r="G81" t="s">
        <v>99</v>
      </c>
      <c r="H81" t="s">
        <v>63</v>
      </c>
      <c r="I81">
        <v>0.1099414886327585</v>
      </c>
      <c r="J81" t="s">
        <v>53</v>
      </c>
      <c r="L81" t="s">
        <v>127</v>
      </c>
      <c r="M81" t="s">
        <v>63</v>
      </c>
      <c r="N81">
        <v>0.12019951821644316</v>
      </c>
      <c r="O81" t="s">
        <v>53</v>
      </c>
    </row>
    <row r="82" spans="2:15" x14ac:dyDescent="0.45">
      <c r="B82" t="s">
        <v>69</v>
      </c>
      <c r="C82" t="s">
        <v>64</v>
      </c>
      <c r="D82">
        <v>3.7064830584037224E-3</v>
      </c>
      <c r="E82" t="s">
        <v>53</v>
      </c>
      <c r="G82" t="s">
        <v>99</v>
      </c>
      <c r="H82" t="s">
        <v>64</v>
      </c>
      <c r="I82">
        <v>6.8193320864959564E-2</v>
      </c>
      <c r="J82" t="s">
        <v>53</v>
      </c>
      <c r="L82" t="s">
        <v>127</v>
      </c>
      <c r="M82" t="s">
        <v>64</v>
      </c>
      <c r="N82">
        <v>7.7824108414714155E-2</v>
      </c>
      <c r="O82" t="s">
        <v>53</v>
      </c>
    </row>
    <row r="83" spans="2:15" x14ac:dyDescent="0.45">
      <c r="B83" t="s">
        <v>70</v>
      </c>
      <c r="C83" t="s">
        <v>52</v>
      </c>
      <c r="D83">
        <v>0</v>
      </c>
      <c r="E83" t="s">
        <v>53</v>
      </c>
      <c r="G83" t="s">
        <v>100</v>
      </c>
      <c r="H83" t="s">
        <v>52</v>
      </c>
      <c r="I83">
        <v>9.0628508672140479E-2</v>
      </c>
      <c r="J83" t="s">
        <v>53</v>
      </c>
      <c r="L83" t="s">
        <v>128</v>
      </c>
      <c r="M83" t="s">
        <v>52</v>
      </c>
      <c r="N83">
        <v>8.7585295900350663E-2</v>
      </c>
      <c r="O83" t="s">
        <v>53</v>
      </c>
    </row>
    <row r="84" spans="2:15" x14ac:dyDescent="0.45">
      <c r="B84" t="s">
        <v>70</v>
      </c>
      <c r="C84" t="s">
        <v>54</v>
      </c>
      <c r="D84">
        <v>0.10814467221637267</v>
      </c>
      <c r="E84" t="s">
        <v>53</v>
      </c>
      <c r="G84" t="s">
        <v>100</v>
      </c>
      <c r="H84" t="s">
        <v>54</v>
      </c>
      <c r="I84">
        <v>0.11798138284579188</v>
      </c>
      <c r="J84" t="s">
        <v>53</v>
      </c>
      <c r="L84" t="s">
        <v>128</v>
      </c>
      <c r="M84" t="s">
        <v>54</v>
      </c>
      <c r="N84">
        <v>0.10887216602020638</v>
      </c>
      <c r="O84" t="s">
        <v>53</v>
      </c>
    </row>
    <row r="85" spans="2:15" x14ac:dyDescent="0.45">
      <c r="B85" t="s">
        <v>70</v>
      </c>
      <c r="C85" t="s">
        <v>55</v>
      </c>
      <c r="D85">
        <v>1.4242888305502434E-4</v>
      </c>
      <c r="E85" t="s">
        <v>53</v>
      </c>
      <c r="G85" t="s">
        <v>100</v>
      </c>
      <c r="H85" t="s">
        <v>55</v>
      </c>
      <c r="I85">
        <v>7.2508574902243744E-2</v>
      </c>
      <c r="J85" t="s">
        <v>53</v>
      </c>
      <c r="L85" t="s">
        <v>128</v>
      </c>
      <c r="M85" t="s">
        <v>55</v>
      </c>
      <c r="N85">
        <v>6.7898041227466649E-2</v>
      </c>
      <c r="O85" t="s">
        <v>53</v>
      </c>
    </row>
    <row r="86" spans="2:15" x14ac:dyDescent="0.45">
      <c r="B86" t="s">
        <v>70</v>
      </c>
      <c r="C86" t="s">
        <v>56</v>
      </c>
      <c r="D86">
        <v>1.9496679131968384E-2</v>
      </c>
      <c r="E86" t="s">
        <v>53</v>
      </c>
      <c r="G86" t="s">
        <v>100</v>
      </c>
      <c r="H86" t="s">
        <v>56</v>
      </c>
      <c r="I86">
        <v>7.9700682564627215E-2</v>
      </c>
      <c r="J86" t="s">
        <v>53</v>
      </c>
      <c r="L86" t="s">
        <v>128</v>
      </c>
      <c r="M86" t="s">
        <v>56</v>
      </c>
      <c r="N86">
        <v>9.1020702796185349E-2</v>
      </c>
      <c r="O86" t="s">
        <v>53</v>
      </c>
    </row>
    <row r="87" spans="2:15" x14ac:dyDescent="0.45">
      <c r="B87" t="s">
        <v>70</v>
      </c>
      <c r="C87" t="s">
        <v>57</v>
      </c>
      <c r="D87">
        <v>0.27250746866062964</v>
      </c>
      <c r="E87" t="s">
        <v>53</v>
      </c>
      <c r="G87" t="s">
        <v>100</v>
      </c>
      <c r="H87" t="s">
        <v>57</v>
      </c>
      <c r="I87">
        <v>0.11555617834488979</v>
      </c>
      <c r="J87" t="s">
        <v>53</v>
      </c>
      <c r="L87" t="s">
        <v>128</v>
      </c>
      <c r="M87" t="s">
        <v>57</v>
      </c>
      <c r="N87">
        <v>0.13366537954753505</v>
      </c>
      <c r="O87" t="s">
        <v>53</v>
      </c>
    </row>
    <row r="88" spans="2:15" x14ac:dyDescent="0.45">
      <c r="B88" t="s">
        <v>70</v>
      </c>
      <c r="C88" t="s">
        <v>58</v>
      </c>
      <c r="D88">
        <v>2.1650365376078704E-2</v>
      </c>
      <c r="E88" t="s">
        <v>53</v>
      </c>
      <c r="G88" t="s">
        <v>100</v>
      </c>
      <c r="H88" t="s">
        <v>58</v>
      </c>
      <c r="I88">
        <v>6.3483494672405091E-2</v>
      </c>
      <c r="J88" t="s">
        <v>53</v>
      </c>
      <c r="L88" t="s">
        <v>128</v>
      </c>
      <c r="M88" t="s">
        <v>58</v>
      </c>
      <c r="N88">
        <v>8.1180954015209E-2</v>
      </c>
      <c r="O88" t="s">
        <v>53</v>
      </c>
    </row>
    <row r="89" spans="2:15" x14ac:dyDescent="0.45">
      <c r="B89" t="s">
        <v>70</v>
      </c>
      <c r="C89" t="s">
        <v>59</v>
      </c>
      <c r="D89">
        <v>3.2482868980382822E-2</v>
      </c>
      <c r="E89" t="s">
        <v>53</v>
      </c>
      <c r="G89" t="s">
        <v>100</v>
      </c>
      <c r="H89" t="s">
        <v>59</v>
      </c>
      <c r="I89">
        <v>5.4604574377726048E-2</v>
      </c>
      <c r="J89" t="s">
        <v>53</v>
      </c>
      <c r="L89" t="s">
        <v>128</v>
      </c>
      <c r="M89" t="s">
        <v>59</v>
      </c>
      <c r="N89">
        <v>4.4658635420217092E-2</v>
      </c>
      <c r="O89" t="s">
        <v>53</v>
      </c>
    </row>
    <row r="90" spans="2:15" x14ac:dyDescent="0.45">
      <c r="B90" t="s">
        <v>70</v>
      </c>
      <c r="C90" t="s">
        <v>60</v>
      </c>
      <c r="D90">
        <v>0.32561869423755663</v>
      </c>
      <c r="E90" t="s">
        <v>53</v>
      </c>
      <c r="G90" t="s">
        <v>100</v>
      </c>
      <c r="H90" t="s">
        <v>60</v>
      </c>
      <c r="I90">
        <v>8.0670155702249433E-2</v>
      </c>
      <c r="J90" t="s">
        <v>53</v>
      </c>
      <c r="L90" t="s">
        <v>128</v>
      </c>
      <c r="M90" t="s">
        <v>60</v>
      </c>
      <c r="N90">
        <v>6.0663812489916931E-2</v>
      </c>
      <c r="O90" t="s">
        <v>53</v>
      </c>
    </row>
    <row r="91" spans="2:15" x14ac:dyDescent="0.45">
      <c r="B91" t="s">
        <v>70</v>
      </c>
      <c r="C91" t="s">
        <v>61</v>
      </c>
      <c r="D91">
        <v>4.2424211888630534E-2</v>
      </c>
      <c r="E91" t="s">
        <v>53</v>
      </c>
      <c r="G91" t="s">
        <v>100</v>
      </c>
      <c r="H91" t="s">
        <v>61</v>
      </c>
      <c r="I91">
        <v>4.5964501139682964E-2</v>
      </c>
      <c r="J91" t="s">
        <v>53</v>
      </c>
      <c r="L91" t="s">
        <v>128</v>
      </c>
      <c r="M91" t="s">
        <v>61</v>
      </c>
      <c r="N91">
        <v>4.2609696203393582E-2</v>
      </c>
      <c r="O91" t="s">
        <v>53</v>
      </c>
    </row>
    <row r="92" spans="2:15" x14ac:dyDescent="0.45">
      <c r="B92" t="s">
        <v>70</v>
      </c>
      <c r="C92" t="s">
        <v>62</v>
      </c>
      <c r="D92">
        <v>4.2837932556810321E-3</v>
      </c>
      <c r="E92" t="s">
        <v>53</v>
      </c>
      <c r="G92" t="s">
        <v>100</v>
      </c>
      <c r="H92" t="s">
        <v>62</v>
      </c>
      <c r="I92">
        <v>9.0537529944049566E-2</v>
      </c>
      <c r="J92" t="s">
        <v>53</v>
      </c>
      <c r="L92" t="s">
        <v>128</v>
      </c>
      <c r="M92" t="s">
        <v>62</v>
      </c>
      <c r="N92">
        <v>9.3765941899374497E-2</v>
      </c>
      <c r="O92" t="s">
        <v>53</v>
      </c>
    </row>
    <row r="93" spans="2:15" x14ac:dyDescent="0.45">
      <c r="B93" t="s">
        <v>70</v>
      </c>
      <c r="C93" t="s">
        <v>63</v>
      </c>
      <c r="D93">
        <v>0.16890568525391453</v>
      </c>
      <c r="E93" t="s">
        <v>53</v>
      </c>
      <c r="G93" t="s">
        <v>100</v>
      </c>
      <c r="H93" t="s">
        <v>63</v>
      </c>
      <c r="I93">
        <v>0.11832790465598657</v>
      </c>
      <c r="J93" t="s">
        <v>53</v>
      </c>
      <c r="L93" t="s">
        <v>128</v>
      </c>
      <c r="M93" t="s">
        <v>63</v>
      </c>
      <c r="N93">
        <v>0.11373790019236399</v>
      </c>
      <c r="O93" t="s">
        <v>53</v>
      </c>
    </row>
    <row r="94" spans="2:15" x14ac:dyDescent="0.45">
      <c r="B94" t="s">
        <v>70</v>
      </c>
      <c r="C94" t="s">
        <v>64</v>
      </c>
      <c r="D94">
        <v>4.3431321157294525E-3</v>
      </c>
      <c r="E94" t="s">
        <v>53</v>
      </c>
      <c r="G94" t="s">
        <v>100</v>
      </c>
      <c r="H94" t="s">
        <v>64</v>
      </c>
      <c r="I94">
        <v>7.0036512178207971E-2</v>
      </c>
      <c r="J94" t="s">
        <v>53</v>
      </c>
      <c r="L94" t="s">
        <v>128</v>
      </c>
      <c r="M94" t="s">
        <v>64</v>
      </c>
      <c r="N94">
        <v>7.4341474287775655E-2</v>
      </c>
      <c r="O94" t="s">
        <v>53</v>
      </c>
    </row>
    <row r="95" spans="2:15" x14ac:dyDescent="0.45">
      <c r="B95" t="s">
        <v>71</v>
      </c>
      <c r="C95" t="s">
        <v>52</v>
      </c>
      <c r="D95">
        <v>1.4604589175886775E-3</v>
      </c>
      <c r="E95" t="s">
        <v>53</v>
      </c>
      <c r="G95" t="s">
        <v>101</v>
      </c>
      <c r="H95" t="s">
        <v>52</v>
      </c>
      <c r="I95">
        <v>8.8559768480227841E-2</v>
      </c>
      <c r="J95" t="s">
        <v>53</v>
      </c>
      <c r="L95" t="s">
        <v>129</v>
      </c>
      <c r="M95" t="s">
        <v>52</v>
      </c>
      <c r="N95">
        <v>9.0870939367467568E-2</v>
      </c>
      <c r="O95" t="s">
        <v>53</v>
      </c>
    </row>
    <row r="96" spans="2:15" x14ac:dyDescent="0.45">
      <c r="B96" t="s">
        <v>71</v>
      </c>
      <c r="C96" t="s">
        <v>54</v>
      </c>
      <c r="D96">
        <v>0.10855901257176788</v>
      </c>
      <c r="E96" t="s">
        <v>53</v>
      </c>
      <c r="G96" t="s">
        <v>101</v>
      </c>
      <c r="H96" t="s">
        <v>54</v>
      </c>
      <c r="I96">
        <v>0.11432056546181819</v>
      </c>
      <c r="J96" t="s">
        <v>53</v>
      </c>
      <c r="L96" t="s">
        <v>129</v>
      </c>
      <c r="M96" t="s">
        <v>54</v>
      </c>
      <c r="N96">
        <v>0.11595551420119347</v>
      </c>
      <c r="O96" t="s">
        <v>53</v>
      </c>
    </row>
    <row r="97" spans="2:15" x14ac:dyDescent="0.45">
      <c r="B97" t="s">
        <v>71</v>
      </c>
      <c r="C97" t="s">
        <v>55</v>
      </c>
      <c r="D97">
        <v>0</v>
      </c>
      <c r="E97" t="s">
        <v>53</v>
      </c>
      <c r="G97" t="s">
        <v>101</v>
      </c>
      <c r="H97" t="s">
        <v>55</v>
      </c>
      <c r="I97">
        <v>7.4551154736292785E-2</v>
      </c>
      <c r="J97" t="s">
        <v>53</v>
      </c>
      <c r="L97" t="s">
        <v>129</v>
      </c>
      <c r="M97" t="s">
        <v>55</v>
      </c>
      <c r="N97">
        <v>7.2335743904108352E-2</v>
      </c>
      <c r="O97" t="s">
        <v>53</v>
      </c>
    </row>
    <row r="98" spans="2:15" x14ac:dyDescent="0.45">
      <c r="B98" t="s">
        <v>71</v>
      </c>
      <c r="C98" t="s">
        <v>56</v>
      </c>
      <c r="D98">
        <v>3.523220895313825E-2</v>
      </c>
      <c r="E98" t="s">
        <v>53</v>
      </c>
      <c r="G98" t="s">
        <v>101</v>
      </c>
      <c r="H98" t="s">
        <v>56</v>
      </c>
      <c r="I98">
        <v>6.5515725653460061E-2</v>
      </c>
      <c r="J98" t="s">
        <v>53</v>
      </c>
      <c r="L98" t="s">
        <v>129</v>
      </c>
      <c r="M98" t="s">
        <v>56</v>
      </c>
      <c r="N98">
        <v>8.5616214986304756E-2</v>
      </c>
      <c r="O98" t="s">
        <v>53</v>
      </c>
    </row>
    <row r="99" spans="2:15" x14ac:dyDescent="0.45">
      <c r="B99" t="s">
        <v>71</v>
      </c>
      <c r="C99" t="s">
        <v>57</v>
      </c>
      <c r="D99">
        <v>0.27461795696908597</v>
      </c>
      <c r="E99" t="s">
        <v>53</v>
      </c>
      <c r="G99" t="s">
        <v>101</v>
      </c>
      <c r="H99" t="s">
        <v>57</v>
      </c>
      <c r="I99">
        <v>9.05779559263378E-2</v>
      </c>
      <c r="J99" t="s">
        <v>53</v>
      </c>
      <c r="L99" t="s">
        <v>129</v>
      </c>
      <c r="M99" t="s">
        <v>57</v>
      </c>
      <c r="N99">
        <v>0.14433448478262484</v>
      </c>
      <c r="O99" t="s">
        <v>53</v>
      </c>
    </row>
    <row r="100" spans="2:15" x14ac:dyDescent="0.45">
      <c r="B100" t="s">
        <v>71</v>
      </c>
      <c r="C100" t="s">
        <v>58</v>
      </c>
      <c r="D100">
        <v>1.0264452227001666E-2</v>
      </c>
      <c r="E100" t="s">
        <v>53</v>
      </c>
      <c r="G100" t="s">
        <v>101</v>
      </c>
      <c r="H100" t="s">
        <v>58</v>
      </c>
      <c r="I100">
        <v>6.4943105949891888E-2</v>
      </c>
      <c r="J100" t="s">
        <v>53</v>
      </c>
      <c r="L100" t="s">
        <v>129</v>
      </c>
      <c r="M100" t="s">
        <v>58</v>
      </c>
      <c r="N100">
        <v>7.7992694519897279E-2</v>
      </c>
      <c r="O100" t="s">
        <v>53</v>
      </c>
    </row>
    <row r="101" spans="2:15" x14ac:dyDescent="0.45">
      <c r="B101" t="s">
        <v>71</v>
      </c>
      <c r="C101" t="s">
        <v>59</v>
      </c>
      <c r="D101">
        <v>4.4839458478806542E-2</v>
      </c>
      <c r="E101" t="s">
        <v>53</v>
      </c>
      <c r="G101" t="s">
        <v>101</v>
      </c>
      <c r="H101" t="s">
        <v>59</v>
      </c>
      <c r="I101">
        <v>5.0868060483927828E-2</v>
      </c>
      <c r="J101" t="s">
        <v>53</v>
      </c>
      <c r="L101" t="s">
        <v>129</v>
      </c>
      <c r="M101" t="s">
        <v>59</v>
      </c>
      <c r="N101">
        <v>3.681628989412087E-2</v>
      </c>
      <c r="O101" t="s">
        <v>53</v>
      </c>
    </row>
    <row r="102" spans="2:15" x14ac:dyDescent="0.45">
      <c r="B102" t="s">
        <v>71</v>
      </c>
      <c r="C102" t="s">
        <v>60</v>
      </c>
      <c r="D102">
        <v>0.31579731468773092</v>
      </c>
      <c r="E102" t="s">
        <v>53</v>
      </c>
      <c r="G102" t="s">
        <v>101</v>
      </c>
      <c r="H102" t="s">
        <v>60</v>
      </c>
      <c r="I102">
        <v>7.7427468014228895E-2</v>
      </c>
      <c r="J102" t="s">
        <v>53</v>
      </c>
      <c r="L102" t="s">
        <v>129</v>
      </c>
      <c r="M102" t="s">
        <v>60</v>
      </c>
      <c r="N102">
        <v>7.2930181435152466E-2</v>
      </c>
      <c r="O102" t="s">
        <v>53</v>
      </c>
    </row>
    <row r="103" spans="2:15" x14ac:dyDescent="0.45">
      <c r="B103" t="s">
        <v>71</v>
      </c>
      <c r="C103" t="s">
        <v>61</v>
      </c>
      <c r="D103">
        <v>2.249623360157536E-2</v>
      </c>
      <c r="E103" t="s">
        <v>53</v>
      </c>
      <c r="G103" t="s">
        <v>101</v>
      </c>
      <c r="H103" t="s">
        <v>61</v>
      </c>
      <c r="I103">
        <v>5.6206272599431999E-2</v>
      </c>
      <c r="J103" t="s">
        <v>53</v>
      </c>
      <c r="L103" t="s">
        <v>129</v>
      </c>
      <c r="M103" t="s">
        <v>61</v>
      </c>
      <c r="N103">
        <v>4.5546888458305033E-2</v>
      </c>
      <c r="O103" t="s">
        <v>53</v>
      </c>
    </row>
    <row r="104" spans="2:15" x14ac:dyDescent="0.45">
      <c r="B104" t="s">
        <v>71</v>
      </c>
      <c r="C104" t="s">
        <v>62</v>
      </c>
      <c r="D104">
        <v>1.1377923959918016E-2</v>
      </c>
      <c r="E104" t="s">
        <v>53</v>
      </c>
      <c r="G104" t="s">
        <v>101</v>
      </c>
      <c r="H104" t="s">
        <v>62</v>
      </c>
      <c r="I104">
        <v>0.10645936157021366</v>
      </c>
      <c r="J104" t="s">
        <v>53</v>
      </c>
      <c r="L104" t="s">
        <v>129</v>
      </c>
      <c r="M104" t="s">
        <v>62</v>
      </c>
      <c r="N104">
        <v>8.0609343028694436E-2</v>
      </c>
      <c r="O104" t="s">
        <v>53</v>
      </c>
    </row>
    <row r="105" spans="2:15" x14ac:dyDescent="0.45">
      <c r="B105" t="s">
        <v>71</v>
      </c>
      <c r="C105" t="s">
        <v>63</v>
      </c>
      <c r="D105">
        <v>0.17419382967937436</v>
      </c>
      <c r="E105" t="s">
        <v>53</v>
      </c>
      <c r="G105" t="s">
        <v>101</v>
      </c>
      <c r="H105" t="s">
        <v>63</v>
      </c>
      <c r="I105">
        <v>0.12819837717701574</v>
      </c>
      <c r="J105" t="s">
        <v>53</v>
      </c>
      <c r="L105" t="s">
        <v>129</v>
      </c>
      <c r="M105" t="s">
        <v>63</v>
      </c>
      <c r="N105">
        <v>0.10924227719671777</v>
      </c>
      <c r="O105" t="s">
        <v>53</v>
      </c>
    </row>
    <row r="106" spans="2:15" x14ac:dyDescent="0.45">
      <c r="B106" t="s">
        <v>71</v>
      </c>
      <c r="C106" t="s">
        <v>64</v>
      </c>
      <c r="D106">
        <v>1.1611499540135229E-3</v>
      </c>
      <c r="E106" t="s">
        <v>53</v>
      </c>
      <c r="G106" t="s">
        <v>101</v>
      </c>
      <c r="H106" t="s">
        <v>64</v>
      </c>
      <c r="I106">
        <v>8.2372183947153094E-2</v>
      </c>
      <c r="J106" t="s">
        <v>53</v>
      </c>
      <c r="L106" t="s">
        <v>129</v>
      </c>
      <c r="M106" t="s">
        <v>64</v>
      </c>
      <c r="N106">
        <v>6.7749428225414521E-2</v>
      </c>
      <c r="O106" t="s">
        <v>53</v>
      </c>
    </row>
    <row r="107" spans="2:15" x14ac:dyDescent="0.45">
      <c r="B107" t="s">
        <v>72</v>
      </c>
      <c r="C107" t="s">
        <v>52</v>
      </c>
      <c r="D107">
        <v>0</v>
      </c>
      <c r="E107" t="s">
        <v>53</v>
      </c>
      <c r="G107" t="s">
        <v>102</v>
      </c>
      <c r="H107" t="s">
        <v>52</v>
      </c>
      <c r="I107">
        <v>8.9273968403004417E-2</v>
      </c>
      <c r="J107" t="s">
        <v>53</v>
      </c>
      <c r="L107" t="s">
        <v>130</v>
      </c>
      <c r="M107" t="s">
        <v>52</v>
      </c>
      <c r="N107">
        <v>0.10913106282656884</v>
      </c>
      <c r="O107" t="s">
        <v>53</v>
      </c>
    </row>
    <row r="108" spans="2:15" x14ac:dyDescent="0.45">
      <c r="B108" t="s">
        <v>72</v>
      </c>
      <c r="C108" t="s">
        <v>54</v>
      </c>
      <c r="D108">
        <v>0.11403817954666684</v>
      </c>
      <c r="E108" t="s">
        <v>53</v>
      </c>
      <c r="G108" t="s">
        <v>102</v>
      </c>
      <c r="H108" t="s">
        <v>54</v>
      </c>
      <c r="I108">
        <v>0.11854189246208917</v>
      </c>
      <c r="J108" t="s">
        <v>53</v>
      </c>
      <c r="L108" t="s">
        <v>130</v>
      </c>
      <c r="M108" t="s">
        <v>54</v>
      </c>
      <c r="N108">
        <v>0.12036404757509468</v>
      </c>
      <c r="O108" t="s">
        <v>53</v>
      </c>
    </row>
    <row r="109" spans="2:15" x14ac:dyDescent="0.45">
      <c r="B109" t="s">
        <v>72</v>
      </c>
      <c r="C109" t="s">
        <v>55</v>
      </c>
      <c r="D109">
        <v>9.8251045462636457E-4</v>
      </c>
      <c r="E109" t="s">
        <v>53</v>
      </c>
      <c r="G109" t="s">
        <v>102</v>
      </c>
      <c r="H109" t="s">
        <v>55</v>
      </c>
      <c r="I109">
        <v>7.1307050484794951E-2</v>
      </c>
      <c r="J109" t="s">
        <v>53</v>
      </c>
      <c r="L109" t="s">
        <v>130</v>
      </c>
      <c r="M109" t="s">
        <v>55</v>
      </c>
      <c r="N109">
        <v>7.9174484956926097E-2</v>
      </c>
      <c r="O109" t="s">
        <v>53</v>
      </c>
    </row>
    <row r="110" spans="2:15" x14ac:dyDescent="0.45">
      <c r="B110" t="s">
        <v>72</v>
      </c>
      <c r="C110" t="s">
        <v>56</v>
      </c>
      <c r="D110">
        <v>1.7982710772573709E-2</v>
      </c>
      <c r="E110" t="s">
        <v>53</v>
      </c>
      <c r="G110" t="s">
        <v>102</v>
      </c>
      <c r="H110" t="s">
        <v>56</v>
      </c>
      <c r="I110">
        <v>7.1471158411365573E-2</v>
      </c>
      <c r="J110" t="s">
        <v>53</v>
      </c>
      <c r="L110" t="s">
        <v>130</v>
      </c>
      <c r="M110" t="s">
        <v>56</v>
      </c>
      <c r="N110">
        <v>8.9839688227318873E-2</v>
      </c>
      <c r="O110" t="s">
        <v>53</v>
      </c>
    </row>
    <row r="111" spans="2:15" x14ac:dyDescent="0.45">
      <c r="B111" t="s">
        <v>72</v>
      </c>
      <c r="C111" t="s">
        <v>57</v>
      </c>
      <c r="D111">
        <v>0.26771989699221921</v>
      </c>
      <c r="E111" t="s">
        <v>53</v>
      </c>
      <c r="G111" t="s">
        <v>102</v>
      </c>
      <c r="H111" t="s">
        <v>57</v>
      </c>
      <c r="I111">
        <v>0.11322807939319815</v>
      </c>
      <c r="J111" t="s">
        <v>53</v>
      </c>
      <c r="L111" t="s">
        <v>130</v>
      </c>
      <c r="M111" t="s">
        <v>57</v>
      </c>
      <c r="N111">
        <v>0.10948723557025612</v>
      </c>
      <c r="O111" t="s">
        <v>53</v>
      </c>
    </row>
    <row r="112" spans="2:15" x14ac:dyDescent="0.45">
      <c r="B112" t="s">
        <v>72</v>
      </c>
      <c r="C112" t="s">
        <v>58</v>
      </c>
      <c r="D112">
        <v>2.3686217960240341E-2</v>
      </c>
      <c r="E112" t="s">
        <v>53</v>
      </c>
      <c r="G112" t="s">
        <v>102</v>
      </c>
      <c r="H112" t="s">
        <v>58</v>
      </c>
      <c r="I112">
        <v>6.3368317239141672E-2</v>
      </c>
      <c r="J112" t="s">
        <v>53</v>
      </c>
      <c r="L112" t="s">
        <v>130</v>
      </c>
      <c r="M112" t="s">
        <v>58</v>
      </c>
      <c r="N112">
        <v>6.6831513954188321E-2</v>
      </c>
      <c r="O112" t="s">
        <v>53</v>
      </c>
    </row>
    <row r="113" spans="2:15" x14ac:dyDescent="0.45">
      <c r="B113" t="s">
        <v>72</v>
      </c>
      <c r="C113" t="s">
        <v>59</v>
      </c>
      <c r="D113">
        <v>2.7591059395943193E-2</v>
      </c>
      <c r="E113" t="s">
        <v>53</v>
      </c>
      <c r="G113" t="s">
        <v>102</v>
      </c>
      <c r="H113" t="s">
        <v>59</v>
      </c>
      <c r="I113">
        <v>4.5986089615527977E-2</v>
      </c>
      <c r="J113" t="s">
        <v>53</v>
      </c>
      <c r="L113" t="s">
        <v>130</v>
      </c>
      <c r="M113" t="s">
        <v>59</v>
      </c>
      <c r="N113">
        <v>4.2762799561089991E-2</v>
      </c>
      <c r="O113" t="s">
        <v>53</v>
      </c>
    </row>
    <row r="114" spans="2:15" x14ac:dyDescent="0.45">
      <c r="B114" t="s">
        <v>72</v>
      </c>
      <c r="C114" t="s">
        <v>60</v>
      </c>
      <c r="D114">
        <v>0.31460567792807242</v>
      </c>
      <c r="E114" t="s">
        <v>53</v>
      </c>
      <c r="G114" t="s">
        <v>102</v>
      </c>
      <c r="H114" t="s">
        <v>60</v>
      </c>
      <c r="I114">
        <v>7.2234363926619902E-2</v>
      </c>
      <c r="J114" t="s">
        <v>53</v>
      </c>
      <c r="L114" t="s">
        <v>130</v>
      </c>
      <c r="M114" t="s">
        <v>60</v>
      </c>
      <c r="N114">
        <v>5.7994929352699724E-2</v>
      </c>
      <c r="O114" t="s">
        <v>53</v>
      </c>
    </row>
    <row r="115" spans="2:15" x14ac:dyDescent="0.45">
      <c r="B115" t="s">
        <v>72</v>
      </c>
      <c r="C115" t="s">
        <v>61</v>
      </c>
      <c r="D115">
        <v>4.346450446130274E-2</v>
      </c>
      <c r="E115" t="s">
        <v>53</v>
      </c>
      <c r="G115" t="s">
        <v>102</v>
      </c>
      <c r="H115" t="s">
        <v>61</v>
      </c>
      <c r="I115">
        <v>4.2761122362644739E-2</v>
      </c>
      <c r="J115" t="s">
        <v>53</v>
      </c>
      <c r="L115" t="s">
        <v>130</v>
      </c>
      <c r="M115" t="s">
        <v>61</v>
      </c>
      <c r="N115">
        <v>5.1824214253700554E-2</v>
      </c>
      <c r="O115" t="s">
        <v>53</v>
      </c>
    </row>
    <row r="116" spans="2:15" x14ac:dyDescent="0.45">
      <c r="B116" t="s">
        <v>72</v>
      </c>
      <c r="C116" t="s">
        <v>62</v>
      </c>
      <c r="D116">
        <v>4.0641579512282547E-3</v>
      </c>
      <c r="E116" t="s">
        <v>53</v>
      </c>
      <c r="G116" t="s">
        <v>102</v>
      </c>
      <c r="H116" t="s">
        <v>62</v>
      </c>
      <c r="I116">
        <v>0.10133902440318052</v>
      </c>
      <c r="J116" t="s">
        <v>53</v>
      </c>
      <c r="L116" t="s">
        <v>130</v>
      </c>
      <c r="M116" t="s">
        <v>62</v>
      </c>
      <c r="N116">
        <v>9.0126154661950911E-2</v>
      </c>
      <c r="O116" t="s">
        <v>53</v>
      </c>
    </row>
    <row r="117" spans="2:15" x14ac:dyDescent="0.45">
      <c r="B117" t="s">
        <v>72</v>
      </c>
      <c r="C117" t="s">
        <v>63</v>
      </c>
      <c r="D117">
        <v>0.18019590546308345</v>
      </c>
      <c r="E117" t="s">
        <v>53</v>
      </c>
      <c r="G117" t="s">
        <v>102</v>
      </c>
      <c r="H117" t="s">
        <v>63</v>
      </c>
      <c r="I117">
        <v>0.13058753252924676</v>
      </c>
      <c r="J117" t="s">
        <v>53</v>
      </c>
      <c r="L117" t="s">
        <v>130</v>
      </c>
      <c r="M117" t="s">
        <v>63</v>
      </c>
      <c r="N117">
        <v>0.10922027039685815</v>
      </c>
      <c r="O117" t="s">
        <v>53</v>
      </c>
    </row>
    <row r="118" spans="2:15" x14ac:dyDescent="0.45">
      <c r="B118" t="s">
        <v>72</v>
      </c>
      <c r="C118" t="s">
        <v>64</v>
      </c>
      <c r="D118">
        <v>5.6691790740408081E-3</v>
      </c>
      <c r="E118" t="s">
        <v>53</v>
      </c>
      <c r="G118" t="s">
        <v>102</v>
      </c>
      <c r="H118" t="s">
        <v>64</v>
      </c>
      <c r="I118">
        <v>7.9901400769185157E-2</v>
      </c>
      <c r="J118" t="s">
        <v>53</v>
      </c>
      <c r="L118" t="s">
        <v>130</v>
      </c>
      <c r="M118" t="s">
        <v>64</v>
      </c>
      <c r="N118">
        <v>7.3243598663344789E-2</v>
      </c>
      <c r="O118" t="s">
        <v>53</v>
      </c>
    </row>
    <row r="119" spans="2:15" x14ac:dyDescent="0.45">
      <c r="B119" t="s">
        <v>73</v>
      </c>
      <c r="C119" t="s">
        <v>52</v>
      </c>
      <c r="D119">
        <v>1.2164083598728724E-4</v>
      </c>
      <c r="E119" t="s">
        <v>53</v>
      </c>
      <c r="G119" t="s">
        <v>103</v>
      </c>
      <c r="H119" t="s">
        <v>52</v>
      </c>
      <c r="I119">
        <v>0.11332158300695885</v>
      </c>
      <c r="J119" t="s">
        <v>53</v>
      </c>
      <c r="L119" t="s">
        <v>131</v>
      </c>
      <c r="M119" t="s">
        <v>52</v>
      </c>
      <c r="N119">
        <v>0.1303074495231055</v>
      </c>
      <c r="O119" t="s">
        <v>53</v>
      </c>
    </row>
    <row r="120" spans="2:15" x14ac:dyDescent="0.45">
      <c r="B120" t="s">
        <v>73</v>
      </c>
      <c r="C120" t="s">
        <v>54</v>
      </c>
      <c r="D120">
        <v>0.10421650699694281</v>
      </c>
      <c r="E120" t="s">
        <v>53</v>
      </c>
      <c r="G120" t="s">
        <v>103</v>
      </c>
      <c r="H120" t="s">
        <v>54</v>
      </c>
      <c r="I120">
        <v>0.11570784515317158</v>
      </c>
      <c r="J120" t="s">
        <v>53</v>
      </c>
      <c r="L120" t="s">
        <v>131</v>
      </c>
      <c r="M120" t="s">
        <v>54</v>
      </c>
      <c r="N120">
        <v>0.14467205863597657</v>
      </c>
      <c r="O120" t="s">
        <v>53</v>
      </c>
    </row>
    <row r="121" spans="2:15" x14ac:dyDescent="0.45">
      <c r="B121" t="s">
        <v>73</v>
      </c>
      <c r="C121" t="s">
        <v>55</v>
      </c>
      <c r="D121">
        <v>0</v>
      </c>
      <c r="E121" t="s">
        <v>53</v>
      </c>
      <c r="G121" t="s">
        <v>103</v>
      </c>
      <c r="H121" t="s">
        <v>55</v>
      </c>
      <c r="I121">
        <v>8.2770012748955207E-2</v>
      </c>
      <c r="J121" t="s">
        <v>53</v>
      </c>
      <c r="L121" t="s">
        <v>131</v>
      </c>
      <c r="M121" t="s">
        <v>55</v>
      </c>
      <c r="N121">
        <v>8.3961574603503675E-2</v>
      </c>
      <c r="O121" t="s">
        <v>53</v>
      </c>
    </row>
    <row r="122" spans="2:15" x14ac:dyDescent="0.45">
      <c r="B122" t="s">
        <v>73</v>
      </c>
      <c r="C122" t="s">
        <v>56</v>
      </c>
      <c r="D122">
        <v>2.5356335996440556E-2</v>
      </c>
      <c r="E122" t="s">
        <v>53</v>
      </c>
      <c r="G122" t="s">
        <v>103</v>
      </c>
      <c r="H122" t="s">
        <v>56</v>
      </c>
      <c r="I122">
        <v>9.4466895081064331E-2</v>
      </c>
      <c r="J122" t="s">
        <v>53</v>
      </c>
      <c r="L122" t="s">
        <v>131</v>
      </c>
      <c r="M122" t="s">
        <v>56</v>
      </c>
      <c r="N122">
        <v>9.2490898460328042E-2</v>
      </c>
      <c r="O122" t="s">
        <v>53</v>
      </c>
    </row>
    <row r="123" spans="2:15" x14ac:dyDescent="0.45">
      <c r="B123" t="s">
        <v>73</v>
      </c>
      <c r="C123" t="s">
        <v>57</v>
      </c>
      <c r="D123">
        <v>0.26532650775402755</v>
      </c>
      <c r="E123" t="s">
        <v>53</v>
      </c>
      <c r="G123" t="s">
        <v>103</v>
      </c>
      <c r="H123" t="s">
        <v>57</v>
      </c>
      <c r="I123">
        <v>0.1164119983873418</v>
      </c>
      <c r="J123" t="s">
        <v>53</v>
      </c>
      <c r="L123" t="s">
        <v>131</v>
      </c>
      <c r="M123" t="s">
        <v>57</v>
      </c>
      <c r="N123">
        <v>0.12665024587958862</v>
      </c>
      <c r="O123" t="s">
        <v>53</v>
      </c>
    </row>
    <row r="124" spans="2:15" x14ac:dyDescent="0.45">
      <c r="B124" t="s">
        <v>73</v>
      </c>
      <c r="C124" t="s">
        <v>58</v>
      </c>
      <c r="D124">
        <v>9.0488684014670886E-3</v>
      </c>
      <c r="E124" t="s">
        <v>53</v>
      </c>
      <c r="G124" t="s">
        <v>103</v>
      </c>
      <c r="H124" t="s">
        <v>58</v>
      </c>
      <c r="I124">
        <v>7.431832942970526E-2</v>
      </c>
      <c r="J124" t="s">
        <v>53</v>
      </c>
      <c r="L124" t="s">
        <v>131</v>
      </c>
      <c r="M124" t="s">
        <v>58</v>
      </c>
      <c r="N124">
        <v>6.8500980648481799E-2</v>
      </c>
      <c r="O124" t="s">
        <v>53</v>
      </c>
    </row>
    <row r="125" spans="2:15" x14ac:dyDescent="0.45">
      <c r="B125" t="s">
        <v>73</v>
      </c>
      <c r="C125" t="s">
        <v>59</v>
      </c>
      <c r="D125">
        <v>5.1222633204046103E-2</v>
      </c>
      <c r="E125" t="s">
        <v>53</v>
      </c>
      <c r="G125" t="s">
        <v>103</v>
      </c>
      <c r="H125" t="s">
        <v>59</v>
      </c>
      <c r="I125">
        <v>4.0982777817138265E-2</v>
      </c>
      <c r="J125" t="s">
        <v>53</v>
      </c>
      <c r="L125" t="s">
        <v>131</v>
      </c>
      <c r="M125" t="s">
        <v>59</v>
      </c>
      <c r="N125">
        <v>2.784981451385202E-2</v>
      </c>
      <c r="O125" t="s">
        <v>53</v>
      </c>
    </row>
    <row r="126" spans="2:15" x14ac:dyDescent="0.45">
      <c r="B126" t="s">
        <v>73</v>
      </c>
      <c r="C126" t="s">
        <v>60</v>
      </c>
      <c r="D126">
        <v>0.34531335702520133</v>
      </c>
      <c r="E126" t="s">
        <v>53</v>
      </c>
      <c r="G126" t="s">
        <v>103</v>
      </c>
      <c r="H126" t="s">
        <v>60</v>
      </c>
      <c r="I126">
        <v>5.093142637621173E-2</v>
      </c>
      <c r="J126" t="s">
        <v>53</v>
      </c>
      <c r="L126" t="s">
        <v>131</v>
      </c>
      <c r="M126" t="s">
        <v>60</v>
      </c>
      <c r="N126">
        <v>5.3247559120277427E-2</v>
      </c>
      <c r="O126" t="s">
        <v>53</v>
      </c>
    </row>
    <row r="127" spans="2:15" x14ac:dyDescent="0.45">
      <c r="B127" t="s">
        <v>73</v>
      </c>
      <c r="C127" t="s">
        <v>61</v>
      </c>
      <c r="D127">
        <v>2.6309444329522279E-2</v>
      </c>
      <c r="E127" t="s">
        <v>53</v>
      </c>
      <c r="G127" t="s">
        <v>103</v>
      </c>
      <c r="H127" t="s">
        <v>61</v>
      </c>
      <c r="I127">
        <v>4.8134405201190902E-2</v>
      </c>
      <c r="J127" t="s">
        <v>53</v>
      </c>
      <c r="L127" t="s">
        <v>131</v>
      </c>
      <c r="M127" t="s">
        <v>61</v>
      </c>
      <c r="N127">
        <v>2.4671414864604703E-2</v>
      </c>
      <c r="O127" t="s">
        <v>53</v>
      </c>
    </row>
    <row r="128" spans="2:15" x14ac:dyDescent="0.45">
      <c r="B128" t="s">
        <v>73</v>
      </c>
      <c r="C128" t="s">
        <v>62</v>
      </c>
      <c r="D128">
        <v>8.3532874866765541E-3</v>
      </c>
      <c r="E128" t="s">
        <v>53</v>
      </c>
      <c r="G128" t="s">
        <v>103</v>
      </c>
      <c r="H128" t="s">
        <v>62</v>
      </c>
      <c r="I128">
        <v>8.9888374883444866E-2</v>
      </c>
      <c r="J128" t="s">
        <v>53</v>
      </c>
      <c r="L128" t="s">
        <v>131</v>
      </c>
      <c r="M128" t="s">
        <v>62</v>
      </c>
      <c r="N128">
        <v>8.1609270205876758E-2</v>
      </c>
      <c r="O128" t="s">
        <v>53</v>
      </c>
    </row>
    <row r="129" spans="2:15" x14ac:dyDescent="0.45">
      <c r="B129" t="s">
        <v>73</v>
      </c>
      <c r="C129" t="s">
        <v>63</v>
      </c>
      <c r="D129">
        <v>0.16334850949805332</v>
      </c>
      <c r="E129" t="s">
        <v>53</v>
      </c>
      <c r="G129" t="s">
        <v>103</v>
      </c>
      <c r="H129" t="s">
        <v>63</v>
      </c>
      <c r="I129">
        <v>0.1012372594195519</v>
      </c>
      <c r="J129" t="s">
        <v>53</v>
      </c>
      <c r="L129" t="s">
        <v>131</v>
      </c>
      <c r="M129" t="s">
        <v>63</v>
      </c>
      <c r="N129">
        <v>9.8359284407399689E-2</v>
      </c>
      <c r="O129" t="s">
        <v>53</v>
      </c>
    </row>
    <row r="130" spans="2:15" x14ac:dyDescent="0.45">
      <c r="B130" t="s">
        <v>73</v>
      </c>
      <c r="C130" t="s">
        <v>64</v>
      </c>
      <c r="D130">
        <v>1.3829084716335937E-3</v>
      </c>
      <c r="E130" t="s">
        <v>53</v>
      </c>
      <c r="G130" t="s">
        <v>103</v>
      </c>
      <c r="H130" t="s">
        <v>64</v>
      </c>
      <c r="I130">
        <v>7.1829092495264646E-2</v>
      </c>
      <c r="J130" t="s">
        <v>53</v>
      </c>
      <c r="L130" t="s">
        <v>131</v>
      </c>
      <c r="M130" t="s">
        <v>64</v>
      </c>
      <c r="N130">
        <v>6.7679449137009143E-2</v>
      </c>
      <c r="O130" t="s">
        <v>53</v>
      </c>
    </row>
    <row r="131" spans="2:15" x14ac:dyDescent="0.45">
      <c r="B131" t="s">
        <v>74</v>
      </c>
      <c r="C131" t="s">
        <v>52</v>
      </c>
      <c r="D131">
        <v>2.4208778520612298E-4</v>
      </c>
      <c r="E131" t="s">
        <v>53</v>
      </c>
      <c r="G131" t="s">
        <v>104</v>
      </c>
      <c r="H131" t="s">
        <v>52</v>
      </c>
      <c r="I131">
        <v>0.11157596871041139</v>
      </c>
      <c r="J131" t="s">
        <v>53</v>
      </c>
      <c r="L131" t="s">
        <v>132</v>
      </c>
      <c r="M131" t="s">
        <v>52</v>
      </c>
      <c r="N131">
        <v>0.1034327640606672</v>
      </c>
      <c r="O131" t="s">
        <v>53</v>
      </c>
    </row>
    <row r="132" spans="2:15" x14ac:dyDescent="0.45">
      <c r="B132" t="s">
        <v>74</v>
      </c>
      <c r="C132" t="s">
        <v>54</v>
      </c>
      <c r="D132">
        <v>0.13035159720207434</v>
      </c>
      <c r="E132" t="s">
        <v>53</v>
      </c>
      <c r="G132" t="s">
        <v>104</v>
      </c>
      <c r="H132" t="s">
        <v>54</v>
      </c>
      <c r="I132">
        <v>0.12199362971924096</v>
      </c>
      <c r="J132" t="s">
        <v>53</v>
      </c>
      <c r="L132" t="s">
        <v>132</v>
      </c>
      <c r="M132" t="s">
        <v>54</v>
      </c>
      <c r="N132">
        <v>0.11902712208494173</v>
      </c>
      <c r="O132" t="s">
        <v>53</v>
      </c>
    </row>
    <row r="133" spans="2:15" x14ac:dyDescent="0.45">
      <c r="B133" t="s">
        <v>74</v>
      </c>
      <c r="C133" t="s">
        <v>55</v>
      </c>
      <c r="D133">
        <v>0</v>
      </c>
      <c r="E133" t="s">
        <v>53</v>
      </c>
      <c r="G133" t="s">
        <v>104</v>
      </c>
      <c r="H133" t="s">
        <v>55</v>
      </c>
      <c r="I133">
        <v>7.9993913677238432E-2</v>
      </c>
      <c r="J133" t="s">
        <v>53</v>
      </c>
      <c r="L133" t="s">
        <v>132</v>
      </c>
      <c r="M133" t="s">
        <v>55</v>
      </c>
      <c r="N133">
        <v>7.8823210329018623E-2</v>
      </c>
      <c r="O133" t="s">
        <v>53</v>
      </c>
    </row>
    <row r="134" spans="2:15" x14ac:dyDescent="0.45">
      <c r="B134" t="s">
        <v>74</v>
      </c>
      <c r="C134" t="s">
        <v>56</v>
      </c>
      <c r="D134">
        <v>2.3332891872200053E-2</v>
      </c>
      <c r="E134" t="s">
        <v>53</v>
      </c>
      <c r="G134" t="s">
        <v>104</v>
      </c>
      <c r="H134" t="s">
        <v>56</v>
      </c>
      <c r="I134">
        <v>0.10073198397441496</v>
      </c>
      <c r="J134" t="s">
        <v>53</v>
      </c>
      <c r="L134" t="s">
        <v>132</v>
      </c>
      <c r="M134" t="s">
        <v>56</v>
      </c>
      <c r="N134">
        <v>9.0841132285851278E-2</v>
      </c>
      <c r="O134" t="s">
        <v>53</v>
      </c>
    </row>
    <row r="135" spans="2:15" x14ac:dyDescent="0.45">
      <c r="B135" t="s">
        <v>74</v>
      </c>
      <c r="C135" t="s">
        <v>57</v>
      </c>
      <c r="D135">
        <v>0.24864031678424758</v>
      </c>
      <c r="E135" t="s">
        <v>53</v>
      </c>
      <c r="G135" t="s">
        <v>104</v>
      </c>
      <c r="H135" t="s">
        <v>57</v>
      </c>
      <c r="I135">
        <v>0.12763955162110296</v>
      </c>
      <c r="J135" t="s">
        <v>53</v>
      </c>
      <c r="L135" t="s">
        <v>132</v>
      </c>
      <c r="M135" t="s">
        <v>57</v>
      </c>
      <c r="N135">
        <v>0.1033943281902783</v>
      </c>
      <c r="O135" t="s">
        <v>53</v>
      </c>
    </row>
    <row r="136" spans="2:15" x14ac:dyDescent="0.45">
      <c r="B136" t="s">
        <v>74</v>
      </c>
      <c r="C136" t="s">
        <v>58</v>
      </c>
      <c r="D136">
        <v>8.9551621687154852E-3</v>
      </c>
      <c r="E136" t="s">
        <v>53</v>
      </c>
      <c r="G136" t="s">
        <v>104</v>
      </c>
      <c r="H136" t="s">
        <v>58</v>
      </c>
      <c r="I136">
        <v>8.5320897788894998E-2</v>
      </c>
      <c r="J136" t="s">
        <v>53</v>
      </c>
      <c r="L136" t="s">
        <v>132</v>
      </c>
      <c r="M136" t="s">
        <v>58</v>
      </c>
      <c r="N136">
        <v>6.6165558434003013E-2</v>
      </c>
      <c r="O136" t="s">
        <v>53</v>
      </c>
    </row>
    <row r="137" spans="2:15" x14ac:dyDescent="0.45">
      <c r="B137" t="s">
        <v>74</v>
      </c>
      <c r="C137" t="s">
        <v>59</v>
      </c>
      <c r="D137">
        <v>4.9095946219641418E-2</v>
      </c>
      <c r="E137" t="s">
        <v>53</v>
      </c>
      <c r="G137" t="s">
        <v>104</v>
      </c>
      <c r="H137" t="s">
        <v>59</v>
      </c>
      <c r="I137">
        <v>4.1942337705893208E-2</v>
      </c>
      <c r="J137" t="s">
        <v>53</v>
      </c>
      <c r="L137" t="s">
        <v>132</v>
      </c>
      <c r="M137" t="s">
        <v>59</v>
      </c>
      <c r="N137">
        <v>5.9688336704474237E-2</v>
      </c>
      <c r="O137" t="s">
        <v>53</v>
      </c>
    </row>
    <row r="138" spans="2:15" x14ac:dyDescent="0.45">
      <c r="B138" t="s">
        <v>74</v>
      </c>
      <c r="C138" t="s">
        <v>60</v>
      </c>
      <c r="D138">
        <v>0.33632208656065266</v>
      </c>
      <c r="E138" t="s">
        <v>53</v>
      </c>
      <c r="G138" t="s">
        <v>104</v>
      </c>
      <c r="H138" t="s">
        <v>60</v>
      </c>
      <c r="I138">
        <v>4.6409554681981081E-2</v>
      </c>
      <c r="J138" t="s">
        <v>53</v>
      </c>
      <c r="L138" t="s">
        <v>132</v>
      </c>
      <c r="M138" t="s">
        <v>60</v>
      </c>
      <c r="N138">
        <v>6.1361988065874021E-2</v>
      </c>
      <c r="O138" t="s">
        <v>53</v>
      </c>
    </row>
    <row r="139" spans="2:15" x14ac:dyDescent="0.45">
      <c r="B139" t="s">
        <v>74</v>
      </c>
      <c r="C139" t="s">
        <v>61</v>
      </c>
      <c r="D139">
        <v>2.4219717559686077E-2</v>
      </c>
      <c r="E139" t="s">
        <v>53</v>
      </c>
      <c r="G139" t="s">
        <v>104</v>
      </c>
      <c r="H139" t="s">
        <v>61</v>
      </c>
      <c r="I139">
        <v>4.2950324685426727E-2</v>
      </c>
      <c r="J139" t="s">
        <v>53</v>
      </c>
      <c r="L139" t="s">
        <v>132</v>
      </c>
      <c r="M139" t="s">
        <v>61</v>
      </c>
      <c r="N139">
        <v>4.8791976125604049E-2</v>
      </c>
      <c r="O139" t="s">
        <v>53</v>
      </c>
    </row>
    <row r="140" spans="2:15" x14ac:dyDescent="0.45">
      <c r="B140" t="s">
        <v>74</v>
      </c>
      <c r="C140" t="s">
        <v>62</v>
      </c>
      <c r="D140">
        <v>7.464373139369763E-3</v>
      </c>
      <c r="E140" t="s">
        <v>53</v>
      </c>
      <c r="G140" t="s">
        <v>104</v>
      </c>
      <c r="H140" t="s">
        <v>62</v>
      </c>
      <c r="I140">
        <v>8.1323794344820885E-2</v>
      </c>
      <c r="J140" t="s">
        <v>53</v>
      </c>
      <c r="L140" t="s">
        <v>132</v>
      </c>
      <c r="M140" t="s">
        <v>62</v>
      </c>
      <c r="N140">
        <v>8.8382278299367428E-2</v>
      </c>
      <c r="O140" t="s">
        <v>53</v>
      </c>
    </row>
    <row r="141" spans="2:15" x14ac:dyDescent="0.45">
      <c r="B141" t="s">
        <v>74</v>
      </c>
      <c r="C141" t="s">
        <v>63</v>
      </c>
      <c r="D141">
        <v>0.16980582008590467</v>
      </c>
      <c r="E141" t="s">
        <v>53</v>
      </c>
      <c r="G141" t="s">
        <v>104</v>
      </c>
      <c r="H141" t="s">
        <v>63</v>
      </c>
      <c r="I141">
        <v>9.1564084031190346E-2</v>
      </c>
      <c r="J141" t="s">
        <v>53</v>
      </c>
      <c r="L141" t="s">
        <v>132</v>
      </c>
      <c r="M141" t="s">
        <v>63</v>
      </c>
      <c r="N141">
        <v>0.11164841737328987</v>
      </c>
      <c r="O141" t="s">
        <v>53</v>
      </c>
    </row>
    <row r="142" spans="2:15" x14ac:dyDescent="0.45">
      <c r="B142" t="s">
        <v>74</v>
      </c>
      <c r="C142" t="s">
        <v>64</v>
      </c>
      <c r="D142">
        <v>1.5700006223027983E-3</v>
      </c>
      <c r="E142" t="s">
        <v>53</v>
      </c>
      <c r="G142" t="s">
        <v>104</v>
      </c>
      <c r="H142" t="s">
        <v>64</v>
      </c>
      <c r="I142">
        <v>6.8553959059383426E-2</v>
      </c>
      <c r="J142" t="s">
        <v>53</v>
      </c>
      <c r="L142" t="s">
        <v>132</v>
      </c>
      <c r="M142" t="s">
        <v>64</v>
      </c>
      <c r="N142">
        <v>6.8442888046633427E-2</v>
      </c>
      <c r="O142" t="s">
        <v>53</v>
      </c>
    </row>
    <row r="143" spans="2:15" x14ac:dyDescent="0.45">
      <c r="B143" t="s">
        <v>75</v>
      </c>
      <c r="C143" t="s">
        <v>52</v>
      </c>
      <c r="D143">
        <v>5.4629606314546613E-7</v>
      </c>
      <c r="E143" t="s">
        <v>53</v>
      </c>
      <c r="G143" t="s">
        <v>105</v>
      </c>
      <c r="H143" t="s">
        <v>52</v>
      </c>
      <c r="I143">
        <v>0.10760454244098736</v>
      </c>
      <c r="J143" t="s">
        <v>53</v>
      </c>
      <c r="L143" t="s">
        <v>133</v>
      </c>
      <c r="M143" t="s">
        <v>52</v>
      </c>
      <c r="N143">
        <v>9.6345422021572369E-2</v>
      </c>
      <c r="O143" t="s">
        <v>53</v>
      </c>
    </row>
    <row r="144" spans="2:15" x14ac:dyDescent="0.45">
      <c r="B144" t="s">
        <v>75</v>
      </c>
      <c r="C144" t="s">
        <v>54</v>
      </c>
      <c r="D144">
        <v>0.10156924341147247</v>
      </c>
      <c r="E144" t="s">
        <v>53</v>
      </c>
      <c r="G144" t="s">
        <v>105</v>
      </c>
      <c r="H144" t="s">
        <v>54</v>
      </c>
      <c r="I144">
        <v>0.1380854914929075</v>
      </c>
      <c r="J144" t="s">
        <v>53</v>
      </c>
      <c r="L144" t="s">
        <v>133</v>
      </c>
      <c r="M144" t="s">
        <v>54</v>
      </c>
      <c r="N144">
        <v>0.11763666576879256</v>
      </c>
      <c r="O144" t="s">
        <v>53</v>
      </c>
    </row>
    <row r="145" spans="2:15" x14ac:dyDescent="0.45">
      <c r="B145" t="s">
        <v>75</v>
      </c>
      <c r="C145" t="s">
        <v>55</v>
      </c>
      <c r="D145">
        <v>0</v>
      </c>
      <c r="E145" t="s">
        <v>53</v>
      </c>
      <c r="G145" t="s">
        <v>105</v>
      </c>
      <c r="H145" t="s">
        <v>55</v>
      </c>
      <c r="I145">
        <v>7.3450121530247367E-2</v>
      </c>
      <c r="J145" t="s">
        <v>53</v>
      </c>
      <c r="L145" t="s">
        <v>133</v>
      </c>
      <c r="M145" t="s">
        <v>55</v>
      </c>
      <c r="N145">
        <v>7.3649539534847028E-2</v>
      </c>
      <c r="O145" t="s">
        <v>53</v>
      </c>
    </row>
    <row r="146" spans="2:15" x14ac:dyDescent="0.45">
      <c r="B146" t="s">
        <v>75</v>
      </c>
      <c r="C146" t="s">
        <v>56</v>
      </c>
      <c r="D146">
        <v>2.3208161884150875E-2</v>
      </c>
      <c r="E146" t="s">
        <v>53</v>
      </c>
      <c r="G146" t="s">
        <v>105</v>
      </c>
      <c r="H146" t="s">
        <v>56</v>
      </c>
      <c r="I146">
        <v>7.5943671596775106E-2</v>
      </c>
      <c r="J146" t="s">
        <v>53</v>
      </c>
      <c r="L146" t="s">
        <v>133</v>
      </c>
      <c r="M146" t="s">
        <v>56</v>
      </c>
      <c r="N146">
        <v>9.2857441765418242E-2</v>
      </c>
      <c r="O146" t="s">
        <v>53</v>
      </c>
    </row>
    <row r="147" spans="2:15" x14ac:dyDescent="0.45">
      <c r="B147" t="s">
        <v>75</v>
      </c>
      <c r="C147" t="s">
        <v>57</v>
      </c>
      <c r="D147">
        <v>0.26828474952509157</v>
      </c>
      <c r="E147" t="s">
        <v>53</v>
      </c>
      <c r="G147" t="s">
        <v>105</v>
      </c>
      <c r="H147" t="s">
        <v>57</v>
      </c>
      <c r="I147">
        <v>0.14673217448029877</v>
      </c>
      <c r="J147" t="s">
        <v>53</v>
      </c>
      <c r="L147" t="s">
        <v>133</v>
      </c>
      <c r="M147" t="s">
        <v>57</v>
      </c>
      <c r="N147">
        <v>0.11183491396388834</v>
      </c>
      <c r="O147" t="s">
        <v>53</v>
      </c>
    </row>
    <row r="148" spans="2:15" x14ac:dyDescent="0.45">
      <c r="B148" t="s">
        <v>75</v>
      </c>
      <c r="C148" t="s">
        <v>58</v>
      </c>
      <c r="D148">
        <v>1.1615003080032455E-2</v>
      </c>
      <c r="E148" t="s">
        <v>53</v>
      </c>
      <c r="G148" t="s">
        <v>105</v>
      </c>
      <c r="H148" t="s">
        <v>58</v>
      </c>
      <c r="I148">
        <v>5.9771771469956859E-2</v>
      </c>
      <c r="J148" t="s">
        <v>53</v>
      </c>
      <c r="L148" t="s">
        <v>133</v>
      </c>
      <c r="M148" t="s">
        <v>58</v>
      </c>
      <c r="N148">
        <v>7.0433049930022112E-2</v>
      </c>
      <c r="O148" t="s">
        <v>53</v>
      </c>
    </row>
    <row r="149" spans="2:15" x14ac:dyDescent="0.45">
      <c r="B149" t="s">
        <v>75</v>
      </c>
      <c r="C149" t="s">
        <v>59</v>
      </c>
      <c r="D149">
        <v>4.6192590087782266E-2</v>
      </c>
      <c r="E149" t="s">
        <v>53</v>
      </c>
      <c r="G149" t="s">
        <v>105</v>
      </c>
      <c r="H149" t="s">
        <v>59</v>
      </c>
      <c r="I149">
        <v>2.1160203966052636E-2</v>
      </c>
      <c r="J149" t="s">
        <v>53</v>
      </c>
      <c r="L149" t="s">
        <v>133</v>
      </c>
      <c r="M149" t="s">
        <v>59</v>
      </c>
      <c r="N149">
        <v>6.5012017381083614E-2</v>
      </c>
      <c r="O149" t="s">
        <v>53</v>
      </c>
    </row>
    <row r="150" spans="2:15" x14ac:dyDescent="0.45">
      <c r="B150" t="s">
        <v>75</v>
      </c>
      <c r="C150" t="s">
        <v>60</v>
      </c>
      <c r="D150">
        <v>0.34402674756067414</v>
      </c>
      <c r="E150" t="s">
        <v>53</v>
      </c>
      <c r="G150" t="s">
        <v>105</v>
      </c>
      <c r="H150" t="s">
        <v>60</v>
      </c>
      <c r="I150">
        <v>5.8946088871962177E-2</v>
      </c>
      <c r="J150" t="s">
        <v>53</v>
      </c>
      <c r="L150" t="s">
        <v>133</v>
      </c>
      <c r="M150" t="s">
        <v>60</v>
      </c>
      <c r="N150">
        <v>6.4519688518584042E-2</v>
      </c>
      <c r="O150" t="s">
        <v>53</v>
      </c>
    </row>
    <row r="151" spans="2:15" x14ac:dyDescent="0.45">
      <c r="B151" t="s">
        <v>75</v>
      </c>
      <c r="C151" t="s">
        <v>61</v>
      </c>
      <c r="D151">
        <v>3.1344923354349359E-2</v>
      </c>
      <c r="E151" t="s">
        <v>53</v>
      </c>
      <c r="G151" t="s">
        <v>105</v>
      </c>
      <c r="H151" t="s">
        <v>61</v>
      </c>
      <c r="I151">
        <v>2.1683626219048287E-2</v>
      </c>
      <c r="J151" t="s">
        <v>53</v>
      </c>
      <c r="L151" t="s">
        <v>133</v>
      </c>
      <c r="M151" t="s">
        <v>61</v>
      </c>
      <c r="N151">
        <v>5.1480867128540928E-2</v>
      </c>
      <c r="O151" t="s">
        <v>53</v>
      </c>
    </row>
    <row r="152" spans="2:15" x14ac:dyDescent="0.45">
      <c r="B152" t="s">
        <v>75</v>
      </c>
      <c r="C152" t="s">
        <v>62</v>
      </c>
      <c r="D152">
        <v>7.5424931652048229E-3</v>
      </c>
      <c r="E152" t="s">
        <v>53</v>
      </c>
      <c r="G152" t="s">
        <v>105</v>
      </c>
      <c r="H152" t="s">
        <v>62</v>
      </c>
      <c r="I152">
        <v>9.3882918762559012E-2</v>
      </c>
      <c r="J152" t="s">
        <v>53</v>
      </c>
      <c r="L152" t="s">
        <v>133</v>
      </c>
      <c r="M152" t="s">
        <v>62</v>
      </c>
      <c r="N152">
        <v>8.6926595767782069E-2</v>
      </c>
      <c r="O152" t="s">
        <v>53</v>
      </c>
    </row>
    <row r="153" spans="2:15" x14ac:dyDescent="0.45">
      <c r="B153" t="s">
        <v>75</v>
      </c>
      <c r="C153" t="s">
        <v>63</v>
      </c>
      <c r="D153">
        <v>0.16459342158827531</v>
      </c>
      <c r="E153" t="s">
        <v>53</v>
      </c>
      <c r="G153" t="s">
        <v>105</v>
      </c>
      <c r="H153" t="s">
        <v>63</v>
      </c>
      <c r="I153">
        <v>0.13018128454603139</v>
      </c>
      <c r="J153" t="s">
        <v>53</v>
      </c>
      <c r="L153" t="s">
        <v>133</v>
      </c>
      <c r="M153" t="s">
        <v>63</v>
      </c>
      <c r="N153">
        <v>0.10539466676770107</v>
      </c>
      <c r="O153" t="s">
        <v>53</v>
      </c>
    </row>
    <row r="154" spans="2:15" x14ac:dyDescent="0.45">
      <c r="B154" t="s">
        <v>75</v>
      </c>
      <c r="C154" t="s">
        <v>64</v>
      </c>
      <c r="D154">
        <v>1.6221200469038407E-3</v>
      </c>
      <c r="E154" t="s">
        <v>53</v>
      </c>
      <c r="G154" t="s">
        <v>105</v>
      </c>
      <c r="H154" t="s">
        <v>64</v>
      </c>
      <c r="I154">
        <v>7.2558104623173206E-2</v>
      </c>
      <c r="J154" t="s">
        <v>53</v>
      </c>
      <c r="L154" t="s">
        <v>133</v>
      </c>
      <c r="M154" t="s">
        <v>64</v>
      </c>
      <c r="N154">
        <v>6.39091314517682E-2</v>
      </c>
      <c r="O154" t="s">
        <v>53</v>
      </c>
    </row>
    <row r="155" spans="2:15" x14ac:dyDescent="0.45">
      <c r="B155" t="s">
        <v>76</v>
      </c>
      <c r="C155" t="s">
        <v>52</v>
      </c>
      <c r="D155">
        <v>0</v>
      </c>
      <c r="E155" t="s">
        <v>53</v>
      </c>
      <c r="G155" t="s">
        <v>106</v>
      </c>
      <c r="H155" t="s">
        <v>52</v>
      </c>
      <c r="I155">
        <v>9.1500857223112492E-2</v>
      </c>
      <c r="J155" t="s">
        <v>53</v>
      </c>
      <c r="L155" t="s">
        <v>134</v>
      </c>
      <c r="M155" t="s">
        <v>52</v>
      </c>
      <c r="N155">
        <v>9.2992998966977519E-2</v>
      </c>
      <c r="O155" t="s">
        <v>53</v>
      </c>
    </row>
    <row r="156" spans="2:15" x14ac:dyDescent="0.45">
      <c r="B156" t="s">
        <v>76</v>
      </c>
      <c r="C156" t="s">
        <v>54</v>
      </c>
      <c r="D156">
        <v>0.11626258373940108</v>
      </c>
      <c r="E156" t="s">
        <v>53</v>
      </c>
      <c r="G156" t="s">
        <v>106</v>
      </c>
      <c r="H156" t="s">
        <v>54</v>
      </c>
      <c r="I156">
        <v>0.11692447345541633</v>
      </c>
      <c r="J156" t="s">
        <v>53</v>
      </c>
      <c r="L156" t="s">
        <v>134</v>
      </c>
      <c r="M156" t="s">
        <v>54</v>
      </c>
      <c r="N156">
        <v>0.11602611324143379</v>
      </c>
      <c r="O156" t="s">
        <v>53</v>
      </c>
    </row>
    <row r="157" spans="2:15" x14ac:dyDescent="0.45">
      <c r="B157" t="s">
        <v>76</v>
      </c>
      <c r="C157" t="s">
        <v>55</v>
      </c>
      <c r="D157">
        <v>0</v>
      </c>
      <c r="E157" t="s">
        <v>53</v>
      </c>
      <c r="G157" t="s">
        <v>106</v>
      </c>
      <c r="H157" t="s">
        <v>55</v>
      </c>
      <c r="I157">
        <v>7.2764013114802961E-2</v>
      </c>
      <c r="J157" t="s">
        <v>53</v>
      </c>
      <c r="L157" t="s">
        <v>134</v>
      </c>
      <c r="M157" t="s">
        <v>55</v>
      </c>
      <c r="N157">
        <v>7.0200803464401593E-2</v>
      </c>
      <c r="O157" t="s">
        <v>53</v>
      </c>
    </row>
    <row r="158" spans="2:15" x14ac:dyDescent="0.45">
      <c r="B158" t="s">
        <v>76</v>
      </c>
      <c r="C158" t="s">
        <v>56</v>
      </c>
      <c r="D158">
        <v>2.0990292159202589E-2</v>
      </c>
      <c r="E158" t="s">
        <v>53</v>
      </c>
      <c r="G158" t="s">
        <v>106</v>
      </c>
      <c r="H158" t="s">
        <v>56</v>
      </c>
      <c r="I158">
        <v>8.8416768085829087E-2</v>
      </c>
      <c r="J158" t="s">
        <v>53</v>
      </c>
      <c r="L158" t="s">
        <v>134</v>
      </c>
      <c r="M158" t="s">
        <v>56</v>
      </c>
      <c r="N158">
        <v>8.9747237254736892E-2</v>
      </c>
      <c r="O158" t="s">
        <v>53</v>
      </c>
    </row>
    <row r="159" spans="2:15" x14ac:dyDescent="0.45">
      <c r="B159" t="s">
        <v>76</v>
      </c>
      <c r="C159" t="s">
        <v>57</v>
      </c>
      <c r="D159">
        <v>0.25375985002561946</v>
      </c>
      <c r="E159" t="s">
        <v>53</v>
      </c>
      <c r="G159" t="s">
        <v>106</v>
      </c>
      <c r="H159" t="s">
        <v>57</v>
      </c>
      <c r="I159">
        <v>0.11579834603043154</v>
      </c>
      <c r="J159" t="s">
        <v>53</v>
      </c>
      <c r="L159" t="s">
        <v>134</v>
      </c>
      <c r="M159" t="s">
        <v>57</v>
      </c>
      <c r="N159">
        <v>0.10601067598955455</v>
      </c>
      <c r="O159" t="s">
        <v>53</v>
      </c>
    </row>
    <row r="160" spans="2:15" x14ac:dyDescent="0.45">
      <c r="B160" t="s">
        <v>76</v>
      </c>
      <c r="C160" t="s">
        <v>58</v>
      </c>
      <c r="D160">
        <v>1.1383133426869882E-2</v>
      </c>
      <c r="E160" t="s">
        <v>53</v>
      </c>
      <c r="G160" t="s">
        <v>106</v>
      </c>
      <c r="H160" t="s">
        <v>58</v>
      </c>
      <c r="I160">
        <v>7.2633862610222436E-2</v>
      </c>
      <c r="J160" t="s">
        <v>53</v>
      </c>
      <c r="L160" t="s">
        <v>134</v>
      </c>
      <c r="M160" t="s">
        <v>58</v>
      </c>
      <c r="N160">
        <v>7.1393272109867817E-2</v>
      </c>
      <c r="O160" t="s">
        <v>53</v>
      </c>
    </row>
    <row r="161" spans="2:15" x14ac:dyDescent="0.45">
      <c r="B161" t="s">
        <v>76</v>
      </c>
      <c r="C161" t="s">
        <v>59</v>
      </c>
      <c r="D161">
        <v>4.4331984774503605E-2</v>
      </c>
      <c r="E161" t="s">
        <v>53</v>
      </c>
      <c r="G161" t="s">
        <v>106</v>
      </c>
      <c r="H161" t="s">
        <v>59</v>
      </c>
      <c r="I161">
        <v>5.0265177531024996E-2</v>
      </c>
      <c r="J161" t="s">
        <v>53</v>
      </c>
      <c r="L161" t="s">
        <v>134</v>
      </c>
      <c r="M161" t="s">
        <v>59</v>
      </c>
      <c r="N161">
        <v>6.5144724128429143E-2</v>
      </c>
      <c r="O161" t="s">
        <v>53</v>
      </c>
    </row>
    <row r="162" spans="2:15" x14ac:dyDescent="0.45">
      <c r="B162" t="s">
        <v>76</v>
      </c>
      <c r="C162" t="s">
        <v>60</v>
      </c>
      <c r="D162">
        <v>0.34341006534894125</v>
      </c>
      <c r="E162" t="s">
        <v>53</v>
      </c>
      <c r="G162" t="s">
        <v>106</v>
      </c>
      <c r="H162" t="s">
        <v>60</v>
      </c>
      <c r="I162">
        <v>6.2941550959885947E-2</v>
      </c>
      <c r="J162" t="s">
        <v>53</v>
      </c>
      <c r="L162" t="s">
        <v>134</v>
      </c>
      <c r="M162" t="s">
        <v>60</v>
      </c>
      <c r="N162">
        <v>7.6822785485309367E-2</v>
      </c>
      <c r="O162" t="s">
        <v>53</v>
      </c>
    </row>
    <row r="163" spans="2:15" x14ac:dyDescent="0.45">
      <c r="B163" t="s">
        <v>76</v>
      </c>
      <c r="C163" t="s">
        <v>61</v>
      </c>
      <c r="D163">
        <v>2.9383683455177497E-2</v>
      </c>
      <c r="E163" t="s">
        <v>53</v>
      </c>
      <c r="G163" t="s">
        <v>106</v>
      </c>
      <c r="H163" t="s">
        <v>61</v>
      </c>
      <c r="I163">
        <v>4.5376131709058853E-2</v>
      </c>
      <c r="J163" t="s">
        <v>53</v>
      </c>
      <c r="L163" t="s">
        <v>134</v>
      </c>
      <c r="M163" t="s">
        <v>61</v>
      </c>
      <c r="N163">
        <v>5.206552226980344E-2</v>
      </c>
      <c r="O163" t="s">
        <v>53</v>
      </c>
    </row>
    <row r="164" spans="2:15" x14ac:dyDescent="0.45">
      <c r="B164" t="s">
        <v>76</v>
      </c>
      <c r="C164" t="s">
        <v>62</v>
      </c>
      <c r="D164">
        <v>6.5951832125915114E-3</v>
      </c>
      <c r="E164" t="s">
        <v>53</v>
      </c>
      <c r="G164" t="s">
        <v>106</v>
      </c>
      <c r="H164" t="s">
        <v>62</v>
      </c>
      <c r="I164">
        <v>9.2873249471737931E-2</v>
      </c>
      <c r="J164" t="s">
        <v>53</v>
      </c>
      <c r="L164" t="s">
        <v>134</v>
      </c>
      <c r="M164" t="s">
        <v>62</v>
      </c>
      <c r="N164">
        <v>8.7433865069561911E-2</v>
      </c>
      <c r="O164" t="s">
        <v>53</v>
      </c>
    </row>
    <row r="165" spans="2:15" x14ac:dyDescent="0.45">
      <c r="B165" t="s">
        <v>76</v>
      </c>
      <c r="C165" t="s">
        <v>63</v>
      </c>
      <c r="D165">
        <v>0.17172058555165676</v>
      </c>
      <c r="E165" t="s">
        <v>53</v>
      </c>
      <c r="G165" t="s">
        <v>106</v>
      </c>
      <c r="H165" t="s">
        <v>63</v>
      </c>
      <c r="I165">
        <v>0.11650342273167201</v>
      </c>
      <c r="J165" t="s">
        <v>53</v>
      </c>
      <c r="L165" t="s">
        <v>134</v>
      </c>
      <c r="M165" t="s">
        <v>63</v>
      </c>
      <c r="N165">
        <v>0.10578343002225335</v>
      </c>
      <c r="O165" t="s">
        <v>53</v>
      </c>
    </row>
    <row r="166" spans="2:15" x14ac:dyDescent="0.45">
      <c r="B166" t="s">
        <v>76</v>
      </c>
      <c r="C166" t="s">
        <v>64</v>
      </c>
      <c r="D166">
        <v>2.1626383060352541E-3</v>
      </c>
      <c r="E166" t="s">
        <v>53</v>
      </c>
      <c r="G166" t="s">
        <v>106</v>
      </c>
      <c r="H166" t="s">
        <v>64</v>
      </c>
      <c r="I166">
        <v>7.4002147076805469E-2</v>
      </c>
      <c r="J166" t="s">
        <v>53</v>
      </c>
      <c r="L166" t="s">
        <v>134</v>
      </c>
      <c r="M166" t="s">
        <v>64</v>
      </c>
      <c r="N166">
        <v>6.6378571997672289E-2</v>
      </c>
      <c r="O166" t="s">
        <v>53</v>
      </c>
    </row>
    <row r="167" spans="2:15" x14ac:dyDescent="0.45">
      <c r="B167" t="s">
        <v>77</v>
      </c>
      <c r="C167" t="s">
        <v>52</v>
      </c>
      <c r="D167">
        <v>0</v>
      </c>
      <c r="E167" t="s">
        <v>53</v>
      </c>
      <c r="G167" t="s">
        <v>107</v>
      </c>
      <c r="H167" t="s">
        <v>52</v>
      </c>
      <c r="I167">
        <v>0.10915616226720976</v>
      </c>
      <c r="J167" t="s">
        <v>53</v>
      </c>
      <c r="L167" t="s">
        <v>135</v>
      </c>
      <c r="M167" t="s">
        <v>52</v>
      </c>
      <c r="N167">
        <v>9.364945805454146E-2</v>
      </c>
      <c r="O167" t="s">
        <v>53</v>
      </c>
    </row>
    <row r="168" spans="2:15" x14ac:dyDescent="0.45">
      <c r="B168" t="s">
        <v>77</v>
      </c>
      <c r="C168" t="s">
        <v>54</v>
      </c>
      <c r="D168">
        <v>0.10727695588801263</v>
      </c>
      <c r="E168" t="s">
        <v>53</v>
      </c>
      <c r="G168" t="s">
        <v>107</v>
      </c>
      <c r="H168" t="s">
        <v>54</v>
      </c>
      <c r="I168">
        <v>0.15423609375860356</v>
      </c>
      <c r="J168" t="s">
        <v>53</v>
      </c>
      <c r="L168" t="s">
        <v>135</v>
      </c>
      <c r="M168" t="s">
        <v>54</v>
      </c>
      <c r="N168">
        <v>0.11470262414283136</v>
      </c>
      <c r="O168" t="s">
        <v>53</v>
      </c>
    </row>
    <row r="169" spans="2:15" x14ac:dyDescent="0.45">
      <c r="B169" t="s">
        <v>77</v>
      </c>
      <c r="C169" t="s">
        <v>55</v>
      </c>
      <c r="D169">
        <v>0</v>
      </c>
      <c r="E169" t="s">
        <v>53</v>
      </c>
      <c r="G169" t="s">
        <v>107</v>
      </c>
      <c r="H169" t="s">
        <v>55</v>
      </c>
      <c r="I169">
        <v>7.3989309654283714E-2</v>
      </c>
      <c r="J169" t="s">
        <v>53</v>
      </c>
      <c r="L169" t="s">
        <v>135</v>
      </c>
      <c r="M169" t="s">
        <v>55</v>
      </c>
      <c r="N169">
        <v>7.0501649872278041E-2</v>
      </c>
      <c r="O169" t="s">
        <v>53</v>
      </c>
    </row>
    <row r="170" spans="2:15" x14ac:dyDescent="0.45">
      <c r="B170" t="s">
        <v>77</v>
      </c>
      <c r="C170" t="s">
        <v>56</v>
      </c>
      <c r="D170">
        <v>2.2183390112190237E-2</v>
      </c>
      <c r="E170" t="s">
        <v>53</v>
      </c>
      <c r="G170" t="s">
        <v>107</v>
      </c>
      <c r="H170" t="s">
        <v>56</v>
      </c>
      <c r="I170">
        <v>7.0683767061255509E-2</v>
      </c>
      <c r="J170" t="s">
        <v>53</v>
      </c>
      <c r="L170" t="s">
        <v>135</v>
      </c>
      <c r="M170" t="s">
        <v>56</v>
      </c>
      <c r="N170">
        <v>8.8855241256988238E-2</v>
      </c>
      <c r="O170" t="s">
        <v>53</v>
      </c>
    </row>
    <row r="171" spans="2:15" x14ac:dyDescent="0.45">
      <c r="B171" t="s">
        <v>77</v>
      </c>
      <c r="C171" t="s">
        <v>57</v>
      </c>
      <c r="D171">
        <v>0.26073887582425537</v>
      </c>
      <c r="E171" t="s">
        <v>53</v>
      </c>
      <c r="G171" t="s">
        <v>107</v>
      </c>
      <c r="H171" t="s">
        <v>57</v>
      </c>
      <c r="I171">
        <v>0.13027131747123671</v>
      </c>
      <c r="J171" t="s">
        <v>53</v>
      </c>
      <c r="L171" t="s">
        <v>135</v>
      </c>
      <c r="M171" t="s">
        <v>57</v>
      </c>
      <c r="N171">
        <v>0.10292583146899484</v>
      </c>
      <c r="O171" t="s">
        <v>53</v>
      </c>
    </row>
    <row r="172" spans="2:15" x14ac:dyDescent="0.45">
      <c r="B172" t="s">
        <v>77</v>
      </c>
      <c r="C172" t="s">
        <v>58</v>
      </c>
      <c r="D172">
        <v>1.0993598925564724E-2</v>
      </c>
      <c r="E172" t="s">
        <v>53</v>
      </c>
      <c r="G172" t="s">
        <v>107</v>
      </c>
      <c r="H172" t="s">
        <v>58</v>
      </c>
      <c r="I172">
        <v>6.6105348906354597E-2</v>
      </c>
      <c r="J172" t="s">
        <v>53</v>
      </c>
      <c r="L172" t="s">
        <v>135</v>
      </c>
      <c r="M172" t="s">
        <v>58</v>
      </c>
      <c r="N172">
        <v>6.7224691876970111E-2</v>
      </c>
      <c r="O172" t="s">
        <v>53</v>
      </c>
    </row>
    <row r="173" spans="2:15" x14ac:dyDescent="0.45">
      <c r="B173" t="s">
        <v>77</v>
      </c>
      <c r="C173" t="s">
        <v>59</v>
      </c>
      <c r="D173">
        <v>4.6429716843696657E-2</v>
      </c>
      <c r="E173" t="s">
        <v>53</v>
      </c>
      <c r="G173" t="s">
        <v>107</v>
      </c>
      <c r="H173" t="s">
        <v>59</v>
      </c>
      <c r="I173">
        <v>3.4336335879754772E-2</v>
      </c>
      <c r="J173" t="s">
        <v>53</v>
      </c>
      <c r="L173" t="s">
        <v>135</v>
      </c>
      <c r="M173" t="s">
        <v>59</v>
      </c>
      <c r="N173">
        <v>6.6768392856289258E-2</v>
      </c>
      <c r="O173" t="s">
        <v>53</v>
      </c>
    </row>
    <row r="174" spans="2:15" x14ac:dyDescent="0.45">
      <c r="B174" t="s">
        <v>77</v>
      </c>
      <c r="C174" t="s">
        <v>60</v>
      </c>
      <c r="D174">
        <v>0.34677080269478538</v>
      </c>
      <c r="E174" t="s">
        <v>53</v>
      </c>
      <c r="G174" t="s">
        <v>107</v>
      </c>
      <c r="H174" t="s">
        <v>60</v>
      </c>
      <c r="I174">
        <v>4.7998958119002733E-2</v>
      </c>
      <c r="J174" t="s">
        <v>53</v>
      </c>
      <c r="L174" t="s">
        <v>135</v>
      </c>
      <c r="M174" t="s">
        <v>60</v>
      </c>
      <c r="N174">
        <v>7.9556930626920569E-2</v>
      </c>
      <c r="O174" t="s">
        <v>53</v>
      </c>
    </row>
    <row r="175" spans="2:15" x14ac:dyDescent="0.45">
      <c r="B175" t="s">
        <v>77</v>
      </c>
      <c r="C175" t="s">
        <v>61</v>
      </c>
      <c r="D175">
        <v>2.9746982569486793E-2</v>
      </c>
      <c r="E175" t="s">
        <v>53</v>
      </c>
      <c r="G175" t="s">
        <v>107</v>
      </c>
      <c r="H175" t="s">
        <v>61</v>
      </c>
      <c r="I175">
        <v>3.4373861812948041E-2</v>
      </c>
      <c r="J175" t="s">
        <v>53</v>
      </c>
      <c r="L175" t="s">
        <v>135</v>
      </c>
      <c r="M175" t="s">
        <v>61</v>
      </c>
      <c r="N175">
        <v>5.4746931397060633E-2</v>
      </c>
      <c r="O175" t="s">
        <v>53</v>
      </c>
    </row>
    <row r="176" spans="2:15" x14ac:dyDescent="0.45">
      <c r="B176" t="s">
        <v>77</v>
      </c>
      <c r="C176" t="s">
        <v>62</v>
      </c>
      <c r="D176">
        <v>7.2910574929566868E-3</v>
      </c>
      <c r="E176" t="s">
        <v>53</v>
      </c>
      <c r="G176" t="s">
        <v>107</v>
      </c>
      <c r="H176" t="s">
        <v>62</v>
      </c>
      <c r="I176">
        <v>8.7696009162999522E-2</v>
      </c>
      <c r="J176" t="s">
        <v>53</v>
      </c>
      <c r="L176" t="s">
        <v>135</v>
      </c>
      <c r="M176" t="s">
        <v>62</v>
      </c>
      <c r="N176">
        <v>8.4172339533355858E-2</v>
      </c>
      <c r="O176" t="s">
        <v>53</v>
      </c>
    </row>
    <row r="177" spans="2:15" x14ac:dyDescent="0.45">
      <c r="B177" t="s">
        <v>77</v>
      </c>
      <c r="C177" t="s">
        <v>63</v>
      </c>
      <c r="D177">
        <v>0.16683980428681239</v>
      </c>
      <c r="E177" t="s">
        <v>53</v>
      </c>
      <c r="G177" t="s">
        <v>107</v>
      </c>
      <c r="H177" t="s">
        <v>63</v>
      </c>
      <c r="I177">
        <v>0.11496399173933498</v>
      </c>
      <c r="J177" t="s">
        <v>53</v>
      </c>
      <c r="L177" t="s">
        <v>135</v>
      </c>
      <c r="M177" t="s">
        <v>63</v>
      </c>
      <c r="N177">
        <v>0.10918551994160849</v>
      </c>
      <c r="O177" t="s">
        <v>53</v>
      </c>
    </row>
    <row r="178" spans="2:15" x14ac:dyDescent="0.45">
      <c r="B178" t="s">
        <v>77</v>
      </c>
      <c r="C178" t="s">
        <v>64</v>
      </c>
      <c r="D178">
        <v>1.7288153622431832E-3</v>
      </c>
      <c r="E178" t="s">
        <v>53</v>
      </c>
      <c r="G178" t="s">
        <v>107</v>
      </c>
      <c r="H178" t="s">
        <v>64</v>
      </c>
      <c r="I178">
        <v>7.6188844167012701E-2</v>
      </c>
      <c r="J178" t="s">
        <v>53</v>
      </c>
      <c r="L178" t="s">
        <v>135</v>
      </c>
      <c r="M178" t="s">
        <v>64</v>
      </c>
      <c r="N178">
        <v>6.771038897216318E-2</v>
      </c>
      <c r="O178" t="s">
        <v>53</v>
      </c>
    </row>
    <row r="179" spans="2:15" x14ac:dyDescent="0.45">
      <c r="B179" t="s">
        <v>78</v>
      </c>
      <c r="C179" t="s">
        <v>52</v>
      </c>
      <c r="D179">
        <v>5.9103061155021957E-5</v>
      </c>
      <c r="E179" t="s">
        <v>53</v>
      </c>
      <c r="G179" t="s">
        <v>108</v>
      </c>
      <c r="H179" t="s">
        <v>52</v>
      </c>
      <c r="I179">
        <v>0.10459291831528091</v>
      </c>
      <c r="J179" t="s">
        <v>53</v>
      </c>
      <c r="L179" t="s">
        <v>136</v>
      </c>
      <c r="M179" t="s">
        <v>52</v>
      </c>
      <c r="N179">
        <v>9.5830085444570209E-2</v>
      </c>
      <c r="O179" t="s">
        <v>53</v>
      </c>
    </row>
    <row r="180" spans="2:15" x14ac:dyDescent="0.45">
      <c r="B180" t="s">
        <v>78</v>
      </c>
      <c r="C180" t="s">
        <v>54</v>
      </c>
      <c r="D180">
        <v>0.16543272100828282</v>
      </c>
      <c r="E180" t="s">
        <v>53</v>
      </c>
      <c r="G180" t="s">
        <v>108</v>
      </c>
      <c r="H180" t="s">
        <v>54</v>
      </c>
      <c r="I180">
        <v>0.11657286271105669</v>
      </c>
      <c r="J180" t="s">
        <v>53</v>
      </c>
      <c r="L180" t="s">
        <v>136</v>
      </c>
      <c r="M180" t="s">
        <v>54</v>
      </c>
      <c r="N180">
        <v>0.11901500843904725</v>
      </c>
      <c r="O180" t="s">
        <v>53</v>
      </c>
    </row>
    <row r="181" spans="2:15" x14ac:dyDescent="0.45">
      <c r="B181" t="s">
        <v>78</v>
      </c>
      <c r="C181" t="s">
        <v>55</v>
      </c>
      <c r="D181">
        <v>0</v>
      </c>
      <c r="E181" t="s">
        <v>53</v>
      </c>
      <c r="G181" t="s">
        <v>108</v>
      </c>
      <c r="H181" t="s">
        <v>55</v>
      </c>
      <c r="I181">
        <v>7.9934803238424945E-2</v>
      </c>
      <c r="J181" t="s">
        <v>53</v>
      </c>
      <c r="L181" t="s">
        <v>136</v>
      </c>
      <c r="M181" t="s">
        <v>55</v>
      </c>
      <c r="N181">
        <v>7.1014957581979482E-2</v>
      </c>
      <c r="O181" t="s">
        <v>53</v>
      </c>
    </row>
    <row r="182" spans="2:15" x14ac:dyDescent="0.45">
      <c r="B182" t="s">
        <v>78</v>
      </c>
      <c r="C182" t="s">
        <v>56</v>
      </c>
      <c r="D182">
        <v>2.3328340041767301E-2</v>
      </c>
      <c r="E182" t="s">
        <v>53</v>
      </c>
      <c r="G182" t="s">
        <v>108</v>
      </c>
      <c r="H182" t="s">
        <v>56</v>
      </c>
      <c r="I182">
        <v>8.5292595744741059E-2</v>
      </c>
      <c r="J182" t="s">
        <v>53</v>
      </c>
      <c r="L182" t="s">
        <v>136</v>
      </c>
      <c r="M182" t="s">
        <v>56</v>
      </c>
      <c r="N182">
        <v>9.2361003997020449E-2</v>
      </c>
      <c r="O182" t="s">
        <v>53</v>
      </c>
    </row>
    <row r="183" spans="2:15" x14ac:dyDescent="0.45">
      <c r="B183" t="s">
        <v>78</v>
      </c>
      <c r="C183" t="s">
        <v>57</v>
      </c>
      <c r="D183">
        <v>0.23633867312119514</v>
      </c>
      <c r="E183" t="s">
        <v>53</v>
      </c>
      <c r="G183" t="s">
        <v>108</v>
      </c>
      <c r="H183" t="s">
        <v>57</v>
      </c>
      <c r="I183">
        <v>9.2976713757515775E-2</v>
      </c>
      <c r="J183" t="s">
        <v>53</v>
      </c>
      <c r="L183" t="s">
        <v>136</v>
      </c>
      <c r="M183" t="s">
        <v>57</v>
      </c>
      <c r="N183">
        <v>0.11494349228506055</v>
      </c>
      <c r="O183" t="s">
        <v>53</v>
      </c>
    </row>
    <row r="184" spans="2:15" x14ac:dyDescent="0.45">
      <c r="B184" t="s">
        <v>78</v>
      </c>
      <c r="C184" t="s">
        <v>58</v>
      </c>
      <c r="D184">
        <v>1.3256386294578208E-2</v>
      </c>
      <c r="E184" t="s">
        <v>53</v>
      </c>
      <c r="G184" t="s">
        <v>108</v>
      </c>
      <c r="H184" t="s">
        <v>58</v>
      </c>
      <c r="I184">
        <v>6.3752413982766876E-2</v>
      </c>
      <c r="J184" t="s">
        <v>53</v>
      </c>
      <c r="L184" t="s">
        <v>136</v>
      </c>
      <c r="M184" t="s">
        <v>58</v>
      </c>
      <c r="N184">
        <v>7.1399910444363293E-2</v>
      </c>
      <c r="O184" t="s">
        <v>53</v>
      </c>
    </row>
    <row r="185" spans="2:15" x14ac:dyDescent="0.45">
      <c r="B185" t="s">
        <v>78</v>
      </c>
      <c r="C185" t="s">
        <v>59</v>
      </c>
      <c r="D185">
        <v>3.9085126177330884E-2</v>
      </c>
      <c r="E185" t="s">
        <v>53</v>
      </c>
      <c r="G185" t="s">
        <v>108</v>
      </c>
      <c r="H185" t="s">
        <v>59</v>
      </c>
      <c r="I185">
        <v>6.1341037665780258E-2</v>
      </c>
      <c r="J185" t="s">
        <v>53</v>
      </c>
      <c r="L185" t="s">
        <v>136</v>
      </c>
      <c r="M185" t="s">
        <v>59</v>
      </c>
      <c r="N185">
        <v>6.5295959844738766E-2</v>
      </c>
      <c r="O185" t="s">
        <v>53</v>
      </c>
    </row>
    <row r="186" spans="2:15" x14ac:dyDescent="0.45">
      <c r="B186" t="s">
        <v>78</v>
      </c>
      <c r="C186" t="s">
        <v>60</v>
      </c>
      <c r="D186">
        <v>0.30522127987802861</v>
      </c>
      <c r="E186" t="s">
        <v>53</v>
      </c>
      <c r="G186" t="s">
        <v>108</v>
      </c>
      <c r="H186" t="s">
        <v>60</v>
      </c>
      <c r="I186">
        <v>5.7985693733516107E-2</v>
      </c>
      <c r="J186" t="s">
        <v>53</v>
      </c>
      <c r="L186" t="s">
        <v>136</v>
      </c>
      <c r="M186" t="s">
        <v>60</v>
      </c>
      <c r="N186">
        <v>8.1452303464444306E-2</v>
      </c>
      <c r="O186" t="s">
        <v>53</v>
      </c>
    </row>
    <row r="187" spans="2:15" x14ac:dyDescent="0.45">
      <c r="B187" t="s">
        <v>78</v>
      </c>
      <c r="C187" t="s">
        <v>61</v>
      </c>
      <c r="D187">
        <v>2.4474618659857048E-2</v>
      </c>
      <c r="E187" t="s">
        <v>53</v>
      </c>
      <c r="G187" t="s">
        <v>108</v>
      </c>
      <c r="H187" t="s">
        <v>61</v>
      </c>
      <c r="I187">
        <v>4.8599172764805319E-2</v>
      </c>
      <c r="J187" t="s">
        <v>53</v>
      </c>
      <c r="L187" t="s">
        <v>136</v>
      </c>
      <c r="M187" t="s">
        <v>61</v>
      </c>
      <c r="N187">
        <v>5.1854676254114974E-2</v>
      </c>
      <c r="O187" t="s">
        <v>53</v>
      </c>
    </row>
    <row r="188" spans="2:15" x14ac:dyDescent="0.45">
      <c r="B188" t="s">
        <v>78</v>
      </c>
      <c r="C188" t="s">
        <v>62</v>
      </c>
      <c r="D188">
        <v>8.6453429487297877E-3</v>
      </c>
      <c r="E188" t="s">
        <v>53</v>
      </c>
      <c r="G188" t="s">
        <v>108</v>
      </c>
      <c r="H188" t="s">
        <v>62</v>
      </c>
      <c r="I188">
        <v>9.6310755502206177E-2</v>
      </c>
      <c r="J188" t="s">
        <v>53</v>
      </c>
      <c r="L188" t="s">
        <v>136</v>
      </c>
      <c r="M188" t="s">
        <v>62</v>
      </c>
      <c r="N188">
        <v>7.8815917976202091E-2</v>
      </c>
      <c r="O188" t="s">
        <v>53</v>
      </c>
    </row>
    <row r="189" spans="2:15" x14ac:dyDescent="0.45">
      <c r="B189" t="s">
        <v>78</v>
      </c>
      <c r="C189" t="s">
        <v>63</v>
      </c>
      <c r="D189">
        <v>0.18163977464448378</v>
      </c>
      <c r="E189" t="s">
        <v>53</v>
      </c>
      <c r="G189" t="s">
        <v>108</v>
      </c>
      <c r="H189" t="s">
        <v>63</v>
      </c>
      <c r="I189">
        <v>0.11289691731742835</v>
      </c>
      <c r="J189" t="s">
        <v>53</v>
      </c>
      <c r="L189" t="s">
        <v>136</v>
      </c>
      <c r="M189" t="s">
        <v>63</v>
      </c>
      <c r="N189">
        <v>9.7089286453172205E-2</v>
      </c>
      <c r="O189" t="s">
        <v>53</v>
      </c>
    </row>
    <row r="190" spans="2:15" x14ac:dyDescent="0.45">
      <c r="B190" t="s">
        <v>78</v>
      </c>
      <c r="C190" t="s">
        <v>64</v>
      </c>
      <c r="D190">
        <v>2.5186341645949324E-3</v>
      </c>
      <c r="E190" t="s">
        <v>53</v>
      </c>
      <c r="G190" t="s">
        <v>108</v>
      </c>
      <c r="H190" t="s">
        <v>64</v>
      </c>
      <c r="I190">
        <v>7.9744115266475721E-2</v>
      </c>
      <c r="J190" t="s">
        <v>53</v>
      </c>
      <c r="L190" t="s">
        <v>136</v>
      </c>
      <c r="M190" t="s">
        <v>64</v>
      </c>
      <c r="N190">
        <v>6.0927397815287727E-2</v>
      </c>
      <c r="O190" t="s">
        <v>53</v>
      </c>
    </row>
    <row r="191" spans="2:15" x14ac:dyDescent="0.45">
      <c r="B191" t="s">
        <v>79</v>
      </c>
      <c r="C191" t="s">
        <v>52</v>
      </c>
      <c r="D191">
        <v>0</v>
      </c>
      <c r="E191" t="s">
        <v>53</v>
      </c>
      <c r="G191" t="s">
        <v>109</v>
      </c>
      <c r="H191" t="s">
        <v>52</v>
      </c>
      <c r="I191">
        <v>0.10100638557700843</v>
      </c>
      <c r="J191" t="s">
        <v>53</v>
      </c>
      <c r="L191" t="s">
        <v>137</v>
      </c>
      <c r="M191" t="s">
        <v>52</v>
      </c>
      <c r="N191">
        <v>9.7374084827845708E-2</v>
      </c>
      <c r="O191" t="s">
        <v>53</v>
      </c>
    </row>
    <row r="192" spans="2:15" x14ac:dyDescent="0.45">
      <c r="B192" t="s">
        <v>79</v>
      </c>
      <c r="C192" t="s">
        <v>54</v>
      </c>
      <c r="D192">
        <v>0.16277490471484601</v>
      </c>
      <c r="E192" t="s">
        <v>53</v>
      </c>
      <c r="G192" t="s">
        <v>109</v>
      </c>
      <c r="H192" t="s">
        <v>54</v>
      </c>
      <c r="I192">
        <v>0.1168964727145677</v>
      </c>
      <c r="J192" t="s">
        <v>53</v>
      </c>
      <c r="L192" t="s">
        <v>137</v>
      </c>
      <c r="M192" t="s">
        <v>54</v>
      </c>
      <c r="N192">
        <v>0.11929020391334033</v>
      </c>
      <c r="O192" t="s">
        <v>53</v>
      </c>
    </row>
    <row r="193" spans="2:15" x14ac:dyDescent="0.45">
      <c r="B193" t="s">
        <v>79</v>
      </c>
      <c r="C193" t="s">
        <v>55</v>
      </c>
      <c r="D193">
        <v>8.4405378715508371E-6</v>
      </c>
      <c r="E193" t="s">
        <v>53</v>
      </c>
      <c r="G193" t="s">
        <v>109</v>
      </c>
      <c r="H193" t="s">
        <v>55</v>
      </c>
      <c r="I193">
        <v>7.9238969731425399E-2</v>
      </c>
      <c r="J193" t="s">
        <v>53</v>
      </c>
      <c r="L193" t="s">
        <v>137</v>
      </c>
      <c r="M193" t="s">
        <v>55</v>
      </c>
      <c r="N193">
        <v>7.2413242480261333E-2</v>
      </c>
      <c r="O193" t="s">
        <v>53</v>
      </c>
    </row>
    <row r="194" spans="2:15" x14ac:dyDescent="0.45">
      <c r="B194" t="s">
        <v>79</v>
      </c>
      <c r="C194" t="s">
        <v>56</v>
      </c>
      <c r="D194">
        <v>2.0159383800203014E-2</v>
      </c>
      <c r="E194" t="s">
        <v>53</v>
      </c>
      <c r="G194" t="s">
        <v>109</v>
      </c>
      <c r="H194" t="s">
        <v>56</v>
      </c>
      <c r="I194">
        <v>8.4137051563957982E-2</v>
      </c>
      <c r="J194" t="s">
        <v>53</v>
      </c>
      <c r="L194" t="s">
        <v>137</v>
      </c>
      <c r="M194" t="s">
        <v>56</v>
      </c>
      <c r="N194">
        <v>9.3906630327628499E-2</v>
      </c>
      <c r="O194" t="s">
        <v>53</v>
      </c>
    </row>
    <row r="195" spans="2:15" x14ac:dyDescent="0.45">
      <c r="B195" t="s">
        <v>79</v>
      </c>
      <c r="C195" t="s">
        <v>57</v>
      </c>
      <c r="D195">
        <v>0.24515205168991772</v>
      </c>
      <c r="E195" t="s">
        <v>53</v>
      </c>
      <c r="G195" t="s">
        <v>109</v>
      </c>
      <c r="H195" t="s">
        <v>57</v>
      </c>
      <c r="I195">
        <v>9.8063151824361136E-2</v>
      </c>
      <c r="J195" t="s">
        <v>53</v>
      </c>
      <c r="L195" t="s">
        <v>137</v>
      </c>
      <c r="M195" t="s">
        <v>57</v>
      </c>
      <c r="N195">
        <v>0.11874782974830282</v>
      </c>
      <c r="O195" t="s">
        <v>53</v>
      </c>
    </row>
    <row r="196" spans="2:15" x14ac:dyDescent="0.45">
      <c r="B196" t="s">
        <v>79</v>
      </c>
      <c r="C196" t="s">
        <v>58</v>
      </c>
      <c r="D196">
        <v>1.3945811695686873E-2</v>
      </c>
      <c r="E196" t="s">
        <v>53</v>
      </c>
      <c r="G196" t="s">
        <v>109</v>
      </c>
      <c r="H196" t="s">
        <v>58</v>
      </c>
      <c r="I196">
        <v>6.3627787191130172E-2</v>
      </c>
      <c r="J196" t="s">
        <v>53</v>
      </c>
      <c r="L196" t="s">
        <v>137</v>
      </c>
      <c r="M196" t="s">
        <v>58</v>
      </c>
      <c r="N196">
        <v>7.0190501419891735E-2</v>
      </c>
      <c r="O196" t="s">
        <v>53</v>
      </c>
    </row>
    <row r="197" spans="2:15" x14ac:dyDescent="0.45">
      <c r="B197" t="s">
        <v>79</v>
      </c>
      <c r="C197" t="s">
        <v>59</v>
      </c>
      <c r="D197">
        <v>3.379286786776519E-2</v>
      </c>
      <c r="E197" t="s">
        <v>53</v>
      </c>
      <c r="G197" t="s">
        <v>109</v>
      </c>
      <c r="H197" t="s">
        <v>59</v>
      </c>
      <c r="I197">
        <v>6.1020763308191207E-2</v>
      </c>
      <c r="J197" t="s">
        <v>53</v>
      </c>
      <c r="L197" t="s">
        <v>137</v>
      </c>
      <c r="M197" t="s">
        <v>59</v>
      </c>
      <c r="N197">
        <v>6.1233583149935551E-2</v>
      </c>
      <c r="O197" t="s">
        <v>53</v>
      </c>
    </row>
    <row r="198" spans="2:15" x14ac:dyDescent="0.45">
      <c r="B198" t="s">
        <v>79</v>
      </c>
      <c r="C198" t="s">
        <v>60</v>
      </c>
      <c r="D198">
        <v>0.29996013378696057</v>
      </c>
      <c r="E198" t="s">
        <v>53</v>
      </c>
      <c r="G198" t="s">
        <v>109</v>
      </c>
      <c r="H198" t="s">
        <v>60</v>
      </c>
      <c r="I198">
        <v>6.6969427557372618E-2</v>
      </c>
      <c r="J198" t="s">
        <v>53</v>
      </c>
      <c r="L198" t="s">
        <v>137</v>
      </c>
      <c r="M198" t="s">
        <v>60</v>
      </c>
      <c r="N198">
        <v>7.0695329861095585E-2</v>
      </c>
      <c r="O198" t="s">
        <v>53</v>
      </c>
    </row>
    <row r="199" spans="2:15" x14ac:dyDescent="0.45">
      <c r="B199" t="s">
        <v>79</v>
      </c>
      <c r="C199" t="s">
        <v>61</v>
      </c>
      <c r="D199">
        <v>2.4658670285450754E-2</v>
      </c>
      <c r="E199" t="s">
        <v>53</v>
      </c>
      <c r="G199" t="s">
        <v>109</v>
      </c>
      <c r="H199" t="s">
        <v>61</v>
      </c>
      <c r="I199">
        <v>5.3382674409773664E-2</v>
      </c>
      <c r="J199" t="s">
        <v>53</v>
      </c>
      <c r="L199" t="s">
        <v>137</v>
      </c>
      <c r="M199" t="s">
        <v>61</v>
      </c>
      <c r="N199">
        <v>5.2379956213826066E-2</v>
      </c>
      <c r="O199" t="s">
        <v>53</v>
      </c>
    </row>
    <row r="200" spans="2:15" x14ac:dyDescent="0.45">
      <c r="B200" t="s">
        <v>79</v>
      </c>
      <c r="C200" t="s">
        <v>62</v>
      </c>
      <c r="D200">
        <v>7.629116929681626E-3</v>
      </c>
      <c r="E200" t="s">
        <v>53</v>
      </c>
      <c r="G200" t="s">
        <v>109</v>
      </c>
      <c r="H200" t="s">
        <v>62</v>
      </c>
      <c r="I200">
        <v>9.08088865101251E-2</v>
      </c>
      <c r="J200" t="s">
        <v>53</v>
      </c>
      <c r="L200" t="s">
        <v>137</v>
      </c>
      <c r="M200" t="s">
        <v>62</v>
      </c>
      <c r="N200">
        <v>8.2268592918919317E-2</v>
      </c>
      <c r="O200" t="s">
        <v>53</v>
      </c>
    </row>
    <row r="201" spans="2:15" x14ac:dyDescent="0.45">
      <c r="B201" t="s">
        <v>79</v>
      </c>
      <c r="C201" t="s">
        <v>63</v>
      </c>
      <c r="D201">
        <v>0.18883905657711689</v>
      </c>
      <c r="E201" t="s">
        <v>53</v>
      </c>
      <c r="G201" t="s">
        <v>109</v>
      </c>
      <c r="H201" t="s">
        <v>63</v>
      </c>
      <c r="I201">
        <v>0.11109814664673563</v>
      </c>
      <c r="J201" t="s">
        <v>53</v>
      </c>
      <c r="L201" t="s">
        <v>137</v>
      </c>
      <c r="M201" t="s">
        <v>63</v>
      </c>
      <c r="N201">
        <v>0.10120527489961262</v>
      </c>
      <c r="O201" t="s">
        <v>53</v>
      </c>
    </row>
    <row r="202" spans="2:15" x14ac:dyDescent="0.45">
      <c r="B202" t="s">
        <v>79</v>
      </c>
      <c r="C202" t="s">
        <v>64</v>
      </c>
      <c r="D202">
        <v>3.0795621144965864E-3</v>
      </c>
      <c r="E202" t="s">
        <v>53</v>
      </c>
      <c r="G202" t="s">
        <v>109</v>
      </c>
      <c r="H202" t="s">
        <v>64</v>
      </c>
      <c r="I202">
        <v>7.3750282965348982E-2</v>
      </c>
      <c r="J202" t="s">
        <v>53</v>
      </c>
      <c r="L202" t="s">
        <v>137</v>
      </c>
      <c r="M202" t="s">
        <v>64</v>
      </c>
      <c r="N202">
        <v>6.0294770239337131E-2</v>
      </c>
      <c r="O202" t="s">
        <v>53</v>
      </c>
    </row>
    <row r="203" spans="2:15" x14ac:dyDescent="0.45">
      <c r="B203" t="s">
        <v>80</v>
      </c>
      <c r="C203" t="s">
        <v>52</v>
      </c>
      <c r="D203">
        <v>1.4536924809346733E-3</v>
      </c>
      <c r="E203" t="s">
        <v>53</v>
      </c>
      <c r="G203" t="s">
        <v>110</v>
      </c>
      <c r="H203" t="s">
        <v>52</v>
      </c>
      <c r="I203">
        <v>9.4121869434194358E-2</v>
      </c>
      <c r="J203" t="s">
        <v>53</v>
      </c>
      <c r="L203" t="s">
        <v>138</v>
      </c>
      <c r="M203" t="s">
        <v>52</v>
      </c>
      <c r="N203">
        <v>9.8274067396553491E-2</v>
      </c>
      <c r="O203" t="s">
        <v>53</v>
      </c>
    </row>
    <row r="204" spans="2:15" x14ac:dyDescent="0.45">
      <c r="B204" t="s">
        <v>80</v>
      </c>
      <c r="C204" t="s">
        <v>54</v>
      </c>
      <c r="D204">
        <v>0.15128688249473887</v>
      </c>
      <c r="E204" t="s">
        <v>53</v>
      </c>
      <c r="G204" t="s">
        <v>110</v>
      </c>
      <c r="H204" t="s">
        <v>54</v>
      </c>
      <c r="I204">
        <v>0.11575905464884743</v>
      </c>
      <c r="J204" t="s">
        <v>53</v>
      </c>
      <c r="L204" t="s">
        <v>138</v>
      </c>
      <c r="M204" t="s">
        <v>54</v>
      </c>
      <c r="N204">
        <v>0.12179791907678512</v>
      </c>
      <c r="O204" t="s">
        <v>53</v>
      </c>
    </row>
    <row r="205" spans="2:15" x14ac:dyDescent="0.45">
      <c r="B205" t="s">
        <v>80</v>
      </c>
      <c r="C205" t="s">
        <v>55</v>
      </c>
      <c r="D205">
        <v>0</v>
      </c>
      <c r="E205" t="s">
        <v>53</v>
      </c>
      <c r="G205" t="s">
        <v>110</v>
      </c>
      <c r="H205" t="s">
        <v>55</v>
      </c>
      <c r="I205">
        <v>7.2083616682423954E-2</v>
      </c>
      <c r="J205" t="s">
        <v>53</v>
      </c>
      <c r="L205" t="s">
        <v>138</v>
      </c>
      <c r="M205" t="s">
        <v>55</v>
      </c>
      <c r="N205">
        <v>7.3168362835973721E-2</v>
      </c>
      <c r="O205" t="s">
        <v>53</v>
      </c>
    </row>
    <row r="206" spans="2:15" x14ac:dyDescent="0.45">
      <c r="B206" t="s">
        <v>80</v>
      </c>
      <c r="C206" t="s">
        <v>56</v>
      </c>
      <c r="D206">
        <v>2.5234466116421227E-2</v>
      </c>
      <c r="E206" t="s">
        <v>53</v>
      </c>
      <c r="G206" t="s">
        <v>110</v>
      </c>
      <c r="H206" t="s">
        <v>56</v>
      </c>
      <c r="I206">
        <v>8.8183408646376207E-2</v>
      </c>
      <c r="J206" t="s">
        <v>53</v>
      </c>
      <c r="L206" t="s">
        <v>138</v>
      </c>
      <c r="M206" t="s">
        <v>56</v>
      </c>
      <c r="N206">
        <v>9.6184732372204207E-2</v>
      </c>
      <c r="O206" t="s">
        <v>53</v>
      </c>
    </row>
    <row r="207" spans="2:15" x14ac:dyDescent="0.45">
      <c r="B207" t="s">
        <v>80</v>
      </c>
      <c r="C207" t="s">
        <v>57</v>
      </c>
      <c r="D207">
        <v>0.24576553783367081</v>
      </c>
      <c r="E207" t="s">
        <v>53</v>
      </c>
      <c r="G207" t="s">
        <v>110</v>
      </c>
      <c r="H207" t="s">
        <v>57</v>
      </c>
      <c r="I207">
        <v>0.10913368160011971</v>
      </c>
      <c r="J207" t="s">
        <v>53</v>
      </c>
      <c r="L207" t="s">
        <v>138</v>
      </c>
      <c r="M207" t="s">
        <v>57</v>
      </c>
      <c r="N207">
        <v>0.11712620179363055</v>
      </c>
      <c r="O207" t="s">
        <v>53</v>
      </c>
    </row>
    <row r="208" spans="2:15" x14ac:dyDescent="0.45">
      <c r="B208" t="s">
        <v>80</v>
      </c>
      <c r="C208" t="s">
        <v>58</v>
      </c>
      <c r="D208">
        <v>8.1845572704147568E-3</v>
      </c>
      <c r="E208" t="s">
        <v>53</v>
      </c>
      <c r="G208" t="s">
        <v>110</v>
      </c>
      <c r="H208" t="s">
        <v>58</v>
      </c>
      <c r="I208">
        <v>6.8626709074855241E-2</v>
      </c>
      <c r="J208" t="s">
        <v>53</v>
      </c>
      <c r="L208" t="s">
        <v>138</v>
      </c>
      <c r="M208" t="s">
        <v>58</v>
      </c>
      <c r="N208">
        <v>6.9905855527434335E-2</v>
      </c>
      <c r="O208" t="s">
        <v>53</v>
      </c>
    </row>
    <row r="209" spans="2:15" x14ac:dyDescent="0.45">
      <c r="B209" t="s">
        <v>80</v>
      </c>
      <c r="C209" t="s">
        <v>59</v>
      </c>
      <c r="D209">
        <v>4.3415560888269318E-2</v>
      </c>
      <c r="E209" t="s">
        <v>53</v>
      </c>
      <c r="G209" t="s">
        <v>110</v>
      </c>
      <c r="H209" t="s">
        <v>59</v>
      </c>
      <c r="I209">
        <v>6.330517873050838E-2</v>
      </c>
      <c r="J209" t="s">
        <v>53</v>
      </c>
      <c r="L209" t="s">
        <v>138</v>
      </c>
      <c r="M209" t="s">
        <v>59</v>
      </c>
      <c r="N209">
        <v>6.3729898231728213E-2</v>
      </c>
      <c r="O209" t="s">
        <v>53</v>
      </c>
    </row>
    <row r="210" spans="2:15" x14ac:dyDescent="0.45">
      <c r="B210" t="s">
        <v>80</v>
      </c>
      <c r="C210" t="s">
        <v>60</v>
      </c>
      <c r="D210">
        <v>0.29809810506134599</v>
      </c>
      <c r="E210" t="s">
        <v>53</v>
      </c>
      <c r="G210" t="s">
        <v>110</v>
      </c>
      <c r="H210" t="s">
        <v>60</v>
      </c>
      <c r="I210">
        <v>7.8011809540423596E-2</v>
      </c>
      <c r="J210" t="s">
        <v>53</v>
      </c>
      <c r="L210" t="s">
        <v>138</v>
      </c>
      <c r="M210" t="s">
        <v>60</v>
      </c>
      <c r="N210">
        <v>7.6919393969691954E-2</v>
      </c>
      <c r="O210" t="s">
        <v>53</v>
      </c>
    </row>
    <row r="211" spans="2:15" x14ac:dyDescent="0.45">
      <c r="B211" t="s">
        <v>80</v>
      </c>
      <c r="C211" t="s">
        <v>61</v>
      </c>
      <c r="D211">
        <v>1.8597962310280342E-2</v>
      </c>
      <c r="E211" t="s">
        <v>53</v>
      </c>
      <c r="G211" t="s">
        <v>110</v>
      </c>
      <c r="H211" t="s">
        <v>61</v>
      </c>
      <c r="I211">
        <v>5.2517153971793538E-2</v>
      </c>
      <c r="J211" t="s">
        <v>53</v>
      </c>
      <c r="L211" t="s">
        <v>138</v>
      </c>
      <c r="M211" t="s">
        <v>61</v>
      </c>
      <c r="N211">
        <v>4.9891403629630009E-2</v>
      </c>
      <c r="O211" t="s">
        <v>53</v>
      </c>
    </row>
    <row r="212" spans="2:15" x14ac:dyDescent="0.45">
      <c r="B212" t="s">
        <v>80</v>
      </c>
      <c r="C212" t="s">
        <v>62</v>
      </c>
      <c r="D212">
        <v>1.3716754993880682E-2</v>
      </c>
      <c r="E212" t="s">
        <v>53</v>
      </c>
      <c r="G212" t="s">
        <v>110</v>
      </c>
      <c r="H212" t="s">
        <v>62</v>
      </c>
      <c r="I212">
        <v>8.635710937521987E-2</v>
      </c>
      <c r="J212" t="s">
        <v>53</v>
      </c>
      <c r="L212" t="s">
        <v>138</v>
      </c>
      <c r="M212" t="s">
        <v>62</v>
      </c>
      <c r="N212">
        <v>7.6200978587529042E-2</v>
      </c>
      <c r="O212" t="s">
        <v>53</v>
      </c>
    </row>
    <row r="213" spans="2:15" x14ac:dyDescent="0.45">
      <c r="B213" t="s">
        <v>80</v>
      </c>
      <c r="C213" t="s">
        <v>63</v>
      </c>
      <c r="D213">
        <v>0.19324528073776542</v>
      </c>
      <c r="E213" t="s">
        <v>53</v>
      </c>
      <c r="G213" t="s">
        <v>110</v>
      </c>
      <c r="H213" t="s">
        <v>63</v>
      </c>
      <c r="I213">
        <v>0.10692053523541661</v>
      </c>
      <c r="J213" t="s">
        <v>53</v>
      </c>
      <c r="L213" t="s">
        <v>138</v>
      </c>
      <c r="M213" t="s">
        <v>63</v>
      </c>
      <c r="N213">
        <v>9.8214035703521899E-2</v>
      </c>
      <c r="O213" t="s">
        <v>53</v>
      </c>
    </row>
    <row r="214" spans="2:15" x14ac:dyDescent="0.45">
      <c r="B214" t="s">
        <v>80</v>
      </c>
      <c r="C214" t="s">
        <v>64</v>
      </c>
      <c r="D214">
        <v>1.0011998122781043E-3</v>
      </c>
      <c r="E214" t="s">
        <v>53</v>
      </c>
      <c r="G214" t="s">
        <v>110</v>
      </c>
      <c r="H214" t="s">
        <v>64</v>
      </c>
      <c r="I214">
        <v>6.4979873059819268E-2</v>
      </c>
      <c r="J214" t="s">
        <v>53</v>
      </c>
      <c r="L214" t="s">
        <v>138</v>
      </c>
      <c r="M214" t="s">
        <v>64</v>
      </c>
      <c r="N214">
        <v>5.8587150875317746E-2</v>
      </c>
      <c r="O214" t="s">
        <v>53</v>
      </c>
    </row>
    <row r="215" spans="2:15" x14ac:dyDescent="0.45">
      <c r="B215" t="s">
        <v>81</v>
      </c>
      <c r="C215" t="s">
        <v>52</v>
      </c>
      <c r="D215">
        <v>4.7757696476948772E-4</v>
      </c>
      <c r="E215" t="s">
        <v>53</v>
      </c>
      <c r="G215" t="s">
        <v>111</v>
      </c>
      <c r="H215" t="s">
        <v>52</v>
      </c>
      <c r="I215">
        <v>9.9465239483976287E-2</v>
      </c>
      <c r="J215" t="s">
        <v>53</v>
      </c>
    </row>
    <row r="216" spans="2:15" x14ac:dyDescent="0.45">
      <c r="B216" t="s">
        <v>81</v>
      </c>
      <c r="C216" t="s">
        <v>54</v>
      </c>
      <c r="D216">
        <v>0.16946111512483486</v>
      </c>
      <c r="E216" t="s">
        <v>53</v>
      </c>
      <c r="G216" t="s">
        <v>111</v>
      </c>
      <c r="H216" t="s">
        <v>54</v>
      </c>
      <c r="I216">
        <v>0.11521614910071712</v>
      </c>
      <c r="J216" t="s">
        <v>53</v>
      </c>
    </row>
    <row r="217" spans="2:15" x14ac:dyDescent="0.45">
      <c r="B217" t="s">
        <v>81</v>
      </c>
      <c r="C217" t="s">
        <v>55</v>
      </c>
      <c r="D217">
        <v>0</v>
      </c>
      <c r="E217" t="s">
        <v>53</v>
      </c>
      <c r="G217" t="s">
        <v>111</v>
      </c>
      <c r="H217" t="s">
        <v>55</v>
      </c>
      <c r="I217">
        <v>7.5898550992524627E-2</v>
      </c>
      <c r="J217" t="s">
        <v>53</v>
      </c>
    </row>
    <row r="218" spans="2:15" x14ac:dyDescent="0.45">
      <c r="B218" t="s">
        <v>81</v>
      </c>
      <c r="C218" t="s">
        <v>56</v>
      </c>
      <c r="D218">
        <v>2.5231814400035264E-2</v>
      </c>
      <c r="E218" t="s">
        <v>53</v>
      </c>
      <c r="G218" t="s">
        <v>111</v>
      </c>
      <c r="H218" t="s">
        <v>56</v>
      </c>
      <c r="I218">
        <v>8.5535648362742578E-2</v>
      </c>
      <c r="J218" t="s">
        <v>53</v>
      </c>
    </row>
    <row r="219" spans="2:15" x14ac:dyDescent="0.45">
      <c r="B219" t="s">
        <v>81</v>
      </c>
      <c r="C219" t="s">
        <v>57</v>
      </c>
      <c r="D219">
        <v>0.24455847606937048</v>
      </c>
      <c r="E219" t="s">
        <v>53</v>
      </c>
      <c r="G219" t="s">
        <v>111</v>
      </c>
      <c r="H219" t="s">
        <v>57</v>
      </c>
      <c r="I219">
        <v>0.10389437568929841</v>
      </c>
      <c r="J219" t="s">
        <v>53</v>
      </c>
    </row>
    <row r="220" spans="2:15" x14ac:dyDescent="0.45">
      <c r="B220" t="s">
        <v>81</v>
      </c>
      <c r="C220" t="s">
        <v>58</v>
      </c>
      <c r="D220">
        <v>1.1069303722849469E-2</v>
      </c>
      <c r="E220" t="s">
        <v>53</v>
      </c>
      <c r="G220" t="s">
        <v>111</v>
      </c>
      <c r="H220" t="s">
        <v>58</v>
      </c>
      <c r="I220">
        <v>6.7266537108730748E-2</v>
      </c>
      <c r="J220" t="s">
        <v>53</v>
      </c>
    </row>
    <row r="221" spans="2:15" x14ac:dyDescent="0.45">
      <c r="B221" t="s">
        <v>81</v>
      </c>
      <c r="C221" t="s">
        <v>59</v>
      </c>
      <c r="D221">
        <v>4.1534560353099978E-2</v>
      </c>
      <c r="E221" t="s">
        <v>53</v>
      </c>
      <c r="G221" t="s">
        <v>111</v>
      </c>
      <c r="H221" t="s">
        <v>59</v>
      </c>
      <c r="I221">
        <v>6.0482613201282467E-2</v>
      </c>
      <c r="J221" t="s">
        <v>53</v>
      </c>
    </row>
    <row r="222" spans="2:15" x14ac:dyDescent="0.45">
      <c r="B222" t="s">
        <v>81</v>
      </c>
      <c r="C222" t="s">
        <v>60</v>
      </c>
      <c r="D222">
        <v>0.29145131517130424</v>
      </c>
      <c r="E222" t="s">
        <v>53</v>
      </c>
      <c r="G222" t="s">
        <v>111</v>
      </c>
      <c r="H222" t="s">
        <v>60</v>
      </c>
      <c r="I222">
        <v>6.9582039910501714E-2</v>
      </c>
      <c r="J222" t="s">
        <v>53</v>
      </c>
    </row>
    <row r="223" spans="2:15" x14ac:dyDescent="0.45">
      <c r="B223" t="s">
        <v>81</v>
      </c>
      <c r="C223" t="s">
        <v>61</v>
      </c>
      <c r="D223">
        <v>2.0997390185471986E-2</v>
      </c>
      <c r="E223" t="s">
        <v>53</v>
      </c>
      <c r="G223" t="s">
        <v>111</v>
      </c>
      <c r="H223" t="s">
        <v>61</v>
      </c>
      <c r="I223">
        <v>5.251052333145894E-2</v>
      </c>
      <c r="J223" t="s">
        <v>53</v>
      </c>
    </row>
    <row r="224" spans="2:15" x14ac:dyDescent="0.45">
      <c r="B224" t="s">
        <v>81</v>
      </c>
      <c r="C224" t="s">
        <v>62</v>
      </c>
      <c r="D224">
        <v>1.0865150855100645E-2</v>
      </c>
      <c r="E224" t="s">
        <v>53</v>
      </c>
      <c r="G224" t="s">
        <v>111</v>
      </c>
      <c r="H224" t="s">
        <v>62</v>
      </c>
      <c r="I224">
        <v>8.9266779084443346E-2</v>
      </c>
      <c r="J224" t="s">
        <v>53</v>
      </c>
    </row>
    <row r="225" spans="2:10" x14ac:dyDescent="0.45">
      <c r="B225" t="s">
        <v>81</v>
      </c>
      <c r="C225" t="s">
        <v>63</v>
      </c>
      <c r="D225">
        <v>0.18246664168933824</v>
      </c>
      <c r="E225" t="s">
        <v>53</v>
      </c>
      <c r="G225" t="s">
        <v>111</v>
      </c>
      <c r="H225" t="s">
        <v>63</v>
      </c>
      <c r="I225">
        <v>0.11096136506845464</v>
      </c>
      <c r="J225" t="s">
        <v>53</v>
      </c>
    </row>
    <row r="226" spans="2:10" x14ac:dyDescent="0.45">
      <c r="B226" t="s">
        <v>81</v>
      </c>
      <c r="C226" t="s">
        <v>64</v>
      </c>
      <c r="D226">
        <v>1.886655463826602E-3</v>
      </c>
      <c r="E226" t="s">
        <v>53</v>
      </c>
      <c r="G226" t="s">
        <v>111</v>
      </c>
      <c r="H226" t="s">
        <v>64</v>
      </c>
      <c r="I226">
        <v>6.9920178665873634E-2</v>
      </c>
      <c r="J226" t="s">
        <v>53</v>
      </c>
    </row>
    <row r="227" spans="2:10" x14ac:dyDescent="0.45">
      <c r="B227" t="s">
        <v>82</v>
      </c>
      <c r="C227" t="s">
        <v>52</v>
      </c>
      <c r="D227">
        <v>2.461957535847218E-4</v>
      </c>
      <c r="E227" t="s">
        <v>53</v>
      </c>
      <c r="G227" t="s">
        <v>112</v>
      </c>
      <c r="H227" t="s">
        <v>52</v>
      </c>
      <c r="I227">
        <v>0.11292596892357232</v>
      </c>
      <c r="J227" t="s">
        <v>53</v>
      </c>
    </row>
    <row r="228" spans="2:10" x14ac:dyDescent="0.45">
      <c r="B228" t="s">
        <v>82</v>
      </c>
      <c r="C228" t="s">
        <v>54</v>
      </c>
      <c r="D228">
        <v>0.14915736372485988</v>
      </c>
      <c r="E228" t="s">
        <v>53</v>
      </c>
      <c r="G228" t="s">
        <v>112</v>
      </c>
      <c r="H228" t="s">
        <v>54</v>
      </c>
      <c r="I228">
        <v>0.13014809137318148</v>
      </c>
      <c r="J228" t="s">
        <v>53</v>
      </c>
    </row>
    <row r="229" spans="2:10" x14ac:dyDescent="0.45">
      <c r="B229" t="s">
        <v>82</v>
      </c>
      <c r="C229" t="s">
        <v>55</v>
      </c>
      <c r="D229">
        <v>0</v>
      </c>
      <c r="E229" t="s">
        <v>53</v>
      </c>
      <c r="G229" t="s">
        <v>112</v>
      </c>
      <c r="H229" t="s">
        <v>55</v>
      </c>
      <c r="I229">
        <v>8.6995053535234595E-2</v>
      </c>
      <c r="J229" t="s">
        <v>53</v>
      </c>
    </row>
    <row r="230" spans="2:10" x14ac:dyDescent="0.45">
      <c r="B230" t="s">
        <v>82</v>
      </c>
      <c r="C230" t="s">
        <v>56</v>
      </c>
      <c r="D230">
        <v>2.0952605464894251E-2</v>
      </c>
      <c r="E230" t="s">
        <v>53</v>
      </c>
      <c r="G230" t="s">
        <v>112</v>
      </c>
      <c r="H230" t="s">
        <v>56</v>
      </c>
      <c r="I230">
        <v>8.2900994980982426E-2</v>
      </c>
      <c r="J230" t="s">
        <v>53</v>
      </c>
    </row>
    <row r="231" spans="2:10" x14ac:dyDescent="0.45">
      <c r="B231" t="s">
        <v>82</v>
      </c>
      <c r="C231" t="s">
        <v>57</v>
      </c>
      <c r="D231">
        <v>0.24320386465186722</v>
      </c>
      <c r="E231" t="s">
        <v>53</v>
      </c>
      <c r="G231" t="s">
        <v>112</v>
      </c>
      <c r="H231" t="s">
        <v>57</v>
      </c>
      <c r="I231">
        <v>8.8603060289275143E-2</v>
      </c>
      <c r="J231" t="s">
        <v>53</v>
      </c>
    </row>
    <row r="232" spans="2:10" x14ac:dyDescent="0.45">
      <c r="B232" t="s">
        <v>82</v>
      </c>
      <c r="C232" t="s">
        <v>58</v>
      </c>
      <c r="D232">
        <v>9.257155122072468E-3</v>
      </c>
      <c r="E232" t="s">
        <v>53</v>
      </c>
      <c r="G232" t="s">
        <v>112</v>
      </c>
      <c r="H232" t="s">
        <v>58</v>
      </c>
      <c r="I232">
        <v>6.1587028059381668E-2</v>
      </c>
      <c r="J232" t="s">
        <v>53</v>
      </c>
    </row>
    <row r="233" spans="2:10" x14ac:dyDescent="0.45">
      <c r="B233" t="s">
        <v>82</v>
      </c>
      <c r="C233" t="s">
        <v>59</v>
      </c>
      <c r="D233">
        <v>4.4661480008690753E-2</v>
      </c>
      <c r="E233" t="s">
        <v>53</v>
      </c>
      <c r="G233" t="s">
        <v>112</v>
      </c>
      <c r="H233" t="s">
        <v>59</v>
      </c>
      <c r="I233">
        <v>4.3443774267757009E-2</v>
      </c>
      <c r="J233" t="s">
        <v>53</v>
      </c>
    </row>
    <row r="234" spans="2:10" x14ac:dyDescent="0.45">
      <c r="B234" t="s">
        <v>82</v>
      </c>
      <c r="C234" t="s">
        <v>60</v>
      </c>
      <c r="D234">
        <v>0.32345359407342034</v>
      </c>
      <c r="E234" t="s">
        <v>53</v>
      </c>
      <c r="G234" t="s">
        <v>112</v>
      </c>
      <c r="H234" t="s">
        <v>60</v>
      </c>
      <c r="I234">
        <v>4.7180259676021401E-2</v>
      </c>
      <c r="J234" t="s">
        <v>53</v>
      </c>
    </row>
    <row r="235" spans="2:10" x14ac:dyDescent="0.45">
      <c r="B235" t="s">
        <v>82</v>
      </c>
      <c r="C235" t="s">
        <v>61</v>
      </c>
      <c r="D235">
        <v>2.3481227679107135E-2</v>
      </c>
      <c r="E235" t="s">
        <v>53</v>
      </c>
      <c r="G235" t="s">
        <v>112</v>
      </c>
      <c r="H235" t="s">
        <v>61</v>
      </c>
      <c r="I235">
        <v>4.3139205907021916E-2</v>
      </c>
      <c r="J235" t="s">
        <v>53</v>
      </c>
    </row>
    <row r="236" spans="2:10" x14ac:dyDescent="0.45">
      <c r="B236" t="s">
        <v>82</v>
      </c>
      <c r="C236" t="s">
        <v>62</v>
      </c>
      <c r="D236">
        <v>7.0772503224004815E-3</v>
      </c>
      <c r="E236" t="s">
        <v>53</v>
      </c>
      <c r="G236" t="s">
        <v>112</v>
      </c>
      <c r="H236" t="s">
        <v>62</v>
      </c>
      <c r="I236">
        <v>0.10845379026310713</v>
      </c>
      <c r="J236" t="s">
        <v>53</v>
      </c>
    </row>
    <row r="237" spans="2:10" x14ac:dyDescent="0.45">
      <c r="B237" t="s">
        <v>82</v>
      </c>
      <c r="C237" t="s">
        <v>63</v>
      </c>
      <c r="D237">
        <v>0.17674507944142209</v>
      </c>
      <c r="E237" t="s">
        <v>53</v>
      </c>
      <c r="G237" t="s">
        <v>112</v>
      </c>
      <c r="H237" t="s">
        <v>63</v>
      </c>
      <c r="I237">
        <v>0.11512822147602249</v>
      </c>
      <c r="J237" t="s">
        <v>53</v>
      </c>
    </row>
    <row r="238" spans="2:10" x14ac:dyDescent="0.45">
      <c r="B238" t="s">
        <v>82</v>
      </c>
      <c r="C238" t="s">
        <v>64</v>
      </c>
      <c r="D238">
        <v>1.7641837576820335E-3</v>
      </c>
      <c r="E238" t="s">
        <v>53</v>
      </c>
      <c r="G238" t="s">
        <v>112</v>
      </c>
      <c r="H238" t="s">
        <v>64</v>
      </c>
      <c r="I238">
        <v>7.9494551248443512E-2</v>
      </c>
      <c r="J238" t="s">
        <v>53</v>
      </c>
    </row>
    <row r="239" spans="2:10" x14ac:dyDescent="0.45">
      <c r="B239" t="s">
        <v>83</v>
      </c>
      <c r="C239" t="s">
        <v>52</v>
      </c>
      <c r="D239">
        <v>3.8542499201331669E-4</v>
      </c>
      <c r="E239" t="s">
        <v>53</v>
      </c>
      <c r="G239" t="s">
        <v>113</v>
      </c>
      <c r="H239" t="s">
        <v>52</v>
      </c>
      <c r="I239">
        <v>0.10623644356594437</v>
      </c>
      <c r="J239" t="s">
        <v>53</v>
      </c>
    </row>
    <row r="240" spans="2:10" x14ac:dyDescent="0.45">
      <c r="B240" t="s">
        <v>83</v>
      </c>
      <c r="C240" t="s">
        <v>54</v>
      </c>
      <c r="D240">
        <v>0.16321025579734594</v>
      </c>
      <c r="E240" t="s">
        <v>53</v>
      </c>
      <c r="G240" t="s">
        <v>113</v>
      </c>
      <c r="H240" t="s">
        <v>54</v>
      </c>
      <c r="I240">
        <v>0.11719330134820123</v>
      </c>
      <c r="J240" t="s">
        <v>53</v>
      </c>
    </row>
    <row r="241" spans="2:10" x14ac:dyDescent="0.45">
      <c r="B241" t="s">
        <v>83</v>
      </c>
      <c r="C241" t="s">
        <v>55</v>
      </c>
      <c r="D241">
        <v>0</v>
      </c>
      <c r="E241" t="s">
        <v>53</v>
      </c>
      <c r="G241" t="s">
        <v>113</v>
      </c>
      <c r="H241" t="s">
        <v>55</v>
      </c>
      <c r="I241">
        <v>8.0532748300051374E-2</v>
      </c>
      <c r="J241" t="s">
        <v>53</v>
      </c>
    </row>
    <row r="242" spans="2:10" x14ac:dyDescent="0.45">
      <c r="B242" t="s">
        <v>83</v>
      </c>
      <c r="C242" t="s">
        <v>56</v>
      </c>
      <c r="D242">
        <v>1.9558080867549472E-2</v>
      </c>
      <c r="E242" t="s">
        <v>53</v>
      </c>
      <c r="G242" t="s">
        <v>113</v>
      </c>
      <c r="H242" t="s">
        <v>56</v>
      </c>
      <c r="I242">
        <v>9.0251702663254454E-2</v>
      </c>
      <c r="J242" t="s">
        <v>53</v>
      </c>
    </row>
    <row r="243" spans="2:10" x14ac:dyDescent="0.45">
      <c r="B243" t="s">
        <v>83</v>
      </c>
      <c r="C243" t="s">
        <v>57</v>
      </c>
      <c r="D243">
        <v>0.24791374126029692</v>
      </c>
      <c r="E243" t="s">
        <v>53</v>
      </c>
      <c r="G243" t="s">
        <v>113</v>
      </c>
      <c r="H243" t="s">
        <v>57</v>
      </c>
      <c r="I243">
        <v>9.1446827758607879E-2</v>
      </c>
      <c r="J243" t="s">
        <v>53</v>
      </c>
    </row>
    <row r="244" spans="2:10" x14ac:dyDescent="0.45">
      <c r="B244" t="s">
        <v>83</v>
      </c>
      <c r="C244" t="s">
        <v>58</v>
      </c>
      <c r="D244">
        <v>9.8295672761642607E-3</v>
      </c>
      <c r="E244" t="s">
        <v>53</v>
      </c>
      <c r="G244" t="s">
        <v>113</v>
      </c>
      <c r="H244" t="s">
        <v>58</v>
      </c>
      <c r="I244">
        <v>6.5219860330291368E-2</v>
      </c>
      <c r="J244" t="s">
        <v>53</v>
      </c>
    </row>
    <row r="245" spans="2:10" x14ac:dyDescent="0.45">
      <c r="B245" t="s">
        <v>83</v>
      </c>
      <c r="C245" t="s">
        <v>59</v>
      </c>
      <c r="D245">
        <v>4.0324199714632102E-2</v>
      </c>
      <c r="E245" t="s">
        <v>53</v>
      </c>
      <c r="G245" t="s">
        <v>113</v>
      </c>
      <c r="H245" t="s">
        <v>59</v>
      </c>
      <c r="I245">
        <v>5.8971906410186195E-2</v>
      </c>
      <c r="J245" t="s">
        <v>53</v>
      </c>
    </row>
    <row r="246" spans="2:10" x14ac:dyDescent="0.45">
      <c r="B246" t="s">
        <v>83</v>
      </c>
      <c r="C246" t="s">
        <v>60</v>
      </c>
      <c r="D246">
        <v>0.30467306115195253</v>
      </c>
      <c r="E246" t="s">
        <v>53</v>
      </c>
      <c r="G246" t="s">
        <v>113</v>
      </c>
      <c r="H246" t="s">
        <v>60</v>
      </c>
      <c r="I246">
        <v>5.3168533232692779E-2</v>
      </c>
      <c r="J246" t="s">
        <v>53</v>
      </c>
    </row>
    <row r="247" spans="2:10" x14ac:dyDescent="0.45">
      <c r="B247" t="s">
        <v>83</v>
      </c>
      <c r="C247" t="s">
        <v>61</v>
      </c>
      <c r="D247">
        <v>2.2459694292563302E-2</v>
      </c>
      <c r="E247" t="s">
        <v>53</v>
      </c>
      <c r="G247" t="s">
        <v>113</v>
      </c>
      <c r="H247" t="s">
        <v>61</v>
      </c>
      <c r="I247">
        <v>4.7104005889294469E-2</v>
      </c>
      <c r="J247" t="s">
        <v>53</v>
      </c>
    </row>
    <row r="248" spans="2:10" x14ac:dyDescent="0.45">
      <c r="B248" t="s">
        <v>83</v>
      </c>
      <c r="C248" t="s">
        <v>62</v>
      </c>
      <c r="D248">
        <v>7.7696100958115971E-3</v>
      </c>
      <c r="E248" t="s">
        <v>53</v>
      </c>
      <c r="G248" t="s">
        <v>113</v>
      </c>
      <c r="H248" t="s">
        <v>62</v>
      </c>
      <c r="I248">
        <v>0.10043141689556043</v>
      </c>
      <c r="J248" t="s">
        <v>53</v>
      </c>
    </row>
    <row r="249" spans="2:10" x14ac:dyDescent="0.45">
      <c r="B249" t="s">
        <v>83</v>
      </c>
      <c r="C249" t="s">
        <v>63</v>
      </c>
      <c r="D249">
        <v>0.18219174723141943</v>
      </c>
      <c r="E249" t="s">
        <v>53</v>
      </c>
      <c r="G249" t="s">
        <v>113</v>
      </c>
      <c r="H249" t="s">
        <v>63</v>
      </c>
      <c r="I249">
        <v>0.10896286673340036</v>
      </c>
      <c r="J249" t="s">
        <v>53</v>
      </c>
    </row>
    <row r="250" spans="2:10" x14ac:dyDescent="0.45">
      <c r="B250" t="s">
        <v>83</v>
      </c>
      <c r="C250" t="s">
        <v>64</v>
      </c>
      <c r="D250">
        <v>1.6846173202511004E-3</v>
      </c>
      <c r="E250" t="s">
        <v>53</v>
      </c>
      <c r="G250" t="s">
        <v>113</v>
      </c>
      <c r="H250" t="s">
        <v>64</v>
      </c>
      <c r="I250">
        <v>8.0480386872514284E-2</v>
      </c>
      <c r="J250" t="s">
        <v>53</v>
      </c>
    </row>
    <row r="251" spans="2:10" x14ac:dyDescent="0.45">
      <c r="B251" t="s">
        <v>84</v>
      </c>
      <c r="C251" t="s">
        <v>52</v>
      </c>
      <c r="D251">
        <v>0</v>
      </c>
      <c r="E251" t="s">
        <v>53</v>
      </c>
      <c r="G251" t="s">
        <v>114</v>
      </c>
      <c r="H251" t="s">
        <v>52</v>
      </c>
      <c r="I251">
        <v>0.10036369111148258</v>
      </c>
      <c r="J251" t="s">
        <v>53</v>
      </c>
    </row>
    <row r="252" spans="2:10" x14ac:dyDescent="0.45">
      <c r="B252" t="s">
        <v>84</v>
      </c>
      <c r="C252" t="s">
        <v>54</v>
      </c>
      <c r="D252">
        <v>0.14647661389108033</v>
      </c>
      <c r="E252" t="s">
        <v>53</v>
      </c>
      <c r="G252" t="s">
        <v>114</v>
      </c>
      <c r="H252" t="s">
        <v>54</v>
      </c>
      <c r="I252">
        <v>0.12792549848787915</v>
      </c>
      <c r="J252" t="s">
        <v>53</v>
      </c>
    </row>
    <row r="253" spans="2:10" x14ac:dyDescent="0.45">
      <c r="B253" t="s">
        <v>84</v>
      </c>
      <c r="C253" t="s">
        <v>55</v>
      </c>
      <c r="D253">
        <v>1.2124215547834597E-4</v>
      </c>
      <c r="E253" t="s">
        <v>53</v>
      </c>
      <c r="G253" t="s">
        <v>114</v>
      </c>
      <c r="H253" t="s">
        <v>55</v>
      </c>
      <c r="I253">
        <v>8.8502747893888623E-2</v>
      </c>
      <c r="J253" t="s">
        <v>53</v>
      </c>
    </row>
    <row r="254" spans="2:10" x14ac:dyDescent="0.45">
      <c r="B254" t="s">
        <v>84</v>
      </c>
      <c r="C254" t="s">
        <v>56</v>
      </c>
      <c r="D254">
        <v>1.8088302098389204E-2</v>
      </c>
      <c r="E254" t="s">
        <v>53</v>
      </c>
      <c r="G254" t="s">
        <v>114</v>
      </c>
      <c r="H254" t="s">
        <v>56</v>
      </c>
      <c r="I254">
        <v>6.8350318202658453E-2</v>
      </c>
      <c r="J254" t="s">
        <v>53</v>
      </c>
    </row>
    <row r="255" spans="2:10" x14ac:dyDescent="0.45">
      <c r="B255" t="s">
        <v>84</v>
      </c>
      <c r="C255" t="s">
        <v>57</v>
      </c>
      <c r="D255">
        <v>0.24918834148745622</v>
      </c>
      <c r="E255" t="s">
        <v>53</v>
      </c>
      <c r="G255" t="s">
        <v>114</v>
      </c>
      <c r="H255" t="s">
        <v>57</v>
      </c>
      <c r="I255">
        <v>9.0436777706267082E-2</v>
      </c>
      <c r="J255" t="s">
        <v>53</v>
      </c>
    </row>
    <row r="256" spans="2:10" x14ac:dyDescent="0.45">
      <c r="B256" t="s">
        <v>84</v>
      </c>
      <c r="C256" t="s">
        <v>58</v>
      </c>
      <c r="D256">
        <v>1.507454478807093E-2</v>
      </c>
      <c r="E256" t="s">
        <v>53</v>
      </c>
      <c r="G256" t="s">
        <v>114</v>
      </c>
      <c r="H256" t="s">
        <v>58</v>
      </c>
      <c r="I256">
        <v>5.5798111190422342E-2</v>
      </c>
      <c r="J256" t="s">
        <v>53</v>
      </c>
    </row>
    <row r="257" spans="2:10" x14ac:dyDescent="0.45">
      <c r="B257" t="s">
        <v>84</v>
      </c>
      <c r="C257" t="s">
        <v>59</v>
      </c>
      <c r="D257">
        <v>3.6734032113962402E-2</v>
      </c>
      <c r="E257" t="s">
        <v>53</v>
      </c>
      <c r="G257" t="s">
        <v>114</v>
      </c>
      <c r="H257" t="s">
        <v>59</v>
      </c>
      <c r="I257">
        <v>3.751956113395543E-2</v>
      </c>
      <c r="J257" t="s">
        <v>53</v>
      </c>
    </row>
    <row r="258" spans="2:10" x14ac:dyDescent="0.45">
      <c r="B258" t="s">
        <v>84</v>
      </c>
      <c r="C258" t="s">
        <v>60</v>
      </c>
      <c r="D258">
        <v>0.32135355033249702</v>
      </c>
      <c r="E258" t="s">
        <v>53</v>
      </c>
      <c r="G258" t="s">
        <v>114</v>
      </c>
      <c r="H258" t="s">
        <v>60</v>
      </c>
      <c r="I258">
        <v>5.6609038277342857E-2</v>
      </c>
      <c r="J258" t="s">
        <v>53</v>
      </c>
    </row>
    <row r="259" spans="2:10" x14ac:dyDescent="0.45">
      <c r="B259" t="s">
        <v>84</v>
      </c>
      <c r="C259" t="s">
        <v>61</v>
      </c>
      <c r="D259">
        <v>2.7992745014335789E-2</v>
      </c>
      <c r="E259" t="s">
        <v>53</v>
      </c>
      <c r="G259" t="s">
        <v>114</v>
      </c>
      <c r="H259" t="s">
        <v>61</v>
      </c>
      <c r="I259">
        <v>3.9712119270021419E-2</v>
      </c>
      <c r="J259" t="s">
        <v>53</v>
      </c>
    </row>
    <row r="260" spans="2:10" x14ac:dyDescent="0.45">
      <c r="B260" t="s">
        <v>84</v>
      </c>
      <c r="C260" t="s">
        <v>62</v>
      </c>
      <c r="D260">
        <v>6.0346105628340911E-3</v>
      </c>
      <c r="E260" t="s">
        <v>53</v>
      </c>
      <c r="G260" t="s">
        <v>114</v>
      </c>
      <c r="H260" t="s">
        <v>62</v>
      </c>
      <c r="I260">
        <v>0.1122344973741676</v>
      </c>
      <c r="J260" t="s">
        <v>53</v>
      </c>
    </row>
    <row r="261" spans="2:10" x14ac:dyDescent="0.45">
      <c r="B261" t="s">
        <v>84</v>
      </c>
      <c r="C261" t="s">
        <v>63</v>
      </c>
      <c r="D261">
        <v>0.17597172283768622</v>
      </c>
      <c r="E261" t="s">
        <v>53</v>
      </c>
      <c r="G261" t="s">
        <v>114</v>
      </c>
      <c r="H261" t="s">
        <v>63</v>
      </c>
      <c r="I261">
        <v>0.14229173794584968</v>
      </c>
      <c r="J261" t="s">
        <v>53</v>
      </c>
    </row>
    <row r="262" spans="2:10" x14ac:dyDescent="0.45">
      <c r="B262" t="s">
        <v>84</v>
      </c>
      <c r="C262" t="s">
        <v>64</v>
      </c>
      <c r="D262">
        <v>2.9642947182066315E-3</v>
      </c>
      <c r="E262" t="s">
        <v>53</v>
      </c>
      <c r="G262" t="s">
        <v>114</v>
      </c>
      <c r="H262" t="s">
        <v>64</v>
      </c>
      <c r="I262">
        <v>8.0255901406067587E-2</v>
      </c>
      <c r="J262" t="s">
        <v>53</v>
      </c>
    </row>
    <row r="263" spans="2:10" x14ac:dyDescent="0.45">
      <c r="B263" t="s">
        <v>85</v>
      </c>
      <c r="C263" t="s">
        <v>52</v>
      </c>
      <c r="D263">
        <v>0</v>
      </c>
      <c r="E263" t="s">
        <v>53</v>
      </c>
      <c r="G263" t="s">
        <v>115</v>
      </c>
      <c r="H263" t="s">
        <v>52</v>
      </c>
      <c r="I263">
        <v>0.10881615735189121</v>
      </c>
      <c r="J263" t="s">
        <v>53</v>
      </c>
    </row>
    <row r="264" spans="2:10" x14ac:dyDescent="0.45">
      <c r="B264" t="s">
        <v>85</v>
      </c>
      <c r="C264" t="s">
        <v>54</v>
      </c>
      <c r="D264">
        <v>0.12598244750773629</v>
      </c>
      <c r="E264" t="s">
        <v>53</v>
      </c>
      <c r="G264" t="s">
        <v>115</v>
      </c>
      <c r="H264" t="s">
        <v>54</v>
      </c>
      <c r="I264">
        <v>0.11983584180396167</v>
      </c>
      <c r="J264" t="s">
        <v>53</v>
      </c>
    </row>
    <row r="265" spans="2:10" x14ac:dyDescent="0.45">
      <c r="B265" t="s">
        <v>85</v>
      </c>
      <c r="C265" t="s">
        <v>55</v>
      </c>
      <c r="D265">
        <v>0</v>
      </c>
      <c r="E265" t="s">
        <v>53</v>
      </c>
      <c r="G265" t="s">
        <v>115</v>
      </c>
      <c r="H265" t="s">
        <v>55</v>
      </c>
      <c r="I265">
        <v>8.9251598267950774E-2</v>
      </c>
      <c r="J265" t="s">
        <v>53</v>
      </c>
    </row>
    <row r="266" spans="2:10" x14ac:dyDescent="0.45">
      <c r="B266" t="s">
        <v>85</v>
      </c>
      <c r="C266" t="s">
        <v>56</v>
      </c>
      <c r="D266">
        <v>1.8891798947563876E-2</v>
      </c>
      <c r="E266" t="s">
        <v>53</v>
      </c>
      <c r="G266" t="s">
        <v>115</v>
      </c>
      <c r="H266" t="s">
        <v>56</v>
      </c>
      <c r="I266">
        <v>7.1128288564894296E-2</v>
      </c>
      <c r="J266" t="s">
        <v>53</v>
      </c>
    </row>
    <row r="267" spans="2:10" x14ac:dyDescent="0.45">
      <c r="B267" t="s">
        <v>85</v>
      </c>
      <c r="C267" t="s">
        <v>57</v>
      </c>
      <c r="D267">
        <v>0.25320710378539052</v>
      </c>
      <c r="E267" t="s">
        <v>53</v>
      </c>
      <c r="G267" t="s">
        <v>115</v>
      </c>
      <c r="H267" t="s">
        <v>57</v>
      </c>
      <c r="I267">
        <v>8.2986929547609417E-2</v>
      </c>
      <c r="J267" t="s">
        <v>53</v>
      </c>
    </row>
    <row r="268" spans="2:10" x14ac:dyDescent="0.45">
      <c r="B268" t="s">
        <v>85</v>
      </c>
      <c r="C268" t="s">
        <v>58</v>
      </c>
      <c r="D268">
        <v>1.273475846501807E-2</v>
      </c>
      <c r="E268" t="s">
        <v>53</v>
      </c>
      <c r="G268" t="s">
        <v>115</v>
      </c>
      <c r="H268" t="s">
        <v>58</v>
      </c>
      <c r="I268">
        <v>5.7673075091092985E-2</v>
      </c>
      <c r="J268" t="s">
        <v>53</v>
      </c>
    </row>
    <row r="269" spans="2:10" x14ac:dyDescent="0.45">
      <c r="B269" t="s">
        <v>85</v>
      </c>
      <c r="C269" t="s">
        <v>59</v>
      </c>
      <c r="D269">
        <v>4.1915884911366233E-2</v>
      </c>
      <c r="E269" t="s">
        <v>53</v>
      </c>
      <c r="G269" t="s">
        <v>115</v>
      </c>
      <c r="H269" t="s">
        <v>59</v>
      </c>
      <c r="I269">
        <v>4.5107484709025432E-2</v>
      </c>
      <c r="J269" t="s">
        <v>53</v>
      </c>
    </row>
    <row r="270" spans="2:10" x14ac:dyDescent="0.45">
      <c r="B270" t="s">
        <v>85</v>
      </c>
      <c r="C270" t="s">
        <v>60</v>
      </c>
      <c r="D270">
        <v>0.33571701687420036</v>
      </c>
      <c r="E270" t="s">
        <v>53</v>
      </c>
      <c r="G270" t="s">
        <v>115</v>
      </c>
      <c r="H270" t="s">
        <v>60</v>
      </c>
      <c r="I270">
        <v>5.1770332318257645E-2</v>
      </c>
      <c r="J270" t="s">
        <v>53</v>
      </c>
    </row>
    <row r="271" spans="2:10" x14ac:dyDescent="0.45">
      <c r="B271" t="s">
        <v>85</v>
      </c>
      <c r="C271" t="s">
        <v>61</v>
      </c>
      <c r="D271">
        <v>2.9463384058073028E-2</v>
      </c>
      <c r="E271" t="s">
        <v>53</v>
      </c>
      <c r="G271" t="s">
        <v>115</v>
      </c>
      <c r="H271" t="s">
        <v>61</v>
      </c>
      <c r="I271">
        <v>3.9997774714884457E-2</v>
      </c>
      <c r="J271" t="s">
        <v>53</v>
      </c>
    </row>
    <row r="272" spans="2:10" x14ac:dyDescent="0.45">
      <c r="B272" t="s">
        <v>85</v>
      </c>
      <c r="C272" t="s">
        <v>62</v>
      </c>
      <c r="D272">
        <v>6.1194872471559162E-3</v>
      </c>
      <c r="E272" t="s">
        <v>53</v>
      </c>
      <c r="G272" t="s">
        <v>115</v>
      </c>
      <c r="H272" t="s">
        <v>62</v>
      </c>
      <c r="I272">
        <v>0.1141370145297728</v>
      </c>
      <c r="J272" t="s">
        <v>53</v>
      </c>
    </row>
    <row r="273" spans="2:10" x14ac:dyDescent="0.45">
      <c r="B273" t="s">
        <v>85</v>
      </c>
      <c r="C273" t="s">
        <v>63</v>
      </c>
      <c r="D273">
        <v>0.1733337726665323</v>
      </c>
      <c r="E273" t="s">
        <v>53</v>
      </c>
      <c r="G273" t="s">
        <v>115</v>
      </c>
      <c r="H273" t="s">
        <v>63</v>
      </c>
      <c r="I273">
        <v>0.13373520138686887</v>
      </c>
      <c r="J273" t="s">
        <v>53</v>
      </c>
    </row>
    <row r="274" spans="2:10" x14ac:dyDescent="0.45">
      <c r="B274" t="s">
        <v>85</v>
      </c>
      <c r="C274" t="s">
        <v>64</v>
      </c>
      <c r="D274">
        <v>2.6343455369616598E-3</v>
      </c>
      <c r="E274" t="s">
        <v>53</v>
      </c>
      <c r="G274" t="s">
        <v>115</v>
      </c>
      <c r="H274" t="s">
        <v>64</v>
      </c>
      <c r="I274">
        <v>8.5560301713788256E-2</v>
      </c>
      <c r="J274" t="s">
        <v>53</v>
      </c>
    </row>
    <row r="275" spans="2:10" x14ac:dyDescent="0.45">
      <c r="B275" t="s">
        <v>86</v>
      </c>
      <c r="C275" t="s">
        <v>52</v>
      </c>
      <c r="D275">
        <v>0</v>
      </c>
      <c r="E275" t="s">
        <v>53</v>
      </c>
      <c r="G275" t="s">
        <v>116</v>
      </c>
      <c r="H275" t="s">
        <v>52</v>
      </c>
      <c r="I275">
        <v>0.10143003828753636</v>
      </c>
      <c r="J275" t="s">
        <v>53</v>
      </c>
    </row>
    <row r="276" spans="2:10" x14ac:dyDescent="0.45">
      <c r="B276" t="s">
        <v>86</v>
      </c>
      <c r="C276" t="s">
        <v>54</v>
      </c>
      <c r="D276">
        <v>0.13518337845507236</v>
      </c>
      <c r="E276" t="s">
        <v>53</v>
      </c>
      <c r="G276" t="s">
        <v>116</v>
      </c>
      <c r="H276" t="s">
        <v>54</v>
      </c>
      <c r="I276">
        <v>0.11491243568595634</v>
      </c>
      <c r="J276" t="s">
        <v>53</v>
      </c>
    </row>
    <row r="277" spans="2:10" x14ac:dyDescent="0.45">
      <c r="B277" t="s">
        <v>86</v>
      </c>
      <c r="C277" t="s">
        <v>55</v>
      </c>
      <c r="D277">
        <v>0</v>
      </c>
      <c r="E277" t="s">
        <v>53</v>
      </c>
      <c r="G277" t="s">
        <v>116</v>
      </c>
      <c r="H277" t="s">
        <v>55</v>
      </c>
      <c r="I277">
        <v>8.0980688953499358E-2</v>
      </c>
      <c r="J277" t="s">
        <v>53</v>
      </c>
    </row>
    <row r="278" spans="2:10" x14ac:dyDescent="0.45">
      <c r="B278" t="s">
        <v>86</v>
      </c>
      <c r="C278" t="s">
        <v>56</v>
      </c>
      <c r="D278">
        <v>2.0844378615033975E-2</v>
      </c>
      <c r="E278" t="s">
        <v>53</v>
      </c>
      <c r="G278" t="s">
        <v>116</v>
      </c>
      <c r="H278" t="s">
        <v>56</v>
      </c>
      <c r="I278">
        <v>8.0055758720994089E-2</v>
      </c>
      <c r="J278" t="s">
        <v>53</v>
      </c>
    </row>
    <row r="279" spans="2:10" x14ac:dyDescent="0.45">
      <c r="B279" t="s">
        <v>86</v>
      </c>
      <c r="C279" t="s">
        <v>57</v>
      </c>
      <c r="D279">
        <v>0.24468425359384452</v>
      </c>
      <c r="E279" t="s">
        <v>53</v>
      </c>
      <c r="G279" t="s">
        <v>116</v>
      </c>
      <c r="H279" t="s">
        <v>57</v>
      </c>
      <c r="I279">
        <v>8.0009903343263938E-2</v>
      </c>
      <c r="J279" t="s">
        <v>53</v>
      </c>
    </row>
    <row r="280" spans="2:10" x14ac:dyDescent="0.45">
      <c r="B280" t="s">
        <v>86</v>
      </c>
      <c r="C280" t="s">
        <v>58</v>
      </c>
      <c r="D280">
        <v>1.0720021395587051E-2</v>
      </c>
      <c r="E280" t="s">
        <v>53</v>
      </c>
      <c r="G280" t="s">
        <v>116</v>
      </c>
      <c r="H280" t="s">
        <v>58</v>
      </c>
      <c r="I280">
        <v>6.2895808943813636E-2</v>
      </c>
      <c r="J280" t="s">
        <v>53</v>
      </c>
    </row>
    <row r="281" spans="2:10" x14ac:dyDescent="0.45">
      <c r="B281" t="s">
        <v>86</v>
      </c>
      <c r="C281" t="s">
        <v>59</v>
      </c>
      <c r="D281">
        <v>4.51693353461083E-2</v>
      </c>
      <c r="E281" t="s">
        <v>53</v>
      </c>
      <c r="G281" t="s">
        <v>116</v>
      </c>
      <c r="H281" t="s">
        <v>59</v>
      </c>
      <c r="I281">
        <v>5.3875038279254717E-2</v>
      </c>
      <c r="J281" t="s">
        <v>53</v>
      </c>
    </row>
    <row r="282" spans="2:10" x14ac:dyDescent="0.45">
      <c r="B282" t="s">
        <v>86</v>
      </c>
      <c r="C282" t="s">
        <v>60</v>
      </c>
      <c r="D282">
        <v>0.33317972943350804</v>
      </c>
      <c r="E282" t="s">
        <v>53</v>
      </c>
      <c r="G282" t="s">
        <v>116</v>
      </c>
      <c r="H282" t="s">
        <v>60</v>
      </c>
      <c r="I282">
        <v>5.4815606975516941E-2</v>
      </c>
      <c r="J282" t="s">
        <v>53</v>
      </c>
    </row>
    <row r="283" spans="2:10" x14ac:dyDescent="0.45">
      <c r="B283" t="s">
        <v>86</v>
      </c>
      <c r="C283" t="s">
        <v>61</v>
      </c>
      <c r="D283">
        <v>2.6297858214865466E-2</v>
      </c>
      <c r="E283" t="s">
        <v>53</v>
      </c>
      <c r="G283" t="s">
        <v>116</v>
      </c>
      <c r="H283" t="s">
        <v>61</v>
      </c>
      <c r="I283">
        <v>4.7608884567912527E-2</v>
      </c>
      <c r="J283" t="s">
        <v>53</v>
      </c>
    </row>
    <row r="284" spans="2:10" x14ac:dyDescent="0.45">
      <c r="B284" t="s">
        <v>86</v>
      </c>
      <c r="C284" t="s">
        <v>62</v>
      </c>
      <c r="D284">
        <v>6.9560870686401731E-3</v>
      </c>
      <c r="E284" t="s">
        <v>53</v>
      </c>
      <c r="G284" t="s">
        <v>116</v>
      </c>
      <c r="H284" t="s">
        <v>62</v>
      </c>
      <c r="I284">
        <v>0.11126283334443857</v>
      </c>
      <c r="J284" t="s">
        <v>53</v>
      </c>
    </row>
    <row r="285" spans="2:10" x14ac:dyDescent="0.45">
      <c r="B285" t="s">
        <v>86</v>
      </c>
      <c r="C285" t="s">
        <v>63</v>
      </c>
      <c r="D285">
        <v>0.1746896196839125</v>
      </c>
      <c r="E285" t="s">
        <v>53</v>
      </c>
      <c r="G285" t="s">
        <v>116</v>
      </c>
      <c r="H285" t="s">
        <v>63</v>
      </c>
      <c r="I285">
        <v>0.12460175282671196</v>
      </c>
      <c r="J285" t="s">
        <v>53</v>
      </c>
    </row>
    <row r="286" spans="2:10" x14ac:dyDescent="0.45">
      <c r="B286" t="s">
        <v>86</v>
      </c>
      <c r="C286" t="s">
        <v>64</v>
      </c>
      <c r="D286">
        <v>2.2753381934290471E-3</v>
      </c>
      <c r="E286" t="s">
        <v>53</v>
      </c>
      <c r="G286" t="s">
        <v>116</v>
      </c>
      <c r="H286" t="s">
        <v>64</v>
      </c>
      <c r="I286">
        <v>8.7551250071104481E-2</v>
      </c>
      <c r="J286" t="s">
        <v>53</v>
      </c>
    </row>
    <row r="287" spans="2:10" x14ac:dyDescent="0.45">
      <c r="B287" t="s">
        <v>87</v>
      </c>
      <c r="C287" t="s">
        <v>52</v>
      </c>
      <c r="D287">
        <v>2.2388414475481508E-6</v>
      </c>
      <c r="E287" t="s">
        <v>53</v>
      </c>
      <c r="G287" t="s">
        <v>117</v>
      </c>
      <c r="H287" t="s">
        <v>52</v>
      </c>
      <c r="I287">
        <v>0.10477821405539024</v>
      </c>
      <c r="J287" t="s">
        <v>53</v>
      </c>
    </row>
    <row r="288" spans="2:10" x14ac:dyDescent="0.45">
      <c r="B288" t="s">
        <v>87</v>
      </c>
      <c r="C288" t="s">
        <v>54</v>
      </c>
      <c r="D288">
        <v>0.14766464735276355</v>
      </c>
      <c r="E288" t="s">
        <v>53</v>
      </c>
      <c r="G288" t="s">
        <v>117</v>
      </c>
      <c r="H288" t="s">
        <v>54</v>
      </c>
      <c r="I288">
        <v>0.12586349699576427</v>
      </c>
      <c r="J288" t="s">
        <v>53</v>
      </c>
    </row>
    <row r="289" spans="2:10" x14ac:dyDescent="0.45">
      <c r="B289" t="s">
        <v>87</v>
      </c>
      <c r="C289" t="s">
        <v>55</v>
      </c>
      <c r="D289">
        <v>0</v>
      </c>
      <c r="E289" t="s">
        <v>53</v>
      </c>
      <c r="G289" t="s">
        <v>117</v>
      </c>
      <c r="H289" t="s">
        <v>55</v>
      </c>
      <c r="I289">
        <v>7.9652449154516011E-2</v>
      </c>
      <c r="J289" t="s">
        <v>53</v>
      </c>
    </row>
    <row r="290" spans="2:10" x14ac:dyDescent="0.45">
      <c r="B290" t="s">
        <v>87</v>
      </c>
      <c r="C290" t="s">
        <v>56</v>
      </c>
      <c r="D290">
        <v>1.8592069499740484E-2</v>
      </c>
      <c r="E290" t="s">
        <v>53</v>
      </c>
      <c r="G290" t="s">
        <v>117</v>
      </c>
      <c r="H290" t="s">
        <v>56</v>
      </c>
      <c r="I290">
        <v>7.9883175363246309E-2</v>
      </c>
      <c r="J290" t="s">
        <v>53</v>
      </c>
    </row>
    <row r="291" spans="2:10" x14ac:dyDescent="0.45">
      <c r="B291" t="s">
        <v>87</v>
      </c>
      <c r="C291" t="s">
        <v>57</v>
      </c>
      <c r="D291">
        <v>0.24478449614888748</v>
      </c>
      <c r="E291" t="s">
        <v>53</v>
      </c>
      <c r="G291" t="s">
        <v>117</v>
      </c>
      <c r="H291" t="s">
        <v>57</v>
      </c>
      <c r="I291">
        <v>9.137641598638116E-2</v>
      </c>
      <c r="J291" t="s">
        <v>53</v>
      </c>
    </row>
    <row r="292" spans="2:10" x14ac:dyDescent="0.45">
      <c r="B292" t="s">
        <v>87</v>
      </c>
      <c r="C292" t="s">
        <v>58</v>
      </c>
      <c r="D292">
        <v>1.2827188297105016E-2</v>
      </c>
      <c r="E292" t="s">
        <v>53</v>
      </c>
      <c r="G292" t="s">
        <v>117</v>
      </c>
      <c r="H292" t="s">
        <v>58</v>
      </c>
      <c r="I292">
        <v>6.343497722277644E-2</v>
      </c>
      <c r="J292" t="s">
        <v>53</v>
      </c>
    </row>
    <row r="293" spans="2:10" x14ac:dyDescent="0.45">
      <c r="B293" t="s">
        <v>87</v>
      </c>
      <c r="C293" t="s">
        <v>59</v>
      </c>
      <c r="D293">
        <v>4.0822319397758794E-2</v>
      </c>
      <c r="E293" t="s">
        <v>53</v>
      </c>
      <c r="G293" t="s">
        <v>117</v>
      </c>
      <c r="H293" t="s">
        <v>59</v>
      </c>
      <c r="I293">
        <v>4.7949306925680918E-2</v>
      </c>
      <c r="J293" t="s">
        <v>53</v>
      </c>
    </row>
    <row r="294" spans="2:10" x14ac:dyDescent="0.45">
      <c r="B294" t="s">
        <v>87</v>
      </c>
      <c r="C294" t="s">
        <v>60</v>
      </c>
      <c r="D294">
        <v>0.32539484109350253</v>
      </c>
      <c r="E294" t="s">
        <v>53</v>
      </c>
      <c r="G294" t="s">
        <v>117</v>
      </c>
      <c r="H294" t="s">
        <v>60</v>
      </c>
      <c r="I294">
        <v>5.5791109906057443E-2</v>
      </c>
      <c r="J294" t="s">
        <v>53</v>
      </c>
    </row>
    <row r="295" spans="2:10" x14ac:dyDescent="0.45">
      <c r="B295" t="s">
        <v>87</v>
      </c>
      <c r="C295" t="s">
        <v>61</v>
      </c>
      <c r="D295">
        <v>2.7334452766647324E-2</v>
      </c>
      <c r="E295" t="s">
        <v>53</v>
      </c>
      <c r="G295" t="s">
        <v>117</v>
      </c>
      <c r="H295" t="s">
        <v>61</v>
      </c>
      <c r="I295">
        <v>4.1610272930265826E-2</v>
      </c>
      <c r="J295" t="s">
        <v>53</v>
      </c>
    </row>
    <row r="296" spans="2:10" x14ac:dyDescent="0.45">
      <c r="B296" t="s">
        <v>87</v>
      </c>
      <c r="C296" t="s">
        <v>62</v>
      </c>
      <c r="D296">
        <v>6.4404951797784847E-3</v>
      </c>
      <c r="E296" t="s">
        <v>53</v>
      </c>
      <c r="G296" t="s">
        <v>117</v>
      </c>
      <c r="H296" t="s">
        <v>62</v>
      </c>
      <c r="I296">
        <v>0.10686718454041952</v>
      </c>
      <c r="J296" t="s">
        <v>53</v>
      </c>
    </row>
    <row r="297" spans="2:10" x14ac:dyDescent="0.45">
      <c r="B297" t="s">
        <v>87</v>
      </c>
      <c r="C297" t="s">
        <v>63</v>
      </c>
      <c r="D297">
        <v>0.17349027447935916</v>
      </c>
      <c r="E297" t="s">
        <v>53</v>
      </c>
      <c r="G297" t="s">
        <v>117</v>
      </c>
      <c r="H297" t="s">
        <v>63</v>
      </c>
      <c r="I297">
        <v>0.11989961335595076</v>
      </c>
      <c r="J297" t="s">
        <v>53</v>
      </c>
    </row>
    <row r="298" spans="2:10" x14ac:dyDescent="0.45">
      <c r="B298" t="s">
        <v>87</v>
      </c>
      <c r="C298" t="s">
        <v>64</v>
      </c>
      <c r="D298">
        <v>2.6469769430106658E-3</v>
      </c>
      <c r="E298" t="s">
        <v>53</v>
      </c>
      <c r="G298" t="s">
        <v>117</v>
      </c>
      <c r="H298" t="s">
        <v>64</v>
      </c>
      <c r="I298">
        <v>8.289378356355083E-2</v>
      </c>
      <c r="J298" t="s">
        <v>53</v>
      </c>
    </row>
    <row r="299" spans="2:10" x14ac:dyDescent="0.45">
      <c r="B299" t="s">
        <v>88</v>
      </c>
      <c r="C299" t="s">
        <v>52</v>
      </c>
      <c r="D299">
        <v>0</v>
      </c>
      <c r="E299" t="s">
        <v>53</v>
      </c>
      <c r="G299" t="s">
        <v>118</v>
      </c>
      <c r="H299" t="s">
        <v>52</v>
      </c>
      <c r="I299">
        <v>0.10390105805819755</v>
      </c>
      <c r="J299" t="s">
        <v>53</v>
      </c>
    </row>
    <row r="300" spans="2:10" x14ac:dyDescent="0.45">
      <c r="B300" t="s">
        <v>88</v>
      </c>
      <c r="C300" t="s">
        <v>54</v>
      </c>
      <c r="D300">
        <v>0.14800502888350733</v>
      </c>
      <c r="E300" t="s">
        <v>53</v>
      </c>
      <c r="G300" t="s">
        <v>118</v>
      </c>
      <c r="H300" t="s">
        <v>54</v>
      </c>
      <c r="I300">
        <v>0.11807504006638868</v>
      </c>
      <c r="J300" t="s">
        <v>53</v>
      </c>
    </row>
    <row r="301" spans="2:10" x14ac:dyDescent="0.45">
      <c r="B301" t="s">
        <v>88</v>
      </c>
      <c r="C301" t="s">
        <v>55</v>
      </c>
      <c r="D301">
        <v>1.288179104409014E-3</v>
      </c>
      <c r="E301" t="s">
        <v>53</v>
      </c>
      <c r="G301" t="s">
        <v>118</v>
      </c>
      <c r="H301" t="s">
        <v>55</v>
      </c>
      <c r="I301">
        <v>8.1089999628379358E-2</v>
      </c>
      <c r="J301" t="s">
        <v>53</v>
      </c>
    </row>
    <row r="302" spans="2:10" x14ac:dyDescent="0.45">
      <c r="B302" t="s">
        <v>88</v>
      </c>
      <c r="C302" t="s">
        <v>56</v>
      </c>
      <c r="D302">
        <v>1.409422311062517E-2</v>
      </c>
      <c r="E302" t="s">
        <v>53</v>
      </c>
      <c r="G302" t="s">
        <v>118</v>
      </c>
      <c r="H302" t="s">
        <v>56</v>
      </c>
      <c r="I302">
        <v>8.4538239450428987E-2</v>
      </c>
      <c r="J302" t="s">
        <v>53</v>
      </c>
    </row>
    <row r="303" spans="2:10" x14ac:dyDescent="0.45">
      <c r="B303" t="s">
        <v>88</v>
      </c>
      <c r="C303" t="s">
        <v>57</v>
      </c>
      <c r="D303">
        <v>0.25451207312028246</v>
      </c>
      <c r="E303" t="s">
        <v>53</v>
      </c>
      <c r="G303" t="s">
        <v>118</v>
      </c>
      <c r="H303" t="s">
        <v>57</v>
      </c>
      <c r="I303">
        <v>8.8073978642617123E-2</v>
      </c>
      <c r="J303" t="s">
        <v>53</v>
      </c>
    </row>
    <row r="304" spans="2:10" x14ac:dyDescent="0.45">
      <c r="B304" t="s">
        <v>88</v>
      </c>
      <c r="C304" t="s">
        <v>58</v>
      </c>
      <c r="D304">
        <v>1.8795806110007664E-2</v>
      </c>
      <c r="E304" t="s">
        <v>53</v>
      </c>
      <c r="G304" t="s">
        <v>118</v>
      </c>
      <c r="H304" t="s">
        <v>58</v>
      </c>
      <c r="I304">
        <v>6.6590058581013079E-2</v>
      </c>
      <c r="J304" t="s">
        <v>53</v>
      </c>
    </row>
    <row r="305" spans="2:10" x14ac:dyDescent="0.45">
      <c r="B305" t="s">
        <v>88</v>
      </c>
      <c r="C305" t="s">
        <v>59</v>
      </c>
      <c r="D305">
        <v>2.5278944905699541E-2</v>
      </c>
      <c r="E305" t="s">
        <v>53</v>
      </c>
      <c r="G305" t="s">
        <v>118</v>
      </c>
      <c r="H305" t="s">
        <v>59</v>
      </c>
      <c r="I305">
        <v>5.9323936603009872E-2</v>
      </c>
      <c r="J305" t="s">
        <v>53</v>
      </c>
    </row>
    <row r="306" spans="2:10" x14ac:dyDescent="0.45">
      <c r="B306" t="s">
        <v>88</v>
      </c>
      <c r="C306" t="s">
        <v>60</v>
      </c>
      <c r="D306">
        <v>0.30779512574623419</v>
      </c>
      <c r="E306" t="s">
        <v>53</v>
      </c>
      <c r="G306" t="s">
        <v>118</v>
      </c>
      <c r="H306" t="s">
        <v>60</v>
      </c>
      <c r="I306">
        <v>5.8707060361107836E-2</v>
      </c>
      <c r="J306" t="s">
        <v>53</v>
      </c>
    </row>
    <row r="307" spans="2:10" x14ac:dyDescent="0.45">
      <c r="B307" t="s">
        <v>88</v>
      </c>
      <c r="C307" t="s">
        <v>61</v>
      </c>
      <c r="D307">
        <v>3.6244565409603982E-2</v>
      </c>
      <c r="E307" t="s">
        <v>53</v>
      </c>
      <c r="G307" t="s">
        <v>118</v>
      </c>
      <c r="H307" t="s">
        <v>61</v>
      </c>
      <c r="I307">
        <v>5.0149688456905255E-2</v>
      </c>
      <c r="J307" t="s">
        <v>53</v>
      </c>
    </row>
    <row r="308" spans="2:10" x14ac:dyDescent="0.45">
      <c r="B308" t="s">
        <v>88</v>
      </c>
      <c r="C308" t="s">
        <v>62</v>
      </c>
      <c r="D308">
        <v>4.6696207860010639E-3</v>
      </c>
      <c r="E308" t="s">
        <v>53</v>
      </c>
      <c r="G308" t="s">
        <v>118</v>
      </c>
      <c r="H308" t="s">
        <v>62</v>
      </c>
      <c r="I308">
        <v>9.7086056344803884E-2</v>
      </c>
      <c r="J308" t="s">
        <v>53</v>
      </c>
    </row>
    <row r="309" spans="2:10" x14ac:dyDescent="0.45">
      <c r="B309" t="s">
        <v>88</v>
      </c>
      <c r="C309" t="s">
        <v>63</v>
      </c>
      <c r="D309">
        <v>0.18500082129449361</v>
      </c>
      <c r="E309" t="s">
        <v>53</v>
      </c>
      <c r="G309" t="s">
        <v>118</v>
      </c>
      <c r="H309" t="s">
        <v>63</v>
      </c>
      <c r="I309">
        <v>0.11228123806819562</v>
      </c>
      <c r="J309" t="s">
        <v>53</v>
      </c>
    </row>
    <row r="310" spans="2:10" x14ac:dyDescent="0.45">
      <c r="B310" t="s">
        <v>88</v>
      </c>
      <c r="C310" t="s">
        <v>64</v>
      </c>
      <c r="D310">
        <v>4.3156115291342343E-3</v>
      </c>
      <c r="E310" t="s">
        <v>53</v>
      </c>
      <c r="G310" t="s">
        <v>118</v>
      </c>
      <c r="H310" t="s">
        <v>64</v>
      </c>
      <c r="I310">
        <v>8.0183645738954354E-2</v>
      </c>
      <c r="J310" t="s">
        <v>53</v>
      </c>
    </row>
    <row r="311" spans="2:10" x14ac:dyDescent="0.45">
      <c r="B311" t="s">
        <v>89</v>
      </c>
      <c r="C311" t="s">
        <v>52</v>
      </c>
      <c r="D311">
        <v>0</v>
      </c>
      <c r="E311" t="s">
        <v>53</v>
      </c>
      <c r="G311" t="s">
        <v>119</v>
      </c>
      <c r="H311" t="s">
        <v>52</v>
      </c>
      <c r="I311">
        <v>0.11100443342662025</v>
      </c>
      <c r="J311" t="s">
        <v>53</v>
      </c>
    </row>
    <row r="312" spans="2:10" x14ac:dyDescent="0.45">
      <c r="B312" t="s">
        <v>89</v>
      </c>
      <c r="C312" t="s">
        <v>54</v>
      </c>
      <c r="D312">
        <v>0.15890769431729215</v>
      </c>
      <c r="E312" t="s">
        <v>53</v>
      </c>
      <c r="G312" t="s">
        <v>119</v>
      </c>
      <c r="H312" t="s">
        <v>54</v>
      </c>
      <c r="I312">
        <v>0.12503477860630763</v>
      </c>
      <c r="J312" t="s">
        <v>53</v>
      </c>
    </row>
    <row r="313" spans="2:10" x14ac:dyDescent="0.45">
      <c r="B313" t="s">
        <v>89</v>
      </c>
      <c r="C313" t="s">
        <v>55</v>
      </c>
      <c r="D313">
        <v>5.4877534324755987E-4</v>
      </c>
      <c r="E313" t="s">
        <v>53</v>
      </c>
      <c r="G313" t="s">
        <v>119</v>
      </c>
      <c r="H313" t="s">
        <v>55</v>
      </c>
      <c r="I313">
        <v>8.2579759046239751E-2</v>
      </c>
      <c r="J313" t="s">
        <v>53</v>
      </c>
    </row>
    <row r="314" spans="2:10" x14ac:dyDescent="0.45">
      <c r="B314" t="s">
        <v>89</v>
      </c>
      <c r="C314" t="s">
        <v>56</v>
      </c>
      <c r="D314">
        <v>1.633967880474917E-2</v>
      </c>
      <c r="E314" t="s">
        <v>53</v>
      </c>
      <c r="G314" t="s">
        <v>119</v>
      </c>
      <c r="H314" t="s">
        <v>56</v>
      </c>
      <c r="I314">
        <v>8.458358013809536E-2</v>
      </c>
      <c r="J314" t="s">
        <v>53</v>
      </c>
    </row>
    <row r="315" spans="2:10" x14ac:dyDescent="0.45">
      <c r="B315" t="s">
        <v>89</v>
      </c>
      <c r="C315" t="s">
        <v>57</v>
      </c>
      <c r="D315">
        <v>0.25258818741769745</v>
      </c>
      <c r="E315" t="s">
        <v>53</v>
      </c>
      <c r="G315" t="s">
        <v>119</v>
      </c>
      <c r="H315" t="s">
        <v>57</v>
      </c>
      <c r="I315">
        <v>9.0717966073620482E-2</v>
      </c>
      <c r="J315" t="s">
        <v>53</v>
      </c>
    </row>
    <row r="316" spans="2:10" x14ac:dyDescent="0.45">
      <c r="B316" t="s">
        <v>89</v>
      </c>
      <c r="C316" t="s">
        <v>58</v>
      </c>
      <c r="D316">
        <v>1.5368453153956747E-2</v>
      </c>
      <c r="E316" t="s">
        <v>53</v>
      </c>
      <c r="G316" t="s">
        <v>119</v>
      </c>
      <c r="H316" t="s">
        <v>58</v>
      </c>
      <c r="I316">
        <v>6.2481612568398633E-2</v>
      </c>
      <c r="J316" t="s">
        <v>53</v>
      </c>
    </row>
    <row r="317" spans="2:10" x14ac:dyDescent="0.45">
      <c r="B317" t="s">
        <v>89</v>
      </c>
      <c r="C317" t="s">
        <v>59</v>
      </c>
      <c r="D317">
        <v>2.9596611404283428E-2</v>
      </c>
      <c r="E317" t="s">
        <v>53</v>
      </c>
      <c r="G317" t="s">
        <v>119</v>
      </c>
      <c r="H317" t="s">
        <v>59</v>
      </c>
      <c r="I317">
        <v>5.5267982546103676E-2</v>
      </c>
      <c r="J317" t="s">
        <v>53</v>
      </c>
    </row>
    <row r="318" spans="2:10" x14ac:dyDescent="0.45">
      <c r="B318" t="s">
        <v>89</v>
      </c>
      <c r="C318" t="s">
        <v>60</v>
      </c>
      <c r="D318">
        <v>0.30718307596538252</v>
      </c>
      <c r="E318" t="s">
        <v>53</v>
      </c>
      <c r="G318" t="s">
        <v>119</v>
      </c>
      <c r="H318" t="s">
        <v>60</v>
      </c>
      <c r="I318">
        <v>6.1478296078382816E-2</v>
      </c>
      <c r="J318" t="s">
        <v>53</v>
      </c>
    </row>
    <row r="319" spans="2:10" x14ac:dyDescent="0.45">
      <c r="B319" t="s">
        <v>89</v>
      </c>
      <c r="C319" t="s">
        <v>61</v>
      </c>
      <c r="D319">
        <v>2.7852228544221078E-2</v>
      </c>
      <c r="E319" t="s">
        <v>53</v>
      </c>
      <c r="G319" t="s">
        <v>119</v>
      </c>
      <c r="H319" t="s">
        <v>61</v>
      </c>
      <c r="I319">
        <v>4.6507615311104401E-2</v>
      </c>
      <c r="J319" t="s">
        <v>53</v>
      </c>
    </row>
    <row r="320" spans="2:10" x14ac:dyDescent="0.45">
      <c r="B320" t="s">
        <v>89</v>
      </c>
      <c r="C320" t="s">
        <v>62</v>
      </c>
      <c r="D320">
        <v>5.6443993523245493E-3</v>
      </c>
      <c r="E320" t="s">
        <v>53</v>
      </c>
      <c r="G320" t="s">
        <v>119</v>
      </c>
      <c r="H320" t="s">
        <v>62</v>
      </c>
      <c r="I320">
        <v>9.1360589516233812E-2</v>
      </c>
      <c r="J320" t="s">
        <v>53</v>
      </c>
    </row>
    <row r="321" spans="2:10" x14ac:dyDescent="0.45">
      <c r="B321" t="s">
        <v>89</v>
      </c>
      <c r="C321" t="s">
        <v>63</v>
      </c>
      <c r="D321">
        <v>0.18242106432159863</v>
      </c>
      <c r="E321" t="s">
        <v>53</v>
      </c>
      <c r="G321" t="s">
        <v>119</v>
      </c>
      <c r="H321" t="s">
        <v>63</v>
      </c>
      <c r="I321">
        <v>0.1136601443258143</v>
      </c>
      <c r="J321" t="s">
        <v>53</v>
      </c>
    </row>
    <row r="322" spans="2:10" x14ac:dyDescent="0.45">
      <c r="B322" t="s">
        <v>89</v>
      </c>
      <c r="C322" t="s">
        <v>64</v>
      </c>
      <c r="D322">
        <v>3.5498313752495418E-3</v>
      </c>
      <c r="E322" t="s">
        <v>53</v>
      </c>
      <c r="G322" t="s">
        <v>119</v>
      </c>
      <c r="H322" t="s">
        <v>64</v>
      </c>
      <c r="I322">
        <v>7.532324236307876E-2</v>
      </c>
      <c r="J322" t="s">
        <v>53</v>
      </c>
    </row>
    <row r="323" spans="2:10" x14ac:dyDescent="0.45">
      <c r="B323" t="s">
        <v>90</v>
      </c>
      <c r="C323" t="s">
        <v>52</v>
      </c>
      <c r="D323">
        <v>0</v>
      </c>
      <c r="E323" t="s">
        <v>53</v>
      </c>
      <c r="G323" t="s">
        <v>120</v>
      </c>
      <c r="H323" t="s">
        <v>52</v>
      </c>
      <c r="I323">
        <v>0.10893666129623458</v>
      </c>
      <c r="J323" t="s">
        <v>53</v>
      </c>
    </row>
    <row r="324" spans="2:10" x14ac:dyDescent="0.45">
      <c r="B324" t="s">
        <v>90</v>
      </c>
      <c r="C324" t="s">
        <v>54</v>
      </c>
      <c r="D324">
        <v>0.14079038557053822</v>
      </c>
      <c r="E324" t="s">
        <v>53</v>
      </c>
      <c r="G324" t="s">
        <v>120</v>
      </c>
      <c r="H324" t="s">
        <v>54</v>
      </c>
      <c r="I324">
        <v>0.1107161407666527</v>
      </c>
      <c r="J324" t="s">
        <v>53</v>
      </c>
    </row>
    <row r="325" spans="2:10" x14ac:dyDescent="0.45">
      <c r="B325" t="s">
        <v>90</v>
      </c>
      <c r="C325" t="s">
        <v>55</v>
      </c>
      <c r="D325">
        <v>8.0163611168670588E-5</v>
      </c>
      <c r="E325" t="s">
        <v>53</v>
      </c>
      <c r="G325" t="s">
        <v>120</v>
      </c>
      <c r="H325" t="s">
        <v>55</v>
      </c>
      <c r="I325">
        <v>7.8886849783289609E-2</v>
      </c>
      <c r="J325" t="s">
        <v>53</v>
      </c>
    </row>
    <row r="326" spans="2:10" x14ac:dyDescent="0.45">
      <c r="B326" t="s">
        <v>90</v>
      </c>
      <c r="C326" t="s">
        <v>56</v>
      </c>
      <c r="D326">
        <v>1.7330249357521133E-2</v>
      </c>
      <c r="E326" t="s">
        <v>53</v>
      </c>
      <c r="G326" t="s">
        <v>120</v>
      </c>
      <c r="H326" t="s">
        <v>56</v>
      </c>
      <c r="I326">
        <v>8.9138192765118571E-2</v>
      </c>
      <c r="J326" t="s">
        <v>53</v>
      </c>
    </row>
    <row r="327" spans="2:10" x14ac:dyDescent="0.45">
      <c r="B327" t="s">
        <v>90</v>
      </c>
      <c r="C327" t="s">
        <v>57</v>
      </c>
      <c r="D327">
        <v>0.25133380379859516</v>
      </c>
      <c r="E327" t="s">
        <v>53</v>
      </c>
      <c r="G327" t="s">
        <v>120</v>
      </c>
      <c r="H327" t="s">
        <v>57</v>
      </c>
      <c r="I327">
        <v>0.11170924512963959</v>
      </c>
      <c r="J327" t="s">
        <v>53</v>
      </c>
    </row>
    <row r="328" spans="2:10" x14ac:dyDescent="0.45">
      <c r="B328" t="s">
        <v>90</v>
      </c>
      <c r="C328" t="s">
        <v>58</v>
      </c>
      <c r="D328">
        <v>1.5480549919981341E-2</v>
      </c>
      <c r="E328" t="s">
        <v>53</v>
      </c>
      <c r="G328" t="s">
        <v>120</v>
      </c>
      <c r="H328" t="s">
        <v>58</v>
      </c>
      <c r="I328">
        <v>7.5887230706833855E-2</v>
      </c>
      <c r="J328" t="s">
        <v>53</v>
      </c>
    </row>
    <row r="329" spans="2:10" x14ac:dyDescent="0.45">
      <c r="B329" t="s">
        <v>90</v>
      </c>
      <c r="C329" t="s">
        <v>59</v>
      </c>
      <c r="D329">
        <v>3.8113135342645273E-2</v>
      </c>
      <c r="E329" t="s">
        <v>53</v>
      </c>
      <c r="G329" t="s">
        <v>120</v>
      </c>
      <c r="H329" t="s">
        <v>59</v>
      </c>
      <c r="I329">
        <v>4.9357294553410716E-2</v>
      </c>
      <c r="J329" t="s">
        <v>53</v>
      </c>
    </row>
    <row r="330" spans="2:10" x14ac:dyDescent="0.45">
      <c r="B330" t="s">
        <v>90</v>
      </c>
      <c r="C330" t="s">
        <v>60</v>
      </c>
      <c r="D330">
        <v>0.32558969175476693</v>
      </c>
      <c r="E330" t="s">
        <v>53</v>
      </c>
      <c r="G330" t="s">
        <v>120</v>
      </c>
      <c r="H330" t="s">
        <v>60</v>
      </c>
      <c r="I330">
        <v>4.5578132435539986E-2</v>
      </c>
      <c r="J330" t="s">
        <v>53</v>
      </c>
    </row>
    <row r="331" spans="2:10" x14ac:dyDescent="0.45">
      <c r="B331" t="s">
        <v>90</v>
      </c>
      <c r="C331" t="s">
        <v>61</v>
      </c>
      <c r="D331">
        <v>3.1075454837260409E-2</v>
      </c>
      <c r="E331" t="s">
        <v>53</v>
      </c>
      <c r="G331" t="s">
        <v>120</v>
      </c>
      <c r="H331" t="s">
        <v>61</v>
      </c>
      <c r="I331">
        <v>5.1526044001964533E-2</v>
      </c>
      <c r="J331" t="s">
        <v>53</v>
      </c>
    </row>
    <row r="332" spans="2:10" x14ac:dyDescent="0.45">
      <c r="B332" t="s">
        <v>90</v>
      </c>
      <c r="C332" t="s">
        <v>62</v>
      </c>
      <c r="D332">
        <v>5.4529765637262454E-3</v>
      </c>
      <c r="E332" t="s">
        <v>53</v>
      </c>
      <c r="G332" t="s">
        <v>120</v>
      </c>
      <c r="H332" t="s">
        <v>62</v>
      </c>
      <c r="I332">
        <v>9.6991156983226343E-2</v>
      </c>
      <c r="J332" t="s">
        <v>53</v>
      </c>
    </row>
    <row r="333" spans="2:10" x14ac:dyDescent="0.45">
      <c r="B333" t="s">
        <v>90</v>
      </c>
      <c r="C333" t="s">
        <v>63</v>
      </c>
      <c r="D333">
        <v>0.17166611701252832</v>
      </c>
      <c r="E333" t="s">
        <v>53</v>
      </c>
      <c r="G333" t="s">
        <v>120</v>
      </c>
      <c r="H333" t="s">
        <v>63</v>
      </c>
      <c r="I333">
        <v>0.1033904031192627</v>
      </c>
      <c r="J333" t="s">
        <v>53</v>
      </c>
    </row>
    <row r="334" spans="2:10" x14ac:dyDescent="0.45">
      <c r="B334" t="s">
        <v>90</v>
      </c>
      <c r="C334" t="s">
        <v>64</v>
      </c>
      <c r="D334">
        <v>3.0874722312651454E-3</v>
      </c>
      <c r="E334" t="s">
        <v>53</v>
      </c>
      <c r="G334" t="s">
        <v>120</v>
      </c>
      <c r="H334" t="s">
        <v>64</v>
      </c>
      <c r="I334">
        <v>7.7882648458824727E-2</v>
      </c>
      <c r="J334" t="s">
        <v>53</v>
      </c>
    </row>
    <row r="335" spans="2:10" x14ac:dyDescent="0.45">
      <c r="B335" t="s">
        <v>91</v>
      </c>
      <c r="C335" t="s">
        <v>52</v>
      </c>
      <c r="D335">
        <v>0</v>
      </c>
      <c r="E335" t="s">
        <v>53</v>
      </c>
      <c r="G335" t="s">
        <v>121</v>
      </c>
      <c r="H335" t="s">
        <v>52</v>
      </c>
      <c r="I335">
        <v>0.11100645887001044</v>
      </c>
      <c r="J335" t="s">
        <v>53</v>
      </c>
    </row>
    <row r="336" spans="2:10" x14ac:dyDescent="0.45">
      <c r="B336" t="s">
        <v>91</v>
      </c>
      <c r="C336" t="s">
        <v>54</v>
      </c>
      <c r="D336">
        <v>0.13345859402637977</v>
      </c>
      <c r="E336" t="s">
        <v>53</v>
      </c>
      <c r="G336" t="s">
        <v>121</v>
      </c>
      <c r="H336" t="s">
        <v>54</v>
      </c>
      <c r="I336">
        <v>0.1186479116172853</v>
      </c>
      <c r="J336" t="s">
        <v>53</v>
      </c>
    </row>
    <row r="337" spans="2:10" x14ac:dyDescent="0.45">
      <c r="B337" t="s">
        <v>91</v>
      </c>
      <c r="C337" t="s">
        <v>55</v>
      </c>
      <c r="D337">
        <v>3.7717961527447357E-4</v>
      </c>
      <c r="E337" t="s">
        <v>53</v>
      </c>
      <c r="G337" t="s">
        <v>121</v>
      </c>
      <c r="H337" t="s">
        <v>55</v>
      </c>
      <c r="I337">
        <v>8.0866497340999391E-2</v>
      </c>
      <c r="J337" t="s">
        <v>53</v>
      </c>
    </row>
    <row r="338" spans="2:10" x14ac:dyDescent="0.45">
      <c r="B338" t="s">
        <v>91</v>
      </c>
      <c r="C338" t="s">
        <v>56</v>
      </c>
      <c r="D338">
        <v>1.8670327365348096E-2</v>
      </c>
      <c r="E338" t="s">
        <v>53</v>
      </c>
      <c r="G338" t="s">
        <v>121</v>
      </c>
      <c r="H338" t="s">
        <v>56</v>
      </c>
      <c r="I338">
        <v>8.3393713503538303E-2</v>
      </c>
      <c r="J338" t="s">
        <v>53</v>
      </c>
    </row>
    <row r="339" spans="2:10" x14ac:dyDescent="0.45">
      <c r="B339" t="s">
        <v>91</v>
      </c>
      <c r="C339" t="s">
        <v>57</v>
      </c>
      <c r="D339">
        <v>0.2589690596035758</v>
      </c>
      <c r="E339" t="s">
        <v>53</v>
      </c>
      <c r="G339" t="s">
        <v>121</v>
      </c>
      <c r="H339" t="s">
        <v>57</v>
      </c>
      <c r="I339">
        <v>9.8169843515002644E-2</v>
      </c>
      <c r="J339" t="s">
        <v>53</v>
      </c>
    </row>
    <row r="340" spans="2:10" x14ac:dyDescent="0.45">
      <c r="B340" t="s">
        <v>91</v>
      </c>
      <c r="C340" t="s">
        <v>58</v>
      </c>
      <c r="D340">
        <v>1.6006455155785471E-2</v>
      </c>
      <c r="E340" t="s">
        <v>53</v>
      </c>
      <c r="G340" t="s">
        <v>121</v>
      </c>
      <c r="H340" t="s">
        <v>58</v>
      </c>
      <c r="I340">
        <v>6.3446055030665235E-2</v>
      </c>
      <c r="J340" t="s">
        <v>53</v>
      </c>
    </row>
    <row r="341" spans="2:10" x14ac:dyDescent="0.45">
      <c r="B341" t="s">
        <v>91</v>
      </c>
      <c r="C341" t="s">
        <v>59</v>
      </c>
      <c r="D341">
        <v>3.7570941268583256E-2</v>
      </c>
      <c r="E341" t="s">
        <v>53</v>
      </c>
      <c r="G341" t="s">
        <v>121</v>
      </c>
      <c r="H341" t="s">
        <v>59</v>
      </c>
      <c r="I341">
        <v>5.4805203248348013E-2</v>
      </c>
      <c r="J341" t="s">
        <v>53</v>
      </c>
    </row>
    <row r="342" spans="2:10" x14ac:dyDescent="0.45">
      <c r="B342" t="s">
        <v>91</v>
      </c>
      <c r="C342" t="s">
        <v>60</v>
      </c>
      <c r="D342">
        <v>0.32308269138763079</v>
      </c>
      <c r="E342" t="s">
        <v>53</v>
      </c>
      <c r="G342" t="s">
        <v>121</v>
      </c>
      <c r="H342" t="s">
        <v>60</v>
      </c>
      <c r="I342">
        <v>5.4234057557061295E-2</v>
      </c>
      <c r="J342" t="s">
        <v>53</v>
      </c>
    </row>
    <row r="343" spans="2:10" x14ac:dyDescent="0.45">
      <c r="B343" t="s">
        <v>91</v>
      </c>
      <c r="C343" t="s">
        <v>61</v>
      </c>
      <c r="D343">
        <v>3.4467360010017253E-2</v>
      </c>
      <c r="E343" t="s">
        <v>53</v>
      </c>
      <c r="G343" t="s">
        <v>121</v>
      </c>
      <c r="H343" t="s">
        <v>61</v>
      </c>
      <c r="I343">
        <v>4.7299853870730019E-2</v>
      </c>
      <c r="J343" t="s">
        <v>53</v>
      </c>
    </row>
    <row r="344" spans="2:10" x14ac:dyDescent="0.45">
      <c r="B344" t="s">
        <v>91</v>
      </c>
      <c r="C344" t="s">
        <v>62</v>
      </c>
      <c r="D344">
        <v>4.8124255094422535E-3</v>
      </c>
      <c r="E344" t="s">
        <v>53</v>
      </c>
      <c r="G344" t="s">
        <v>121</v>
      </c>
      <c r="H344" t="s">
        <v>62</v>
      </c>
      <c r="I344">
        <v>9.7267129451168124E-2</v>
      </c>
      <c r="J344" t="s">
        <v>53</v>
      </c>
    </row>
    <row r="345" spans="2:10" x14ac:dyDescent="0.45">
      <c r="B345" t="s">
        <v>91</v>
      </c>
      <c r="C345" t="s">
        <v>63</v>
      </c>
      <c r="D345">
        <v>0.169354504874696</v>
      </c>
      <c r="E345" t="s">
        <v>53</v>
      </c>
      <c r="G345" t="s">
        <v>121</v>
      </c>
      <c r="H345" t="s">
        <v>63</v>
      </c>
      <c r="I345">
        <v>0.11332510219001175</v>
      </c>
      <c r="J345" t="s">
        <v>53</v>
      </c>
    </row>
    <row r="346" spans="2:10" x14ac:dyDescent="0.45">
      <c r="B346" t="s">
        <v>91</v>
      </c>
      <c r="C346" t="s">
        <v>64</v>
      </c>
      <c r="D346">
        <v>3.2304611832666367E-3</v>
      </c>
      <c r="E346" t="s">
        <v>53</v>
      </c>
      <c r="G346" t="s">
        <v>121</v>
      </c>
      <c r="H346" t="s">
        <v>64</v>
      </c>
      <c r="I346">
        <v>7.7538173805178093E-2</v>
      </c>
      <c r="J346" t="s">
        <v>53</v>
      </c>
    </row>
    <row r="347" spans="2:10" x14ac:dyDescent="0.45">
      <c r="B347" t="s">
        <v>92</v>
      </c>
      <c r="C347" t="s">
        <v>52</v>
      </c>
      <c r="D347">
        <v>0</v>
      </c>
      <c r="E347" t="s">
        <v>53</v>
      </c>
    </row>
    <row r="348" spans="2:10" x14ac:dyDescent="0.45">
      <c r="B348" t="s">
        <v>92</v>
      </c>
      <c r="C348" t="s">
        <v>54</v>
      </c>
      <c r="D348">
        <v>0.15021481442756859</v>
      </c>
      <c r="E348" t="s">
        <v>53</v>
      </c>
    </row>
    <row r="349" spans="2:10" x14ac:dyDescent="0.45">
      <c r="B349" t="s">
        <v>92</v>
      </c>
      <c r="C349" t="s">
        <v>55</v>
      </c>
      <c r="D349">
        <v>8.9236164023068383E-4</v>
      </c>
      <c r="E349" t="s">
        <v>53</v>
      </c>
    </row>
    <row r="350" spans="2:10" x14ac:dyDescent="0.45">
      <c r="B350" t="s">
        <v>92</v>
      </c>
      <c r="C350" t="s">
        <v>56</v>
      </c>
      <c r="D350">
        <v>1.7588239446561734E-2</v>
      </c>
      <c r="E350" t="s">
        <v>53</v>
      </c>
    </row>
    <row r="351" spans="2:10" x14ac:dyDescent="0.45">
      <c r="B351" t="s">
        <v>92</v>
      </c>
      <c r="C351" t="s">
        <v>57</v>
      </c>
      <c r="D351">
        <v>0.25605994009755367</v>
      </c>
      <c r="E351" t="s">
        <v>53</v>
      </c>
    </row>
    <row r="352" spans="2:10" x14ac:dyDescent="0.45">
      <c r="B352" t="s">
        <v>92</v>
      </c>
      <c r="C352" t="s">
        <v>58</v>
      </c>
      <c r="D352">
        <v>1.6558588598931986E-2</v>
      </c>
      <c r="E352" t="s">
        <v>53</v>
      </c>
    </row>
    <row r="353" spans="2:5" x14ac:dyDescent="0.45">
      <c r="B353" t="s">
        <v>92</v>
      </c>
      <c r="C353" t="s">
        <v>59</v>
      </c>
      <c r="D353">
        <v>3.2045276084318279E-2</v>
      </c>
      <c r="E353" t="s">
        <v>53</v>
      </c>
    </row>
    <row r="354" spans="2:5" x14ac:dyDescent="0.45">
      <c r="B354" t="s">
        <v>92</v>
      </c>
      <c r="C354" t="s">
        <v>60</v>
      </c>
      <c r="D354">
        <v>0.31007717451198585</v>
      </c>
      <c r="E354" t="s">
        <v>53</v>
      </c>
    </row>
    <row r="355" spans="2:5" x14ac:dyDescent="0.45">
      <c r="B355" t="s">
        <v>92</v>
      </c>
      <c r="C355" t="s">
        <v>61</v>
      </c>
      <c r="D355">
        <v>3.1943176086955322E-2</v>
      </c>
      <c r="E355" t="s">
        <v>53</v>
      </c>
    </row>
    <row r="356" spans="2:5" x14ac:dyDescent="0.45">
      <c r="B356" t="s">
        <v>92</v>
      </c>
      <c r="C356" t="s">
        <v>62</v>
      </c>
      <c r="D356">
        <v>4.8330044451118147E-3</v>
      </c>
      <c r="E356" t="s">
        <v>53</v>
      </c>
    </row>
    <row r="357" spans="2:5" x14ac:dyDescent="0.45">
      <c r="B357" t="s">
        <v>92</v>
      </c>
      <c r="C357" t="s">
        <v>63</v>
      </c>
      <c r="D357">
        <v>0.17629120661742043</v>
      </c>
      <c r="E357" t="s">
        <v>53</v>
      </c>
    </row>
    <row r="358" spans="2:5" x14ac:dyDescent="0.45">
      <c r="B358" t="s">
        <v>92</v>
      </c>
      <c r="C358" t="s">
        <v>64</v>
      </c>
      <c r="D358">
        <v>3.4962180433637229E-3</v>
      </c>
      <c r="E358" t="s">
        <v>53</v>
      </c>
    </row>
    <row r="359" spans="2:5" x14ac:dyDescent="0.45">
      <c r="B359" t="s">
        <v>93</v>
      </c>
      <c r="C359" t="s">
        <v>52</v>
      </c>
      <c r="D359">
        <v>0</v>
      </c>
      <c r="E359" t="s">
        <v>53</v>
      </c>
    </row>
    <row r="360" spans="2:5" x14ac:dyDescent="0.45">
      <c r="B360" t="s">
        <v>93</v>
      </c>
      <c r="C360" t="s">
        <v>54</v>
      </c>
      <c r="D360">
        <v>0.13998333625757181</v>
      </c>
      <c r="E360" t="s">
        <v>53</v>
      </c>
    </row>
    <row r="361" spans="2:5" x14ac:dyDescent="0.45">
      <c r="B361" t="s">
        <v>93</v>
      </c>
      <c r="C361" t="s">
        <v>55</v>
      </c>
      <c r="D361">
        <v>9.8162745440097247E-4</v>
      </c>
      <c r="E361" t="s">
        <v>53</v>
      </c>
    </row>
    <row r="362" spans="2:5" x14ac:dyDescent="0.45">
      <c r="B362" t="s">
        <v>93</v>
      </c>
      <c r="C362" t="s">
        <v>56</v>
      </c>
      <c r="D362">
        <v>1.7595733809555363E-2</v>
      </c>
      <c r="E362" t="s">
        <v>53</v>
      </c>
    </row>
    <row r="363" spans="2:5" x14ac:dyDescent="0.45">
      <c r="B363" t="s">
        <v>93</v>
      </c>
      <c r="C363" t="s">
        <v>57</v>
      </c>
      <c r="D363">
        <v>0.26057409543988719</v>
      </c>
      <c r="E363" t="s">
        <v>53</v>
      </c>
    </row>
    <row r="364" spans="2:5" x14ac:dyDescent="0.45">
      <c r="B364" t="s">
        <v>93</v>
      </c>
      <c r="C364" t="s">
        <v>58</v>
      </c>
      <c r="D364">
        <v>1.9044820320362955E-2</v>
      </c>
      <c r="E364" t="s">
        <v>53</v>
      </c>
    </row>
    <row r="365" spans="2:5" x14ac:dyDescent="0.45">
      <c r="B365" t="s">
        <v>93</v>
      </c>
      <c r="C365" t="s">
        <v>59</v>
      </c>
      <c r="D365">
        <v>3.1686247919618243E-2</v>
      </c>
      <c r="E365" t="s">
        <v>53</v>
      </c>
    </row>
    <row r="366" spans="2:5" x14ac:dyDescent="0.45">
      <c r="B366" t="s">
        <v>93</v>
      </c>
      <c r="C366" t="s">
        <v>60</v>
      </c>
      <c r="D366">
        <v>0.30880025442184023</v>
      </c>
      <c r="E366" t="s">
        <v>53</v>
      </c>
    </row>
    <row r="367" spans="2:5" x14ac:dyDescent="0.45">
      <c r="B367" t="s">
        <v>93</v>
      </c>
      <c r="C367" t="s">
        <v>61</v>
      </c>
      <c r="D367">
        <v>3.7085629836577649E-2</v>
      </c>
      <c r="E367" t="s">
        <v>53</v>
      </c>
    </row>
    <row r="368" spans="2:5" x14ac:dyDescent="0.45">
      <c r="B368" t="s">
        <v>93</v>
      </c>
      <c r="C368" t="s">
        <v>62</v>
      </c>
      <c r="D368">
        <v>4.4596434909214668E-3</v>
      </c>
      <c r="E368" t="s">
        <v>53</v>
      </c>
    </row>
    <row r="369" spans="2:5" x14ac:dyDescent="0.45">
      <c r="B369" t="s">
        <v>93</v>
      </c>
      <c r="C369" t="s">
        <v>63</v>
      </c>
      <c r="D369">
        <v>0.17573890297654826</v>
      </c>
      <c r="E369" t="s">
        <v>53</v>
      </c>
    </row>
    <row r="370" spans="2:5" x14ac:dyDescent="0.45">
      <c r="B370" t="s">
        <v>93</v>
      </c>
      <c r="C370" t="s">
        <v>64</v>
      </c>
      <c r="D370">
        <v>4.0497080727169279E-3</v>
      </c>
      <c r="E370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2E830-3B8C-41AA-B5C9-7393809BD064}">
  <dimension ref="B9:BL85"/>
  <sheetViews>
    <sheetView workbookViewId="0"/>
  </sheetViews>
  <sheetFormatPr defaultRowHeight="14.25" x14ac:dyDescent="0.45"/>
  <sheetData>
    <row r="9" spans="2:64" x14ac:dyDescent="0.45">
      <c r="B9" t="str">
        <f>IF(A11="x","DeActivated","~TFM_DINS-TSL: attribute=FLO_EMIS; other_indexes=ACT")</f>
        <v>~TFM_DINS-TSL: attribute=FLO_EMIS; other_indexes=ACT</v>
      </c>
      <c r="Q9" t="str">
        <f>IF(A11="x","DeActivated","~TFM_INS-TSL: attribute=FLO_SHAR; limtype=FX")</f>
        <v>~TFM_INS-TSL: attribute=FLO_SHAR; limtype=FX</v>
      </c>
      <c r="AF9" t="str">
        <f>IF(A11="x","DeActivated","~TFM_INS-TSL: attribute=FLO_SHAR; limtype=FX")</f>
        <v>~TFM_INS-TSL: attribute=FLO_SHAR; limtype=FX</v>
      </c>
      <c r="AU9" t="str">
        <f>IF(A11="x","DeActivated","~TFM_DINS-TSL: attribute=NCAP_PKCNT")</f>
        <v>~TFM_DINS-TSL: attribute=NCAP_PKCNT</v>
      </c>
      <c r="BI9" t="str">
        <f>IF(A11="x","DeActivated","~TFM_DINS-AT")</f>
        <v>~TFM_DINS-AT</v>
      </c>
    </row>
    <row r="10" spans="2:64" x14ac:dyDescent="0.45">
      <c r="B10" t="s">
        <v>50</v>
      </c>
      <c r="C10" t="s">
        <v>47</v>
      </c>
      <c r="D10" t="s">
        <v>52</v>
      </c>
      <c r="E10" t="s">
        <v>54</v>
      </c>
      <c r="F10" t="s">
        <v>55</v>
      </c>
      <c r="G10" t="s">
        <v>56</v>
      </c>
      <c r="H10" t="s">
        <v>57</v>
      </c>
      <c r="I10" t="s">
        <v>58</v>
      </c>
      <c r="J10" t="s">
        <v>59</v>
      </c>
      <c r="K10" t="s">
        <v>60</v>
      </c>
      <c r="L10" t="s">
        <v>61</v>
      </c>
      <c r="M10" t="s">
        <v>62</v>
      </c>
      <c r="N10" t="s">
        <v>63</v>
      </c>
      <c r="O10" t="s">
        <v>64</v>
      </c>
      <c r="Q10" t="s">
        <v>50</v>
      </c>
      <c r="R10" t="s">
        <v>47</v>
      </c>
      <c r="S10" t="s">
        <v>52</v>
      </c>
      <c r="T10" t="s">
        <v>54</v>
      </c>
      <c r="U10" t="s">
        <v>55</v>
      </c>
      <c r="V10" t="s">
        <v>56</v>
      </c>
      <c r="W10" t="s">
        <v>57</v>
      </c>
      <c r="X10" t="s">
        <v>58</v>
      </c>
      <c r="Y10" t="s">
        <v>59</v>
      </c>
      <c r="Z10" t="s">
        <v>60</v>
      </c>
      <c r="AA10" t="s">
        <v>61</v>
      </c>
      <c r="AB10" t="s">
        <v>62</v>
      </c>
      <c r="AC10" t="s">
        <v>63</v>
      </c>
      <c r="AD10" t="s">
        <v>64</v>
      </c>
      <c r="AF10" t="s">
        <v>50</v>
      </c>
      <c r="AG10" t="s">
        <v>47</v>
      </c>
      <c r="AH10" t="s">
        <v>52</v>
      </c>
      <c r="AI10" t="s">
        <v>54</v>
      </c>
      <c r="AJ10" t="s">
        <v>55</v>
      </c>
      <c r="AK10" t="s">
        <v>56</v>
      </c>
      <c r="AL10" t="s">
        <v>57</v>
      </c>
      <c r="AM10" t="s">
        <v>58</v>
      </c>
      <c r="AN10" t="s">
        <v>59</v>
      </c>
      <c r="AO10" t="s">
        <v>60</v>
      </c>
      <c r="AP10" t="s">
        <v>61</v>
      </c>
      <c r="AQ10" t="s">
        <v>62</v>
      </c>
      <c r="AR10" t="s">
        <v>63</v>
      </c>
      <c r="AS10" t="s">
        <v>64</v>
      </c>
      <c r="AU10" t="s">
        <v>50</v>
      </c>
      <c r="AV10" t="s">
        <v>52</v>
      </c>
      <c r="AW10" t="s">
        <v>54</v>
      </c>
      <c r="AX10" t="s">
        <v>55</v>
      </c>
      <c r="AY10" t="s">
        <v>56</v>
      </c>
      <c r="AZ10" t="s">
        <v>57</v>
      </c>
      <c r="BA10" t="s">
        <v>58</v>
      </c>
      <c r="BB10" t="s">
        <v>59</v>
      </c>
      <c r="BC10" t="s">
        <v>60</v>
      </c>
      <c r="BD10" t="s">
        <v>61</v>
      </c>
      <c r="BE10" t="s">
        <v>62</v>
      </c>
      <c r="BF10" t="s">
        <v>63</v>
      </c>
      <c r="BG10" t="s">
        <v>64</v>
      </c>
      <c r="BI10" t="s">
        <v>50</v>
      </c>
      <c r="BJ10" t="s">
        <v>47</v>
      </c>
      <c r="BK10" t="s">
        <v>219</v>
      </c>
      <c r="BL10" t="s">
        <v>220</v>
      </c>
    </row>
    <row r="11" spans="2:64" x14ac:dyDescent="0.45">
      <c r="B11" t="s">
        <v>139</v>
      </c>
      <c r="C11" t="s">
        <v>31</v>
      </c>
      <c r="D11">
        <v>0</v>
      </c>
      <c r="E11">
        <v>0.39140380694428489</v>
      </c>
      <c r="F11">
        <v>0</v>
      </c>
      <c r="G11">
        <v>0.7979434808674748</v>
      </c>
      <c r="H11">
        <v>0.21025216730482552</v>
      </c>
      <c r="I11">
        <v>0.77785488452202334</v>
      </c>
      <c r="J11">
        <v>0.70731436224942978</v>
      </c>
      <c r="K11">
        <v>0.15030677379552451</v>
      </c>
      <c r="L11">
        <v>0.63066163447912171</v>
      </c>
      <c r="M11">
        <v>0.91452319629465395</v>
      </c>
      <c r="N11">
        <v>0.30384409940669777</v>
      </c>
      <c r="O11">
        <v>0.95645154204190574</v>
      </c>
      <c r="Q11" t="s">
        <v>214</v>
      </c>
      <c r="R11" t="s">
        <v>215</v>
      </c>
      <c r="S11">
        <v>0.9624988013467074</v>
      </c>
      <c r="T11">
        <v>9.1593800374703022E-2</v>
      </c>
      <c r="U11">
        <v>0.45522958554380549</v>
      </c>
      <c r="V11">
        <v>0.61233571912519569</v>
      </c>
      <c r="W11">
        <v>3.4245931441463123E-2</v>
      </c>
      <c r="X11">
        <v>0.41001847414033255</v>
      </c>
      <c r="Y11">
        <v>0.50381715519268255</v>
      </c>
      <c r="Z11">
        <v>1.6502795242835058E-2</v>
      </c>
      <c r="AA11">
        <v>0.30635833441355576</v>
      </c>
      <c r="AB11">
        <v>0.79571976215299589</v>
      </c>
      <c r="AC11">
        <v>5.3378000764214777E-2</v>
      </c>
      <c r="AD11">
        <v>0.27178684625372046</v>
      </c>
      <c r="AF11" t="s">
        <v>214</v>
      </c>
      <c r="AG11" t="s">
        <v>218</v>
      </c>
      <c r="AH11">
        <v>0</v>
      </c>
      <c r="AI11">
        <v>6.7436806536248978E-2</v>
      </c>
      <c r="AJ11">
        <v>0.16668899962598027</v>
      </c>
      <c r="AK11">
        <v>0</v>
      </c>
      <c r="AL11">
        <v>4.3236365820134987E-2</v>
      </c>
      <c r="AM11">
        <v>3.7824044535046167E-3</v>
      </c>
      <c r="AN11">
        <v>0</v>
      </c>
      <c r="AO11">
        <v>3.4402529248244162E-2</v>
      </c>
      <c r="AP11">
        <v>6.4430585036154876E-3</v>
      </c>
      <c r="AQ11">
        <v>0</v>
      </c>
      <c r="AR11">
        <v>6.9701107165573054E-2</v>
      </c>
      <c r="AS11">
        <v>6.5342965195785807E-2</v>
      </c>
      <c r="AU11" t="s">
        <v>139</v>
      </c>
      <c r="AV11">
        <v>0</v>
      </c>
      <c r="AW11">
        <v>0.15290000115939048</v>
      </c>
      <c r="AX11">
        <v>0</v>
      </c>
      <c r="AY11">
        <v>3.8362330470418038E-2</v>
      </c>
      <c r="AZ11">
        <v>0.36732823875503823</v>
      </c>
      <c r="BA11">
        <v>3.128238661173019E-2</v>
      </c>
      <c r="BB11">
        <v>7.4039327382882866E-2</v>
      </c>
      <c r="BC11">
        <v>0.47459176389842911</v>
      </c>
      <c r="BD11">
        <v>7.618977477997152E-2</v>
      </c>
      <c r="BE11">
        <v>1.2858814524037816E-2</v>
      </c>
      <c r="BF11">
        <v>0.24212332278757626</v>
      </c>
      <c r="BG11">
        <v>5.7210758116112521E-3</v>
      </c>
      <c r="BI11" t="s">
        <v>139</v>
      </c>
      <c r="BJ11" t="s">
        <v>221</v>
      </c>
      <c r="BK11" t="s">
        <v>222</v>
      </c>
      <c r="BL11">
        <v>0.44949267001325988</v>
      </c>
    </row>
    <row r="12" spans="2:64" x14ac:dyDescent="0.45">
      <c r="B12" t="s">
        <v>140</v>
      </c>
      <c r="C12" t="s">
        <v>31</v>
      </c>
      <c r="D12">
        <v>0</v>
      </c>
      <c r="E12">
        <v>0.39377848896941275</v>
      </c>
      <c r="F12">
        <v>0</v>
      </c>
      <c r="G12">
        <v>0.80413162746818312</v>
      </c>
      <c r="H12">
        <v>0.20499130524946632</v>
      </c>
      <c r="I12">
        <v>0.76091014739395324</v>
      </c>
      <c r="J12">
        <v>0.70983390726778284</v>
      </c>
      <c r="K12">
        <v>0.14622131613348707</v>
      </c>
      <c r="L12">
        <v>0.61750658575476869</v>
      </c>
      <c r="M12">
        <v>0.92317583038486339</v>
      </c>
      <c r="N12">
        <v>0.29271760962774734</v>
      </c>
      <c r="O12">
        <v>0.95093571957377698</v>
      </c>
      <c r="Q12" t="s">
        <v>216</v>
      </c>
      <c r="R12" t="s">
        <v>215</v>
      </c>
      <c r="S12">
        <v>5.1338442095309631E-3</v>
      </c>
      <c r="T12">
        <v>2.4870169143835813E-3</v>
      </c>
      <c r="U12">
        <v>1.3442027973467345E-3</v>
      </c>
      <c r="V12">
        <v>2.9810331176978533E-3</v>
      </c>
      <c r="W12">
        <v>7.4529597792409108E-3</v>
      </c>
      <c r="X12">
        <v>6.3705101816668875E-3</v>
      </c>
      <c r="Y12">
        <v>8.0179194832837343E-3</v>
      </c>
      <c r="Z12">
        <v>5.9312206055831445E-3</v>
      </c>
      <c r="AA12">
        <v>9.6418401039576798E-3</v>
      </c>
      <c r="AB12">
        <v>9.4841049001645656E-4</v>
      </c>
      <c r="AC12">
        <v>3.6679607440357792E-3</v>
      </c>
      <c r="AD12">
        <v>2.4173873641712817E-3</v>
      </c>
      <c r="AF12" t="s">
        <v>216</v>
      </c>
      <c r="AG12" t="s">
        <v>218</v>
      </c>
      <c r="AH12">
        <v>8.4873727187476048E-3</v>
      </c>
      <c r="AI12">
        <v>7.4141267743514259E-3</v>
      </c>
      <c r="AJ12">
        <v>1.3721869641309437E-2</v>
      </c>
      <c r="AK12">
        <v>2.284338840100722E-2</v>
      </c>
      <c r="AL12">
        <v>1.8339993867870056E-2</v>
      </c>
      <c r="AM12">
        <v>1.4336990909485472E-2</v>
      </c>
      <c r="AN12">
        <v>2.21352120436775E-2</v>
      </c>
      <c r="AO12">
        <v>1.408693716024789E-2</v>
      </c>
      <c r="AP12">
        <v>8.9112359798136764E-3</v>
      </c>
      <c r="AQ12">
        <v>5.3592539654372679E-3</v>
      </c>
      <c r="AR12">
        <v>1.0699824752350427E-2</v>
      </c>
      <c r="AS12">
        <v>2.3597212308449016E-2</v>
      </c>
      <c r="AU12" t="s">
        <v>140</v>
      </c>
      <c r="AV12">
        <v>0</v>
      </c>
      <c r="AW12">
        <v>0.16117790990548514</v>
      </c>
      <c r="AX12">
        <v>0</v>
      </c>
      <c r="AY12">
        <v>3.9236296423355667E-2</v>
      </c>
      <c r="AZ12">
        <v>0.38283913132958136</v>
      </c>
      <c r="BA12">
        <v>3.9167224868553015E-2</v>
      </c>
      <c r="BB12">
        <v>7.224528310996832E-2</v>
      </c>
      <c r="BC12">
        <v>0.48301635487748662</v>
      </c>
      <c r="BD12">
        <v>8.5418879742118842E-2</v>
      </c>
      <c r="BE12">
        <v>1.091124617862604E-2</v>
      </c>
      <c r="BF12">
        <v>0.24951763416748018</v>
      </c>
      <c r="BG12">
        <v>7.381477037727336E-3</v>
      </c>
      <c r="BI12" t="s">
        <v>140</v>
      </c>
      <c r="BJ12" t="s">
        <v>221</v>
      </c>
      <c r="BK12" t="s">
        <v>222</v>
      </c>
      <c r="BL12">
        <v>0.45933201586609163</v>
      </c>
    </row>
    <row r="13" spans="2:64" x14ac:dyDescent="0.45">
      <c r="B13" t="s">
        <v>141</v>
      </c>
      <c r="C13" t="s">
        <v>31</v>
      </c>
      <c r="D13">
        <v>0</v>
      </c>
      <c r="E13">
        <v>0.38660981238595926</v>
      </c>
      <c r="F13">
        <v>0</v>
      </c>
      <c r="G13">
        <v>0.80611042958366785</v>
      </c>
      <c r="H13">
        <v>0.22065242457156919</v>
      </c>
      <c r="I13">
        <v>0.78075267555202077</v>
      </c>
      <c r="J13">
        <v>0.70546485519436786</v>
      </c>
      <c r="K13">
        <v>0.15827929363347951</v>
      </c>
      <c r="L13">
        <v>0.63014078420657249</v>
      </c>
      <c r="M13">
        <v>0.91654502361625279</v>
      </c>
      <c r="N13">
        <v>0.31702006514465159</v>
      </c>
      <c r="O13">
        <v>0.95962015676361989</v>
      </c>
      <c r="Q13" t="s">
        <v>217</v>
      </c>
      <c r="R13" t="s">
        <v>215</v>
      </c>
      <c r="S13">
        <v>4.1324622825062536E-3</v>
      </c>
      <c r="T13">
        <v>3.3364667733817321E-3</v>
      </c>
      <c r="U13">
        <v>1.5391977777421593E-3</v>
      </c>
      <c r="V13">
        <v>3.1995868060619823E-3</v>
      </c>
      <c r="W13">
        <v>2.8392917765315486E-3</v>
      </c>
      <c r="X13">
        <v>2.462597184937184E-3</v>
      </c>
      <c r="Y13">
        <v>2.3596656742095601E-3</v>
      </c>
      <c r="Z13">
        <v>6.102575301493122E-3</v>
      </c>
      <c r="AA13">
        <v>9.1859833394956371E-4</v>
      </c>
      <c r="AB13">
        <v>4.2598708874779304E-3</v>
      </c>
      <c r="AC13">
        <v>1.8547948314151087E-3</v>
      </c>
      <c r="AD13">
        <v>1.446937655470811E-3</v>
      </c>
      <c r="AF13" t="s">
        <v>217</v>
      </c>
      <c r="AG13" t="s">
        <v>218</v>
      </c>
      <c r="AH13">
        <v>8.8856348041988567E-3</v>
      </c>
      <c r="AI13">
        <v>1.0260089357427799E-2</v>
      </c>
      <c r="AJ13">
        <v>7.1659691652039871E-3</v>
      </c>
      <c r="AK13">
        <v>9.4913321487216703E-3</v>
      </c>
      <c r="AL13">
        <v>8.6535349361848129E-3</v>
      </c>
      <c r="AM13">
        <v>4.822876578246575E-3</v>
      </c>
      <c r="AN13">
        <v>9.7877125473264381E-3</v>
      </c>
      <c r="AO13">
        <v>1.246509528547541E-2</v>
      </c>
      <c r="AP13">
        <v>1.5177244980565927E-2</v>
      </c>
      <c r="AQ13">
        <v>1.4129061497553426E-2</v>
      </c>
      <c r="AR13">
        <v>7.8431257665633851E-3</v>
      </c>
      <c r="AS13">
        <v>4.3454421931164453E-3</v>
      </c>
      <c r="AU13" t="s">
        <v>141</v>
      </c>
      <c r="AV13">
        <v>0</v>
      </c>
      <c r="AW13">
        <v>0.14942713219593626</v>
      </c>
      <c r="AX13">
        <v>0</v>
      </c>
      <c r="AY13">
        <v>3.97495008103258E-2</v>
      </c>
      <c r="AZ13">
        <v>0.35652419632746035</v>
      </c>
      <c r="BA13">
        <v>3.4280516063063156E-2</v>
      </c>
      <c r="BB13">
        <v>6.8523282591840179E-2</v>
      </c>
      <c r="BC13">
        <v>0.45127646922095943</v>
      </c>
      <c r="BD13">
        <v>7.9646815666306117E-2</v>
      </c>
      <c r="BE13">
        <v>1.2433501607383371E-2</v>
      </c>
      <c r="BF13">
        <v>0.23186795256628032</v>
      </c>
      <c r="BG13">
        <v>4.803455453442026E-3</v>
      </c>
      <c r="BI13" t="s">
        <v>141</v>
      </c>
      <c r="BJ13" t="s">
        <v>221</v>
      </c>
      <c r="BK13" t="s">
        <v>222</v>
      </c>
      <c r="BL13">
        <v>0.42653584891238255</v>
      </c>
    </row>
    <row r="14" spans="2:64" x14ac:dyDescent="0.45">
      <c r="B14" t="s">
        <v>142</v>
      </c>
      <c r="C14" t="s">
        <v>31</v>
      </c>
      <c r="D14">
        <v>0</v>
      </c>
      <c r="E14">
        <v>0.39009216301773464</v>
      </c>
      <c r="F14">
        <v>0</v>
      </c>
      <c r="G14">
        <v>0.80463521918435543</v>
      </c>
      <c r="H14">
        <v>0.2027389995585003</v>
      </c>
      <c r="I14">
        <v>0.76757518981583273</v>
      </c>
      <c r="J14">
        <v>0.71276122640927631</v>
      </c>
      <c r="K14">
        <v>0.14740585972191472</v>
      </c>
      <c r="L14">
        <v>0.61777057151948966</v>
      </c>
      <c r="M14">
        <v>0.9261396854542524</v>
      </c>
      <c r="N14">
        <v>0.29522361865666219</v>
      </c>
      <c r="O14">
        <v>0.95176635602512716</v>
      </c>
      <c r="AU14" t="s">
        <v>142</v>
      </c>
      <c r="AV14">
        <v>0</v>
      </c>
      <c r="AW14">
        <v>0.15615153021389519</v>
      </c>
      <c r="AX14">
        <v>0</v>
      </c>
      <c r="AY14">
        <v>3.6379666352157287E-2</v>
      </c>
      <c r="AZ14">
        <v>0.38569831778157343</v>
      </c>
      <c r="BA14">
        <v>4.5251576060744023E-2</v>
      </c>
      <c r="BB14">
        <v>6.6809115100171693E-2</v>
      </c>
      <c r="BC14">
        <v>0.47356334421948032</v>
      </c>
      <c r="BD14">
        <v>9.209661475775216E-2</v>
      </c>
      <c r="BE14">
        <v>1.0860319139167766E-2</v>
      </c>
      <c r="BF14">
        <v>0.23467212866749915</v>
      </c>
      <c r="BG14">
        <v>6.9181931796306276E-3</v>
      </c>
      <c r="BI14" t="s">
        <v>142</v>
      </c>
      <c r="BJ14" t="s">
        <v>221</v>
      </c>
      <c r="BK14" t="s">
        <v>222</v>
      </c>
      <c r="BL14">
        <v>0.44206901678723964</v>
      </c>
    </row>
    <row r="15" spans="2:64" x14ac:dyDescent="0.45">
      <c r="B15" t="s">
        <v>143</v>
      </c>
      <c r="C15" t="s">
        <v>31</v>
      </c>
      <c r="D15">
        <v>0</v>
      </c>
      <c r="E15">
        <v>0.35717084429539592</v>
      </c>
      <c r="F15">
        <v>0.98279240980204308</v>
      </c>
      <c r="G15">
        <v>0.83626146726605122</v>
      </c>
      <c r="H15">
        <v>0.19798615206291018</v>
      </c>
      <c r="I15">
        <v>0.74322113057384165</v>
      </c>
      <c r="J15">
        <v>0.74687404589222517</v>
      </c>
      <c r="K15">
        <v>0.13520306250532335</v>
      </c>
      <c r="L15">
        <v>0.59238991526604268</v>
      </c>
      <c r="M15">
        <v>0.9448206760555784</v>
      </c>
      <c r="N15">
        <v>0.2590670881571161</v>
      </c>
      <c r="O15">
        <v>0.93035189541093199</v>
      </c>
      <c r="AU15" t="s">
        <v>143</v>
      </c>
      <c r="AV15">
        <v>0</v>
      </c>
      <c r="AW15">
        <v>0.21321266129721356</v>
      </c>
      <c r="AX15">
        <v>1.8306245089916703E-3</v>
      </c>
      <c r="AY15">
        <v>3.7754151174548729E-2</v>
      </c>
      <c r="AZ15">
        <v>0.43543108398402847</v>
      </c>
      <c r="BA15">
        <v>5.5380690387068325E-2</v>
      </c>
      <c r="BB15">
        <v>6.4154509378136659E-2</v>
      </c>
      <c r="BC15">
        <v>0.52025551731810493</v>
      </c>
      <c r="BD15">
        <v>0.11290308205262603</v>
      </c>
      <c r="BE15">
        <v>1.02539560898377E-2</v>
      </c>
      <c r="BF15">
        <v>0.3083861602234037</v>
      </c>
      <c r="BG15">
        <v>1.2955035348174519E-2</v>
      </c>
      <c r="BI15" t="s">
        <v>143</v>
      </c>
      <c r="BJ15" t="s">
        <v>221</v>
      </c>
      <c r="BK15" t="s">
        <v>222</v>
      </c>
      <c r="BL15">
        <v>0.49461912439721867</v>
      </c>
    </row>
    <row r="16" spans="2:64" x14ac:dyDescent="0.45">
      <c r="B16" t="s">
        <v>144</v>
      </c>
      <c r="C16" t="s">
        <v>31</v>
      </c>
      <c r="D16">
        <v>0</v>
      </c>
      <c r="E16">
        <v>0.36924540522380966</v>
      </c>
      <c r="F16">
        <v>0.98888888888888893</v>
      </c>
      <c r="G16">
        <v>0.81373637531766785</v>
      </c>
      <c r="H16">
        <v>0.20442107409183571</v>
      </c>
      <c r="I16">
        <v>0.74231222831403387</v>
      </c>
      <c r="J16">
        <v>0.72355950513541345</v>
      </c>
      <c r="K16">
        <v>0.14791273650134965</v>
      </c>
      <c r="L16">
        <v>0.60141498300632124</v>
      </c>
      <c r="M16">
        <v>0.93159161211397812</v>
      </c>
      <c r="N16">
        <v>0.28371128875790141</v>
      </c>
      <c r="O16">
        <v>0.9389015295070624</v>
      </c>
      <c r="AU16" t="s">
        <v>144</v>
      </c>
      <c r="AV16">
        <v>0</v>
      </c>
      <c r="AW16">
        <v>0.18567668190406222</v>
      </c>
      <c r="AX16">
        <v>4.7651813713672065E-4</v>
      </c>
      <c r="AY16">
        <v>4.0377680567530196E-2</v>
      </c>
      <c r="AZ16">
        <v>0.40511715968355788</v>
      </c>
      <c r="BA16">
        <v>4.5074219200555675E-2</v>
      </c>
      <c r="BB16">
        <v>6.7983104530838528E-2</v>
      </c>
      <c r="BC16">
        <v>0.4933818345763778</v>
      </c>
      <c r="BD16">
        <v>9.6768241055592827E-2</v>
      </c>
      <c r="BE16">
        <v>9.918270426587902E-3</v>
      </c>
      <c r="BF16">
        <v>0.27189554686696638</v>
      </c>
      <c r="BG16">
        <v>9.5846846262270854E-3</v>
      </c>
      <c r="BI16" t="s">
        <v>144</v>
      </c>
      <c r="BJ16" t="s">
        <v>221</v>
      </c>
      <c r="BK16" t="s">
        <v>222</v>
      </c>
      <c r="BL16">
        <v>0.45882154045269274</v>
      </c>
    </row>
    <row r="17" spans="2:64" x14ac:dyDescent="0.45">
      <c r="B17" t="s">
        <v>145</v>
      </c>
      <c r="C17" t="s">
        <v>31</v>
      </c>
      <c r="D17">
        <v>0</v>
      </c>
      <c r="E17">
        <v>0.38850180064449108</v>
      </c>
      <c r="F17">
        <v>0.98518518518518527</v>
      </c>
      <c r="G17">
        <v>0.81481139514918854</v>
      </c>
      <c r="H17">
        <v>0.19607730653451563</v>
      </c>
      <c r="I17">
        <v>0.74848129149321541</v>
      </c>
      <c r="J17">
        <v>0.72413315200066208</v>
      </c>
      <c r="K17">
        <v>0.13590500376626202</v>
      </c>
      <c r="L17">
        <v>0.58976129370833374</v>
      </c>
      <c r="M17">
        <v>0.93437397191352811</v>
      </c>
      <c r="N17">
        <v>0.27487335943736496</v>
      </c>
      <c r="O17">
        <v>0.92872209135758066</v>
      </c>
      <c r="AU17" t="s">
        <v>145</v>
      </c>
      <c r="AV17">
        <v>0</v>
      </c>
      <c r="AW17">
        <v>0.17056373477471659</v>
      </c>
      <c r="AX17">
        <v>3.7439357445569427E-4</v>
      </c>
      <c r="AY17">
        <v>3.7601650448153903E-2</v>
      </c>
      <c r="AZ17">
        <v>0.42045029357997094</v>
      </c>
      <c r="BA17">
        <v>5.5673718615411205E-2</v>
      </c>
      <c r="BB17">
        <v>6.2647052694774635E-2</v>
      </c>
      <c r="BC17">
        <v>0.50239531510897995</v>
      </c>
      <c r="BD17">
        <v>0.1090934769063</v>
      </c>
      <c r="BE17">
        <v>8.3525907190622872E-3</v>
      </c>
      <c r="BF17">
        <v>0.26346744109141934</v>
      </c>
      <c r="BG17">
        <v>1.1291053772928793E-2</v>
      </c>
      <c r="BI17" t="s">
        <v>145</v>
      </c>
      <c r="BJ17" t="s">
        <v>221</v>
      </c>
      <c r="BK17" t="s">
        <v>222</v>
      </c>
      <c r="BL17">
        <v>0.47135141445189482</v>
      </c>
    </row>
    <row r="18" spans="2:64" x14ac:dyDescent="0.45">
      <c r="B18" t="s">
        <v>146</v>
      </c>
      <c r="C18" t="s">
        <v>31</v>
      </c>
      <c r="D18">
        <v>0.98472222222222217</v>
      </c>
      <c r="E18">
        <v>0.37693010102444524</v>
      </c>
      <c r="F18">
        <v>0</v>
      </c>
      <c r="G18">
        <v>0.74760662091256336</v>
      </c>
      <c r="H18">
        <v>0.18568241816484415</v>
      </c>
      <c r="I18">
        <v>0.85794012692068444</v>
      </c>
      <c r="J18">
        <v>0.6789573616719472</v>
      </c>
      <c r="K18">
        <v>0.12686517174858233</v>
      </c>
      <c r="L18">
        <v>0.73071718046475764</v>
      </c>
      <c r="M18">
        <v>0.87514504302968354</v>
      </c>
      <c r="N18">
        <v>0.27842281411226433</v>
      </c>
      <c r="O18">
        <v>0.98168498168498164</v>
      </c>
      <c r="AU18" t="s">
        <v>146</v>
      </c>
      <c r="AV18">
        <v>3.1552658211411086E-3</v>
      </c>
      <c r="AW18">
        <v>0.18763008685520463</v>
      </c>
      <c r="AX18">
        <v>0</v>
      </c>
      <c r="AY18">
        <v>7.4463108700087946E-2</v>
      </c>
      <c r="AZ18">
        <v>0.46432301325151337</v>
      </c>
      <c r="BA18">
        <v>2.8925162311667616E-2</v>
      </c>
      <c r="BB18">
        <v>9.4767985600943877E-2</v>
      </c>
      <c r="BC18">
        <v>0.53394891707336578</v>
      </c>
      <c r="BD18">
        <v>6.3394245882406483E-2</v>
      </c>
      <c r="BE18">
        <v>2.4311443853591165E-2</v>
      </c>
      <c r="BF18">
        <v>0.29776282737067244</v>
      </c>
      <c r="BG18">
        <v>3.3080706125353221E-3</v>
      </c>
      <c r="BI18" t="s">
        <v>146</v>
      </c>
      <c r="BJ18" t="s">
        <v>221</v>
      </c>
      <c r="BK18" t="s">
        <v>222</v>
      </c>
      <c r="BL18">
        <v>0.50230195333070071</v>
      </c>
    </row>
    <row r="19" spans="2:64" x14ac:dyDescent="0.45">
      <c r="B19" t="s">
        <v>147</v>
      </c>
      <c r="C19" t="s">
        <v>31</v>
      </c>
      <c r="D19">
        <v>0</v>
      </c>
      <c r="E19">
        <v>0.36652008679468973</v>
      </c>
      <c r="F19">
        <v>0.97776818380771613</v>
      </c>
      <c r="G19">
        <v>0.83895701513992316</v>
      </c>
      <c r="H19">
        <v>0.18697735677820224</v>
      </c>
      <c r="I19">
        <v>0.73211499062149532</v>
      </c>
      <c r="J19">
        <v>0.74695216885445581</v>
      </c>
      <c r="K19">
        <v>0.13218074850308106</v>
      </c>
      <c r="L19">
        <v>0.58801540973363609</v>
      </c>
      <c r="M19">
        <v>0.94723205055301851</v>
      </c>
      <c r="N19">
        <v>0.26448132087383697</v>
      </c>
      <c r="O19">
        <v>0.92136352608117889</v>
      </c>
      <c r="AU19" t="s">
        <v>147</v>
      </c>
      <c r="AV19">
        <v>0</v>
      </c>
      <c r="AW19">
        <v>0.18832761725346242</v>
      </c>
      <c r="AX19">
        <v>2.7042676055504659E-3</v>
      </c>
      <c r="AY19">
        <v>3.6314794447973121E-2</v>
      </c>
      <c r="AZ19">
        <v>0.43251290205847087</v>
      </c>
      <c r="BA19">
        <v>6.3776824110255093E-2</v>
      </c>
      <c r="BB19">
        <v>5.5718165255353905E-2</v>
      </c>
      <c r="BC19">
        <v>0.50825887912506529</v>
      </c>
      <c r="BD19">
        <v>0.11703126521595916</v>
      </c>
      <c r="BE19">
        <v>8.2974652875662091E-3</v>
      </c>
      <c r="BF19">
        <v>0.29431322079194927</v>
      </c>
      <c r="BG19">
        <v>1.5432410892276517E-2</v>
      </c>
      <c r="BI19" t="s">
        <v>147</v>
      </c>
      <c r="BJ19" t="s">
        <v>221</v>
      </c>
      <c r="BK19" t="s">
        <v>222</v>
      </c>
      <c r="BL19">
        <v>0.48104419894167166</v>
      </c>
    </row>
    <row r="20" spans="2:64" x14ac:dyDescent="0.45">
      <c r="B20" t="s">
        <v>148</v>
      </c>
      <c r="C20" t="s">
        <v>31</v>
      </c>
      <c r="D20">
        <v>0.9916666666666667</v>
      </c>
      <c r="E20">
        <v>0.39678429544185112</v>
      </c>
      <c r="F20">
        <v>0</v>
      </c>
      <c r="G20">
        <v>0.77636564926761176</v>
      </c>
      <c r="H20">
        <v>0.2279893773254055</v>
      </c>
      <c r="I20">
        <v>0.81515749413664962</v>
      </c>
      <c r="J20">
        <v>0.68473807478077342</v>
      </c>
      <c r="K20">
        <v>0.14196880902698866</v>
      </c>
      <c r="L20">
        <v>0.69926353955093734</v>
      </c>
      <c r="M20">
        <v>0.8915769414332817</v>
      </c>
      <c r="N20">
        <v>0.32478347402603708</v>
      </c>
      <c r="O20">
        <v>0.97014557230416076</v>
      </c>
      <c r="AU20" t="s">
        <v>148</v>
      </c>
      <c r="AV20">
        <v>2.169797804870423E-4</v>
      </c>
      <c r="AW20">
        <v>0.14871897009117069</v>
      </c>
      <c r="AX20">
        <v>0</v>
      </c>
      <c r="AY20">
        <v>4.4246716666605304E-2</v>
      </c>
      <c r="AZ20">
        <v>0.37039505437632042</v>
      </c>
      <c r="BA20">
        <v>2.1053657824448894E-2</v>
      </c>
      <c r="BB20">
        <v>8.938331384372851E-2</v>
      </c>
      <c r="BC20">
        <v>0.48205646972443406</v>
      </c>
      <c r="BD20">
        <v>6.1213183117498342E-2</v>
      </c>
      <c r="BE20">
        <v>1.4736637978845757E-2</v>
      </c>
      <c r="BF20">
        <v>0.23053992600602743</v>
      </c>
      <c r="BG20">
        <v>3.252918332947473E-3</v>
      </c>
      <c r="BI20" t="s">
        <v>148</v>
      </c>
      <c r="BJ20" t="s">
        <v>221</v>
      </c>
      <c r="BK20" t="s">
        <v>222</v>
      </c>
      <c r="BL20">
        <v>0.45961395952590944</v>
      </c>
    </row>
    <row r="21" spans="2:64" x14ac:dyDescent="0.45">
      <c r="B21" t="s">
        <v>149</v>
      </c>
      <c r="C21" t="s">
        <v>31</v>
      </c>
      <c r="D21">
        <v>0.99305555555555547</v>
      </c>
      <c r="E21">
        <v>0.35335793504234647</v>
      </c>
      <c r="F21">
        <v>0</v>
      </c>
      <c r="G21">
        <v>0.78139125956763666</v>
      </c>
      <c r="H21">
        <v>0.23221779787057889</v>
      </c>
      <c r="I21">
        <v>0.81777868298706358</v>
      </c>
      <c r="J21">
        <v>0.68894340226404016</v>
      </c>
      <c r="K21">
        <v>0.13845626167988548</v>
      </c>
      <c r="L21">
        <v>0.70237960691729528</v>
      </c>
      <c r="M21">
        <v>0.89054751389762687</v>
      </c>
      <c r="N21">
        <v>0.30888566956677582</v>
      </c>
      <c r="O21">
        <v>0.96836539785610154</v>
      </c>
      <c r="AU21" t="s">
        <v>149</v>
      </c>
      <c r="AV21">
        <v>4.5554851684411239E-4</v>
      </c>
      <c r="AW21">
        <v>0.19623121992084455</v>
      </c>
      <c r="AX21">
        <v>0</v>
      </c>
      <c r="AY21">
        <v>4.2952160161533193E-2</v>
      </c>
      <c r="AZ21">
        <v>0.3661659692292355</v>
      </c>
      <c r="BA21">
        <v>2.198004784261675E-2</v>
      </c>
      <c r="BB21">
        <v>9.0377864726684728E-2</v>
      </c>
      <c r="BC21">
        <v>0.4952925752002672</v>
      </c>
      <c r="BD21">
        <v>5.9446221147877273E-2</v>
      </c>
      <c r="BE21">
        <v>1.3891726307318584E-2</v>
      </c>
      <c r="BF21">
        <v>0.25281651214154988</v>
      </c>
      <c r="BG21">
        <v>3.895842922127695E-3</v>
      </c>
      <c r="BI21" t="s">
        <v>149</v>
      </c>
      <c r="BJ21" t="s">
        <v>221</v>
      </c>
      <c r="BK21" t="s">
        <v>222</v>
      </c>
      <c r="BL21">
        <v>0.46485496699042017</v>
      </c>
    </row>
    <row r="22" spans="2:64" x14ac:dyDescent="0.45">
      <c r="B22" t="s">
        <v>150</v>
      </c>
      <c r="C22" t="s">
        <v>31</v>
      </c>
      <c r="D22">
        <v>0.99861111111111134</v>
      </c>
      <c r="E22">
        <v>0.40687099722348213</v>
      </c>
      <c r="F22">
        <v>0</v>
      </c>
      <c r="G22">
        <v>0.78875925877377628</v>
      </c>
      <c r="H22">
        <v>0.22103176350342618</v>
      </c>
      <c r="I22">
        <v>0.79202159363726354</v>
      </c>
      <c r="J22">
        <v>0.69511604337768562</v>
      </c>
      <c r="K22">
        <v>0.15362612990106816</v>
      </c>
      <c r="L22">
        <v>0.64513038125107325</v>
      </c>
      <c r="M22">
        <v>0.90571099810567746</v>
      </c>
      <c r="N22">
        <v>0.31781656781407785</v>
      </c>
      <c r="O22">
        <v>0.9615567608471256</v>
      </c>
      <c r="AU22" t="s">
        <v>150</v>
      </c>
      <c r="AV22">
        <v>9.4110862663504054E-7</v>
      </c>
      <c r="AW22">
        <v>0.13997932275031344</v>
      </c>
      <c r="AX22">
        <v>0</v>
      </c>
      <c r="AY22">
        <v>3.911173761989567E-2</v>
      </c>
      <c r="AZ22">
        <v>0.36170318987685657</v>
      </c>
      <c r="BA22">
        <v>2.6099033905294302E-2</v>
      </c>
      <c r="BB22">
        <v>7.7846426292404111E-2</v>
      </c>
      <c r="BC22">
        <v>0.46381902890837995</v>
      </c>
      <c r="BD22">
        <v>7.0432371971590482E-2</v>
      </c>
      <c r="BE22">
        <v>1.2850727841272039E-2</v>
      </c>
      <c r="BF22">
        <v>0.22434441439626943</v>
      </c>
      <c r="BG22">
        <v>3.684974855935295E-3</v>
      </c>
      <c r="BI22" t="s">
        <v>150</v>
      </c>
      <c r="BJ22" t="s">
        <v>221</v>
      </c>
      <c r="BK22" t="s">
        <v>222</v>
      </c>
      <c r="BL22">
        <v>0.4311314368960239</v>
      </c>
    </row>
    <row r="23" spans="2:64" x14ac:dyDescent="0.45">
      <c r="B23" t="s">
        <v>151</v>
      </c>
      <c r="C23" t="s">
        <v>31</v>
      </c>
      <c r="D23">
        <v>0</v>
      </c>
      <c r="E23">
        <v>0.39068452295698891</v>
      </c>
      <c r="F23">
        <v>0</v>
      </c>
      <c r="G23">
        <v>0.79479977772688193</v>
      </c>
      <c r="H23">
        <v>0.23424077074951649</v>
      </c>
      <c r="I23">
        <v>0.79360517963587618</v>
      </c>
      <c r="J23">
        <v>0.70470699040483187</v>
      </c>
      <c r="K23">
        <v>0.14241942065132138</v>
      </c>
      <c r="L23">
        <v>0.6613813506455325</v>
      </c>
      <c r="M23">
        <v>0.91160797322147424</v>
      </c>
      <c r="N23">
        <v>0.31729582011158758</v>
      </c>
      <c r="O23">
        <v>0.9610238094192638</v>
      </c>
      <c r="AU23" t="s">
        <v>151</v>
      </c>
      <c r="AV23">
        <v>0</v>
      </c>
      <c r="AW23">
        <v>0.17062888575661475</v>
      </c>
      <c r="AX23">
        <v>0</v>
      </c>
      <c r="AY23">
        <v>3.7670012397705975E-2</v>
      </c>
      <c r="AZ23">
        <v>0.36432600838532558</v>
      </c>
      <c r="BA23">
        <v>2.7238164770815008E-2</v>
      </c>
      <c r="BB23">
        <v>7.9559941491252936E-2</v>
      </c>
      <c r="BC23">
        <v>0.49303787945686528</v>
      </c>
      <c r="BD23">
        <v>7.0310834592903187E-2</v>
      </c>
      <c r="BE23">
        <v>1.1966043556173837E-2</v>
      </c>
      <c r="BF23">
        <v>0.24925051389380656</v>
      </c>
      <c r="BG23">
        <v>5.2317422846542908E-3</v>
      </c>
      <c r="BI23" t="s">
        <v>151</v>
      </c>
      <c r="BJ23" t="s">
        <v>221</v>
      </c>
      <c r="BK23" t="s">
        <v>222</v>
      </c>
      <c r="BL23">
        <v>0.46901854613987004</v>
      </c>
    </row>
    <row r="24" spans="2:64" x14ac:dyDescent="0.45">
      <c r="B24" t="s">
        <v>152</v>
      </c>
      <c r="C24" t="s">
        <v>31</v>
      </c>
      <c r="D24">
        <v>0</v>
      </c>
      <c r="E24">
        <v>0.40406890494815256</v>
      </c>
      <c r="F24">
        <v>0</v>
      </c>
      <c r="G24">
        <v>0.79008046374110041</v>
      </c>
      <c r="H24">
        <v>0.23410179519364188</v>
      </c>
      <c r="I24">
        <v>0.79431592942202989</v>
      </c>
      <c r="J24">
        <v>0.69941816108394039</v>
      </c>
      <c r="K24">
        <v>0.14609510184532887</v>
      </c>
      <c r="L24">
        <v>0.65862144326020311</v>
      </c>
      <c r="M24">
        <v>0.9109810733300614</v>
      </c>
      <c r="N24">
        <v>0.31164042869427583</v>
      </c>
      <c r="O24">
        <v>0.96088253397260059</v>
      </c>
      <c r="AU24" t="s">
        <v>152</v>
      </c>
      <c r="AV24">
        <v>0</v>
      </c>
      <c r="AW24">
        <v>0.1536110744977735</v>
      </c>
      <c r="AX24">
        <v>0</v>
      </c>
      <c r="AY24">
        <v>3.8842636214626199E-2</v>
      </c>
      <c r="AZ24">
        <v>0.36523850500511967</v>
      </c>
      <c r="BA24">
        <v>2.5666071873030768E-2</v>
      </c>
      <c r="BB24">
        <v>8.1297429824162756E-2</v>
      </c>
      <c r="BC24">
        <v>0.48575053932899837</v>
      </c>
      <c r="BD24">
        <v>6.9448430655298113E-2</v>
      </c>
      <c r="BE24">
        <v>1.2906774982188608E-2</v>
      </c>
      <c r="BF24">
        <v>0.23627451179283313</v>
      </c>
      <c r="BG24">
        <v>4.0805111170368891E-3</v>
      </c>
      <c r="BI24" t="s">
        <v>152</v>
      </c>
      <c r="BJ24" t="s">
        <v>221</v>
      </c>
      <c r="BK24" t="s">
        <v>222</v>
      </c>
      <c r="BL24">
        <v>0.46201866926424412</v>
      </c>
    </row>
    <row r="25" spans="2:64" x14ac:dyDescent="0.45">
      <c r="B25" t="s">
        <v>153</v>
      </c>
      <c r="C25" t="s">
        <v>31</v>
      </c>
      <c r="D25">
        <v>0.99861111111111101</v>
      </c>
      <c r="E25">
        <v>0.24750395372697817</v>
      </c>
      <c r="F25">
        <v>0</v>
      </c>
      <c r="G25">
        <v>0.7951284762421803</v>
      </c>
      <c r="H25">
        <v>0.20044827508947877</v>
      </c>
      <c r="I25">
        <v>0.8063839696583005</v>
      </c>
      <c r="J25">
        <v>0.68979062187791274</v>
      </c>
      <c r="K25">
        <v>8.0290062831193845E-2</v>
      </c>
      <c r="L25">
        <v>0.69246940358053077</v>
      </c>
      <c r="M25">
        <v>0.89877481203176601</v>
      </c>
      <c r="N25">
        <v>0.22906870209563945</v>
      </c>
      <c r="O25">
        <v>0.95735233475686632</v>
      </c>
      <c r="AU25" t="s">
        <v>153</v>
      </c>
      <c r="AV25">
        <v>1.4691066102076437E-4</v>
      </c>
      <c r="AW25">
        <v>0.32896882053596216</v>
      </c>
      <c r="AX25">
        <v>0</v>
      </c>
      <c r="AY25">
        <v>5.6725960333373758E-2</v>
      </c>
      <c r="AZ25">
        <v>0.45975112409067759</v>
      </c>
      <c r="BA25">
        <v>4.2979554296834838E-2</v>
      </c>
      <c r="BB25">
        <v>9.5040680699552002E-2</v>
      </c>
      <c r="BC25">
        <v>0.59374889715302537</v>
      </c>
      <c r="BD25">
        <v>7.9351052255913671E-2</v>
      </c>
      <c r="BE25">
        <v>2.1253315079568905E-2</v>
      </c>
      <c r="BF25">
        <v>0.35722792114969132</v>
      </c>
      <c r="BG25">
        <v>8.2555931423044637E-3</v>
      </c>
      <c r="BI25" t="s">
        <v>153</v>
      </c>
      <c r="BJ25" t="s">
        <v>221</v>
      </c>
      <c r="BK25" t="s">
        <v>222</v>
      </c>
      <c r="BL25">
        <v>0.53058240517516442</v>
      </c>
    </row>
    <row r="26" spans="2:64" x14ac:dyDescent="0.45">
      <c r="B26" t="s">
        <v>154</v>
      </c>
      <c r="C26" t="s">
        <v>31</v>
      </c>
      <c r="D26">
        <v>0</v>
      </c>
      <c r="E26">
        <v>0.22575360103913605</v>
      </c>
      <c r="F26">
        <v>0.99444444444444435</v>
      </c>
      <c r="G26">
        <v>0.79811151973819305</v>
      </c>
      <c r="H26">
        <v>0.17391390145914989</v>
      </c>
      <c r="I26">
        <v>0.78708004560861589</v>
      </c>
      <c r="J26">
        <v>0.70371048256929192</v>
      </c>
      <c r="K26">
        <v>8.1243219317453097E-2</v>
      </c>
      <c r="L26">
        <v>0.6890241707700121</v>
      </c>
      <c r="M26">
        <v>0.90344744241111075</v>
      </c>
      <c r="N26">
        <v>0.20958887820701544</v>
      </c>
      <c r="O26">
        <v>0.95110265221211154</v>
      </c>
      <c r="AU26" t="s">
        <v>154</v>
      </c>
      <c r="AV26">
        <v>0</v>
      </c>
      <c r="AW26">
        <v>0.32145010784051792</v>
      </c>
      <c r="AX26">
        <v>2.7780816027252262E-5</v>
      </c>
      <c r="AY26">
        <v>4.8681962139123451E-2</v>
      </c>
      <c r="AZ26">
        <v>0.47360506717777051</v>
      </c>
      <c r="BA26">
        <v>4.490279290923805E-2</v>
      </c>
      <c r="BB26">
        <v>8.1604831299177866E-2</v>
      </c>
      <c r="BC26">
        <v>0.57948786613670855</v>
      </c>
      <c r="BD26">
        <v>7.9396107548707448E-2</v>
      </c>
      <c r="BE26">
        <v>1.8625653845423303E-2</v>
      </c>
      <c r="BF26">
        <v>0.36882390795375741</v>
      </c>
      <c r="BG26">
        <v>1.0024551721826766E-2</v>
      </c>
      <c r="BI26" t="s">
        <v>154</v>
      </c>
      <c r="BJ26" t="s">
        <v>221</v>
      </c>
      <c r="BK26" t="s">
        <v>222</v>
      </c>
      <c r="BL26">
        <v>0.518605539308441</v>
      </c>
    </row>
    <row r="27" spans="2:64" x14ac:dyDescent="0.45">
      <c r="B27" t="s">
        <v>155</v>
      </c>
      <c r="C27" t="s">
        <v>31</v>
      </c>
      <c r="D27">
        <v>0.97969621365349868</v>
      </c>
      <c r="E27">
        <v>0.23593216170642659</v>
      </c>
      <c r="F27">
        <v>0</v>
      </c>
      <c r="G27">
        <v>0.76050856182191817</v>
      </c>
      <c r="H27">
        <v>0.1647920594853175</v>
      </c>
      <c r="I27">
        <v>0.85558365303443273</v>
      </c>
      <c r="J27">
        <v>0.66816127606853781</v>
      </c>
      <c r="K27">
        <v>6.8652511299989311E-2</v>
      </c>
      <c r="L27">
        <v>0.7200057480876435</v>
      </c>
      <c r="M27">
        <v>0.84708499589315001</v>
      </c>
      <c r="N27">
        <v>0.20044330346316203</v>
      </c>
      <c r="O27">
        <v>0.97802869277515747</v>
      </c>
      <c r="AU27" t="s">
        <v>155</v>
      </c>
      <c r="AV27">
        <v>3.7260595527920351E-3</v>
      </c>
      <c r="AW27">
        <v>0.31021908202714565</v>
      </c>
      <c r="AX27">
        <v>0</v>
      </c>
      <c r="AY27">
        <v>6.3274110800197403E-2</v>
      </c>
      <c r="AZ27">
        <v>0.49299543885775526</v>
      </c>
      <c r="BA27">
        <v>2.7363135334535299E-2</v>
      </c>
      <c r="BB27">
        <v>0.10886225995125839</v>
      </c>
      <c r="BC27">
        <v>0.59797239036354943</v>
      </c>
      <c r="BD27">
        <v>6.2177897084590747E-2</v>
      </c>
      <c r="BE27">
        <v>3.4772006031330079E-2</v>
      </c>
      <c r="BF27">
        <v>0.39190179136901515</v>
      </c>
      <c r="BG27">
        <v>3.3840584916410019E-3</v>
      </c>
      <c r="BI27" t="s">
        <v>155</v>
      </c>
      <c r="BJ27" t="s">
        <v>221</v>
      </c>
      <c r="BK27" t="s">
        <v>222</v>
      </c>
      <c r="BL27">
        <v>0.56320947322022918</v>
      </c>
    </row>
    <row r="28" spans="2:64" x14ac:dyDescent="0.45">
      <c r="B28" t="s">
        <v>156</v>
      </c>
      <c r="C28" t="s">
        <v>31</v>
      </c>
      <c r="D28">
        <v>0.98886368564211302</v>
      </c>
      <c r="E28">
        <v>0.23463521290369754</v>
      </c>
      <c r="F28">
        <v>0</v>
      </c>
      <c r="G28">
        <v>0.77463632119303494</v>
      </c>
      <c r="H28">
        <v>0.18629423399040984</v>
      </c>
      <c r="I28">
        <v>0.82153441712541675</v>
      </c>
      <c r="J28">
        <v>0.67302925195082097</v>
      </c>
      <c r="K28">
        <v>7.6180343609989126E-2</v>
      </c>
      <c r="L28">
        <v>0.6989138120942584</v>
      </c>
      <c r="M28">
        <v>0.87478792088807955</v>
      </c>
      <c r="N28">
        <v>0.21588459807067339</v>
      </c>
      <c r="O28">
        <v>0.96404762650269216</v>
      </c>
      <c r="AU28" t="s">
        <v>156</v>
      </c>
      <c r="AV28">
        <v>1.2038079019371754E-3</v>
      </c>
      <c r="AW28">
        <v>0.34172272870292347</v>
      </c>
      <c r="AX28">
        <v>0</v>
      </c>
      <c r="AY28">
        <v>6.2218134039336327E-2</v>
      </c>
      <c r="AZ28">
        <v>0.48243766550593054</v>
      </c>
      <c r="BA28">
        <v>3.6393811496933562E-2</v>
      </c>
      <c r="BB28">
        <v>0.10241843104673705</v>
      </c>
      <c r="BC28">
        <v>0.57494262460154177</v>
      </c>
      <c r="BD28">
        <v>6.9035512934766216E-2</v>
      </c>
      <c r="BE28">
        <v>2.7086363124140186E-2</v>
      </c>
      <c r="BF28">
        <v>0.36390531752402516</v>
      </c>
      <c r="BG28">
        <v>6.2711367336865326E-3</v>
      </c>
      <c r="BI28" t="s">
        <v>156</v>
      </c>
      <c r="BJ28" t="s">
        <v>221</v>
      </c>
      <c r="BK28" t="s">
        <v>222</v>
      </c>
      <c r="BL28">
        <v>0.46941575585774975</v>
      </c>
    </row>
    <row r="29" spans="2:64" x14ac:dyDescent="0.45">
      <c r="B29" t="s">
        <v>157</v>
      </c>
      <c r="C29" t="s">
        <v>31</v>
      </c>
      <c r="D29">
        <v>0.99444444444444458</v>
      </c>
      <c r="E29">
        <v>0.32197598922610932</v>
      </c>
      <c r="F29">
        <v>0</v>
      </c>
      <c r="G29">
        <v>0.78980379977964721</v>
      </c>
      <c r="H29">
        <v>0.22483149955471526</v>
      </c>
      <c r="I29">
        <v>0.82389266552071383</v>
      </c>
      <c r="J29">
        <v>0.69055719101086266</v>
      </c>
      <c r="K29">
        <v>0.13529472326743833</v>
      </c>
      <c r="L29">
        <v>0.70439797345912636</v>
      </c>
      <c r="M29">
        <v>0.89430226412817471</v>
      </c>
      <c r="N29">
        <v>0.28635284347420487</v>
      </c>
      <c r="O29">
        <v>0.96789879524685818</v>
      </c>
      <c r="AU29" t="s">
        <v>157</v>
      </c>
      <c r="AV29">
        <v>4.9597611853211074E-4</v>
      </c>
      <c r="AW29">
        <v>0.24038916750944042</v>
      </c>
      <c r="AX29">
        <v>0</v>
      </c>
      <c r="AY29">
        <v>4.1292666163049836E-2</v>
      </c>
      <c r="AZ29">
        <v>0.38343817467318675</v>
      </c>
      <c r="BA29">
        <v>2.4324905827154429E-2</v>
      </c>
      <c r="BB29">
        <v>8.8017291569609565E-2</v>
      </c>
      <c r="BC29">
        <v>0.509960875336123</v>
      </c>
      <c r="BD29">
        <v>6.1701315843606476E-2</v>
      </c>
      <c r="BE29">
        <v>1.4100869120159657E-2</v>
      </c>
      <c r="BF29">
        <v>0.2817206253052677</v>
      </c>
      <c r="BG29">
        <v>4.6866646673493426E-3</v>
      </c>
      <c r="BI29" t="s">
        <v>157</v>
      </c>
      <c r="BJ29" t="s">
        <v>221</v>
      </c>
      <c r="BK29" t="s">
        <v>222</v>
      </c>
      <c r="BL29">
        <v>0.47836122774899986</v>
      </c>
    </row>
    <row r="30" spans="2:64" x14ac:dyDescent="0.45">
      <c r="B30" t="s">
        <v>158</v>
      </c>
      <c r="C30" t="s">
        <v>31</v>
      </c>
      <c r="D30">
        <v>0.99375134753835925</v>
      </c>
      <c r="E30">
        <v>0.28217471142753636</v>
      </c>
      <c r="F30">
        <v>0</v>
      </c>
      <c r="G30">
        <v>0.78295954968096815</v>
      </c>
      <c r="H30">
        <v>0.20211541400613067</v>
      </c>
      <c r="I30">
        <v>0.81863082536026122</v>
      </c>
      <c r="J30">
        <v>0.69086770722661117</v>
      </c>
      <c r="K30">
        <v>0.1236085370877691</v>
      </c>
      <c r="L30">
        <v>0.70791437072961261</v>
      </c>
      <c r="M30">
        <v>0.88793570174136416</v>
      </c>
      <c r="N30">
        <v>0.26948244706176616</v>
      </c>
      <c r="O30">
        <v>0.96468217516300936</v>
      </c>
      <c r="AU30" t="s">
        <v>158</v>
      </c>
      <c r="AV30">
        <v>8.4569276147485268E-4</v>
      </c>
      <c r="AW30">
        <v>0.28649046592496141</v>
      </c>
      <c r="AX30">
        <v>0</v>
      </c>
      <c r="AY30">
        <v>4.1981085207154767E-2</v>
      </c>
      <c r="AZ30">
        <v>0.42571407558259372</v>
      </c>
      <c r="BA30">
        <v>2.8131996805800141E-2</v>
      </c>
      <c r="BB30">
        <v>8.6555203222370258E-2</v>
      </c>
      <c r="BC30">
        <v>0.52318040106958119</v>
      </c>
      <c r="BD30">
        <v>6.4279131557477526E-2</v>
      </c>
      <c r="BE30">
        <v>1.6860602255964585E-2</v>
      </c>
      <c r="BF30">
        <v>0.31629515988650853</v>
      </c>
      <c r="BG30">
        <v>4.8743179713440065E-3</v>
      </c>
      <c r="BI30" t="s">
        <v>158</v>
      </c>
      <c r="BJ30" t="s">
        <v>221</v>
      </c>
      <c r="BK30" t="s">
        <v>222</v>
      </c>
      <c r="BL30">
        <v>0.4947404933545364</v>
      </c>
    </row>
    <row r="31" spans="2:64" x14ac:dyDescent="0.45">
      <c r="B31" t="s">
        <v>159</v>
      </c>
      <c r="C31" t="s">
        <v>31</v>
      </c>
      <c r="D31">
        <v>0</v>
      </c>
      <c r="E31">
        <v>0.31449559748471967</v>
      </c>
      <c r="F31">
        <v>0.99444444444444458</v>
      </c>
      <c r="G31">
        <v>0.81363901865631927</v>
      </c>
      <c r="H31">
        <v>0.19531356672656167</v>
      </c>
      <c r="I31">
        <v>0.77796327308361379</v>
      </c>
      <c r="J31">
        <v>0.71581689655795511</v>
      </c>
      <c r="K31">
        <v>0.11825610738045064</v>
      </c>
      <c r="L31">
        <v>0.69212704126918123</v>
      </c>
      <c r="M31">
        <v>0.90985816358737448</v>
      </c>
      <c r="N31">
        <v>0.27833338981756506</v>
      </c>
      <c r="O31">
        <v>0.94919081177684483</v>
      </c>
      <c r="AU31" t="s">
        <v>159</v>
      </c>
      <c r="AV31">
        <v>0</v>
      </c>
      <c r="AW31">
        <v>0.25362864678131519</v>
      </c>
      <c r="AX31">
        <v>3.498907096265061E-4</v>
      </c>
      <c r="AY31">
        <v>3.829944763918286E-2</v>
      </c>
      <c r="AZ31">
        <v>0.42209714478147897</v>
      </c>
      <c r="BA31">
        <v>4.2557651212356613E-2</v>
      </c>
      <c r="BB31">
        <v>7.7779170862590299E-2</v>
      </c>
      <c r="BC31">
        <v>0.54433692704506531</v>
      </c>
      <c r="BD31">
        <v>7.9027625413887304E-2</v>
      </c>
      <c r="BE31">
        <v>1.2917854587025525E-2</v>
      </c>
      <c r="BF31">
        <v>0.30135195680007765</v>
      </c>
      <c r="BG31">
        <v>8.4606018840090048E-3</v>
      </c>
      <c r="BI31" t="s">
        <v>159</v>
      </c>
      <c r="BJ31" t="s">
        <v>221</v>
      </c>
      <c r="BK31" t="s">
        <v>222</v>
      </c>
      <c r="BL31">
        <v>0.50436176964298196</v>
      </c>
    </row>
    <row r="32" spans="2:64" x14ac:dyDescent="0.45">
      <c r="B32" t="s">
        <v>160</v>
      </c>
      <c r="C32" t="s">
        <v>31</v>
      </c>
      <c r="D32">
        <v>0</v>
      </c>
      <c r="E32">
        <v>0.37289992348146839</v>
      </c>
      <c r="F32">
        <v>0</v>
      </c>
      <c r="G32">
        <v>0.79769884125395996</v>
      </c>
      <c r="H32">
        <v>0.21694429878977736</v>
      </c>
      <c r="I32">
        <v>0.78916021665162772</v>
      </c>
      <c r="J32">
        <v>0.70592596549466924</v>
      </c>
      <c r="K32">
        <v>0.14165116711795056</v>
      </c>
      <c r="L32">
        <v>0.66343431979514855</v>
      </c>
      <c r="M32">
        <v>0.91220388821903342</v>
      </c>
      <c r="N32">
        <v>0.30875888096517551</v>
      </c>
      <c r="O32">
        <v>0.95765685072051998</v>
      </c>
      <c r="AU32" t="s">
        <v>160</v>
      </c>
      <c r="AV32">
        <v>0</v>
      </c>
      <c r="AW32">
        <v>0.19389949437494833</v>
      </c>
      <c r="AX32">
        <v>0</v>
      </c>
      <c r="AY32">
        <v>3.5555324400694463E-2</v>
      </c>
      <c r="AZ32">
        <v>0.38123889590983828</v>
      </c>
      <c r="BA32">
        <v>3.1956615647171782E-2</v>
      </c>
      <c r="BB32">
        <v>7.8887822684455419E-2</v>
      </c>
      <c r="BC32">
        <v>0.5054691710377256</v>
      </c>
      <c r="BD32">
        <v>7.3935445465671976E-2</v>
      </c>
      <c r="BE32">
        <v>1.1643748049236317E-2</v>
      </c>
      <c r="BF32">
        <v>0.2638462597716118</v>
      </c>
      <c r="BG32">
        <v>6.6832736073364233E-3</v>
      </c>
      <c r="BI32" t="s">
        <v>160</v>
      </c>
      <c r="BJ32" t="s">
        <v>221</v>
      </c>
      <c r="BK32" t="s">
        <v>222</v>
      </c>
      <c r="BL32">
        <v>0.48143650340700733</v>
      </c>
    </row>
    <row r="33" spans="2:64" x14ac:dyDescent="0.45">
      <c r="B33" t="s">
        <v>161</v>
      </c>
      <c r="C33" t="s">
        <v>31</v>
      </c>
      <c r="D33">
        <v>0</v>
      </c>
      <c r="E33">
        <v>0.34465533340754745</v>
      </c>
      <c r="F33">
        <v>0</v>
      </c>
      <c r="G33">
        <v>0.79489947488099666</v>
      </c>
      <c r="H33">
        <v>0.22904350509959237</v>
      </c>
      <c r="I33">
        <v>0.80504984304832128</v>
      </c>
      <c r="J33">
        <v>0.69750237944537008</v>
      </c>
      <c r="K33">
        <v>0.14113533535640249</v>
      </c>
      <c r="L33">
        <v>0.69373059761772948</v>
      </c>
      <c r="M33">
        <v>0.90278542372021786</v>
      </c>
      <c r="N33">
        <v>0.29456779259547361</v>
      </c>
      <c r="O33">
        <v>0.96445487518810213</v>
      </c>
      <c r="AU33" t="s">
        <v>161</v>
      </c>
      <c r="AV33">
        <v>0</v>
      </c>
      <c r="AW33">
        <v>0.21176807430336247</v>
      </c>
      <c r="AX33">
        <v>0</v>
      </c>
      <c r="AY33">
        <v>3.9929221200411681E-2</v>
      </c>
      <c r="AZ33">
        <v>0.37497118494900528</v>
      </c>
      <c r="BA33">
        <v>2.7380178511298422E-2</v>
      </c>
      <c r="BB33">
        <v>8.6525792676280869E-2</v>
      </c>
      <c r="BC33">
        <v>0.51058781311710211</v>
      </c>
      <c r="BD33">
        <v>6.7167781277399335E-2</v>
      </c>
      <c r="BE33">
        <v>1.3471418590141606E-2</v>
      </c>
      <c r="BF33">
        <v>0.27064836502394957</v>
      </c>
      <c r="BG33">
        <v>5.8753401513151494E-3</v>
      </c>
      <c r="BI33" t="s">
        <v>161</v>
      </c>
      <c r="BJ33" t="s">
        <v>221</v>
      </c>
      <c r="BK33" t="s">
        <v>222</v>
      </c>
      <c r="BL33">
        <v>0.46733483540197013</v>
      </c>
    </row>
    <row r="34" spans="2:64" x14ac:dyDescent="0.45">
      <c r="B34" t="s">
        <v>162</v>
      </c>
      <c r="C34" t="s">
        <v>31</v>
      </c>
      <c r="D34">
        <v>0.99861111111111112</v>
      </c>
      <c r="E34">
        <v>0.31199536308669512</v>
      </c>
      <c r="F34">
        <v>0</v>
      </c>
      <c r="G34">
        <v>0.79477603551429343</v>
      </c>
      <c r="H34">
        <v>0.19646058522000204</v>
      </c>
      <c r="I34">
        <v>0.78449820759254041</v>
      </c>
      <c r="J34">
        <v>0.7010534162326455</v>
      </c>
      <c r="K34">
        <v>0.12919230077073662</v>
      </c>
      <c r="L34">
        <v>0.68378266278205735</v>
      </c>
      <c r="M34">
        <v>0.89919562714682955</v>
      </c>
      <c r="N34">
        <v>0.27869926320878918</v>
      </c>
      <c r="O34">
        <v>0.95485744123887095</v>
      </c>
      <c r="AU34" t="s">
        <v>162</v>
      </c>
      <c r="AV34">
        <v>4.6481673170418982E-6</v>
      </c>
      <c r="AW34">
        <v>0.24525898909341903</v>
      </c>
      <c r="AX34">
        <v>0</v>
      </c>
      <c r="AY34">
        <v>3.7760769036007884E-2</v>
      </c>
      <c r="AZ34">
        <v>0.39772875516855061</v>
      </c>
      <c r="BA34">
        <v>3.4736279693527515E-2</v>
      </c>
      <c r="BB34">
        <v>8.2910736446764638E-2</v>
      </c>
      <c r="BC34">
        <v>0.52870540055637139</v>
      </c>
      <c r="BD34">
        <v>7.4022238902197432E-2</v>
      </c>
      <c r="BE34">
        <v>1.3224485688324657E-2</v>
      </c>
      <c r="BF34">
        <v>0.28498673941958769</v>
      </c>
      <c r="BG34">
        <v>7.2468358872107459E-3</v>
      </c>
      <c r="BI34" t="s">
        <v>162</v>
      </c>
      <c r="BJ34" t="s">
        <v>221</v>
      </c>
      <c r="BK34" t="s">
        <v>222</v>
      </c>
      <c r="BL34">
        <v>0.50683621742917739</v>
      </c>
    </row>
    <row r="35" spans="2:64" x14ac:dyDescent="0.45">
      <c r="B35" t="s">
        <v>163</v>
      </c>
      <c r="C35" t="s">
        <v>31</v>
      </c>
      <c r="D35">
        <v>0</v>
      </c>
      <c r="E35">
        <v>0.28942081040948237</v>
      </c>
      <c r="F35">
        <v>0.97880402591580318</v>
      </c>
      <c r="G35">
        <v>0.84570548100603871</v>
      </c>
      <c r="H35">
        <v>0.18712865406220511</v>
      </c>
      <c r="I35">
        <v>0.75772428899007416</v>
      </c>
      <c r="J35">
        <v>0.77468778438880803</v>
      </c>
      <c r="K35">
        <v>0.12712964780022609</v>
      </c>
      <c r="L35">
        <v>0.62805352626678368</v>
      </c>
      <c r="M35">
        <v>0.93938748191394561</v>
      </c>
      <c r="N35">
        <v>0.25068210404392105</v>
      </c>
      <c r="O35">
        <v>0.93187960668919667</v>
      </c>
      <c r="AU35" t="s">
        <v>163</v>
      </c>
      <c r="AV35">
        <v>0</v>
      </c>
      <c r="AW35">
        <v>0.25896180516846073</v>
      </c>
      <c r="AX35">
        <v>3.7565073382361518E-3</v>
      </c>
      <c r="AY35">
        <v>3.0155398982240289E-2</v>
      </c>
      <c r="AZ35">
        <v>0.43563454618244929</v>
      </c>
      <c r="BA35">
        <v>5.36196074085439E-2</v>
      </c>
      <c r="BB35">
        <v>5.408575297114248E-2</v>
      </c>
      <c r="BC35">
        <v>0.52683626469170086</v>
      </c>
      <c r="BD35">
        <v>0.10339643623592704</v>
      </c>
      <c r="BE35">
        <v>1.0100711931935392E-2</v>
      </c>
      <c r="BF35">
        <v>0.32013563219850089</v>
      </c>
      <c r="BG35">
        <v>1.2446620646828166E-2</v>
      </c>
      <c r="BI35" t="s">
        <v>163</v>
      </c>
      <c r="BJ35" t="s">
        <v>221</v>
      </c>
      <c r="BK35" t="s">
        <v>222</v>
      </c>
      <c r="BL35">
        <v>0.50341675334217517</v>
      </c>
    </row>
    <row r="36" spans="2:64" x14ac:dyDescent="0.45">
      <c r="B36" t="s">
        <v>164</v>
      </c>
      <c r="C36" t="s">
        <v>31</v>
      </c>
      <c r="D36">
        <v>0</v>
      </c>
      <c r="E36">
        <v>0.28075706208907414</v>
      </c>
      <c r="F36">
        <v>0.98213554423380844</v>
      </c>
      <c r="G36">
        <v>0.82185889372686172</v>
      </c>
      <c r="H36">
        <v>0.18672610183064192</v>
      </c>
      <c r="I36">
        <v>0.76971907918197668</v>
      </c>
      <c r="J36">
        <v>0.73785083047165967</v>
      </c>
      <c r="K36">
        <v>0.12505247027798017</v>
      </c>
      <c r="L36">
        <v>0.65902652627957004</v>
      </c>
      <c r="M36">
        <v>0.92020514859513636</v>
      </c>
      <c r="N36">
        <v>0.25441344980520797</v>
      </c>
      <c r="O36">
        <v>0.94098957580956943</v>
      </c>
      <c r="AU36" t="s">
        <v>164</v>
      </c>
      <c r="AV36">
        <v>0</v>
      </c>
      <c r="AW36">
        <v>0.28074842945118905</v>
      </c>
      <c r="AX36">
        <v>1.6159047175175517E-3</v>
      </c>
      <c r="AY36">
        <v>3.5300480705600344E-2</v>
      </c>
      <c r="AZ36">
        <v>0.43655616700663141</v>
      </c>
      <c r="BA36">
        <v>4.4269640835166636E-2</v>
      </c>
      <c r="BB36">
        <v>6.3940951490698325E-2</v>
      </c>
      <c r="BC36">
        <v>0.53091424260071496</v>
      </c>
      <c r="BD36">
        <v>8.0229815047729386E-2</v>
      </c>
      <c r="BE36">
        <v>1.232824545651892E-2</v>
      </c>
      <c r="BF36">
        <v>0.3187487655663358</v>
      </c>
      <c r="BG36">
        <v>1.0337844599958564E-2</v>
      </c>
      <c r="BI36" t="s">
        <v>164</v>
      </c>
      <c r="BJ36" t="s">
        <v>221</v>
      </c>
      <c r="BK36" t="s">
        <v>222</v>
      </c>
      <c r="BL36">
        <v>0.48197125559713205</v>
      </c>
    </row>
    <row r="37" spans="2:64" x14ac:dyDescent="0.45">
      <c r="B37" t="s">
        <v>165</v>
      </c>
      <c r="C37" t="s">
        <v>31</v>
      </c>
      <c r="D37">
        <v>0</v>
      </c>
      <c r="E37">
        <v>0.35659579021282056</v>
      </c>
      <c r="F37">
        <v>0.99629629629629657</v>
      </c>
      <c r="G37">
        <v>0.81401911134537219</v>
      </c>
      <c r="H37">
        <v>0.19443722748886924</v>
      </c>
      <c r="I37">
        <v>0.76911248558798295</v>
      </c>
      <c r="J37">
        <v>0.71721418204139076</v>
      </c>
      <c r="K37">
        <v>0.13436629852607221</v>
      </c>
      <c r="L37">
        <v>0.6578087600421928</v>
      </c>
      <c r="M37">
        <v>0.92291607508811491</v>
      </c>
      <c r="N37">
        <v>0.2954602539362024</v>
      </c>
      <c r="O37">
        <v>0.95355502184815533</v>
      </c>
      <c r="AU37" t="s">
        <v>165</v>
      </c>
      <c r="AV37">
        <v>0</v>
      </c>
      <c r="AW37">
        <v>0.2308065780696032</v>
      </c>
      <c r="AX37">
        <v>2.1902879121284342E-4</v>
      </c>
      <c r="AY37">
        <v>3.4741190021294457E-2</v>
      </c>
      <c r="AZ37">
        <v>0.40307027355044034</v>
      </c>
      <c r="BA37">
        <v>4.1377571690530954E-2</v>
      </c>
      <c r="BB37">
        <v>7.6403729105692902E-2</v>
      </c>
      <c r="BC37">
        <v>0.52215628831990413</v>
      </c>
      <c r="BD37">
        <v>8.3060799970996704E-2</v>
      </c>
      <c r="BE37">
        <v>1.1051467355471564E-2</v>
      </c>
      <c r="BF37">
        <v>0.27833055448279559</v>
      </c>
      <c r="BG37">
        <v>8.3431127143118455E-3</v>
      </c>
      <c r="BI37" t="s">
        <v>165</v>
      </c>
      <c r="BJ37" t="s">
        <v>221</v>
      </c>
      <c r="BK37" t="s">
        <v>222</v>
      </c>
      <c r="BL37">
        <v>0.49112652522853539</v>
      </c>
    </row>
    <row r="38" spans="2:64" x14ac:dyDescent="0.45">
      <c r="B38" t="s">
        <v>166</v>
      </c>
      <c r="C38" t="s">
        <v>31</v>
      </c>
      <c r="D38">
        <v>0</v>
      </c>
      <c r="E38">
        <v>0.34697558273903933</v>
      </c>
      <c r="F38">
        <v>0.99259259259259247</v>
      </c>
      <c r="G38">
        <v>0.81550967417949793</v>
      </c>
      <c r="H38">
        <v>0.19352108780334262</v>
      </c>
      <c r="I38">
        <v>0.76322871700183936</v>
      </c>
      <c r="J38">
        <v>0.71673952191845958</v>
      </c>
      <c r="K38">
        <v>0.13383905468213836</v>
      </c>
      <c r="L38">
        <v>0.62113034396078359</v>
      </c>
      <c r="M38">
        <v>0.92925413477385432</v>
      </c>
      <c r="N38">
        <v>0.29251491556045522</v>
      </c>
      <c r="O38">
        <v>0.94805191328498506</v>
      </c>
      <c r="AU38" t="s">
        <v>166</v>
      </c>
      <c r="AV38">
        <v>0</v>
      </c>
      <c r="AW38">
        <v>0.21679257403607258</v>
      </c>
      <c r="AX38">
        <v>1.0211624095326261E-3</v>
      </c>
      <c r="AY38">
        <v>3.7086383476423256E-2</v>
      </c>
      <c r="AZ38">
        <v>0.41152897493644391</v>
      </c>
      <c r="BA38">
        <v>4.239322445642716E-2</v>
      </c>
      <c r="BB38">
        <v>7.4630203755448501E-2</v>
      </c>
      <c r="BC38">
        <v>0.51341225476892183</v>
      </c>
      <c r="BD38">
        <v>9.1287078563238533E-2</v>
      </c>
      <c r="BE38">
        <v>9.6643579478880026E-3</v>
      </c>
      <c r="BF38">
        <v>0.27207944135199219</v>
      </c>
      <c r="BG38">
        <v>8.6499231764635177E-3</v>
      </c>
      <c r="BI38" t="s">
        <v>166</v>
      </c>
      <c r="BJ38" t="s">
        <v>221</v>
      </c>
      <c r="BK38" t="s">
        <v>222</v>
      </c>
      <c r="BL38">
        <v>0.48105767746864403</v>
      </c>
    </row>
    <row r="39" spans="2:64" x14ac:dyDescent="0.45">
      <c r="B39" t="s">
        <v>167</v>
      </c>
      <c r="C39" t="s">
        <v>31</v>
      </c>
      <c r="D39">
        <v>0</v>
      </c>
      <c r="E39">
        <v>0.31169265938829971</v>
      </c>
      <c r="F39">
        <v>0.98511027433154208</v>
      </c>
      <c r="G39">
        <v>0.82739510201824829</v>
      </c>
      <c r="H39">
        <v>0.17922854408440514</v>
      </c>
      <c r="I39">
        <v>0.76356567241538875</v>
      </c>
      <c r="J39">
        <v>0.73624641356309384</v>
      </c>
      <c r="K39">
        <v>0.12698783784539483</v>
      </c>
      <c r="L39">
        <v>0.64010265975366276</v>
      </c>
      <c r="M39">
        <v>0.93138520363145905</v>
      </c>
      <c r="N39">
        <v>0.26674421541331678</v>
      </c>
      <c r="O39">
        <v>0.94176078245320094</v>
      </c>
      <c r="AU39" t="s">
        <v>167</v>
      </c>
      <c r="AV39">
        <v>0</v>
      </c>
      <c r="AW39">
        <v>0.26156234839316145</v>
      </c>
      <c r="AX39">
        <v>2.589715791616736E-3</v>
      </c>
      <c r="AY39">
        <v>3.7449802089039613E-2</v>
      </c>
      <c r="AZ39">
        <v>0.43617300565961181</v>
      </c>
      <c r="BA39">
        <v>4.7009887319908718E-2</v>
      </c>
      <c r="BB39">
        <v>6.823248289816497E-2</v>
      </c>
      <c r="BC39">
        <v>0.52818606901886467</v>
      </c>
      <c r="BD39">
        <v>9.0686781636970387E-2</v>
      </c>
      <c r="BE39">
        <v>1.0403771066669664E-2</v>
      </c>
      <c r="BF39">
        <v>0.30359473086264366</v>
      </c>
      <c r="BG39">
        <v>1.0034848932422031E-2</v>
      </c>
      <c r="BI39" t="s">
        <v>167</v>
      </c>
      <c r="BJ39" t="s">
        <v>221</v>
      </c>
      <c r="BK39" t="s">
        <v>222</v>
      </c>
      <c r="BL39">
        <v>0.50079372286124213</v>
      </c>
    </row>
    <row r="40" spans="2:64" x14ac:dyDescent="0.45">
      <c r="B40" t="s">
        <v>168</v>
      </c>
      <c r="C40" t="s">
        <v>31</v>
      </c>
      <c r="D40">
        <v>0</v>
      </c>
      <c r="E40">
        <v>0.32668553796954425</v>
      </c>
      <c r="F40">
        <v>0.98233022617235721</v>
      </c>
      <c r="G40">
        <v>0.83230181199591269</v>
      </c>
      <c r="H40">
        <v>0.16501295860518836</v>
      </c>
      <c r="I40">
        <v>0.74527492231970338</v>
      </c>
      <c r="J40">
        <v>0.7370493373303344</v>
      </c>
      <c r="K40">
        <v>0.12053059113545547</v>
      </c>
      <c r="L40">
        <v>0.61118082206873792</v>
      </c>
      <c r="M40">
        <v>0.9387366639569007</v>
      </c>
      <c r="N40">
        <v>0.26327155000896091</v>
      </c>
      <c r="O40">
        <v>0.93351952068373634</v>
      </c>
      <c r="AU40" t="s">
        <v>168</v>
      </c>
      <c r="AV40">
        <v>0</v>
      </c>
      <c r="AW40">
        <v>0.24643628766317116</v>
      </c>
      <c r="AX40">
        <v>2.8802074137084951E-3</v>
      </c>
      <c r="AY40">
        <v>3.787916494980173E-2</v>
      </c>
      <c r="AZ40">
        <v>0.44876010285869566</v>
      </c>
      <c r="BA40">
        <v>5.4664908980198892E-2</v>
      </c>
      <c r="BB40">
        <v>6.8212478352891209E-2</v>
      </c>
      <c r="BC40">
        <v>0.53181508201418781</v>
      </c>
      <c r="BD40">
        <v>0.1064479761629607</v>
      </c>
      <c r="BE40">
        <v>9.7059844276429236E-3</v>
      </c>
      <c r="BF40">
        <v>0.30598303368307794</v>
      </c>
      <c r="BG40">
        <v>1.1751732642697178E-2</v>
      </c>
      <c r="BI40" t="s">
        <v>168</v>
      </c>
      <c r="BJ40" t="s">
        <v>221</v>
      </c>
      <c r="BK40" t="s">
        <v>222</v>
      </c>
      <c r="BL40">
        <v>0.50296934717596353</v>
      </c>
    </row>
    <row r="41" spans="2:64" x14ac:dyDescent="0.45">
      <c r="B41" t="s">
        <v>169</v>
      </c>
      <c r="C41" t="s">
        <v>31</v>
      </c>
      <c r="D41">
        <v>0.27930550006509325</v>
      </c>
      <c r="E41">
        <v>0.32990139606317603</v>
      </c>
      <c r="F41">
        <v>0.28422890312555521</v>
      </c>
      <c r="G41">
        <v>0.31405070545293012</v>
      </c>
      <c r="H41">
        <v>0.33973060747491279</v>
      </c>
      <c r="I41">
        <v>0.30759671029835156</v>
      </c>
      <c r="J41">
        <v>0.41645420012296941</v>
      </c>
      <c r="K41">
        <v>0.42561115817948109</v>
      </c>
      <c r="L41">
        <v>0.38902275978514872</v>
      </c>
      <c r="M41">
        <v>0.28625036554823974</v>
      </c>
      <c r="N41">
        <v>0.32428225928573623</v>
      </c>
      <c r="O41">
        <v>0.28255757521187264</v>
      </c>
      <c r="AU41" t="s">
        <v>169</v>
      </c>
      <c r="AV41">
        <v>0.56095517981531662</v>
      </c>
      <c r="AW41">
        <v>0.52707591864487902</v>
      </c>
      <c r="AX41">
        <v>0.57238972141395283</v>
      </c>
      <c r="AY41">
        <v>0.50226471678054563</v>
      </c>
      <c r="AZ41">
        <v>0.48859758962048411</v>
      </c>
      <c r="BA41">
        <v>0.50903976521280259</v>
      </c>
      <c r="BB41">
        <v>0.3807047295897617</v>
      </c>
      <c r="BC41">
        <v>0.35366359177656276</v>
      </c>
      <c r="BD41">
        <v>0.40988543283250473</v>
      </c>
      <c r="BE41">
        <v>0.57567941913079446</v>
      </c>
      <c r="BF41">
        <v>0.52454998482408832</v>
      </c>
      <c r="BG41">
        <v>0.5730295276152404</v>
      </c>
      <c r="BI41" t="s">
        <v>186</v>
      </c>
      <c r="BJ41" t="s">
        <v>221</v>
      </c>
      <c r="BK41" t="s">
        <v>222</v>
      </c>
      <c r="BL41">
        <v>0.35727580375455809</v>
      </c>
    </row>
    <row r="42" spans="2:64" x14ac:dyDescent="0.45">
      <c r="B42" t="s">
        <v>170</v>
      </c>
      <c r="C42" t="s">
        <v>31</v>
      </c>
      <c r="D42">
        <v>0.52765885697636217</v>
      </c>
      <c r="E42">
        <v>0.52964832480954671</v>
      </c>
      <c r="F42">
        <v>0.54495033122146996</v>
      </c>
      <c r="G42">
        <v>0.43951839857248426</v>
      </c>
      <c r="H42">
        <v>0.44850607369434986</v>
      </c>
      <c r="I42">
        <v>0.45360142754083699</v>
      </c>
      <c r="J42">
        <v>0.57772274793389111</v>
      </c>
      <c r="K42">
        <v>0.55514609652563696</v>
      </c>
      <c r="L42">
        <v>0.54097145629421173</v>
      </c>
      <c r="M42">
        <v>0.49743788154664514</v>
      </c>
      <c r="N42">
        <v>0.50221768582770243</v>
      </c>
      <c r="O42">
        <v>0.4777550040358014</v>
      </c>
      <c r="AU42" t="s">
        <v>170</v>
      </c>
      <c r="AV42">
        <v>0.19916653304834309</v>
      </c>
      <c r="AW42">
        <v>0.1907456962273309</v>
      </c>
      <c r="AX42">
        <v>0.19498815301412137</v>
      </c>
      <c r="AY42">
        <v>0.29508270695733613</v>
      </c>
      <c r="AZ42">
        <v>0.29191544546987175</v>
      </c>
      <c r="BA42">
        <v>0.27988959496167498</v>
      </c>
      <c r="BB42">
        <v>7.1400223327135762E-2</v>
      </c>
      <c r="BC42">
        <v>7.3008895775533489E-2</v>
      </c>
      <c r="BD42">
        <v>8.7995574945321148E-2</v>
      </c>
      <c r="BE42">
        <v>0.28249007495364126</v>
      </c>
      <c r="BF42">
        <v>0.27005474572163296</v>
      </c>
      <c r="BG42">
        <v>0.29346363468256303</v>
      </c>
      <c r="BI42" t="s">
        <v>187</v>
      </c>
      <c r="BJ42" t="s">
        <v>221</v>
      </c>
      <c r="BK42" t="s">
        <v>222</v>
      </c>
      <c r="BL42">
        <v>0.31133234860969461</v>
      </c>
    </row>
    <row r="43" spans="2:64" x14ac:dyDescent="0.45">
      <c r="B43" t="s">
        <v>171</v>
      </c>
      <c r="C43" t="s">
        <v>31</v>
      </c>
      <c r="D43">
        <v>0.51245035213514989</v>
      </c>
      <c r="E43">
        <v>0.51341274981653229</v>
      </c>
      <c r="F43">
        <v>0.50180747456371255</v>
      </c>
      <c r="G43">
        <v>0.44420072993843901</v>
      </c>
      <c r="H43">
        <v>0.43519311593476467</v>
      </c>
      <c r="I43">
        <v>0.43558748955619575</v>
      </c>
      <c r="J43">
        <v>0.56733828836145217</v>
      </c>
      <c r="K43">
        <v>0.57838012597422539</v>
      </c>
      <c r="L43">
        <v>0.51527087120413517</v>
      </c>
      <c r="M43">
        <v>0.46504565573743561</v>
      </c>
      <c r="N43">
        <v>0.46557388253486598</v>
      </c>
      <c r="O43">
        <v>0.45707487877891567</v>
      </c>
      <c r="AU43" t="s">
        <v>171</v>
      </c>
      <c r="AV43">
        <v>0.25355030151265068</v>
      </c>
      <c r="AW43">
        <v>0.26103614282171905</v>
      </c>
      <c r="AX43">
        <v>0.25161476772047947</v>
      </c>
      <c r="AY43">
        <v>0.32992259791529899</v>
      </c>
      <c r="AZ43">
        <v>0.32965067599107067</v>
      </c>
      <c r="BA43">
        <v>0.33023856634367077</v>
      </c>
      <c r="BB43">
        <v>0.10356884881355988</v>
      </c>
      <c r="BC43">
        <v>0.10020259091903098</v>
      </c>
      <c r="BD43">
        <v>0.11552147126423289</v>
      </c>
      <c r="BE43">
        <v>0.3241148926080728</v>
      </c>
      <c r="BF43">
        <v>0.29365512775906949</v>
      </c>
      <c r="BG43">
        <v>0.33715309650854625</v>
      </c>
      <c r="BI43" t="s">
        <v>188</v>
      </c>
      <c r="BJ43" t="s">
        <v>221</v>
      </c>
      <c r="BK43" t="s">
        <v>222</v>
      </c>
      <c r="BL43">
        <v>0.13530941055316914</v>
      </c>
    </row>
    <row r="44" spans="2:64" x14ac:dyDescent="0.45">
      <c r="B44" t="s">
        <v>172</v>
      </c>
      <c r="C44" t="s">
        <v>31</v>
      </c>
      <c r="D44">
        <v>0.56415856895567362</v>
      </c>
      <c r="E44">
        <v>0.55289349920998387</v>
      </c>
      <c r="F44">
        <v>0.56031650728741755</v>
      </c>
      <c r="G44">
        <v>0.52044316927216083</v>
      </c>
      <c r="H44">
        <v>0.53028524491624851</v>
      </c>
      <c r="I44">
        <v>0.55195270786472761</v>
      </c>
      <c r="J44">
        <v>0.64093646641602275</v>
      </c>
      <c r="K44">
        <v>0.62447850861899978</v>
      </c>
      <c r="L44">
        <v>0.59107394071717501</v>
      </c>
      <c r="M44">
        <v>0.49453831361022593</v>
      </c>
      <c r="N44">
        <v>0.48115370332538226</v>
      </c>
      <c r="O44">
        <v>0.46252129598929198</v>
      </c>
      <c r="AU44" t="s">
        <v>172</v>
      </c>
      <c r="AV44">
        <v>0.25312024231873248</v>
      </c>
      <c r="AW44">
        <v>0.27984784656796502</v>
      </c>
      <c r="AX44">
        <v>0.25221668254540169</v>
      </c>
      <c r="AY44">
        <v>0.31434946260008856</v>
      </c>
      <c r="AZ44">
        <v>0.31349435652310026</v>
      </c>
      <c r="BA44">
        <v>0.31663337569334549</v>
      </c>
      <c r="BB44">
        <v>0.10045559234382463</v>
      </c>
      <c r="BC44">
        <v>9.8288209310987695E-2</v>
      </c>
      <c r="BD44">
        <v>9.5304407177912984E-2</v>
      </c>
      <c r="BE44">
        <v>0.30897223514344618</v>
      </c>
      <c r="BF44">
        <v>0.33495155257641668</v>
      </c>
      <c r="BG44">
        <v>0.36206060737194373</v>
      </c>
      <c r="BI44" t="s">
        <v>189</v>
      </c>
      <c r="BJ44" t="s">
        <v>221</v>
      </c>
      <c r="BK44" t="s">
        <v>222</v>
      </c>
      <c r="BL44">
        <v>0.26018872973033946</v>
      </c>
    </row>
    <row r="45" spans="2:64" x14ac:dyDescent="0.45">
      <c r="B45" t="s">
        <v>173</v>
      </c>
      <c r="C45" t="s">
        <v>31</v>
      </c>
      <c r="D45">
        <v>0.43774976729268544</v>
      </c>
      <c r="E45">
        <v>0.46556468037247112</v>
      </c>
      <c r="F45">
        <v>0.43754132931383827</v>
      </c>
      <c r="G45">
        <v>0.34827053148076981</v>
      </c>
      <c r="H45">
        <v>0.34391081176223859</v>
      </c>
      <c r="I45">
        <v>0.34656370603493608</v>
      </c>
      <c r="J45">
        <v>0.51982832379268529</v>
      </c>
      <c r="K45">
        <v>0.52486579406202394</v>
      </c>
      <c r="L45">
        <v>0.48249161907872157</v>
      </c>
      <c r="M45">
        <v>0.42246756923077833</v>
      </c>
      <c r="N45">
        <v>0.43828983397609089</v>
      </c>
      <c r="O45">
        <v>0.40666075964761084</v>
      </c>
      <c r="AU45" t="s">
        <v>173</v>
      </c>
      <c r="AV45">
        <v>0.28340819390518079</v>
      </c>
      <c r="AW45">
        <v>0.28985317933702542</v>
      </c>
      <c r="AX45">
        <v>0.29232788789850589</v>
      </c>
      <c r="AY45">
        <v>0.33155399334316255</v>
      </c>
      <c r="AZ45">
        <v>0.36108585674531279</v>
      </c>
      <c r="BA45">
        <v>0.35087189033354976</v>
      </c>
      <c r="BB45">
        <v>0.11001777521171124</v>
      </c>
      <c r="BC45">
        <v>0.12224274315391069</v>
      </c>
      <c r="BD45">
        <v>0.1338309416284881</v>
      </c>
      <c r="BE45">
        <v>0.28819534215406262</v>
      </c>
      <c r="BF45">
        <v>0.30702591279370439</v>
      </c>
      <c r="BG45">
        <v>0.30619577033702428</v>
      </c>
      <c r="BI45" t="s">
        <v>190</v>
      </c>
      <c r="BJ45" t="s">
        <v>221</v>
      </c>
      <c r="BK45" t="s">
        <v>222</v>
      </c>
      <c r="BL45">
        <v>0.16293067906394901</v>
      </c>
    </row>
    <row r="46" spans="2:64" x14ac:dyDescent="0.45">
      <c r="B46" t="s">
        <v>174</v>
      </c>
      <c r="C46" t="s">
        <v>31</v>
      </c>
      <c r="D46">
        <v>0.49857973866559163</v>
      </c>
      <c r="E46">
        <v>0.4952560886016833</v>
      </c>
      <c r="F46">
        <v>0.49220404122866079</v>
      </c>
      <c r="G46">
        <v>0.44107577431835604</v>
      </c>
      <c r="H46">
        <v>0.43796498099823811</v>
      </c>
      <c r="I46">
        <v>0.4204273582199427</v>
      </c>
      <c r="J46">
        <v>0.61314733481018946</v>
      </c>
      <c r="K46">
        <v>0.51903308890033695</v>
      </c>
      <c r="L46">
        <v>0.56935460860718667</v>
      </c>
      <c r="M46">
        <v>0.47062327629667333</v>
      </c>
      <c r="N46">
        <v>0.47523673236431457</v>
      </c>
      <c r="O46">
        <v>0.44620783812201698</v>
      </c>
      <c r="AU46" t="s">
        <v>174</v>
      </c>
      <c r="AV46">
        <v>0.25296640337968268</v>
      </c>
      <c r="AW46">
        <v>0.2824200671035918</v>
      </c>
      <c r="AX46">
        <v>0.27373108804423152</v>
      </c>
      <c r="AY46">
        <v>0.28930462519200956</v>
      </c>
      <c r="AZ46">
        <v>0.30104334223429219</v>
      </c>
      <c r="BA46">
        <v>0.30545340023279771</v>
      </c>
      <c r="BB46">
        <v>8.4038162104656172E-2</v>
      </c>
      <c r="BC46">
        <v>0.10921144418260513</v>
      </c>
      <c r="BD46">
        <v>9.5006039933122982E-2</v>
      </c>
      <c r="BE46">
        <v>0.26550848331069354</v>
      </c>
      <c r="BF46">
        <v>0.27187202910852848</v>
      </c>
      <c r="BG46">
        <v>0.29337608256425363</v>
      </c>
      <c r="BI46" t="s">
        <v>191</v>
      </c>
      <c r="BJ46" t="s">
        <v>221</v>
      </c>
      <c r="BK46" t="s">
        <v>222</v>
      </c>
      <c r="BL46">
        <v>0.39065279169945982</v>
      </c>
    </row>
    <row r="47" spans="2:64" x14ac:dyDescent="0.45">
      <c r="B47" t="s">
        <v>175</v>
      </c>
      <c r="C47" t="s">
        <v>31</v>
      </c>
      <c r="D47">
        <v>0.38429302603226151</v>
      </c>
      <c r="E47">
        <v>0.4091290342077844</v>
      </c>
      <c r="F47">
        <v>0.37571553773305882</v>
      </c>
      <c r="G47">
        <v>0.4142190742476205</v>
      </c>
      <c r="H47">
        <v>0.34912803183435859</v>
      </c>
      <c r="I47">
        <v>0.32895015320189724</v>
      </c>
      <c r="J47">
        <v>0.55964670546587203</v>
      </c>
      <c r="K47">
        <v>0.52331595283009713</v>
      </c>
      <c r="L47">
        <v>0.53970502900514405</v>
      </c>
      <c r="M47">
        <v>0.41485178600565387</v>
      </c>
      <c r="N47">
        <v>0.4207856142184937</v>
      </c>
      <c r="O47">
        <v>0.39417966962372142</v>
      </c>
      <c r="AU47" t="s">
        <v>175</v>
      </c>
      <c r="AV47">
        <v>0.39310994186249915</v>
      </c>
      <c r="AW47">
        <v>0.39092160769398132</v>
      </c>
      <c r="AX47">
        <v>0.40632992505766219</v>
      </c>
      <c r="AY47">
        <v>0.39964804463894937</v>
      </c>
      <c r="AZ47">
        <v>0.46951171266354291</v>
      </c>
      <c r="BA47">
        <v>0.47525904968017835</v>
      </c>
      <c r="BB47">
        <v>0.19608436074041699</v>
      </c>
      <c r="BC47">
        <v>0.21308711796020316</v>
      </c>
      <c r="BD47">
        <v>0.24945067436620705</v>
      </c>
      <c r="BE47">
        <v>0.41622586404310569</v>
      </c>
      <c r="BF47">
        <v>0.40390491321737387</v>
      </c>
      <c r="BG47">
        <v>0.44000118796331195</v>
      </c>
      <c r="BI47" t="s">
        <v>192</v>
      </c>
      <c r="BJ47" t="s">
        <v>221</v>
      </c>
      <c r="BK47" t="s">
        <v>222</v>
      </c>
      <c r="BL47">
        <v>0.37988055529520121</v>
      </c>
    </row>
    <row r="48" spans="2:64" x14ac:dyDescent="0.45">
      <c r="B48" t="s">
        <v>176</v>
      </c>
      <c r="C48" t="s">
        <v>31</v>
      </c>
      <c r="D48">
        <v>0.53149182478736967</v>
      </c>
      <c r="E48">
        <v>0.56598648314260069</v>
      </c>
      <c r="F48">
        <v>0.50033795428558803</v>
      </c>
      <c r="G48">
        <v>0.57435980481599969</v>
      </c>
      <c r="H48">
        <v>0.48059699198597067</v>
      </c>
      <c r="I48">
        <v>0.50422400557150504</v>
      </c>
      <c r="J48">
        <v>0.67278850533027701</v>
      </c>
      <c r="K48">
        <v>0.55554062929764036</v>
      </c>
      <c r="L48">
        <v>0.57501224474142199</v>
      </c>
      <c r="M48">
        <v>0.54223352505703382</v>
      </c>
      <c r="N48">
        <v>0.52351352816433561</v>
      </c>
      <c r="O48">
        <v>0.51522494468408664</v>
      </c>
      <c r="AU48" t="s">
        <v>176</v>
      </c>
      <c r="AV48">
        <v>0.23947364602286436</v>
      </c>
      <c r="AW48">
        <v>0.24446354317897209</v>
      </c>
      <c r="AX48">
        <v>0.25417006362461042</v>
      </c>
      <c r="AY48">
        <v>0.22072087806196786</v>
      </c>
      <c r="AZ48">
        <v>0.29767851074414975</v>
      </c>
      <c r="BA48">
        <v>0.26808965287092279</v>
      </c>
      <c r="BB48">
        <v>9.4913373987791608E-2</v>
      </c>
      <c r="BC48">
        <v>0.15041275708028348</v>
      </c>
      <c r="BD48">
        <v>0.15656145221425183</v>
      </c>
      <c r="BE48">
        <v>0.21009668872396342</v>
      </c>
      <c r="BF48">
        <v>0.22777945925723012</v>
      </c>
      <c r="BG48">
        <v>0.23543888749198014</v>
      </c>
      <c r="BI48" t="s">
        <v>193</v>
      </c>
      <c r="BJ48" t="s">
        <v>221</v>
      </c>
      <c r="BK48" t="s">
        <v>222</v>
      </c>
      <c r="BL48">
        <v>0.24328082780365431</v>
      </c>
    </row>
    <row r="49" spans="2:64" x14ac:dyDescent="0.45">
      <c r="B49" t="s">
        <v>177</v>
      </c>
      <c r="C49" t="s">
        <v>31</v>
      </c>
      <c r="D49">
        <v>0.35482818713781911</v>
      </c>
      <c r="E49">
        <v>0.38510121678426035</v>
      </c>
      <c r="F49">
        <v>0.32604647511032969</v>
      </c>
      <c r="G49">
        <v>0.35679073587498955</v>
      </c>
      <c r="H49">
        <v>0.37220494668809562</v>
      </c>
      <c r="I49">
        <v>0.34768509393159636</v>
      </c>
      <c r="J49">
        <v>0.38157289213062762</v>
      </c>
      <c r="K49">
        <v>0.41862524438660337</v>
      </c>
      <c r="L49">
        <v>0.30971730878371556</v>
      </c>
      <c r="M49">
        <v>0.35816891582217564</v>
      </c>
      <c r="N49">
        <v>0.39103664347174594</v>
      </c>
      <c r="O49">
        <v>0.37066324850545185</v>
      </c>
      <c r="AU49" t="s">
        <v>177</v>
      </c>
      <c r="AV49">
        <v>0.47091401444710512</v>
      </c>
      <c r="AW49">
        <v>0.41550858478318203</v>
      </c>
      <c r="AX49">
        <v>0.45553024149320781</v>
      </c>
      <c r="AY49">
        <v>0.37924175587418402</v>
      </c>
      <c r="AZ49">
        <v>0.36974421690700487</v>
      </c>
      <c r="BA49">
        <v>0.37615596105789234</v>
      </c>
      <c r="BB49">
        <v>0.18051531023359096</v>
      </c>
      <c r="BC49">
        <v>0.19585196051763706</v>
      </c>
      <c r="BD49">
        <v>0.29168854579642767</v>
      </c>
      <c r="BE49">
        <v>0.38463180180819356</v>
      </c>
      <c r="BF49">
        <v>0.37289587737804236</v>
      </c>
      <c r="BG49">
        <v>0.41677605397259115</v>
      </c>
      <c r="BI49" t="s">
        <v>194</v>
      </c>
      <c r="BJ49" t="s">
        <v>221</v>
      </c>
      <c r="BK49" t="s">
        <v>222</v>
      </c>
      <c r="BL49">
        <v>0.27586110303622524</v>
      </c>
    </row>
    <row r="50" spans="2:64" x14ac:dyDescent="0.45">
      <c r="B50" t="s">
        <v>178</v>
      </c>
      <c r="C50" t="s">
        <v>31</v>
      </c>
      <c r="D50">
        <v>0.46572895031539835</v>
      </c>
      <c r="E50">
        <v>0.49663226386007259</v>
      </c>
      <c r="F50">
        <v>0.46461983014691793</v>
      </c>
      <c r="G50">
        <v>0.48005245017385845</v>
      </c>
      <c r="H50">
        <v>0.46491240945905205</v>
      </c>
      <c r="I50">
        <v>0.48082733958765889</v>
      </c>
      <c r="J50">
        <v>0.5808356614113489</v>
      </c>
      <c r="K50">
        <v>0.49433291064193213</v>
      </c>
      <c r="L50">
        <v>0.45774593216664639</v>
      </c>
      <c r="M50">
        <v>0.49761512172661365</v>
      </c>
      <c r="N50">
        <v>0.52060769054400169</v>
      </c>
      <c r="O50">
        <v>0.50424263503367106</v>
      </c>
      <c r="AU50" t="s">
        <v>178</v>
      </c>
      <c r="AV50">
        <v>0.34331814085256523</v>
      </c>
      <c r="AW50">
        <v>0.30493140575457156</v>
      </c>
      <c r="AX50">
        <v>0.29494892580507087</v>
      </c>
      <c r="AY50">
        <v>0.23838624228328079</v>
      </c>
      <c r="AZ50">
        <v>0.26114289472440372</v>
      </c>
      <c r="BA50">
        <v>0.23540610144850205</v>
      </c>
      <c r="BB50">
        <v>7.178017232788822E-2</v>
      </c>
      <c r="BC50">
        <v>0.10979229948671647</v>
      </c>
      <c r="BD50">
        <v>8.4784210904927174E-2</v>
      </c>
      <c r="BE50">
        <v>0.21265133760313482</v>
      </c>
      <c r="BF50">
        <v>0.20503781829838746</v>
      </c>
      <c r="BG50">
        <v>0.23513873445865685</v>
      </c>
      <c r="BI50" t="s">
        <v>195</v>
      </c>
      <c r="BJ50" t="s">
        <v>221</v>
      </c>
      <c r="BK50" t="s">
        <v>222</v>
      </c>
      <c r="BL50">
        <v>0.30335972902933872</v>
      </c>
    </row>
    <row r="51" spans="2:64" x14ac:dyDescent="0.45">
      <c r="B51" t="s">
        <v>179</v>
      </c>
      <c r="C51" t="s">
        <v>31</v>
      </c>
      <c r="D51">
        <v>0.30282933617006941</v>
      </c>
      <c r="E51">
        <v>0.32214962028712535</v>
      </c>
      <c r="F51">
        <v>0.28144174125715699</v>
      </c>
      <c r="G51">
        <v>0.3175018438844916</v>
      </c>
      <c r="H51">
        <v>0.31923404510695774</v>
      </c>
      <c r="I51">
        <v>0.30137283528328151</v>
      </c>
      <c r="J51">
        <v>0.37000985151344146</v>
      </c>
      <c r="K51">
        <v>0.39864931506115026</v>
      </c>
      <c r="L51">
        <v>0.32897223410965848</v>
      </c>
      <c r="M51">
        <v>0.32963239032358821</v>
      </c>
      <c r="N51">
        <v>0.34166263398182806</v>
      </c>
      <c r="O51">
        <v>0.34002865429901624</v>
      </c>
      <c r="AU51" t="s">
        <v>179</v>
      </c>
      <c r="AV51">
        <v>0.56133305878701201</v>
      </c>
      <c r="AW51">
        <v>0.51677132773415291</v>
      </c>
      <c r="AX51">
        <v>0.57036825367312094</v>
      </c>
      <c r="AY51">
        <v>0.48228050872828598</v>
      </c>
      <c r="AZ51">
        <v>0.43914088646377103</v>
      </c>
      <c r="BA51">
        <v>0.4683687279668165</v>
      </c>
      <c r="BB51">
        <v>0.31688862376127191</v>
      </c>
      <c r="BC51">
        <v>0.26061930384456933</v>
      </c>
      <c r="BD51">
        <v>0.34538567094133815</v>
      </c>
      <c r="BE51">
        <v>0.4743826524485098</v>
      </c>
      <c r="BF51">
        <v>0.47940898011993077</v>
      </c>
      <c r="BG51">
        <v>0.48981340901581705</v>
      </c>
      <c r="BI51" t="s">
        <v>196</v>
      </c>
      <c r="BJ51" t="s">
        <v>221</v>
      </c>
      <c r="BK51" t="s">
        <v>222</v>
      </c>
      <c r="BL51">
        <v>0.25136514345705091</v>
      </c>
    </row>
    <row r="52" spans="2:64" x14ac:dyDescent="0.45">
      <c r="B52" t="s">
        <v>180</v>
      </c>
      <c r="C52" t="s">
        <v>31</v>
      </c>
      <c r="D52">
        <v>0.27724403822602983</v>
      </c>
      <c r="E52">
        <v>0.26538996295456541</v>
      </c>
      <c r="F52">
        <v>0.25719891903892972</v>
      </c>
      <c r="G52">
        <v>0.27530036041471834</v>
      </c>
      <c r="H52">
        <v>0.2837745771807838</v>
      </c>
      <c r="I52">
        <v>0.26649634328274902</v>
      </c>
      <c r="J52">
        <v>0.35420816908586827</v>
      </c>
      <c r="K52">
        <v>0.3894995772251475</v>
      </c>
      <c r="L52">
        <v>0.31521827425615795</v>
      </c>
      <c r="M52">
        <v>0.30490491481953103</v>
      </c>
      <c r="N52">
        <v>0.3133198048853022</v>
      </c>
      <c r="O52">
        <v>0.31231972535157515</v>
      </c>
      <c r="AU52" t="s">
        <v>180</v>
      </c>
      <c r="AV52">
        <v>0.60164860647759211</v>
      </c>
      <c r="AW52">
        <v>0.58768489084716125</v>
      </c>
      <c r="AX52">
        <v>0.61322606235074306</v>
      </c>
      <c r="AY52">
        <v>0.56726139474411652</v>
      </c>
      <c r="AZ52">
        <v>0.54655504670489097</v>
      </c>
      <c r="BA52">
        <v>0.57369589885709305</v>
      </c>
      <c r="BB52">
        <v>0.39715511168062961</v>
      </c>
      <c r="BC52">
        <v>0.3153179997352738</v>
      </c>
      <c r="BD52">
        <v>0.41932533619649243</v>
      </c>
      <c r="BE52">
        <v>0.53686565406128894</v>
      </c>
      <c r="BF52">
        <v>0.52074075796061392</v>
      </c>
      <c r="BG52">
        <v>0.52627725503022005</v>
      </c>
      <c r="BI52" t="s">
        <v>197</v>
      </c>
      <c r="BJ52" t="s">
        <v>221</v>
      </c>
      <c r="BK52" t="s">
        <v>222</v>
      </c>
      <c r="BL52">
        <v>0.22614562870495461</v>
      </c>
    </row>
    <row r="53" spans="2:64" x14ac:dyDescent="0.45">
      <c r="B53" t="s">
        <v>181</v>
      </c>
      <c r="C53" t="s">
        <v>31</v>
      </c>
      <c r="D53">
        <v>0.29349951557820964</v>
      </c>
      <c r="E53">
        <v>0.26445469471407274</v>
      </c>
      <c r="F53">
        <v>0.29092680852341357</v>
      </c>
      <c r="G53">
        <v>0.27398551303950086</v>
      </c>
      <c r="H53">
        <v>0.30830732274556188</v>
      </c>
      <c r="I53">
        <v>0.24939175135828762</v>
      </c>
      <c r="J53">
        <v>0.38282405946786913</v>
      </c>
      <c r="K53">
        <v>0.40248888567639096</v>
      </c>
      <c r="L53">
        <v>0.36018257172555135</v>
      </c>
      <c r="M53">
        <v>0.31095875509126125</v>
      </c>
      <c r="N53">
        <v>0.31744433230829755</v>
      </c>
      <c r="O53">
        <v>0.30867671686537718</v>
      </c>
      <c r="AU53" t="s">
        <v>181</v>
      </c>
      <c r="AV53">
        <v>0.59373194419433439</v>
      </c>
      <c r="AW53">
        <v>0.59263308470446263</v>
      </c>
      <c r="AX53">
        <v>0.59761430054499121</v>
      </c>
      <c r="AY53">
        <v>0.56055203346220128</v>
      </c>
      <c r="AZ53">
        <v>0.52970544219408522</v>
      </c>
      <c r="BA53">
        <v>0.59455340102359777</v>
      </c>
      <c r="BB53">
        <v>0.40688726134126996</v>
      </c>
      <c r="BC53">
        <v>0.38386178727967701</v>
      </c>
      <c r="BD53">
        <v>0.43359454507062539</v>
      </c>
      <c r="BE53">
        <v>0.552104079505502</v>
      </c>
      <c r="BF53">
        <v>0.53437841928095375</v>
      </c>
      <c r="BG53">
        <v>0.55886629835411694</v>
      </c>
      <c r="BI53" t="s">
        <v>198</v>
      </c>
      <c r="BJ53" t="s">
        <v>221</v>
      </c>
      <c r="BK53" t="s">
        <v>222</v>
      </c>
      <c r="BL53">
        <v>0.29822322994484396</v>
      </c>
    </row>
    <row r="54" spans="2:64" x14ac:dyDescent="0.45">
      <c r="B54" t="s">
        <v>182</v>
      </c>
      <c r="C54" t="s">
        <v>31</v>
      </c>
      <c r="D54">
        <v>0.27362600312953733</v>
      </c>
      <c r="E54">
        <v>0.27462222634255862</v>
      </c>
      <c r="F54">
        <v>0.27699739828619074</v>
      </c>
      <c r="G54">
        <v>0.28833935730738497</v>
      </c>
      <c r="H54">
        <v>0.31975074229624634</v>
      </c>
      <c r="I54">
        <v>0.28713837075118648</v>
      </c>
      <c r="J54">
        <v>0.35222149659205965</v>
      </c>
      <c r="K54">
        <v>0.37708902835633357</v>
      </c>
      <c r="L54">
        <v>0.33355528554716091</v>
      </c>
      <c r="M54">
        <v>0.33452534612480123</v>
      </c>
      <c r="N54">
        <v>0.30835290874201454</v>
      </c>
      <c r="O54">
        <v>0.2960548516328147</v>
      </c>
      <c r="AU54" t="s">
        <v>182</v>
      </c>
      <c r="AV54">
        <v>0.59465807661996439</v>
      </c>
      <c r="AW54">
        <v>0.58267367071202014</v>
      </c>
      <c r="AX54">
        <v>0.59689792669405173</v>
      </c>
      <c r="AY54">
        <v>0.5519500612110062</v>
      </c>
      <c r="AZ54">
        <v>0.5114828854288882</v>
      </c>
      <c r="BA54">
        <v>0.55678085346434569</v>
      </c>
      <c r="BB54">
        <v>0.41475120659909293</v>
      </c>
      <c r="BC54">
        <v>0.39535272974871416</v>
      </c>
      <c r="BD54">
        <v>0.45343522352762117</v>
      </c>
      <c r="BE54">
        <v>0.52860658485782097</v>
      </c>
      <c r="BF54">
        <v>0.54855250674730138</v>
      </c>
      <c r="BG54">
        <v>0.56696626108447579</v>
      </c>
      <c r="BI54" t="s">
        <v>199</v>
      </c>
      <c r="BJ54" t="s">
        <v>221</v>
      </c>
      <c r="BK54" t="s">
        <v>222</v>
      </c>
      <c r="BL54">
        <v>0.1515158273970483</v>
      </c>
    </row>
    <row r="55" spans="2:64" x14ac:dyDescent="0.45">
      <c r="B55" t="s">
        <v>183</v>
      </c>
      <c r="C55" t="s">
        <v>31</v>
      </c>
      <c r="D55">
        <v>0.23297609942657968</v>
      </c>
      <c r="E55">
        <v>0.22552139721690886</v>
      </c>
      <c r="F55">
        <v>0.23795716351047844</v>
      </c>
      <c r="G55">
        <v>0.22441518108166977</v>
      </c>
      <c r="H55">
        <v>0.24552998907654561</v>
      </c>
      <c r="I55">
        <v>0.21844201482997055</v>
      </c>
      <c r="J55">
        <v>0.36380014200276911</v>
      </c>
      <c r="K55">
        <v>0.35571434002007235</v>
      </c>
      <c r="L55">
        <v>0.33218678134854185</v>
      </c>
      <c r="M55">
        <v>0.31474762798406991</v>
      </c>
      <c r="N55">
        <v>0.32386466783549822</v>
      </c>
      <c r="O55">
        <v>0.2884778562067154</v>
      </c>
      <c r="AU55" t="s">
        <v>183</v>
      </c>
      <c r="AV55">
        <v>0.66711853218332728</v>
      </c>
      <c r="AW55">
        <v>0.66281579417827552</v>
      </c>
      <c r="AX55">
        <v>0.65915825975207132</v>
      </c>
      <c r="AY55">
        <v>0.62899103747311014</v>
      </c>
      <c r="AZ55">
        <v>0.62622469080561316</v>
      </c>
      <c r="BA55">
        <v>0.64832417437899093</v>
      </c>
      <c r="BB55">
        <v>0.4446743944757216</v>
      </c>
      <c r="BC55">
        <v>0.44376103891056168</v>
      </c>
      <c r="BD55">
        <v>0.47084989268068461</v>
      </c>
      <c r="BE55">
        <v>0.54264547416853604</v>
      </c>
      <c r="BF55">
        <v>0.53476569948699282</v>
      </c>
      <c r="BG55">
        <v>0.55931132570309239</v>
      </c>
      <c r="BI55" t="s">
        <v>200</v>
      </c>
      <c r="BJ55" t="s">
        <v>221</v>
      </c>
      <c r="BK55" t="s">
        <v>222</v>
      </c>
      <c r="BL55">
        <v>0.43216889501716893</v>
      </c>
    </row>
    <row r="56" spans="2:64" x14ac:dyDescent="0.45">
      <c r="B56" t="s">
        <v>184</v>
      </c>
      <c r="C56" t="s">
        <v>31</v>
      </c>
      <c r="D56">
        <v>0.24774325372219433</v>
      </c>
      <c r="E56">
        <v>0.2388501659259715</v>
      </c>
      <c r="F56">
        <v>0.24458528437096541</v>
      </c>
      <c r="G56">
        <v>0.24378703828551265</v>
      </c>
      <c r="H56">
        <v>0.26933316459075751</v>
      </c>
      <c r="I56">
        <v>0.2591022134759568</v>
      </c>
      <c r="J56">
        <v>0.36664726857108559</v>
      </c>
      <c r="K56">
        <v>0.38118309577630416</v>
      </c>
      <c r="L56">
        <v>0.35035613958555784</v>
      </c>
      <c r="M56">
        <v>0.31781995541883246</v>
      </c>
      <c r="N56">
        <v>0.32272649206380821</v>
      </c>
      <c r="O56">
        <v>0.32999550525241717</v>
      </c>
      <c r="AU56" t="s">
        <v>184</v>
      </c>
      <c r="AV56">
        <v>0.65693610383538104</v>
      </c>
      <c r="AW56">
        <v>0.64383489239960801</v>
      </c>
      <c r="AX56">
        <v>0.65138307884379965</v>
      </c>
      <c r="AY56">
        <v>0.61977018571491072</v>
      </c>
      <c r="AZ56">
        <v>0.62697480882514656</v>
      </c>
      <c r="BA56">
        <v>0.61766288420254656</v>
      </c>
      <c r="BB56">
        <v>0.40413279731601015</v>
      </c>
      <c r="BC56">
        <v>0.37326316631167383</v>
      </c>
      <c r="BD56">
        <v>0.460933519136624</v>
      </c>
      <c r="BE56">
        <v>0.5489274235559356</v>
      </c>
      <c r="BF56">
        <v>0.54022414950664566</v>
      </c>
      <c r="BG56">
        <v>0.5364129324377932</v>
      </c>
      <c r="BI56" t="s">
        <v>201</v>
      </c>
      <c r="BJ56" t="s">
        <v>221</v>
      </c>
      <c r="BK56" t="s">
        <v>222</v>
      </c>
      <c r="BL56">
        <v>0.45632991470934209</v>
      </c>
    </row>
    <row r="57" spans="2:64" x14ac:dyDescent="0.45">
      <c r="B57" t="s">
        <v>185</v>
      </c>
      <c r="C57" t="s">
        <v>31</v>
      </c>
      <c r="D57">
        <v>0.22319949412358508</v>
      </c>
      <c r="E57">
        <v>0.21471159797448031</v>
      </c>
      <c r="F57">
        <v>0.23067871954299701</v>
      </c>
      <c r="G57">
        <v>0.2171789794414018</v>
      </c>
      <c r="H57">
        <v>0.23891067134299182</v>
      </c>
      <c r="I57">
        <v>0.21989349301781266</v>
      </c>
      <c r="J57">
        <v>0.33980823960227013</v>
      </c>
      <c r="K57">
        <v>0.35989124117059029</v>
      </c>
      <c r="L57">
        <v>0.32929651553773348</v>
      </c>
      <c r="M57">
        <v>0.31224303405764087</v>
      </c>
      <c r="N57">
        <v>0.30478473698207337</v>
      </c>
      <c r="O57">
        <v>0.30495964710443962</v>
      </c>
      <c r="AU57" t="s">
        <v>185</v>
      </c>
      <c r="AV57">
        <v>0.69849809726119927</v>
      </c>
      <c r="AW57">
        <v>0.69255800216114038</v>
      </c>
      <c r="AX57">
        <v>0.69340723786828917</v>
      </c>
      <c r="AY57">
        <v>0.66878591693554135</v>
      </c>
      <c r="AZ57">
        <v>0.65151590970266893</v>
      </c>
      <c r="BA57">
        <v>0.64808694041188919</v>
      </c>
      <c r="BB57">
        <v>0.44312290915550795</v>
      </c>
      <c r="BC57">
        <v>0.42786505639651934</v>
      </c>
      <c r="BD57">
        <v>0.46253589040895393</v>
      </c>
      <c r="BE57">
        <v>0.53565845219423369</v>
      </c>
      <c r="BF57">
        <v>0.55232023865171409</v>
      </c>
      <c r="BG57">
        <v>0.54912160163918255</v>
      </c>
      <c r="BI57" t="s">
        <v>202</v>
      </c>
      <c r="BJ57" t="s">
        <v>221</v>
      </c>
      <c r="BK57" t="s">
        <v>222</v>
      </c>
      <c r="BL57">
        <v>0.57331112832804287</v>
      </c>
    </row>
    <row r="58" spans="2:64" x14ac:dyDescent="0.45">
      <c r="B58" t="s">
        <v>186</v>
      </c>
      <c r="C58" t="s">
        <v>31</v>
      </c>
      <c r="D58">
        <v>0.40267485218787896</v>
      </c>
      <c r="E58">
        <v>0.41868883376467037</v>
      </c>
      <c r="F58">
        <v>0.39904830234501387</v>
      </c>
      <c r="G58">
        <v>0.35155186555966472</v>
      </c>
      <c r="H58">
        <v>0.3211297016062642</v>
      </c>
      <c r="I58">
        <v>0.31152446710846565</v>
      </c>
      <c r="J58">
        <v>0.52811627888437096</v>
      </c>
      <c r="K58">
        <v>0.4626769370564775</v>
      </c>
      <c r="L58">
        <v>0.49255070119817163</v>
      </c>
      <c r="M58">
        <v>0.41626452623877025</v>
      </c>
      <c r="N58">
        <v>0.39921718842036363</v>
      </c>
      <c r="O58">
        <v>0.39151329752745695</v>
      </c>
      <c r="AU58" t="s">
        <v>186</v>
      </c>
      <c r="AV58">
        <v>0.26255814085057816</v>
      </c>
      <c r="AW58">
        <v>0.27734909919124601</v>
      </c>
      <c r="AX58">
        <v>0.26783965400026882</v>
      </c>
      <c r="AY58">
        <v>0.31049694481893531</v>
      </c>
      <c r="AZ58">
        <v>0.35727580375455809</v>
      </c>
      <c r="BA58">
        <v>0.35421133619528755</v>
      </c>
      <c r="BB58">
        <v>0.11063279037354161</v>
      </c>
      <c r="BC58">
        <v>0.13830295131287582</v>
      </c>
      <c r="BD58">
        <v>0.14407056070978816</v>
      </c>
      <c r="BE58">
        <v>0.28686299467132959</v>
      </c>
      <c r="BF58">
        <v>0.29297222429128894</v>
      </c>
      <c r="BG58">
        <v>0.30629098767336949</v>
      </c>
      <c r="BI58" t="s">
        <v>203</v>
      </c>
      <c r="BJ58" t="s">
        <v>221</v>
      </c>
      <c r="BK58" t="s">
        <v>222</v>
      </c>
      <c r="BL58">
        <v>0.4403675840934968</v>
      </c>
    </row>
    <row r="59" spans="2:64" x14ac:dyDescent="0.45">
      <c r="B59" t="s">
        <v>187</v>
      </c>
      <c r="C59" t="s">
        <v>31</v>
      </c>
      <c r="D59">
        <v>0.5703331266020526</v>
      </c>
      <c r="E59">
        <v>0.55672411106925512</v>
      </c>
      <c r="F59">
        <v>0.55345668971990281</v>
      </c>
      <c r="G59">
        <v>0.53491657960791827</v>
      </c>
      <c r="H59">
        <v>0.42892790254517704</v>
      </c>
      <c r="I59">
        <v>0.44436000315660606</v>
      </c>
      <c r="J59">
        <v>0.71894599211541432</v>
      </c>
      <c r="K59">
        <v>0.57431762758034954</v>
      </c>
      <c r="L59">
        <v>0.57334296176330368</v>
      </c>
      <c r="M59">
        <v>0.57283666403562028</v>
      </c>
      <c r="N59">
        <v>0.54200826686611148</v>
      </c>
      <c r="O59">
        <v>0.54884718518850184</v>
      </c>
      <c r="AU59" t="s">
        <v>187</v>
      </c>
      <c r="AV59">
        <v>0.20897251816456719</v>
      </c>
      <c r="AW59">
        <v>0.21269180748195085</v>
      </c>
      <c r="AX59">
        <v>0.19624331067024522</v>
      </c>
      <c r="AY59">
        <v>0.23212590499787766</v>
      </c>
      <c r="AZ59">
        <v>0.31133234860969461</v>
      </c>
      <c r="BA59">
        <v>0.28589655679559717</v>
      </c>
      <c r="BB59">
        <v>6.3556492029282166E-2</v>
      </c>
      <c r="BC59">
        <v>0.10953679009384708</v>
      </c>
      <c r="BD59">
        <v>0.11857163259194463</v>
      </c>
      <c r="BE59">
        <v>0.21852759117155277</v>
      </c>
      <c r="BF59">
        <v>0.24001817558117744</v>
      </c>
      <c r="BG59">
        <v>0.27078637330429106</v>
      </c>
      <c r="BI59" t="s">
        <v>204</v>
      </c>
      <c r="BJ59" t="s">
        <v>221</v>
      </c>
      <c r="BK59" t="s">
        <v>222</v>
      </c>
      <c r="BL59">
        <v>0.25314456237394661</v>
      </c>
    </row>
    <row r="60" spans="2:64" x14ac:dyDescent="0.45">
      <c r="B60" t="s">
        <v>188</v>
      </c>
      <c r="C60" t="s">
        <v>31</v>
      </c>
      <c r="D60">
        <v>0.61206168751286905</v>
      </c>
      <c r="E60">
        <v>0.6332569820927203</v>
      </c>
      <c r="F60">
        <v>0.62820572912118777</v>
      </c>
      <c r="G60">
        <v>0.62735568588778612</v>
      </c>
      <c r="H60">
        <v>0.56571404538187808</v>
      </c>
      <c r="I60">
        <v>0.64796319199503194</v>
      </c>
      <c r="J60">
        <v>0.70785087294330817</v>
      </c>
      <c r="K60">
        <v>0.65878972324018437</v>
      </c>
      <c r="L60">
        <v>0.7265576137084313</v>
      </c>
      <c r="M60">
        <v>0.59676784750030087</v>
      </c>
      <c r="N60">
        <v>0.5465296173987586</v>
      </c>
      <c r="O60">
        <v>0.58753442969297542</v>
      </c>
      <c r="AU60" t="s">
        <v>188</v>
      </c>
      <c r="AV60">
        <v>0.13530941055316914</v>
      </c>
      <c r="AW60">
        <v>0.13052394040844936</v>
      </c>
      <c r="AX60">
        <v>0.12837573046053014</v>
      </c>
      <c r="AY60">
        <v>0.11408230772950942</v>
      </c>
      <c r="AZ60">
        <v>0.12034701133158286</v>
      </c>
      <c r="BA60">
        <v>0.11464508096874873</v>
      </c>
      <c r="BB60">
        <v>3.0442009623955713E-2</v>
      </c>
      <c r="BC60">
        <v>2.194894332362135E-2</v>
      </c>
      <c r="BD60">
        <v>1.6527282625157163E-2</v>
      </c>
      <c r="BE60">
        <v>0.12396504646170811</v>
      </c>
      <c r="BF60">
        <v>0.10932055648855954</v>
      </c>
      <c r="BG60">
        <v>0.13054863141172934</v>
      </c>
      <c r="BI60" t="s">
        <v>205</v>
      </c>
      <c r="BJ60" t="s">
        <v>221</v>
      </c>
      <c r="BK60" t="s">
        <v>222</v>
      </c>
      <c r="BL60">
        <v>0.36663971910481302</v>
      </c>
    </row>
    <row r="61" spans="2:64" x14ac:dyDescent="0.45">
      <c r="B61" t="s">
        <v>189</v>
      </c>
      <c r="C61" t="s">
        <v>31</v>
      </c>
      <c r="D61">
        <v>0.45342582765394074</v>
      </c>
      <c r="E61">
        <v>0.51264446072860348</v>
      </c>
      <c r="F61">
        <v>0.42708900382418225</v>
      </c>
      <c r="G61">
        <v>0.53285938767927621</v>
      </c>
      <c r="H61">
        <v>0.46671433306504301</v>
      </c>
      <c r="I61">
        <v>0.47030041107100784</v>
      </c>
      <c r="J61">
        <v>0.60414156030580146</v>
      </c>
      <c r="K61">
        <v>0.4997011154082836</v>
      </c>
      <c r="L61">
        <v>0.50832823397118143</v>
      </c>
      <c r="M61">
        <v>0.46246284149616113</v>
      </c>
      <c r="N61">
        <v>0.44772019790290518</v>
      </c>
      <c r="O61">
        <v>0.43417035756371514</v>
      </c>
      <c r="AU61" t="s">
        <v>189</v>
      </c>
      <c r="AV61">
        <v>0.2296873205464062</v>
      </c>
      <c r="AW61">
        <v>0.24024873220440554</v>
      </c>
      <c r="AX61">
        <v>0.24997227452130336</v>
      </c>
      <c r="AY61">
        <v>0.17704402488145779</v>
      </c>
      <c r="AZ61">
        <v>0.26018872973033946</v>
      </c>
      <c r="BA61">
        <v>0.22099880720922715</v>
      </c>
      <c r="BB61">
        <v>0.10309316440404519</v>
      </c>
      <c r="BC61">
        <v>0.16852820386222636</v>
      </c>
      <c r="BD61">
        <v>0.16454039707570633</v>
      </c>
      <c r="BE61">
        <v>0.1839311732265777</v>
      </c>
      <c r="BF61">
        <v>0.20254437734445913</v>
      </c>
      <c r="BG61">
        <v>0.20031751878451215</v>
      </c>
      <c r="BI61" t="s">
        <v>206</v>
      </c>
      <c r="BJ61" t="s">
        <v>221</v>
      </c>
      <c r="BK61" t="s">
        <v>222</v>
      </c>
      <c r="BL61">
        <v>0.15722453192039232</v>
      </c>
    </row>
    <row r="62" spans="2:64" x14ac:dyDescent="0.45">
      <c r="B62" t="s">
        <v>190</v>
      </c>
      <c r="C62" t="s">
        <v>31</v>
      </c>
      <c r="D62">
        <v>0.53149571057074829</v>
      </c>
      <c r="E62">
        <v>0.62142912116106841</v>
      </c>
      <c r="F62">
        <v>0.56750455898370755</v>
      </c>
      <c r="G62">
        <v>0.61742433063640234</v>
      </c>
      <c r="H62">
        <v>0.5350059634303217</v>
      </c>
      <c r="I62">
        <v>0.57703268604455149</v>
      </c>
      <c r="J62">
        <v>0.71213026395213319</v>
      </c>
      <c r="K62">
        <v>0.57913953500981985</v>
      </c>
      <c r="L62">
        <v>0.59650655641962702</v>
      </c>
      <c r="M62">
        <v>0.58580565059972423</v>
      </c>
      <c r="N62">
        <v>0.59247246805095222</v>
      </c>
      <c r="O62">
        <v>0.60667422909624868</v>
      </c>
      <c r="AU62" t="s">
        <v>190</v>
      </c>
      <c r="AV62">
        <v>0.11402452862289457</v>
      </c>
      <c r="AW62">
        <v>0.12120091100871298</v>
      </c>
      <c r="AX62">
        <v>0.10271859594442857</v>
      </c>
      <c r="AY62">
        <v>7.6677408520931037E-2</v>
      </c>
      <c r="AZ62">
        <v>0.16293067906394901</v>
      </c>
      <c r="BA62">
        <v>0.10814314861617345</v>
      </c>
      <c r="BB62">
        <v>3.4315243343144682E-2</v>
      </c>
      <c r="BC62">
        <v>9.1173377394539151E-2</v>
      </c>
      <c r="BD62">
        <v>6.2014544785084336E-2</v>
      </c>
      <c r="BE62">
        <v>7.2813167311441579E-2</v>
      </c>
      <c r="BF62">
        <v>9.8700034317759394E-2</v>
      </c>
      <c r="BG62">
        <v>8.6743384226289896E-2</v>
      </c>
      <c r="BI62" t="s">
        <v>207</v>
      </c>
      <c r="BJ62" t="s">
        <v>221</v>
      </c>
      <c r="BK62" t="s">
        <v>222</v>
      </c>
      <c r="BL62">
        <v>0.2455084916206732</v>
      </c>
    </row>
    <row r="63" spans="2:64" x14ac:dyDescent="0.45">
      <c r="B63" t="s">
        <v>191</v>
      </c>
      <c r="C63" t="s">
        <v>31</v>
      </c>
      <c r="D63">
        <v>0.35485381171421404</v>
      </c>
      <c r="E63">
        <v>0.39772264534371177</v>
      </c>
      <c r="F63">
        <v>0.3487293092686708</v>
      </c>
      <c r="G63">
        <v>0.43223780788559923</v>
      </c>
      <c r="H63">
        <v>0.4388922104987541</v>
      </c>
      <c r="I63">
        <v>0.41480382598217624</v>
      </c>
      <c r="J63">
        <v>0.46792068215421928</v>
      </c>
      <c r="K63">
        <v>0.46873192305832179</v>
      </c>
      <c r="L63">
        <v>0.42247952105044134</v>
      </c>
      <c r="M63">
        <v>0.37980696082115989</v>
      </c>
      <c r="N63">
        <v>0.40195477276573538</v>
      </c>
      <c r="O63">
        <v>0.37192203701005283</v>
      </c>
      <c r="AU63" t="s">
        <v>191</v>
      </c>
      <c r="AV63">
        <v>0.3713013932450917</v>
      </c>
      <c r="AW63">
        <v>0.358502661130988</v>
      </c>
      <c r="AX63">
        <v>0.39097319410705633</v>
      </c>
      <c r="AY63">
        <v>0.23244650512603462</v>
      </c>
      <c r="AZ63">
        <v>0.29019306600937977</v>
      </c>
      <c r="BA63">
        <v>0.27154248215039073</v>
      </c>
      <c r="BB63">
        <v>0.23162732238757422</v>
      </c>
      <c r="BC63">
        <v>0.25403339880929554</v>
      </c>
      <c r="BD63">
        <v>0.26466922021281875</v>
      </c>
      <c r="BE63">
        <v>0.31826659309452954</v>
      </c>
      <c r="BF63">
        <v>0.31914582618688359</v>
      </c>
      <c r="BG63">
        <v>0.32992721853731583</v>
      </c>
      <c r="BI63" t="s">
        <v>208</v>
      </c>
      <c r="BJ63" t="s">
        <v>221</v>
      </c>
      <c r="BK63" t="s">
        <v>222</v>
      </c>
      <c r="BL63">
        <v>0.32269952962695686</v>
      </c>
    </row>
    <row r="64" spans="2:64" x14ac:dyDescent="0.45">
      <c r="B64" t="s">
        <v>192</v>
      </c>
      <c r="C64" t="s">
        <v>31</v>
      </c>
      <c r="D64">
        <v>0.34359965172304763</v>
      </c>
      <c r="E64">
        <v>0.38824459420090962</v>
      </c>
      <c r="F64">
        <v>0.33261900919334614</v>
      </c>
      <c r="G64">
        <v>0.3453525477468547</v>
      </c>
      <c r="H64">
        <v>0.35639154462881989</v>
      </c>
      <c r="I64">
        <v>0.35563431591621941</v>
      </c>
      <c r="J64">
        <v>0.43006799883584468</v>
      </c>
      <c r="K64">
        <v>0.45214680350054021</v>
      </c>
      <c r="L64">
        <v>0.40724500838935296</v>
      </c>
      <c r="M64">
        <v>0.34750343020396146</v>
      </c>
      <c r="N64">
        <v>0.3642429497214324</v>
      </c>
      <c r="O64">
        <v>0.3377071830835312</v>
      </c>
      <c r="AU64" t="s">
        <v>192</v>
      </c>
      <c r="AV64">
        <v>0.35693580074100012</v>
      </c>
      <c r="AW64">
        <v>0.37173097053544285</v>
      </c>
      <c r="AX64">
        <v>0.38076180990609992</v>
      </c>
      <c r="AY64">
        <v>0.30707325972879596</v>
      </c>
      <c r="AZ64">
        <v>0.35617474003331584</v>
      </c>
      <c r="BA64">
        <v>0.32612156752398924</v>
      </c>
      <c r="BB64">
        <v>0.21038219637172378</v>
      </c>
      <c r="BC64">
        <v>0.24864678070211063</v>
      </c>
      <c r="BD64">
        <v>0.23612460592292239</v>
      </c>
      <c r="BE64">
        <v>0.35265905171088091</v>
      </c>
      <c r="BF64">
        <v>0.36872582384523822</v>
      </c>
      <c r="BG64">
        <v>0.36373880879627696</v>
      </c>
      <c r="BI64" t="s">
        <v>209</v>
      </c>
      <c r="BJ64" t="s">
        <v>221</v>
      </c>
      <c r="BK64" t="s">
        <v>222</v>
      </c>
      <c r="BL64">
        <v>0.31826411937835442</v>
      </c>
    </row>
    <row r="65" spans="2:64" x14ac:dyDescent="0.45">
      <c r="B65" t="s">
        <v>193</v>
      </c>
      <c r="C65" t="s">
        <v>31</v>
      </c>
      <c r="D65">
        <v>0.46158684738926836</v>
      </c>
      <c r="E65">
        <v>0.43750752242908653</v>
      </c>
      <c r="F65">
        <v>0.43421927305132546</v>
      </c>
      <c r="G65">
        <v>0.47301296631763229</v>
      </c>
      <c r="H65">
        <v>0.46906393297795734</v>
      </c>
      <c r="I65">
        <v>0.44614367348399236</v>
      </c>
      <c r="J65">
        <v>0.48648284311678242</v>
      </c>
      <c r="K65">
        <v>0.51672715003413716</v>
      </c>
      <c r="L65">
        <v>0.42957596424805572</v>
      </c>
      <c r="M65">
        <v>0.43763098566344572</v>
      </c>
      <c r="N65">
        <v>0.45406522246804332</v>
      </c>
      <c r="O65">
        <v>0.40150290833457175</v>
      </c>
      <c r="AU65" t="s">
        <v>193</v>
      </c>
      <c r="AV65">
        <v>0.19834648577494435</v>
      </c>
      <c r="AW65">
        <v>0.20483416160889023</v>
      </c>
      <c r="AX65">
        <v>0.22262869933178381</v>
      </c>
      <c r="AY65">
        <v>0.14354506802760819</v>
      </c>
      <c r="AZ65">
        <v>0.15876516626278031</v>
      </c>
      <c r="BA65">
        <v>0.18972060969119026</v>
      </c>
      <c r="BB65">
        <v>0.11145200835018572</v>
      </c>
      <c r="BC65">
        <v>0.13571497288570097</v>
      </c>
      <c r="BD65">
        <v>0.16419738708310472</v>
      </c>
      <c r="BE65">
        <v>0.23581586089467779</v>
      </c>
      <c r="BF65">
        <v>0.22717559251459571</v>
      </c>
      <c r="BG65">
        <v>0.24328115673774636</v>
      </c>
      <c r="BI65" t="s">
        <v>210</v>
      </c>
      <c r="BJ65" t="s">
        <v>221</v>
      </c>
      <c r="BK65" t="s">
        <v>222</v>
      </c>
      <c r="BL65">
        <v>0.38508073644324803</v>
      </c>
    </row>
    <row r="66" spans="2:64" x14ac:dyDescent="0.45">
      <c r="B66" t="s">
        <v>194</v>
      </c>
      <c r="C66" t="s">
        <v>31</v>
      </c>
      <c r="D66">
        <v>0.42639306557426043</v>
      </c>
      <c r="E66">
        <v>0.41882933255231719</v>
      </c>
      <c r="F66">
        <v>0.41103283943880459</v>
      </c>
      <c r="G66">
        <v>0.40340054251572671</v>
      </c>
      <c r="H66">
        <v>0.41752968155995573</v>
      </c>
      <c r="I66">
        <v>0.41468689800560643</v>
      </c>
      <c r="J66">
        <v>0.47706938110606395</v>
      </c>
      <c r="K66">
        <v>0.49571634940581966</v>
      </c>
      <c r="L66">
        <v>0.37947789876290311</v>
      </c>
      <c r="M66">
        <v>0.43783665345018252</v>
      </c>
      <c r="N66">
        <v>0.43208794504659809</v>
      </c>
      <c r="O66">
        <v>0.4002099844056875</v>
      </c>
      <c r="AU66" t="s">
        <v>194</v>
      </c>
      <c r="AV66">
        <v>0.23373355363283174</v>
      </c>
      <c r="AW66">
        <v>0.24828933473146814</v>
      </c>
      <c r="AX66">
        <v>0.24892437824874314</v>
      </c>
      <c r="AY66">
        <v>0.18305505443475614</v>
      </c>
      <c r="AZ66">
        <v>0.23200376428843444</v>
      </c>
      <c r="BA66">
        <v>0.21640227134017967</v>
      </c>
      <c r="BB66">
        <v>0.11778158245821004</v>
      </c>
      <c r="BC66">
        <v>0.14800784780390119</v>
      </c>
      <c r="BD66">
        <v>0.14602887385205579</v>
      </c>
      <c r="BE66">
        <v>0.26240617920985504</v>
      </c>
      <c r="BF66">
        <v>0.27051356111035801</v>
      </c>
      <c r="BG66">
        <v>0.27586110303622524</v>
      </c>
      <c r="BI66" t="s">
        <v>211</v>
      </c>
      <c r="BJ66" t="s">
        <v>221</v>
      </c>
      <c r="BK66" t="s">
        <v>222</v>
      </c>
      <c r="BL66">
        <v>0.41537441716326828</v>
      </c>
    </row>
    <row r="67" spans="2:64" x14ac:dyDescent="0.45">
      <c r="B67" t="s">
        <v>195</v>
      </c>
      <c r="C67" t="s">
        <v>31</v>
      </c>
      <c r="D67">
        <v>0.35447373853678049</v>
      </c>
      <c r="E67">
        <v>0.43851986453916308</v>
      </c>
      <c r="F67">
        <v>0.3485640963709658</v>
      </c>
      <c r="G67">
        <v>0.3643146561534103</v>
      </c>
      <c r="H67">
        <v>0.42133710615100961</v>
      </c>
      <c r="I67">
        <v>0.34253666791522708</v>
      </c>
      <c r="J67">
        <v>0.3451609629580526</v>
      </c>
      <c r="K67">
        <v>0.4814762670164589</v>
      </c>
      <c r="L67">
        <v>0.25012497176499499</v>
      </c>
      <c r="M67">
        <v>0.37320501748708135</v>
      </c>
      <c r="N67">
        <v>0.44263425886282243</v>
      </c>
      <c r="O67">
        <v>0.36885950022884045</v>
      </c>
      <c r="AU67" t="s">
        <v>195</v>
      </c>
      <c r="AV67">
        <v>0.30336495532727076</v>
      </c>
      <c r="AW67">
        <v>0.24780243511953864</v>
      </c>
      <c r="AX67">
        <v>0.29543676269191665</v>
      </c>
      <c r="AY67">
        <v>0.24739282534796403</v>
      </c>
      <c r="AZ67">
        <v>0.24389067226764322</v>
      </c>
      <c r="BA67">
        <v>0.25950285161771164</v>
      </c>
      <c r="BB67">
        <v>0.10732696555856221</v>
      </c>
      <c r="BC67">
        <v>0.10670463517955503</v>
      </c>
      <c r="BD67">
        <v>0.16807449126592927</v>
      </c>
      <c r="BE67">
        <v>0.23798929527230964</v>
      </c>
      <c r="BF67">
        <v>0.21442936580664815</v>
      </c>
      <c r="BG67">
        <v>0.25356716223743797</v>
      </c>
      <c r="BI67" t="s">
        <v>212</v>
      </c>
      <c r="BJ67" t="s">
        <v>221</v>
      </c>
      <c r="BK67" t="s">
        <v>222</v>
      </c>
      <c r="BL67">
        <v>0.27993406042186464</v>
      </c>
    </row>
    <row r="68" spans="2:64" x14ac:dyDescent="0.45">
      <c r="B68" t="s">
        <v>196</v>
      </c>
      <c r="C68" t="s">
        <v>31</v>
      </c>
      <c r="D68">
        <v>0.40673802768062683</v>
      </c>
      <c r="E68">
        <v>0.48253893357413635</v>
      </c>
      <c r="F68">
        <v>0.4013336713451553</v>
      </c>
      <c r="G68">
        <v>0.40461953217221086</v>
      </c>
      <c r="H68">
        <v>0.47246232571798807</v>
      </c>
      <c r="I68">
        <v>0.37865319585270474</v>
      </c>
      <c r="J68">
        <v>0.3892757988902219</v>
      </c>
      <c r="K68">
        <v>0.56321225651189377</v>
      </c>
      <c r="L68">
        <v>0.35045802590495911</v>
      </c>
      <c r="M68">
        <v>0.39862453653227364</v>
      </c>
      <c r="N68">
        <v>0.48565096872603047</v>
      </c>
      <c r="O68">
        <v>0.39155113472627223</v>
      </c>
      <c r="AU68" t="s">
        <v>196</v>
      </c>
      <c r="AV68">
        <v>0.25138551165623174</v>
      </c>
      <c r="AW68">
        <v>0.21988556410649834</v>
      </c>
      <c r="AX68">
        <v>0.24030635690414073</v>
      </c>
      <c r="AY68">
        <v>0.22201976961652528</v>
      </c>
      <c r="AZ68">
        <v>0.22506062306543351</v>
      </c>
      <c r="BA68">
        <v>0.25073699300084479</v>
      </c>
      <c r="BB68">
        <v>9.2443609142118008E-2</v>
      </c>
      <c r="BC68">
        <v>8.1831714074973902E-2</v>
      </c>
      <c r="BD68">
        <v>0.12622036967636702</v>
      </c>
      <c r="BE68">
        <v>0.18121257363866436</v>
      </c>
      <c r="BF68">
        <v>0.16322468427682882</v>
      </c>
      <c r="BG68">
        <v>0.20367699194484115</v>
      </c>
      <c r="BI68" t="s">
        <v>213</v>
      </c>
      <c r="BJ68" t="s">
        <v>221</v>
      </c>
      <c r="BK68" t="s">
        <v>222</v>
      </c>
      <c r="BL68">
        <v>0.35214085227349651</v>
      </c>
    </row>
    <row r="69" spans="2:64" x14ac:dyDescent="0.45">
      <c r="B69" t="s">
        <v>197</v>
      </c>
      <c r="C69" t="s">
        <v>31</v>
      </c>
      <c r="D69">
        <v>0.45501281839763452</v>
      </c>
      <c r="E69">
        <v>0.4566306554205839</v>
      </c>
      <c r="F69">
        <v>0.47691229019401687</v>
      </c>
      <c r="G69">
        <v>0.47347122296019123</v>
      </c>
      <c r="H69">
        <v>0.43271097536561676</v>
      </c>
      <c r="I69">
        <v>0.46037949114765592</v>
      </c>
      <c r="J69">
        <v>0.53936073770569426</v>
      </c>
      <c r="K69">
        <v>0.44990643682194503</v>
      </c>
      <c r="L69">
        <v>0.41709511415995798</v>
      </c>
      <c r="M69">
        <v>0.46381288413739191</v>
      </c>
      <c r="N69">
        <v>0.43364547886658494</v>
      </c>
      <c r="O69">
        <v>0.4875496571191415</v>
      </c>
      <c r="AU69" t="s">
        <v>197</v>
      </c>
      <c r="AV69">
        <v>0.21190869643368382</v>
      </c>
      <c r="AW69">
        <v>0.21754855945576246</v>
      </c>
      <c r="AX69">
        <v>0.19286322743492479</v>
      </c>
      <c r="AY69">
        <v>0.14630677815076992</v>
      </c>
      <c r="AZ69">
        <v>0.22614562870495461</v>
      </c>
      <c r="BA69">
        <v>0.15353511577309359</v>
      </c>
      <c r="BB69">
        <v>4.0765493716500401E-2</v>
      </c>
      <c r="BC69">
        <v>9.0848516181690223E-2</v>
      </c>
      <c r="BD69">
        <v>5.569850081481062E-2</v>
      </c>
      <c r="BE69">
        <v>0.18285459360558368</v>
      </c>
      <c r="BF69">
        <v>0.20284197546879573</v>
      </c>
      <c r="BG69">
        <v>0.18842735765692786</v>
      </c>
      <c r="BI69" t="s">
        <v>169</v>
      </c>
      <c r="BJ69" t="s">
        <v>221</v>
      </c>
      <c r="BK69" t="s">
        <v>222</v>
      </c>
      <c r="BL69">
        <v>0.57567941913079446</v>
      </c>
    </row>
    <row r="70" spans="2:64" x14ac:dyDescent="0.45">
      <c r="B70" t="s">
        <v>198</v>
      </c>
      <c r="C70" t="s">
        <v>31</v>
      </c>
      <c r="D70">
        <v>0.44554024729366665</v>
      </c>
      <c r="E70">
        <v>0.43809166089529444</v>
      </c>
      <c r="F70">
        <v>0.38867291756899308</v>
      </c>
      <c r="G70">
        <v>0.39029586329101135</v>
      </c>
      <c r="H70">
        <v>0.4247710374536765</v>
      </c>
      <c r="I70">
        <v>0.36726045889355663</v>
      </c>
      <c r="J70">
        <v>0.44406947026511101</v>
      </c>
      <c r="K70">
        <v>0.53524659095350113</v>
      </c>
      <c r="L70">
        <v>0.37897376020076384</v>
      </c>
      <c r="M70">
        <v>0.4134797284864733</v>
      </c>
      <c r="N70">
        <v>0.44381310840923599</v>
      </c>
      <c r="O70">
        <v>0.39551044075581987</v>
      </c>
      <c r="AU70" t="s">
        <v>198</v>
      </c>
      <c r="AV70">
        <v>0.27965015382908348</v>
      </c>
      <c r="AW70">
        <v>0.28588101122123677</v>
      </c>
      <c r="AX70">
        <v>0.29651405212024923</v>
      </c>
      <c r="AY70">
        <v>0.26434994105864024</v>
      </c>
      <c r="AZ70">
        <v>0.27697267484934263</v>
      </c>
      <c r="BA70">
        <v>0.28954925957385302</v>
      </c>
      <c r="BB70">
        <v>0.15028367362093389</v>
      </c>
      <c r="BC70">
        <v>0.15054696656845554</v>
      </c>
      <c r="BD70">
        <v>0.18088842953581963</v>
      </c>
      <c r="BE70">
        <v>0.28072536678018845</v>
      </c>
      <c r="BF70">
        <v>0.28172130307509918</v>
      </c>
      <c r="BG70">
        <v>0.29824561968520258</v>
      </c>
      <c r="BI70" t="s">
        <v>170</v>
      </c>
      <c r="BJ70" t="s">
        <v>221</v>
      </c>
      <c r="BK70" t="s">
        <v>222</v>
      </c>
      <c r="BL70">
        <v>0.29508270695733613</v>
      </c>
    </row>
    <row r="71" spans="2:64" x14ac:dyDescent="0.45">
      <c r="B71" t="s">
        <v>199</v>
      </c>
      <c r="C71" t="s">
        <v>31</v>
      </c>
      <c r="D71">
        <v>0.50036986201823308</v>
      </c>
      <c r="E71">
        <v>0.52697957259067829</v>
      </c>
      <c r="F71">
        <v>0.46264539974759256</v>
      </c>
      <c r="G71">
        <v>0.47380786442691464</v>
      </c>
      <c r="H71">
        <v>0.4939061654212461</v>
      </c>
      <c r="I71">
        <v>0.46959988698739952</v>
      </c>
      <c r="J71">
        <v>0.50887979919453896</v>
      </c>
      <c r="K71">
        <v>0.53042378515020072</v>
      </c>
      <c r="L71">
        <v>0.48522026352427694</v>
      </c>
      <c r="M71">
        <v>0.48435861178611844</v>
      </c>
      <c r="N71">
        <v>0.52202593981301604</v>
      </c>
      <c r="O71">
        <v>0.46374115622727508</v>
      </c>
      <c r="AU71" t="s">
        <v>199</v>
      </c>
      <c r="AV71">
        <v>0.13403871492045114</v>
      </c>
      <c r="AW71">
        <v>0.1515158273970483</v>
      </c>
      <c r="AX71">
        <v>0.12114059683451869</v>
      </c>
      <c r="AY71">
        <v>8.4909516182828798E-2</v>
      </c>
      <c r="AZ71">
        <v>0.12519168118922186</v>
      </c>
      <c r="BA71">
        <v>0.10587953313941481</v>
      </c>
      <c r="BB71">
        <v>4.1246834856926727E-2</v>
      </c>
      <c r="BC71">
        <v>4.6127346977785623E-2</v>
      </c>
      <c r="BD71">
        <v>5.5055884299308785E-2</v>
      </c>
      <c r="BE71">
        <v>0.10650327052909193</v>
      </c>
      <c r="BF71">
        <v>0.11169530956019523</v>
      </c>
      <c r="BG71">
        <v>0.12337104290247485</v>
      </c>
      <c r="BI71" t="s">
        <v>171</v>
      </c>
      <c r="BJ71" t="s">
        <v>221</v>
      </c>
      <c r="BK71" t="s">
        <v>222</v>
      </c>
      <c r="BL71">
        <v>0.33715309650854625</v>
      </c>
    </row>
    <row r="72" spans="2:64" x14ac:dyDescent="0.45">
      <c r="B72" t="s">
        <v>200</v>
      </c>
      <c r="C72" t="s">
        <v>31</v>
      </c>
      <c r="D72">
        <v>0.34272577417971323</v>
      </c>
      <c r="E72">
        <v>0.38615770409778721</v>
      </c>
      <c r="F72">
        <v>0.32292359705685336</v>
      </c>
      <c r="G72">
        <v>0.32566448471896364</v>
      </c>
      <c r="H72">
        <v>0.36548950630729943</v>
      </c>
      <c r="I72">
        <v>0.34667920095857097</v>
      </c>
      <c r="J72">
        <v>0.33965632923267053</v>
      </c>
      <c r="K72">
        <v>0.42698678454949518</v>
      </c>
      <c r="L72">
        <v>0.3525271689725662</v>
      </c>
      <c r="M72">
        <v>0.35911108846963352</v>
      </c>
      <c r="N72">
        <v>0.39494577673134745</v>
      </c>
      <c r="O72">
        <v>0.33025241134425548</v>
      </c>
      <c r="AU72" t="s">
        <v>200</v>
      </c>
      <c r="AV72">
        <v>0.42541802701136078</v>
      </c>
      <c r="AW72">
        <v>0.37931590823856848</v>
      </c>
      <c r="AX72">
        <v>0.43349915502216013</v>
      </c>
      <c r="AY72">
        <v>0.33937482436436861</v>
      </c>
      <c r="AZ72">
        <v>0.29595962581198509</v>
      </c>
      <c r="BA72">
        <v>0.33822340785526783</v>
      </c>
      <c r="BB72">
        <v>0.24407281432088271</v>
      </c>
      <c r="BC72">
        <v>0.18457765956943767</v>
      </c>
      <c r="BD72">
        <v>0.25783145773746879</v>
      </c>
      <c r="BE72">
        <v>0.3874266712927254</v>
      </c>
      <c r="BF72">
        <v>0.36331790066374786</v>
      </c>
      <c r="BG72">
        <v>0.42771266091413002</v>
      </c>
      <c r="BI72" t="s">
        <v>172</v>
      </c>
      <c r="BJ72" t="s">
        <v>221</v>
      </c>
      <c r="BK72" t="s">
        <v>222</v>
      </c>
      <c r="BL72">
        <v>0.36206060737194373</v>
      </c>
    </row>
    <row r="73" spans="2:64" x14ac:dyDescent="0.45">
      <c r="B73" t="s">
        <v>201</v>
      </c>
      <c r="C73" t="s">
        <v>31</v>
      </c>
      <c r="D73">
        <v>0.31521449167386706</v>
      </c>
      <c r="E73">
        <v>0.35577625428264553</v>
      </c>
      <c r="F73">
        <v>0.30143318793319557</v>
      </c>
      <c r="G73">
        <v>0.28298011270013085</v>
      </c>
      <c r="H73">
        <v>0.33477678009726602</v>
      </c>
      <c r="I73">
        <v>0.29348045841035675</v>
      </c>
      <c r="J73">
        <v>0.33630713828462167</v>
      </c>
      <c r="K73">
        <v>0.37954571569925882</v>
      </c>
      <c r="L73">
        <v>0.31244126701924368</v>
      </c>
      <c r="M73">
        <v>0.34565854474298885</v>
      </c>
      <c r="N73">
        <v>0.36759002429695725</v>
      </c>
      <c r="O73">
        <v>0.32947537026470186</v>
      </c>
      <c r="AU73" t="s">
        <v>201</v>
      </c>
      <c r="AV73">
        <v>0.44821981409826861</v>
      </c>
      <c r="AW73">
        <v>0.41498616127725957</v>
      </c>
      <c r="AX73">
        <v>0.46883473197549669</v>
      </c>
      <c r="AY73">
        <v>0.36524492610914672</v>
      </c>
      <c r="AZ73">
        <v>0.34055929440210503</v>
      </c>
      <c r="BA73">
        <v>0.3682836673281305</v>
      </c>
      <c r="BB73">
        <v>0.26489547436401251</v>
      </c>
      <c r="BC73">
        <v>0.232575239232581</v>
      </c>
      <c r="BD73">
        <v>0.30898398280548139</v>
      </c>
      <c r="BE73">
        <v>0.39853979047001659</v>
      </c>
      <c r="BF73">
        <v>0.39006783400001599</v>
      </c>
      <c r="BG73">
        <v>0.4315645520270735</v>
      </c>
      <c r="BI73" t="s">
        <v>173</v>
      </c>
      <c r="BJ73" t="s">
        <v>221</v>
      </c>
      <c r="BK73" t="s">
        <v>222</v>
      </c>
      <c r="BL73">
        <v>0.36108585674531279</v>
      </c>
    </row>
    <row r="74" spans="2:64" x14ac:dyDescent="0.45">
      <c r="B74" t="s">
        <v>202</v>
      </c>
      <c r="C74" t="s">
        <v>31</v>
      </c>
      <c r="D74">
        <v>0.25436854697398864</v>
      </c>
      <c r="E74">
        <v>0.25102163197590144</v>
      </c>
      <c r="F74">
        <v>0.24529505937493726</v>
      </c>
      <c r="G74">
        <v>0.24312130982709473</v>
      </c>
      <c r="H74">
        <v>0.26262839927906689</v>
      </c>
      <c r="I74">
        <v>0.22723047979337255</v>
      </c>
      <c r="J74">
        <v>0.34576997206223764</v>
      </c>
      <c r="K74">
        <v>0.33976913586996804</v>
      </c>
      <c r="L74">
        <v>0.31057916138670866</v>
      </c>
      <c r="M74">
        <v>0.29246899351162786</v>
      </c>
      <c r="N74">
        <v>0.30443938690741462</v>
      </c>
      <c r="O74">
        <v>0.29483381999232838</v>
      </c>
      <c r="AU74" t="s">
        <v>202</v>
      </c>
      <c r="AV74">
        <v>0.5647328886153975</v>
      </c>
      <c r="AW74">
        <v>0.55564510741841577</v>
      </c>
      <c r="AX74">
        <v>0.57667064081384367</v>
      </c>
      <c r="AY74">
        <v>0.51759980060460642</v>
      </c>
      <c r="AZ74">
        <v>0.51245532648427383</v>
      </c>
      <c r="BA74">
        <v>0.53708018289832959</v>
      </c>
      <c r="BB74">
        <v>0.37157497528302469</v>
      </c>
      <c r="BC74">
        <v>0.36631740761894088</v>
      </c>
      <c r="BD74">
        <v>0.41100503055894355</v>
      </c>
      <c r="BE74">
        <v>0.51245029812454834</v>
      </c>
      <c r="BF74">
        <v>0.50758030743208649</v>
      </c>
      <c r="BG74">
        <v>0.51412799034941314</v>
      </c>
      <c r="BI74" t="s">
        <v>174</v>
      </c>
      <c r="BJ74" t="s">
        <v>221</v>
      </c>
      <c r="BK74" t="s">
        <v>222</v>
      </c>
      <c r="BL74">
        <v>0.30545340023279771</v>
      </c>
    </row>
    <row r="75" spans="2:64" x14ac:dyDescent="0.45">
      <c r="B75" t="s">
        <v>203</v>
      </c>
      <c r="C75" t="s">
        <v>31</v>
      </c>
      <c r="D75">
        <v>0.31461347876133511</v>
      </c>
      <c r="E75">
        <v>0.34423230427054702</v>
      </c>
      <c r="F75">
        <v>0.30421558456064679</v>
      </c>
      <c r="G75">
        <v>0.29018248174773847</v>
      </c>
      <c r="H75">
        <v>0.33018475627337524</v>
      </c>
      <c r="I75">
        <v>0.27493703686222887</v>
      </c>
      <c r="J75">
        <v>0.33258314710029824</v>
      </c>
      <c r="K75">
        <v>0.3917383757334606</v>
      </c>
      <c r="L75">
        <v>0.27915424010273548</v>
      </c>
      <c r="M75">
        <v>0.33035108889096032</v>
      </c>
      <c r="N75">
        <v>0.34873669369739069</v>
      </c>
      <c r="O75">
        <v>0.32845458496419355</v>
      </c>
      <c r="AU75" t="s">
        <v>203</v>
      </c>
      <c r="AV75">
        <v>0.43352236440700648</v>
      </c>
      <c r="AW75">
        <v>0.40173855819497423</v>
      </c>
      <c r="AX75">
        <v>0.44107495177275163</v>
      </c>
      <c r="AY75">
        <v>0.36470524385456971</v>
      </c>
      <c r="AZ75">
        <v>0.35438626440470866</v>
      </c>
      <c r="BA75">
        <v>0.38241301397446198</v>
      </c>
      <c r="BB75">
        <v>0.25788459687579163</v>
      </c>
      <c r="BC75">
        <v>0.23734604524970482</v>
      </c>
      <c r="BD75">
        <v>0.29852447228107981</v>
      </c>
      <c r="BE75">
        <v>0.38479653795770763</v>
      </c>
      <c r="BF75">
        <v>0.38265119062949249</v>
      </c>
      <c r="BG75">
        <v>0.40186719643390562</v>
      </c>
      <c r="BI75" t="s">
        <v>175</v>
      </c>
      <c r="BJ75" t="s">
        <v>221</v>
      </c>
      <c r="BK75" t="s">
        <v>222</v>
      </c>
      <c r="BL75">
        <v>0.47525904968017835</v>
      </c>
    </row>
    <row r="76" spans="2:64" x14ac:dyDescent="0.45">
      <c r="B76" t="s">
        <v>204</v>
      </c>
      <c r="C76" t="s">
        <v>31</v>
      </c>
      <c r="D76">
        <v>0.44555948800121176</v>
      </c>
      <c r="E76">
        <v>0.47599720412748803</v>
      </c>
      <c r="F76">
        <v>0.43469680587645904</v>
      </c>
      <c r="G76">
        <v>0.39686531242929213</v>
      </c>
      <c r="H76">
        <v>0.47824722367230382</v>
      </c>
      <c r="I76">
        <v>0.39439467556960606</v>
      </c>
      <c r="J76">
        <v>0.46275786317559331</v>
      </c>
      <c r="K76">
        <v>0.48651926211808627</v>
      </c>
      <c r="L76">
        <v>0.41745715045441339</v>
      </c>
      <c r="M76">
        <v>0.46053977482878289</v>
      </c>
      <c r="N76">
        <v>0.49433771252658615</v>
      </c>
      <c r="O76">
        <v>0.43059110325225614</v>
      </c>
      <c r="AU76" t="s">
        <v>204</v>
      </c>
      <c r="AV76">
        <v>0.24645927494706857</v>
      </c>
      <c r="AW76">
        <v>0.2272370441721028</v>
      </c>
      <c r="AX76">
        <v>0.25315390867901322</v>
      </c>
      <c r="AY76">
        <v>0.17699694321041753</v>
      </c>
      <c r="AZ76">
        <v>0.15133686473980298</v>
      </c>
      <c r="BA76">
        <v>0.17532102737609526</v>
      </c>
      <c r="BB76">
        <v>9.2754197325138787E-2</v>
      </c>
      <c r="BC76">
        <v>8.0585394609029096E-2</v>
      </c>
      <c r="BD76">
        <v>0.12280524224217507</v>
      </c>
      <c r="BE76">
        <v>0.23409772462423867</v>
      </c>
      <c r="BF76">
        <v>0.19880359826753102</v>
      </c>
      <c r="BG76">
        <v>0.22878553187969708</v>
      </c>
      <c r="BI76" t="s">
        <v>176</v>
      </c>
      <c r="BJ76" t="s">
        <v>221</v>
      </c>
      <c r="BK76" t="s">
        <v>222</v>
      </c>
      <c r="BL76">
        <v>0.29767851074414975</v>
      </c>
    </row>
    <row r="77" spans="2:64" x14ac:dyDescent="0.45">
      <c r="B77" t="s">
        <v>205</v>
      </c>
      <c r="C77" t="s">
        <v>31</v>
      </c>
      <c r="D77">
        <v>0.3833718110439775</v>
      </c>
      <c r="E77">
        <v>0.41308011317538434</v>
      </c>
      <c r="F77">
        <v>0.36286187681116333</v>
      </c>
      <c r="G77">
        <v>0.33379760145069365</v>
      </c>
      <c r="H77">
        <v>0.41857361547122679</v>
      </c>
      <c r="I77">
        <v>0.33762705861932407</v>
      </c>
      <c r="J77">
        <v>0.36637166598720056</v>
      </c>
      <c r="K77">
        <v>0.46048658579669433</v>
      </c>
      <c r="L77">
        <v>0.35405626504861876</v>
      </c>
      <c r="M77">
        <v>0.37932964843710093</v>
      </c>
      <c r="N77">
        <v>0.42592160754515923</v>
      </c>
      <c r="O77">
        <v>0.35500073817304351</v>
      </c>
      <c r="AU77" t="s">
        <v>205</v>
      </c>
      <c r="AV77">
        <v>0.36340267496256773</v>
      </c>
      <c r="AW77">
        <v>0.32070621167731139</v>
      </c>
      <c r="AX77">
        <v>0.36730416508668384</v>
      </c>
      <c r="AY77">
        <v>0.30201233580017178</v>
      </c>
      <c r="AZ77">
        <v>0.24480929877581328</v>
      </c>
      <c r="BA77">
        <v>0.29099657628113101</v>
      </c>
      <c r="BB77">
        <v>0.19733969194999809</v>
      </c>
      <c r="BC77">
        <v>0.14233573385391529</v>
      </c>
      <c r="BD77">
        <v>0.21016764484766395</v>
      </c>
      <c r="BE77">
        <v>0.33977021353416037</v>
      </c>
      <c r="BF77">
        <v>0.29490641587424044</v>
      </c>
      <c r="BG77">
        <v>0.36303166317530794</v>
      </c>
      <c r="BI77" t="s">
        <v>177</v>
      </c>
      <c r="BJ77" t="s">
        <v>221</v>
      </c>
      <c r="BK77" t="s">
        <v>222</v>
      </c>
      <c r="BL77">
        <v>0.47091401444710512</v>
      </c>
    </row>
    <row r="78" spans="2:64" x14ac:dyDescent="0.45">
      <c r="B78" t="s">
        <v>206</v>
      </c>
      <c r="C78" t="s">
        <v>31</v>
      </c>
      <c r="D78">
        <v>0.54178531930882967</v>
      </c>
      <c r="E78">
        <v>0.57454722186848117</v>
      </c>
      <c r="F78">
        <v>0.5323721298657309</v>
      </c>
      <c r="G78">
        <v>0.50182075094653711</v>
      </c>
      <c r="H78">
        <v>0.53577990698412981</v>
      </c>
      <c r="I78">
        <v>0.45681088543031412</v>
      </c>
      <c r="J78">
        <v>0.535189953485396</v>
      </c>
      <c r="K78">
        <v>0.52535903976169085</v>
      </c>
      <c r="L78">
        <v>0.44673590792545986</v>
      </c>
      <c r="M78">
        <v>0.54885745937810437</v>
      </c>
      <c r="N78">
        <v>0.54585511795956798</v>
      </c>
      <c r="O78">
        <v>0.48943892034031439</v>
      </c>
      <c r="AU78" t="s">
        <v>206</v>
      </c>
      <c r="AV78">
        <v>0.13372156288066495</v>
      </c>
      <c r="AW78">
        <v>0.13635526872829573</v>
      </c>
      <c r="AX78">
        <v>0.15722453192039232</v>
      </c>
      <c r="AY78">
        <v>8.9088170721109528E-2</v>
      </c>
      <c r="AZ78">
        <v>9.4300624238493586E-2</v>
      </c>
      <c r="BA78">
        <v>9.6970075855564039E-2</v>
      </c>
      <c r="BB78">
        <v>4.890319687718616E-2</v>
      </c>
      <c r="BC78">
        <v>5.9027618879042371E-2</v>
      </c>
      <c r="BD78">
        <v>6.9014651855458894E-2</v>
      </c>
      <c r="BE78">
        <v>0.14789459477038683</v>
      </c>
      <c r="BF78">
        <v>0.15000150160618358</v>
      </c>
      <c r="BG78">
        <v>0.14100731704991093</v>
      </c>
      <c r="BI78" t="s">
        <v>178</v>
      </c>
      <c r="BJ78" t="s">
        <v>221</v>
      </c>
      <c r="BK78" t="s">
        <v>222</v>
      </c>
      <c r="BL78">
        <v>0.34331814085256523</v>
      </c>
    </row>
    <row r="79" spans="2:64" x14ac:dyDescent="0.45">
      <c r="B79" t="s">
        <v>207</v>
      </c>
      <c r="C79" t="s">
        <v>31</v>
      </c>
      <c r="D79">
        <v>0.49465251443906988</v>
      </c>
      <c r="E79">
        <v>0.51041662443688363</v>
      </c>
      <c r="F79">
        <v>0.46982100053401621</v>
      </c>
      <c r="G79">
        <v>0.43824683685375032</v>
      </c>
      <c r="H79">
        <v>0.47028468521451094</v>
      </c>
      <c r="I79">
        <v>0.4057125087358997</v>
      </c>
      <c r="J79">
        <v>0.45408822121050302</v>
      </c>
      <c r="K79">
        <v>0.47924286191617288</v>
      </c>
      <c r="L79">
        <v>0.3647038977141363</v>
      </c>
      <c r="M79">
        <v>0.44023571250093396</v>
      </c>
      <c r="N79">
        <v>0.47835161955607886</v>
      </c>
      <c r="O79">
        <v>0.41127181188256867</v>
      </c>
      <c r="AU79" t="s">
        <v>207</v>
      </c>
      <c r="AV79">
        <v>0.22449422061229732</v>
      </c>
      <c r="AW79">
        <v>0.19778278933486987</v>
      </c>
      <c r="AX79">
        <v>0.2455084916206732</v>
      </c>
      <c r="AY79">
        <v>0.14355185891453287</v>
      </c>
      <c r="AZ79">
        <v>0.13398807414071132</v>
      </c>
      <c r="BA79">
        <v>0.15519520771430489</v>
      </c>
      <c r="BB79">
        <v>9.1036399322777545E-2</v>
      </c>
      <c r="BC79">
        <v>8.3586742668536163E-2</v>
      </c>
      <c r="BD79">
        <v>0.10763190527264159</v>
      </c>
      <c r="BE79">
        <v>0.23288386768828981</v>
      </c>
      <c r="BF79">
        <v>0.21829742839066252</v>
      </c>
      <c r="BG79">
        <v>0.23276835670735482</v>
      </c>
      <c r="BI79" t="s">
        <v>179</v>
      </c>
      <c r="BJ79" t="s">
        <v>221</v>
      </c>
      <c r="BK79" t="s">
        <v>222</v>
      </c>
      <c r="BL79">
        <v>0.57036825367312094</v>
      </c>
    </row>
    <row r="80" spans="2:64" x14ac:dyDescent="0.45">
      <c r="B80" t="s">
        <v>208</v>
      </c>
      <c r="C80" t="s">
        <v>31</v>
      </c>
      <c r="D80">
        <v>0.44186873552902695</v>
      </c>
      <c r="E80">
        <v>0.45985944664921763</v>
      </c>
      <c r="F80">
        <v>0.44464596734234541</v>
      </c>
      <c r="G80">
        <v>0.37145656512527575</v>
      </c>
      <c r="H80">
        <v>0.45465731275091176</v>
      </c>
      <c r="I80">
        <v>0.37223384788684111</v>
      </c>
      <c r="J80">
        <v>0.41450342662552248</v>
      </c>
      <c r="K80">
        <v>0.47059281289066057</v>
      </c>
      <c r="L80">
        <v>0.3634112039286696</v>
      </c>
      <c r="M80">
        <v>0.40340854214597721</v>
      </c>
      <c r="N80">
        <v>0.44366304958512465</v>
      </c>
      <c r="O80">
        <v>0.36377665838140499</v>
      </c>
      <c r="AU80" t="s">
        <v>208</v>
      </c>
      <c r="AV80">
        <v>0.28384564875176393</v>
      </c>
      <c r="AW80">
        <v>0.25726023893995614</v>
      </c>
      <c r="AX80">
        <v>0.30215922331554301</v>
      </c>
      <c r="AY80">
        <v>0.21916081741520366</v>
      </c>
      <c r="AZ80">
        <v>0.17522822690753131</v>
      </c>
      <c r="BA80">
        <v>0.22957826928531894</v>
      </c>
      <c r="BB80">
        <v>0.14748842077316376</v>
      </c>
      <c r="BC80">
        <v>0.12005065892869382</v>
      </c>
      <c r="BD80">
        <v>0.17377891317798128</v>
      </c>
      <c r="BE80">
        <v>0.30794055199862813</v>
      </c>
      <c r="BF80">
        <v>0.27588679088674106</v>
      </c>
      <c r="BG80">
        <v>0.32308578962276879</v>
      </c>
      <c r="BI80" t="s">
        <v>180</v>
      </c>
      <c r="BJ80" t="s">
        <v>221</v>
      </c>
      <c r="BK80" t="s">
        <v>222</v>
      </c>
      <c r="BL80">
        <v>0.61312913962248661</v>
      </c>
    </row>
    <row r="81" spans="2:64" x14ac:dyDescent="0.45">
      <c r="B81" t="s">
        <v>209</v>
      </c>
      <c r="C81" t="s">
        <v>31</v>
      </c>
      <c r="D81">
        <v>0.39250013328744054</v>
      </c>
      <c r="E81">
        <v>0.40442474105662113</v>
      </c>
      <c r="F81">
        <v>0.38271366291426001</v>
      </c>
      <c r="G81">
        <v>0.35946569404290152</v>
      </c>
      <c r="H81">
        <v>0.44478508754635793</v>
      </c>
      <c r="I81">
        <v>0.35935904791073353</v>
      </c>
      <c r="J81">
        <v>0.38167823786941457</v>
      </c>
      <c r="K81">
        <v>0.45241759881520255</v>
      </c>
      <c r="L81">
        <v>0.33740453940407389</v>
      </c>
      <c r="M81">
        <v>0.39464067666690605</v>
      </c>
      <c r="N81">
        <v>0.44090095329830103</v>
      </c>
      <c r="O81">
        <v>0.37401357481172942</v>
      </c>
      <c r="AU81" t="s">
        <v>209</v>
      </c>
      <c r="AV81">
        <v>0.30521986272972601</v>
      </c>
      <c r="AW81">
        <v>0.29331318249362098</v>
      </c>
      <c r="AX81">
        <v>0.30937105028564754</v>
      </c>
      <c r="AY81">
        <v>0.22764169095414249</v>
      </c>
      <c r="AZ81">
        <v>0.20831502257021572</v>
      </c>
      <c r="BA81">
        <v>0.2410260636229756</v>
      </c>
      <c r="BB81">
        <v>0.13664030328047291</v>
      </c>
      <c r="BC81">
        <v>0.12718956192186304</v>
      </c>
      <c r="BD81">
        <v>0.1581014249510701</v>
      </c>
      <c r="BE81">
        <v>0.30788411755858108</v>
      </c>
      <c r="BF81">
        <v>0.27634441245899821</v>
      </c>
      <c r="BG81">
        <v>0.31842240457394416</v>
      </c>
      <c r="BI81" t="s">
        <v>181</v>
      </c>
      <c r="BJ81" t="s">
        <v>221</v>
      </c>
      <c r="BK81" t="s">
        <v>222</v>
      </c>
      <c r="BL81">
        <v>0.59761332333856576</v>
      </c>
    </row>
    <row r="82" spans="2:64" x14ac:dyDescent="0.45">
      <c r="B82" t="s">
        <v>210</v>
      </c>
      <c r="C82" t="s">
        <v>31</v>
      </c>
      <c r="D82">
        <v>0.36937876196814573</v>
      </c>
      <c r="E82">
        <v>0.39988850488592104</v>
      </c>
      <c r="F82">
        <v>0.35514468578130853</v>
      </c>
      <c r="G82">
        <v>0.30753852650010982</v>
      </c>
      <c r="H82">
        <v>0.3921523382996755</v>
      </c>
      <c r="I82">
        <v>0.31258504471474813</v>
      </c>
      <c r="J82">
        <v>0.35600149282179044</v>
      </c>
      <c r="K82">
        <v>0.44764547602005872</v>
      </c>
      <c r="L82">
        <v>0.32678905331481078</v>
      </c>
      <c r="M82">
        <v>0.38294391954687185</v>
      </c>
      <c r="N82">
        <v>0.41134298252175616</v>
      </c>
      <c r="O82">
        <v>0.35660187405134475</v>
      </c>
      <c r="AU82" t="s">
        <v>210</v>
      </c>
      <c r="AV82">
        <v>0.37035591665887357</v>
      </c>
      <c r="AW82">
        <v>0.33670332537962394</v>
      </c>
      <c r="AX82">
        <v>0.38539435761298219</v>
      </c>
      <c r="AY82">
        <v>0.29478623361761053</v>
      </c>
      <c r="AZ82">
        <v>0.24569233154186035</v>
      </c>
      <c r="BA82">
        <v>0.30960084167170782</v>
      </c>
      <c r="BB82">
        <v>0.20686354421688211</v>
      </c>
      <c r="BC82">
        <v>0.16376998927932962</v>
      </c>
      <c r="BD82">
        <v>0.23316371973066352</v>
      </c>
      <c r="BE82">
        <v>0.34226090506570311</v>
      </c>
      <c r="BF82">
        <v>0.31666321290575389</v>
      </c>
      <c r="BG82">
        <v>0.37689898625764956</v>
      </c>
      <c r="BI82" t="s">
        <v>182</v>
      </c>
      <c r="BJ82" t="s">
        <v>221</v>
      </c>
      <c r="BK82" t="s">
        <v>222</v>
      </c>
      <c r="BL82">
        <v>0.59592530466041183</v>
      </c>
    </row>
    <row r="83" spans="2:64" x14ac:dyDescent="0.45">
      <c r="B83" t="s">
        <v>211</v>
      </c>
      <c r="C83" t="s">
        <v>31</v>
      </c>
      <c r="D83">
        <v>0.31902792298992483</v>
      </c>
      <c r="E83">
        <v>0.37940510351001749</v>
      </c>
      <c r="F83">
        <v>0.31561517900212499</v>
      </c>
      <c r="G83">
        <v>0.32165750616189254</v>
      </c>
      <c r="H83">
        <v>0.37732305291907248</v>
      </c>
      <c r="I83">
        <v>0.30622092419186248</v>
      </c>
      <c r="J83">
        <v>0.35205496570620926</v>
      </c>
      <c r="K83">
        <v>0.41541811527250894</v>
      </c>
      <c r="L83">
        <v>0.31694416679293419</v>
      </c>
      <c r="M83">
        <v>0.35567640996750854</v>
      </c>
      <c r="N83">
        <v>0.39453111216410552</v>
      </c>
      <c r="O83">
        <v>0.33680914508067189</v>
      </c>
      <c r="AU83" t="s">
        <v>211</v>
      </c>
      <c r="AV83">
        <v>0.41537441716326828</v>
      </c>
      <c r="AW83">
        <v>0.37430035313366755</v>
      </c>
      <c r="AX83">
        <v>0.41201380550852879</v>
      </c>
      <c r="AY83">
        <v>0.3096279560860018</v>
      </c>
      <c r="AZ83">
        <v>0.2656668669715343</v>
      </c>
      <c r="BA83">
        <v>0.30496153762429035</v>
      </c>
      <c r="BB83">
        <v>0.20231482806483439</v>
      </c>
      <c r="BC83">
        <v>0.18003871793860313</v>
      </c>
      <c r="BD83">
        <v>0.22699532380005744</v>
      </c>
      <c r="BE83">
        <v>0.33811110165536074</v>
      </c>
      <c r="BF83">
        <v>0.33651058353102953</v>
      </c>
      <c r="BG83">
        <v>0.37167921953347982</v>
      </c>
      <c r="BI83" t="s">
        <v>183</v>
      </c>
      <c r="BJ83" t="s">
        <v>221</v>
      </c>
      <c r="BK83" t="s">
        <v>222</v>
      </c>
      <c r="BL83">
        <v>0.66501609594736999</v>
      </c>
    </row>
    <row r="84" spans="2:64" x14ac:dyDescent="0.45">
      <c r="B84" t="s">
        <v>212</v>
      </c>
      <c r="C84" t="s">
        <v>31</v>
      </c>
      <c r="D84">
        <v>0.33859644967214342</v>
      </c>
      <c r="E84">
        <v>0.43228514711013649</v>
      </c>
      <c r="F84">
        <v>0.39050526850568412</v>
      </c>
      <c r="G84">
        <v>0.36456080939713553</v>
      </c>
      <c r="H84">
        <v>0.45844702542049803</v>
      </c>
      <c r="I84">
        <v>0.3546863054614125</v>
      </c>
      <c r="J84">
        <v>0.34211832167727951</v>
      </c>
      <c r="K84">
        <v>0.5170488233776066</v>
      </c>
      <c r="L84">
        <v>0.29266768612777438</v>
      </c>
      <c r="M84">
        <v>0.37325004027478897</v>
      </c>
      <c r="N84">
        <v>0.44824484206297593</v>
      </c>
      <c r="O84">
        <v>0.36155017714796295</v>
      </c>
      <c r="AU84" t="s">
        <v>212</v>
      </c>
      <c r="AV84">
        <v>0.27993406042186464</v>
      </c>
      <c r="AW84">
        <v>0.22760542480564613</v>
      </c>
      <c r="AX84">
        <v>0.27028692221650646</v>
      </c>
      <c r="AY84">
        <v>0.22407850049748723</v>
      </c>
      <c r="AZ84">
        <v>0.22465467933652083</v>
      </c>
      <c r="BA84">
        <v>0.25435706567818822</v>
      </c>
      <c r="BB84">
        <v>0.12407597920774779</v>
      </c>
      <c r="BC84">
        <v>9.1660638429530775E-2</v>
      </c>
      <c r="BD84">
        <v>0.17270380321263554</v>
      </c>
      <c r="BE84">
        <v>0.24649887403803644</v>
      </c>
      <c r="BF84">
        <v>0.21020982735277136</v>
      </c>
      <c r="BG84">
        <v>0.26391389001261367</v>
      </c>
      <c r="BI84" t="s">
        <v>184</v>
      </c>
      <c r="BJ84" t="s">
        <v>221</v>
      </c>
      <c r="BK84" t="s">
        <v>222</v>
      </c>
      <c r="BL84">
        <v>0.65655960840632677</v>
      </c>
    </row>
    <row r="85" spans="2:64" x14ac:dyDescent="0.45">
      <c r="B85" t="s">
        <v>213</v>
      </c>
      <c r="C85" t="s">
        <v>31</v>
      </c>
      <c r="D85">
        <v>0.31293115868919197</v>
      </c>
      <c r="E85">
        <v>0.37191103825796384</v>
      </c>
      <c r="F85">
        <v>0.33231872023173598</v>
      </c>
      <c r="G85">
        <v>0.34674318228865852</v>
      </c>
      <c r="H85">
        <v>0.40182680338584004</v>
      </c>
      <c r="I85">
        <v>0.33690767450416098</v>
      </c>
      <c r="J85">
        <v>0.36458144690925043</v>
      </c>
      <c r="K85">
        <v>0.41909957682743282</v>
      </c>
      <c r="L85">
        <v>0.32628143930450321</v>
      </c>
      <c r="M85">
        <v>0.35686355923633978</v>
      </c>
      <c r="N85">
        <v>0.40152277720490404</v>
      </c>
      <c r="O85">
        <v>0.34650255241744021</v>
      </c>
      <c r="AU85" t="s">
        <v>213</v>
      </c>
      <c r="AV85">
        <v>0.35214935258233321</v>
      </c>
      <c r="AW85">
        <v>0.30111246272759506</v>
      </c>
      <c r="AX85">
        <v>0.34204718024658165</v>
      </c>
      <c r="AY85">
        <v>0.25880141165525411</v>
      </c>
      <c r="AZ85">
        <v>0.2437257487767838</v>
      </c>
      <c r="BA85">
        <v>0.26252863940711663</v>
      </c>
      <c r="BB85">
        <v>0.17008073355701786</v>
      </c>
      <c r="BC85">
        <v>0.13464660647317728</v>
      </c>
      <c r="BD85">
        <v>0.19571849305424013</v>
      </c>
      <c r="BE85">
        <v>0.30517282766276005</v>
      </c>
      <c r="BF85">
        <v>0.28444340508976984</v>
      </c>
      <c r="BG85">
        <v>0.32436506057012493</v>
      </c>
      <c r="BI85" t="s">
        <v>185</v>
      </c>
      <c r="BJ85" t="s">
        <v>221</v>
      </c>
      <c r="BK85" t="s">
        <v>222</v>
      </c>
      <c r="BL85">
        <v>0.69822033595924582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CD572-C454-4FC1-BC17-5396129BF275}">
  <dimension ref="A9:S126"/>
  <sheetViews>
    <sheetView tabSelected="1" workbookViewId="0">
      <selection activeCell="H10" sqref="H10"/>
    </sheetView>
  </sheetViews>
  <sheetFormatPr defaultRowHeight="14.25" x14ac:dyDescent="0.45"/>
  <sheetData>
    <row r="9" spans="1:19" x14ac:dyDescent="0.45">
      <c r="C9" t="str">
        <f>IF(A11="x","DeActivated","~TFM_DINS-AT")</f>
        <v>~TFM_DINS-AT</v>
      </c>
      <c r="H9" t="str">
        <f>IF(A11="x","DeActivated","~TFM_INS-AT: cset_set=DEM")</f>
        <v>~TFM_INS-AT: cset_set=DEM</v>
      </c>
      <c r="L9" t="str">
        <f>IF(A11="x","DeActivated","~TFM_DINS-AT")</f>
        <v>~TFM_DINS-AT</v>
      </c>
      <c r="P9" t="str">
        <f>IF(A11="x","DeActivated","~TFM_INS-AT")</f>
        <v>~TFM_INS-AT</v>
      </c>
    </row>
    <row r="10" spans="1:19" x14ac:dyDescent="0.45">
      <c r="A10" t="s">
        <v>46</v>
      </c>
      <c r="C10" t="s">
        <v>223</v>
      </c>
      <c r="D10" t="s">
        <v>49</v>
      </c>
      <c r="E10" t="s">
        <v>48</v>
      </c>
      <c r="F10" t="s">
        <v>47</v>
      </c>
      <c r="H10" t="s">
        <v>47</v>
      </c>
      <c r="I10" t="s">
        <v>48</v>
      </c>
      <c r="J10" t="s">
        <v>49</v>
      </c>
      <c r="L10" t="s">
        <v>47</v>
      </c>
      <c r="M10" t="s">
        <v>48</v>
      </c>
      <c r="N10" t="s">
        <v>230</v>
      </c>
      <c r="P10" t="s">
        <v>231</v>
      </c>
      <c r="Q10" t="s">
        <v>48</v>
      </c>
      <c r="R10" t="s">
        <v>232</v>
      </c>
      <c r="S10" t="s">
        <v>233</v>
      </c>
    </row>
    <row r="11" spans="1:19" x14ac:dyDescent="0.45">
      <c r="A11" t="str">
        <f>IFERROR(IF([1]Veda!D5=A10,"ok","x"),"")</f>
        <v/>
      </c>
      <c r="C11">
        <v>8.2191780821917804E-2</v>
      </c>
      <c r="D11">
        <v>4.555602515973449E-2</v>
      </c>
      <c r="E11" t="s">
        <v>52</v>
      </c>
      <c r="F11" t="s">
        <v>224</v>
      </c>
      <c r="H11" t="s">
        <v>235</v>
      </c>
      <c r="I11" t="s">
        <v>52</v>
      </c>
      <c r="J11">
        <v>7.4504724760130842E-2</v>
      </c>
      <c r="L11" t="s">
        <v>12</v>
      </c>
      <c r="M11" t="s">
        <v>52</v>
      </c>
      <c r="N11">
        <v>0.33422375616539246</v>
      </c>
      <c r="P11">
        <v>2020</v>
      </c>
      <c r="Q11" t="s">
        <v>37</v>
      </c>
      <c r="R11">
        <v>0.31556666666666661</v>
      </c>
      <c r="S11" t="s">
        <v>234</v>
      </c>
    </row>
    <row r="12" spans="1:19" x14ac:dyDescent="0.45">
      <c r="C12">
        <v>0.10273972602739725</v>
      </c>
      <c r="D12">
        <v>0.14672202471222937</v>
      </c>
      <c r="E12" t="s">
        <v>54</v>
      </c>
      <c r="F12" t="s">
        <v>224</v>
      </c>
      <c r="H12" t="s">
        <v>235</v>
      </c>
      <c r="I12" t="s">
        <v>54</v>
      </c>
      <c r="J12">
        <v>0.12742810743588046</v>
      </c>
      <c r="L12" t="s">
        <v>12</v>
      </c>
      <c r="M12" t="s">
        <v>54</v>
      </c>
      <c r="N12">
        <v>8.9903744818597753E-2</v>
      </c>
      <c r="P12">
        <v>2020</v>
      </c>
      <c r="Q12" t="s">
        <v>41</v>
      </c>
      <c r="R12">
        <v>0.32903333333333334</v>
      </c>
      <c r="S12" t="s">
        <v>234</v>
      </c>
    </row>
    <row r="13" spans="1:19" x14ac:dyDescent="0.45">
      <c r="C13">
        <v>6.1643835616438353E-2</v>
      </c>
      <c r="D13">
        <v>5.4297292593789633E-2</v>
      </c>
      <c r="E13" t="s">
        <v>55</v>
      </c>
      <c r="F13" t="s">
        <v>224</v>
      </c>
      <c r="H13" t="s">
        <v>235</v>
      </c>
      <c r="I13" t="s">
        <v>55</v>
      </c>
      <c r="J13">
        <v>7.0690752798783854E-2</v>
      </c>
      <c r="L13" t="s">
        <v>12</v>
      </c>
      <c r="M13" t="s">
        <v>55</v>
      </c>
      <c r="N13">
        <v>0.16135490523742346</v>
      </c>
      <c r="P13">
        <v>2020</v>
      </c>
      <c r="Q13" t="s">
        <v>43</v>
      </c>
      <c r="R13">
        <v>0.24753333333333336</v>
      </c>
      <c r="S13" t="s">
        <v>234</v>
      </c>
    </row>
    <row r="14" spans="1:19" x14ac:dyDescent="0.45">
      <c r="C14">
        <v>8.4018264840182655E-2</v>
      </c>
      <c r="D14">
        <v>4.6568381274395249E-2</v>
      </c>
      <c r="E14" t="s">
        <v>56</v>
      </c>
      <c r="F14" t="s">
        <v>224</v>
      </c>
      <c r="H14" t="s">
        <v>235</v>
      </c>
      <c r="I14" t="s">
        <v>56</v>
      </c>
      <c r="J14">
        <v>7.0321837571465692E-2</v>
      </c>
      <c r="L14" t="s">
        <v>12</v>
      </c>
      <c r="M14" t="s">
        <v>56</v>
      </c>
      <c r="N14">
        <v>0.34341032577090225</v>
      </c>
      <c r="P14">
        <v>2020</v>
      </c>
      <c r="Q14" t="s">
        <v>45</v>
      </c>
      <c r="R14">
        <v>0.21636666666666668</v>
      </c>
      <c r="S14" t="s">
        <v>234</v>
      </c>
    </row>
    <row r="15" spans="1:19" x14ac:dyDescent="0.45">
      <c r="C15">
        <v>0.1050228310502283</v>
      </c>
      <c r="D15">
        <v>0.14998251415027888</v>
      </c>
      <c r="E15" t="s">
        <v>57</v>
      </c>
      <c r="F15" t="s">
        <v>224</v>
      </c>
      <c r="H15" t="s">
        <v>235</v>
      </c>
      <c r="I15" t="s">
        <v>57</v>
      </c>
      <c r="J15">
        <v>0.11773026767330701</v>
      </c>
      <c r="L15" t="s">
        <v>12</v>
      </c>
      <c r="M15" t="s">
        <v>57</v>
      </c>
      <c r="N15">
        <v>0.13281779002140848</v>
      </c>
      <c r="P15">
        <v>2021</v>
      </c>
      <c r="Q15" t="s">
        <v>37</v>
      </c>
      <c r="R15">
        <v>0.33883333333333332</v>
      </c>
      <c r="S15" t="s">
        <v>234</v>
      </c>
    </row>
    <row r="16" spans="1:19" x14ac:dyDescent="0.45">
      <c r="C16">
        <v>6.3013698630136991E-2</v>
      </c>
      <c r="D16">
        <v>5.5503899095873853E-2</v>
      </c>
      <c r="E16" t="s">
        <v>58</v>
      </c>
      <c r="F16" t="s">
        <v>224</v>
      </c>
      <c r="H16" t="s">
        <v>235</v>
      </c>
      <c r="I16" t="s">
        <v>58</v>
      </c>
      <c r="J16">
        <v>6.5060772488803112E-2</v>
      </c>
      <c r="L16" t="s">
        <v>12</v>
      </c>
      <c r="M16" t="s">
        <v>58</v>
      </c>
      <c r="N16">
        <v>0.21033216469750315</v>
      </c>
      <c r="P16">
        <v>2021</v>
      </c>
      <c r="Q16" t="s">
        <v>41</v>
      </c>
      <c r="R16">
        <v>0.27746666666666669</v>
      </c>
      <c r="S16" t="s">
        <v>234</v>
      </c>
    </row>
    <row r="17" spans="3:19" x14ac:dyDescent="0.45">
      <c r="C17">
        <v>8.4018264840182655E-2</v>
      </c>
      <c r="D17">
        <v>4.6568381274395249E-2</v>
      </c>
      <c r="E17" t="s">
        <v>59</v>
      </c>
      <c r="F17" t="s">
        <v>224</v>
      </c>
      <c r="H17" t="s">
        <v>235</v>
      </c>
      <c r="I17" t="s">
        <v>59</v>
      </c>
      <c r="J17">
        <v>6.4177512542957643E-2</v>
      </c>
      <c r="L17" t="s">
        <v>12</v>
      </c>
      <c r="M17" t="s">
        <v>59</v>
      </c>
      <c r="N17">
        <v>0.25648962628082539</v>
      </c>
      <c r="P17">
        <v>2021</v>
      </c>
      <c r="Q17" t="s">
        <v>43</v>
      </c>
      <c r="R17">
        <v>0.27649999999999997</v>
      </c>
      <c r="S17" t="s">
        <v>234</v>
      </c>
    </row>
    <row r="18" spans="3:19" x14ac:dyDescent="0.45">
      <c r="C18">
        <v>0.1050228310502283</v>
      </c>
      <c r="D18">
        <v>0.14998251415027888</v>
      </c>
      <c r="E18" t="s">
        <v>60</v>
      </c>
      <c r="F18" t="s">
        <v>224</v>
      </c>
      <c r="H18" t="s">
        <v>235</v>
      </c>
      <c r="I18" t="s">
        <v>60</v>
      </c>
      <c r="J18">
        <v>0.10854284989285631</v>
      </c>
      <c r="L18" t="s">
        <v>12</v>
      </c>
      <c r="M18" t="s">
        <v>60</v>
      </c>
      <c r="N18">
        <v>0.10536236988881864</v>
      </c>
      <c r="P18">
        <v>2021</v>
      </c>
      <c r="Q18" t="s">
        <v>45</v>
      </c>
      <c r="R18">
        <v>0.17016666666666666</v>
      </c>
      <c r="S18" t="s">
        <v>234</v>
      </c>
    </row>
    <row r="19" spans="3:19" x14ac:dyDescent="0.45">
      <c r="C19">
        <v>6.3013698630136991E-2</v>
      </c>
      <c r="D19">
        <v>5.5503899095873853E-2</v>
      </c>
      <c r="E19" t="s">
        <v>61</v>
      </c>
      <c r="F19" t="s">
        <v>224</v>
      </c>
      <c r="H19" t="s">
        <v>235</v>
      </c>
      <c r="I19" t="s">
        <v>61</v>
      </c>
      <c r="J19">
        <v>6.0809607982641803E-2</v>
      </c>
      <c r="L19" t="s">
        <v>12</v>
      </c>
      <c r="M19" t="s">
        <v>61</v>
      </c>
      <c r="N19">
        <v>0.13209071708321041</v>
      </c>
      <c r="P19">
        <v>2022</v>
      </c>
      <c r="Q19" t="s">
        <v>37</v>
      </c>
      <c r="R19">
        <v>0.25390000000000001</v>
      </c>
      <c r="S19" t="s">
        <v>234</v>
      </c>
    </row>
    <row r="20" spans="3:19" x14ac:dyDescent="0.45">
      <c r="C20">
        <v>8.3105022831050229E-2</v>
      </c>
      <c r="D20">
        <v>4.6062203217064869E-2</v>
      </c>
      <c r="E20" t="s">
        <v>62</v>
      </c>
      <c r="F20" t="s">
        <v>224</v>
      </c>
      <c r="H20" t="s">
        <v>235</v>
      </c>
      <c r="I20" t="s">
        <v>62</v>
      </c>
      <c r="J20">
        <v>6.5396382125206848E-2</v>
      </c>
      <c r="L20" t="s">
        <v>12</v>
      </c>
      <c r="M20" t="s">
        <v>62</v>
      </c>
      <c r="N20">
        <v>0.37086759523409962</v>
      </c>
      <c r="P20">
        <v>2022</v>
      </c>
      <c r="Q20" t="s">
        <v>41</v>
      </c>
      <c r="R20">
        <v>0.23780000000000001</v>
      </c>
      <c r="S20" t="s">
        <v>234</v>
      </c>
    </row>
    <row r="21" spans="3:19" x14ac:dyDescent="0.45">
      <c r="C21">
        <v>0.10388127853881278</v>
      </c>
      <c r="D21">
        <v>0.14835226943125412</v>
      </c>
      <c r="E21" t="s">
        <v>63</v>
      </c>
      <c r="F21" t="s">
        <v>224</v>
      </c>
      <c r="H21" t="s">
        <v>235</v>
      </c>
      <c r="I21" t="s">
        <v>63</v>
      </c>
      <c r="J21">
        <v>0.11237396981757951</v>
      </c>
      <c r="L21" t="s">
        <v>12</v>
      </c>
      <c r="M21" t="s">
        <v>63</v>
      </c>
      <c r="N21">
        <v>0.1709931594553209</v>
      </c>
      <c r="P21">
        <v>2022</v>
      </c>
      <c r="Q21" t="s">
        <v>43</v>
      </c>
      <c r="R21">
        <v>0.1689333333333333</v>
      </c>
      <c r="S21" t="s">
        <v>234</v>
      </c>
    </row>
    <row r="22" spans="3:19" x14ac:dyDescent="0.45">
      <c r="C22">
        <v>6.2328767123287672E-2</v>
      </c>
      <c r="D22">
        <v>5.4900595844831736E-2</v>
      </c>
      <c r="E22" t="s">
        <v>64</v>
      </c>
      <c r="F22" t="s">
        <v>224</v>
      </c>
      <c r="H22" t="s">
        <v>235</v>
      </c>
      <c r="I22" t="s">
        <v>64</v>
      </c>
      <c r="J22">
        <v>6.296321491038688E-2</v>
      </c>
      <c r="L22" t="s">
        <v>12</v>
      </c>
      <c r="M22" t="s">
        <v>64</v>
      </c>
      <c r="N22">
        <v>0.23823455411858552</v>
      </c>
      <c r="P22">
        <v>2022</v>
      </c>
      <c r="Q22" t="s">
        <v>45</v>
      </c>
      <c r="R22">
        <v>0.15003333333333335</v>
      </c>
      <c r="S22" t="s">
        <v>234</v>
      </c>
    </row>
    <row r="23" spans="3:19" x14ac:dyDescent="0.45">
      <c r="H23" t="s">
        <v>236</v>
      </c>
      <c r="I23" t="s">
        <v>52</v>
      </c>
      <c r="J23">
        <v>8.0968536889023446E-2</v>
      </c>
      <c r="P23">
        <v>2025</v>
      </c>
      <c r="Q23" t="s">
        <v>37</v>
      </c>
      <c r="R23">
        <v>0.29619999999999996</v>
      </c>
      <c r="S23" t="s">
        <v>234</v>
      </c>
    </row>
    <row r="24" spans="3:19" x14ac:dyDescent="0.45">
      <c r="H24" t="s">
        <v>236</v>
      </c>
      <c r="I24" t="s">
        <v>54</v>
      </c>
      <c r="J24">
        <v>0.10391396319547638</v>
      </c>
      <c r="P24">
        <v>2025</v>
      </c>
      <c r="Q24" t="s">
        <v>41</v>
      </c>
      <c r="R24">
        <v>0.27356666666666668</v>
      </c>
      <c r="S24" t="s">
        <v>234</v>
      </c>
    </row>
    <row r="25" spans="3:19" x14ac:dyDescent="0.45">
      <c r="H25" t="s">
        <v>236</v>
      </c>
      <c r="I25" t="s">
        <v>55</v>
      </c>
      <c r="J25">
        <v>6.1893895238254865E-2</v>
      </c>
      <c r="P25">
        <v>2025</v>
      </c>
      <c r="Q25" t="s">
        <v>43</v>
      </c>
      <c r="R25">
        <v>0.23003333333333331</v>
      </c>
      <c r="S25" t="s">
        <v>234</v>
      </c>
    </row>
    <row r="26" spans="3:19" x14ac:dyDescent="0.45">
      <c r="H26" t="s">
        <v>236</v>
      </c>
      <c r="I26" t="s">
        <v>56</v>
      </c>
      <c r="J26">
        <v>8.2913640798043253E-2</v>
      </c>
      <c r="P26">
        <v>2025</v>
      </c>
      <c r="Q26" t="s">
        <v>45</v>
      </c>
      <c r="R26">
        <v>0.2056</v>
      </c>
      <c r="S26" t="s">
        <v>234</v>
      </c>
    </row>
    <row r="27" spans="3:19" x14ac:dyDescent="0.45">
      <c r="H27" t="s">
        <v>236</v>
      </c>
      <c r="I27" t="s">
        <v>57</v>
      </c>
      <c r="J27">
        <v>0.10599308004984609</v>
      </c>
      <c r="P27">
        <v>2026</v>
      </c>
      <c r="Q27" t="s">
        <v>37</v>
      </c>
      <c r="R27">
        <v>0.30990000000000001</v>
      </c>
      <c r="S27" t="s">
        <v>234</v>
      </c>
    </row>
    <row r="28" spans="3:19" x14ac:dyDescent="0.45">
      <c r="H28" t="s">
        <v>236</v>
      </c>
      <c r="I28" t="s">
        <v>58</v>
      </c>
      <c r="J28">
        <v>6.3156240467508062E-2</v>
      </c>
      <c r="P28">
        <v>2026</v>
      </c>
      <c r="Q28" t="s">
        <v>41</v>
      </c>
      <c r="R28">
        <v>0.24750000000000003</v>
      </c>
      <c r="S28" t="s">
        <v>234</v>
      </c>
    </row>
    <row r="29" spans="3:19" x14ac:dyDescent="0.45">
      <c r="H29" t="s">
        <v>236</v>
      </c>
      <c r="I29" t="s">
        <v>59</v>
      </c>
      <c r="J29">
        <v>8.289346977110347E-2</v>
      </c>
      <c r="P29">
        <v>2026</v>
      </c>
      <c r="Q29" t="s">
        <v>43</v>
      </c>
      <c r="R29">
        <v>0.23356666666666662</v>
      </c>
      <c r="S29" t="s">
        <v>234</v>
      </c>
    </row>
    <row r="30" spans="3:19" x14ac:dyDescent="0.45">
      <c r="H30" t="s">
        <v>236</v>
      </c>
      <c r="I30" t="s">
        <v>60</v>
      </c>
      <c r="J30">
        <v>0.10584908420617077</v>
      </c>
      <c r="P30">
        <v>2026</v>
      </c>
      <c r="Q30" t="s">
        <v>45</v>
      </c>
      <c r="R30">
        <v>0.18826666666666667</v>
      </c>
      <c r="S30" t="s">
        <v>234</v>
      </c>
    </row>
    <row r="31" spans="3:19" x14ac:dyDescent="0.45">
      <c r="H31" t="s">
        <v>236</v>
      </c>
      <c r="I31" t="s">
        <v>61</v>
      </c>
      <c r="J31">
        <v>6.3169257046132979E-2</v>
      </c>
      <c r="P31">
        <v>2027</v>
      </c>
      <c r="Q31" t="s">
        <v>37</v>
      </c>
      <c r="R31">
        <v>0.30763333333333331</v>
      </c>
      <c r="S31" t="s">
        <v>234</v>
      </c>
    </row>
    <row r="32" spans="3:19" x14ac:dyDescent="0.45">
      <c r="H32" t="s">
        <v>236</v>
      </c>
      <c r="I32" t="s">
        <v>62</v>
      </c>
      <c r="J32">
        <v>8.1912619479356574E-2</v>
      </c>
      <c r="P32">
        <v>2027</v>
      </c>
      <c r="Q32" t="s">
        <v>41</v>
      </c>
      <c r="R32">
        <v>0.32896666666666668</v>
      </c>
      <c r="S32" t="s">
        <v>234</v>
      </c>
    </row>
    <row r="33" spans="8:19" x14ac:dyDescent="0.45">
      <c r="H33" t="s">
        <v>236</v>
      </c>
      <c r="I33" t="s">
        <v>63</v>
      </c>
      <c r="J33">
        <v>0.10480490019104891</v>
      </c>
      <c r="P33">
        <v>2027</v>
      </c>
      <c r="Q33" t="s">
        <v>43</v>
      </c>
      <c r="R33">
        <v>0.23676666666666668</v>
      </c>
      <c r="S33" t="s">
        <v>234</v>
      </c>
    </row>
    <row r="34" spans="8:19" x14ac:dyDescent="0.45">
      <c r="H34" t="s">
        <v>236</v>
      </c>
      <c r="I34" t="s">
        <v>64</v>
      </c>
      <c r="J34">
        <v>6.2531312668035133E-2</v>
      </c>
      <c r="P34">
        <v>2027</v>
      </c>
      <c r="Q34" t="s">
        <v>45</v>
      </c>
      <c r="R34">
        <v>0.20086666666666667</v>
      </c>
      <c r="S34" t="s">
        <v>234</v>
      </c>
    </row>
    <row r="35" spans="8:19" x14ac:dyDescent="0.45">
      <c r="P35">
        <v>2028</v>
      </c>
      <c r="Q35" t="s">
        <v>37</v>
      </c>
      <c r="R35">
        <v>0.3652333333333333</v>
      </c>
      <c r="S35" t="s">
        <v>234</v>
      </c>
    </row>
    <row r="36" spans="8:19" x14ac:dyDescent="0.45">
      <c r="P36">
        <v>2028</v>
      </c>
      <c r="Q36" t="s">
        <v>41</v>
      </c>
      <c r="R36">
        <v>0.3464666666666667</v>
      </c>
      <c r="S36" t="s">
        <v>234</v>
      </c>
    </row>
    <row r="37" spans="8:19" x14ac:dyDescent="0.45">
      <c r="P37">
        <v>2028</v>
      </c>
      <c r="Q37" t="s">
        <v>43</v>
      </c>
      <c r="R37">
        <v>0.25796666666666668</v>
      </c>
      <c r="S37" t="s">
        <v>234</v>
      </c>
    </row>
    <row r="38" spans="8:19" x14ac:dyDescent="0.45">
      <c r="P38">
        <v>2028</v>
      </c>
      <c r="Q38" t="s">
        <v>45</v>
      </c>
      <c r="R38">
        <v>0.19089999999999999</v>
      </c>
      <c r="S38" t="s">
        <v>234</v>
      </c>
    </row>
    <row r="39" spans="8:19" x14ac:dyDescent="0.45">
      <c r="P39">
        <v>2029</v>
      </c>
      <c r="Q39" t="s">
        <v>37</v>
      </c>
      <c r="R39">
        <v>0.31886666666666669</v>
      </c>
      <c r="S39" t="s">
        <v>234</v>
      </c>
    </row>
    <row r="40" spans="8:19" x14ac:dyDescent="0.45">
      <c r="P40">
        <v>2029</v>
      </c>
      <c r="Q40" t="s">
        <v>41</v>
      </c>
      <c r="R40">
        <v>0.34953333333333331</v>
      </c>
      <c r="S40" t="s">
        <v>234</v>
      </c>
    </row>
    <row r="41" spans="8:19" x14ac:dyDescent="0.45">
      <c r="P41">
        <v>2029</v>
      </c>
      <c r="Q41" t="s">
        <v>43</v>
      </c>
      <c r="R41">
        <v>0.24443333333333331</v>
      </c>
      <c r="S41" t="s">
        <v>234</v>
      </c>
    </row>
    <row r="42" spans="8:19" x14ac:dyDescent="0.45">
      <c r="P42">
        <v>2029</v>
      </c>
      <c r="Q42" t="s">
        <v>45</v>
      </c>
      <c r="R42">
        <v>0.16983333333333336</v>
      </c>
      <c r="S42" t="s">
        <v>234</v>
      </c>
    </row>
    <row r="43" spans="8:19" x14ac:dyDescent="0.45">
      <c r="P43">
        <v>2030</v>
      </c>
      <c r="Q43" t="s">
        <v>37</v>
      </c>
      <c r="R43">
        <v>0.31743333333333335</v>
      </c>
      <c r="S43" t="s">
        <v>234</v>
      </c>
    </row>
    <row r="44" spans="8:19" x14ac:dyDescent="0.45">
      <c r="P44">
        <v>2030</v>
      </c>
      <c r="Q44" t="s">
        <v>41</v>
      </c>
      <c r="R44">
        <v>0.36359999999999998</v>
      </c>
      <c r="S44" t="s">
        <v>234</v>
      </c>
    </row>
    <row r="45" spans="8:19" x14ac:dyDescent="0.45">
      <c r="P45">
        <v>2030</v>
      </c>
      <c r="Q45" t="s">
        <v>43</v>
      </c>
      <c r="R45">
        <v>0.24803333333333333</v>
      </c>
      <c r="S45" t="s">
        <v>234</v>
      </c>
    </row>
    <row r="46" spans="8:19" x14ac:dyDescent="0.45">
      <c r="P46">
        <v>2030</v>
      </c>
      <c r="Q46" t="s">
        <v>45</v>
      </c>
      <c r="R46">
        <v>0.20230000000000001</v>
      </c>
      <c r="S46" t="s">
        <v>234</v>
      </c>
    </row>
    <row r="47" spans="8:19" x14ac:dyDescent="0.45">
      <c r="P47">
        <v>2031</v>
      </c>
      <c r="Q47" t="s">
        <v>37</v>
      </c>
      <c r="R47">
        <v>0.33770000000000006</v>
      </c>
      <c r="S47" t="s">
        <v>234</v>
      </c>
    </row>
    <row r="48" spans="8:19" x14ac:dyDescent="0.45">
      <c r="P48">
        <v>2031</v>
      </c>
      <c r="Q48" t="s">
        <v>41</v>
      </c>
      <c r="R48">
        <v>0.34693333333333332</v>
      </c>
      <c r="S48" t="s">
        <v>234</v>
      </c>
    </row>
    <row r="49" spans="16:19" x14ac:dyDescent="0.45">
      <c r="P49">
        <v>2031</v>
      </c>
      <c r="Q49" t="s">
        <v>43</v>
      </c>
      <c r="R49">
        <v>0.27143333333333336</v>
      </c>
      <c r="S49" t="s">
        <v>234</v>
      </c>
    </row>
    <row r="50" spans="16:19" x14ac:dyDescent="0.45">
      <c r="P50">
        <v>2031</v>
      </c>
      <c r="Q50" t="s">
        <v>45</v>
      </c>
      <c r="R50">
        <v>0.20003333333333337</v>
      </c>
      <c r="S50" t="s">
        <v>234</v>
      </c>
    </row>
    <row r="51" spans="16:19" x14ac:dyDescent="0.45">
      <c r="P51">
        <v>2032</v>
      </c>
      <c r="Q51" t="s">
        <v>37</v>
      </c>
      <c r="R51">
        <v>0.2742</v>
      </c>
      <c r="S51" t="s">
        <v>234</v>
      </c>
    </row>
    <row r="52" spans="16:19" x14ac:dyDescent="0.45">
      <c r="P52">
        <v>2032</v>
      </c>
      <c r="Q52" t="s">
        <v>41</v>
      </c>
      <c r="R52">
        <v>0.25090000000000001</v>
      </c>
      <c r="S52" t="s">
        <v>234</v>
      </c>
    </row>
    <row r="53" spans="16:19" x14ac:dyDescent="0.45">
      <c r="P53">
        <v>2032</v>
      </c>
      <c r="Q53" t="s">
        <v>43</v>
      </c>
      <c r="R53">
        <v>0.23026666666666665</v>
      </c>
      <c r="S53" t="s">
        <v>234</v>
      </c>
    </row>
    <row r="54" spans="16:19" x14ac:dyDescent="0.45">
      <c r="P54">
        <v>2032</v>
      </c>
      <c r="Q54" t="s">
        <v>45</v>
      </c>
      <c r="R54">
        <v>0.18776666666666664</v>
      </c>
      <c r="S54" t="s">
        <v>234</v>
      </c>
    </row>
    <row r="55" spans="16:19" x14ac:dyDescent="0.45">
      <c r="P55">
        <v>2033</v>
      </c>
      <c r="Q55" t="s">
        <v>37</v>
      </c>
      <c r="R55">
        <v>0.30149999999999999</v>
      </c>
      <c r="S55" t="s">
        <v>234</v>
      </c>
    </row>
    <row r="56" spans="16:19" x14ac:dyDescent="0.45">
      <c r="P56">
        <v>2033</v>
      </c>
      <c r="Q56" t="s">
        <v>41</v>
      </c>
      <c r="R56">
        <v>0.33426666666666671</v>
      </c>
      <c r="S56" t="s">
        <v>234</v>
      </c>
    </row>
    <row r="57" spans="16:19" x14ac:dyDescent="0.45">
      <c r="P57">
        <v>2033</v>
      </c>
      <c r="Q57" t="s">
        <v>43</v>
      </c>
      <c r="R57">
        <v>0.25666666666666665</v>
      </c>
      <c r="S57" t="s">
        <v>234</v>
      </c>
    </row>
    <row r="58" spans="16:19" x14ac:dyDescent="0.45">
      <c r="P58">
        <v>2033</v>
      </c>
      <c r="Q58" t="s">
        <v>45</v>
      </c>
      <c r="R58">
        <v>0.17489999999999997</v>
      </c>
      <c r="S58" t="s">
        <v>234</v>
      </c>
    </row>
    <row r="59" spans="16:19" x14ac:dyDescent="0.45">
      <c r="P59">
        <v>2034</v>
      </c>
      <c r="Q59" t="s">
        <v>37</v>
      </c>
      <c r="R59">
        <v>0.27499999999999997</v>
      </c>
      <c r="S59" t="s">
        <v>234</v>
      </c>
    </row>
    <row r="60" spans="16:19" x14ac:dyDescent="0.45">
      <c r="P60">
        <v>2034</v>
      </c>
      <c r="Q60" t="s">
        <v>41</v>
      </c>
      <c r="R60">
        <v>0.27550000000000002</v>
      </c>
      <c r="S60" t="s">
        <v>234</v>
      </c>
    </row>
    <row r="61" spans="16:19" x14ac:dyDescent="0.45">
      <c r="P61">
        <v>2034</v>
      </c>
      <c r="Q61" t="s">
        <v>43</v>
      </c>
      <c r="R61">
        <v>0.23386666666666667</v>
      </c>
      <c r="S61" t="s">
        <v>234</v>
      </c>
    </row>
    <row r="62" spans="16:19" x14ac:dyDescent="0.45">
      <c r="P62">
        <v>2034</v>
      </c>
      <c r="Q62" t="s">
        <v>45</v>
      </c>
      <c r="R62">
        <v>0.15140000000000001</v>
      </c>
      <c r="S62" t="s">
        <v>234</v>
      </c>
    </row>
    <row r="63" spans="16:19" x14ac:dyDescent="0.45">
      <c r="P63">
        <v>2035</v>
      </c>
      <c r="Q63" t="s">
        <v>37</v>
      </c>
      <c r="R63">
        <v>0.28456666666666669</v>
      </c>
      <c r="S63" t="s">
        <v>234</v>
      </c>
    </row>
    <row r="64" spans="16:19" x14ac:dyDescent="0.45">
      <c r="P64">
        <v>2035</v>
      </c>
      <c r="Q64" t="s">
        <v>41</v>
      </c>
      <c r="R64">
        <v>0.33493333333333331</v>
      </c>
      <c r="S64" t="s">
        <v>234</v>
      </c>
    </row>
    <row r="65" spans="16:19" x14ac:dyDescent="0.45">
      <c r="P65">
        <v>2035</v>
      </c>
      <c r="Q65" t="s">
        <v>43</v>
      </c>
      <c r="R65">
        <v>0.25253333333333333</v>
      </c>
      <c r="S65" t="s">
        <v>234</v>
      </c>
    </row>
    <row r="66" spans="16:19" x14ac:dyDescent="0.45">
      <c r="P66">
        <v>2035</v>
      </c>
      <c r="Q66" t="s">
        <v>45</v>
      </c>
      <c r="R66">
        <v>0.17956666666666665</v>
      </c>
      <c r="S66" t="s">
        <v>234</v>
      </c>
    </row>
    <row r="67" spans="16:19" x14ac:dyDescent="0.45">
      <c r="P67">
        <v>2036</v>
      </c>
      <c r="Q67" t="s">
        <v>37</v>
      </c>
      <c r="R67">
        <v>0.28899999999999998</v>
      </c>
      <c r="S67" t="s">
        <v>234</v>
      </c>
    </row>
    <row r="68" spans="16:19" x14ac:dyDescent="0.45">
      <c r="P68">
        <v>2036</v>
      </c>
      <c r="Q68" t="s">
        <v>41</v>
      </c>
      <c r="R68">
        <v>0.29876666666666662</v>
      </c>
      <c r="S68" t="s">
        <v>234</v>
      </c>
    </row>
    <row r="69" spans="16:19" x14ac:dyDescent="0.45">
      <c r="P69">
        <v>2036</v>
      </c>
      <c r="Q69" t="s">
        <v>43</v>
      </c>
      <c r="R69">
        <v>0.24546666666666669</v>
      </c>
      <c r="S69" t="s">
        <v>234</v>
      </c>
    </row>
    <row r="70" spans="16:19" x14ac:dyDescent="0.45">
      <c r="P70">
        <v>2036</v>
      </c>
      <c r="Q70" t="s">
        <v>45</v>
      </c>
      <c r="R70">
        <v>0.1855</v>
      </c>
      <c r="S70" t="s">
        <v>234</v>
      </c>
    </row>
    <row r="71" spans="16:19" x14ac:dyDescent="0.45">
      <c r="P71">
        <v>2037</v>
      </c>
      <c r="Q71" t="s">
        <v>37</v>
      </c>
      <c r="R71">
        <v>0.27283333333333332</v>
      </c>
      <c r="S71" t="s">
        <v>234</v>
      </c>
    </row>
    <row r="72" spans="16:19" x14ac:dyDescent="0.45">
      <c r="P72">
        <v>2037</v>
      </c>
      <c r="Q72" t="s">
        <v>41</v>
      </c>
      <c r="R72">
        <v>0.27016666666666667</v>
      </c>
      <c r="S72" t="s">
        <v>234</v>
      </c>
    </row>
    <row r="73" spans="16:19" x14ac:dyDescent="0.45">
      <c r="P73">
        <v>2037</v>
      </c>
      <c r="Q73" t="s">
        <v>43</v>
      </c>
      <c r="R73">
        <v>0.20276666666666665</v>
      </c>
      <c r="S73" t="s">
        <v>234</v>
      </c>
    </row>
    <row r="74" spans="16:19" x14ac:dyDescent="0.45">
      <c r="P74">
        <v>2037</v>
      </c>
      <c r="Q74" t="s">
        <v>45</v>
      </c>
      <c r="R74">
        <v>0.1724</v>
      </c>
      <c r="S74" t="s">
        <v>234</v>
      </c>
    </row>
    <row r="75" spans="16:19" x14ac:dyDescent="0.45">
      <c r="P75">
        <v>2038</v>
      </c>
      <c r="Q75" t="s">
        <v>37</v>
      </c>
      <c r="R75">
        <v>0.3177666666666667</v>
      </c>
      <c r="S75" t="s">
        <v>234</v>
      </c>
    </row>
    <row r="76" spans="16:19" x14ac:dyDescent="0.45">
      <c r="P76">
        <v>2038</v>
      </c>
      <c r="Q76" t="s">
        <v>41</v>
      </c>
      <c r="R76">
        <v>0.29699999999999999</v>
      </c>
      <c r="S76" t="s">
        <v>234</v>
      </c>
    </row>
    <row r="77" spans="16:19" x14ac:dyDescent="0.45">
      <c r="P77">
        <v>2038</v>
      </c>
      <c r="Q77" t="s">
        <v>43</v>
      </c>
      <c r="R77">
        <v>0.23066666666666666</v>
      </c>
      <c r="S77" t="s">
        <v>234</v>
      </c>
    </row>
    <row r="78" spans="16:19" x14ac:dyDescent="0.45">
      <c r="P78">
        <v>2038</v>
      </c>
      <c r="Q78" t="s">
        <v>45</v>
      </c>
      <c r="R78">
        <v>0.17943333333333333</v>
      </c>
      <c r="S78" t="s">
        <v>234</v>
      </c>
    </row>
    <row r="79" spans="16:19" x14ac:dyDescent="0.45">
      <c r="P79">
        <v>2039</v>
      </c>
      <c r="Q79" t="s">
        <v>37</v>
      </c>
      <c r="R79">
        <v>0.3617333333333333</v>
      </c>
      <c r="S79" t="s">
        <v>234</v>
      </c>
    </row>
    <row r="80" spans="16:19" x14ac:dyDescent="0.45">
      <c r="P80">
        <v>2039</v>
      </c>
      <c r="Q80" t="s">
        <v>41</v>
      </c>
      <c r="R80">
        <v>0.29273333333333335</v>
      </c>
      <c r="S80" t="s">
        <v>234</v>
      </c>
    </row>
    <row r="81" spans="16:19" x14ac:dyDescent="0.45">
      <c r="P81">
        <v>2039</v>
      </c>
      <c r="Q81" t="s">
        <v>43</v>
      </c>
      <c r="R81">
        <v>0.25616666666666665</v>
      </c>
      <c r="S81" t="s">
        <v>234</v>
      </c>
    </row>
    <row r="82" spans="16:19" x14ac:dyDescent="0.45">
      <c r="P82">
        <v>2039</v>
      </c>
      <c r="Q82" t="s">
        <v>45</v>
      </c>
      <c r="R82">
        <v>0.20813333333333331</v>
      </c>
      <c r="S82" t="s">
        <v>234</v>
      </c>
    </row>
    <row r="83" spans="16:19" x14ac:dyDescent="0.45">
      <c r="P83">
        <v>2040</v>
      </c>
      <c r="Q83" t="s">
        <v>37</v>
      </c>
      <c r="R83">
        <v>0.38593333333333329</v>
      </c>
      <c r="S83" t="s">
        <v>234</v>
      </c>
    </row>
    <row r="84" spans="16:19" x14ac:dyDescent="0.45">
      <c r="P84">
        <v>2040</v>
      </c>
      <c r="Q84" t="s">
        <v>41</v>
      </c>
      <c r="R84">
        <v>0.36663333333333331</v>
      </c>
      <c r="S84" t="s">
        <v>234</v>
      </c>
    </row>
    <row r="85" spans="16:19" x14ac:dyDescent="0.45">
      <c r="P85">
        <v>2040</v>
      </c>
      <c r="Q85" t="s">
        <v>43</v>
      </c>
      <c r="R85">
        <v>0.28786666666666666</v>
      </c>
      <c r="S85" t="s">
        <v>234</v>
      </c>
    </row>
    <row r="86" spans="16:19" x14ac:dyDescent="0.45">
      <c r="P86">
        <v>2040</v>
      </c>
      <c r="Q86" t="s">
        <v>45</v>
      </c>
      <c r="R86">
        <v>0.23529999999999998</v>
      </c>
      <c r="S86" t="s">
        <v>234</v>
      </c>
    </row>
    <row r="87" spans="16:19" x14ac:dyDescent="0.45">
      <c r="P87">
        <v>2041</v>
      </c>
      <c r="Q87" t="s">
        <v>37</v>
      </c>
      <c r="R87">
        <v>0.37480000000000002</v>
      </c>
      <c r="S87" t="s">
        <v>234</v>
      </c>
    </row>
    <row r="88" spans="16:19" x14ac:dyDescent="0.45">
      <c r="P88">
        <v>2041</v>
      </c>
      <c r="Q88" t="s">
        <v>41</v>
      </c>
      <c r="R88">
        <v>0.34139999999999998</v>
      </c>
      <c r="S88" t="s">
        <v>234</v>
      </c>
    </row>
    <row r="89" spans="16:19" x14ac:dyDescent="0.45">
      <c r="P89">
        <v>2041</v>
      </c>
      <c r="Q89" t="s">
        <v>43</v>
      </c>
      <c r="R89">
        <v>0.2883</v>
      </c>
      <c r="S89" t="s">
        <v>234</v>
      </c>
    </row>
    <row r="90" spans="16:19" x14ac:dyDescent="0.45">
      <c r="P90">
        <v>2041</v>
      </c>
      <c r="Q90" t="s">
        <v>45</v>
      </c>
      <c r="R90">
        <v>0.28793333333333332</v>
      </c>
      <c r="S90" t="s">
        <v>234</v>
      </c>
    </row>
    <row r="91" spans="16:19" x14ac:dyDescent="0.45">
      <c r="P91">
        <v>2042</v>
      </c>
      <c r="Q91" t="s">
        <v>37</v>
      </c>
      <c r="R91">
        <v>0.41136666666666666</v>
      </c>
      <c r="S91" t="s">
        <v>234</v>
      </c>
    </row>
    <row r="92" spans="16:19" x14ac:dyDescent="0.45">
      <c r="P92">
        <v>2042</v>
      </c>
      <c r="Q92" t="s">
        <v>41</v>
      </c>
      <c r="R92">
        <v>0.40083333333333337</v>
      </c>
      <c r="S92" t="s">
        <v>234</v>
      </c>
    </row>
    <row r="93" spans="16:19" x14ac:dyDescent="0.45">
      <c r="P93">
        <v>2042</v>
      </c>
      <c r="Q93" t="s">
        <v>43</v>
      </c>
      <c r="R93">
        <v>0.31986666666666669</v>
      </c>
      <c r="S93" t="s">
        <v>234</v>
      </c>
    </row>
    <row r="94" spans="16:19" x14ac:dyDescent="0.45">
      <c r="P94">
        <v>2042</v>
      </c>
      <c r="Q94" t="s">
        <v>45</v>
      </c>
      <c r="R94">
        <v>0.24186666666666667</v>
      </c>
      <c r="S94" t="s">
        <v>234</v>
      </c>
    </row>
    <row r="95" spans="16:19" x14ac:dyDescent="0.45">
      <c r="P95">
        <v>2043</v>
      </c>
      <c r="Q95" t="s">
        <v>37</v>
      </c>
      <c r="R95">
        <v>0.36306666666666665</v>
      </c>
      <c r="S95" t="s">
        <v>234</v>
      </c>
    </row>
    <row r="96" spans="16:19" x14ac:dyDescent="0.45">
      <c r="P96">
        <v>2043</v>
      </c>
      <c r="Q96" t="s">
        <v>41</v>
      </c>
      <c r="R96">
        <v>0.34923333333333328</v>
      </c>
      <c r="S96" t="s">
        <v>234</v>
      </c>
    </row>
    <row r="97" spans="16:19" x14ac:dyDescent="0.45">
      <c r="P97">
        <v>2043</v>
      </c>
      <c r="Q97" t="s">
        <v>43</v>
      </c>
      <c r="R97">
        <v>0.25130000000000002</v>
      </c>
      <c r="S97" t="s">
        <v>234</v>
      </c>
    </row>
    <row r="98" spans="16:19" x14ac:dyDescent="0.45">
      <c r="P98">
        <v>2043</v>
      </c>
      <c r="Q98" t="s">
        <v>45</v>
      </c>
      <c r="R98">
        <v>0.28016666666666667</v>
      </c>
      <c r="S98" t="s">
        <v>234</v>
      </c>
    </row>
    <row r="99" spans="16:19" x14ac:dyDescent="0.45">
      <c r="P99">
        <v>2044</v>
      </c>
      <c r="Q99" t="s">
        <v>37</v>
      </c>
      <c r="R99">
        <v>0.37040000000000001</v>
      </c>
      <c r="S99" t="s">
        <v>234</v>
      </c>
    </row>
    <row r="100" spans="16:19" x14ac:dyDescent="0.45">
      <c r="P100">
        <v>2044</v>
      </c>
      <c r="Q100" t="s">
        <v>41</v>
      </c>
      <c r="R100">
        <v>0.32103333333333334</v>
      </c>
      <c r="S100" t="s">
        <v>234</v>
      </c>
    </row>
    <row r="101" spans="16:19" x14ac:dyDescent="0.45">
      <c r="P101">
        <v>2044</v>
      </c>
      <c r="Q101" t="s">
        <v>43</v>
      </c>
      <c r="R101">
        <v>0.29316666666666669</v>
      </c>
      <c r="S101" t="s">
        <v>234</v>
      </c>
    </row>
    <row r="102" spans="16:19" x14ac:dyDescent="0.45">
      <c r="P102">
        <v>2044</v>
      </c>
      <c r="Q102" t="s">
        <v>45</v>
      </c>
      <c r="R102">
        <v>0.2056</v>
      </c>
      <c r="S102" t="s">
        <v>234</v>
      </c>
    </row>
    <row r="103" spans="16:19" x14ac:dyDescent="0.45">
      <c r="P103">
        <v>2045</v>
      </c>
      <c r="Q103" t="s">
        <v>37</v>
      </c>
      <c r="R103">
        <v>0.37253333333333333</v>
      </c>
      <c r="S103" t="s">
        <v>234</v>
      </c>
    </row>
    <row r="104" spans="16:19" x14ac:dyDescent="0.45">
      <c r="P104">
        <v>2045</v>
      </c>
      <c r="Q104" t="s">
        <v>41</v>
      </c>
      <c r="R104">
        <v>0.35886666666666667</v>
      </c>
      <c r="S104" t="s">
        <v>234</v>
      </c>
    </row>
    <row r="105" spans="16:19" x14ac:dyDescent="0.45">
      <c r="P105">
        <v>2045</v>
      </c>
      <c r="Q105" t="s">
        <v>43</v>
      </c>
      <c r="R105">
        <v>0.30459999999999998</v>
      </c>
      <c r="S105" t="s">
        <v>234</v>
      </c>
    </row>
    <row r="106" spans="16:19" x14ac:dyDescent="0.45">
      <c r="P106">
        <v>2045</v>
      </c>
      <c r="Q106" t="s">
        <v>45</v>
      </c>
      <c r="R106">
        <v>0.21410000000000004</v>
      </c>
      <c r="S106" t="s">
        <v>234</v>
      </c>
    </row>
    <row r="107" spans="16:19" x14ac:dyDescent="0.45">
      <c r="P107">
        <v>2046</v>
      </c>
      <c r="Q107" t="s">
        <v>37</v>
      </c>
      <c r="R107">
        <v>0.38046666666666668</v>
      </c>
      <c r="S107" t="s">
        <v>234</v>
      </c>
    </row>
    <row r="108" spans="16:19" x14ac:dyDescent="0.45">
      <c r="P108">
        <v>2046</v>
      </c>
      <c r="Q108" t="s">
        <v>41</v>
      </c>
      <c r="R108">
        <v>0.40293333333333337</v>
      </c>
      <c r="S108" t="s">
        <v>234</v>
      </c>
    </row>
    <row r="109" spans="16:19" x14ac:dyDescent="0.45">
      <c r="P109">
        <v>2046</v>
      </c>
      <c r="Q109" t="s">
        <v>43</v>
      </c>
      <c r="R109">
        <v>0.31109999999999999</v>
      </c>
      <c r="S109" t="s">
        <v>234</v>
      </c>
    </row>
    <row r="110" spans="16:19" x14ac:dyDescent="0.45">
      <c r="P110">
        <v>2046</v>
      </c>
      <c r="Q110" t="s">
        <v>45</v>
      </c>
      <c r="R110">
        <v>0.26540000000000002</v>
      </c>
      <c r="S110" t="s">
        <v>234</v>
      </c>
    </row>
    <row r="111" spans="16:19" x14ac:dyDescent="0.45">
      <c r="P111">
        <v>2047</v>
      </c>
      <c r="Q111" t="s">
        <v>37</v>
      </c>
      <c r="R111">
        <v>0.32696666666666668</v>
      </c>
      <c r="S111" t="s">
        <v>234</v>
      </c>
    </row>
    <row r="112" spans="16:19" x14ac:dyDescent="0.45">
      <c r="P112">
        <v>2047</v>
      </c>
      <c r="Q112" t="s">
        <v>41</v>
      </c>
      <c r="R112">
        <v>0.32516666666666666</v>
      </c>
      <c r="S112" t="s">
        <v>234</v>
      </c>
    </row>
    <row r="113" spans="16:19" x14ac:dyDescent="0.45">
      <c r="P113">
        <v>2047</v>
      </c>
      <c r="Q113" t="s">
        <v>43</v>
      </c>
      <c r="R113">
        <v>0.29059999999999997</v>
      </c>
      <c r="S113" t="s">
        <v>234</v>
      </c>
    </row>
    <row r="114" spans="16:19" x14ac:dyDescent="0.45">
      <c r="P114">
        <v>2047</v>
      </c>
      <c r="Q114" t="s">
        <v>45</v>
      </c>
      <c r="R114">
        <v>0.18203333333333335</v>
      </c>
      <c r="S114" t="s">
        <v>234</v>
      </c>
    </row>
    <row r="115" spans="16:19" x14ac:dyDescent="0.45">
      <c r="P115">
        <v>2048</v>
      </c>
      <c r="Q115" t="s">
        <v>37</v>
      </c>
      <c r="R115">
        <v>0.29153333333333337</v>
      </c>
      <c r="S115" t="s">
        <v>234</v>
      </c>
    </row>
    <row r="116" spans="16:19" x14ac:dyDescent="0.45">
      <c r="P116">
        <v>2048</v>
      </c>
      <c r="Q116" t="s">
        <v>41</v>
      </c>
      <c r="R116">
        <v>0.29143333333333332</v>
      </c>
      <c r="S116" t="s">
        <v>234</v>
      </c>
    </row>
    <row r="117" spans="16:19" x14ac:dyDescent="0.45">
      <c r="P117">
        <v>2048</v>
      </c>
      <c r="Q117" t="s">
        <v>43</v>
      </c>
      <c r="R117">
        <v>0.20753333333333335</v>
      </c>
      <c r="S117" t="s">
        <v>234</v>
      </c>
    </row>
    <row r="118" spans="16:19" x14ac:dyDescent="0.45">
      <c r="P118">
        <v>2048</v>
      </c>
      <c r="Q118" t="s">
        <v>45</v>
      </c>
      <c r="R118">
        <v>0.22473333333333334</v>
      </c>
      <c r="S118" t="s">
        <v>234</v>
      </c>
    </row>
    <row r="119" spans="16:19" x14ac:dyDescent="0.45">
      <c r="P119">
        <v>2049</v>
      </c>
      <c r="Q119" t="s">
        <v>37</v>
      </c>
      <c r="R119">
        <v>0.27843333333333331</v>
      </c>
      <c r="S119" t="s">
        <v>234</v>
      </c>
    </row>
    <row r="120" spans="16:19" x14ac:dyDescent="0.45">
      <c r="P120">
        <v>2049</v>
      </c>
      <c r="Q120" t="s">
        <v>41</v>
      </c>
      <c r="R120">
        <v>0.30353333333333327</v>
      </c>
      <c r="S120" t="s">
        <v>234</v>
      </c>
    </row>
    <row r="121" spans="16:19" x14ac:dyDescent="0.45">
      <c r="P121">
        <v>2049</v>
      </c>
      <c r="Q121" t="s">
        <v>43</v>
      </c>
      <c r="R121">
        <v>0.25676666666666664</v>
      </c>
      <c r="S121" t="s">
        <v>234</v>
      </c>
    </row>
    <row r="122" spans="16:19" x14ac:dyDescent="0.45">
      <c r="P122">
        <v>2049</v>
      </c>
      <c r="Q122" t="s">
        <v>45</v>
      </c>
      <c r="R122">
        <v>0.21706666666666666</v>
      </c>
      <c r="S122" t="s">
        <v>234</v>
      </c>
    </row>
    <row r="123" spans="16:19" x14ac:dyDescent="0.45">
      <c r="P123">
        <v>2050</v>
      </c>
      <c r="Q123" t="s">
        <v>37</v>
      </c>
      <c r="R123">
        <v>0.31180000000000002</v>
      </c>
      <c r="S123" t="s">
        <v>234</v>
      </c>
    </row>
    <row r="124" spans="16:19" x14ac:dyDescent="0.45">
      <c r="P124">
        <v>2050</v>
      </c>
      <c r="Q124" t="s">
        <v>41</v>
      </c>
      <c r="R124">
        <v>0.29100000000000004</v>
      </c>
      <c r="S124" t="s">
        <v>234</v>
      </c>
    </row>
    <row r="125" spans="16:19" x14ac:dyDescent="0.45">
      <c r="P125">
        <v>2050</v>
      </c>
      <c r="Q125" t="s">
        <v>43</v>
      </c>
      <c r="R125">
        <v>0.31703333333333333</v>
      </c>
      <c r="S125" t="s">
        <v>234</v>
      </c>
    </row>
    <row r="126" spans="16:19" x14ac:dyDescent="0.45">
      <c r="P126">
        <v>2050</v>
      </c>
      <c r="Q126" t="s">
        <v>45</v>
      </c>
      <c r="R126">
        <v>0.19446666666666668</v>
      </c>
      <c r="S126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ev_charging_uc</vt:lpstr>
      <vt:lpstr>timeslice_def</vt:lpstr>
      <vt:lpstr>resource_profiles</vt:lpstr>
      <vt:lpstr>firmness</vt:lpstr>
      <vt:lpstr>load_demand_peak_hydro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2026-07-29T08:58:11Z</dcterms:modified>
</cp:coreProperties>
</file>