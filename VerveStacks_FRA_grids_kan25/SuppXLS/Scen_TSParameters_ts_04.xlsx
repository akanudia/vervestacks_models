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8_{2EF7BFC9-58D9-404F-AE88-63CBB8445407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AC9" i="9"/>
  <c r="W9" i="9"/>
  <c r="P9" i="9"/>
  <c r="I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<sst xmlns="http://schemas.openxmlformats.org/spreadsheetml/2006/main" count="1624" uniqueCount="226">
  <si>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</si>
  <si>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</si>
  <si>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</si>
  <si>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</si>
  <si>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</si>
  <si>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</si>
  <si>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</si>
  <si>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</si>
  <si>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</si>
  <si>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</si>
  <si>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</si>
  <si>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</si>
  <si>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</si>
  <si>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</si>
  <si>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</si>
  <si>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</si>
  <si>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</si>
  <si>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</si>
  <si>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</si>
  <si>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</si>
  <si>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</si>
  <si>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</si>
  <si>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</si>
  <si>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</si>
  <si>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</si>
  <si>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</si>
  <si>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</si>
  <si>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</si>
  <si>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</si>
  <si>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</si>
  <si>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</si>
  <si>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</si>
  <si>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</si>
  <si>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</si>
  <si>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</si>
  <si>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</si>
  <si>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</si>
  <si>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</si>
  <si>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</si>
  <si>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</si>
  <si>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</t>
  </si>
  <si>
    <t>S2</t>
  </si>
  <si>
    <t>H2</t>
  </si>
  <si>
    <t>ts_04</t>
  </si>
  <si>
    <t>commodity</t>
  </si>
  <si>
    <t>timeslice</t>
  </si>
  <si>
    <t>com_fr</t>
  </si>
  <si>
    <t>process</t>
  </si>
  <si>
    <t>elc_spv_FRA_001</t>
  </si>
  <si>
    <t>S1aH1</t>
  </si>
  <si>
    <t>IMPNRGZ</t>
  </si>
  <si>
    <t>S1aH2</t>
  </si>
  <si>
    <t>S2aH1</t>
  </si>
  <si>
    <t>S2aH2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</si>
  <si>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</si>
  <si>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</si>
  <si>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</si>
  <si>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</si>
  <si>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</si>
  <si>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</si>
  <si>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</si>
  <si>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</si>
  <si>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</si>
  <si>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</si>
  <si>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</si>
  <si>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</si>
  <si>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</si>
  <si>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</si>
  <si>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</si>
  <si>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</si>
  <si>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</si>
  <si>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</si>
  <si>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</si>
  <si>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</si>
  <si>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</si>
  <si>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</si>
  <si>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</si>
  <si>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</si>
  <si>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</si>
  <si>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</si>
  <si>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</si>
  <si>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</si>
  <si>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</si>
  <si>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</si>
  <si>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</si>
  <si>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</si>
  <si>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</si>
  <si>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</si>
  <si>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</si>
  <si>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</si>
  <si>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</si>
  <si>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</si>
  <si>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</si>
  <si>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</si>
  <si>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</si>
  <si>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</si>
  <si>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</si>
  <si>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</si>
  <si>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</si>
  <si>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</si>
  <si>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</si>
  <si>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</si>
  <si>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</si>
  <si>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</si>
  <si>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</si>
  <si>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</si>
  <si>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</si>
  <si>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</si>
  <si>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</si>
  <si>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</si>
  <si>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</si>
  <si>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</si>
  <si>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</si>
  <si>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</si>
  <si>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</si>
  <si>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</si>
  <si>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</si>
  <si>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</si>
  <si>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</si>
  <si>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</si>
  <si>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</si>
  <si>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</si>
  <si>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</si>
  <si>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</si>
  <si>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</si>
  <si>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</si>
  <si>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</si>
  <si>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</si>
  <si>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</si>
  <si>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</si>
  <si>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</si>
  <si>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</si>
  <si>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</si>
  <si>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</si>
  <si>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</si>
  <si>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</si>
  <si>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</si>
  <si>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</si>
  <si>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</si>
  <si>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</si>
  <si>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</si>
  <si>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</si>
  <si>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</si>
  <si>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</si>
  <si>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</si>
  <si>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</si>
  <si>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</si>
  <si>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</si>
  <si>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</si>
  <si>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</si>
  <si>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</si>
  <si>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</si>
  <si>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</si>
  <si>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</si>
  <si>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</si>
  <si>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</si>
  <si>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</si>
  <si>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</si>
  <si>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</si>
  <si>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</si>
  <si>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</si>
  <si>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</si>
  <si>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</si>
  <si>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</si>
  <si>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</si>
  <si>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</si>
  <si>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</si>
  <si>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</si>
  <si>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</si>
  <si>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</si>
  <si>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</si>
  <si>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</si>
  <si>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</si>
  <si>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</si>
  <si>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</si>
  <si>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</si>
  <si>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</si>
  <si>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</si>
  <si>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</si>
  <si>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</si>
  <si>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</si>
  <si>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</si>
  <si>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</si>
  <si>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</si>
  <si>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</si>
  <si>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</si>
  <si>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</si>
  <si>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</si>
  <si>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</si>
  <si>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</si>
  <si>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</si>
  <si>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</si>
  <si>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</si>
  <si>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</si>
  <si>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</si>
  <si>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</si>
  <si>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</si>
  <si>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</si>
  <si>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</si>
  <si>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</si>
  <si>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</si>
  <si>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</si>
  <si>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</si>
  <si>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</si>
  <si>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</si>
  <si>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</si>
  <si>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</si>
  <si>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</si>
  <si>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</si>
  <si>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</si>
  <si>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</si>
  <si>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</si>
  <si>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</si>
  <si>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</si>
  <si>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</si>
  <si>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</si>
  <si>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S2aH2,S1aH2</t>
  </si>
  <si>
    <t>N</t>
  </si>
  <si>
    <t>S2aH1,S1aH1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</si>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</sst>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IFERROR([1]Veda!D5,"ts_04")</f>
        <v>ts_04</v>
      </c>
      <c r="B10" s="5"/>
      <c r="C10" s="5" t="s">
        <v>214</v>
      </c>
      <c r="D10" t="s">
        <v>43</v>
      </c>
    </row>
    <row r="11" spans="1:4" x14ac:dyDescent="0.45">
      <c r="B11" s="5"/>
      <c r="C11" s="5" t="s">
        <v>215</v>
      </c>
      <c r="D11" t="s">
        <v>216</v>
      </c>
    </row>
    <row r="12" spans="1:4" x14ac:dyDescent="0.45">
      <c r="B12" s="5"/>
      <c r="C12" s="5" t="s">
        <v>217</v>
      </c>
      <c r="D12" t="s">
        <v>218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S2aH1,S1aH1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S2aH2,S1aH2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E90C-0DC9-4587-A9D8-733243DE5FCD}">
  <dimension ref="A9:G12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0B26-34AC-4B9A-A520-858FAE5E3AC3}">
  <dimension ref="B9:O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44</v>
      </c>
      <c r="C10" t="s">
        <v>45</v>
      </c>
      <c r="D10" t="s">
        <v>46</v>
      </c>
      <c r="E10" t="s">
        <v>47</v>
      </c>
      <c r="G10" t="s">
        <v>44</v>
      </c>
      <c r="H10" t="s">
        <v>45</v>
      </c>
      <c r="I10" t="s">
        <v>46</v>
      </c>
      <c r="J10" t="s">
        <v>47</v>
      </c>
      <c r="L10" t="s">
        <v>44</v>
      </c>
      <c r="M10" t="s">
        <v>45</v>
      </c>
      <c r="N10" t="s">
        <v>46</v>
      </c>
      <c r="O10" t="s">
        <v>47</v>
      </c>
    </row>
    <row r="11" spans="2:15" x14ac:dyDescent="0.45">
      <c r="B11" t="s">
        <v>48</v>
      </c>
      <c r="C11" t="s">
        <v>49</v>
      </c>
      <c r="D11">
        <v>1.4551899806231455E-2</v>
      </c>
      <c r="E11" t="s">
        <v>50</v>
      </c>
      <c r="G11" t="s">
        <v>83</v>
      </c>
      <c r="H11" t="s">
        <v>49</v>
      </c>
      <c r="I11">
        <v>0.28787571958055919</v>
      </c>
      <c r="J11" t="s">
        <v>50</v>
      </c>
      <c r="L11" t="s">
        <v>111</v>
      </c>
      <c r="M11" t="s">
        <v>49</v>
      </c>
      <c r="N11">
        <v>0.27073570477011077</v>
      </c>
      <c r="O11" t="s">
        <v>50</v>
      </c>
    </row>
    <row r="12" spans="2:15" x14ac:dyDescent="0.45">
      <c r="B12" t="s">
        <v>48</v>
      </c>
      <c r="C12" t="s">
        <v>51</v>
      </c>
      <c r="D12">
        <v>0.39029346884185401</v>
      </c>
      <c r="E12" t="s">
        <v>50</v>
      </c>
      <c r="G12" t="s">
        <v>83</v>
      </c>
      <c r="H12" t="s">
        <v>51</v>
      </c>
      <c r="I12">
        <v>0.30148997676449679</v>
      </c>
      <c r="J12" t="s">
        <v>50</v>
      </c>
      <c r="L12" t="s">
        <v>111</v>
      </c>
      <c r="M12" t="s">
        <v>51</v>
      </c>
      <c r="N12">
        <v>0.25772328367404951</v>
      </c>
      <c r="O12" t="s">
        <v>50</v>
      </c>
    </row>
    <row r="13" spans="2:15" x14ac:dyDescent="0.45">
      <c r="B13" t="s">
        <v>48</v>
      </c>
      <c r="C13" t="s">
        <v>52</v>
      </c>
      <c r="D13">
        <v>3.9882468796175567E-2</v>
      </c>
      <c r="E13" t="s">
        <v>50</v>
      </c>
      <c r="G13" t="s">
        <v>83</v>
      </c>
      <c r="H13" t="s">
        <v>52</v>
      </c>
      <c r="I13">
        <v>0.20714763271232767</v>
      </c>
      <c r="J13" t="s">
        <v>50</v>
      </c>
      <c r="L13" t="s">
        <v>111</v>
      </c>
      <c r="M13" t="s">
        <v>52</v>
      </c>
      <c r="N13">
        <v>0.24657649144277288</v>
      </c>
      <c r="O13" t="s">
        <v>50</v>
      </c>
    </row>
    <row r="14" spans="2:15" x14ac:dyDescent="0.45">
      <c r="B14" t="s">
        <v>48</v>
      </c>
      <c r="C14" t="s">
        <v>53</v>
      </c>
      <c r="D14">
        <v>0.55527216255573986</v>
      </c>
      <c r="E14" t="s">
        <v>50</v>
      </c>
      <c r="G14" t="s">
        <v>83</v>
      </c>
      <c r="H14" t="s">
        <v>53</v>
      </c>
      <c r="I14">
        <v>0.20348667094261985</v>
      </c>
      <c r="J14" t="s">
        <v>50</v>
      </c>
      <c r="L14" t="s">
        <v>111</v>
      </c>
      <c r="M14" t="s">
        <v>53</v>
      </c>
      <c r="N14">
        <v>0.22496452011306248</v>
      </c>
      <c r="O14" t="s">
        <v>50</v>
      </c>
    </row>
    <row r="15" spans="2:15" x14ac:dyDescent="0.45">
      <c r="B15" t="s">
        <v>54</v>
      </c>
      <c r="C15" t="s">
        <v>49</v>
      </c>
      <c r="D15">
        <v>1.7312663100675783E-2</v>
      </c>
      <c r="E15" t="s">
        <v>50</v>
      </c>
      <c r="G15" t="s">
        <v>84</v>
      </c>
      <c r="H15" t="s">
        <v>49</v>
      </c>
      <c r="I15">
        <v>0.27892622985337889</v>
      </c>
      <c r="J15" t="s">
        <v>50</v>
      </c>
      <c r="L15" t="s">
        <v>112</v>
      </c>
      <c r="M15" t="s">
        <v>49</v>
      </c>
      <c r="N15">
        <v>0.28660830856531461</v>
      </c>
      <c r="O15" t="s">
        <v>50</v>
      </c>
    </row>
    <row r="16" spans="2:15" x14ac:dyDescent="0.45">
      <c r="B16" t="s">
        <v>54</v>
      </c>
      <c r="C16" t="s">
        <v>51</v>
      </c>
      <c r="D16">
        <v>0.3940795669821896</v>
      </c>
      <c r="E16" t="s">
        <v>50</v>
      </c>
      <c r="G16" t="s">
        <v>84</v>
      </c>
      <c r="H16" t="s">
        <v>51</v>
      </c>
      <c r="I16">
        <v>0.31117070878858921</v>
      </c>
      <c r="J16" t="s">
        <v>50</v>
      </c>
      <c r="L16" t="s">
        <v>112</v>
      </c>
      <c r="M16" t="s">
        <v>51</v>
      </c>
      <c r="N16">
        <v>0.2896415484665999</v>
      </c>
      <c r="O16" t="s">
        <v>50</v>
      </c>
    </row>
    <row r="17" spans="2:15" x14ac:dyDescent="0.45">
      <c r="B17" t="s">
        <v>54</v>
      </c>
      <c r="C17" t="s">
        <v>52</v>
      </c>
      <c r="D17">
        <v>4.2410777162534191E-2</v>
      </c>
      <c r="E17" t="s">
        <v>50</v>
      </c>
      <c r="G17" t="s">
        <v>84</v>
      </c>
      <c r="H17" t="s">
        <v>52</v>
      </c>
      <c r="I17">
        <v>0.20748023807096033</v>
      </c>
      <c r="J17" t="s">
        <v>50</v>
      </c>
      <c r="L17" t="s">
        <v>112</v>
      </c>
      <c r="M17" t="s">
        <v>52</v>
      </c>
      <c r="N17">
        <v>0.22120422286269667</v>
      </c>
      <c r="O17" t="s">
        <v>50</v>
      </c>
    </row>
    <row r="18" spans="2:15" x14ac:dyDescent="0.45">
      <c r="B18" t="s">
        <v>54</v>
      </c>
      <c r="C18" t="s">
        <v>53</v>
      </c>
      <c r="D18">
        <v>0.54619699275460154</v>
      </c>
      <c r="E18" t="s">
        <v>50</v>
      </c>
      <c r="G18" t="s">
        <v>84</v>
      </c>
      <c r="H18" t="s">
        <v>53</v>
      </c>
      <c r="I18">
        <v>0.2024228232870722</v>
      </c>
      <c r="J18" t="s">
        <v>50</v>
      </c>
      <c r="L18" t="s">
        <v>112</v>
      </c>
      <c r="M18" t="s">
        <v>53</v>
      </c>
      <c r="N18">
        <v>0.2025459201053903</v>
      </c>
      <c r="O18" t="s">
        <v>50</v>
      </c>
    </row>
    <row r="19" spans="2:15" x14ac:dyDescent="0.45">
      <c r="B19" t="s">
        <v>55</v>
      </c>
      <c r="C19" t="s">
        <v>49</v>
      </c>
      <c r="D19">
        <v>1.6892293876604018E-2</v>
      </c>
      <c r="E19" t="s">
        <v>50</v>
      </c>
      <c r="G19" t="s">
        <v>85</v>
      </c>
      <c r="H19" t="s">
        <v>49</v>
      </c>
      <c r="I19">
        <v>0.31318139417674656</v>
      </c>
      <c r="J19" t="s">
        <v>50</v>
      </c>
      <c r="L19" t="s">
        <v>113</v>
      </c>
      <c r="M19" t="s">
        <v>49</v>
      </c>
      <c r="N19">
        <v>0.28827163262095196</v>
      </c>
      <c r="O19" t="s">
        <v>50</v>
      </c>
    </row>
    <row r="20" spans="2:15" x14ac:dyDescent="0.45">
      <c r="B20" t="s">
        <v>55</v>
      </c>
      <c r="C20" t="s">
        <v>51</v>
      </c>
      <c r="D20">
        <v>0.39396964918279642</v>
      </c>
      <c r="E20" t="s">
        <v>50</v>
      </c>
      <c r="G20" t="s">
        <v>85</v>
      </c>
      <c r="H20" t="s">
        <v>51</v>
      </c>
      <c r="I20">
        <v>0.3210167919376794</v>
      </c>
      <c r="J20" t="s">
        <v>50</v>
      </c>
      <c r="L20" t="s">
        <v>113</v>
      </c>
      <c r="M20" t="s">
        <v>51</v>
      </c>
      <c r="N20">
        <v>0.29402560647852183</v>
      </c>
      <c r="O20" t="s">
        <v>50</v>
      </c>
    </row>
    <row r="21" spans="2:15" x14ac:dyDescent="0.45">
      <c r="B21" t="s">
        <v>55</v>
      </c>
      <c r="C21" t="s">
        <v>52</v>
      </c>
      <c r="D21">
        <v>4.2621489866637337E-2</v>
      </c>
      <c r="E21" t="s">
        <v>50</v>
      </c>
      <c r="G21" t="s">
        <v>85</v>
      </c>
      <c r="H21" t="s">
        <v>52</v>
      </c>
      <c r="I21">
        <v>0.19434643591601775</v>
      </c>
      <c r="J21" t="s">
        <v>50</v>
      </c>
      <c r="L21" t="s">
        <v>113</v>
      </c>
      <c r="M21" t="s">
        <v>52</v>
      </c>
      <c r="N21">
        <v>0.22067529583253864</v>
      </c>
      <c r="O21" t="s">
        <v>50</v>
      </c>
    </row>
    <row r="22" spans="2:15" x14ac:dyDescent="0.45">
      <c r="B22" t="s">
        <v>55</v>
      </c>
      <c r="C22" t="s">
        <v>53</v>
      </c>
      <c r="D22">
        <v>0.54651656707396346</v>
      </c>
      <c r="E22" t="s">
        <v>50</v>
      </c>
      <c r="G22" t="s">
        <v>85</v>
      </c>
      <c r="H22" t="s">
        <v>53</v>
      </c>
      <c r="I22">
        <v>0.1714553779695614</v>
      </c>
      <c r="J22" t="s">
        <v>50</v>
      </c>
      <c r="L22" t="s">
        <v>113</v>
      </c>
      <c r="M22" t="s">
        <v>53</v>
      </c>
      <c r="N22">
        <v>0.19702746506798663</v>
      </c>
      <c r="O22" t="s">
        <v>50</v>
      </c>
    </row>
    <row r="23" spans="2:15" x14ac:dyDescent="0.45">
      <c r="B23" t="s">
        <v>56</v>
      </c>
      <c r="C23" t="s">
        <v>49</v>
      </c>
      <c r="D23">
        <v>2.0272507519937609E-2</v>
      </c>
      <c r="E23" t="s">
        <v>50</v>
      </c>
      <c r="G23" t="s">
        <v>86</v>
      </c>
      <c r="H23" t="s">
        <v>49</v>
      </c>
      <c r="I23">
        <v>0.27249764148501432</v>
      </c>
      <c r="J23" t="s">
        <v>50</v>
      </c>
      <c r="L23" t="s">
        <v>114</v>
      </c>
      <c r="M23" t="s">
        <v>49</v>
      </c>
      <c r="N23">
        <v>0.28056322149149038</v>
      </c>
      <c r="O23" t="s">
        <v>50</v>
      </c>
    </row>
    <row r="24" spans="2:15" x14ac:dyDescent="0.45">
      <c r="B24" t="s">
        <v>56</v>
      </c>
      <c r="C24" t="s">
        <v>51</v>
      </c>
      <c r="D24">
        <v>0.39800723666023358</v>
      </c>
      <c r="E24" t="s">
        <v>50</v>
      </c>
      <c r="G24" t="s">
        <v>86</v>
      </c>
      <c r="H24" t="s">
        <v>51</v>
      </c>
      <c r="I24">
        <v>0.3011581294794492</v>
      </c>
      <c r="J24" t="s">
        <v>50</v>
      </c>
      <c r="L24" t="s">
        <v>114</v>
      </c>
      <c r="M24" t="s">
        <v>51</v>
      </c>
      <c r="N24">
        <v>0.29196641058723183</v>
      </c>
      <c r="O24" t="s">
        <v>50</v>
      </c>
    </row>
    <row r="25" spans="2:15" x14ac:dyDescent="0.45">
      <c r="B25" t="s">
        <v>56</v>
      </c>
      <c r="C25" t="s">
        <v>52</v>
      </c>
      <c r="D25">
        <v>4.6029577537173981E-2</v>
      </c>
      <c r="E25" t="s">
        <v>50</v>
      </c>
      <c r="G25" t="s">
        <v>86</v>
      </c>
      <c r="H25" t="s">
        <v>52</v>
      </c>
      <c r="I25">
        <v>0.20619993627272232</v>
      </c>
      <c r="J25" t="s">
        <v>50</v>
      </c>
      <c r="L25" t="s">
        <v>114</v>
      </c>
      <c r="M25" t="s">
        <v>52</v>
      </c>
      <c r="N25">
        <v>0.214395142187048</v>
      </c>
      <c r="O25" t="s">
        <v>50</v>
      </c>
    </row>
    <row r="26" spans="2:15" x14ac:dyDescent="0.45">
      <c r="B26" t="s">
        <v>56</v>
      </c>
      <c r="C26" t="s">
        <v>53</v>
      </c>
      <c r="D26">
        <v>0.53569067828265715</v>
      </c>
      <c r="E26" t="s">
        <v>50</v>
      </c>
      <c r="G26" t="s">
        <v>86</v>
      </c>
      <c r="H26" t="s">
        <v>53</v>
      </c>
      <c r="I26">
        <v>0.22014429276281522</v>
      </c>
      <c r="J26" t="s">
        <v>50</v>
      </c>
      <c r="L26" t="s">
        <v>114</v>
      </c>
      <c r="M26" t="s">
        <v>53</v>
      </c>
      <c r="N26">
        <v>0.21307522573422849</v>
      </c>
      <c r="O26" t="s">
        <v>50</v>
      </c>
    </row>
    <row r="27" spans="2:15" x14ac:dyDescent="0.45">
      <c r="B27" t="s">
        <v>57</v>
      </c>
      <c r="C27" t="s">
        <v>49</v>
      </c>
      <c r="D27">
        <v>2.0708144215237739E-2</v>
      </c>
      <c r="E27" t="s">
        <v>50</v>
      </c>
      <c r="G27" t="s">
        <v>87</v>
      </c>
      <c r="H27" t="s">
        <v>49</v>
      </c>
      <c r="I27">
        <v>0.25814721408228536</v>
      </c>
      <c r="J27" t="s">
        <v>50</v>
      </c>
      <c r="L27" t="s">
        <v>115</v>
      </c>
      <c r="M27" t="s">
        <v>49</v>
      </c>
      <c r="N27">
        <v>0.29775925274129911</v>
      </c>
      <c r="O27" t="s">
        <v>50</v>
      </c>
    </row>
    <row r="28" spans="2:15" x14ac:dyDescent="0.45">
      <c r="B28" t="s">
        <v>57</v>
      </c>
      <c r="C28" t="s">
        <v>51</v>
      </c>
      <c r="D28">
        <v>0.40388978806477249</v>
      </c>
      <c r="E28" t="s">
        <v>50</v>
      </c>
      <c r="G28" t="s">
        <v>87</v>
      </c>
      <c r="H28" t="s">
        <v>51</v>
      </c>
      <c r="I28">
        <v>0.34768604387689156</v>
      </c>
      <c r="J28" t="s">
        <v>50</v>
      </c>
      <c r="L28" t="s">
        <v>115</v>
      </c>
      <c r="M28" t="s">
        <v>51</v>
      </c>
      <c r="N28">
        <v>0.30347408413523008</v>
      </c>
      <c r="O28" t="s">
        <v>50</v>
      </c>
    </row>
    <row r="29" spans="2:15" x14ac:dyDescent="0.45">
      <c r="B29" t="s">
        <v>57</v>
      </c>
      <c r="C29" t="s">
        <v>52</v>
      </c>
      <c r="D29">
        <v>4.6658350161447856E-2</v>
      </c>
      <c r="E29" t="s">
        <v>50</v>
      </c>
      <c r="G29" t="s">
        <v>87</v>
      </c>
      <c r="H29" t="s">
        <v>52</v>
      </c>
      <c r="I29">
        <v>0.16903322082086225</v>
      </c>
      <c r="J29" t="s">
        <v>50</v>
      </c>
      <c r="L29" t="s">
        <v>115</v>
      </c>
      <c r="M29" t="s">
        <v>52</v>
      </c>
      <c r="N29">
        <v>0.19995233877054752</v>
      </c>
      <c r="O29" t="s">
        <v>50</v>
      </c>
    </row>
    <row r="30" spans="2:15" x14ac:dyDescent="0.45">
      <c r="B30" t="s">
        <v>57</v>
      </c>
      <c r="C30" t="s">
        <v>53</v>
      </c>
      <c r="D30">
        <v>0.52874371755854377</v>
      </c>
      <c r="E30" t="s">
        <v>50</v>
      </c>
      <c r="G30" t="s">
        <v>87</v>
      </c>
      <c r="H30" t="s">
        <v>53</v>
      </c>
      <c r="I30">
        <v>0.22513352121996102</v>
      </c>
      <c r="J30" t="s">
        <v>50</v>
      </c>
      <c r="L30" t="s">
        <v>115</v>
      </c>
      <c r="M30" t="s">
        <v>53</v>
      </c>
      <c r="N30">
        <v>0.19881432435292271</v>
      </c>
      <c r="O30" t="s">
        <v>50</v>
      </c>
    </row>
    <row r="31" spans="2:15" x14ac:dyDescent="0.45">
      <c r="B31" t="s">
        <v>58</v>
      </c>
      <c r="C31" t="s">
        <v>49</v>
      </c>
      <c r="D31">
        <v>1.8559555888397708E-2</v>
      </c>
      <c r="E31" t="s">
        <v>50</v>
      </c>
      <c r="G31" t="s">
        <v>88</v>
      </c>
      <c r="H31" t="s">
        <v>49</v>
      </c>
      <c r="I31">
        <v>0.26141556690508228</v>
      </c>
      <c r="J31" t="s">
        <v>50</v>
      </c>
      <c r="L31" t="s">
        <v>116</v>
      </c>
      <c r="M31" t="s">
        <v>49</v>
      </c>
      <c r="N31">
        <v>0.29719074344013441</v>
      </c>
      <c r="O31" t="s">
        <v>50</v>
      </c>
    </row>
    <row r="32" spans="2:15" x14ac:dyDescent="0.45">
      <c r="B32" t="s">
        <v>58</v>
      </c>
      <c r="C32" t="s">
        <v>51</v>
      </c>
      <c r="D32">
        <v>0.40262245656644879</v>
      </c>
      <c r="E32" t="s">
        <v>50</v>
      </c>
      <c r="G32" t="s">
        <v>88</v>
      </c>
      <c r="H32" t="s">
        <v>51</v>
      </c>
      <c r="I32">
        <v>0.26442429115609711</v>
      </c>
      <c r="J32" t="s">
        <v>50</v>
      </c>
      <c r="L32" t="s">
        <v>116</v>
      </c>
      <c r="M32" t="s">
        <v>51</v>
      </c>
      <c r="N32">
        <v>0.30653208333787652</v>
      </c>
      <c r="O32" t="s">
        <v>50</v>
      </c>
    </row>
    <row r="33" spans="2:15" x14ac:dyDescent="0.45">
      <c r="B33" t="s">
        <v>58</v>
      </c>
      <c r="C33" t="s">
        <v>52</v>
      </c>
      <c r="D33">
        <v>4.4169807839269618E-2</v>
      </c>
      <c r="E33" t="s">
        <v>50</v>
      </c>
      <c r="G33" t="s">
        <v>88</v>
      </c>
      <c r="H33" t="s">
        <v>52</v>
      </c>
      <c r="I33">
        <v>0.24057512062655997</v>
      </c>
      <c r="J33" t="s">
        <v>50</v>
      </c>
      <c r="L33" t="s">
        <v>116</v>
      </c>
      <c r="M33" t="s">
        <v>52</v>
      </c>
      <c r="N33">
        <v>0.19778411086704481</v>
      </c>
      <c r="O33" t="s">
        <v>50</v>
      </c>
    </row>
    <row r="34" spans="2:15" x14ac:dyDescent="0.45">
      <c r="B34" t="s">
        <v>58</v>
      </c>
      <c r="C34" t="s">
        <v>53</v>
      </c>
      <c r="D34">
        <v>0.53464817970588485</v>
      </c>
      <c r="E34" t="s">
        <v>50</v>
      </c>
      <c r="G34" t="s">
        <v>88</v>
      </c>
      <c r="H34" t="s">
        <v>53</v>
      </c>
      <c r="I34">
        <v>0.2335850213122623</v>
      </c>
      <c r="J34" t="s">
        <v>50</v>
      </c>
      <c r="L34" t="s">
        <v>116</v>
      </c>
      <c r="M34" t="s">
        <v>53</v>
      </c>
      <c r="N34">
        <v>0.19849306235494327</v>
      </c>
      <c r="O34" t="s">
        <v>50</v>
      </c>
    </row>
    <row r="35" spans="2:15" x14ac:dyDescent="0.45">
      <c r="B35" t="s">
        <v>59</v>
      </c>
      <c r="C35" t="s">
        <v>49</v>
      </c>
      <c r="D35">
        <v>2.2545963307592388E-2</v>
      </c>
      <c r="E35" t="s">
        <v>50</v>
      </c>
      <c r="G35" t="s">
        <v>89</v>
      </c>
      <c r="H35" t="s">
        <v>49</v>
      </c>
      <c r="I35">
        <v>0.26342291567260201</v>
      </c>
      <c r="J35" t="s">
        <v>50</v>
      </c>
      <c r="L35" t="s">
        <v>117</v>
      </c>
      <c r="M35" t="s">
        <v>49</v>
      </c>
      <c r="N35">
        <v>0.28267430782964542</v>
      </c>
      <c r="O35" t="s">
        <v>50</v>
      </c>
    </row>
    <row r="36" spans="2:15" x14ac:dyDescent="0.45">
      <c r="B36" t="s">
        <v>59</v>
      </c>
      <c r="C36" t="s">
        <v>51</v>
      </c>
      <c r="D36">
        <v>0.39939565096051199</v>
      </c>
      <c r="E36" t="s">
        <v>50</v>
      </c>
      <c r="G36" t="s">
        <v>89</v>
      </c>
      <c r="H36" t="s">
        <v>51</v>
      </c>
      <c r="I36">
        <v>0.27643590632949616</v>
      </c>
      <c r="J36" t="s">
        <v>50</v>
      </c>
      <c r="L36" t="s">
        <v>117</v>
      </c>
      <c r="M36" t="s">
        <v>51</v>
      </c>
      <c r="N36">
        <v>0.2875482316773077</v>
      </c>
      <c r="O36" t="s">
        <v>50</v>
      </c>
    </row>
    <row r="37" spans="2:15" x14ac:dyDescent="0.45">
      <c r="B37" t="s">
        <v>59</v>
      </c>
      <c r="C37" t="s">
        <v>52</v>
      </c>
      <c r="D37">
        <v>4.9550982917048424E-2</v>
      </c>
      <c r="E37" t="s">
        <v>50</v>
      </c>
      <c r="G37" t="s">
        <v>89</v>
      </c>
      <c r="H37" t="s">
        <v>52</v>
      </c>
      <c r="I37">
        <v>0.22554452666578961</v>
      </c>
      <c r="J37" t="s">
        <v>50</v>
      </c>
      <c r="L37" t="s">
        <v>117</v>
      </c>
      <c r="M37" t="s">
        <v>52</v>
      </c>
      <c r="N37">
        <v>0.22320843800487047</v>
      </c>
      <c r="O37" t="s">
        <v>50</v>
      </c>
    </row>
    <row r="38" spans="2:15" x14ac:dyDescent="0.45">
      <c r="B38" t="s">
        <v>59</v>
      </c>
      <c r="C38" t="s">
        <v>53</v>
      </c>
      <c r="D38">
        <v>0.52850740281484654</v>
      </c>
      <c r="E38" t="s">
        <v>50</v>
      </c>
      <c r="G38" t="s">
        <v>89</v>
      </c>
      <c r="H38" t="s">
        <v>53</v>
      </c>
      <c r="I38">
        <v>0.23459665133211297</v>
      </c>
      <c r="J38" t="s">
        <v>50</v>
      </c>
      <c r="L38" t="s">
        <v>117</v>
      </c>
      <c r="M38" t="s">
        <v>53</v>
      </c>
      <c r="N38">
        <v>0.20656902248817127</v>
      </c>
      <c r="O38" t="s">
        <v>50</v>
      </c>
    </row>
    <row r="39" spans="2:15" x14ac:dyDescent="0.45">
      <c r="B39" t="s">
        <v>60</v>
      </c>
      <c r="C39" t="s">
        <v>49</v>
      </c>
      <c r="D39">
        <v>1.5116095449065822E-2</v>
      </c>
      <c r="E39" t="s">
        <v>50</v>
      </c>
      <c r="G39" t="s">
        <v>90</v>
      </c>
      <c r="H39" t="s">
        <v>49</v>
      </c>
      <c r="I39">
        <v>0.25723534130245773</v>
      </c>
      <c r="J39" t="s">
        <v>50</v>
      </c>
      <c r="L39" t="s">
        <v>118</v>
      </c>
      <c r="M39" t="s">
        <v>49</v>
      </c>
      <c r="N39">
        <v>0.28348278809642213</v>
      </c>
      <c r="O39" t="s">
        <v>50</v>
      </c>
    </row>
    <row r="40" spans="2:15" x14ac:dyDescent="0.45">
      <c r="B40" t="s">
        <v>60</v>
      </c>
      <c r="C40" t="s">
        <v>51</v>
      </c>
      <c r="D40">
        <v>0.41501799418951663</v>
      </c>
      <c r="E40" t="s">
        <v>50</v>
      </c>
      <c r="G40" t="s">
        <v>90</v>
      </c>
      <c r="H40" t="s">
        <v>51</v>
      </c>
      <c r="I40">
        <v>0.24123293490557085</v>
      </c>
      <c r="J40" t="s">
        <v>50</v>
      </c>
      <c r="L40" t="s">
        <v>118</v>
      </c>
      <c r="M40" t="s">
        <v>51</v>
      </c>
      <c r="N40">
        <v>0.30362280366517413</v>
      </c>
      <c r="O40" t="s">
        <v>50</v>
      </c>
    </row>
    <row r="41" spans="2:15" x14ac:dyDescent="0.45">
      <c r="B41" t="s">
        <v>60</v>
      </c>
      <c r="C41" t="s">
        <v>52</v>
      </c>
      <c r="D41">
        <v>3.1936324339226371E-2</v>
      </c>
      <c r="E41" t="s">
        <v>50</v>
      </c>
      <c r="G41" t="s">
        <v>90</v>
      </c>
      <c r="H41" t="s">
        <v>52</v>
      </c>
      <c r="I41">
        <v>0.26004534407267194</v>
      </c>
      <c r="J41" t="s">
        <v>50</v>
      </c>
      <c r="L41" t="s">
        <v>118</v>
      </c>
      <c r="M41" t="s">
        <v>52</v>
      </c>
      <c r="N41">
        <v>0.203949429726553</v>
      </c>
      <c r="O41" t="s">
        <v>50</v>
      </c>
    </row>
    <row r="42" spans="2:15" x14ac:dyDescent="0.45">
      <c r="B42" t="s">
        <v>60</v>
      </c>
      <c r="C42" t="s">
        <v>53</v>
      </c>
      <c r="D42">
        <v>0.53792958602219243</v>
      </c>
      <c r="E42" t="s">
        <v>50</v>
      </c>
      <c r="G42" t="s">
        <v>90</v>
      </c>
      <c r="H42" t="s">
        <v>53</v>
      </c>
      <c r="I42">
        <v>0.24148637971929929</v>
      </c>
      <c r="J42" t="s">
        <v>50</v>
      </c>
      <c r="L42" t="s">
        <v>118</v>
      </c>
      <c r="M42" t="s">
        <v>53</v>
      </c>
      <c r="N42">
        <v>0.20894497851185209</v>
      </c>
      <c r="O42" t="s">
        <v>50</v>
      </c>
    </row>
    <row r="43" spans="2:15" x14ac:dyDescent="0.45">
      <c r="B43" t="s">
        <v>61</v>
      </c>
      <c r="C43" t="s">
        <v>49</v>
      </c>
      <c r="D43">
        <v>2.4803688984137349E-2</v>
      </c>
      <c r="E43" t="s">
        <v>50</v>
      </c>
      <c r="G43" t="s">
        <v>91</v>
      </c>
      <c r="H43" t="s">
        <v>49</v>
      </c>
      <c r="I43">
        <v>0.2548369032593733</v>
      </c>
      <c r="J43" t="s">
        <v>50</v>
      </c>
      <c r="L43" t="s">
        <v>119</v>
      </c>
      <c r="M43" t="s">
        <v>49</v>
      </c>
      <c r="N43">
        <v>0.29507952379661423</v>
      </c>
      <c r="O43" t="s">
        <v>50</v>
      </c>
    </row>
    <row r="44" spans="2:15" x14ac:dyDescent="0.45">
      <c r="B44" t="s">
        <v>61</v>
      </c>
      <c r="C44" t="s">
        <v>51</v>
      </c>
      <c r="D44">
        <v>0.39960582674218909</v>
      </c>
      <c r="E44" t="s">
        <v>50</v>
      </c>
      <c r="G44" t="s">
        <v>91</v>
      </c>
      <c r="H44" t="s">
        <v>51</v>
      </c>
      <c r="I44">
        <v>0.2723535631342206</v>
      </c>
      <c r="J44" t="s">
        <v>50</v>
      </c>
      <c r="L44" t="s">
        <v>119</v>
      </c>
      <c r="M44" t="s">
        <v>51</v>
      </c>
      <c r="N44">
        <v>0.27974850931373868</v>
      </c>
      <c r="O44" t="s">
        <v>50</v>
      </c>
    </row>
    <row r="45" spans="2:15" x14ac:dyDescent="0.45">
      <c r="B45" t="s">
        <v>61</v>
      </c>
      <c r="C45" t="s">
        <v>52</v>
      </c>
      <c r="D45">
        <v>5.0484590254385689E-2</v>
      </c>
      <c r="E45" t="s">
        <v>50</v>
      </c>
      <c r="G45" t="s">
        <v>91</v>
      </c>
      <c r="H45" t="s">
        <v>52</v>
      </c>
      <c r="I45">
        <v>0.23427031338587792</v>
      </c>
      <c r="J45" t="s">
        <v>50</v>
      </c>
      <c r="L45" t="s">
        <v>119</v>
      </c>
      <c r="M45" t="s">
        <v>52</v>
      </c>
      <c r="N45">
        <v>0.22599160163010715</v>
      </c>
      <c r="O45" t="s">
        <v>50</v>
      </c>
    </row>
    <row r="46" spans="2:15" x14ac:dyDescent="0.45">
      <c r="B46" t="s">
        <v>61</v>
      </c>
      <c r="C46" t="s">
        <v>53</v>
      </c>
      <c r="D46">
        <v>0.5251058940192852</v>
      </c>
      <c r="E46" t="s">
        <v>50</v>
      </c>
      <c r="G46" t="s">
        <v>91</v>
      </c>
      <c r="H46" t="s">
        <v>53</v>
      </c>
      <c r="I46">
        <v>0.23853922022052715</v>
      </c>
      <c r="J46" t="s">
        <v>50</v>
      </c>
      <c r="L46" t="s">
        <v>119</v>
      </c>
      <c r="M46" t="s">
        <v>53</v>
      </c>
      <c r="N46">
        <v>0.19918036525953697</v>
      </c>
      <c r="O46" t="s">
        <v>50</v>
      </c>
    </row>
    <row r="47" spans="2:15" x14ac:dyDescent="0.45">
      <c r="B47" t="s">
        <v>62</v>
      </c>
      <c r="C47" t="s">
        <v>49</v>
      </c>
      <c r="D47">
        <v>1.0832740293417317E-2</v>
      </c>
      <c r="E47" t="s">
        <v>50</v>
      </c>
      <c r="G47" t="s">
        <v>92</v>
      </c>
      <c r="H47" t="s">
        <v>49</v>
      </c>
      <c r="I47">
        <v>0.3149970704382663</v>
      </c>
      <c r="J47" t="s">
        <v>50</v>
      </c>
      <c r="L47" t="s">
        <v>120</v>
      </c>
      <c r="M47" t="s">
        <v>49</v>
      </c>
      <c r="N47">
        <v>0.3176712536133412</v>
      </c>
      <c r="O47" t="s">
        <v>50</v>
      </c>
    </row>
    <row r="48" spans="2:15" x14ac:dyDescent="0.45">
      <c r="B48" t="s">
        <v>62</v>
      </c>
      <c r="C48" t="s">
        <v>51</v>
      </c>
      <c r="D48">
        <v>0.39323711969144798</v>
      </c>
      <c r="E48" t="s">
        <v>50</v>
      </c>
      <c r="G48" t="s">
        <v>92</v>
      </c>
      <c r="H48" t="s">
        <v>51</v>
      </c>
      <c r="I48">
        <v>0.28199959336893071</v>
      </c>
      <c r="J48" t="s">
        <v>50</v>
      </c>
      <c r="L48" t="s">
        <v>120</v>
      </c>
      <c r="M48" t="s">
        <v>51</v>
      </c>
      <c r="N48">
        <v>0.32891195413764296</v>
      </c>
      <c r="O48" t="s">
        <v>50</v>
      </c>
    </row>
    <row r="49" spans="2:15" x14ac:dyDescent="0.45">
      <c r="B49" t="s">
        <v>62</v>
      </c>
      <c r="C49" t="s">
        <v>52</v>
      </c>
      <c r="D49">
        <v>3.5159972321429402E-2</v>
      </c>
      <c r="E49" t="s">
        <v>50</v>
      </c>
      <c r="G49" t="s">
        <v>92</v>
      </c>
      <c r="H49" t="s">
        <v>52</v>
      </c>
      <c r="I49">
        <v>0.22167873622676615</v>
      </c>
      <c r="J49" t="s">
        <v>50</v>
      </c>
      <c r="L49" t="s">
        <v>120</v>
      </c>
      <c r="M49" t="s">
        <v>52</v>
      </c>
      <c r="N49">
        <v>0.17421678470492924</v>
      </c>
      <c r="O49" t="s">
        <v>50</v>
      </c>
    </row>
    <row r="50" spans="2:15" x14ac:dyDescent="0.45">
      <c r="B50" t="s">
        <v>62</v>
      </c>
      <c r="C50" t="s">
        <v>53</v>
      </c>
      <c r="D50">
        <v>0.5607701676937038</v>
      </c>
      <c r="E50" t="s">
        <v>50</v>
      </c>
      <c r="G50" t="s">
        <v>92</v>
      </c>
      <c r="H50" t="s">
        <v>53</v>
      </c>
      <c r="I50">
        <v>0.18132459996603614</v>
      </c>
      <c r="J50" t="s">
        <v>50</v>
      </c>
      <c r="L50" t="s">
        <v>120</v>
      </c>
      <c r="M50" t="s">
        <v>53</v>
      </c>
      <c r="N50">
        <v>0.17920000754409049</v>
      </c>
      <c r="O50" t="s">
        <v>50</v>
      </c>
    </row>
    <row r="51" spans="2:15" x14ac:dyDescent="0.45">
      <c r="B51" t="s">
        <v>63</v>
      </c>
      <c r="C51" t="s">
        <v>49</v>
      </c>
      <c r="D51">
        <v>1.0337668600724728E-2</v>
      </c>
      <c r="E51" t="s">
        <v>50</v>
      </c>
      <c r="G51" t="s">
        <v>93</v>
      </c>
      <c r="H51" t="s">
        <v>49</v>
      </c>
      <c r="I51">
        <v>0.32518198150266248</v>
      </c>
      <c r="J51" t="s">
        <v>50</v>
      </c>
      <c r="L51" t="s">
        <v>121</v>
      </c>
      <c r="M51" t="s">
        <v>49</v>
      </c>
      <c r="N51">
        <v>0.29016005237611237</v>
      </c>
      <c r="O51" t="s">
        <v>50</v>
      </c>
    </row>
    <row r="52" spans="2:15" x14ac:dyDescent="0.45">
      <c r="B52" t="s">
        <v>63</v>
      </c>
      <c r="C52" t="s">
        <v>51</v>
      </c>
      <c r="D52">
        <v>0.40118438721171884</v>
      </c>
      <c r="E52" t="s">
        <v>50</v>
      </c>
      <c r="G52" t="s">
        <v>93</v>
      </c>
      <c r="H52" t="s">
        <v>51</v>
      </c>
      <c r="I52">
        <v>0.30207396398864128</v>
      </c>
      <c r="J52" t="s">
        <v>50</v>
      </c>
      <c r="L52" t="s">
        <v>121</v>
      </c>
      <c r="M52" t="s">
        <v>51</v>
      </c>
      <c r="N52">
        <v>0.27152406300864779</v>
      </c>
      <c r="O52" t="s">
        <v>50</v>
      </c>
    </row>
    <row r="53" spans="2:15" x14ac:dyDescent="0.45">
      <c r="B53" t="s">
        <v>63</v>
      </c>
      <c r="C53" t="s">
        <v>52</v>
      </c>
      <c r="D53">
        <v>3.2337254035039557E-2</v>
      </c>
      <c r="E53" t="s">
        <v>50</v>
      </c>
      <c r="G53" t="s">
        <v>93</v>
      </c>
      <c r="H53" t="s">
        <v>52</v>
      </c>
      <c r="I53">
        <v>0.20746698261729835</v>
      </c>
      <c r="J53" t="s">
        <v>50</v>
      </c>
      <c r="L53" t="s">
        <v>121</v>
      </c>
      <c r="M53" t="s">
        <v>52</v>
      </c>
      <c r="N53">
        <v>0.22906298698563621</v>
      </c>
      <c r="O53" t="s">
        <v>50</v>
      </c>
    </row>
    <row r="54" spans="2:15" x14ac:dyDescent="0.45">
      <c r="B54" t="s">
        <v>63</v>
      </c>
      <c r="C54" t="s">
        <v>53</v>
      </c>
      <c r="D54">
        <v>0.55614069015251788</v>
      </c>
      <c r="E54" t="s">
        <v>50</v>
      </c>
      <c r="G54" t="s">
        <v>93</v>
      </c>
      <c r="H54" t="s">
        <v>53</v>
      </c>
      <c r="I54">
        <v>0.16527707189139731</v>
      </c>
      <c r="J54" t="s">
        <v>50</v>
      </c>
      <c r="L54" t="s">
        <v>121</v>
      </c>
      <c r="M54" t="s">
        <v>53</v>
      </c>
      <c r="N54">
        <v>0.2092528976296068</v>
      </c>
      <c r="O54" t="s">
        <v>50</v>
      </c>
    </row>
    <row r="55" spans="2:15" x14ac:dyDescent="0.45">
      <c r="B55" t="s">
        <v>64</v>
      </c>
      <c r="C55" t="s">
        <v>49</v>
      </c>
      <c r="D55">
        <v>1.3083190730508249E-2</v>
      </c>
      <c r="E55" t="s">
        <v>50</v>
      </c>
      <c r="G55" t="s">
        <v>94</v>
      </c>
      <c r="H55" t="s">
        <v>49</v>
      </c>
      <c r="I55">
        <v>0.26697746601706818</v>
      </c>
      <c r="J55" t="s">
        <v>50</v>
      </c>
      <c r="L55" t="s">
        <v>122</v>
      </c>
      <c r="M55" t="s">
        <v>49</v>
      </c>
      <c r="N55">
        <v>0.28603073296182097</v>
      </c>
      <c r="O55" t="s">
        <v>50</v>
      </c>
    </row>
    <row r="56" spans="2:15" x14ac:dyDescent="0.45">
      <c r="B56" t="s">
        <v>64</v>
      </c>
      <c r="C56" t="s">
        <v>51</v>
      </c>
      <c r="D56">
        <v>0.39159451346630225</v>
      </c>
      <c r="E56" t="s">
        <v>50</v>
      </c>
      <c r="G56" t="s">
        <v>94</v>
      </c>
      <c r="H56" t="s">
        <v>51</v>
      </c>
      <c r="I56">
        <v>0.33461030699410477</v>
      </c>
      <c r="J56" t="s">
        <v>50</v>
      </c>
      <c r="L56" t="s">
        <v>122</v>
      </c>
      <c r="M56" t="s">
        <v>51</v>
      </c>
      <c r="N56">
        <v>0.2767263000227197</v>
      </c>
      <c r="O56" t="s">
        <v>50</v>
      </c>
    </row>
    <row r="57" spans="2:15" x14ac:dyDescent="0.45">
      <c r="B57" t="s">
        <v>64</v>
      </c>
      <c r="C57" t="s">
        <v>52</v>
      </c>
      <c r="D57">
        <v>3.9012681936147812E-2</v>
      </c>
      <c r="E57" t="s">
        <v>50</v>
      </c>
      <c r="G57" t="s">
        <v>94</v>
      </c>
      <c r="H57" t="s">
        <v>52</v>
      </c>
      <c r="I57">
        <v>0.18044802090138679</v>
      </c>
      <c r="J57" t="s">
        <v>50</v>
      </c>
      <c r="L57" t="s">
        <v>122</v>
      </c>
      <c r="M57" t="s">
        <v>52</v>
      </c>
      <c r="N57">
        <v>0.2302943568001273</v>
      </c>
      <c r="O57" t="s">
        <v>50</v>
      </c>
    </row>
    <row r="58" spans="2:15" x14ac:dyDescent="0.45">
      <c r="B58" t="s">
        <v>64</v>
      </c>
      <c r="C58" t="s">
        <v>53</v>
      </c>
      <c r="D58">
        <v>0.55630961386704192</v>
      </c>
      <c r="E58" t="s">
        <v>50</v>
      </c>
      <c r="G58" t="s">
        <v>94</v>
      </c>
      <c r="H58" t="s">
        <v>53</v>
      </c>
      <c r="I58">
        <v>0.21796420608743997</v>
      </c>
      <c r="J58" t="s">
        <v>50</v>
      </c>
      <c r="L58" t="s">
        <v>122</v>
      </c>
      <c r="M58" t="s">
        <v>53</v>
      </c>
      <c r="N58">
        <v>0.20694861021533265</v>
      </c>
      <c r="O58" t="s">
        <v>50</v>
      </c>
    </row>
    <row r="59" spans="2:15" x14ac:dyDescent="0.45">
      <c r="B59" t="s">
        <v>65</v>
      </c>
      <c r="C59" t="s">
        <v>49</v>
      </c>
      <c r="D59">
        <v>1.2495167903227697E-2</v>
      </c>
      <c r="E59" t="s">
        <v>50</v>
      </c>
      <c r="G59" t="s">
        <v>95</v>
      </c>
      <c r="H59" t="s">
        <v>49</v>
      </c>
      <c r="I59">
        <v>0.2810039721714907</v>
      </c>
      <c r="J59" t="s">
        <v>50</v>
      </c>
      <c r="L59" t="s">
        <v>123</v>
      </c>
      <c r="M59" t="s">
        <v>49</v>
      </c>
      <c r="N59">
        <v>0.27904940830064179</v>
      </c>
      <c r="O59" t="s">
        <v>50</v>
      </c>
    </row>
    <row r="60" spans="2:15" x14ac:dyDescent="0.45">
      <c r="B60" t="s">
        <v>65</v>
      </c>
      <c r="C60" t="s">
        <v>51</v>
      </c>
      <c r="D60">
        <v>0.38990069144786532</v>
      </c>
      <c r="E60" t="s">
        <v>50</v>
      </c>
      <c r="G60" t="s">
        <v>95</v>
      </c>
      <c r="H60" t="s">
        <v>51</v>
      </c>
      <c r="I60">
        <v>0.27703434834832419</v>
      </c>
      <c r="J60" t="s">
        <v>50</v>
      </c>
      <c r="L60" t="s">
        <v>123</v>
      </c>
      <c r="M60" t="s">
        <v>51</v>
      </c>
      <c r="N60">
        <v>0.26732169272633038</v>
      </c>
      <c r="O60" t="s">
        <v>50</v>
      </c>
    </row>
    <row r="61" spans="2:15" x14ac:dyDescent="0.45">
      <c r="B61" t="s">
        <v>65</v>
      </c>
      <c r="C61" t="s">
        <v>52</v>
      </c>
      <c r="D61">
        <v>3.6426462697284084E-2</v>
      </c>
      <c r="E61" t="s">
        <v>50</v>
      </c>
      <c r="G61" t="s">
        <v>95</v>
      </c>
      <c r="H61" t="s">
        <v>52</v>
      </c>
      <c r="I61">
        <v>0.22923849023283888</v>
      </c>
      <c r="J61" t="s">
        <v>50</v>
      </c>
      <c r="L61" t="s">
        <v>123</v>
      </c>
      <c r="M61" t="s">
        <v>52</v>
      </c>
      <c r="N61">
        <v>0.23394712458097616</v>
      </c>
      <c r="O61" t="s">
        <v>50</v>
      </c>
    </row>
    <row r="62" spans="2:15" x14ac:dyDescent="0.45">
      <c r="B62" t="s">
        <v>65</v>
      </c>
      <c r="C62" t="s">
        <v>53</v>
      </c>
      <c r="D62">
        <v>0.56117767795162177</v>
      </c>
      <c r="E62" t="s">
        <v>50</v>
      </c>
      <c r="G62" t="s">
        <v>95</v>
      </c>
      <c r="H62" t="s">
        <v>53</v>
      </c>
      <c r="I62">
        <v>0.21272318924734632</v>
      </c>
      <c r="J62" t="s">
        <v>50</v>
      </c>
      <c r="L62" t="s">
        <v>123</v>
      </c>
      <c r="M62" t="s">
        <v>53</v>
      </c>
      <c r="N62">
        <v>0.21968177439205333</v>
      </c>
      <c r="O62" t="s">
        <v>50</v>
      </c>
    </row>
    <row r="63" spans="2:15" x14ac:dyDescent="0.45">
      <c r="B63" t="s">
        <v>66</v>
      </c>
      <c r="C63" t="s">
        <v>49</v>
      </c>
      <c r="D63">
        <v>1.2281822515958614E-2</v>
      </c>
      <c r="E63" t="s">
        <v>50</v>
      </c>
      <c r="G63" t="s">
        <v>96</v>
      </c>
      <c r="H63" t="s">
        <v>49</v>
      </c>
      <c r="I63">
        <v>0.2726858684583785</v>
      </c>
      <c r="J63" t="s">
        <v>50</v>
      </c>
      <c r="L63" t="s">
        <v>124</v>
      </c>
      <c r="M63" t="s">
        <v>49</v>
      </c>
      <c r="N63">
        <v>0.27473990612724031</v>
      </c>
      <c r="O63" t="s">
        <v>50</v>
      </c>
    </row>
    <row r="64" spans="2:15" x14ac:dyDescent="0.45">
      <c r="B64" t="s">
        <v>66</v>
      </c>
      <c r="C64" t="s">
        <v>51</v>
      </c>
      <c r="D64">
        <v>0.38891099823406433</v>
      </c>
      <c r="E64" t="s">
        <v>50</v>
      </c>
      <c r="G64" t="s">
        <v>96</v>
      </c>
      <c r="H64" t="s">
        <v>51</v>
      </c>
      <c r="I64">
        <v>0.33175613066056536</v>
      </c>
      <c r="J64" t="s">
        <v>50</v>
      </c>
      <c r="L64" t="s">
        <v>124</v>
      </c>
      <c r="M64" t="s">
        <v>51</v>
      </c>
      <c r="N64">
        <v>0.26311959054536377</v>
      </c>
      <c r="O64" t="s">
        <v>50</v>
      </c>
    </row>
    <row r="65" spans="2:15" x14ac:dyDescent="0.45">
      <c r="B65" t="s">
        <v>66</v>
      </c>
      <c r="C65" t="s">
        <v>52</v>
      </c>
      <c r="D65">
        <v>3.709262889779226E-2</v>
      </c>
      <c r="E65" t="s">
        <v>50</v>
      </c>
      <c r="G65" t="s">
        <v>96</v>
      </c>
      <c r="H65" t="s">
        <v>52</v>
      </c>
      <c r="I65">
        <v>0.20403199857206242</v>
      </c>
      <c r="J65" t="s">
        <v>50</v>
      </c>
      <c r="L65" t="s">
        <v>124</v>
      </c>
      <c r="M65" t="s">
        <v>52</v>
      </c>
      <c r="N65">
        <v>0.23628387427278619</v>
      </c>
      <c r="O65" t="s">
        <v>50</v>
      </c>
    </row>
    <row r="66" spans="2:15" x14ac:dyDescent="0.45">
      <c r="B66" t="s">
        <v>66</v>
      </c>
      <c r="C66" t="s">
        <v>53</v>
      </c>
      <c r="D66">
        <v>0.56171455035218887</v>
      </c>
      <c r="E66" t="s">
        <v>50</v>
      </c>
      <c r="G66" t="s">
        <v>96</v>
      </c>
      <c r="H66" t="s">
        <v>53</v>
      </c>
      <c r="I66">
        <v>0.19152600230899033</v>
      </c>
      <c r="J66" t="s">
        <v>50</v>
      </c>
      <c r="L66" t="s">
        <v>124</v>
      </c>
      <c r="M66" t="s">
        <v>53</v>
      </c>
      <c r="N66">
        <v>0.22585662905461179</v>
      </c>
      <c r="O66" t="s">
        <v>50</v>
      </c>
    </row>
    <row r="67" spans="2:15" x14ac:dyDescent="0.45">
      <c r="B67" t="s">
        <v>67</v>
      </c>
      <c r="C67" t="s">
        <v>49</v>
      </c>
      <c r="D67">
        <v>1.4527641185707577E-2</v>
      </c>
      <c r="E67" t="s">
        <v>50</v>
      </c>
      <c r="G67" t="s">
        <v>97</v>
      </c>
      <c r="H67" t="s">
        <v>49</v>
      </c>
      <c r="I67">
        <v>0.28710581014687891</v>
      </c>
      <c r="J67" t="s">
        <v>50</v>
      </c>
      <c r="L67" t="s">
        <v>125</v>
      </c>
      <c r="M67" t="s">
        <v>49</v>
      </c>
      <c r="N67">
        <v>0.28391948268448891</v>
      </c>
      <c r="O67" t="s">
        <v>50</v>
      </c>
    </row>
    <row r="68" spans="2:15" x14ac:dyDescent="0.45">
      <c r="B68" t="s">
        <v>67</v>
      </c>
      <c r="C68" t="s">
        <v>51</v>
      </c>
      <c r="D68">
        <v>0.42388758234127089</v>
      </c>
      <c r="E68" t="s">
        <v>50</v>
      </c>
      <c r="G68" t="s">
        <v>97</v>
      </c>
      <c r="H68" t="s">
        <v>51</v>
      </c>
      <c r="I68">
        <v>0.25601649760290734</v>
      </c>
      <c r="J68" t="s">
        <v>50</v>
      </c>
      <c r="L68" t="s">
        <v>125</v>
      </c>
      <c r="M68" t="s">
        <v>51</v>
      </c>
      <c r="N68">
        <v>0.28064497550755235</v>
      </c>
      <c r="O68" t="s">
        <v>50</v>
      </c>
    </row>
    <row r="69" spans="2:15" x14ac:dyDescent="0.45">
      <c r="B69" t="s">
        <v>67</v>
      </c>
      <c r="C69" t="s">
        <v>52</v>
      </c>
      <c r="D69">
        <v>3.065288840998091E-2</v>
      </c>
      <c r="E69" t="s">
        <v>50</v>
      </c>
      <c r="G69" t="s">
        <v>97</v>
      </c>
      <c r="H69" t="s">
        <v>52</v>
      </c>
      <c r="I69">
        <v>0.24992404516023267</v>
      </c>
      <c r="J69" t="s">
        <v>50</v>
      </c>
      <c r="L69" t="s">
        <v>125</v>
      </c>
      <c r="M69" t="s">
        <v>52</v>
      </c>
      <c r="N69">
        <v>0.22155649121033039</v>
      </c>
      <c r="O69" t="s">
        <v>50</v>
      </c>
    </row>
    <row r="70" spans="2:15" x14ac:dyDescent="0.45">
      <c r="B70" t="s">
        <v>67</v>
      </c>
      <c r="C70" t="s">
        <v>53</v>
      </c>
      <c r="D70">
        <v>0.53093188806304414</v>
      </c>
      <c r="E70" t="s">
        <v>50</v>
      </c>
      <c r="G70" t="s">
        <v>97</v>
      </c>
      <c r="H70" t="s">
        <v>53</v>
      </c>
      <c r="I70">
        <v>0.20695364708997924</v>
      </c>
      <c r="J70" t="s">
        <v>50</v>
      </c>
      <c r="L70" t="s">
        <v>125</v>
      </c>
      <c r="M70" t="s">
        <v>53</v>
      </c>
      <c r="N70">
        <v>0.21387905059762968</v>
      </c>
      <c r="O70" t="s">
        <v>50</v>
      </c>
    </row>
    <row r="71" spans="2:15" x14ac:dyDescent="0.45">
      <c r="B71" t="s">
        <v>68</v>
      </c>
      <c r="C71" t="s">
        <v>49</v>
      </c>
      <c r="D71">
        <v>1.4572344402755772E-2</v>
      </c>
      <c r="E71" t="s">
        <v>50</v>
      </c>
      <c r="G71" t="s">
        <v>98</v>
      </c>
      <c r="H71" t="s">
        <v>49</v>
      </c>
      <c r="I71">
        <v>0.28269407647967759</v>
      </c>
      <c r="J71" t="s">
        <v>50</v>
      </c>
      <c r="L71" t="s">
        <v>126</v>
      </c>
      <c r="M71" t="s">
        <v>49</v>
      </c>
      <c r="N71">
        <v>0.28595258111309668</v>
      </c>
      <c r="O71" t="s">
        <v>50</v>
      </c>
    </row>
    <row r="72" spans="2:15" x14ac:dyDescent="0.45">
      <c r="B72" t="s">
        <v>68</v>
      </c>
      <c r="C72" t="s">
        <v>51</v>
      </c>
      <c r="D72">
        <v>0.42746824803576938</v>
      </c>
      <c r="E72" t="s">
        <v>50</v>
      </c>
      <c r="G72" t="s">
        <v>98</v>
      </c>
      <c r="H72" t="s">
        <v>51</v>
      </c>
      <c r="I72">
        <v>0.26027574212277321</v>
      </c>
      <c r="J72" t="s">
        <v>50</v>
      </c>
      <c r="L72" t="s">
        <v>126</v>
      </c>
      <c r="M72" t="s">
        <v>51</v>
      </c>
      <c r="N72">
        <v>0.28596991160417373</v>
      </c>
      <c r="O72" t="s">
        <v>50</v>
      </c>
    </row>
    <row r="73" spans="2:15" x14ac:dyDescent="0.45">
      <c r="B73" t="s">
        <v>68</v>
      </c>
      <c r="C73" t="s">
        <v>52</v>
      </c>
      <c r="D73">
        <v>3.0171553916047884E-2</v>
      </c>
      <c r="E73" t="s">
        <v>50</v>
      </c>
      <c r="G73" t="s">
        <v>98</v>
      </c>
      <c r="H73" t="s">
        <v>52</v>
      </c>
      <c r="I73">
        <v>0.24415269594169883</v>
      </c>
      <c r="J73" t="s">
        <v>50</v>
      </c>
      <c r="L73" t="s">
        <v>126</v>
      </c>
      <c r="M73" t="s">
        <v>52</v>
      </c>
      <c r="N73">
        <v>0.22135316126535021</v>
      </c>
      <c r="O73" t="s">
        <v>50</v>
      </c>
    </row>
    <row r="74" spans="2:15" x14ac:dyDescent="0.45">
      <c r="B74" t="s">
        <v>68</v>
      </c>
      <c r="C74" t="s">
        <v>53</v>
      </c>
      <c r="D74">
        <v>0.52778785364542369</v>
      </c>
      <c r="E74" t="s">
        <v>50</v>
      </c>
      <c r="G74" t="s">
        <v>98</v>
      </c>
      <c r="H74" t="s">
        <v>53</v>
      </c>
      <c r="I74">
        <v>0.21287748545584836</v>
      </c>
      <c r="J74" t="s">
        <v>50</v>
      </c>
      <c r="L74" t="s">
        <v>126</v>
      </c>
      <c r="M74" t="s">
        <v>53</v>
      </c>
      <c r="N74">
        <v>0.20672434601737605</v>
      </c>
      <c r="O74" t="s">
        <v>50</v>
      </c>
    </row>
    <row r="75" spans="2:15" x14ac:dyDescent="0.45">
      <c r="B75" t="s">
        <v>69</v>
      </c>
      <c r="C75" t="s">
        <v>49</v>
      </c>
      <c r="D75">
        <v>1.0067236222946951E-2</v>
      </c>
      <c r="E75" t="s">
        <v>50</v>
      </c>
      <c r="G75" t="s">
        <v>99</v>
      </c>
      <c r="H75" t="s">
        <v>49</v>
      </c>
      <c r="I75">
        <v>0.27776307568649361</v>
      </c>
      <c r="J75" t="s">
        <v>50</v>
      </c>
      <c r="L75" t="s">
        <v>127</v>
      </c>
      <c r="M75" t="s">
        <v>49</v>
      </c>
      <c r="N75">
        <v>0.28920905063291935</v>
      </c>
      <c r="O75" t="s">
        <v>50</v>
      </c>
    </row>
    <row r="76" spans="2:15" x14ac:dyDescent="0.45">
      <c r="B76" t="s">
        <v>69</v>
      </c>
      <c r="C76" t="s">
        <v>51</v>
      </c>
      <c r="D76">
        <v>0.42185789997323336</v>
      </c>
      <c r="E76" t="s">
        <v>50</v>
      </c>
      <c r="G76" t="s">
        <v>99</v>
      </c>
      <c r="H76" t="s">
        <v>51</v>
      </c>
      <c r="I76">
        <v>0.27014526440032333</v>
      </c>
      <c r="J76" t="s">
        <v>50</v>
      </c>
      <c r="L76" t="s">
        <v>127</v>
      </c>
      <c r="M76" t="s">
        <v>51</v>
      </c>
      <c r="N76">
        <v>0.28724808836966204</v>
      </c>
      <c r="O76" t="s">
        <v>50</v>
      </c>
    </row>
    <row r="77" spans="2:15" x14ac:dyDescent="0.45">
      <c r="B77" t="s">
        <v>69</v>
      </c>
      <c r="C77" t="s">
        <v>52</v>
      </c>
      <c r="D77">
        <v>2.486856323798347E-2</v>
      </c>
      <c r="E77" t="s">
        <v>50</v>
      </c>
      <c r="G77" t="s">
        <v>99</v>
      </c>
      <c r="H77" t="s">
        <v>52</v>
      </c>
      <c r="I77">
        <v>0.23150444311506563</v>
      </c>
      <c r="J77" t="s">
        <v>50</v>
      </c>
      <c r="L77" t="s">
        <v>127</v>
      </c>
      <c r="M77" t="s">
        <v>52</v>
      </c>
      <c r="N77">
        <v>0.21369257869766298</v>
      </c>
      <c r="O77" t="s">
        <v>50</v>
      </c>
    </row>
    <row r="78" spans="2:15" x14ac:dyDescent="0.45">
      <c r="B78" t="s">
        <v>69</v>
      </c>
      <c r="C78" t="s">
        <v>53</v>
      </c>
      <c r="D78">
        <v>0.54320630056583641</v>
      </c>
      <c r="E78" t="s">
        <v>50</v>
      </c>
      <c r="G78" t="s">
        <v>99</v>
      </c>
      <c r="H78" t="s">
        <v>53</v>
      </c>
      <c r="I78">
        <v>0.22058721679811563</v>
      </c>
      <c r="J78" t="s">
        <v>50</v>
      </c>
      <c r="L78" t="s">
        <v>127</v>
      </c>
      <c r="M78" t="s">
        <v>53</v>
      </c>
      <c r="N78">
        <v>0.20985028229975586</v>
      </c>
      <c r="O78" t="s">
        <v>50</v>
      </c>
    </row>
    <row r="79" spans="2:15" x14ac:dyDescent="0.45">
      <c r="B79" t="s">
        <v>70</v>
      </c>
      <c r="C79" t="s">
        <v>49</v>
      </c>
      <c r="D79">
        <v>1.289832613414708E-2</v>
      </c>
      <c r="E79" t="s">
        <v>50</v>
      </c>
      <c r="G79" t="s">
        <v>100</v>
      </c>
      <c r="H79" t="s">
        <v>49</v>
      </c>
      <c r="I79">
        <v>0.28280361336741455</v>
      </c>
      <c r="J79" t="s">
        <v>50</v>
      </c>
    </row>
    <row r="80" spans="2:15" x14ac:dyDescent="0.45">
      <c r="B80" t="s">
        <v>70</v>
      </c>
      <c r="C80" t="s">
        <v>51</v>
      </c>
      <c r="D80">
        <v>0.43789996014771249</v>
      </c>
      <c r="E80" t="s">
        <v>50</v>
      </c>
      <c r="G80" t="s">
        <v>100</v>
      </c>
      <c r="H80" t="s">
        <v>51</v>
      </c>
      <c r="I80">
        <v>0.26447288737057523</v>
      </c>
      <c r="J80" t="s">
        <v>50</v>
      </c>
    </row>
    <row r="81" spans="2:10" x14ac:dyDescent="0.45">
      <c r="B81" t="s">
        <v>70</v>
      </c>
      <c r="C81" t="s">
        <v>52</v>
      </c>
      <c r="D81">
        <v>2.7515487165797093E-2</v>
      </c>
      <c r="E81" t="s">
        <v>50</v>
      </c>
      <c r="G81" t="s">
        <v>100</v>
      </c>
      <c r="H81" t="s">
        <v>52</v>
      </c>
      <c r="I81">
        <v>0.23737833977677478</v>
      </c>
      <c r="J81" t="s">
        <v>50</v>
      </c>
    </row>
    <row r="82" spans="2:10" x14ac:dyDescent="0.45">
      <c r="B82" t="s">
        <v>70</v>
      </c>
      <c r="C82" t="s">
        <v>53</v>
      </c>
      <c r="D82">
        <v>0.52168622655234453</v>
      </c>
      <c r="E82" t="s">
        <v>50</v>
      </c>
      <c r="G82" t="s">
        <v>100</v>
      </c>
      <c r="H82" t="s">
        <v>53</v>
      </c>
      <c r="I82">
        <v>0.21534515948523997</v>
      </c>
      <c r="J82" t="s">
        <v>50</v>
      </c>
    </row>
    <row r="83" spans="2:10" x14ac:dyDescent="0.45">
      <c r="B83" t="s">
        <v>71</v>
      </c>
      <c r="C83" t="s">
        <v>49</v>
      </c>
      <c r="D83">
        <v>1.0303060234193759E-2</v>
      </c>
      <c r="E83" t="s">
        <v>50</v>
      </c>
      <c r="G83" t="s">
        <v>101</v>
      </c>
      <c r="H83" t="s">
        <v>49</v>
      </c>
      <c r="I83">
        <v>0.2960004942163757</v>
      </c>
      <c r="J83" t="s">
        <v>50</v>
      </c>
    </row>
    <row r="84" spans="2:10" x14ac:dyDescent="0.45">
      <c r="B84" t="s">
        <v>71</v>
      </c>
      <c r="C84" t="s">
        <v>51</v>
      </c>
      <c r="D84">
        <v>0.41251412448308478</v>
      </c>
      <c r="E84" t="s">
        <v>50</v>
      </c>
      <c r="G84" t="s">
        <v>101</v>
      </c>
      <c r="H84" t="s">
        <v>51</v>
      </c>
      <c r="I84">
        <v>0.26715970294525188</v>
      </c>
      <c r="J84" t="s">
        <v>50</v>
      </c>
    </row>
    <row r="85" spans="2:10" x14ac:dyDescent="0.45">
      <c r="B85" t="s">
        <v>71</v>
      </c>
      <c r="C85" t="s">
        <v>52</v>
      </c>
      <c r="D85">
        <v>3.0706197366772235E-2</v>
      </c>
      <c r="E85" t="s">
        <v>50</v>
      </c>
      <c r="G85" t="s">
        <v>101</v>
      </c>
      <c r="H85" t="s">
        <v>52</v>
      </c>
      <c r="I85">
        <v>0.24046840416113802</v>
      </c>
      <c r="J85" t="s">
        <v>50</v>
      </c>
    </row>
    <row r="86" spans="2:10" x14ac:dyDescent="0.45">
      <c r="B86" t="s">
        <v>71</v>
      </c>
      <c r="C86" t="s">
        <v>53</v>
      </c>
      <c r="D86">
        <v>0.54647661791595059</v>
      </c>
      <c r="E86" t="s">
        <v>50</v>
      </c>
      <c r="G86" t="s">
        <v>101</v>
      </c>
      <c r="H86" t="s">
        <v>53</v>
      </c>
      <c r="I86">
        <v>0.19637139867723544</v>
      </c>
      <c r="J86" t="s">
        <v>50</v>
      </c>
    </row>
    <row r="87" spans="2:10" x14ac:dyDescent="0.45">
      <c r="B87" t="s">
        <v>72</v>
      </c>
      <c r="C87" t="s">
        <v>49</v>
      </c>
      <c r="D87">
        <v>1.0807715964857793E-2</v>
      </c>
      <c r="E87" t="s">
        <v>50</v>
      </c>
      <c r="G87" t="s">
        <v>102</v>
      </c>
      <c r="H87" t="s">
        <v>49</v>
      </c>
      <c r="I87">
        <v>0.29391891561650868</v>
      </c>
      <c r="J87" t="s">
        <v>50</v>
      </c>
    </row>
    <row r="88" spans="2:10" x14ac:dyDescent="0.45">
      <c r="B88" t="s">
        <v>72</v>
      </c>
      <c r="C88" t="s">
        <v>51</v>
      </c>
      <c r="D88">
        <v>0.43008935422851208</v>
      </c>
      <c r="E88" t="s">
        <v>50</v>
      </c>
      <c r="G88" t="s">
        <v>102</v>
      </c>
      <c r="H88" t="s">
        <v>51</v>
      </c>
      <c r="I88">
        <v>0.25696196834984197</v>
      </c>
      <c r="J88" t="s">
        <v>50</v>
      </c>
    </row>
    <row r="89" spans="2:10" x14ac:dyDescent="0.45">
      <c r="B89" t="s">
        <v>72</v>
      </c>
      <c r="C89" t="s">
        <v>52</v>
      </c>
      <c r="D89">
        <v>2.8618483143049718E-2</v>
      </c>
      <c r="E89" t="s">
        <v>50</v>
      </c>
      <c r="G89" t="s">
        <v>102</v>
      </c>
      <c r="H89" t="s">
        <v>52</v>
      </c>
      <c r="I89">
        <v>0.25153941796465701</v>
      </c>
      <c r="J89" t="s">
        <v>50</v>
      </c>
    </row>
    <row r="90" spans="2:10" x14ac:dyDescent="0.45">
      <c r="B90" t="s">
        <v>72</v>
      </c>
      <c r="C90" t="s">
        <v>53</v>
      </c>
      <c r="D90">
        <v>0.5304844466635803</v>
      </c>
      <c r="E90" t="s">
        <v>50</v>
      </c>
      <c r="G90" t="s">
        <v>102</v>
      </c>
      <c r="H90" t="s">
        <v>53</v>
      </c>
      <c r="I90">
        <v>0.19757969806899153</v>
      </c>
      <c r="J90" t="s">
        <v>50</v>
      </c>
    </row>
    <row r="91" spans="2:10" x14ac:dyDescent="0.45">
      <c r="B91" t="s">
        <v>73</v>
      </c>
      <c r="C91" t="s">
        <v>49</v>
      </c>
      <c r="D91">
        <v>1.5579686704824944E-2</v>
      </c>
      <c r="E91" t="s">
        <v>50</v>
      </c>
      <c r="G91" t="s">
        <v>103</v>
      </c>
      <c r="H91" t="s">
        <v>49</v>
      </c>
      <c r="I91">
        <v>0.27032470970634498</v>
      </c>
      <c r="J91" t="s">
        <v>50</v>
      </c>
    </row>
    <row r="92" spans="2:10" x14ac:dyDescent="0.45">
      <c r="B92" t="s">
        <v>73</v>
      </c>
      <c r="C92" t="s">
        <v>51</v>
      </c>
      <c r="D92">
        <v>0.41336935771565009</v>
      </c>
      <c r="E92" t="s">
        <v>50</v>
      </c>
      <c r="G92" t="s">
        <v>103</v>
      </c>
      <c r="H92" t="s">
        <v>51</v>
      </c>
      <c r="I92">
        <v>0.26105243488625324</v>
      </c>
      <c r="J92" t="s">
        <v>50</v>
      </c>
    </row>
    <row r="93" spans="2:10" x14ac:dyDescent="0.45">
      <c r="B93" t="s">
        <v>73</v>
      </c>
      <c r="C93" t="s">
        <v>52</v>
      </c>
      <c r="D93">
        <v>3.352075478184529E-2</v>
      </c>
      <c r="E93" t="s">
        <v>50</v>
      </c>
      <c r="G93" t="s">
        <v>103</v>
      </c>
      <c r="H93" t="s">
        <v>52</v>
      </c>
      <c r="I93">
        <v>0.23576599979311613</v>
      </c>
      <c r="J93" t="s">
        <v>50</v>
      </c>
    </row>
    <row r="94" spans="2:10" x14ac:dyDescent="0.45">
      <c r="B94" t="s">
        <v>73</v>
      </c>
      <c r="C94" t="s">
        <v>53</v>
      </c>
      <c r="D94">
        <v>0.53753020079767688</v>
      </c>
      <c r="E94" t="s">
        <v>50</v>
      </c>
      <c r="G94" t="s">
        <v>103</v>
      </c>
      <c r="H94" t="s">
        <v>53</v>
      </c>
      <c r="I94">
        <v>0.23285685561428845</v>
      </c>
      <c r="J94" t="s">
        <v>50</v>
      </c>
    </row>
    <row r="95" spans="2:10" x14ac:dyDescent="0.45">
      <c r="B95" t="s">
        <v>74</v>
      </c>
      <c r="C95" t="s">
        <v>49</v>
      </c>
      <c r="D95">
        <v>1.3711930936193009E-2</v>
      </c>
      <c r="E95" t="s">
        <v>50</v>
      </c>
      <c r="G95" t="s">
        <v>104</v>
      </c>
      <c r="H95" t="s">
        <v>49</v>
      </c>
      <c r="I95">
        <v>0.28275093907952914</v>
      </c>
      <c r="J95" t="s">
        <v>50</v>
      </c>
    </row>
    <row r="96" spans="2:10" x14ac:dyDescent="0.45">
      <c r="B96" t="s">
        <v>74</v>
      </c>
      <c r="C96" t="s">
        <v>51</v>
      </c>
      <c r="D96">
        <v>0.39710417776951573</v>
      </c>
      <c r="E96" t="s">
        <v>50</v>
      </c>
      <c r="G96" t="s">
        <v>104</v>
      </c>
      <c r="H96" t="s">
        <v>51</v>
      </c>
      <c r="I96">
        <v>0.24694095154787121</v>
      </c>
      <c r="J96" t="s">
        <v>50</v>
      </c>
    </row>
    <row r="97" spans="2:10" x14ac:dyDescent="0.45">
      <c r="B97" t="s">
        <v>74</v>
      </c>
      <c r="C97" t="s">
        <v>52</v>
      </c>
      <c r="D97">
        <v>3.6228878066714751E-2</v>
      </c>
      <c r="E97" t="s">
        <v>50</v>
      </c>
      <c r="G97" t="s">
        <v>104</v>
      </c>
      <c r="H97" t="s">
        <v>52</v>
      </c>
      <c r="I97">
        <v>0.24855593458479119</v>
      </c>
      <c r="J97" t="s">
        <v>50</v>
      </c>
    </row>
    <row r="98" spans="2:10" x14ac:dyDescent="0.45">
      <c r="B98" t="s">
        <v>74</v>
      </c>
      <c r="C98" t="s">
        <v>53</v>
      </c>
      <c r="D98">
        <v>0.55295501322757468</v>
      </c>
      <c r="E98" t="s">
        <v>50</v>
      </c>
      <c r="G98" t="s">
        <v>104</v>
      </c>
      <c r="H98" t="s">
        <v>53</v>
      </c>
      <c r="I98">
        <v>0.22175217478780623</v>
      </c>
      <c r="J98" t="s">
        <v>50</v>
      </c>
    </row>
    <row r="99" spans="2:10" x14ac:dyDescent="0.45">
      <c r="B99" t="s">
        <v>75</v>
      </c>
      <c r="C99" t="s">
        <v>49</v>
      </c>
      <c r="D99">
        <v>1.1782988757928414E-2</v>
      </c>
      <c r="E99" t="s">
        <v>50</v>
      </c>
      <c r="G99" t="s">
        <v>105</v>
      </c>
      <c r="H99" t="s">
        <v>49</v>
      </c>
      <c r="I99">
        <v>0.28145494790503334</v>
      </c>
      <c r="J99" t="s">
        <v>50</v>
      </c>
    </row>
    <row r="100" spans="2:10" x14ac:dyDescent="0.45">
      <c r="B100" t="s">
        <v>75</v>
      </c>
      <c r="C100" t="s">
        <v>51</v>
      </c>
      <c r="D100">
        <v>0.3996490433016095</v>
      </c>
      <c r="E100" t="s">
        <v>50</v>
      </c>
      <c r="G100" t="s">
        <v>105</v>
      </c>
      <c r="H100" t="s">
        <v>51</v>
      </c>
      <c r="I100">
        <v>0.23882968603003038</v>
      </c>
      <c r="J100" t="s">
        <v>50</v>
      </c>
    </row>
    <row r="101" spans="2:10" x14ac:dyDescent="0.45">
      <c r="B101" t="s">
        <v>75</v>
      </c>
      <c r="C101" t="s">
        <v>52</v>
      </c>
      <c r="D101">
        <v>3.3522741551708285E-2</v>
      </c>
      <c r="E101" t="s">
        <v>50</v>
      </c>
      <c r="G101" t="s">
        <v>105</v>
      </c>
      <c r="H101" t="s">
        <v>52</v>
      </c>
      <c r="I101">
        <v>0.26352275499050765</v>
      </c>
      <c r="J101" t="s">
        <v>50</v>
      </c>
    </row>
    <row r="102" spans="2:10" x14ac:dyDescent="0.45">
      <c r="B102" t="s">
        <v>75</v>
      </c>
      <c r="C102" t="s">
        <v>53</v>
      </c>
      <c r="D102">
        <v>0.55504522638875531</v>
      </c>
      <c r="E102" t="s">
        <v>50</v>
      </c>
      <c r="G102" t="s">
        <v>105</v>
      </c>
      <c r="H102" t="s">
        <v>53</v>
      </c>
      <c r="I102">
        <v>0.21619261107443155</v>
      </c>
      <c r="J102" t="s">
        <v>50</v>
      </c>
    </row>
    <row r="103" spans="2:10" x14ac:dyDescent="0.45">
      <c r="B103" t="s">
        <v>76</v>
      </c>
      <c r="C103" t="s">
        <v>49</v>
      </c>
      <c r="D103">
        <v>1.3602565834524571E-2</v>
      </c>
      <c r="E103" t="s">
        <v>50</v>
      </c>
      <c r="G103" t="s">
        <v>106</v>
      </c>
      <c r="H103" t="s">
        <v>49</v>
      </c>
      <c r="I103">
        <v>0.28191467263061809</v>
      </c>
      <c r="J103" t="s">
        <v>50</v>
      </c>
    </row>
    <row r="104" spans="2:10" x14ac:dyDescent="0.45">
      <c r="B104" t="s">
        <v>76</v>
      </c>
      <c r="C104" t="s">
        <v>51</v>
      </c>
      <c r="D104">
        <v>0.41026807430541951</v>
      </c>
      <c r="E104" t="s">
        <v>50</v>
      </c>
      <c r="G104" t="s">
        <v>106</v>
      </c>
      <c r="H104" t="s">
        <v>51</v>
      </c>
      <c r="I104">
        <v>0.26307405614745638</v>
      </c>
      <c r="J104" t="s">
        <v>50</v>
      </c>
    </row>
    <row r="105" spans="2:10" x14ac:dyDescent="0.45">
      <c r="B105" t="s">
        <v>76</v>
      </c>
      <c r="C105" t="s">
        <v>52</v>
      </c>
      <c r="D105">
        <v>3.3767893724856023E-2</v>
      </c>
      <c r="E105" t="s">
        <v>50</v>
      </c>
      <c r="G105" t="s">
        <v>106</v>
      </c>
      <c r="H105" t="s">
        <v>52</v>
      </c>
      <c r="I105">
        <v>0.24285227859438838</v>
      </c>
      <c r="J105" t="s">
        <v>50</v>
      </c>
    </row>
    <row r="106" spans="2:10" x14ac:dyDescent="0.45">
      <c r="B106" t="s">
        <v>76</v>
      </c>
      <c r="C106" t="s">
        <v>53</v>
      </c>
      <c r="D106">
        <v>0.54236146613520098</v>
      </c>
      <c r="E106" t="s">
        <v>50</v>
      </c>
      <c r="G106" t="s">
        <v>106</v>
      </c>
      <c r="H106" t="s">
        <v>53</v>
      </c>
      <c r="I106">
        <v>0.21215899262753693</v>
      </c>
      <c r="J106" t="s">
        <v>50</v>
      </c>
    </row>
    <row r="107" spans="2:10" x14ac:dyDescent="0.45">
      <c r="B107" t="s">
        <v>77</v>
      </c>
      <c r="C107" t="s">
        <v>49</v>
      </c>
      <c r="D107">
        <v>2.0083985214416678E-2</v>
      </c>
      <c r="E107" t="s">
        <v>50</v>
      </c>
      <c r="G107" t="s">
        <v>107</v>
      </c>
      <c r="H107" t="s">
        <v>49</v>
      </c>
      <c r="I107">
        <v>0.29008348004787521</v>
      </c>
      <c r="J107" t="s">
        <v>50</v>
      </c>
    </row>
    <row r="108" spans="2:10" x14ac:dyDescent="0.45">
      <c r="B108" t="s">
        <v>77</v>
      </c>
      <c r="C108" t="s">
        <v>51</v>
      </c>
      <c r="D108">
        <v>0.41661132511441495</v>
      </c>
      <c r="E108" t="s">
        <v>50</v>
      </c>
      <c r="G108" t="s">
        <v>107</v>
      </c>
      <c r="H108" t="s">
        <v>51</v>
      </c>
      <c r="I108">
        <v>0.25218489437914959</v>
      </c>
      <c r="J108" t="s">
        <v>50</v>
      </c>
    </row>
    <row r="109" spans="2:10" x14ac:dyDescent="0.45">
      <c r="B109" t="s">
        <v>77</v>
      </c>
      <c r="C109" t="s">
        <v>52</v>
      </c>
      <c r="D109">
        <v>4.0560176938738216E-2</v>
      </c>
      <c r="E109" t="s">
        <v>50</v>
      </c>
      <c r="G109" t="s">
        <v>107</v>
      </c>
      <c r="H109" t="s">
        <v>52</v>
      </c>
      <c r="I109">
        <v>0.25202707447889983</v>
      </c>
      <c r="J109" t="s">
        <v>50</v>
      </c>
    </row>
    <row r="110" spans="2:10" x14ac:dyDescent="0.45">
      <c r="B110" t="s">
        <v>77</v>
      </c>
      <c r="C110" t="s">
        <v>53</v>
      </c>
      <c r="D110">
        <v>0.52274451273242839</v>
      </c>
      <c r="E110" t="s">
        <v>50</v>
      </c>
      <c r="G110" t="s">
        <v>107</v>
      </c>
      <c r="H110" t="s">
        <v>53</v>
      </c>
      <c r="I110">
        <v>0.20570455109407698</v>
      </c>
      <c r="J110" t="s">
        <v>50</v>
      </c>
    </row>
    <row r="111" spans="2:10" x14ac:dyDescent="0.45">
      <c r="B111" t="s">
        <v>78</v>
      </c>
      <c r="C111" t="s">
        <v>49</v>
      </c>
      <c r="D111">
        <v>1.5975775694160116E-2</v>
      </c>
      <c r="E111" t="s">
        <v>50</v>
      </c>
      <c r="G111" t="s">
        <v>108</v>
      </c>
      <c r="H111" t="s">
        <v>49</v>
      </c>
      <c r="I111">
        <v>0.29237097008841795</v>
      </c>
      <c r="J111" t="s">
        <v>50</v>
      </c>
    </row>
    <row r="112" spans="2:10" x14ac:dyDescent="0.45">
      <c r="B112" t="s">
        <v>78</v>
      </c>
      <c r="C112" t="s">
        <v>51</v>
      </c>
      <c r="D112">
        <v>0.42777701334278295</v>
      </c>
      <c r="E112" t="s">
        <v>50</v>
      </c>
      <c r="G112" t="s">
        <v>108</v>
      </c>
      <c r="H112" t="s">
        <v>51</v>
      </c>
      <c r="I112">
        <v>0.26403115977086417</v>
      </c>
      <c r="J112" t="s">
        <v>50</v>
      </c>
    </row>
    <row r="113" spans="2:10" x14ac:dyDescent="0.45">
      <c r="B113" t="s">
        <v>78</v>
      </c>
      <c r="C113" t="s">
        <v>52</v>
      </c>
      <c r="D113">
        <v>3.2246841811242113E-2</v>
      </c>
      <c r="E113" t="s">
        <v>50</v>
      </c>
      <c r="G113" t="s">
        <v>108</v>
      </c>
      <c r="H113" t="s">
        <v>52</v>
      </c>
      <c r="I113">
        <v>0.2343916076062213</v>
      </c>
      <c r="J113" t="s">
        <v>50</v>
      </c>
    </row>
    <row r="114" spans="2:10" x14ac:dyDescent="0.45">
      <c r="B114" t="s">
        <v>78</v>
      </c>
      <c r="C114" t="s">
        <v>53</v>
      </c>
      <c r="D114">
        <v>0.52400036915181758</v>
      </c>
      <c r="E114" t="s">
        <v>50</v>
      </c>
      <c r="G114" t="s">
        <v>108</v>
      </c>
      <c r="H114" t="s">
        <v>53</v>
      </c>
      <c r="I114">
        <v>0.20920626253449645</v>
      </c>
      <c r="J114" t="s">
        <v>50</v>
      </c>
    </row>
    <row r="115" spans="2:10" x14ac:dyDescent="0.45">
      <c r="B115" t="s">
        <v>79</v>
      </c>
      <c r="C115" t="s">
        <v>49</v>
      </c>
      <c r="D115">
        <v>1.6033638517745242E-2</v>
      </c>
      <c r="E115" t="s">
        <v>50</v>
      </c>
      <c r="G115" t="s">
        <v>109</v>
      </c>
      <c r="H115" t="s">
        <v>49</v>
      </c>
      <c r="I115">
        <v>0.30570720893631337</v>
      </c>
      <c r="J115" t="s">
        <v>50</v>
      </c>
    </row>
    <row r="116" spans="2:10" x14ac:dyDescent="0.45">
      <c r="B116" t="s">
        <v>79</v>
      </c>
      <c r="C116" t="s">
        <v>51</v>
      </c>
      <c r="D116">
        <v>0.40898151374005925</v>
      </c>
      <c r="E116" t="s">
        <v>50</v>
      </c>
      <c r="G116" t="s">
        <v>109</v>
      </c>
      <c r="H116" t="s">
        <v>51</v>
      </c>
      <c r="I116">
        <v>0.26956711151145551</v>
      </c>
      <c r="J116" t="s">
        <v>50</v>
      </c>
    </row>
    <row r="117" spans="2:10" x14ac:dyDescent="0.45">
      <c r="B117" t="s">
        <v>79</v>
      </c>
      <c r="C117" t="s">
        <v>52</v>
      </c>
      <c r="D117">
        <v>3.7006055394434023E-2</v>
      </c>
      <c r="E117" t="s">
        <v>50</v>
      </c>
      <c r="G117" t="s">
        <v>109</v>
      </c>
      <c r="H117" t="s">
        <v>52</v>
      </c>
      <c r="I117">
        <v>0.24403474802258818</v>
      </c>
      <c r="J117" t="s">
        <v>50</v>
      </c>
    </row>
    <row r="118" spans="2:10" x14ac:dyDescent="0.45">
      <c r="B118" t="s">
        <v>79</v>
      </c>
      <c r="C118" t="s">
        <v>53</v>
      </c>
      <c r="D118">
        <v>0.53797879234775836</v>
      </c>
      <c r="E118" t="s">
        <v>50</v>
      </c>
      <c r="G118" t="s">
        <v>109</v>
      </c>
      <c r="H118" t="s">
        <v>53</v>
      </c>
      <c r="I118">
        <v>0.18069093152964083</v>
      </c>
      <c r="J118" t="s">
        <v>50</v>
      </c>
    </row>
    <row r="119" spans="2:10" x14ac:dyDescent="0.45">
      <c r="B119" t="s">
        <v>80</v>
      </c>
      <c r="C119" t="s">
        <v>49</v>
      </c>
      <c r="D119">
        <v>1.6874795103893246E-2</v>
      </c>
      <c r="E119" t="s">
        <v>50</v>
      </c>
      <c r="G119" t="s">
        <v>110</v>
      </c>
      <c r="H119" t="s">
        <v>49</v>
      </c>
      <c r="I119">
        <v>0.29015653141201958</v>
      </c>
      <c r="J119" t="s">
        <v>50</v>
      </c>
    </row>
    <row r="120" spans="2:10" x14ac:dyDescent="0.45">
      <c r="B120" t="s">
        <v>80</v>
      </c>
      <c r="C120" t="s">
        <v>51</v>
      </c>
      <c r="D120">
        <v>0.41060682066247034</v>
      </c>
      <c r="E120" t="s">
        <v>50</v>
      </c>
      <c r="G120" t="s">
        <v>110</v>
      </c>
      <c r="H120" t="s">
        <v>51</v>
      </c>
      <c r="I120">
        <v>0.26537394846548173</v>
      </c>
      <c r="J120" t="s">
        <v>50</v>
      </c>
    </row>
    <row r="121" spans="2:10" x14ac:dyDescent="0.45">
      <c r="B121" t="s">
        <v>80</v>
      </c>
      <c r="C121" t="s">
        <v>52</v>
      </c>
      <c r="D121">
        <v>4.02610067633144E-2</v>
      </c>
      <c r="E121" t="s">
        <v>50</v>
      </c>
      <c r="G121" t="s">
        <v>110</v>
      </c>
      <c r="H121" t="s">
        <v>52</v>
      </c>
      <c r="I121">
        <v>0.24158273993863497</v>
      </c>
      <c r="J121" t="s">
        <v>50</v>
      </c>
    </row>
    <row r="122" spans="2:10" x14ac:dyDescent="0.45">
      <c r="B122" t="s">
        <v>80</v>
      </c>
      <c r="C122" t="s">
        <v>53</v>
      </c>
      <c r="D122">
        <v>0.53225737747032176</v>
      </c>
      <c r="E122" t="s">
        <v>50</v>
      </c>
      <c r="G122" t="s">
        <v>110</v>
      </c>
      <c r="H122" t="s">
        <v>53</v>
      </c>
      <c r="I122">
        <v>0.20288678018386233</v>
      </c>
      <c r="J122" t="s">
        <v>50</v>
      </c>
    </row>
    <row r="123" spans="2:10" x14ac:dyDescent="0.45">
      <c r="B123" t="s">
        <v>81</v>
      </c>
      <c r="C123" t="s">
        <v>49</v>
      </c>
      <c r="D123">
        <v>1.7499525780907497E-2</v>
      </c>
      <c r="E123" t="s">
        <v>50</v>
      </c>
    </row>
    <row r="124" spans="2:10" x14ac:dyDescent="0.45">
      <c r="B124" t="s">
        <v>81</v>
      </c>
      <c r="C124" t="s">
        <v>51</v>
      </c>
      <c r="D124">
        <v>0.42381441842993917</v>
      </c>
      <c r="E124" t="s">
        <v>50</v>
      </c>
    </row>
    <row r="125" spans="2:10" x14ac:dyDescent="0.45">
      <c r="B125" t="s">
        <v>81</v>
      </c>
      <c r="C125" t="s">
        <v>52</v>
      </c>
      <c r="D125">
        <v>3.6741770245745965E-2</v>
      </c>
      <c r="E125" t="s">
        <v>50</v>
      </c>
    </row>
    <row r="126" spans="2:10" x14ac:dyDescent="0.45">
      <c r="B126" t="s">
        <v>81</v>
      </c>
      <c r="C126" t="s">
        <v>53</v>
      </c>
      <c r="D126">
        <v>0.52194428554340944</v>
      </c>
      <c r="E126" t="s">
        <v>50</v>
      </c>
    </row>
    <row r="127" spans="2:10" x14ac:dyDescent="0.45">
      <c r="B127" t="s">
        <v>82</v>
      </c>
      <c r="C127" t="s">
        <v>49</v>
      </c>
      <c r="D127">
        <v>2.0083073589548844E-2</v>
      </c>
      <c r="E127" t="s">
        <v>50</v>
      </c>
    </row>
    <row r="128" spans="2:10" x14ac:dyDescent="0.45">
      <c r="B128" t="s">
        <v>82</v>
      </c>
      <c r="C128" t="s">
        <v>51</v>
      </c>
      <c r="D128">
        <v>0.41809653969222943</v>
      </c>
      <c r="E128" t="s">
        <v>50</v>
      </c>
    </row>
    <row r="129" spans="2:5" x14ac:dyDescent="0.45">
      <c r="B129" t="s">
        <v>82</v>
      </c>
      <c r="C129" t="s">
        <v>52</v>
      </c>
      <c r="D129">
        <v>4.2331545857997643E-2</v>
      </c>
      <c r="E129" t="s">
        <v>50</v>
      </c>
    </row>
    <row r="130" spans="2:5" x14ac:dyDescent="0.45">
      <c r="B130" t="s">
        <v>82</v>
      </c>
      <c r="C130" t="s">
        <v>53</v>
      </c>
      <c r="D130">
        <v>0.51948884086022518</v>
      </c>
      <c r="E130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7C5C-5F08-4877-8A68-E0ACF766623B}">
  <dimension ref="B9:AF85"/>
  <sheetViews>
    <sheetView workbookViewId="0"/>
  </sheetViews>
  <sheetFormatPr defaultRowHeight="14.25" x14ac:dyDescent="0.45"/>
  <sheetData>
    <row r="9" spans="2:32" x14ac:dyDescent="0.45">
      <c r="B9" t="str">
        <f>IF(A11="x","DeActivated","~TFM_DINS-TSL: attribute=FLO_EMIS; other_indexes=ACT")</f>
        <v>~TFM_DINS-TSL: attribute=FLO_EMIS; other_indexes=ACT</v>
      </c>
      <c r="I9" t="str">
        <f>IF(A11="x","DeActivated","~TFM_INS-TSL: attribute=FLO_SHAR; limtype=FX")</f>
        <v>~TFM_INS-TSL: attribute=FLO_SHAR; limtype=FX</v>
      </c>
      <c r="P9" t="str">
        <f>IF(A11="x","DeActivated","~TFM_INS-TSL: attribute=FLO_SHAR; limtype=FX")</f>
        <v>~TFM_INS-TSL: attribute=FLO_SHAR; limtype=FX</v>
      </c>
      <c r="W9" t="str">
        <f>IF(A11="x","DeActivated","~TFM_DINS-TSL: attribute=NCAP_PKCNT")</f>
        <v>~TFM_DINS-TSL: attribute=NCAP_PKCNT</v>
      </c>
      <c r="AC9" t="str">
        <f>IF(A11="x","DeActivated","~TFM_DINS-AT")</f>
        <v>~TFM_DINS-AT</v>
      </c>
    </row>
    <row r="10" spans="2:32" x14ac:dyDescent="0.45">
      <c r="B10" t="s">
        <v>47</v>
      </c>
      <c r="C10" t="s">
        <v>44</v>
      </c>
      <c r="D10" t="s">
        <v>49</v>
      </c>
      <c r="E10" t="s">
        <v>51</v>
      </c>
      <c r="F10" t="s">
        <v>52</v>
      </c>
      <c r="G10" t="s">
        <v>53</v>
      </c>
      <c r="I10" t="s">
        <v>47</v>
      </c>
      <c r="J10" t="s">
        <v>44</v>
      </c>
      <c r="K10" t="s">
        <v>49</v>
      </c>
      <c r="L10" t="s">
        <v>51</v>
      </c>
      <c r="M10" t="s">
        <v>52</v>
      </c>
      <c r="N10" t="s">
        <v>53</v>
      </c>
      <c r="P10" t="s">
        <v>47</v>
      </c>
      <c r="Q10" t="s">
        <v>44</v>
      </c>
      <c r="R10" t="s">
        <v>49</v>
      </c>
      <c r="S10" t="s">
        <v>51</v>
      </c>
      <c r="T10" t="s">
        <v>52</v>
      </c>
      <c r="U10" t="s">
        <v>53</v>
      </c>
      <c r="W10" t="s">
        <v>47</v>
      </c>
      <c r="X10" t="s">
        <v>49</v>
      </c>
      <c r="Y10" t="s">
        <v>51</v>
      </c>
      <c r="Z10" t="s">
        <v>52</v>
      </c>
      <c r="AA10" t="s">
        <v>53</v>
      </c>
      <c r="AC10" t="s">
        <v>47</v>
      </c>
      <c r="AD10" t="s">
        <v>44</v>
      </c>
      <c r="AE10" t="s">
        <v>208</v>
      </c>
      <c r="AF10" t="s">
        <v>209</v>
      </c>
    </row>
    <row r="11" spans="2:32" x14ac:dyDescent="0.45">
      <c r="B11" t="s">
        <v>128</v>
      </c>
      <c r="C11" t="s">
        <v>31</v>
      </c>
      <c r="D11">
        <v>0.92738005665468715</v>
      </c>
      <c r="E11">
        <v>0.37150092152569808</v>
      </c>
      <c r="F11">
        <v>0.863100411273926</v>
      </c>
      <c r="G11">
        <v>0.28632616046321741</v>
      </c>
      <c r="I11" t="s">
        <v>203</v>
      </c>
      <c r="J11" t="s">
        <v>204</v>
      </c>
      <c r="K11">
        <v>0.27786666363017309</v>
      </c>
      <c r="L11">
        <v>8.7535786304398219E-2</v>
      </c>
      <c r="M11">
        <v>0.1969522181297064</v>
      </c>
      <c r="N11">
        <v>6.5604857914274631E-2</v>
      </c>
      <c r="P11" t="s">
        <v>203</v>
      </c>
      <c r="Q11" t="s">
        <v>207</v>
      </c>
      <c r="R11">
        <v>4.5625073406348526E-2</v>
      </c>
      <c r="S11">
        <v>7.3962263139668569E-2</v>
      </c>
      <c r="T11">
        <v>2.9027265684875871E-2</v>
      </c>
      <c r="U11">
        <v>6.5830902610933828E-2</v>
      </c>
      <c r="W11" t="s">
        <v>128</v>
      </c>
      <c r="X11">
        <v>8.5755318673526888E-3</v>
      </c>
      <c r="Y11">
        <v>0.23000255116103072</v>
      </c>
      <c r="Z11">
        <v>2.3374573839447618E-2</v>
      </c>
      <c r="AA11">
        <v>0.32543748058779942</v>
      </c>
      <c r="AC11" t="s">
        <v>128</v>
      </c>
      <c r="AD11" t="s">
        <v>210</v>
      </c>
      <c r="AE11" t="s">
        <v>211</v>
      </c>
      <c r="AF11">
        <v>0.32543748058779942</v>
      </c>
    </row>
    <row r="12" spans="2:32" x14ac:dyDescent="0.45">
      <c r="B12" t="s">
        <v>129</v>
      </c>
      <c r="C12" t="s">
        <v>31</v>
      </c>
      <c r="D12">
        <v>0.92615572604741581</v>
      </c>
      <c r="E12">
        <v>0.36864209587041014</v>
      </c>
      <c r="F12">
        <v>0.86152062620805314</v>
      </c>
      <c r="G12">
        <v>0.28471739548295683</v>
      </c>
      <c r="I12" t="s">
        <v>205</v>
      </c>
      <c r="J12" t="s">
        <v>204</v>
      </c>
      <c r="K12">
        <v>4.939347709740958E-3</v>
      </c>
      <c r="L12">
        <v>3.555956700684774E-3</v>
      </c>
      <c r="M12">
        <v>1.7547833967428476E-3</v>
      </c>
      <c r="N12">
        <v>4.4220925446320364E-3</v>
      </c>
      <c r="P12" t="s">
        <v>205</v>
      </c>
      <c r="Q12" t="s">
        <v>207</v>
      </c>
      <c r="R12">
        <v>1.3747036145640792E-2</v>
      </c>
      <c r="S12">
        <v>1.2454174194568514E-2</v>
      </c>
      <c r="T12">
        <v>1.3683338739314942E-2</v>
      </c>
      <c r="U12">
        <v>1.1886104002649264E-2</v>
      </c>
      <c r="W12" t="s">
        <v>129</v>
      </c>
      <c r="X12">
        <v>1.055488907187088E-2</v>
      </c>
      <c r="Y12">
        <v>0.24025570709716873</v>
      </c>
      <c r="Z12">
        <v>2.5714987917569505E-2</v>
      </c>
      <c r="AA12">
        <v>0.33117641337884207</v>
      </c>
      <c r="AC12" t="s">
        <v>129</v>
      </c>
      <c r="AD12" t="s">
        <v>210</v>
      </c>
      <c r="AE12" t="s">
        <v>211</v>
      </c>
      <c r="AF12">
        <v>0.33117641337884207</v>
      </c>
    </row>
    <row r="13" spans="2:32" x14ac:dyDescent="0.45">
      <c r="B13" t="s">
        <v>130</v>
      </c>
      <c r="C13" t="s">
        <v>31</v>
      </c>
      <c r="D13">
        <v>0.92824820139361297</v>
      </c>
      <c r="E13">
        <v>0.37118948441421984</v>
      </c>
      <c r="F13">
        <v>0.86135270550800858</v>
      </c>
      <c r="G13">
        <v>0.29413524887228443</v>
      </c>
      <c r="I13" t="s">
        <v>206</v>
      </c>
      <c r="J13" t="s">
        <v>204</v>
      </c>
      <c r="K13">
        <v>3.3006422908777931E-3</v>
      </c>
      <c r="L13">
        <v>2.5953671259156012E-3</v>
      </c>
      <c r="M13">
        <v>2.7268213543980902E-3</v>
      </c>
      <c r="N13">
        <v>3.0061070267758017E-3</v>
      </c>
      <c r="P13" t="s">
        <v>206</v>
      </c>
      <c r="Q13" t="s">
        <v>207</v>
      </c>
      <c r="R13">
        <v>7.1875855541942485E-3</v>
      </c>
      <c r="S13">
        <v>1.0325867693192851E-2</v>
      </c>
      <c r="T13">
        <v>9.923722437796904E-3</v>
      </c>
      <c r="U13">
        <v>9.3856860299995955E-3</v>
      </c>
      <c r="W13" t="s">
        <v>130</v>
      </c>
      <c r="X13">
        <v>9.6133843326917535E-3</v>
      </c>
      <c r="Y13">
        <v>0.22420765827757236</v>
      </c>
      <c r="Z13">
        <v>2.4123293567596495E-2</v>
      </c>
      <c r="AA13">
        <v>0.30932235424740695</v>
      </c>
      <c r="AC13" t="s">
        <v>130</v>
      </c>
      <c r="AD13" t="s">
        <v>210</v>
      </c>
      <c r="AE13" t="s">
        <v>211</v>
      </c>
      <c r="AF13">
        <v>0.30932235424740695</v>
      </c>
    </row>
    <row r="14" spans="2:32" x14ac:dyDescent="0.45">
      <c r="B14" t="s">
        <v>131</v>
      </c>
      <c r="C14" t="s">
        <v>31</v>
      </c>
      <c r="D14">
        <v>0.92441348484285923</v>
      </c>
      <c r="E14">
        <v>0.37109066081848707</v>
      </c>
      <c r="F14">
        <v>0.85985653471103163</v>
      </c>
      <c r="G14">
        <v>0.29012558516436621</v>
      </c>
      <c r="W14" t="s">
        <v>131</v>
      </c>
      <c r="X14">
        <v>1.2141742509901675E-2</v>
      </c>
      <c r="Y14">
        <v>0.2383770917264865</v>
      </c>
      <c r="Z14">
        <v>2.7417688345754827E-2</v>
      </c>
      <c r="AA14">
        <v>0.31908613662635088</v>
      </c>
      <c r="AC14" t="s">
        <v>131</v>
      </c>
      <c r="AD14" t="s">
        <v>210</v>
      </c>
      <c r="AE14" t="s">
        <v>211</v>
      </c>
      <c r="AF14">
        <v>0.31908613662635088</v>
      </c>
    </row>
    <row r="15" spans="2:32" x14ac:dyDescent="0.45">
      <c r="B15" t="s">
        <v>132</v>
      </c>
      <c r="C15" t="s">
        <v>31</v>
      </c>
      <c r="D15">
        <v>0.92339833179677511</v>
      </c>
      <c r="E15">
        <v>0.34690489310377282</v>
      </c>
      <c r="F15">
        <v>0.86474079306982654</v>
      </c>
      <c r="G15">
        <v>0.26461712493565676</v>
      </c>
      <c r="W15" t="s">
        <v>132</v>
      </c>
      <c r="X15">
        <v>1.4556182739076537E-2</v>
      </c>
      <c r="Y15">
        <v>0.28390248302364485</v>
      </c>
      <c r="Z15">
        <v>3.2617899826084283E-2</v>
      </c>
      <c r="AA15">
        <v>0.36963393590470678</v>
      </c>
      <c r="AC15" t="s">
        <v>132</v>
      </c>
      <c r="AD15" t="s">
        <v>210</v>
      </c>
      <c r="AE15" t="s">
        <v>211</v>
      </c>
      <c r="AF15">
        <v>0.36963393590470678</v>
      </c>
    </row>
    <row r="16" spans="2:32" x14ac:dyDescent="0.45">
      <c r="B16" t="s">
        <v>133</v>
      </c>
      <c r="C16" t="s">
        <v>31</v>
      </c>
      <c r="D16">
        <v>0.92194166504242958</v>
      </c>
      <c r="E16">
        <v>0.35590640935750789</v>
      </c>
      <c r="F16">
        <v>0.86096968633283488</v>
      </c>
      <c r="G16">
        <v>0.27873416607408835</v>
      </c>
      <c r="W16" t="s">
        <v>133</v>
      </c>
      <c r="X16">
        <v>1.1998401664740038E-2</v>
      </c>
      <c r="Y16">
        <v>0.2602877990280219</v>
      </c>
      <c r="Z16">
        <v>2.8398906957672162E-2</v>
      </c>
      <c r="AA16">
        <v>0.34375118782059161</v>
      </c>
      <c r="AC16" t="s">
        <v>133</v>
      </c>
      <c r="AD16" t="s">
        <v>210</v>
      </c>
      <c r="AE16" t="s">
        <v>211</v>
      </c>
      <c r="AF16">
        <v>0.34375118782059161</v>
      </c>
    </row>
    <row r="17" spans="2:32" x14ac:dyDescent="0.45">
      <c r="B17" t="s">
        <v>134</v>
      </c>
      <c r="C17" t="s">
        <v>31</v>
      </c>
      <c r="D17">
        <v>0.91992679860639559</v>
      </c>
      <c r="E17">
        <v>0.36958141561482494</v>
      </c>
      <c r="F17">
        <v>0.85452822243578153</v>
      </c>
      <c r="G17">
        <v>0.27806034861183254</v>
      </c>
      <c r="W17" t="s">
        <v>134</v>
      </c>
      <c r="X17">
        <v>1.465346190751033E-2</v>
      </c>
      <c r="Y17">
        <v>0.25958212020172616</v>
      </c>
      <c r="Z17">
        <v>3.2029046933295724E-2</v>
      </c>
      <c r="AA17">
        <v>0.34161962917443711</v>
      </c>
      <c r="AC17" t="s">
        <v>134</v>
      </c>
      <c r="AD17" t="s">
        <v>210</v>
      </c>
      <c r="AE17" t="s">
        <v>211</v>
      </c>
      <c r="AF17">
        <v>0.34161962917443711</v>
      </c>
    </row>
    <row r="18" spans="2:32" x14ac:dyDescent="0.45">
      <c r="B18" t="s">
        <v>135</v>
      </c>
      <c r="C18" t="s">
        <v>31</v>
      </c>
      <c r="D18">
        <v>0.94262671371526119</v>
      </c>
      <c r="E18">
        <v>0.35307924142386238</v>
      </c>
      <c r="F18">
        <v>0.88587302053161021</v>
      </c>
      <c r="G18">
        <v>0.25592050994353255</v>
      </c>
      <c r="W18" t="s">
        <v>135</v>
      </c>
      <c r="X18">
        <v>1.0766290554999065E-2</v>
      </c>
      <c r="Y18">
        <v>0.29559249119939801</v>
      </c>
      <c r="Z18">
        <v>2.2622036516184257E-2</v>
      </c>
      <c r="AA18">
        <v>0.38104143134540502</v>
      </c>
      <c r="AC18" t="s">
        <v>135</v>
      </c>
      <c r="AD18" t="s">
        <v>210</v>
      </c>
      <c r="AE18" t="s">
        <v>211</v>
      </c>
      <c r="AF18">
        <v>0.38104143134540502</v>
      </c>
    </row>
    <row r="19" spans="2:32" x14ac:dyDescent="0.45">
      <c r="B19" t="s">
        <v>136</v>
      </c>
      <c r="C19" t="s">
        <v>31</v>
      </c>
      <c r="D19">
        <v>0.91789720966999289</v>
      </c>
      <c r="E19">
        <v>0.35842671045561314</v>
      </c>
      <c r="F19">
        <v>0.85863326592735079</v>
      </c>
      <c r="G19">
        <v>0.2674349221428528</v>
      </c>
      <c r="W19" t="s">
        <v>136</v>
      </c>
      <c r="X19">
        <v>1.6879900733785008E-2</v>
      </c>
      <c r="Y19">
        <v>0.2719477208557185</v>
      </c>
      <c r="Z19">
        <v>3.4169037490020072E-2</v>
      </c>
      <c r="AA19">
        <v>0.3554027652510614</v>
      </c>
      <c r="AC19" t="s">
        <v>136</v>
      </c>
      <c r="AD19" t="s">
        <v>210</v>
      </c>
      <c r="AE19" t="s">
        <v>211</v>
      </c>
      <c r="AF19">
        <v>0.3554027652510614</v>
      </c>
    </row>
    <row r="20" spans="2:32" x14ac:dyDescent="0.45">
      <c r="B20" t="s">
        <v>137</v>
      </c>
      <c r="C20" t="s">
        <v>31</v>
      </c>
      <c r="D20">
        <v>0.93580445927224409</v>
      </c>
      <c r="E20">
        <v>0.37169385468917487</v>
      </c>
      <c r="F20">
        <v>0.8829536072737294</v>
      </c>
      <c r="G20">
        <v>0.28800810755559847</v>
      </c>
      <c r="W20" t="s">
        <v>137</v>
      </c>
      <c r="X20">
        <v>6.3702732717535199E-3</v>
      </c>
      <c r="Y20">
        <v>0.23124600472089135</v>
      </c>
      <c r="Z20">
        <v>2.0563098434087036E-2</v>
      </c>
      <c r="AA20">
        <v>0.32796306128367098</v>
      </c>
      <c r="AC20" t="s">
        <v>137</v>
      </c>
      <c r="AD20" t="s">
        <v>210</v>
      </c>
      <c r="AE20" t="s">
        <v>211</v>
      </c>
      <c r="AF20">
        <v>0.32796306128367098</v>
      </c>
    </row>
    <row r="21" spans="2:32" x14ac:dyDescent="0.45">
      <c r="B21" t="s">
        <v>138</v>
      </c>
      <c r="C21" t="s">
        <v>31</v>
      </c>
      <c r="D21">
        <v>0.93760812792223125</v>
      </c>
      <c r="E21">
        <v>0.34895433012242921</v>
      </c>
      <c r="F21">
        <v>0.88694825483638096</v>
      </c>
      <c r="G21">
        <v>0.27763777383449095</v>
      </c>
      <c r="W21" t="s">
        <v>138</v>
      </c>
      <c r="X21">
        <v>6.41304412197674E-3</v>
      </c>
      <c r="Y21">
        <v>0.24887750571309528</v>
      </c>
      <c r="Z21">
        <v>1.9951017926567359E-2</v>
      </c>
      <c r="AA21">
        <v>0.34312044142349368</v>
      </c>
      <c r="AC21" t="s">
        <v>138</v>
      </c>
      <c r="AD21" t="s">
        <v>210</v>
      </c>
      <c r="AE21" t="s">
        <v>211</v>
      </c>
      <c r="AF21">
        <v>0.34312044142349368</v>
      </c>
    </row>
    <row r="22" spans="2:32" x14ac:dyDescent="0.45">
      <c r="B22" t="s">
        <v>139</v>
      </c>
      <c r="C22" t="s">
        <v>31</v>
      </c>
      <c r="D22">
        <v>0.93113559781742761</v>
      </c>
      <c r="E22">
        <v>0.38055937216531155</v>
      </c>
      <c r="F22">
        <v>0.86328813881543864</v>
      </c>
      <c r="G22">
        <v>0.28997463543538216</v>
      </c>
      <c r="W22" t="s">
        <v>139</v>
      </c>
      <c r="X22">
        <v>7.4302806640837013E-3</v>
      </c>
      <c r="Y22">
        <v>0.22239660045504039</v>
      </c>
      <c r="Z22">
        <v>2.2035233210765972E-2</v>
      </c>
      <c r="AA22">
        <v>0.31421608232458409</v>
      </c>
      <c r="AC22" t="s">
        <v>139</v>
      </c>
      <c r="AD22" t="s">
        <v>210</v>
      </c>
      <c r="AE22" t="s">
        <v>211</v>
      </c>
      <c r="AF22">
        <v>0.31421608232458409</v>
      </c>
    </row>
    <row r="23" spans="2:32" x14ac:dyDescent="0.45">
      <c r="B23" t="s">
        <v>140</v>
      </c>
      <c r="C23" t="s">
        <v>31</v>
      </c>
      <c r="D23">
        <v>0.93324601568321552</v>
      </c>
      <c r="E23">
        <v>0.37175395502859537</v>
      </c>
      <c r="F23">
        <v>0.87193437532413243</v>
      </c>
      <c r="G23">
        <v>0.28631103830551619</v>
      </c>
      <c r="W23" t="s">
        <v>140</v>
      </c>
      <c r="X23">
        <v>7.5569153300785209E-3</v>
      </c>
      <c r="Y23">
        <v>0.2358068763245251</v>
      </c>
      <c r="Z23">
        <v>2.1909867845613634E-2</v>
      </c>
      <c r="AA23">
        <v>0.33753836775221902</v>
      </c>
      <c r="AC23" t="s">
        <v>140</v>
      </c>
      <c r="AD23" t="s">
        <v>210</v>
      </c>
      <c r="AE23" t="s">
        <v>211</v>
      </c>
      <c r="AF23">
        <v>0.33753836775221902</v>
      </c>
    </row>
    <row r="24" spans="2:32" x14ac:dyDescent="0.45">
      <c r="B24" t="s">
        <v>141</v>
      </c>
      <c r="C24" t="s">
        <v>31</v>
      </c>
      <c r="D24">
        <v>0.93292235673410251</v>
      </c>
      <c r="E24">
        <v>0.37988988747450392</v>
      </c>
      <c r="F24">
        <v>0.86895921800757236</v>
      </c>
      <c r="G24">
        <v>0.28797679942970733</v>
      </c>
      <c r="W24" t="s">
        <v>141</v>
      </c>
      <c r="X24">
        <v>7.2471754949030714E-3</v>
      </c>
      <c r="Y24">
        <v>0.22948599464272706</v>
      </c>
      <c r="Z24">
        <v>2.1767766683493374E-2</v>
      </c>
      <c r="AA24">
        <v>0.32964153898290027</v>
      </c>
      <c r="AC24" t="s">
        <v>141</v>
      </c>
      <c r="AD24" t="s">
        <v>210</v>
      </c>
      <c r="AE24" t="s">
        <v>211</v>
      </c>
      <c r="AF24">
        <v>0.32964153898290027</v>
      </c>
    </row>
    <row r="25" spans="2:32" x14ac:dyDescent="0.45">
      <c r="B25" t="s">
        <v>142</v>
      </c>
      <c r="C25" t="s">
        <v>31</v>
      </c>
      <c r="D25">
        <v>0.93784096437017483</v>
      </c>
      <c r="E25">
        <v>0.29161208636099006</v>
      </c>
      <c r="F25">
        <v>0.88712988036249996</v>
      </c>
      <c r="G25">
        <v>0.21807294859420276</v>
      </c>
      <c r="W25" t="s">
        <v>142</v>
      </c>
      <c r="X25">
        <v>1.1904695869742975E-2</v>
      </c>
      <c r="Y25">
        <v>0.34735527166640179</v>
      </c>
      <c r="Z25">
        <v>2.4981292391887091E-2</v>
      </c>
      <c r="AA25">
        <v>0.43269543014944328</v>
      </c>
      <c r="AC25" t="s">
        <v>142</v>
      </c>
      <c r="AD25" t="s">
        <v>210</v>
      </c>
      <c r="AE25" t="s">
        <v>211</v>
      </c>
      <c r="AF25">
        <v>0.43269543014944328</v>
      </c>
    </row>
    <row r="26" spans="2:32" x14ac:dyDescent="0.45">
      <c r="B26" t="s">
        <v>143</v>
      </c>
      <c r="C26" t="s">
        <v>31</v>
      </c>
      <c r="D26">
        <v>0.9339717749996479</v>
      </c>
      <c r="E26">
        <v>0.27565842557756959</v>
      </c>
      <c r="F26">
        <v>0.88810541331643811</v>
      </c>
      <c r="G26">
        <v>0.20912255334613097</v>
      </c>
      <c r="W26" t="s">
        <v>143</v>
      </c>
      <c r="X26">
        <v>1.1858927888322346E-2</v>
      </c>
      <c r="Y26">
        <v>0.34787231126962814</v>
      </c>
      <c r="Z26">
        <v>2.4419343147973345E-2</v>
      </c>
      <c r="AA26">
        <v>0.42716502913178894</v>
      </c>
      <c r="AC26" t="s">
        <v>143</v>
      </c>
      <c r="AD26" t="s">
        <v>210</v>
      </c>
      <c r="AE26" t="s">
        <v>211</v>
      </c>
      <c r="AF26">
        <v>0.42716502913178894</v>
      </c>
    </row>
    <row r="27" spans="2:32" x14ac:dyDescent="0.45">
      <c r="B27" t="s">
        <v>144</v>
      </c>
      <c r="C27" t="s">
        <v>31</v>
      </c>
      <c r="D27">
        <v>0.94802795482946012</v>
      </c>
      <c r="E27">
        <v>0.26767668318980803</v>
      </c>
      <c r="F27">
        <v>0.89356626774053682</v>
      </c>
      <c r="G27">
        <v>0.18218832639669616</v>
      </c>
      <c r="W27" t="s">
        <v>144</v>
      </c>
      <c r="X27">
        <v>8.5068224668614859E-3</v>
      </c>
      <c r="Y27">
        <v>0.35647025477910232</v>
      </c>
      <c r="Z27">
        <v>2.0899124991368253E-2</v>
      </c>
      <c r="AA27">
        <v>0.45650149801515894</v>
      </c>
      <c r="AC27" t="s">
        <v>144</v>
      </c>
      <c r="AD27" t="s">
        <v>210</v>
      </c>
      <c r="AE27" t="s">
        <v>211</v>
      </c>
      <c r="AF27">
        <v>0.45650149801515894</v>
      </c>
    </row>
    <row r="28" spans="2:32" x14ac:dyDescent="0.45">
      <c r="B28" t="s">
        <v>145</v>
      </c>
      <c r="C28" t="s">
        <v>31</v>
      </c>
      <c r="D28">
        <v>0.93793723252499539</v>
      </c>
      <c r="E28">
        <v>0.27471795729253379</v>
      </c>
      <c r="F28">
        <v>0.88598354618913122</v>
      </c>
      <c r="G28">
        <v>0.20019724086891572</v>
      </c>
      <c r="W28" t="s">
        <v>145</v>
      </c>
      <c r="X28">
        <v>1.0718327799350773E-2</v>
      </c>
      <c r="Y28">
        <v>0.3638887145022705</v>
      </c>
      <c r="Z28">
        <v>2.2740037985685874E-2</v>
      </c>
      <c r="AA28">
        <v>0.43114499615895785</v>
      </c>
      <c r="AC28" t="s">
        <v>145</v>
      </c>
      <c r="AD28" t="s">
        <v>210</v>
      </c>
      <c r="AE28" t="s">
        <v>211</v>
      </c>
      <c r="AF28">
        <v>0.43114499615895785</v>
      </c>
    </row>
    <row r="29" spans="2:32" x14ac:dyDescent="0.45">
      <c r="B29" t="s">
        <v>146</v>
      </c>
      <c r="C29" t="s">
        <v>31</v>
      </c>
      <c r="D29">
        <v>0.93867924610272102</v>
      </c>
      <c r="E29">
        <v>0.33554496263633971</v>
      </c>
      <c r="F29">
        <v>0.88789685144166586</v>
      </c>
      <c r="G29">
        <v>0.26534473688862087</v>
      </c>
      <c r="W29" t="s">
        <v>146</v>
      </c>
      <c r="X29">
        <v>6.842681233588211E-3</v>
      </c>
      <c r="Y29">
        <v>0.27396740327912483</v>
      </c>
      <c r="Z29">
        <v>2.0281795775634014E-2</v>
      </c>
      <c r="AA29">
        <v>0.36095407804302682</v>
      </c>
      <c r="AC29" t="s">
        <v>146</v>
      </c>
      <c r="AD29" t="s">
        <v>210</v>
      </c>
      <c r="AE29" t="s">
        <v>211</v>
      </c>
      <c r="AF29">
        <v>0.36095407804302682</v>
      </c>
    </row>
    <row r="30" spans="2:32" x14ac:dyDescent="0.45">
      <c r="B30" t="s">
        <v>147</v>
      </c>
      <c r="C30" t="s">
        <v>31</v>
      </c>
      <c r="D30">
        <v>0.93854548677162408</v>
      </c>
      <c r="E30">
        <v>0.30585762044974779</v>
      </c>
      <c r="F30">
        <v>0.88731474211672645</v>
      </c>
      <c r="G30">
        <v>0.24842144567701682</v>
      </c>
      <c r="W30" t="s">
        <v>147</v>
      </c>
      <c r="X30">
        <v>7.8178354697249E-3</v>
      </c>
      <c r="Y30">
        <v>0.31110808422165831</v>
      </c>
      <c r="Z30">
        <v>2.0588253792638459E-2</v>
      </c>
      <c r="AA30">
        <v>0.38163268005382128</v>
      </c>
      <c r="AC30" t="s">
        <v>147</v>
      </c>
      <c r="AD30" t="s">
        <v>210</v>
      </c>
      <c r="AE30" t="s">
        <v>211</v>
      </c>
      <c r="AF30">
        <v>0.38163268005382128</v>
      </c>
    </row>
    <row r="31" spans="2:32" x14ac:dyDescent="0.45">
      <c r="B31" t="s">
        <v>148</v>
      </c>
      <c r="C31" t="s">
        <v>31</v>
      </c>
      <c r="D31">
        <v>0.93294089479664843</v>
      </c>
      <c r="E31">
        <v>0.32382457285364397</v>
      </c>
      <c r="F31">
        <v>0.88429289786153342</v>
      </c>
      <c r="G31">
        <v>0.2604450948451843</v>
      </c>
      <c r="W31" t="s">
        <v>148</v>
      </c>
      <c r="X31">
        <v>1.1116769688715182E-2</v>
      </c>
      <c r="Y31">
        <v>0.29495663379892312</v>
      </c>
      <c r="Z31">
        <v>2.3787783403514187E-2</v>
      </c>
      <c r="AA31">
        <v>0.38145477548577839</v>
      </c>
      <c r="AC31" t="s">
        <v>148</v>
      </c>
      <c r="AD31" t="s">
        <v>210</v>
      </c>
      <c r="AE31" t="s">
        <v>211</v>
      </c>
      <c r="AF31">
        <v>0.38145477548577839</v>
      </c>
    </row>
    <row r="32" spans="2:32" x14ac:dyDescent="0.45">
      <c r="B32" t="s">
        <v>149</v>
      </c>
      <c r="C32" t="s">
        <v>31</v>
      </c>
      <c r="D32">
        <v>0.93348283697121148</v>
      </c>
      <c r="E32">
        <v>0.36070930369918619</v>
      </c>
      <c r="F32">
        <v>0.87456645607496741</v>
      </c>
      <c r="G32">
        <v>0.28349766740893878</v>
      </c>
      <c r="W32" t="s">
        <v>149</v>
      </c>
      <c r="X32">
        <v>8.6967127931490782E-3</v>
      </c>
      <c r="Y32">
        <v>0.25186102519707737</v>
      </c>
      <c r="Z32">
        <v>2.285239351766551E-2</v>
      </c>
      <c r="AA32">
        <v>0.3487920751112662</v>
      </c>
      <c r="AC32" t="s">
        <v>149</v>
      </c>
      <c r="AD32" t="s">
        <v>210</v>
      </c>
      <c r="AE32" t="s">
        <v>211</v>
      </c>
      <c r="AF32">
        <v>0.3487920751112662</v>
      </c>
    </row>
    <row r="33" spans="2:32" x14ac:dyDescent="0.45">
      <c r="B33" t="s">
        <v>150</v>
      </c>
      <c r="C33" t="s">
        <v>31</v>
      </c>
      <c r="D33">
        <v>0.93609126216107574</v>
      </c>
      <c r="E33">
        <v>0.34521168227709753</v>
      </c>
      <c r="F33">
        <v>0.8871947046436256</v>
      </c>
      <c r="G33">
        <v>0.27405571370399012</v>
      </c>
      <c r="W33" t="s">
        <v>150</v>
      </c>
      <c r="X33">
        <v>7.6064590257262157E-3</v>
      </c>
      <c r="Y33">
        <v>0.25799176550167796</v>
      </c>
      <c r="Z33">
        <v>2.1522211450073062E-2</v>
      </c>
      <c r="AA33">
        <v>0.35634915802653722</v>
      </c>
      <c r="AC33" t="s">
        <v>150</v>
      </c>
      <c r="AD33" t="s">
        <v>210</v>
      </c>
      <c r="AE33" t="s">
        <v>211</v>
      </c>
      <c r="AF33">
        <v>0.35634915802653722</v>
      </c>
    </row>
    <row r="34" spans="2:32" x14ac:dyDescent="0.45">
      <c r="B34" t="s">
        <v>151</v>
      </c>
      <c r="C34" t="s">
        <v>31</v>
      </c>
      <c r="D34">
        <v>0.93141880166315005</v>
      </c>
      <c r="E34">
        <v>0.32215399230054237</v>
      </c>
      <c r="F34">
        <v>0.88108017459587895</v>
      </c>
      <c r="G34">
        <v>0.26604953607462084</v>
      </c>
      <c r="W34" t="s">
        <v>151</v>
      </c>
      <c r="X34">
        <v>9.3102022014271684E-3</v>
      </c>
      <c r="Y34">
        <v>0.28080575202061536</v>
      </c>
      <c r="Z34">
        <v>2.2985954742623931E-2</v>
      </c>
      <c r="AA34">
        <v>0.36918785093043416</v>
      </c>
      <c r="AC34" t="s">
        <v>151</v>
      </c>
      <c r="AD34" t="s">
        <v>210</v>
      </c>
      <c r="AE34" t="s">
        <v>211</v>
      </c>
      <c r="AF34">
        <v>0.36918785093043416</v>
      </c>
    </row>
    <row r="35" spans="2:32" x14ac:dyDescent="0.45">
      <c r="B35" t="s">
        <v>152</v>
      </c>
      <c r="C35" t="s">
        <v>31</v>
      </c>
      <c r="D35">
        <v>0.92997816848832504</v>
      </c>
      <c r="E35">
        <v>0.32070704698174574</v>
      </c>
      <c r="F35">
        <v>0.88272672667526642</v>
      </c>
      <c r="G35">
        <v>0.26142267128560676</v>
      </c>
      <c r="W35" t="s">
        <v>152</v>
      </c>
      <c r="X35">
        <v>1.4481015225349702E-2</v>
      </c>
      <c r="Y35">
        <v>0.30038634651574952</v>
      </c>
      <c r="Z35">
        <v>2.9085012602641125E-2</v>
      </c>
      <c r="AA35">
        <v>0.37485119366585173</v>
      </c>
      <c r="AC35" t="s">
        <v>152</v>
      </c>
      <c r="AD35" t="s">
        <v>210</v>
      </c>
      <c r="AE35" t="s">
        <v>211</v>
      </c>
      <c r="AF35">
        <v>0.37485119366585173</v>
      </c>
    </row>
    <row r="36" spans="2:32" x14ac:dyDescent="0.45">
      <c r="B36" t="s">
        <v>153</v>
      </c>
      <c r="C36" t="s">
        <v>31</v>
      </c>
      <c r="D36">
        <v>0.92963004243662373</v>
      </c>
      <c r="E36">
        <v>0.30608134605403237</v>
      </c>
      <c r="F36">
        <v>0.87942320716961542</v>
      </c>
      <c r="G36">
        <v>0.2537559070785102</v>
      </c>
      <c r="W36" t="s">
        <v>153</v>
      </c>
      <c r="X36">
        <v>1.1631192374483745E-2</v>
      </c>
      <c r="Y36">
        <v>0.31144382788191022</v>
      </c>
      <c r="Z36">
        <v>2.3349079827784242E-2</v>
      </c>
      <c r="AA36">
        <v>0.37941471976486013</v>
      </c>
      <c r="AC36" t="s">
        <v>153</v>
      </c>
      <c r="AD36" t="s">
        <v>210</v>
      </c>
      <c r="AE36" t="s">
        <v>211</v>
      </c>
      <c r="AF36">
        <v>0.37941471976486013</v>
      </c>
    </row>
    <row r="37" spans="2:32" x14ac:dyDescent="0.45">
      <c r="B37" t="s">
        <v>154</v>
      </c>
      <c r="C37" t="s">
        <v>31</v>
      </c>
      <c r="D37">
        <v>0.93135988735553032</v>
      </c>
      <c r="E37">
        <v>0.33963744125530826</v>
      </c>
      <c r="F37">
        <v>0.87552810212418253</v>
      </c>
      <c r="G37">
        <v>0.27643918092997055</v>
      </c>
      <c r="W37" t="s">
        <v>154</v>
      </c>
      <c r="X37">
        <v>1.0831713077405207E-2</v>
      </c>
      <c r="Y37">
        <v>0.27629227176927457</v>
      </c>
      <c r="Z37">
        <v>2.4863264617690794E-2</v>
      </c>
      <c r="AA37">
        <v>0.36145190105454666</v>
      </c>
      <c r="AC37" t="s">
        <v>154</v>
      </c>
      <c r="AD37" t="s">
        <v>210</v>
      </c>
      <c r="AE37" t="s">
        <v>211</v>
      </c>
      <c r="AF37">
        <v>0.36145190105454666</v>
      </c>
    </row>
    <row r="38" spans="2:32" x14ac:dyDescent="0.45">
      <c r="B38" t="s">
        <v>155</v>
      </c>
      <c r="C38" t="s">
        <v>31</v>
      </c>
      <c r="D38">
        <v>0.92850437273328601</v>
      </c>
      <c r="E38">
        <v>0.33959845737756694</v>
      </c>
      <c r="F38">
        <v>0.86674361989683824</v>
      </c>
      <c r="G38">
        <v>0.27774703902204706</v>
      </c>
      <c r="W38" t="s">
        <v>155</v>
      </c>
      <c r="X38">
        <v>1.1296040486674342E-2</v>
      </c>
      <c r="Y38">
        <v>0.2748614867174175</v>
      </c>
      <c r="Z38">
        <v>2.680357116020753E-2</v>
      </c>
      <c r="AA38">
        <v>0.35434778311531628</v>
      </c>
      <c r="AC38" t="s">
        <v>155</v>
      </c>
      <c r="AD38" t="s">
        <v>210</v>
      </c>
      <c r="AE38" t="s">
        <v>211</v>
      </c>
      <c r="AF38">
        <v>0.35434778311531628</v>
      </c>
    </row>
    <row r="39" spans="2:32" x14ac:dyDescent="0.45">
      <c r="B39" t="s">
        <v>156</v>
      </c>
      <c r="C39" t="s">
        <v>31</v>
      </c>
      <c r="D39">
        <v>0.93050289502090544</v>
      </c>
      <c r="E39">
        <v>0.31687356520740362</v>
      </c>
      <c r="F39">
        <v>0.87630112441732577</v>
      </c>
      <c r="G39">
        <v>0.26525840228930614</v>
      </c>
      <c r="W39" t="s">
        <v>156</v>
      </c>
      <c r="X39">
        <v>1.2556789609686441E-2</v>
      </c>
      <c r="Y39">
        <v>0.3041081542668172</v>
      </c>
      <c r="Z39">
        <v>2.622000155495793E-2</v>
      </c>
      <c r="AA39">
        <v>0.3724747035054502</v>
      </c>
      <c r="AC39" t="s">
        <v>156</v>
      </c>
      <c r="AD39" t="s">
        <v>210</v>
      </c>
      <c r="AE39" t="s">
        <v>211</v>
      </c>
      <c r="AF39">
        <v>0.3724747035054502</v>
      </c>
    </row>
    <row r="40" spans="2:32" x14ac:dyDescent="0.45">
      <c r="B40" t="s">
        <v>157</v>
      </c>
      <c r="C40" t="s">
        <v>31</v>
      </c>
      <c r="D40">
        <v>0.92447725472098052</v>
      </c>
      <c r="E40">
        <v>0.31931666876432679</v>
      </c>
      <c r="F40">
        <v>0.86737812821380034</v>
      </c>
      <c r="G40">
        <v>0.26119695327489384</v>
      </c>
      <c r="W40" t="s">
        <v>157</v>
      </c>
      <c r="X40">
        <v>1.4569624972353389E-2</v>
      </c>
      <c r="Y40">
        <v>0.30331561343899299</v>
      </c>
      <c r="Z40">
        <v>3.0542361974290888E-2</v>
      </c>
      <c r="AA40">
        <v>0.37481305956513195</v>
      </c>
      <c r="AC40" t="s">
        <v>157</v>
      </c>
      <c r="AD40" t="s">
        <v>210</v>
      </c>
      <c r="AE40" t="s">
        <v>211</v>
      </c>
      <c r="AF40">
        <v>0.37481305956513195</v>
      </c>
    </row>
    <row r="41" spans="2:32" x14ac:dyDescent="0.45">
      <c r="B41" t="s">
        <v>158</v>
      </c>
      <c r="C41" t="s">
        <v>31</v>
      </c>
      <c r="D41">
        <v>0.29578786762558451</v>
      </c>
      <c r="E41">
        <v>0.32940263974264938</v>
      </c>
      <c r="F41">
        <v>0.34773502872417322</v>
      </c>
      <c r="G41">
        <v>0.37887744301192305</v>
      </c>
      <c r="W41" t="s">
        <v>158</v>
      </c>
      <c r="X41">
        <v>0.53659323806881476</v>
      </c>
      <c r="Y41">
        <v>0.5108028563495679</v>
      </c>
      <c r="Z41">
        <v>0.48603956998841258</v>
      </c>
      <c r="AA41">
        <v>0.44343910475252762</v>
      </c>
      <c r="AC41" t="s">
        <v>175</v>
      </c>
      <c r="AD41" t="s">
        <v>210</v>
      </c>
      <c r="AE41" t="s">
        <v>211</v>
      </c>
      <c r="AF41">
        <v>0.3129340164325094</v>
      </c>
    </row>
    <row r="42" spans="2:32" x14ac:dyDescent="0.45">
      <c r="B42" t="s">
        <v>159</v>
      </c>
      <c r="C42" t="s">
        <v>31</v>
      </c>
      <c r="D42">
        <v>0.49536111931340138</v>
      </c>
      <c r="E42">
        <v>0.49077543809554464</v>
      </c>
      <c r="F42">
        <v>0.559792722276509</v>
      </c>
      <c r="G42">
        <v>0.57263818833818381</v>
      </c>
      <c r="W42" t="s">
        <v>159</v>
      </c>
      <c r="X42">
        <v>0.24153479716670942</v>
      </c>
      <c r="Y42">
        <v>0.24409101400488231</v>
      </c>
      <c r="Z42">
        <v>0.18539782833827806</v>
      </c>
      <c r="AA42">
        <v>0.16975975069710272</v>
      </c>
      <c r="AC42" t="s">
        <v>176</v>
      </c>
      <c r="AD42" t="s">
        <v>210</v>
      </c>
      <c r="AE42" t="s">
        <v>211</v>
      </c>
      <c r="AF42">
        <v>0.25664409820641632</v>
      </c>
    </row>
    <row r="43" spans="2:32" x14ac:dyDescent="0.45">
      <c r="B43" t="s">
        <v>160</v>
      </c>
      <c r="C43" t="s">
        <v>31</v>
      </c>
      <c r="D43">
        <v>0.47539358965923462</v>
      </c>
      <c r="E43">
        <v>0.4737705899185129</v>
      </c>
      <c r="F43">
        <v>0.53625837402843146</v>
      </c>
      <c r="G43">
        <v>0.54725249315263647</v>
      </c>
      <c r="W43" t="s">
        <v>160</v>
      </c>
      <c r="X43">
        <v>0.29054221655316032</v>
      </c>
      <c r="Y43">
        <v>0.29634151183368301</v>
      </c>
      <c r="Z43">
        <v>0.22119808023894055</v>
      </c>
      <c r="AA43">
        <v>0.19749422726708932</v>
      </c>
      <c r="AC43" t="s">
        <v>177</v>
      </c>
      <c r="AD43" t="s">
        <v>210</v>
      </c>
      <c r="AE43" t="s">
        <v>211</v>
      </c>
      <c r="AF43">
        <v>0.12566019322497871</v>
      </c>
    </row>
    <row r="44" spans="2:32" x14ac:dyDescent="0.45">
      <c r="B44" t="s">
        <v>161</v>
      </c>
      <c r="C44" t="s">
        <v>31</v>
      </c>
      <c r="D44">
        <v>0.55390653009784485</v>
      </c>
      <c r="E44">
        <v>0.53837469207184119</v>
      </c>
      <c r="F44">
        <v>0.58193726531554346</v>
      </c>
      <c r="G44">
        <v>0.57321047101335143</v>
      </c>
      <c r="W44" t="s">
        <v>161</v>
      </c>
      <c r="X44">
        <v>0.28380762860448899</v>
      </c>
      <c r="Y44">
        <v>0.29534268312299128</v>
      </c>
      <c r="Z44">
        <v>0.21568928181414165</v>
      </c>
      <c r="AA44">
        <v>0.21436139803441065</v>
      </c>
      <c r="AC44" t="s">
        <v>178</v>
      </c>
      <c r="AD44" t="s">
        <v>210</v>
      </c>
      <c r="AE44" t="s">
        <v>211</v>
      </c>
      <c r="AF44">
        <v>0.24235956836951958</v>
      </c>
    </row>
    <row r="45" spans="2:32" x14ac:dyDescent="0.45">
      <c r="B45" t="s">
        <v>162</v>
      </c>
      <c r="C45" t="s">
        <v>31</v>
      </c>
      <c r="D45">
        <v>0.3908805346250826</v>
      </c>
      <c r="E45">
        <v>0.40470772350654055</v>
      </c>
      <c r="F45">
        <v>0.4753293648551476</v>
      </c>
      <c r="G45">
        <v>0.50205397439706989</v>
      </c>
      <c r="W45" t="s">
        <v>162</v>
      </c>
      <c r="X45">
        <v>0.31580703515347236</v>
      </c>
      <c r="Y45">
        <v>0.32186825388069484</v>
      </c>
      <c r="Z45">
        <v>0.21091298641519321</v>
      </c>
      <c r="AA45">
        <v>0.20971259025638536</v>
      </c>
      <c r="AC45" t="s">
        <v>179</v>
      </c>
      <c r="AD45" t="s">
        <v>210</v>
      </c>
      <c r="AE45" t="s">
        <v>211</v>
      </c>
      <c r="AF45">
        <v>0.13471668840937473</v>
      </c>
    </row>
    <row r="46" spans="2:32" x14ac:dyDescent="0.45">
      <c r="B46" t="s">
        <v>163</v>
      </c>
      <c r="C46" t="s">
        <v>31</v>
      </c>
      <c r="D46">
        <v>0.46043890480001815</v>
      </c>
      <c r="E46">
        <v>0.46955474513121009</v>
      </c>
      <c r="F46">
        <v>0.54742177775803447</v>
      </c>
      <c r="G46">
        <v>0.5290030817977659</v>
      </c>
      <c r="W46" t="s">
        <v>163</v>
      </c>
      <c r="X46">
        <v>0.28008241231691411</v>
      </c>
      <c r="Y46">
        <v>0.28888600082221649</v>
      </c>
      <c r="Z46">
        <v>0.18537973519687717</v>
      </c>
      <c r="AA46">
        <v>0.18604422355500619</v>
      </c>
      <c r="AC46" t="s">
        <v>180</v>
      </c>
      <c r="AD46" t="s">
        <v>210</v>
      </c>
      <c r="AE46" t="s">
        <v>211</v>
      </c>
      <c r="AF46">
        <v>0.31982886955891116</v>
      </c>
    </row>
    <row r="47" spans="2:32" x14ac:dyDescent="0.45">
      <c r="B47" t="s">
        <v>164</v>
      </c>
      <c r="C47" t="s">
        <v>31</v>
      </c>
      <c r="D47">
        <v>0.37450286311675618</v>
      </c>
      <c r="E47">
        <v>0.38334361302033482</v>
      </c>
      <c r="F47">
        <v>0.47920562910876607</v>
      </c>
      <c r="G47">
        <v>0.483629727635216</v>
      </c>
      <c r="W47" t="s">
        <v>164</v>
      </c>
      <c r="X47">
        <v>0.41826259313303266</v>
      </c>
      <c r="Y47">
        <v>0.42547435582525706</v>
      </c>
      <c r="Z47">
        <v>0.32846839986214438</v>
      </c>
      <c r="AA47">
        <v>0.30398221897102473</v>
      </c>
      <c r="AC47" t="s">
        <v>181</v>
      </c>
      <c r="AD47" t="s">
        <v>210</v>
      </c>
      <c r="AE47" t="s">
        <v>211</v>
      </c>
      <c r="AF47">
        <v>0.35888238045390036</v>
      </c>
    </row>
    <row r="48" spans="2:32" x14ac:dyDescent="0.45">
      <c r="B48" t="s">
        <v>165</v>
      </c>
      <c r="C48" t="s">
        <v>31</v>
      </c>
      <c r="D48">
        <v>0.52586507805753302</v>
      </c>
      <c r="E48">
        <v>0.52636847980793988</v>
      </c>
      <c r="F48">
        <v>0.57333827172078933</v>
      </c>
      <c r="G48">
        <v>0.55783677399586529</v>
      </c>
      <c r="W48" t="s">
        <v>165</v>
      </c>
      <c r="X48">
        <v>0.24628573997141662</v>
      </c>
      <c r="Y48">
        <v>0.2637830937638409</v>
      </c>
      <c r="Z48">
        <v>0.17622006814972277</v>
      </c>
      <c r="AA48">
        <v>0.18053641239530838</v>
      </c>
      <c r="AC48" t="s">
        <v>182</v>
      </c>
      <c r="AD48" t="s">
        <v>210</v>
      </c>
      <c r="AE48" t="s">
        <v>211</v>
      </c>
      <c r="AF48">
        <v>0.19095774646051683</v>
      </c>
    </row>
    <row r="49" spans="2:32" x14ac:dyDescent="0.45">
      <c r="B49" t="s">
        <v>166</v>
      </c>
      <c r="C49" t="s">
        <v>31</v>
      </c>
      <c r="D49">
        <v>0.34998665706881782</v>
      </c>
      <c r="E49">
        <v>0.37644582787240338</v>
      </c>
      <c r="F49">
        <v>0.37051408025900212</v>
      </c>
      <c r="G49">
        <v>0.42241575885445631</v>
      </c>
      <c r="W49" t="s">
        <v>166</v>
      </c>
      <c r="X49">
        <v>0.41977074372511447</v>
      </c>
      <c r="Y49">
        <v>0.39796133021944236</v>
      </c>
      <c r="Z49">
        <v>0.31973169585972472</v>
      </c>
      <c r="AA49">
        <v>0.28179930363353367</v>
      </c>
      <c r="AC49" t="s">
        <v>183</v>
      </c>
      <c r="AD49" t="s">
        <v>210</v>
      </c>
      <c r="AE49" t="s">
        <v>211</v>
      </c>
      <c r="AF49">
        <v>0.23507646179786282</v>
      </c>
    </row>
    <row r="50" spans="2:32" x14ac:dyDescent="0.45">
      <c r="B50" t="s">
        <v>167</v>
      </c>
      <c r="C50" t="s">
        <v>31</v>
      </c>
      <c r="D50">
        <v>0.47655679605198459</v>
      </c>
      <c r="E50">
        <v>0.48190682961083436</v>
      </c>
      <c r="F50">
        <v>0.54174704989857214</v>
      </c>
      <c r="G50">
        <v>0.53284651623718426</v>
      </c>
      <c r="W50" t="s">
        <v>167</v>
      </c>
      <c r="X50">
        <v>0.27592133764756671</v>
      </c>
      <c r="Y50">
        <v>0.285684730115354</v>
      </c>
      <c r="Z50">
        <v>0.15049347221715964</v>
      </c>
      <c r="AA50">
        <v>0.15479812351219646</v>
      </c>
      <c r="AC50" t="s">
        <v>184</v>
      </c>
      <c r="AD50" t="s">
        <v>210</v>
      </c>
      <c r="AE50" t="s">
        <v>211</v>
      </c>
      <c r="AF50">
        <v>0.27797362819335292</v>
      </c>
    </row>
    <row r="51" spans="2:32" x14ac:dyDescent="0.45">
      <c r="B51" t="s">
        <v>168</v>
      </c>
      <c r="C51" t="s">
        <v>31</v>
      </c>
      <c r="D51">
        <v>0.30262386121962287</v>
      </c>
      <c r="E51">
        <v>0.32433553791128594</v>
      </c>
      <c r="F51">
        <v>0.35003844090255748</v>
      </c>
      <c r="G51">
        <v>0.38230523332714977</v>
      </c>
      <c r="W51" t="s">
        <v>168</v>
      </c>
      <c r="X51">
        <v>0.51913459700047837</v>
      </c>
      <c r="Y51">
        <v>0.48579235450100611</v>
      </c>
      <c r="Z51">
        <v>0.40758441535965867</v>
      </c>
      <c r="AA51">
        <v>0.37233522999517138</v>
      </c>
      <c r="AC51" t="s">
        <v>185</v>
      </c>
      <c r="AD51" t="s">
        <v>210</v>
      </c>
      <c r="AE51" t="s">
        <v>211</v>
      </c>
      <c r="AF51">
        <v>0.24151704206635294</v>
      </c>
    </row>
    <row r="52" spans="2:32" x14ac:dyDescent="0.45">
      <c r="B52" t="s">
        <v>169</v>
      </c>
      <c r="C52" t="s">
        <v>31</v>
      </c>
      <c r="D52">
        <v>0.27054842368954968</v>
      </c>
      <c r="E52">
        <v>0.27417673041058754</v>
      </c>
      <c r="F52">
        <v>0.32286538945500026</v>
      </c>
      <c r="G52">
        <v>0.36377556146442458</v>
      </c>
      <c r="W52" t="s">
        <v>169</v>
      </c>
      <c r="X52">
        <v>0.58884961185489637</v>
      </c>
      <c r="Y52">
        <v>0.56969463620599992</v>
      </c>
      <c r="Z52">
        <v>0.47151475590465619</v>
      </c>
      <c r="AA52">
        <v>0.42371565150934032</v>
      </c>
      <c r="AC52" t="s">
        <v>186</v>
      </c>
      <c r="AD52" t="s">
        <v>210</v>
      </c>
      <c r="AE52" t="s">
        <v>211</v>
      </c>
      <c r="AF52">
        <v>0.21723877821477758</v>
      </c>
    </row>
    <row r="53" spans="2:32" x14ac:dyDescent="0.45">
      <c r="B53" t="s">
        <v>170</v>
      </c>
      <c r="C53" t="s">
        <v>31</v>
      </c>
      <c r="D53">
        <v>0.27633722318098181</v>
      </c>
      <c r="E53">
        <v>0.28748883362183619</v>
      </c>
      <c r="F53">
        <v>0.34234662316024783</v>
      </c>
      <c r="G53">
        <v>0.36391164047670282</v>
      </c>
      <c r="W53" t="s">
        <v>170</v>
      </c>
      <c r="X53">
        <v>0.58735562238501848</v>
      </c>
      <c r="Y53">
        <v>0.56267060433659188</v>
      </c>
      <c r="Z53">
        <v>0.48973149454098958</v>
      </c>
      <c r="AA53">
        <v>0.45986922852389384</v>
      </c>
      <c r="AC53" t="s">
        <v>187</v>
      </c>
      <c r="AD53" t="s">
        <v>210</v>
      </c>
      <c r="AE53" t="s">
        <v>211</v>
      </c>
      <c r="AF53">
        <v>0.28311375197156735</v>
      </c>
    </row>
    <row r="54" spans="2:32" x14ac:dyDescent="0.45">
      <c r="B54" t="s">
        <v>171</v>
      </c>
      <c r="C54" t="s">
        <v>31</v>
      </c>
      <c r="D54">
        <v>0.28207752486886895</v>
      </c>
      <c r="E54">
        <v>0.29512823032136992</v>
      </c>
      <c r="F54">
        <v>0.33240042091942873</v>
      </c>
      <c r="G54">
        <v>0.34953883755798199</v>
      </c>
      <c r="W54" t="s">
        <v>171</v>
      </c>
      <c r="X54">
        <v>0.57512687385277061</v>
      </c>
      <c r="Y54">
        <v>0.55080148236525905</v>
      </c>
      <c r="Z54">
        <v>0.49192205832981617</v>
      </c>
      <c r="AA54">
        <v>0.4702134591026329</v>
      </c>
      <c r="AC54" t="s">
        <v>188</v>
      </c>
      <c r="AD54" t="s">
        <v>210</v>
      </c>
      <c r="AE54" t="s">
        <v>211</v>
      </c>
      <c r="AF54">
        <v>0.13430148559270519</v>
      </c>
    </row>
    <row r="55" spans="2:32" x14ac:dyDescent="0.45">
      <c r="B55" t="s">
        <v>172</v>
      </c>
      <c r="C55" t="s">
        <v>31</v>
      </c>
      <c r="D55">
        <v>0.2284013827604387</v>
      </c>
      <c r="E55">
        <v>0.23449247703158746</v>
      </c>
      <c r="F55">
        <v>0.32403154211584451</v>
      </c>
      <c r="G55">
        <v>0.3426062515244323</v>
      </c>
      <c r="W55" t="s">
        <v>172</v>
      </c>
      <c r="X55">
        <v>0.65159266580950304</v>
      </c>
      <c r="Y55">
        <v>0.64407770121299612</v>
      </c>
      <c r="Z55">
        <v>0.5056916343514064</v>
      </c>
      <c r="AA55">
        <v>0.48816825929765184</v>
      </c>
      <c r="AC55" t="s">
        <v>189</v>
      </c>
      <c r="AD55" t="s">
        <v>210</v>
      </c>
      <c r="AE55" t="s">
        <v>211</v>
      </c>
      <c r="AF55">
        <v>0.38497421219941702</v>
      </c>
    </row>
    <row r="56" spans="2:32" x14ac:dyDescent="0.45">
      <c r="B56" t="s">
        <v>173</v>
      </c>
      <c r="C56" t="s">
        <v>31</v>
      </c>
      <c r="D56">
        <v>0.2497043667699464</v>
      </c>
      <c r="E56">
        <v>0.2521481137273795</v>
      </c>
      <c r="F56">
        <v>0.34431981974737902</v>
      </c>
      <c r="G56">
        <v>0.3579250277589075</v>
      </c>
      <c r="W56" t="s">
        <v>173</v>
      </c>
      <c r="X56">
        <v>0.63599488796525538</v>
      </c>
      <c r="Y56">
        <v>0.6360334331802977</v>
      </c>
      <c r="Z56">
        <v>0.48962730703188179</v>
      </c>
      <c r="AA56">
        <v>0.4572687566773822</v>
      </c>
      <c r="AC56" t="s">
        <v>190</v>
      </c>
      <c r="AD56" t="s">
        <v>210</v>
      </c>
      <c r="AE56" t="s">
        <v>211</v>
      </c>
      <c r="AF56">
        <v>0.41177726735210263</v>
      </c>
    </row>
    <row r="57" spans="2:32" x14ac:dyDescent="0.45">
      <c r="B57" t="s">
        <v>174</v>
      </c>
      <c r="C57" t="s">
        <v>31</v>
      </c>
      <c r="D57">
        <v>0.22448254952920754</v>
      </c>
      <c r="E57">
        <v>0.22553156635209007</v>
      </c>
      <c r="F57">
        <v>0.32088291958662463</v>
      </c>
      <c r="G57">
        <v>0.33574042719297881</v>
      </c>
      <c r="W57" t="s">
        <v>174</v>
      </c>
      <c r="X57">
        <v>0.67766965417924852</v>
      </c>
      <c r="Y57">
        <v>0.67307476126046895</v>
      </c>
      <c r="Z57">
        <v>0.49798458192901573</v>
      </c>
      <c r="AA57">
        <v>0.4890305771759248</v>
      </c>
      <c r="AC57" t="s">
        <v>191</v>
      </c>
      <c r="AD57" t="s">
        <v>210</v>
      </c>
      <c r="AE57" t="s">
        <v>211</v>
      </c>
      <c r="AF57">
        <v>0.54606358258744037</v>
      </c>
    </row>
    <row r="58" spans="2:32" x14ac:dyDescent="0.45">
      <c r="B58" t="s">
        <v>175</v>
      </c>
      <c r="C58" t="s">
        <v>31</v>
      </c>
      <c r="D58">
        <v>0.36517898882735872</v>
      </c>
      <c r="E58">
        <v>0.37108555745324662</v>
      </c>
      <c r="F58">
        <v>0.47511752270292174</v>
      </c>
      <c r="G58">
        <v>0.46184654784297025</v>
      </c>
      <c r="W58" t="s">
        <v>175</v>
      </c>
      <c r="X58">
        <v>0.29880298552051782</v>
      </c>
      <c r="Y58">
        <v>0.3129340164325094</v>
      </c>
      <c r="Z58">
        <v>0.21383567836206349</v>
      </c>
      <c r="AA58">
        <v>0.21005651741664144</v>
      </c>
      <c r="AC58" t="s">
        <v>192</v>
      </c>
      <c r="AD58" t="s">
        <v>210</v>
      </c>
      <c r="AE58" t="s">
        <v>211</v>
      </c>
      <c r="AF58">
        <v>0.4061037754783175</v>
      </c>
    </row>
    <row r="59" spans="2:32" x14ac:dyDescent="0.45">
      <c r="B59" t="s">
        <v>176</v>
      </c>
      <c r="C59" t="s">
        <v>31</v>
      </c>
      <c r="D59">
        <v>0.52482436115029163</v>
      </c>
      <c r="E59">
        <v>0.5018272125019585</v>
      </c>
      <c r="F59">
        <v>0.61894129126711817</v>
      </c>
      <c r="G59">
        <v>0.58938499489793095</v>
      </c>
      <c r="W59" t="s">
        <v>176</v>
      </c>
      <c r="X59">
        <v>0.23004983664921697</v>
      </c>
      <c r="Y59">
        <v>0.25664409820641632</v>
      </c>
      <c r="Z59">
        <v>0.17018826406323107</v>
      </c>
      <c r="AA59">
        <v>0.16603985624029774</v>
      </c>
      <c r="AC59" t="s">
        <v>193</v>
      </c>
      <c r="AD59" t="s">
        <v>210</v>
      </c>
      <c r="AE59" t="s">
        <v>211</v>
      </c>
      <c r="AF59">
        <v>0.21297255422670455</v>
      </c>
    </row>
    <row r="60" spans="2:32" x14ac:dyDescent="0.45">
      <c r="B60" t="s">
        <v>177</v>
      </c>
      <c r="C60" t="s">
        <v>31</v>
      </c>
      <c r="D60">
        <v>0.63090732105232916</v>
      </c>
      <c r="E60">
        <v>0.60141737591847488</v>
      </c>
      <c r="F60">
        <v>0.66343613602460416</v>
      </c>
      <c r="G60">
        <v>0.63306475123132233</v>
      </c>
      <c r="W60" t="s">
        <v>177</v>
      </c>
      <c r="X60">
        <v>0.12259307143770305</v>
      </c>
      <c r="Y60">
        <v>0.12566019322497871</v>
      </c>
      <c r="Z60">
        <v>7.5660089675226472E-2</v>
      </c>
      <c r="AA60">
        <v>6.6748480420204648E-2</v>
      </c>
      <c r="AC60" t="s">
        <v>194</v>
      </c>
      <c r="AD60" t="s">
        <v>210</v>
      </c>
      <c r="AE60" t="s">
        <v>211</v>
      </c>
      <c r="AF60">
        <v>0.33107226330923861</v>
      </c>
    </row>
    <row r="61" spans="2:32" x14ac:dyDescent="0.45">
      <c r="B61" t="s">
        <v>178</v>
      </c>
      <c r="C61" t="s">
        <v>31</v>
      </c>
      <c r="D61">
        <v>0.47004876634413528</v>
      </c>
      <c r="E61">
        <v>0.49215649966650871</v>
      </c>
      <c r="F61">
        <v>0.49930250111874785</v>
      </c>
      <c r="G61">
        <v>0.4856300540821073</v>
      </c>
      <c r="W61" t="s">
        <v>178</v>
      </c>
      <c r="X61">
        <v>0.21929479667765983</v>
      </c>
      <c r="Y61">
        <v>0.24235956836951958</v>
      </c>
      <c r="Z61">
        <v>0.16503437177263808</v>
      </c>
      <c r="AA61">
        <v>0.17619488983445003</v>
      </c>
      <c r="AC61" t="s">
        <v>195</v>
      </c>
      <c r="AD61" t="s">
        <v>210</v>
      </c>
      <c r="AE61" t="s">
        <v>211</v>
      </c>
      <c r="AF61">
        <v>0.11873819052609226</v>
      </c>
    </row>
    <row r="62" spans="2:32" x14ac:dyDescent="0.45">
      <c r="B62" t="s">
        <v>179</v>
      </c>
      <c r="C62" t="s">
        <v>31</v>
      </c>
      <c r="D62">
        <v>0.57262728562029697</v>
      </c>
      <c r="E62">
        <v>0.58129277577087723</v>
      </c>
      <c r="F62">
        <v>0.62038404585875828</v>
      </c>
      <c r="G62">
        <v>0.60053793444384707</v>
      </c>
      <c r="W62" t="s">
        <v>179</v>
      </c>
      <c r="X62">
        <v>0.10002339298837405</v>
      </c>
      <c r="Y62">
        <v>0.13471668840937473</v>
      </c>
      <c r="Z62">
        <v>6.5136812908073632E-2</v>
      </c>
      <c r="AA62">
        <v>8.6755017622136693E-2</v>
      </c>
      <c r="AC62" t="s">
        <v>196</v>
      </c>
      <c r="AD62" t="s">
        <v>210</v>
      </c>
      <c r="AE62" t="s">
        <v>211</v>
      </c>
      <c r="AF62">
        <v>0.19230726788214755</v>
      </c>
    </row>
    <row r="63" spans="2:32" x14ac:dyDescent="0.45">
      <c r="B63" t="s">
        <v>180</v>
      </c>
      <c r="C63" t="s">
        <v>31</v>
      </c>
      <c r="D63">
        <v>0.39154961101418106</v>
      </c>
      <c r="E63">
        <v>0.41911503406201339</v>
      </c>
      <c r="F63">
        <v>0.40682259077928851</v>
      </c>
      <c r="G63">
        <v>0.43795621429504522</v>
      </c>
      <c r="W63" t="s">
        <v>180</v>
      </c>
      <c r="X63">
        <v>0.31618973008420798</v>
      </c>
      <c r="Y63">
        <v>0.31982886955891116</v>
      </c>
      <c r="Z63">
        <v>0.28939253539850096</v>
      </c>
      <c r="AA63">
        <v>0.28098400770875703</v>
      </c>
      <c r="AC63" t="s">
        <v>197</v>
      </c>
      <c r="AD63" t="s">
        <v>210</v>
      </c>
      <c r="AE63" t="s">
        <v>211</v>
      </c>
      <c r="AF63">
        <v>0.25965536417561991</v>
      </c>
    </row>
    <row r="64" spans="2:32" x14ac:dyDescent="0.45">
      <c r="B64" t="s">
        <v>181</v>
      </c>
      <c r="C64" t="s">
        <v>31</v>
      </c>
      <c r="D64">
        <v>0.34293416661403486</v>
      </c>
      <c r="E64">
        <v>0.37097103595112052</v>
      </c>
      <c r="F64">
        <v>0.38805635848368525</v>
      </c>
      <c r="G64">
        <v>0.41088329055966877</v>
      </c>
      <c r="W64" t="s">
        <v>181</v>
      </c>
      <c r="X64">
        <v>0.34202566124576417</v>
      </c>
      <c r="Y64">
        <v>0.35892159728399731</v>
      </c>
      <c r="Z64">
        <v>0.29124449787138834</v>
      </c>
      <c r="AA64">
        <v>0.30293346032188984</v>
      </c>
      <c r="AC64" t="s">
        <v>198</v>
      </c>
      <c r="AD64" t="s">
        <v>210</v>
      </c>
      <c r="AE64" t="s">
        <v>211</v>
      </c>
      <c r="AF64">
        <v>0.27073095500113503</v>
      </c>
    </row>
    <row r="65" spans="2:32" x14ac:dyDescent="0.45">
      <c r="B65" t="s">
        <v>182</v>
      </c>
      <c r="C65" t="s">
        <v>31</v>
      </c>
      <c r="D65">
        <v>0.455385496585058</v>
      </c>
      <c r="E65">
        <v>0.45842691573025651</v>
      </c>
      <c r="F65">
        <v>0.44271570415578076</v>
      </c>
      <c r="G65">
        <v>0.49597750454888861</v>
      </c>
      <c r="W65" t="s">
        <v>182</v>
      </c>
      <c r="X65">
        <v>0.18993217244925847</v>
      </c>
      <c r="Y65">
        <v>0.17811664276353406</v>
      </c>
      <c r="Z65">
        <v>0.19095774646051683</v>
      </c>
      <c r="AA65">
        <v>0.17732943858906075</v>
      </c>
      <c r="AC65" t="s">
        <v>199</v>
      </c>
      <c r="AD65" t="s">
        <v>210</v>
      </c>
      <c r="AE65" t="s">
        <v>211</v>
      </c>
      <c r="AF65">
        <v>0.34077070788938502</v>
      </c>
    </row>
    <row r="66" spans="2:32" x14ac:dyDescent="0.45">
      <c r="B66" t="s">
        <v>183</v>
      </c>
      <c r="C66" t="s">
        <v>31</v>
      </c>
      <c r="D66">
        <v>0.41776274536984248</v>
      </c>
      <c r="E66">
        <v>0.41822014575743743</v>
      </c>
      <c r="F66">
        <v>0.44004737296966762</v>
      </c>
      <c r="G66">
        <v>0.47661099592624018</v>
      </c>
      <c r="W66" t="s">
        <v>183</v>
      </c>
      <c r="X66">
        <v>0.21995731160754056</v>
      </c>
      <c r="Y66">
        <v>0.23507646179786282</v>
      </c>
      <c r="Z66">
        <v>0.20110072706206639</v>
      </c>
      <c r="AA66">
        <v>0.20476521299628778</v>
      </c>
      <c r="AC66" t="s">
        <v>200</v>
      </c>
      <c r="AD66" t="s">
        <v>210</v>
      </c>
      <c r="AE66" t="s">
        <v>211</v>
      </c>
      <c r="AF66">
        <v>0.36067291637851584</v>
      </c>
    </row>
    <row r="67" spans="2:32" x14ac:dyDescent="0.45">
      <c r="B67" t="s">
        <v>184</v>
      </c>
      <c r="C67" t="s">
        <v>31</v>
      </c>
      <c r="D67">
        <v>0.35460942414949537</v>
      </c>
      <c r="E67">
        <v>0.41941855934061978</v>
      </c>
      <c r="F67">
        <v>0.3517922301403083</v>
      </c>
      <c r="G67">
        <v>0.47496883117788741</v>
      </c>
      <c r="W67" t="s">
        <v>184</v>
      </c>
      <c r="X67">
        <v>0.27799638868263299</v>
      </c>
      <c r="Y67">
        <v>0.24887491320938387</v>
      </c>
      <c r="Z67">
        <v>0.19457049091443757</v>
      </c>
      <c r="AA67">
        <v>0.1591511077281024</v>
      </c>
      <c r="AC67" t="s">
        <v>201</v>
      </c>
      <c r="AD67" t="s">
        <v>210</v>
      </c>
      <c r="AE67" t="s">
        <v>211</v>
      </c>
      <c r="AF67">
        <v>0.25898059552358349</v>
      </c>
    </row>
    <row r="68" spans="2:32" x14ac:dyDescent="0.45">
      <c r="B68" t="s">
        <v>185</v>
      </c>
      <c r="C68" t="s">
        <v>31</v>
      </c>
      <c r="D68">
        <v>0.39493194058543685</v>
      </c>
      <c r="E68">
        <v>0.46832890064799226</v>
      </c>
      <c r="F68">
        <v>0.39203226249908085</v>
      </c>
      <c r="G68">
        <v>0.52106412397806268</v>
      </c>
      <c r="W68" t="s">
        <v>185</v>
      </c>
      <c r="X68">
        <v>0.24153268730166666</v>
      </c>
      <c r="Y68">
        <v>0.2243689393517212</v>
      </c>
      <c r="Z68">
        <v>0.15325643861005239</v>
      </c>
      <c r="AA68">
        <v>0.12209063390437133</v>
      </c>
      <c r="AC68" t="s">
        <v>202</v>
      </c>
      <c r="AD68" t="s">
        <v>210</v>
      </c>
      <c r="AE68" t="s">
        <v>211</v>
      </c>
      <c r="AF68">
        <v>0.30343946875630934</v>
      </c>
    </row>
    <row r="69" spans="2:32" x14ac:dyDescent="0.45">
      <c r="B69" t="s">
        <v>186</v>
      </c>
      <c r="C69" t="s">
        <v>31</v>
      </c>
      <c r="D69">
        <v>0.46671681476609039</v>
      </c>
      <c r="E69">
        <v>0.44945725935028108</v>
      </c>
      <c r="F69">
        <v>0.5269661728655487</v>
      </c>
      <c r="G69">
        <v>0.47286565079649534</v>
      </c>
      <c r="W69" t="s">
        <v>186</v>
      </c>
      <c r="X69">
        <v>0.17332956372275471</v>
      </c>
      <c r="Y69">
        <v>0.21723877821477758</v>
      </c>
      <c r="Z69">
        <v>0.11651194672098233</v>
      </c>
      <c r="AA69">
        <v>0.14073545301236304</v>
      </c>
      <c r="AC69" t="s">
        <v>158</v>
      </c>
      <c r="AD69" t="s">
        <v>210</v>
      </c>
      <c r="AE69" t="s">
        <v>211</v>
      </c>
      <c r="AF69">
        <v>0.53659323806881476</v>
      </c>
    </row>
    <row r="70" spans="2:32" x14ac:dyDescent="0.45">
      <c r="B70" t="s">
        <v>187</v>
      </c>
      <c r="C70" t="s">
        <v>31</v>
      </c>
      <c r="D70">
        <v>0.39612624551855902</v>
      </c>
      <c r="E70">
        <v>0.43125772012664193</v>
      </c>
      <c r="F70">
        <v>0.42167163809075736</v>
      </c>
      <c r="G70">
        <v>0.49464996598443917</v>
      </c>
      <c r="W70" t="s">
        <v>187</v>
      </c>
      <c r="X70">
        <v>0.28312760887635685</v>
      </c>
      <c r="Y70">
        <v>0.27912798533898608</v>
      </c>
      <c r="Z70">
        <v>0.22970878250127691</v>
      </c>
      <c r="AA70">
        <v>0.21315959969098036</v>
      </c>
      <c r="AC70" t="s">
        <v>159</v>
      </c>
      <c r="AD70" t="s">
        <v>210</v>
      </c>
      <c r="AE70" t="s">
        <v>211</v>
      </c>
      <c r="AF70">
        <v>0.24409101400488231</v>
      </c>
    </row>
    <row r="71" spans="2:32" x14ac:dyDescent="0.45">
      <c r="B71" t="s">
        <v>188</v>
      </c>
      <c r="C71" t="s">
        <v>31</v>
      </c>
      <c r="D71">
        <v>0.48000056210917813</v>
      </c>
      <c r="E71">
        <v>0.51437092746164803</v>
      </c>
      <c r="F71">
        <v>0.50393233133762338</v>
      </c>
      <c r="G71">
        <v>0.54496435280272593</v>
      </c>
      <c r="W71" t="s">
        <v>188</v>
      </c>
      <c r="X71">
        <v>0.11038866760707115</v>
      </c>
      <c r="Y71">
        <v>0.13430148559270519</v>
      </c>
      <c r="Z71">
        <v>8.2144869026442399E-2</v>
      </c>
      <c r="AA71">
        <v>7.7109857693588177E-2</v>
      </c>
      <c r="AC71" t="s">
        <v>160</v>
      </c>
      <c r="AD71" t="s">
        <v>210</v>
      </c>
      <c r="AE71" t="s">
        <v>211</v>
      </c>
      <c r="AF71">
        <v>0.29634151183368301</v>
      </c>
    </row>
    <row r="72" spans="2:32" x14ac:dyDescent="0.45">
      <c r="B72" t="s">
        <v>189</v>
      </c>
      <c r="C72" t="s">
        <v>31</v>
      </c>
      <c r="D72">
        <v>0.33611789134366638</v>
      </c>
      <c r="E72">
        <v>0.37379011118804017</v>
      </c>
      <c r="F72">
        <v>0.35726572585001215</v>
      </c>
      <c r="G72">
        <v>0.4325500556289909</v>
      </c>
      <c r="W72" t="s">
        <v>189</v>
      </c>
      <c r="X72">
        <v>0.38497759242634977</v>
      </c>
      <c r="Y72">
        <v>0.343290213521529</v>
      </c>
      <c r="Z72">
        <v>0.3332896372245992</v>
      </c>
      <c r="AA72">
        <v>0.2759858736949658</v>
      </c>
      <c r="AC72" t="s">
        <v>161</v>
      </c>
      <c r="AD72" t="s">
        <v>210</v>
      </c>
      <c r="AE72" t="s">
        <v>211</v>
      </c>
      <c r="AF72">
        <v>0.29534268312299128</v>
      </c>
    </row>
    <row r="73" spans="2:32" x14ac:dyDescent="0.45">
      <c r="B73" t="s">
        <v>190</v>
      </c>
      <c r="C73" t="s">
        <v>31</v>
      </c>
      <c r="D73">
        <v>0.30245248959974824</v>
      </c>
      <c r="E73">
        <v>0.34142699256189557</v>
      </c>
      <c r="F73">
        <v>0.33674609386155691</v>
      </c>
      <c r="G73">
        <v>0.39031288241744461</v>
      </c>
      <c r="W73" t="s">
        <v>190</v>
      </c>
      <c r="X73">
        <v>0.41356025214838987</v>
      </c>
      <c r="Y73">
        <v>0.38076390874833715</v>
      </c>
      <c r="Z73">
        <v>0.35522531282219999</v>
      </c>
      <c r="AA73">
        <v>0.30972204125042391</v>
      </c>
      <c r="AC73" t="s">
        <v>162</v>
      </c>
      <c r="AD73" t="s">
        <v>210</v>
      </c>
      <c r="AE73" t="s">
        <v>211</v>
      </c>
      <c r="AF73">
        <v>0.32186825388069484</v>
      </c>
    </row>
    <row r="74" spans="2:32" x14ac:dyDescent="0.45">
      <c r="B74" t="s">
        <v>191</v>
      </c>
      <c r="C74" t="s">
        <v>31</v>
      </c>
      <c r="D74">
        <v>0.24245633035990294</v>
      </c>
      <c r="E74">
        <v>0.25751138621632658</v>
      </c>
      <c r="F74">
        <v>0.31351719785321647</v>
      </c>
      <c r="G74">
        <v>0.3331821640789363</v>
      </c>
      <c r="W74" t="s">
        <v>191</v>
      </c>
      <c r="X74">
        <v>0.54942309507324116</v>
      </c>
      <c r="Y74">
        <v>0.53435485231207758</v>
      </c>
      <c r="Z74">
        <v>0.45541992498606337</v>
      </c>
      <c r="AA74">
        <v>0.43394335061271538</v>
      </c>
      <c r="AC74" t="s">
        <v>163</v>
      </c>
      <c r="AD74" t="s">
        <v>210</v>
      </c>
      <c r="AE74" t="s">
        <v>211</v>
      </c>
      <c r="AF74">
        <v>0.28888600082221649</v>
      </c>
    </row>
    <row r="75" spans="2:32" x14ac:dyDescent="0.45">
      <c r="B75" t="s">
        <v>192</v>
      </c>
      <c r="C75" t="s">
        <v>31</v>
      </c>
      <c r="D75">
        <v>0.29899388147403538</v>
      </c>
      <c r="E75">
        <v>0.3322858690324374</v>
      </c>
      <c r="F75">
        <v>0.32212827730073818</v>
      </c>
      <c r="G75">
        <v>0.3800123526975317</v>
      </c>
      <c r="W75" t="s">
        <v>192</v>
      </c>
      <c r="X75">
        <v>0.40635442233506008</v>
      </c>
      <c r="Y75">
        <v>0.38001539687236002</v>
      </c>
      <c r="Z75">
        <v>0.33921997883398008</v>
      </c>
      <c r="AA75">
        <v>0.30773397653415702</v>
      </c>
      <c r="AC75" t="s">
        <v>164</v>
      </c>
      <c r="AD75" t="s">
        <v>210</v>
      </c>
      <c r="AE75" t="s">
        <v>211</v>
      </c>
      <c r="AF75">
        <v>0.42547435582525706</v>
      </c>
    </row>
    <row r="76" spans="2:32" x14ac:dyDescent="0.45">
      <c r="B76" t="s">
        <v>193</v>
      </c>
      <c r="C76" t="s">
        <v>31</v>
      </c>
      <c r="D76">
        <v>0.41961991850232272</v>
      </c>
      <c r="E76">
        <v>0.47552579553141255</v>
      </c>
      <c r="F76">
        <v>0.45400234085335528</v>
      </c>
      <c r="G76">
        <v>0.51185113076571709</v>
      </c>
      <c r="W76" t="s">
        <v>193</v>
      </c>
      <c r="X76">
        <v>0.21297255422670455</v>
      </c>
      <c r="Y76">
        <v>0.1922215855528466</v>
      </c>
      <c r="Z76">
        <v>0.17207172910484361</v>
      </c>
      <c r="AA76">
        <v>0.14051728015995743</v>
      </c>
      <c r="AC76" t="s">
        <v>165</v>
      </c>
      <c r="AD76" t="s">
        <v>210</v>
      </c>
      <c r="AE76" t="s">
        <v>211</v>
      </c>
      <c r="AF76">
        <v>0.2637830937638409</v>
      </c>
    </row>
    <row r="77" spans="2:32" x14ac:dyDescent="0.45">
      <c r="B77" t="s">
        <v>194</v>
      </c>
      <c r="C77" t="s">
        <v>31</v>
      </c>
      <c r="D77">
        <v>0.3566458191826728</v>
      </c>
      <c r="E77">
        <v>0.40908067859234809</v>
      </c>
      <c r="F77">
        <v>0.37226981378789981</v>
      </c>
      <c r="G77">
        <v>0.45477373552066036</v>
      </c>
      <c r="W77" t="s">
        <v>194</v>
      </c>
      <c r="X77">
        <v>0.33145303135770909</v>
      </c>
      <c r="Y77">
        <v>0.28977659765295821</v>
      </c>
      <c r="Z77">
        <v>0.28211151196609929</v>
      </c>
      <c r="AA77">
        <v>0.2215935291854749</v>
      </c>
      <c r="AC77" t="s">
        <v>166</v>
      </c>
      <c r="AD77" t="s">
        <v>210</v>
      </c>
      <c r="AE77" t="s">
        <v>211</v>
      </c>
      <c r="AF77">
        <v>0.41977074372511447</v>
      </c>
    </row>
    <row r="78" spans="2:32" x14ac:dyDescent="0.45">
      <c r="B78" t="s">
        <v>195</v>
      </c>
      <c r="C78" t="s">
        <v>31</v>
      </c>
      <c r="D78">
        <v>0.51131363247962525</v>
      </c>
      <c r="E78">
        <v>0.55869500816926565</v>
      </c>
      <c r="F78">
        <v>0.51516766565639249</v>
      </c>
      <c r="G78">
        <v>0.56344997008621411</v>
      </c>
      <c r="W78" t="s">
        <v>195</v>
      </c>
      <c r="X78">
        <v>0.11873819052609226</v>
      </c>
      <c r="Y78">
        <v>0.11466541029303724</v>
      </c>
      <c r="Z78">
        <v>0.10299263140151403</v>
      </c>
      <c r="AA78">
        <v>0.10172179330625526</v>
      </c>
      <c r="AC78" t="s">
        <v>167</v>
      </c>
      <c r="AD78" t="s">
        <v>210</v>
      </c>
      <c r="AE78" t="s">
        <v>211</v>
      </c>
      <c r="AF78">
        <v>0.285684730115354</v>
      </c>
    </row>
    <row r="79" spans="2:32" x14ac:dyDescent="0.45">
      <c r="B79" t="s">
        <v>196</v>
      </c>
      <c r="C79" t="s">
        <v>31</v>
      </c>
      <c r="D79">
        <v>0.46310806084768752</v>
      </c>
      <c r="E79">
        <v>0.49627757442371218</v>
      </c>
      <c r="F79">
        <v>0.4398359012637526</v>
      </c>
      <c r="G79">
        <v>0.51473171542281349</v>
      </c>
      <c r="W79" t="s">
        <v>196</v>
      </c>
      <c r="X79">
        <v>0.19230726788214755</v>
      </c>
      <c r="Y79">
        <v>0.16795183731302066</v>
      </c>
      <c r="Z79">
        <v>0.16812646321711419</v>
      </c>
      <c r="AA79">
        <v>0.14999605187482995</v>
      </c>
      <c r="AC79" t="s">
        <v>168</v>
      </c>
      <c r="AD79" t="s">
        <v>210</v>
      </c>
      <c r="AE79" t="s">
        <v>211</v>
      </c>
      <c r="AF79">
        <v>0.51913459700047837</v>
      </c>
    </row>
    <row r="80" spans="2:32" x14ac:dyDescent="0.45">
      <c r="B80" t="s">
        <v>197</v>
      </c>
      <c r="C80" t="s">
        <v>31</v>
      </c>
      <c r="D80">
        <v>0.41275763821426298</v>
      </c>
      <c r="E80">
        <v>0.45426592080844552</v>
      </c>
      <c r="F80">
        <v>0.4001620411272313</v>
      </c>
      <c r="G80">
        <v>0.48124079140100973</v>
      </c>
      <c r="W80" t="s">
        <v>197</v>
      </c>
      <c r="X80">
        <v>0.25965961083731276</v>
      </c>
      <c r="Y80">
        <v>0.22033516835482944</v>
      </c>
      <c r="Z80">
        <v>0.241787549891992</v>
      </c>
      <c r="AA80">
        <v>0.19836116899400985</v>
      </c>
      <c r="AC80" t="s">
        <v>169</v>
      </c>
      <c r="AD80" t="s">
        <v>210</v>
      </c>
      <c r="AE80" t="s">
        <v>211</v>
      </c>
      <c r="AF80">
        <v>0.58884961185489637</v>
      </c>
    </row>
    <row r="81" spans="2:32" x14ac:dyDescent="0.45">
      <c r="B81" t="s">
        <v>198</v>
      </c>
      <c r="C81" t="s">
        <v>31</v>
      </c>
      <c r="D81">
        <v>0.3792262687915649</v>
      </c>
      <c r="E81">
        <v>0.42114983695435365</v>
      </c>
      <c r="F81">
        <v>0.39781869303944734</v>
      </c>
      <c r="G81">
        <v>0.47257303426862285</v>
      </c>
      <c r="W81" t="s">
        <v>198</v>
      </c>
      <c r="X81">
        <v>0.27073184527431043</v>
      </c>
      <c r="Y81">
        <v>0.25263858741371209</v>
      </c>
      <c r="Z81">
        <v>0.23194453505537424</v>
      </c>
      <c r="AA81">
        <v>0.20262984225484512</v>
      </c>
      <c r="AC81" t="s">
        <v>170</v>
      </c>
      <c r="AD81" t="s">
        <v>210</v>
      </c>
      <c r="AE81" t="s">
        <v>211</v>
      </c>
      <c r="AF81">
        <v>0.58735562238501848</v>
      </c>
    </row>
    <row r="82" spans="2:32" x14ac:dyDescent="0.45">
      <c r="B82" t="s">
        <v>199</v>
      </c>
      <c r="C82" t="s">
        <v>31</v>
      </c>
      <c r="D82">
        <v>0.33840943066632539</v>
      </c>
      <c r="E82">
        <v>0.3919192057318473</v>
      </c>
      <c r="F82">
        <v>0.36531497413784403</v>
      </c>
      <c r="G82">
        <v>0.44137303722005666</v>
      </c>
      <c r="W82" t="s">
        <v>199</v>
      </c>
      <c r="X82">
        <v>0.34088051420135212</v>
      </c>
      <c r="Y82">
        <v>0.2963454397871626</v>
      </c>
      <c r="Z82">
        <v>0.29454162319645744</v>
      </c>
      <c r="AA82">
        <v>0.24040493468181184</v>
      </c>
      <c r="AC82" t="s">
        <v>171</v>
      </c>
      <c r="AD82" t="s">
        <v>210</v>
      </c>
      <c r="AE82" t="s">
        <v>211</v>
      </c>
      <c r="AF82">
        <v>0.57487016024797644</v>
      </c>
    </row>
    <row r="83" spans="2:32" x14ac:dyDescent="0.45">
      <c r="B83" t="s">
        <v>200</v>
      </c>
      <c r="C83" t="s">
        <v>31</v>
      </c>
      <c r="D83">
        <v>0.3231334645646386</v>
      </c>
      <c r="E83">
        <v>0.37773379010096098</v>
      </c>
      <c r="F83">
        <v>0.35396983463048809</v>
      </c>
      <c r="G83">
        <v>0.41803488214053003</v>
      </c>
      <c r="W83" t="s">
        <v>200</v>
      </c>
      <c r="X83">
        <v>0.36067291637851584</v>
      </c>
      <c r="Y83">
        <v>0.32571253014812179</v>
      </c>
      <c r="Z83">
        <v>0.28756871631147368</v>
      </c>
      <c r="AA83">
        <v>0.25666949843373771</v>
      </c>
      <c r="AC83" t="s">
        <v>172</v>
      </c>
      <c r="AD83" t="s">
        <v>210</v>
      </c>
      <c r="AE83" t="s">
        <v>211</v>
      </c>
      <c r="AF83">
        <v>0.65155326560013949</v>
      </c>
    </row>
    <row r="84" spans="2:32" x14ac:dyDescent="0.45">
      <c r="B84" t="s">
        <v>201</v>
      </c>
      <c r="C84" t="s">
        <v>31</v>
      </c>
      <c r="D84">
        <v>0.36307910115012298</v>
      </c>
      <c r="E84">
        <v>0.43315934843532816</v>
      </c>
      <c r="F84">
        <v>0.35996067249005781</v>
      </c>
      <c r="G84">
        <v>0.48807716802282314</v>
      </c>
      <c r="W84" t="s">
        <v>201</v>
      </c>
      <c r="X84">
        <v>0.25898059552358349</v>
      </c>
      <c r="Y84">
        <v>0.22836442528037584</v>
      </c>
      <c r="Z84">
        <v>0.2056049249022546</v>
      </c>
      <c r="AA84">
        <v>0.15223629302262931</v>
      </c>
      <c r="AC84" t="s">
        <v>173</v>
      </c>
      <c r="AD84" t="s">
        <v>210</v>
      </c>
      <c r="AE84" t="s">
        <v>211</v>
      </c>
      <c r="AF84">
        <v>0.6360334331802977</v>
      </c>
    </row>
    <row r="85" spans="2:32" x14ac:dyDescent="0.45">
      <c r="B85" t="s">
        <v>202</v>
      </c>
      <c r="C85" t="s">
        <v>31</v>
      </c>
      <c r="D85">
        <v>0.3393884846871798</v>
      </c>
      <c r="E85">
        <v>0.38175624456246093</v>
      </c>
      <c r="F85">
        <v>0.36130610328597323</v>
      </c>
      <c r="G85">
        <v>0.42519013099522707</v>
      </c>
      <c r="W85" t="s">
        <v>202</v>
      </c>
      <c r="X85">
        <v>0.30345259717733991</v>
      </c>
      <c r="Y85">
        <v>0.27753438288351462</v>
      </c>
      <c r="Z85">
        <v>0.25127235419070748</v>
      </c>
      <c r="AA85">
        <v>0.21102434264931838</v>
      </c>
      <c r="AC85" t="s">
        <v>174</v>
      </c>
      <c r="AD85" t="s">
        <v>210</v>
      </c>
      <c r="AE85" t="s">
        <v>211</v>
      </c>
      <c r="AF85">
        <v>0.67766965417924852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E609-B18E-4211-A036-30B09C977D13}">
  <dimension ref="A9:S68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43</v>
      </c>
      <c r="C10" t="s">
        <v>212</v>
      </c>
      <c r="D10" t="s">
        <v>46</v>
      </c>
      <c r="E10" t="s">
        <v>45</v>
      </c>
      <c r="F10" t="s">
        <v>44</v>
      </c>
      <c r="H10" t="s">
        <v>44</v>
      </c>
      <c r="I10" t="s">
        <v>45</v>
      </c>
      <c r="J10" t="s">
        <v>46</v>
      </c>
      <c r="L10" t="s">
        <v>44</v>
      </c>
      <c r="M10" t="s">
        <v>45</v>
      </c>
      <c r="N10" t="s">
        <v>221</v>
      </c>
      <c r="P10" t="s">
        <v>222</v>
      </c>
      <c r="Q10" t="s">
        <v>45</v>
      </c>
      <c r="R10" t="s">
        <v>223</v>
      </c>
      <c r="S10" t="s">
        <v>224</v>
      </c>
    </row>
    <row r="11" spans="1:19" x14ac:dyDescent="0.45">
      <c r="A11" t="str">
        <f>IFERROR(IF([1]Veda!D5=A10,"ok","x"),"")</f>
        <v/>
      </c>
      <c r="C11">
        <v>0.24931506849315069</v>
      </c>
      <c r="D11">
        <v>0.13646719538572463</v>
      </c>
      <c r="E11" t="s">
        <v>49</v>
      </c>
      <c r="F11" t="s">
        <v>213</v>
      </c>
      <c r="H11" t="s">
        <v>219</v>
      </c>
      <c r="I11" t="s">
        <v>49</v>
      </c>
      <c r="J11">
        <v>0.23736123140172247</v>
      </c>
      <c r="L11" t="s">
        <v>12</v>
      </c>
      <c r="M11" t="s">
        <v>49</v>
      </c>
      <c r="N11">
        <v>0.3457442836703164</v>
      </c>
      <c r="P11">
        <v>2020</v>
      </c>
      <c r="Q11" t="s">
        <v>37</v>
      </c>
      <c r="R11">
        <v>0.32229999999999998</v>
      </c>
      <c r="S11" t="s">
        <v>225</v>
      </c>
    </row>
    <row r="12" spans="1:19" x14ac:dyDescent="0.45">
      <c r="C12">
        <v>0.24931506849315069</v>
      </c>
      <c r="D12">
        <v>0.36216294160057688</v>
      </c>
      <c r="E12" t="s">
        <v>51</v>
      </c>
      <c r="F12" t="s">
        <v>213</v>
      </c>
      <c r="H12" t="s">
        <v>219</v>
      </c>
      <c r="I12" t="s">
        <v>51</v>
      </c>
      <c r="J12">
        <v>0.2883752313266485</v>
      </c>
      <c r="L12" t="s">
        <v>12</v>
      </c>
      <c r="M12" t="s">
        <v>51</v>
      </c>
      <c r="N12">
        <v>0.15308723502715615</v>
      </c>
      <c r="P12">
        <v>2020</v>
      </c>
      <c r="Q12" t="s">
        <v>41</v>
      </c>
      <c r="R12">
        <v>0.23195000000000002</v>
      </c>
      <c r="S12" t="s">
        <v>225</v>
      </c>
    </row>
    <row r="13" spans="1:19" x14ac:dyDescent="0.45">
      <c r="C13">
        <v>0.25068493150684934</v>
      </c>
      <c r="D13">
        <v>0.13721701514059123</v>
      </c>
      <c r="E13" t="s">
        <v>52</v>
      </c>
      <c r="F13" t="s">
        <v>213</v>
      </c>
      <c r="H13" t="s">
        <v>219</v>
      </c>
      <c r="I13" t="s">
        <v>52</v>
      </c>
      <c r="J13">
        <v>0.21607774953086684</v>
      </c>
      <c r="L13" t="s">
        <v>12</v>
      </c>
      <c r="M13" t="s">
        <v>52</v>
      </c>
      <c r="N13">
        <v>0.39995921245857979</v>
      </c>
      <c r="P13">
        <v>2021</v>
      </c>
      <c r="Q13" t="s">
        <v>37</v>
      </c>
      <c r="R13">
        <v>0.30814999999999998</v>
      </c>
      <c r="S13" t="s">
        <v>225</v>
      </c>
    </row>
    <row r="14" spans="1:19" x14ac:dyDescent="0.45">
      <c r="C14">
        <v>0.25068493150684934</v>
      </c>
      <c r="D14">
        <v>0.36415284787310753</v>
      </c>
      <c r="E14" t="s">
        <v>53</v>
      </c>
      <c r="F14" t="s">
        <v>213</v>
      </c>
      <c r="H14" t="s">
        <v>219</v>
      </c>
      <c r="I14" t="s">
        <v>53</v>
      </c>
      <c r="J14">
        <v>0.25818578774076217</v>
      </c>
      <c r="L14" t="s">
        <v>12</v>
      </c>
      <c r="M14" t="s">
        <v>53</v>
      </c>
      <c r="N14">
        <v>0.21732334316905755</v>
      </c>
      <c r="P14">
        <v>2021</v>
      </c>
      <c r="Q14" t="s">
        <v>41</v>
      </c>
      <c r="R14">
        <v>0.22333333333333336</v>
      </c>
      <c r="S14" t="s">
        <v>225</v>
      </c>
    </row>
    <row r="15" spans="1:19" x14ac:dyDescent="0.45">
      <c r="H15" t="s">
        <v>220</v>
      </c>
      <c r="I15" t="s">
        <v>49</v>
      </c>
      <c r="J15">
        <v>0.24740922650075914</v>
      </c>
      <c r="P15">
        <v>2022</v>
      </c>
      <c r="Q15" t="s">
        <v>37</v>
      </c>
      <c r="R15">
        <v>0.24585000000000001</v>
      </c>
      <c r="S15" t="s">
        <v>225</v>
      </c>
    </row>
    <row r="16" spans="1:19" x14ac:dyDescent="0.45">
      <c r="H16" t="s">
        <v>220</v>
      </c>
      <c r="I16" t="s">
        <v>51</v>
      </c>
      <c r="J16">
        <v>0.25143013013739296</v>
      </c>
      <c r="P16">
        <v>2022</v>
      </c>
      <c r="Q16" t="s">
        <v>41</v>
      </c>
      <c r="R16">
        <v>0.15948333333333334</v>
      </c>
      <c r="S16" t="s">
        <v>225</v>
      </c>
    </row>
    <row r="17" spans="8:19" x14ac:dyDescent="0.45">
      <c r="H17" t="s">
        <v>220</v>
      </c>
      <c r="I17" t="s">
        <v>52</v>
      </c>
      <c r="J17">
        <v>0.24892085208219758</v>
      </c>
      <c r="P17">
        <v>2025</v>
      </c>
      <c r="Q17" t="s">
        <v>37</v>
      </c>
      <c r="R17">
        <v>0.28488333333333332</v>
      </c>
      <c r="S17" t="s">
        <v>225</v>
      </c>
    </row>
    <row r="18" spans="8:19" x14ac:dyDescent="0.45">
      <c r="H18" t="s">
        <v>220</v>
      </c>
      <c r="I18" t="s">
        <v>53</v>
      </c>
      <c r="J18">
        <v>0.25223979127965024</v>
      </c>
      <c r="P18">
        <v>2025</v>
      </c>
      <c r="Q18" t="s">
        <v>41</v>
      </c>
      <c r="R18">
        <v>0.21781666666666666</v>
      </c>
      <c r="S18" t="s">
        <v>225</v>
      </c>
    </row>
    <row r="19" spans="8:19" x14ac:dyDescent="0.45">
      <c r="P19">
        <v>2026</v>
      </c>
      <c r="Q19" t="s">
        <v>37</v>
      </c>
      <c r="R19">
        <v>0.2787</v>
      </c>
      <c r="S19" t="s">
        <v>225</v>
      </c>
    </row>
    <row r="20" spans="8:19" x14ac:dyDescent="0.45">
      <c r="P20">
        <v>2026</v>
      </c>
      <c r="Q20" t="s">
        <v>41</v>
      </c>
      <c r="R20">
        <v>0.21091666666666664</v>
      </c>
      <c r="S20" t="s">
        <v>225</v>
      </c>
    </row>
    <row r="21" spans="8:19" x14ac:dyDescent="0.45">
      <c r="P21">
        <v>2027</v>
      </c>
      <c r="Q21" t="s">
        <v>37</v>
      </c>
      <c r="R21">
        <v>0.31830000000000003</v>
      </c>
      <c r="S21" t="s">
        <v>225</v>
      </c>
    </row>
    <row r="22" spans="8:19" x14ac:dyDescent="0.45">
      <c r="P22">
        <v>2027</v>
      </c>
      <c r="Q22" t="s">
        <v>41</v>
      </c>
      <c r="R22">
        <v>0.21881666666666666</v>
      </c>
      <c r="S22" t="s">
        <v>225</v>
      </c>
    </row>
    <row r="23" spans="8:19" x14ac:dyDescent="0.45">
      <c r="P23">
        <v>2028</v>
      </c>
      <c r="Q23" t="s">
        <v>37</v>
      </c>
      <c r="R23">
        <v>0.35585</v>
      </c>
      <c r="S23" t="s">
        <v>225</v>
      </c>
    </row>
    <row r="24" spans="8:19" x14ac:dyDescent="0.45">
      <c r="P24">
        <v>2028</v>
      </c>
      <c r="Q24" t="s">
        <v>41</v>
      </c>
      <c r="R24">
        <v>0.22443333333333335</v>
      </c>
      <c r="S24" t="s">
        <v>225</v>
      </c>
    </row>
    <row r="25" spans="8:19" x14ac:dyDescent="0.45">
      <c r="P25">
        <v>2029</v>
      </c>
      <c r="Q25" t="s">
        <v>37</v>
      </c>
      <c r="R25">
        <v>0.33420000000000005</v>
      </c>
      <c r="S25" t="s">
        <v>225</v>
      </c>
    </row>
    <row r="26" spans="8:19" x14ac:dyDescent="0.45">
      <c r="P26">
        <v>2029</v>
      </c>
      <c r="Q26" t="s">
        <v>41</v>
      </c>
      <c r="R26">
        <v>0.20713333333333331</v>
      </c>
      <c r="S26" t="s">
        <v>225</v>
      </c>
    </row>
    <row r="27" spans="8:19" x14ac:dyDescent="0.45">
      <c r="P27">
        <v>2030</v>
      </c>
      <c r="Q27" t="s">
        <v>37</v>
      </c>
      <c r="R27">
        <v>0.34051666666666663</v>
      </c>
      <c r="S27" t="s">
        <v>225</v>
      </c>
    </row>
    <row r="28" spans="8:19" x14ac:dyDescent="0.45">
      <c r="P28">
        <v>2030</v>
      </c>
      <c r="Q28" t="s">
        <v>41</v>
      </c>
      <c r="R28">
        <v>0.22516666666666665</v>
      </c>
      <c r="S28" t="s">
        <v>225</v>
      </c>
    </row>
    <row r="29" spans="8:19" x14ac:dyDescent="0.45">
      <c r="P29">
        <v>2031</v>
      </c>
      <c r="Q29" t="s">
        <v>37</v>
      </c>
      <c r="R29">
        <v>0.34231666666666666</v>
      </c>
      <c r="S29" t="s">
        <v>225</v>
      </c>
    </row>
    <row r="30" spans="8:19" x14ac:dyDescent="0.45">
      <c r="P30">
        <v>2031</v>
      </c>
      <c r="Q30" t="s">
        <v>41</v>
      </c>
      <c r="R30">
        <v>0.23573333333333335</v>
      </c>
      <c r="S30" t="s">
        <v>225</v>
      </c>
    </row>
    <row r="31" spans="8:19" x14ac:dyDescent="0.45">
      <c r="P31">
        <v>2032</v>
      </c>
      <c r="Q31" t="s">
        <v>37</v>
      </c>
      <c r="R31">
        <v>0.26255000000000001</v>
      </c>
      <c r="S31" t="s">
        <v>225</v>
      </c>
    </row>
    <row r="32" spans="8:19" x14ac:dyDescent="0.45">
      <c r="P32">
        <v>2032</v>
      </c>
      <c r="Q32" t="s">
        <v>41</v>
      </c>
      <c r="R32">
        <v>0.20901666666666666</v>
      </c>
      <c r="S32" t="s">
        <v>225</v>
      </c>
    </row>
    <row r="33" spans="16:19" x14ac:dyDescent="0.45">
      <c r="P33">
        <v>2033</v>
      </c>
      <c r="Q33" t="s">
        <v>37</v>
      </c>
      <c r="R33">
        <v>0.3178833333333333</v>
      </c>
      <c r="S33" t="s">
        <v>225</v>
      </c>
    </row>
    <row r="34" spans="16:19" x14ac:dyDescent="0.45">
      <c r="P34">
        <v>2033</v>
      </c>
      <c r="Q34" t="s">
        <v>41</v>
      </c>
      <c r="R34">
        <v>0.21578333333333333</v>
      </c>
      <c r="S34" t="s">
        <v>225</v>
      </c>
    </row>
    <row r="35" spans="16:19" x14ac:dyDescent="0.45">
      <c r="P35">
        <v>2034</v>
      </c>
      <c r="Q35" t="s">
        <v>37</v>
      </c>
      <c r="R35">
        <v>0.27525000000000005</v>
      </c>
      <c r="S35" t="s">
        <v>225</v>
      </c>
    </row>
    <row r="36" spans="16:19" x14ac:dyDescent="0.45">
      <c r="P36">
        <v>2034</v>
      </c>
      <c r="Q36" t="s">
        <v>41</v>
      </c>
      <c r="R36">
        <v>0.19263333333333332</v>
      </c>
      <c r="S36" t="s">
        <v>225</v>
      </c>
    </row>
    <row r="37" spans="16:19" x14ac:dyDescent="0.45">
      <c r="P37">
        <v>2035</v>
      </c>
      <c r="Q37" t="s">
        <v>37</v>
      </c>
      <c r="R37">
        <v>0.30975000000000003</v>
      </c>
      <c r="S37" t="s">
        <v>225</v>
      </c>
    </row>
    <row r="38" spans="16:19" x14ac:dyDescent="0.45">
      <c r="P38">
        <v>2035</v>
      </c>
      <c r="Q38" t="s">
        <v>41</v>
      </c>
      <c r="R38">
        <v>0.21604999999999999</v>
      </c>
      <c r="S38" t="s">
        <v>225</v>
      </c>
    </row>
    <row r="39" spans="16:19" x14ac:dyDescent="0.45">
      <c r="P39">
        <v>2036</v>
      </c>
      <c r="Q39" t="s">
        <v>37</v>
      </c>
      <c r="R39">
        <v>0.29388333333333333</v>
      </c>
      <c r="S39" t="s">
        <v>225</v>
      </c>
    </row>
    <row r="40" spans="16:19" x14ac:dyDescent="0.45">
      <c r="P40">
        <v>2036</v>
      </c>
      <c r="Q40" t="s">
        <v>41</v>
      </c>
      <c r="R40">
        <v>0.21548333333333333</v>
      </c>
      <c r="S40" t="s">
        <v>225</v>
      </c>
    </row>
    <row r="41" spans="16:19" x14ac:dyDescent="0.45">
      <c r="P41">
        <v>2037</v>
      </c>
      <c r="Q41" t="s">
        <v>37</v>
      </c>
      <c r="R41">
        <v>0.27150000000000002</v>
      </c>
      <c r="S41" t="s">
        <v>225</v>
      </c>
    </row>
    <row r="42" spans="16:19" x14ac:dyDescent="0.45">
      <c r="P42">
        <v>2037</v>
      </c>
      <c r="Q42" t="s">
        <v>41</v>
      </c>
      <c r="R42">
        <v>0.18758333333333332</v>
      </c>
      <c r="S42" t="s">
        <v>225</v>
      </c>
    </row>
    <row r="43" spans="16:19" x14ac:dyDescent="0.45">
      <c r="P43">
        <v>2038</v>
      </c>
      <c r="Q43" t="s">
        <v>37</v>
      </c>
      <c r="R43">
        <v>0.30738333333333334</v>
      </c>
      <c r="S43" t="s">
        <v>225</v>
      </c>
    </row>
    <row r="44" spans="16:19" x14ac:dyDescent="0.45">
      <c r="P44">
        <v>2038</v>
      </c>
      <c r="Q44" t="s">
        <v>41</v>
      </c>
      <c r="R44">
        <v>0.20504999999999998</v>
      </c>
      <c r="S44" t="s">
        <v>225</v>
      </c>
    </row>
    <row r="45" spans="16:19" x14ac:dyDescent="0.45">
      <c r="P45">
        <v>2039</v>
      </c>
      <c r="Q45" t="s">
        <v>37</v>
      </c>
      <c r="R45">
        <v>0.32723333333333332</v>
      </c>
      <c r="S45" t="s">
        <v>225</v>
      </c>
    </row>
    <row r="46" spans="16:19" x14ac:dyDescent="0.45">
      <c r="P46">
        <v>2039</v>
      </c>
      <c r="Q46" t="s">
        <v>41</v>
      </c>
      <c r="R46">
        <v>0.23215</v>
      </c>
      <c r="S46" t="s">
        <v>225</v>
      </c>
    </row>
    <row r="47" spans="16:19" x14ac:dyDescent="0.45">
      <c r="P47">
        <v>2040</v>
      </c>
      <c r="Q47" t="s">
        <v>37</v>
      </c>
      <c r="R47">
        <v>0.3762833333333333</v>
      </c>
      <c r="S47" t="s">
        <v>225</v>
      </c>
    </row>
    <row r="48" spans="16:19" x14ac:dyDescent="0.45">
      <c r="P48">
        <v>2040</v>
      </c>
      <c r="Q48" t="s">
        <v>41</v>
      </c>
      <c r="R48">
        <v>0.26158333333333333</v>
      </c>
      <c r="S48" t="s">
        <v>225</v>
      </c>
    </row>
    <row r="49" spans="16:19" x14ac:dyDescent="0.45">
      <c r="P49">
        <v>2041</v>
      </c>
      <c r="Q49" t="s">
        <v>37</v>
      </c>
      <c r="R49">
        <v>0.35810000000000003</v>
      </c>
      <c r="S49" t="s">
        <v>225</v>
      </c>
    </row>
    <row r="50" spans="16:19" x14ac:dyDescent="0.45">
      <c r="P50">
        <v>2041</v>
      </c>
      <c r="Q50" t="s">
        <v>41</v>
      </c>
      <c r="R50">
        <v>0.28811666666666669</v>
      </c>
      <c r="S50" t="s">
        <v>225</v>
      </c>
    </row>
    <row r="51" spans="16:19" x14ac:dyDescent="0.45">
      <c r="P51">
        <v>2042</v>
      </c>
      <c r="Q51" t="s">
        <v>37</v>
      </c>
      <c r="R51">
        <v>0.40609999999999996</v>
      </c>
      <c r="S51" t="s">
        <v>225</v>
      </c>
    </row>
    <row r="52" spans="16:19" x14ac:dyDescent="0.45">
      <c r="P52">
        <v>2042</v>
      </c>
      <c r="Q52" t="s">
        <v>41</v>
      </c>
      <c r="R52">
        <v>0.28086666666666665</v>
      </c>
      <c r="S52" t="s">
        <v>225</v>
      </c>
    </row>
    <row r="53" spans="16:19" x14ac:dyDescent="0.45">
      <c r="P53">
        <v>2043</v>
      </c>
      <c r="Q53" t="s">
        <v>37</v>
      </c>
      <c r="R53">
        <v>0.35614999999999997</v>
      </c>
      <c r="S53" t="s">
        <v>225</v>
      </c>
    </row>
    <row r="54" spans="16:19" x14ac:dyDescent="0.45">
      <c r="P54">
        <v>2043</v>
      </c>
      <c r="Q54" t="s">
        <v>41</v>
      </c>
      <c r="R54">
        <v>0.26573333333333332</v>
      </c>
      <c r="S54" t="s">
        <v>225</v>
      </c>
    </row>
    <row r="55" spans="16:19" x14ac:dyDescent="0.45">
      <c r="P55">
        <v>2044</v>
      </c>
      <c r="Q55" t="s">
        <v>37</v>
      </c>
      <c r="R55">
        <v>0.34571666666666667</v>
      </c>
      <c r="S55" t="s">
        <v>225</v>
      </c>
    </row>
    <row r="56" spans="16:19" x14ac:dyDescent="0.45">
      <c r="P56">
        <v>2044</v>
      </c>
      <c r="Q56" t="s">
        <v>41</v>
      </c>
      <c r="R56">
        <v>0.24938333333333332</v>
      </c>
      <c r="S56" t="s">
        <v>225</v>
      </c>
    </row>
    <row r="57" spans="16:19" x14ac:dyDescent="0.45">
      <c r="P57">
        <v>2045</v>
      </c>
      <c r="Q57" t="s">
        <v>37</v>
      </c>
      <c r="R57">
        <v>0.36569999999999997</v>
      </c>
      <c r="S57" t="s">
        <v>225</v>
      </c>
    </row>
    <row r="58" spans="16:19" x14ac:dyDescent="0.45">
      <c r="P58">
        <v>2045</v>
      </c>
      <c r="Q58" t="s">
        <v>41</v>
      </c>
      <c r="R58">
        <v>0.25935000000000002</v>
      </c>
      <c r="S58" t="s">
        <v>225</v>
      </c>
    </row>
    <row r="59" spans="16:19" x14ac:dyDescent="0.45">
      <c r="P59">
        <v>2046</v>
      </c>
      <c r="Q59" t="s">
        <v>37</v>
      </c>
      <c r="R59">
        <v>0.39169999999999999</v>
      </c>
      <c r="S59" t="s">
        <v>225</v>
      </c>
    </row>
    <row r="60" spans="16:19" x14ac:dyDescent="0.45">
      <c r="P60">
        <v>2046</v>
      </c>
      <c r="Q60" t="s">
        <v>41</v>
      </c>
      <c r="R60">
        <v>0.28825000000000001</v>
      </c>
      <c r="S60" t="s">
        <v>225</v>
      </c>
    </row>
    <row r="61" spans="16:19" x14ac:dyDescent="0.45">
      <c r="P61">
        <v>2047</v>
      </c>
      <c r="Q61" t="s">
        <v>37</v>
      </c>
      <c r="R61">
        <v>0.32606666666666667</v>
      </c>
      <c r="S61" t="s">
        <v>225</v>
      </c>
    </row>
    <row r="62" spans="16:19" x14ac:dyDescent="0.45">
      <c r="P62">
        <v>2047</v>
      </c>
      <c r="Q62" t="s">
        <v>41</v>
      </c>
      <c r="R62">
        <v>0.23631666666666665</v>
      </c>
      <c r="S62" t="s">
        <v>225</v>
      </c>
    </row>
    <row r="63" spans="16:19" x14ac:dyDescent="0.45">
      <c r="P63">
        <v>2048</v>
      </c>
      <c r="Q63" t="s">
        <v>37</v>
      </c>
      <c r="R63">
        <v>0.29148333333333332</v>
      </c>
      <c r="S63" t="s">
        <v>225</v>
      </c>
    </row>
    <row r="64" spans="16:19" x14ac:dyDescent="0.45">
      <c r="P64">
        <v>2048</v>
      </c>
      <c r="Q64" t="s">
        <v>41</v>
      </c>
      <c r="R64">
        <v>0.21613333333333332</v>
      </c>
      <c r="S64" t="s">
        <v>225</v>
      </c>
    </row>
    <row r="65" spans="16:19" x14ac:dyDescent="0.45">
      <c r="P65">
        <v>2049</v>
      </c>
      <c r="Q65" t="s">
        <v>37</v>
      </c>
      <c r="R65">
        <v>0.29098333333333332</v>
      </c>
      <c r="S65" t="s">
        <v>225</v>
      </c>
    </row>
    <row r="66" spans="16:19" x14ac:dyDescent="0.45">
      <c r="P66">
        <v>2049</v>
      </c>
      <c r="Q66" t="s">
        <v>41</v>
      </c>
      <c r="R66">
        <v>0.23691666666666666</v>
      </c>
      <c r="S66" t="s">
        <v>225</v>
      </c>
    </row>
    <row r="67" spans="16:19" x14ac:dyDescent="0.45">
      <c r="P67">
        <v>2050</v>
      </c>
      <c r="Q67" t="s">
        <v>37</v>
      </c>
      <c r="R67">
        <v>0.3014</v>
      </c>
      <c r="S67" t="s">
        <v>225</v>
      </c>
    </row>
    <row r="68" spans="16:19" x14ac:dyDescent="0.45">
      <c r="P68">
        <v>2050</v>
      </c>
      <c r="Q68" t="s">
        <v>41</v>
      </c>
      <c r="R68">
        <v>0.25575000000000003</v>
      </c>
      <c r="S68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2026-07-23T04:32:38Z</dcterms:modified>
</cp:coreProperties>
</file>