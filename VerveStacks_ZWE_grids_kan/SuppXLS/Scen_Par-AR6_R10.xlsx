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13_ncr:1_{CD224DC8-B4EF-4B04-9617-126F3924AD5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K24" i="1" s="1"/>
  <c r="V24" i="1" s="1"/>
  <c r="I15" i="1"/>
  <c r="O24" i="1"/>
  <c r="Z24" i="1" s="1"/>
  <c r="L24" i="1"/>
  <c r="W24" i="1" s="1"/>
  <c r="M24" i="1"/>
  <c r="X24" i="1" s="1"/>
  <c r="I14" i="1"/>
  <c r="D5" i="1"/>
  <c r="H14" i="1" s="1"/>
  <c r="AJ59" i="1"/>
  <c r="AJ55" i="1"/>
  <c r="O15" i="1" l="1"/>
  <c r="Z23" i="1" s="1"/>
  <c r="K15" i="1"/>
  <c r="V23" i="1" s="1"/>
  <c r="L15" i="1"/>
  <c r="W23" i="1" s="1"/>
  <c r="N15" i="1"/>
  <c r="Y23" i="1" s="1"/>
  <c r="M15" i="1"/>
  <c r="X23" i="1" s="1"/>
  <c r="J15" i="1"/>
  <c r="U23" i="1" s="1"/>
  <c r="N24" i="1"/>
  <c r="Y24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Z22" i="1" l="1"/>
  <c r="U22" i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<sst xmlns="http://schemas.openxmlformats.org/spreadsheetml/2006/main" count="1717" uniqueCount="126">
  <si>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</si>
  <si>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</si>
  <si>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</si>
  <si>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</si>
  <si>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</si>
  <si>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</si>
  <si>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</si>
  <si>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</si>
  <si>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</si>
  <si>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</si>
  <si>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</si>
  <si>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</si>
  <si>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</si>
  <si>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</si>
  <si>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</si>
  <si>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</si>
  <si>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</si>
  <si>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</si>
  <si>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</si>
  <si>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</si>
  <si>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</si>
  <si>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</si>
  <si>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</si>
  <si>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</si>
  <si>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</si>
  <si>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</si>
  <si>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</si>
  <si>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</si>
  <si>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</si>
  <si>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</si>
  <si>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</si>
  <si>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</si>
  <si>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</si>
  <si>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</si>
  <si>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</si>
  <si>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</si>
  <si>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</si>
  <si>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</si>
  <si>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</si>
  <si>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</si>
  <si>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</si>
  <si>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</si>
  <si>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</si>
  <si>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</si>
  <si>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</si>
  <si>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</si>
  <si>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</si>
  <si>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</si>
  <si>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</si>
  <si>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</si>
  <si>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</si>
  <si>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</si>
  <si>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</si>
  <si>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</si>
  <si>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</si>
  <si>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</si>
  <si>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</si>
  <si>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</si>
  <si>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</si>
  <si>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</si>
  <si>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</si>
  <si>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</si>
  <si>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</si>
  <si>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</si>
  <si>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</si>
  <si>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</si>
  <si>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</si>
  <si>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</si>
  <si>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</si>
  <si>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</si>
  <si>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</si>
  <si>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</si>
  <si>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</si>
  <si>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</si>
  <si>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</si>
  <si>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</si>
  <si>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</si>
  <si>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</si>
  <si>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</si>
  <si>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</si>
  <si>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</si>
  <si>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</si>
  <si>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</si>
  <si>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</si>
  <si>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</si>
  <si>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</si>
  <si>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</si>
  <si>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</si>
  <si>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</si>
  <si>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</si>
  <si>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</si>
  <si>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</si>
  <si>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</si>
  <si>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</si>
  <si>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</si>
  <si>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</si>
  <si>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</si>
  <si>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</si>
  <si>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</si>
  <si>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</si>
  <si>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</si>
  <si>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</si>
  <si>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</si>
  <si>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</si>
  <si>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</si>
  <si>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</si>
  <si>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</si>
  <si>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</si>
  <si>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</si>
  <si>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</si>
  <si>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</si>
  <si>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</si>
  <si>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</si>
  <si>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</si>
  <si>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</si>
  <si>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</si>
  <si>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</si>
  <si>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</si>
  <si>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</si>
  <si>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</si>
  <si>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</si>
  <si>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</si>
  <si>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</si>
  <si>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ZWE</t>
  </si>
  <si>
    <t>R10AFRICA</t>
  </si>
  <si>
    <t>Coal resources,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</si>
</sst>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10.610000000000001</c:v>
                </c:pt>
                <c:pt idx="1">
                  <c:v>14.960100000000001</c:v>
                </c:pt>
                <c:pt idx="2">
                  <c:v>19.098000000000003</c:v>
                </c:pt>
                <c:pt idx="3">
                  <c:v>29.177500000000002</c:v>
                </c:pt>
                <c:pt idx="4">
                  <c:v>35.6496</c:v>
                </c:pt>
                <c:pt idx="5">
                  <c:v>54.323200000000007</c:v>
                </c:pt>
                <c:pt idx="6">
                  <c:v>60.370900000000013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A4" sqref="A4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5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9</v>
      </c>
    </row>
    <row r="5" spans="1:39" x14ac:dyDescent="0.45">
      <c r="D5" s="1" t="str">
        <f>VLOOKUP(D3,$C$9:$E$999,2,FALSE)</f>
        <v>high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10.610000000000001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C7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1.41</v>
      </c>
      <c r="K14" s="11">
        <f>SUMIFS(ar6_r10!$F$2:$F$999,ar6_r10!$A$2:$A$999,$H$14,ar6_r10!$C$2:$C$999,Veda!K$17,ar6_r10!$M$2:$M$999,Veda!$G14)</f>
        <v>1.8</v>
      </c>
      <c r="L14" s="11">
        <f>SUMIFS(ar6_r10!$F$2:$F$999,ar6_r10!$A$2:$A$999,$H$14,ar6_r10!$C$2:$C$999,Veda!L$17,ar6_r10!$M$2:$M$999,Veda!$G14)</f>
        <v>2.75</v>
      </c>
      <c r="M14" s="11">
        <f>SUMIFS(ar6_r10!$F$2:$F$999,ar6_r10!$A$2:$A$999,$H$14,ar6_r10!$C$2:$C$999,Veda!M$17,ar6_r10!$M$2:$M$999,Veda!$G14)</f>
        <v>3.36</v>
      </c>
      <c r="N14" s="11">
        <f>SUMIFS(ar6_r10!$F$2:$F$999,ar6_r10!$A$2:$A$999,$H$14,ar6_r10!$C$2:$C$999,Veda!N$17,ar6_r10!$M$2:$M$999,Veda!$G14)</f>
        <v>5.12</v>
      </c>
      <c r="O14" s="11">
        <f>SUMIFS(ar6_r10!$F$2:$F$999,ar6_r10!$A$2:$A$999,$H$14,ar6_r10!$C$2:$C$999,Veda!O$17,ar6_r10!$M$2:$M$999,Veda!$G14)</f>
        <v>5.69</v>
      </c>
      <c r="T14" s="8">
        <f>S11</f>
        <v>10.610000000000001</v>
      </c>
      <c r="U14" s="8">
        <f t="shared" ref="U14:Z14" si="4">$S$11*J14</f>
        <v>14.960100000000001</v>
      </c>
      <c r="V14" s="8">
        <f t="shared" si="4"/>
        <v>19.098000000000003</v>
      </c>
      <c r="W14" s="8">
        <f t="shared" si="4"/>
        <v>29.177500000000002</v>
      </c>
      <c r="X14" s="8">
        <f t="shared" si="4"/>
        <v>35.6496</v>
      </c>
      <c r="Y14" s="8">
        <f t="shared" si="4"/>
        <v>54.323200000000007</v>
      </c>
      <c r="Z14" s="8">
        <f t="shared" si="4"/>
        <v>60.370900000000013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3.05</v>
      </c>
      <c r="K15" s="11">
        <f>SUMIFS(ar6_r10!$F$2:$F$999,ar6_r10!$A$2:$A$999,$H$14,ar6_r10!$C$2:$C$999,Veda!K$17,ar6_r10!$M$2:$M$999,Veda!$G15)</f>
        <v>3.31</v>
      </c>
      <c r="L15" s="11">
        <f>SUMIFS(ar6_r10!$F$2:$F$999,ar6_r10!$A$2:$A$999,$H$14,ar6_r10!$C$2:$C$999,Veda!L$17,ar6_r10!$M$2:$M$999,Veda!$G15)</f>
        <v>11.21</v>
      </c>
      <c r="M15" s="11">
        <f>SUMIFS(ar6_r10!$F$2:$F$999,ar6_r10!$A$2:$A$999,$H$14,ar6_r10!$C$2:$C$999,Veda!M$17,ar6_r10!$M$2:$M$999,Veda!$G15)</f>
        <v>7.67</v>
      </c>
      <c r="N15" s="11">
        <f>SUMIFS(ar6_r10!$F$2:$F$999,ar6_r10!$A$2:$A$999,$H$14,ar6_r10!$C$2:$C$999,Veda!N$17,ar6_r10!$M$2:$M$999,Veda!$G15)</f>
        <v>20.170000000000002</v>
      </c>
      <c r="O15" s="11">
        <f>SUMIFS(ar6_r10!$F$2:$F$999,ar6_r10!$A$2:$A$999,$H$14,ar6_r10!$C$2:$C$999,Veda!O$17,ar6_r10!$M$2:$M$999,Veda!$G15)</f>
        <v>15.86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0.01</v>
      </c>
      <c r="J18" s="11">
        <f>SUMIFS(ar6_r10!$F$2:$F$999,ar6_r10!$A$2:$A$999,$H$14,ar6_r10!$C$2:$C$999,Veda!J$17,ar6_r10!$M$2:$M$999,Veda!$G18)</f>
        <v>0.01</v>
      </c>
      <c r="K18" s="11">
        <f>SUMIFS(ar6_r10!$F$2:$F$999,ar6_r10!$A$2:$A$999,$H$14,ar6_r10!$C$2:$C$999,Veda!K$17,ar6_r10!$M$2:$M$999,Veda!$G18)</f>
        <v>0.01</v>
      </c>
      <c r="L18" s="11">
        <f>SUMIFS(ar6_r10!$F$2:$F$999,ar6_r10!$A$2:$A$999,$H$14,ar6_r10!$C$2:$C$999,Veda!L$17,ar6_r10!$M$2:$M$999,Veda!$G18)</f>
        <v>0.02</v>
      </c>
      <c r="M18" s="11">
        <f>SUMIFS(ar6_r10!$F$2:$F$999,ar6_r10!$A$2:$A$999,$H$14,ar6_r10!$C$2:$C$999,Veda!M$17,ar6_r10!$M$2:$M$999,Veda!$G18)</f>
        <v>0.02</v>
      </c>
      <c r="N18" s="11">
        <f>SUMIFS(ar6_r10!$F$2:$F$999,ar6_r10!$A$2:$A$999,$H$14,ar6_r10!$C$2:$C$999,Veda!N$17,ar6_r10!$M$2:$M$999,Veda!$G18)</f>
        <v>0.03</v>
      </c>
      <c r="O18" s="11">
        <f>SUMIFS(ar6_r10!$F$2:$F$999,ar6_r10!$A$2:$A$999,$H$14,ar6_r10!$C$2:$C$999,Veda!O$17,ar6_r10!$M$2:$M$999,Veda!$G18)</f>
        <v>0.03</v>
      </c>
      <c r="S18" s="10" t="s">
        <v>16</v>
      </c>
      <c r="T18" s="6">
        <f t="shared" ref="T18:Z20" si="7">I18*T$14</f>
        <v>0.10610000000000001</v>
      </c>
      <c r="U18" s="6">
        <f t="shared" si="7"/>
        <v>0.14960100000000001</v>
      </c>
      <c r="V18" s="6">
        <f t="shared" si="7"/>
        <v>0.19098000000000004</v>
      </c>
      <c r="W18" s="6">
        <f t="shared" si="7"/>
        <v>0.58355000000000001</v>
      </c>
      <c r="X18" s="6">
        <f t="shared" si="7"/>
        <v>0.71299199999999996</v>
      </c>
      <c r="Y18" s="6">
        <f t="shared" si="7"/>
        <v>1.6296960000000003</v>
      </c>
      <c r="Z18" s="6">
        <f t="shared" si="7"/>
        <v>1.8111270000000004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0.5</v>
      </c>
      <c r="J19" s="11">
        <f>SUMIFS(ar6_r10!$F$2:$F$999,ar6_r10!$A$2:$A$999,$H$14,ar6_r10!$C$2:$C$999,Veda!J$17,ar6_r10!$M$2:$M$999,Veda!$G19)</f>
        <v>0.52</v>
      </c>
      <c r="K19" s="11">
        <f>SUMIFS(ar6_r10!$F$2:$F$999,ar6_r10!$A$2:$A$999,$H$14,ar6_r10!$C$2:$C$999,Veda!K$17,ar6_r10!$M$2:$M$999,Veda!$G19)</f>
        <v>0.49</v>
      </c>
      <c r="L19" s="11">
        <f>SUMIFS(ar6_r10!$F$2:$F$999,ar6_r10!$A$2:$A$999,$H$14,ar6_r10!$C$2:$C$999,Veda!L$17,ar6_r10!$M$2:$M$999,Veda!$G19)</f>
        <v>0.52</v>
      </c>
      <c r="M19" s="11">
        <f>SUMIFS(ar6_r10!$F$2:$F$999,ar6_r10!$A$2:$A$999,$H$14,ar6_r10!$C$2:$C$999,Veda!M$17,ar6_r10!$M$2:$M$999,Veda!$G19)</f>
        <v>0.5</v>
      </c>
      <c r="N19" s="11">
        <f>SUMIFS(ar6_r10!$F$2:$F$999,ar6_r10!$A$2:$A$999,$H$14,ar6_r10!$C$2:$C$999,Veda!N$17,ar6_r10!$M$2:$M$999,Veda!$G19)</f>
        <v>0.5</v>
      </c>
      <c r="O19" s="11">
        <f>SUMIFS(ar6_r10!$F$2:$F$999,ar6_r10!$A$2:$A$999,$H$14,ar6_r10!$C$2:$C$999,Veda!O$17,ar6_r10!$M$2:$M$999,Veda!$G19)</f>
        <v>0.48</v>
      </c>
      <c r="S19" s="10" t="s">
        <v>19</v>
      </c>
      <c r="T19" s="6">
        <f t="shared" si="7"/>
        <v>5.3050000000000006</v>
      </c>
      <c r="U19" s="6">
        <f t="shared" si="7"/>
        <v>7.7792520000000005</v>
      </c>
      <c r="V19" s="6">
        <f t="shared" si="7"/>
        <v>9.3580200000000016</v>
      </c>
      <c r="W19" s="6">
        <f t="shared" si="7"/>
        <v>15.172300000000002</v>
      </c>
      <c r="X19" s="6">
        <f t="shared" si="7"/>
        <v>17.8248</v>
      </c>
      <c r="Y19" s="6">
        <f t="shared" si="7"/>
        <v>27.161600000000004</v>
      </c>
      <c r="Z19" s="6">
        <f t="shared" si="7"/>
        <v>28.978032000000006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0.49</v>
      </c>
      <c r="J20" s="11">
        <f>SUMIFS(ar6_r10!$F$2:$F$999,ar6_r10!$A$2:$A$999,$H$14,ar6_r10!$C$2:$C$999,Veda!J$17,ar6_r10!$M$2:$M$999,Veda!$G20)</f>
        <v>0.46</v>
      </c>
      <c r="K20" s="11">
        <f>SUMIFS(ar6_r10!$F$2:$F$999,ar6_r10!$A$2:$A$999,$H$14,ar6_r10!$C$2:$C$999,Veda!K$17,ar6_r10!$M$2:$M$999,Veda!$G20)</f>
        <v>0.47</v>
      </c>
      <c r="L20" s="11">
        <f>SUMIFS(ar6_r10!$F$2:$F$999,ar6_r10!$A$2:$A$999,$H$14,ar6_r10!$C$2:$C$999,Veda!L$17,ar6_r10!$M$2:$M$999,Veda!$G20)</f>
        <v>0.46</v>
      </c>
      <c r="M20" s="11">
        <f>SUMIFS(ar6_r10!$F$2:$F$999,ar6_r10!$A$2:$A$999,$H$14,ar6_r10!$C$2:$C$999,Veda!M$17,ar6_r10!$M$2:$M$999,Veda!$G20)</f>
        <v>0.47</v>
      </c>
      <c r="N20" s="11">
        <f>SUMIFS(ar6_r10!$F$2:$F$999,ar6_r10!$A$2:$A$999,$H$14,ar6_r10!$C$2:$C$999,Veda!N$17,ar6_r10!$M$2:$M$999,Veda!$G20)</f>
        <v>0.48</v>
      </c>
      <c r="O20" s="11">
        <f>SUMIFS(ar6_r10!$F$2:$F$999,ar6_r10!$A$2:$A$999,$H$14,ar6_r10!$C$2:$C$999,Veda!O$17,ar6_r10!$M$2:$M$999,Veda!$G20)</f>
        <v>0.49</v>
      </c>
      <c r="S20" s="10" t="s">
        <v>22</v>
      </c>
      <c r="T20" s="6">
        <f t="shared" si="7"/>
        <v>5.1989000000000001</v>
      </c>
      <c r="U20" s="6">
        <f t="shared" si="7"/>
        <v>6.8816460000000008</v>
      </c>
      <c r="V20" s="6">
        <f t="shared" si="7"/>
        <v>8.9760600000000004</v>
      </c>
      <c r="W20" s="6">
        <f t="shared" si="7"/>
        <v>13.421650000000001</v>
      </c>
      <c r="X20" s="6">
        <f t="shared" si="7"/>
        <v>16.755312</v>
      </c>
      <c r="Y20" s="6">
        <f t="shared" si="7"/>
        <v>26.075136000000004</v>
      </c>
      <c r="Z20" s="6">
        <f t="shared" si="7"/>
        <v>29.581741000000005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0.01</v>
      </c>
      <c r="K21" s="11">
        <f>SUMIFS(ar6_r10!$F$2:$F$999,ar6_r10!$A$2:$A$999,$H$14,ar6_r10!$C$2:$C$999,Veda!K$17,ar6_r10!$M$2:$M$999,Veda!$G21)</f>
        <v>0.01</v>
      </c>
      <c r="L21" s="11">
        <f>SUMIFS(ar6_r10!$F$2:$F$999,ar6_r10!$A$2:$A$999,$H$14,ar6_r10!$C$2:$C$999,Veda!L$17,ar6_r10!$M$2:$M$999,Veda!$G21)</f>
        <v>0.02</v>
      </c>
      <c r="M21" s="11">
        <f>SUMIFS(ar6_r10!$F$2:$F$999,ar6_r10!$A$2:$A$999,$H$14,ar6_r10!$C$2:$C$999,Veda!M$17,ar6_r10!$M$2:$M$999,Veda!$G21)</f>
        <v>0.02</v>
      </c>
      <c r="N21" s="11">
        <f>SUMIFS(ar6_r10!$F$2:$F$999,ar6_r10!$A$2:$A$999,$H$14,ar6_r10!$C$2:$C$999,Veda!N$17,ar6_r10!$M$2:$M$999,Veda!$G21)</f>
        <v>0.03</v>
      </c>
      <c r="O21" s="11">
        <f>SUMIFS(ar6_r10!$F$2:$F$999,ar6_r10!$A$2:$A$999,$H$14,ar6_r10!$C$2:$C$999,Veda!O$17,ar6_r10!$M$2:$M$999,Veda!$G21)</f>
        <v>0.03</v>
      </c>
      <c r="S21" s="10" t="s">
        <v>24</v>
      </c>
      <c r="T21" s="6">
        <f>I21*T$14</f>
        <v>0.10610000000000001</v>
      </c>
      <c r="U21" s="6">
        <f t="shared" ref="U21:Z21" si="8">T21</f>
        <v>0.10610000000000001</v>
      </c>
      <c r="V21" s="6">
        <f t="shared" si="8"/>
        <v>0.10610000000000001</v>
      </c>
      <c r="W21" s="6">
        <f t="shared" si="8"/>
        <v>0.10610000000000001</v>
      </c>
      <c r="X21" s="6">
        <f t="shared" si="8"/>
        <v>0.10610000000000001</v>
      </c>
      <c r="Y21" s="6">
        <f t="shared" si="8"/>
        <v>0.10610000000000001</v>
      </c>
      <c r="Z21" s="6">
        <f t="shared" si="8"/>
        <v>0.10610000000000001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</v>
      </c>
      <c r="U22" s="6">
        <f t="shared" si="9"/>
        <v>0.19310199999999966</v>
      </c>
      <c r="V22" s="6">
        <f t="shared" si="9"/>
        <v>0.65782000000000096</v>
      </c>
      <c r="W22" s="6">
        <f t="shared" si="9"/>
        <v>0.47744999999999749</v>
      </c>
      <c r="X22" s="6">
        <f t="shared" si="9"/>
        <v>0.96338800000000191</v>
      </c>
      <c r="Y22" s="6">
        <f t="shared" si="9"/>
        <v>0.98036400000000157</v>
      </c>
      <c r="Z22" s="6">
        <f t="shared" si="9"/>
        <v>1.7050270000000083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2.2999999999999998</v>
      </c>
      <c r="S28" t="s">
        <v>31</v>
      </c>
      <c r="T28" s="3">
        <f>Q28</f>
        <v>2.2999999999999998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-0.4</v>
      </c>
      <c r="S29" t="s">
        <v>34</v>
      </c>
      <c r="T29" s="3">
        <f>-1*Q29</f>
        <v>0.4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25.75</v>
      </c>
      <c r="J45">
        <f t="shared" si="13"/>
        <v>26.78</v>
      </c>
      <c r="K45">
        <f t="shared" si="13"/>
        <v>35.277500000000003</v>
      </c>
      <c r="L45">
        <f t="shared" si="13"/>
        <v>33.475000000000001</v>
      </c>
      <c r="M45">
        <f t="shared" si="13"/>
        <v>39.912500000000001</v>
      </c>
      <c r="N45">
        <f t="shared" si="13"/>
        <v>41.972499999999997</v>
      </c>
      <c r="O45">
        <f t="shared" si="13"/>
        <v>44.032499999999999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10.649999999999999</v>
      </c>
      <c r="J46">
        <f t="shared" si="13"/>
        <v>11.501999999999999</v>
      </c>
      <c r="K46">
        <f t="shared" si="13"/>
        <v>12.779999999999998</v>
      </c>
      <c r="L46">
        <f t="shared" si="13"/>
        <v>14.270999999999999</v>
      </c>
      <c r="M46">
        <f t="shared" si="13"/>
        <v>16.187999999999999</v>
      </c>
      <c r="N46">
        <f t="shared" si="13"/>
        <v>15.548999999999998</v>
      </c>
      <c r="O46">
        <f t="shared" si="13"/>
        <v>16.720499999999998</v>
      </c>
      <c r="R46">
        <f>HLOOKUP($G46&amp;"_"&amp;R$44,fuel_prices!$B$10:$I$11,2,FALSE)</f>
        <v>9.1</v>
      </c>
      <c r="S46">
        <f>HLOOKUP($G46&amp;"_"&amp;S$44,fuel_prices!$B$10:$I$11,2,FALSE)</f>
        <v>12.2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47</v>
      </c>
      <c r="J47">
        <f t="shared" si="13"/>
        <v>54.05</v>
      </c>
      <c r="K47">
        <f t="shared" si="13"/>
        <v>75.2</v>
      </c>
      <c r="L47">
        <f t="shared" si="13"/>
        <v>62.510000000000005</v>
      </c>
      <c r="M47">
        <f t="shared" si="13"/>
        <v>69.09</v>
      </c>
      <c r="N47">
        <f t="shared" si="13"/>
        <v>75.67</v>
      </c>
      <c r="O47">
        <f t="shared" si="13"/>
        <v>83.19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16</v>
      </c>
      <c r="O48">
        <f>VLOOKUP($H$14,$AK$9:$AM$15,3,FALSE)*I48</f>
        <v>24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20.6</v>
      </c>
      <c r="C11">
        <v>30.9</v>
      </c>
      <c r="D11">
        <v>9.1</v>
      </c>
      <c r="E11">
        <v>12.2</v>
      </c>
      <c r="F11">
        <v>42</v>
      </c>
      <c r="G11">
        <v>52</v>
      </c>
      <c r="H11">
        <v>12</v>
      </c>
      <c r="I11">
        <v>20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6.91</v>
      </c>
      <c r="D11">
        <v>5.15</v>
      </c>
      <c r="E11">
        <v>0</v>
      </c>
      <c r="F11">
        <v>0</v>
      </c>
      <c r="G11">
        <v>5.0999999999999996</v>
      </c>
      <c r="H11">
        <v>0</v>
      </c>
      <c r="I11">
        <v>7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6.73</v>
      </c>
      <c r="D12">
        <v>5.22</v>
      </c>
      <c r="E12">
        <v>0</v>
      </c>
      <c r="F12">
        <v>0</v>
      </c>
      <c r="G12">
        <v>4.07</v>
      </c>
      <c r="H12">
        <v>0</v>
      </c>
      <c r="I12">
        <v>7.91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7.27</v>
      </c>
      <c r="D13">
        <v>5.29</v>
      </c>
      <c r="E13">
        <v>0</v>
      </c>
      <c r="F13">
        <v>0</v>
      </c>
      <c r="G13">
        <v>4.01</v>
      </c>
      <c r="H13">
        <v>0</v>
      </c>
      <c r="I13">
        <v>8.59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6.49</v>
      </c>
      <c r="D14">
        <v>5.42</v>
      </c>
      <c r="E14">
        <v>0</v>
      </c>
      <c r="F14">
        <v>0</v>
      </c>
      <c r="G14">
        <v>3.18</v>
      </c>
      <c r="H14">
        <v>0</v>
      </c>
      <c r="I14">
        <v>8.8000000000000007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6.18</v>
      </c>
      <c r="D15">
        <v>5.51</v>
      </c>
      <c r="E15">
        <v>0</v>
      </c>
      <c r="F15">
        <v>0</v>
      </c>
      <c r="G15">
        <v>2.04</v>
      </c>
      <c r="H15">
        <v>0</v>
      </c>
      <c r="I15">
        <v>9.7200000000000006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6.59</v>
      </c>
      <c r="D16">
        <v>5.7</v>
      </c>
      <c r="E16">
        <v>0</v>
      </c>
      <c r="F16">
        <v>0</v>
      </c>
      <c r="G16">
        <v>3.01</v>
      </c>
      <c r="H16">
        <v>-0.04</v>
      </c>
      <c r="I16">
        <v>9.3699999999999992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5.92</v>
      </c>
      <c r="D17">
        <v>5.88</v>
      </c>
      <c r="E17">
        <v>0</v>
      </c>
      <c r="F17">
        <v>0</v>
      </c>
      <c r="G17">
        <v>4.25</v>
      </c>
      <c r="H17">
        <v>-0.35</v>
      </c>
      <c r="I17">
        <v>7.97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5.24</v>
      </c>
      <c r="D18">
        <v>5.23</v>
      </c>
      <c r="E18">
        <v>0</v>
      </c>
      <c r="F18">
        <v>0</v>
      </c>
      <c r="G18">
        <v>2.96</v>
      </c>
      <c r="H18">
        <v>-0.03</v>
      </c>
      <c r="I18">
        <v>7.61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3.67</v>
      </c>
      <c r="D19">
        <v>5.01</v>
      </c>
      <c r="E19">
        <v>0</v>
      </c>
      <c r="F19">
        <v>0</v>
      </c>
      <c r="G19">
        <v>1.69</v>
      </c>
      <c r="H19">
        <v>-0.56999999999999995</v>
      </c>
      <c r="I19">
        <v>7.62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3.72</v>
      </c>
      <c r="D20">
        <v>4.78</v>
      </c>
      <c r="E20">
        <v>0</v>
      </c>
      <c r="F20">
        <v>0</v>
      </c>
      <c r="G20">
        <v>2.1800000000000002</v>
      </c>
      <c r="H20">
        <v>-0.9</v>
      </c>
      <c r="I20">
        <v>7.29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5.16</v>
      </c>
      <c r="D21">
        <v>4.2</v>
      </c>
      <c r="E21">
        <v>0</v>
      </c>
      <c r="F21">
        <v>0</v>
      </c>
      <c r="G21">
        <v>1.72</v>
      </c>
      <c r="H21">
        <v>-0.99</v>
      </c>
      <c r="I21">
        <v>8.69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5.14</v>
      </c>
      <c r="D22">
        <v>4.6399999999999997</v>
      </c>
      <c r="E22">
        <v>0</v>
      </c>
      <c r="F22">
        <v>0</v>
      </c>
      <c r="G22">
        <v>1.58</v>
      </c>
      <c r="H22">
        <v>-0.98</v>
      </c>
      <c r="I22">
        <v>9.24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5.01</v>
      </c>
      <c r="D23">
        <v>4.6900000000000004</v>
      </c>
      <c r="E23">
        <v>0</v>
      </c>
      <c r="F23">
        <v>0</v>
      </c>
      <c r="G23">
        <v>1.2</v>
      </c>
      <c r="H23">
        <v>-0.65</v>
      </c>
      <c r="I23">
        <v>9.2100000000000009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5</v>
      </c>
      <c r="D24">
        <v>5.1100000000000003</v>
      </c>
      <c r="E24">
        <v>0</v>
      </c>
      <c r="F24">
        <v>0</v>
      </c>
      <c r="G24">
        <v>1.73</v>
      </c>
      <c r="H24">
        <v>-1.2</v>
      </c>
      <c r="I24">
        <v>9.58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5.22</v>
      </c>
      <c r="D25">
        <v>4.79</v>
      </c>
      <c r="E25">
        <v>0</v>
      </c>
      <c r="F25">
        <v>0</v>
      </c>
      <c r="G25">
        <v>1.1299999999999999</v>
      </c>
      <c r="H25">
        <v>-1.23</v>
      </c>
      <c r="I25">
        <v>10.029999999999999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4.37</v>
      </c>
      <c r="D26">
        <v>4.84</v>
      </c>
      <c r="E26">
        <v>0</v>
      </c>
      <c r="F26">
        <v>0</v>
      </c>
      <c r="G26">
        <v>1.1499999999999999</v>
      </c>
      <c r="H26">
        <v>-1.25</v>
      </c>
      <c r="I26">
        <v>9.7100000000000009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4.4400000000000004</v>
      </c>
      <c r="D27">
        <v>4.57</v>
      </c>
      <c r="E27">
        <v>0</v>
      </c>
      <c r="F27">
        <v>0</v>
      </c>
      <c r="G27">
        <v>2.2200000000000002</v>
      </c>
      <c r="H27">
        <v>-0.37</v>
      </c>
      <c r="I27">
        <v>7.25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5.23</v>
      </c>
      <c r="D28">
        <v>4.46</v>
      </c>
      <c r="E28">
        <v>0</v>
      </c>
      <c r="F28">
        <v>0</v>
      </c>
      <c r="G28">
        <v>2.57</v>
      </c>
      <c r="H28">
        <v>-0.35</v>
      </c>
      <c r="I28">
        <v>7.55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5.82</v>
      </c>
      <c r="D29">
        <v>4.74</v>
      </c>
      <c r="E29">
        <v>0</v>
      </c>
      <c r="F29">
        <v>0</v>
      </c>
      <c r="G29">
        <v>2.57</v>
      </c>
      <c r="H29">
        <v>-0.35</v>
      </c>
      <c r="I29">
        <v>9.3699999999999992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5.39</v>
      </c>
      <c r="D30">
        <v>3.92</v>
      </c>
      <c r="E30">
        <v>0</v>
      </c>
      <c r="F30">
        <v>0</v>
      </c>
      <c r="G30">
        <v>1.61</v>
      </c>
      <c r="H30">
        <v>-0.5</v>
      </c>
      <c r="I30">
        <v>8.39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4.91</v>
      </c>
      <c r="D31">
        <v>3.57</v>
      </c>
      <c r="E31">
        <v>0</v>
      </c>
      <c r="F31">
        <v>0</v>
      </c>
      <c r="G31">
        <v>2.34</v>
      </c>
      <c r="H31">
        <v>-0.35</v>
      </c>
      <c r="I31">
        <v>6.67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5.87</v>
      </c>
      <c r="D32">
        <v>4.25</v>
      </c>
      <c r="E32">
        <v>0</v>
      </c>
      <c r="F32">
        <v>0</v>
      </c>
      <c r="G32">
        <v>2.19</v>
      </c>
      <c r="H32">
        <v>-0.45</v>
      </c>
      <c r="I32">
        <v>8.56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6.18</v>
      </c>
      <c r="D33">
        <v>4.38</v>
      </c>
      <c r="E33">
        <v>0</v>
      </c>
      <c r="F33">
        <v>0</v>
      </c>
      <c r="G33">
        <v>2.2999999999999998</v>
      </c>
      <c r="H33">
        <v>-0.4</v>
      </c>
      <c r="I33">
        <v>8.7100000000000009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3.31</v>
      </c>
      <c r="F82">
        <v>3.04</v>
      </c>
      <c r="G82">
        <v>2.1800000000000002</v>
      </c>
      <c r="H82">
        <v>0.59</v>
      </c>
      <c r="I82">
        <v>13.2</v>
      </c>
      <c r="J82">
        <v>2.33</v>
      </c>
      <c r="K82">
        <v>4.28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6.61</v>
      </c>
      <c r="F83">
        <v>6.12</v>
      </c>
      <c r="G83">
        <v>4.87</v>
      </c>
      <c r="H83">
        <v>0.64</v>
      </c>
      <c r="I83">
        <v>31.12</v>
      </c>
      <c r="J83">
        <v>4.92</v>
      </c>
      <c r="K83">
        <v>7.08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11.55</v>
      </c>
      <c r="F84">
        <v>9.2899999999999991</v>
      </c>
      <c r="G84">
        <v>6.17</v>
      </c>
      <c r="H84">
        <v>1</v>
      </c>
      <c r="I84">
        <v>37.840000000000003</v>
      </c>
      <c r="J84">
        <v>8.5399999999999991</v>
      </c>
      <c r="K84">
        <v>12.46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19.54</v>
      </c>
      <c r="F85">
        <v>15.92</v>
      </c>
      <c r="G85">
        <v>9.56</v>
      </c>
      <c r="H85">
        <v>3.72</v>
      </c>
      <c r="I85">
        <v>49.27</v>
      </c>
      <c r="J85">
        <v>12.77</v>
      </c>
      <c r="K85">
        <v>23.21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31.89</v>
      </c>
      <c r="F86">
        <v>22.63</v>
      </c>
      <c r="G86">
        <v>19.399999999999999</v>
      </c>
      <c r="H86">
        <v>12.15</v>
      </c>
      <c r="I86">
        <v>107</v>
      </c>
      <c r="J86">
        <v>18.03</v>
      </c>
      <c r="K86">
        <v>40.549999999999997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50.62</v>
      </c>
      <c r="F87">
        <v>34.83</v>
      </c>
      <c r="G87">
        <v>37.03</v>
      </c>
      <c r="H87">
        <v>13.65</v>
      </c>
      <c r="I87">
        <v>215.09</v>
      </c>
      <c r="J87">
        <v>28.21</v>
      </c>
      <c r="K87">
        <v>65.819999999999993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2.5299999999999998</v>
      </c>
      <c r="F89">
        <v>2.54</v>
      </c>
      <c r="G89">
        <v>1.48</v>
      </c>
      <c r="H89">
        <v>0.59</v>
      </c>
      <c r="I89">
        <v>7.29</v>
      </c>
      <c r="J89">
        <v>1.43</v>
      </c>
      <c r="K89">
        <v>3.25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4.59</v>
      </c>
      <c r="F90">
        <v>3.98</v>
      </c>
      <c r="G90">
        <v>3.39</v>
      </c>
      <c r="H90">
        <v>0.65</v>
      </c>
      <c r="I90">
        <v>18.38</v>
      </c>
      <c r="J90">
        <v>2.39</v>
      </c>
      <c r="K90">
        <v>5.36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8.42</v>
      </c>
      <c r="F91">
        <v>8.2899999999999991</v>
      </c>
      <c r="G91">
        <v>5.4</v>
      </c>
      <c r="H91">
        <v>1.75</v>
      </c>
      <c r="I91">
        <v>31.62</v>
      </c>
      <c r="J91">
        <v>4.79</v>
      </c>
      <c r="K91">
        <v>9.5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13.03</v>
      </c>
      <c r="F92">
        <v>12.73</v>
      </c>
      <c r="G92">
        <v>7.13</v>
      </c>
      <c r="H92">
        <v>5.21</v>
      </c>
      <c r="I92">
        <v>42.79</v>
      </c>
      <c r="J92">
        <v>8.5500000000000007</v>
      </c>
      <c r="K92">
        <v>13.84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23.48</v>
      </c>
      <c r="F93">
        <v>18.760000000000002</v>
      </c>
      <c r="G93">
        <v>12.19</v>
      </c>
      <c r="H93">
        <v>12.43</v>
      </c>
      <c r="I93">
        <v>65.88</v>
      </c>
      <c r="J93">
        <v>17.010000000000002</v>
      </c>
      <c r="K93">
        <v>22.57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32.26</v>
      </c>
      <c r="F94">
        <v>24.25</v>
      </c>
      <c r="G94">
        <v>24.01</v>
      </c>
      <c r="H94">
        <v>7.41</v>
      </c>
      <c r="I94">
        <v>115.5</v>
      </c>
      <c r="J94">
        <v>20.03</v>
      </c>
      <c r="K94">
        <v>37.51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145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3.05</v>
      </c>
      <c r="F96">
        <v>3.21</v>
      </c>
      <c r="G96">
        <v>1.25</v>
      </c>
      <c r="H96">
        <v>0.57999999999999996</v>
      </c>
      <c r="I96">
        <v>5.42</v>
      </c>
      <c r="J96">
        <v>2.2400000000000002</v>
      </c>
      <c r="K96">
        <v>4.12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145</v>
      </c>
      <c r="E97">
        <v>5.07</v>
      </c>
      <c r="F97">
        <v>5.32</v>
      </c>
      <c r="G97">
        <v>2.37</v>
      </c>
      <c r="H97">
        <v>0.51</v>
      </c>
      <c r="I97">
        <v>8.83</v>
      </c>
      <c r="J97">
        <v>3</v>
      </c>
      <c r="K97">
        <v>7.44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8.69</v>
      </c>
      <c r="F98">
        <v>9.6199999999999992</v>
      </c>
      <c r="G98">
        <v>3.32</v>
      </c>
      <c r="H98">
        <v>1.1299999999999999</v>
      </c>
      <c r="I98">
        <v>15.04</v>
      </c>
      <c r="J98">
        <v>6.36</v>
      </c>
      <c r="K98">
        <v>10.27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145</v>
      </c>
      <c r="E99">
        <v>12.48</v>
      </c>
      <c r="F99">
        <v>12.79</v>
      </c>
      <c r="G99">
        <v>8.26</v>
      </c>
      <c r="H99">
        <v>1.29</v>
      </c>
      <c r="I99">
        <v>67.31</v>
      </c>
      <c r="J99">
        <v>7.75</v>
      </c>
      <c r="K99">
        <v>14.22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20.98</v>
      </c>
      <c r="F100">
        <v>17.48</v>
      </c>
      <c r="G100">
        <v>12.14</v>
      </c>
      <c r="H100">
        <v>4.42</v>
      </c>
      <c r="I100">
        <v>53.63</v>
      </c>
      <c r="J100">
        <v>14.02</v>
      </c>
      <c r="K100">
        <v>19.809999999999999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145</v>
      </c>
      <c r="E101">
        <v>28.44</v>
      </c>
      <c r="F101">
        <v>21.94</v>
      </c>
      <c r="G101">
        <v>24.64</v>
      </c>
      <c r="H101">
        <v>0</v>
      </c>
      <c r="I101">
        <v>111.66</v>
      </c>
      <c r="J101">
        <v>18.41</v>
      </c>
      <c r="K101">
        <v>28.48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2.5099999999999998</v>
      </c>
      <c r="F103">
        <v>2.54</v>
      </c>
      <c r="G103">
        <v>1.01</v>
      </c>
      <c r="H103">
        <v>1.35</v>
      </c>
      <c r="I103">
        <v>4.6399999999999997</v>
      </c>
      <c r="J103">
        <v>1.8</v>
      </c>
      <c r="K103">
        <v>2.54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3.91</v>
      </c>
      <c r="F104">
        <v>3</v>
      </c>
      <c r="G104">
        <v>1.97</v>
      </c>
      <c r="H104">
        <v>1.88</v>
      </c>
      <c r="I104">
        <v>8.1199999999999992</v>
      </c>
      <c r="J104">
        <v>3</v>
      </c>
      <c r="K104">
        <v>5.08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7.19</v>
      </c>
      <c r="F105">
        <v>6.36</v>
      </c>
      <c r="G105">
        <v>2.64</v>
      </c>
      <c r="H105">
        <v>3.08</v>
      </c>
      <c r="I105">
        <v>11.72</v>
      </c>
      <c r="J105">
        <v>4.1900000000000004</v>
      </c>
      <c r="K105">
        <v>9.89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9.91</v>
      </c>
      <c r="F106">
        <v>10.94</v>
      </c>
      <c r="G106">
        <v>4.4800000000000004</v>
      </c>
      <c r="H106">
        <v>0.01</v>
      </c>
      <c r="I106">
        <v>15.84</v>
      </c>
      <c r="J106">
        <v>8.1300000000000008</v>
      </c>
      <c r="K106">
        <v>13.27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16.2</v>
      </c>
      <c r="F107">
        <v>16.899999999999999</v>
      </c>
      <c r="G107">
        <v>2.75</v>
      </c>
      <c r="H107">
        <v>10.33</v>
      </c>
      <c r="I107">
        <v>20.59</v>
      </c>
      <c r="J107">
        <v>13.59</v>
      </c>
      <c r="K107">
        <v>18.38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18.149999999999999</v>
      </c>
      <c r="F108">
        <v>20.47</v>
      </c>
      <c r="G108">
        <v>7.79</v>
      </c>
      <c r="H108">
        <v>0</v>
      </c>
      <c r="I108">
        <v>24.79</v>
      </c>
      <c r="J108">
        <v>18.48</v>
      </c>
      <c r="K108">
        <v>22.8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43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2.72</v>
      </c>
      <c r="F110">
        <v>3.05</v>
      </c>
      <c r="G110">
        <v>1.1100000000000001</v>
      </c>
      <c r="H110">
        <v>0.79</v>
      </c>
      <c r="I110">
        <v>4.88</v>
      </c>
      <c r="J110">
        <v>1.87</v>
      </c>
      <c r="K110">
        <v>3.54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43</v>
      </c>
      <c r="E111">
        <v>4.79</v>
      </c>
      <c r="F111">
        <v>3.31</v>
      </c>
      <c r="G111">
        <v>2.65</v>
      </c>
      <c r="H111">
        <v>0.87</v>
      </c>
      <c r="I111">
        <v>8.52</v>
      </c>
      <c r="J111">
        <v>2.57</v>
      </c>
      <c r="K111">
        <v>7.29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8.01</v>
      </c>
      <c r="F112">
        <v>11.21</v>
      </c>
      <c r="G112">
        <v>4.71</v>
      </c>
      <c r="H112">
        <v>1.23</v>
      </c>
      <c r="I112">
        <v>15.25</v>
      </c>
      <c r="J112">
        <v>3.37</v>
      </c>
      <c r="K112">
        <v>11.86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43</v>
      </c>
      <c r="E113">
        <v>11.21</v>
      </c>
      <c r="F113">
        <v>7.67</v>
      </c>
      <c r="G113">
        <v>7.83</v>
      </c>
      <c r="H113">
        <v>0.02</v>
      </c>
      <c r="I113">
        <v>24.5</v>
      </c>
      <c r="J113">
        <v>4.43</v>
      </c>
      <c r="K113">
        <v>18.48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18.38</v>
      </c>
      <c r="F114">
        <v>20.170000000000002</v>
      </c>
      <c r="G114">
        <v>10.42</v>
      </c>
      <c r="H114">
        <v>4.1100000000000003</v>
      </c>
      <c r="I114">
        <v>34.75</v>
      </c>
      <c r="J114">
        <v>8.91</v>
      </c>
      <c r="K114">
        <v>27.53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43</v>
      </c>
      <c r="E115">
        <v>25</v>
      </c>
      <c r="F115">
        <v>15.86</v>
      </c>
      <c r="G115">
        <v>17.02</v>
      </c>
      <c r="H115">
        <v>0.03</v>
      </c>
      <c r="I115">
        <v>48.17</v>
      </c>
      <c r="J115">
        <v>11.04</v>
      </c>
      <c r="K115">
        <v>44.17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0.01</v>
      </c>
      <c r="F116">
        <v>0</v>
      </c>
      <c r="G116">
        <v>0.01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7.0000000000000007E-2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0.01</v>
      </c>
      <c r="G119">
        <v>0.03</v>
      </c>
      <c r="H119">
        <v>0</v>
      </c>
      <c r="I119">
        <v>0.15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0.15</v>
      </c>
      <c r="J120">
        <v>0.02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0.16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0.06</v>
      </c>
      <c r="G122">
        <v>0.03</v>
      </c>
      <c r="H122">
        <v>0</v>
      </c>
      <c r="I122">
        <v>0.15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90</v>
      </c>
      <c r="E123">
        <v>0.01</v>
      </c>
      <c r="F123">
        <v>0</v>
      </c>
      <c r="G123">
        <v>0.01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90</v>
      </c>
      <c r="E125">
        <v>0.01</v>
      </c>
      <c r="F125">
        <v>0</v>
      </c>
      <c r="G125">
        <v>0.01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79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90</v>
      </c>
      <c r="E127">
        <v>0.03</v>
      </c>
      <c r="F127">
        <v>0.03</v>
      </c>
      <c r="G127">
        <v>0.03</v>
      </c>
      <c r="H127">
        <v>0</v>
      </c>
      <c r="I127">
        <v>0.11</v>
      </c>
      <c r="J127">
        <v>0.02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79</v>
      </c>
      <c r="E128">
        <v>0.04</v>
      </c>
      <c r="F128">
        <v>0.04</v>
      </c>
      <c r="G128">
        <v>0.03</v>
      </c>
      <c r="H128">
        <v>0</v>
      </c>
      <c r="I128">
        <v>0.11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90</v>
      </c>
      <c r="E129">
        <v>0.06</v>
      </c>
      <c r="F129">
        <v>0.06</v>
      </c>
      <c r="G129">
        <v>0.03</v>
      </c>
      <c r="H129">
        <v>0</v>
      </c>
      <c r="I129">
        <v>0.12</v>
      </c>
      <c r="J129">
        <v>0.04</v>
      </c>
      <c r="K129">
        <v>0.08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219</v>
      </c>
      <c r="E130">
        <v>0.01</v>
      </c>
      <c r="F130">
        <v>0</v>
      </c>
      <c r="G130">
        <v>0.01</v>
      </c>
      <c r="H130">
        <v>0</v>
      </c>
      <c r="I130">
        <v>0.03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196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219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196</v>
      </c>
      <c r="E133">
        <v>0.01</v>
      </c>
      <c r="F133">
        <v>0.01</v>
      </c>
      <c r="G133">
        <v>0.01</v>
      </c>
      <c r="H133">
        <v>0</v>
      </c>
      <c r="I133">
        <v>0.09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219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196</v>
      </c>
      <c r="E135">
        <v>0.03</v>
      </c>
      <c r="F135">
        <v>0.02</v>
      </c>
      <c r="G135">
        <v>0.02</v>
      </c>
      <c r="H135">
        <v>0</v>
      </c>
      <c r="I135">
        <v>0.09</v>
      </c>
      <c r="J135">
        <v>0.01</v>
      </c>
      <c r="K135">
        <v>0.03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219</v>
      </c>
      <c r="E136">
        <v>0.03</v>
      </c>
      <c r="F136">
        <v>0.03</v>
      </c>
      <c r="G136">
        <v>0.02</v>
      </c>
      <c r="H136">
        <v>0</v>
      </c>
      <c r="I136">
        <v>0.12</v>
      </c>
      <c r="J136">
        <v>0.01</v>
      </c>
      <c r="K136">
        <v>0.05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79</v>
      </c>
      <c r="E137">
        <v>0</v>
      </c>
      <c r="F137">
        <v>0</v>
      </c>
      <c r="G137">
        <v>0.01</v>
      </c>
      <c r="H137">
        <v>0</v>
      </c>
      <c r="I137">
        <v>0.03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79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79</v>
      </c>
      <c r="E141">
        <v>0.01</v>
      </c>
      <c r="F141">
        <v>0</v>
      </c>
      <c r="G141">
        <v>0.02</v>
      </c>
      <c r="H141">
        <v>0</v>
      </c>
      <c r="I141">
        <v>0.06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73</v>
      </c>
      <c r="E142">
        <v>0.01</v>
      </c>
      <c r="F142">
        <v>0</v>
      </c>
      <c r="G142">
        <v>0.02</v>
      </c>
      <c r="H142">
        <v>0</v>
      </c>
      <c r="I142">
        <v>0.06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79</v>
      </c>
      <c r="E143">
        <v>0.02</v>
      </c>
      <c r="F143">
        <v>0.01</v>
      </c>
      <c r="G143">
        <v>0.02</v>
      </c>
      <c r="H143">
        <v>0</v>
      </c>
      <c r="I143">
        <v>0.08</v>
      </c>
      <c r="J143">
        <v>0</v>
      </c>
      <c r="K143">
        <v>0.01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0.01</v>
      </c>
      <c r="F144">
        <v>0.01</v>
      </c>
      <c r="G144">
        <v>0.01</v>
      </c>
      <c r="H144">
        <v>0</v>
      </c>
      <c r="I144">
        <v>0.03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0.01</v>
      </c>
      <c r="F145">
        <v>0.01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0.02</v>
      </c>
      <c r="G147">
        <v>0.01</v>
      </c>
      <c r="H147">
        <v>0</v>
      </c>
      <c r="I147">
        <v>0.03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0.02</v>
      </c>
      <c r="G148">
        <v>0.01</v>
      </c>
      <c r="H148">
        <v>0</v>
      </c>
      <c r="I148">
        <v>0.05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0.03</v>
      </c>
      <c r="G149">
        <v>0.02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0.03</v>
      </c>
      <c r="F150">
        <v>0.03</v>
      </c>
      <c r="G150">
        <v>0.02</v>
      </c>
      <c r="H150">
        <v>0</v>
      </c>
      <c r="I150">
        <v>0.06</v>
      </c>
      <c r="J150">
        <v>0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62</v>
      </c>
      <c r="E151">
        <v>0.49</v>
      </c>
      <c r="F151">
        <v>0.49</v>
      </c>
      <c r="G151">
        <v>0.04</v>
      </c>
      <c r="H151">
        <v>0.37</v>
      </c>
      <c r="I151">
        <v>0.57999999999999996</v>
      </c>
      <c r="J151">
        <v>0.46</v>
      </c>
      <c r="K151">
        <v>0.5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62</v>
      </c>
      <c r="E152">
        <v>0.47</v>
      </c>
      <c r="F152">
        <v>0.48</v>
      </c>
      <c r="G152">
        <v>7.0000000000000007E-2</v>
      </c>
      <c r="H152">
        <v>0.33</v>
      </c>
      <c r="I152">
        <v>0.6</v>
      </c>
      <c r="J152">
        <v>0.44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62</v>
      </c>
      <c r="E153">
        <v>0.48</v>
      </c>
      <c r="F153">
        <v>0.5</v>
      </c>
      <c r="G153">
        <v>0.09</v>
      </c>
      <c r="H153">
        <v>0.31</v>
      </c>
      <c r="I153">
        <v>0.61</v>
      </c>
      <c r="J153">
        <v>0.4</v>
      </c>
      <c r="K153">
        <v>0.56000000000000005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62</v>
      </c>
      <c r="E154">
        <v>0.47</v>
      </c>
      <c r="F154">
        <v>0.51</v>
      </c>
      <c r="G154">
        <v>0.09</v>
      </c>
      <c r="H154">
        <v>0.28999999999999998</v>
      </c>
      <c r="I154">
        <v>0.64</v>
      </c>
      <c r="J154">
        <v>0.38</v>
      </c>
      <c r="K154">
        <v>0.54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62</v>
      </c>
      <c r="E155">
        <v>0.46</v>
      </c>
      <c r="F155">
        <v>0.51</v>
      </c>
      <c r="G155">
        <v>0.11</v>
      </c>
      <c r="H155">
        <v>0.22</v>
      </c>
      <c r="I155">
        <v>0.64</v>
      </c>
      <c r="J155">
        <v>0.36</v>
      </c>
      <c r="K155">
        <v>0.55000000000000004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62</v>
      </c>
      <c r="E156">
        <v>0.47</v>
      </c>
      <c r="F156">
        <v>0.53</v>
      </c>
      <c r="G156">
        <v>0.12</v>
      </c>
      <c r="H156">
        <v>0.2</v>
      </c>
      <c r="I156">
        <v>0.63</v>
      </c>
      <c r="J156">
        <v>0.36</v>
      </c>
      <c r="K156">
        <v>0.56000000000000005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62</v>
      </c>
      <c r="E157">
        <v>0.47</v>
      </c>
      <c r="F157">
        <v>0.54</v>
      </c>
      <c r="G157">
        <v>0.13</v>
      </c>
      <c r="H157">
        <v>0.2</v>
      </c>
      <c r="I157">
        <v>0.63</v>
      </c>
      <c r="J157">
        <v>0.35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90</v>
      </c>
      <c r="E158">
        <v>0.48</v>
      </c>
      <c r="F158">
        <v>0.49</v>
      </c>
      <c r="G158">
        <v>0.06</v>
      </c>
      <c r="H158">
        <v>0.37</v>
      </c>
      <c r="I158">
        <v>0.57999999999999996</v>
      </c>
      <c r="J158">
        <v>0.44</v>
      </c>
      <c r="K158">
        <v>0.51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79</v>
      </c>
      <c r="E159">
        <v>0.49</v>
      </c>
      <c r="F159">
        <v>0.48</v>
      </c>
      <c r="G159">
        <v>0.08</v>
      </c>
      <c r="H159">
        <v>0.23</v>
      </c>
      <c r="I159">
        <v>0.66</v>
      </c>
      <c r="J159">
        <v>0.44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90</v>
      </c>
      <c r="E160">
        <v>0.47</v>
      </c>
      <c r="F160">
        <v>0.46</v>
      </c>
      <c r="G160">
        <v>0.09</v>
      </c>
      <c r="H160">
        <v>0.28999999999999998</v>
      </c>
      <c r="I160">
        <v>0.71</v>
      </c>
      <c r="J160">
        <v>0.4</v>
      </c>
      <c r="K160">
        <v>0.55000000000000004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79</v>
      </c>
      <c r="E161">
        <v>0.47</v>
      </c>
      <c r="F161">
        <v>0.49</v>
      </c>
      <c r="G161">
        <v>0.08</v>
      </c>
      <c r="H161">
        <v>0.28000000000000003</v>
      </c>
      <c r="I161">
        <v>0.66</v>
      </c>
      <c r="J161">
        <v>0.39</v>
      </c>
      <c r="K161">
        <v>0.54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90</v>
      </c>
      <c r="E162">
        <v>0.45</v>
      </c>
      <c r="F162">
        <v>0.47</v>
      </c>
      <c r="G162">
        <v>0.08</v>
      </c>
      <c r="H162">
        <v>0.28999999999999998</v>
      </c>
      <c r="I162">
        <v>0.64</v>
      </c>
      <c r="J162">
        <v>0.38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79</v>
      </c>
      <c r="E163">
        <v>0.46</v>
      </c>
      <c r="F163">
        <v>0.47</v>
      </c>
      <c r="G163">
        <v>0.08</v>
      </c>
      <c r="H163">
        <v>0.27</v>
      </c>
      <c r="I163">
        <v>0.64</v>
      </c>
      <c r="J163">
        <v>0.38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90</v>
      </c>
      <c r="E164">
        <v>0.45</v>
      </c>
      <c r="F164">
        <v>0.46</v>
      </c>
      <c r="G164">
        <v>0.09</v>
      </c>
      <c r="H164">
        <v>0.24</v>
      </c>
      <c r="I164">
        <v>0.64</v>
      </c>
      <c r="J164">
        <v>0.36</v>
      </c>
      <c r="K164">
        <v>0.53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221</v>
      </c>
      <c r="E165">
        <v>0.46</v>
      </c>
      <c r="F165">
        <v>0.49</v>
      </c>
      <c r="G165">
        <v>0.05</v>
      </c>
      <c r="H165">
        <v>0.37</v>
      </c>
      <c r="I165">
        <v>0.55000000000000004</v>
      </c>
      <c r="J165">
        <v>0.43</v>
      </c>
      <c r="K165">
        <v>0.5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198</v>
      </c>
      <c r="E166">
        <v>0.45</v>
      </c>
      <c r="F166">
        <v>0.45</v>
      </c>
      <c r="G166">
        <v>0.09</v>
      </c>
      <c r="H166">
        <v>0.23</v>
      </c>
      <c r="I166">
        <v>0.54</v>
      </c>
      <c r="J166">
        <v>0.43</v>
      </c>
      <c r="K166">
        <v>0.54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221</v>
      </c>
      <c r="E167">
        <v>0.43</v>
      </c>
      <c r="F167">
        <v>0.43</v>
      </c>
      <c r="G167">
        <v>0.1</v>
      </c>
      <c r="H167">
        <v>0.25</v>
      </c>
      <c r="I167">
        <v>0.56999999999999995</v>
      </c>
      <c r="J167">
        <v>0.34</v>
      </c>
      <c r="K167">
        <v>0.56000000000000005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198</v>
      </c>
      <c r="E168">
        <v>0.44</v>
      </c>
      <c r="F168">
        <v>0.42</v>
      </c>
      <c r="G168">
        <v>0.09</v>
      </c>
      <c r="H168">
        <v>0.26</v>
      </c>
      <c r="I168">
        <v>0.6</v>
      </c>
      <c r="J168">
        <v>0.37</v>
      </c>
      <c r="K168">
        <v>0.54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221</v>
      </c>
      <c r="E169">
        <v>0.42</v>
      </c>
      <c r="F169">
        <v>0.4</v>
      </c>
      <c r="G169">
        <v>0.1</v>
      </c>
      <c r="H169">
        <v>0.25</v>
      </c>
      <c r="I169">
        <v>0.6</v>
      </c>
      <c r="J169">
        <v>0.32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198</v>
      </c>
      <c r="E170">
        <v>0.44</v>
      </c>
      <c r="F170">
        <v>0.41</v>
      </c>
      <c r="G170">
        <v>0.1</v>
      </c>
      <c r="H170">
        <v>0.23</v>
      </c>
      <c r="I170">
        <v>0.6</v>
      </c>
      <c r="J170">
        <v>0.33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221</v>
      </c>
      <c r="E171">
        <v>0.41</v>
      </c>
      <c r="F171">
        <v>0.38</v>
      </c>
      <c r="G171">
        <v>0.12</v>
      </c>
      <c r="H171">
        <v>0.16</v>
      </c>
      <c r="I171">
        <v>0.62</v>
      </c>
      <c r="J171">
        <v>0.31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79</v>
      </c>
      <c r="E172">
        <v>0.44</v>
      </c>
      <c r="F172">
        <v>0.45</v>
      </c>
      <c r="G172">
        <v>0.05</v>
      </c>
      <c r="H172">
        <v>0.37</v>
      </c>
      <c r="I172">
        <v>0.55000000000000004</v>
      </c>
      <c r="J172">
        <v>0.4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73</v>
      </c>
      <c r="E173">
        <v>0.4</v>
      </c>
      <c r="F173">
        <v>0.44</v>
      </c>
      <c r="G173">
        <v>7.0000000000000007E-2</v>
      </c>
      <c r="H173">
        <v>0.23</v>
      </c>
      <c r="I173">
        <v>0.47</v>
      </c>
      <c r="J173">
        <v>0.35</v>
      </c>
      <c r="K173">
        <v>0.45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79</v>
      </c>
      <c r="E174">
        <v>0.37</v>
      </c>
      <c r="F174">
        <v>0.34</v>
      </c>
      <c r="G174">
        <v>0.06</v>
      </c>
      <c r="H174">
        <v>0.25</v>
      </c>
      <c r="I174">
        <v>0.47</v>
      </c>
      <c r="J174">
        <v>0.33</v>
      </c>
      <c r="K174">
        <v>0.43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73</v>
      </c>
      <c r="E175">
        <v>0.37</v>
      </c>
      <c r="F175">
        <v>0.35</v>
      </c>
      <c r="G175">
        <v>0.06</v>
      </c>
      <c r="H175">
        <v>0.28999999999999998</v>
      </c>
      <c r="I175">
        <v>0.46</v>
      </c>
      <c r="J175">
        <v>0.32</v>
      </c>
      <c r="K175">
        <v>0.42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79</v>
      </c>
      <c r="E176">
        <v>0.36</v>
      </c>
      <c r="F176">
        <v>0.33</v>
      </c>
      <c r="G176">
        <v>0.06</v>
      </c>
      <c r="H176">
        <v>0.26</v>
      </c>
      <c r="I176">
        <v>0.49</v>
      </c>
      <c r="J176">
        <v>0.31</v>
      </c>
      <c r="K176">
        <v>0.41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73</v>
      </c>
      <c r="E177">
        <v>0.37</v>
      </c>
      <c r="F177">
        <v>0.38</v>
      </c>
      <c r="G177">
        <v>0.05</v>
      </c>
      <c r="H177">
        <v>0.3</v>
      </c>
      <c r="I177">
        <v>0.48</v>
      </c>
      <c r="J177">
        <v>0.31</v>
      </c>
      <c r="K177">
        <v>0.41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79</v>
      </c>
      <c r="E178">
        <v>0.36</v>
      </c>
      <c r="F178">
        <v>0.36</v>
      </c>
      <c r="G178">
        <v>0.06</v>
      </c>
      <c r="H178">
        <v>0.21</v>
      </c>
      <c r="I178">
        <v>0.46</v>
      </c>
      <c r="J178">
        <v>0.31</v>
      </c>
      <c r="K178">
        <v>0.4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59</v>
      </c>
      <c r="E179">
        <v>0.49</v>
      </c>
      <c r="F179">
        <v>0.5</v>
      </c>
      <c r="G179">
        <v>0.06</v>
      </c>
      <c r="H179">
        <v>0.37</v>
      </c>
      <c r="I179">
        <v>0.59</v>
      </c>
      <c r="J179">
        <v>0.45</v>
      </c>
      <c r="K179">
        <v>0.51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54</v>
      </c>
      <c r="E180">
        <v>0.5</v>
      </c>
      <c r="F180">
        <v>0.52</v>
      </c>
      <c r="G180">
        <v>7.0000000000000007E-2</v>
      </c>
      <c r="H180">
        <v>0.36</v>
      </c>
      <c r="I180">
        <v>0.64</v>
      </c>
      <c r="J180">
        <v>0.44</v>
      </c>
      <c r="K180">
        <v>0.54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59</v>
      </c>
      <c r="E181">
        <v>0.48</v>
      </c>
      <c r="F181">
        <v>0.49</v>
      </c>
      <c r="G181">
        <v>0.1</v>
      </c>
      <c r="H181">
        <v>0.28000000000000003</v>
      </c>
      <c r="I181">
        <v>0.68</v>
      </c>
      <c r="J181">
        <v>0.42</v>
      </c>
      <c r="K181">
        <v>0.56999999999999995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54</v>
      </c>
      <c r="E182">
        <v>0.49</v>
      </c>
      <c r="F182">
        <v>0.52</v>
      </c>
      <c r="G182">
        <v>0.08</v>
      </c>
      <c r="H182">
        <v>0.33</v>
      </c>
      <c r="I182">
        <v>0.65</v>
      </c>
      <c r="J182">
        <v>0.42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59</v>
      </c>
      <c r="E183">
        <v>0.46</v>
      </c>
      <c r="F183">
        <v>0.5</v>
      </c>
      <c r="G183">
        <v>0.1</v>
      </c>
      <c r="H183">
        <v>0.25</v>
      </c>
      <c r="I183">
        <v>0.63</v>
      </c>
      <c r="J183">
        <v>0.4</v>
      </c>
      <c r="K183">
        <v>0.54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54</v>
      </c>
      <c r="E184">
        <v>0.47</v>
      </c>
      <c r="F184">
        <v>0.5</v>
      </c>
      <c r="G184">
        <v>7.0000000000000007E-2</v>
      </c>
      <c r="H184">
        <v>0.32</v>
      </c>
      <c r="I184">
        <v>0.6</v>
      </c>
      <c r="J184">
        <v>0.41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59</v>
      </c>
      <c r="E185">
        <v>0.44</v>
      </c>
      <c r="F185">
        <v>0.48</v>
      </c>
      <c r="G185">
        <v>0.1</v>
      </c>
      <c r="H185">
        <v>0.2</v>
      </c>
      <c r="I185">
        <v>0.59</v>
      </c>
      <c r="J185">
        <v>0.38</v>
      </c>
      <c r="K185">
        <v>0.52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62</v>
      </c>
      <c r="E186">
        <v>0.5</v>
      </c>
      <c r="F186">
        <v>0.49</v>
      </c>
      <c r="G186">
        <v>0.03</v>
      </c>
      <c r="H186">
        <v>0.42</v>
      </c>
      <c r="I186">
        <v>0.6</v>
      </c>
      <c r="J186">
        <v>0.49</v>
      </c>
      <c r="K186">
        <v>0.53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62</v>
      </c>
      <c r="E187">
        <v>0.5</v>
      </c>
      <c r="F187">
        <v>0.5</v>
      </c>
      <c r="G187">
        <v>0.06</v>
      </c>
      <c r="H187">
        <v>0.4</v>
      </c>
      <c r="I187">
        <v>0.64</v>
      </c>
      <c r="J187">
        <v>0.45</v>
      </c>
      <c r="K187">
        <v>0.54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62</v>
      </c>
      <c r="E188">
        <v>0.49</v>
      </c>
      <c r="F188">
        <v>0.47</v>
      </c>
      <c r="G188">
        <v>0.08</v>
      </c>
      <c r="H188">
        <v>0.38</v>
      </c>
      <c r="I188">
        <v>0.66</v>
      </c>
      <c r="J188">
        <v>0.42</v>
      </c>
      <c r="K188">
        <v>0.54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62</v>
      </c>
      <c r="E189">
        <v>0.48</v>
      </c>
      <c r="F189">
        <v>0.46</v>
      </c>
      <c r="G189">
        <v>0.08</v>
      </c>
      <c r="H189">
        <v>0.35</v>
      </c>
      <c r="I189">
        <v>0.7</v>
      </c>
      <c r="J189">
        <v>0.42</v>
      </c>
      <c r="K189">
        <v>0.54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62</v>
      </c>
      <c r="E190">
        <v>0.47</v>
      </c>
      <c r="F190">
        <v>0.43</v>
      </c>
      <c r="G190">
        <v>0.09</v>
      </c>
      <c r="H190">
        <v>0.34</v>
      </c>
      <c r="I190">
        <v>0.72</v>
      </c>
      <c r="J190">
        <v>0.41</v>
      </c>
      <c r="K190">
        <v>0.53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62</v>
      </c>
      <c r="E191">
        <v>0.45</v>
      </c>
      <c r="F191">
        <v>0.4</v>
      </c>
      <c r="G191">
        <v>0.1</v>
      </c>
      <c r="H191">
        <v>0.3</v>
      </c>
      <c r="I191">
        <v>0.71</v>
      </c>
      <c r="J191">
        <v>0.38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62</v>
      </c>
      <c r="E192">
        <v>0.44</v>
      </c>
      <c r="F192">
        <v>0.38</v>
      </c>
      <c r="G192">
        <v>0.11</v>
      </c>
      <c r="H192">
        <v>0.28999999999999998</v>
      </c>
      <c r="I192">
        <v>0.69</v>
      </c>
      <c r="J192">
        <v>0.37</v>
      </c>
      <c r="K192">
        <v>0.48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87</v>
      </c>
      <c r="E193">
        <v>0.51</v>
      </c>
      <c r="F193">
        <v>0.5</v>
      </c>
      <c r="G193">
        <v>0.05</v>
      </c>
      <c r="H193">
        <v>0.42</v>
      </c>
      <c r="I193">
        <v>0.6</v>
      </c>
      <c r="J193">
        <v>0.47</v>
      </c>
      <c r="K193">
        <v>0.55000000000000004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76</v>
      </c>
      <c r="E194">
        <v>0.49</v>
      </c>
      <c r="F194">
        <v>0.5</v>
      </c>
      <c r="G194">
        <v>0.06</v>
      </c>
      <c r="H194">
        <v>0.32</v>
      </c>
      <c r="I194">
        <v>0.65</v>
      </c>
      <c r="J194">
        <v>0.45</v>
      </c>
      <c r="K194">
        <v>0.52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87</v>
      </c>
      <c r="E195">
        <v>0.5</v>
      </c>
      <c r="F195">
        <v>0.52</v>
      </c>
      <c r="G195">
        <v>7.0000000000000007E-2</v>
      </c>
      <c r="H195">
        <v>0.26</v>
      </c>
      <c r="I195">
        <v>0.63</v>
      </c>
      <c r="J195">
        <v>0.43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76</v>
      </c>
      <c r="E196">
        <v>0.49</v>
      </c>
      <c r="F196">
        <v>0.49</v>
      </c>
      <c r="G196">
        <v>7.0000000000000007E-2</v>
      </c>
      <c r="H196">
        <v>0.28999999999999998</v>
      </c>
      <c r="I196">
        <v>0.63</v>
      </c>
      <c r="J196">
        <v>0.43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87</v>
      </c>
      <c r="E197">
        <v>0.48</v>
      </c>
      <c r="F197">
        <v>0.48</v>
      </c>
      <c r="G197">
        <v>0.06</v>
      </c>
      <c r="H197">
        <v>0.3</v>
      </c>
      <c r="I197">
        <v>0.66</v>
      </c>
      <c r="J197">
        <v>0.45</v>
      </c>
      <c r="K197">
        <v>0.52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76</v>
      </c>
      <c r="E198">
        <v>0.46</v>
      </c>
      <c r="F198">
        <v>0.48</v>
      </c>
      <c r="G198">
        <v>0.06</v>
      </c>
      <c r="H198">
        <v>0.28999999999999998</v>
      </c>
      <c r="I198">
        <v>0.66</v>
      </c>
      <c r="J198">
        <v>0.42</v>
      </c>
      <c r="K198">
        <v>0.5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87</v>
      </c>
      <c r="E199">
        <v>0.45</v>
      </c>
      <c r="F199">
        <v>0.46</v>
      </c>
      <c r="G199">
        <v>7.0000000000000007E-2</v>
      </c>
      <c r="H199">
        <v>0.28000000000000003</v>
      </c>
      <c r="I199">
        <v>0.68</v>
      </c>
      <c r="J199">
        <v>0.39</v>
      </c>
      <c r="K199">
        <v>0.48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220</v>
      </c>
      <c r="E200">
        <v>0.51</v>
      </c>
      <c r="F200">
        <v>0.49</v>
      </c>
      <c r="G200">
        <v>0.05</v>
      </c>
      <c r="H200">
        <v>0.43</v>
      </c>
      <c r="I200">
        <v>0.6</v>
      </c>
      <c r="J200">
        <v>0.48</v>
      </c>
      <c r="K200">
        <v>0.55000000000000004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197</v>
      </c>
      <c r="E201">
        <v>0.51</v>
      </c>
      <c r="F201">
        <v>0.52</v>
      </c>
      <c r="G201">
        <v>0.06</v>
      </c>
      <c r="H201">
        <v>0.35</v>
      </c>
      <c r="I201">
        <v>0.66</v>
      </c>
      <c r="J201">
        <v>0.45</v>
      </c>
      <c r="K201">
        <v>0.54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220</v>
      </c>
      <c r="E202">
        <v>0.52</v>
      </c>
      <c r="F202">
        <v>0.54</v>
      </c>
      <c r="G202">
        <v>0.09</v>
      </c>
      <c r="H202">
        <v>0.37</v>
      </c>
      <c r="I202">
        <v>0.74</v>
      </c>
      <c r="J202">
        <v>0.42</v>
      </c>
      <c r="K202">
        <v>0.57999999999999996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197</v>
      </c>
      <c r="E203">
        <v>0.52</v>
      </c>
      <c r="F203">
        <v>0.51</v>
      </c>
      <c r="G203">
        <v>0.08</v>
      </c>
      <c r="H203">
        <v>0.39</v>
      </c>
      <c r="I203">
        <v>0.73</v>
      </c>
      <c r="J203">
        <v>0.44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220</v>
      </c>
      <c r="E204">
        <v>0.53</v>
      </c>
      <c r="F204">
        <v>0.51</v>
      </c>
      <c r="G204">
        <v>0.1</v>
      </c>
      <c r="H204">
        <v>0.38</v>
      </c>
      <c r="I204">
        <v>0.73</v>
      </c>
      <c r="J204">
        <v>0.44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197</v>
      </c>
      <c r="E205">
        <v>0.49</v>
      </c>
      <c r="F205">
        <v>0.48</v>
      </c>
      <c r="G205">
        <v>0.09</v>
      </c>
      <c r="H205">
        <v>0.33</v>
      </c>
      <c r="I205">
        <v>0.72</v>
      </c>
      <c r="J205">
        <v>0.42</v>
      </c>
      <c r="K205">
        <v>0.56999999999999995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220</v>
      </c>
      <c r="E206">
        <v>0.51</v>
      </c>
      <c r="F206">
        <v>0.47</v>
      </c>
      <c r="G206">
        <v>0.12</v>
      </c>
      <c r="H206">
        <v>0.32</v>
      </c>
      <c r="I206">
        <v>0.82</v>
      </c>
      <c r="J206">
        <v>0.4</v>
      </c>
      <c r="K206">
        <v>0.57999999999999996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79</v>
      </c>
      <c r="E207">
        <v>0.53</v>
      </c>
      <c r="F207">
        <v>0.54</v>
      </c>
      <c r="G207">
        <v>0.06</v>
      </c>
      <c r="H207">
        <v>0.43</v>
      </c>
      <c r="I207">
        <v>0.6</v>
      </c>
      <c r="J207">
        <v>0.47</v>
      </c>
      <c r="K207">
        <v>0.59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73</v>
      </c>
      <c r="E208">
        <v>0.55000000000000004</v>
      </c>
      <c r="F208">
        <v>0.54</v>
      </c>
      <c r="G208">
        <v>0.06</v>
      </c>
      <c r="H208">
        <v>0.35</v>
      </c>
      <c r="I208">
        <v>0.63</v>
      </c>
      <c r="J208">
        <v>0.52</v>
      </c>
      <c r="K208">
        <v>0.59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79</v>
      </c>
      <c r="E209">
        <v>0.57999999999999996</v>
      </c>
      <c r="F209">
        <v>0.56999999999999995</v>
      </c>
      <c r="G209">
        <v>0.06</v>
      </c>
      <c r="H209">
        <v>0.37</v>
      </c>
      <c r="I209">
        <v>0.69</v>
      </c>
      <c r="J209">
        <v>0.54</v>
      </c>
      <c r="K209">
        <v>0.63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73</v>
      </c>
      <c r="E210">
        <v>0.57999999999999996</v>
      </c>
      <c r="F210">
        <v>0.61</v>
      </c>
      <c r="G210">
        <v>0.05</v>
      </c>
      <c r="H210">
        <v>0.5</v>
      </c>
      <c r="I210">
        <v>0.65</v>
      </c>
      <c r="J210">
        <v>0.53</v>
      </c>
      <c r="K210">
        <v>0.63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79</v>
      </c>
      <c r="E211">
        <v>0.57999999999999996</v>
      </c>
      <c r="F211">
        <v>0.61</v>
      </c>
      <c r="G211">
        <v>7.0000000000000007E-2</v>
      </c>
      <c r="H211">
        <v>0.44</v>
      </c>
      <c r="I211">
        <v>0.72</v>
      </c>
      <c r="J211">
        <v>0.52</v>
      </c>
      <c r="K211">
        <v>0.63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73</v>
      </c>
      <c r="E212">
        <v>0.55000000000000004</v>
      </c>
      <c r="F212">
        <v>0.54</v>
      </c>
      <c r="G212">
        <v>0.06</v>
      </c>
      <c r="H212">
        <v>0.44</v>
      </c>
      <c r="I212">
        <v>0.64</v>
      </c>
      <c r="J212">
        <v>0.5</v>
      </c>
      <c r="K212">
        <v>0.61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79</v>
      </c>
      <c r="E213">
        <v>0.55000000000000004</v>
      </c>
      <c r="F213">
        <v>0.53</v>
      </c>
      <c r="G213">
        <v>0.09</v>
      </c>
      <c r="H213">
        <v>0.42</v>
      </c>
      <c r="I213">
        <v>0.76</v>
      </c>
      <c r="J213">
        <v>0.48</v>
      </c>
      <c r="K213">
        <v>0.62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</v>
      </c>
      <c r="F214">
        <v>0.49</v>
      </c>
      <c r="G214">
        <v>0.06</v>
      </c>
      <c r="H214">
        <v>0.34</v>
      </c>
      <c r="I214">
        <v>0.6</v>
      </c>
      <c r="J214">
        <v>0.46</v>
      </c>
      <c r="K214">
        <v>0.54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50</v>
      </c>
      <c r="E215">
        <v>0.49</v>
      </c>
      <c r="F215">
        <v>0.46</v>
      </c>
      <c r="G215">
        <v>7.0000000000000007E-2</v>
      </c>
      <c r="H215">
        <v>0.35</v>
      </c>
      <c r="I215">
        <v>0.62</v>
      </c>
      <c r="J215">
        <v>0.45</v>
      </c>
      <c r="K215">
        <v>0.55000000000000004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</v>
      </c>
      <c r="F216">
        <v>0.47</v>
      </c>
      <c r="G216">
        <v>0.1</v>
      </c>
      <c r="H216">
        <v>0.3</v>
      </c>
      <c r="I216">
        <v>0.75</v>
      </c>
      <c r="J216">
        <v>0.42</v>
      </c>
      <c r="K216">
        <v>0.56000000000000005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50</v>
      </c>
      <c r="E217">
        <v>0.49</v>
      </c>
      <c r="F217">
        <v>0.46</v>
      </c>
      <c r="G217">
        <v>0.08</v>
      </c>
      <c r="H217">
        <v>0.32</v>
      </c>
      <c r="I217">
        <v>0.63</v>
      </c>
      <c r="J217">
        <v>0.43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0.51</v>
      </c>
      <c r="F218">
        <v>0.47</v>
      </c>
      <c r="G218">
        <v>0.1</v>
      </c>
      <c r="H218">
        <v>0.33</v>
      </c>
      <c r="I218">
        <v>0.73</v>
      </c>
      <c r="J218">
        <v>0.43</v>
      </c>
      <c r="K218">
        <v>0.56999999999999995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50</v>
      </c>
      <c r="E219">
        <v>0.49</v>
      </c>
      <c r="F219">
        <v>0.48</v>
      </c>
      <c r="G219">
        <v>7.0000000000000007E-2</v>
      </c>
      <c r="H219">
        <v>0.34</v>
      </c>
      <c r="I219">
        <v>0.64</v>
      </c>
      <c r="J219">
        <v>0.43</v>
      </c>
      <c r="K219">
        <v>0.53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0.51</v>
      </c>
      <c r="F220">
        <v>0.49</v>
      </c>
      <c r="G220">
        <v>0.11</v>
      </c>
      <c r="H220">
        <v>0.35</v>
      </c>
      <c r="I220">
        <v>0.78</v>
      </c>
      <c r="J220">
        <v>0.43</v>
      </c>
      <c r="K220">
        <v>0.56000000000000005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62</v>
      </c>
      <c r="E221">
        <v>0.01</v>
      </c>
      <c r="F221">
        <v>0.01</v>
      </c>
      <c r="G221">
        <v>0</v>
      </c>
      <c r="H221">
        <v>0</v>
      </c>
      <c r="I221">
        <v>0.02</v>
      </c>
      <c r="J221">
        <v>0.01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62</v>
      </c>
      <c r="E222">
        <v>0.02</v>
      </c>
      <c r="F222">
        <v>0.01</v>
      </c>
      <c r="G222">
        <v>0.01</v>
      </c>
      <c r="H222">
        <v>0</v>
      </c>
      <c r="I222">
        <v>0.05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62</v>
      </c>
      <c r="E223">
        <v>0.03</v>
      </c>
      <c r="F223">
        <v>0.02</v>
      </c>
      <c r="G223">
        <v>0.02</v>
      </c>
      <c r="H223">
        <v>0</v>
      </c>
      <c r="I223">
        <v>7.0000000000000007E-2</v>
      </c>
      <c r="J223">
        <v>0.02</v>
      </c>
      <c r="K223">
        <v>0.03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62</v>
      </c>
      <c r="E224">
        <v>0.04</v>
      </c>
      <c r="F224">
        <v>0.04</v>
      </c>
      <c r="G224">
        <v>0.02</v>
      </c>
      <c r="H224">
        <v>0</v>
      </c>
      <c r="I224">
        <v>0.11</v>
      </c>
      <c r="J224">
        <v>0.03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62</v>
      </c>
      <c r="E225">
        <v>0.06</v>
      </c>
      <c r="F225">
        <v>0.05</v>
      </c>
      <c r="G225">
        <v>0.04</v>
      </c>
      <c r="H225">
        <v>0.01</v>
      </c>
      <c r="I225">
        <v>0.14000000000000001</v>
      </c>
      <c r="J225">
        <v>0.04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62</v>
      </c>
      <c r="E226">
        <v>7.0000000000000007E-2</v>
      </c>
      <c r="F226">
        <v>0.06</v>
      </c>
      <c r="G226">
        <v>0.05</v>
      </c>
      <c r="H226">
        <v>0</v>
      </c>
      <c r="I226">
        <v>0.18</v>
      </c>
      <c r="J226">
        <v>0.04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62</v>
      </c>
      <c r="E227">
        <v>0.08</v>
      </c>
      <c r="F227">
        <v>0.06</v>
      </c>
      <c r="G227">
        <v>0.06</v>
      </c>
      <c r="H227">
        <v>0</v>
      </c>
      <c r="I227">
        <v>0.2</v>
      </c>
      <c r="J227">
        <v>0.05</v>
      </c>
      <c r="K227">
        <v>0.13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90</v>
      </c>
      <c r="E228">
        <v>0.01</v>
      </c>
      <c r="F228">
        <v>0.01</v>
      </c>
      <c r="G228">
        <v>0.01</v>
      </c>
      <c r="H228">
        <v>0</v>
      </c>
      <c r="I228">
        <v>0.02</v>
      </c>
      <c r="J228">
        <v>0.01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79</v>
      </c>
      <c r="E229">
        <v>0.02</v>
      </c>
      <c r="F229">
        <v>0.02</v>
      </c>
      <c r="G229">
        <v>0.02</v>
      </c>
      <c r="H229">
        <v>0</v>
      </c>
      <c r="I229">
        <v>0.15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90</v>
      </c>
      <c r="E230">
        <v>0.03</v>
      </c>
      <c r="F230">
        <v>0.02</v>
      </c>
      <c r="G230">
        <v>0.02</v>
      </c>
      <c r="H230">
        <v>0</v>
      </c>
      <c r="I230">
        <v>0.11</v>
      </c>
      <c r="J230">
        <v>0.02</v>
      </c>
      <c r="K230">
        <v>0.06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79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90</v>
      </c>
      <c r="E232">
        <v>0.06</v>
      </c>
      <c r="F232">
        <v>0.05</v>
      </c>
      <c r="G232">
        <v>0.04</v>
      </c>
      <c r="H232">
        <v>0.01</v>
      </c>
      <c r="I232">
        <v>0.12</v>
      </c>
      <c r="J232">
        <v>0.03</v>
      </c>
      <c r="K232">
        <v>0.1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79</v>
      </c>
      <c r="E233">
        <v>7.0000000000000007E-2</v>
      </c>
      <c r="F233">
        <v>0.06</v>
      </c>
      <c r="G233">
        <v>0.04</v>
      </c>
      <c r="H233">
        <v>0</v>
      </c>
      <c r="I233">
        <v>0.16</v>
      </c>
      <c r="J233">
        <v>0.04</v>
      </c>
      <c r="K233">
        <v>0.1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90</v>
      </c>
      <c r="E234">
        <v>0.1</v>
      </c>
      <c r="F234">
        <v>0.08</v>
      </c>
      <c r="G234">
        <v>0.06</v>
      </c>
      <c r="H234">
        <v>0</v>
      </c>
      <c r="I234">
        <v>0.19</v>
      </c>
      <c r="J234">
        <v>0.05</v>
      </c>
      <c r="K234">
        <v>0.16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221</v>
      </c>
      <c r="E235">
        <v>0.01</v>
      </c>
      <c r="F235">
        <v>0.01</v>
      </c>
      <c r="G235">
        <v>0</v>
      </c>
      <c r="H235">
        <v>0</v>
      </c>
      <c r="I235">
        <v>0.02</v>
      </c>
      <c r="J235">
        <v>0.01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198</v>
      </c>
      <c r="E236">
        <v>0.03</v>
      </c>
      <c r="F236">
        <v>0.01</v>
      </c>
      <c r="G236">
        <v>0.05</v>
      </c>
      <c r="H236">
        <v>0</v>
      </c>
      <c r="I236">
        <v>0.32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221</v>
      </c>
      <c r="E237">
        <v>0.03</v>
      </c>
      <c r="F237">
        <v>0.02</v>
      </c>
      <c r="G237">
        <v>0.04</v>
      </c>
      <c r="H237">
        <v>0</v>
      </c>
      <c r="I237">
        <v>0.33</v>
      </c>
      <c r="J237">
        <v>0.01</v>
      </c>
      <c r="K237">
        <v>0.03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198</v>
      </c>
      <c r="E238">
        <v>0.03</v>
      </c>
      <c r="F238">
        <v>0.02</v>
      </c>
      <c r="G238">
        <v>0.02</v>
      </c>
      <c r="H238">
        <v>0</v>
      </c>
      <c r="I238">
        <v>0.09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221</v>
      </c>
      <c r="E239">
        <v>0.04</v>
      </c>
      <c r="F239">
        <v>0.03</v>
      </c>
      <c r="G239">
        <v>0.03</v>
      </c>
      <c r="H239">
        <v>0</v>
      </c>
      <c r="I239">
        <v>0.13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198</v>
      </c>
      <c r="E240">
        <v>0.06</v>
      </c>
      <c r="F240">
        <v>0.05</v>
      </c>
      <c r="G240">
        <v>0.04</v>
      </c>
      <c r="H240">
        <v>0</v>
      </c>
      <c r="I240">
        <v>0.17</v>
      </c>
      <c r="J240">
        <v>0.03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221</v>
      </c>
      <c r="E241">
        <v>7.0000000000000007E-2</v>
      </c>
      <c r="F241">
        <v>0.05</v>
      </c>
      <c r="G241">
        <v>0.06</v>
      </c>
      <c r="H241">
        <v>0</v>
      </c>
      <c r="I241">
        <v>0.21</v>
      </c>
      <c r="J241">
        <v>0.03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79</v>
      </c>
      <c r="E242">
        <v>0.01</v>
      </c>
      <c r="F242">
        <v>0.01</v>
      </c>
      <c r="G242">
        <v>0</v>
      </c>
      <c r="H242">
        <v>0</v>
      </c>
      <c r="I242">
        <v>0.02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73</v>
      </c>
      <c r="E243">
        <v>0.03</v>
      </c>
      <c r="F243">
        <v>0.02</v>
      </c>
      <c r="G243">
        <v>0.06</v>
      </c>
      <c r="H243">
        <v>0</v>
      </c>
      <c r="I243">
        <v>0.38</v>
      </c>
      <c r="J243">
        <v>0.01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79</v>
      </c>
      <c r="E244">
        <v>0.03</v>
      </c>
      <c r="F244">
        <v>0.02</v>
      </c>
      <c r="G244">
        <v>0.05</v>
      </c>
      <c r="H244">
        <v>0</v>
      </c>
      <c r="I244">
        <v>0.3</v>
      </c>
      <c r="J244">
        <v>0.01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73</v>
      </c>
      <c r="E245">
        <v>0.03</v>
      </c>
      <c r="F245">
        <v>0.03</v>
      </c>
      <c r="G245">
        <v>0.03</v>
      </c>
      <c r="H245">
        <v>0</v>
      </c>
      <c r="I245">
        <v>0.09</v>
      </c>
      <c r="J245">
        <v>0.01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79</v>
      </c>
      <c r="E246">
        <v>0.04</v>
      </c>
      <c r="F246">
        <v>0.04</v>
      </c>
      <c r="G246">
        <v>0.04</v>
      </c>
      <c r="H246">
        <v>0.01</v>
      </c>
      <c r="I246">
        <v>0.13</v>
      </c>
      <c r="J246">
        <v>0.01</v>
      </c>
      <c r="K246">
        <v>0.06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73</v>
      </c>
      <c r="E247">
        <v>0.06</v>
      </c>
      <c r="F247">
        <v>0.06</v>
      </c>
      <c r="G247">
        <v>0.05</v>
      </c>
      <c r="H247">
        <v>0.01</v>
      </c>
      <c r="I247">
        <v>0.17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79</v>
      </c>
      <c r="E248">
        <v>7.0000000000000007E-2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0.01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0.01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0.01</v>
      </c>
      <c r="F251">
        <v>0.01</v>
      </c>
      <c r="G251">
        <v>0.01</v>
      </c>
      <c r="H251">
        <v>0</v>
      </c>
      <c r="I251">
        <v>0.03</v>
      </c>
      <c r="J251">
        <v>0.01</v>
      </c>
      <c r="K251">
        <v>0.02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0.02</v>
      </c>
      <c r="F252">
        <v>0.02</v>
      </c>
      <c r="G252">
        <v>0.01</v>
      </c>
      <c r="H252">
        <v>0</v>
      </c>
      <c r="I252">
        <v>0.04</v>
      </c>
      <c r="J252">
        <v>0.01</v>
      </c>
      <c r="K252">
        <v>0.03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0.02</v>
      </c>
      <c r="F253">
        <v>0.02</v>
      </c>
      <c r="G253">
        <v>0.02</v>
      </c>
      <c r="H253">
        <v>0</v>
      </c>
      <c r="I253">
        <v>0.06</v>
      </c>
      <c r="J253">
        <v>0.01</v>
      </c>
      <c r="K253">
        <v>0.03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0.03</v>
      </c>
      <c r="F254">
        <v>0.03</v>
      </c>
      <c r="G254">
        <v>0.02</v>
      </c>
      <c r="H254">
        <v>0</v>
      </c>
      <c r="I254">
        <v>0.08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0.04</v>
      </c>
      <c r="F255">
        <v>0.03</v>
      </c>
      <c r="G255">
        <v>0.03</v>
      </c>
      <c r="H255">
        <v>0</v>
      </c>
      <c r="I255">
        <v>0.12</v>
      </c>
      <c r="J255">
        <v>0.01</v>
      </c>
      <c r="K255">
        <v>0.05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1.89</v>
      </c>
      <c r="F257">
        <v>1.42</v>
      </c>
      <c r="G257">
        <v>1.06</v>
      </c>
      <c r="H257">
        <v>0.98</v>
      </c>
      <c r="I257">
        <v>6.94</v>
      </c>
      <c r="J257">
        <v>1.25</v>
      </c>
      <c r="K257">
        <v>2.17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4.08</v>
      </c>
      <c r="F258">
        <v>2.79</v>
      </c>
      <c r="G258">
        <v>3.25</v>
      </c>
      <c r="H258">
        <v>1.4</v>
      </c>
      <c r="I258">
        <v>11.77</v>
      </c>
      <c r="J258">
        <v>2.0699999999999998</v>
      </c>
      <c r="K258">
        <v>3.91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6.02</v>
      </c>
      <c r="F259">
        <v>3.28</v>
      </c>
      <c r="G259">
        <v>6.72</v>
      </c>
      <c r="H259">
        <v>2.0099999999999998</v>
      </c>
      <c r="I259">
        <v>23.22</v>
      </c>
      <c r="J259">
        <v>2.5099999999999998</v>
      </c>
      <c r="K259">
        <v>4.6100000000000003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8.8699999999999992</v>
      </c>
      <c r="F260">
        <v>4.2</v>
      </c>
      <c r="G260">
        <v>9.9600000000000009</v>
      </c>
      <c r="H260">
        <v>2.8</v>
      </c>
      <c r="I260">
        <v>33.03</v>
      </c>
      <c r="J260">
        <v>3.68</v>
      </c>
      <c r="K260">
        <v>6.81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11.22</v>
      </c>
      <c r="F261">
        <v>5.78</v>
      </c>
      <c r="G261">
        <v>12.65</v>
      </c>
      <c r="H261">
        <v>3.1</v>
      </c>
      <c r="I261">
        <v>41.52</v>
      </c>
      <c r="J261">
        <v>4.6100000000000003</v>
      </c>
      <c r="K261">
        <v>8.3800000000000008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12.65</v>
      </c>
      <c r="F262">
        <v>6.68</v>
      </c>
      <c r="G262">
        <v>14.61</v>
      </c>
      <c r="H262">
        <v>3.15</v>
      </c>
      <c r="I262">
        <v>47.39</v>
      </c>
      <c r="J262">
        <v>4.87</v>
      </c>
      <c r="K262">
        <v>9.56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1.29</v>
      </c>
      <c r="F264">
        <v>1.23</v>
      </c>
      <c r="G264">
        <v>0.37</v>
      </c>
      <c r="H264">
        <v>1.01</v>
      </c>
      <c r="I264">
        <v>2.68</v>
      </c>
      <c r="J264">
        <v>1.0900000000000001</v>
      </c>
      <c r="K264">
        <v>1.26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1.88</v>
      </c>
      <c r="F265">
        <v>1.58</v>
      </c>
      <c r="G265">
        <v>0.89</v>
      </c>
      <c r="H265">
        <v>1.05</v>
      </c>
      <c r="I265">
        <v>4.2300000000000004</v>
      </c>
      <c r="J265">
        <v>1.22</v>
      </c>
      <c r="K265">
        <v>2.0699999999999998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4.59</v>
      </c>
      <c r="F266">
        <v>2.4700000000000002</v>
      </c>
      <c r="G266">
        <v>7.19</v>
      </c>
      <c r="H266">
        <v>0</v>
      </c>
      <c r="I266">
        <v>43.03</v>
      </c>
      <c r="J266">
        <v>1.94</v>
      </c>
      <c r="K266">
        <v>3.7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5.66</v>
      </c>
      <c r="F267">
        <v>3.55</v>
      </c>
      <c r="G267">
        <v>8.02</v>
      </c>
      <c r="H267">
        <v>0</v>
      </c>
      <c r="I267">
        <v>45.45</v>
      </c>
      <c r="J267">
        <v>2.1800000000000002</v>
      </c>
      <c r="K267">
        <v>4.55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5.93</v>
      </c>
      <c r="F268">
        <v>4.43</v>
      </c>
      <c r="G268">
        <v>6.44</v>
      </c>
      <c r="H268">
        <v>0</v>
      </c>
      <c r="I268">
        <v>38.75</v>
      </c>
      <c r="J268">
        <v>2.83</v>
      </c>
      <c r="K268">
        <v>5.51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5.53</v>
      </c>
      <c r="F269">
        <v>4.87</v>
      </c>
      <c r="G269">
        <v>3.17</v>
      </c>
      <c r="H269">
        <v>0</v>
      </c>
      <c r="I269">
        <v>16.7</v>
      </c>
      <c r="J269">
        <v>3.35</v>
      </c>
      <c r="K269">
        <v>6.71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1.28</v>
      </c>
      <c r="F271">
        <v>1.24</v>
      </c>
      <c r="G271">
        <v>0.38</v>
      </c>
      <c r="H271">
        <v>0</v>
      </c>
      <c r="I271">
        <v>2.27</v>
      </c>
      <c r="J271">
        <v>1.04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1.75</v>
      </c>
      <c r="F272">
        <v>1.8</v>
      </c>
      <c r="G272">
        <v>0.56999999999999995</v>
      </c>
      <c r="H272">
        <v>0</v>
      </c>
      <c r="I272">
        <v>3.34</v>
      </c>
      <c r="J272">
        <v>1.3</v>
      </c>
      <c r="K272">
        <v>2.0699999999999998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2.35</v>
      </c>
      <c r="F273">
        <v>2.2000000000000002</v>
      </c>
      <c r="G273">
        <v>1.1000000000000001</v>
      </c>
      <c r="H273">
        <v>0</v>
      </c>
      <c r="I273">
        <v>9.6999999999999993</v>
      </c>
      <c r="J273">
        <v>1.74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3.01</v>
      </c>
      <c r="F274">
        <v>2.78</v>
      </c>
      <c r="G274">
        <v>1.52</v>
      </c>
      <c r="H274">
        <v>0</v>
      </c>
      <c r="I274">
        <v>14.06</v>
      </c>
      <c r="J274">
        <v>2.23</v>
      </c>
      <c r="K274">
        <v>3.41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3.61</v>
      </c>
      <c r="F275">
        <v>3.29</v>
      </c>
      <c r="G275">
        <v>1.52</v>
      </c>
      <c r="H275">
        <v>0</v>
      </c>
      <c r="I275">
        <v>12.8</v>
      </c>
      <c r="J275">
        <v>2.9</v>
      </c>
      <c r="K275">
        <v>4.16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4.09</v>
      </c>
      <c r="F276">
        <v>3.81</v>
      </c>
      <c r="G276">
        <v>1.61</v>
      </c>
      <c r="H276">
        <v>0</v>
      </c>
      <c r="I276">
        <v>8.86</v>
      </c>
      <c r="J276">
        <v>3.07</v>
      </c>
      <c r="K276">
        <v>4.71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1.19</v>
      </c>
      <c r="F278">
        <v>1.1599999999999999</v>
      </c>
      <c r="G278">
        <v>0.14000000000000001</v>
      </c>
      <c r="H278">
        <v>1.02</v>
      </c>
      <c r="I278">
        <v>1.48</v>
      </c>
      <c r="J278">
        <v>1.04</v>
      </c>
      <c r="K278">
        <v>1.3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</v>
      </c>
      <c r="F279">
        <v>1.54</v>
      </c>
      <c r="G279">
        <v>0.33</v>
      </c>
      <c r="H279">
        <v>1.01</v>
      </c>
      <c r="I279">
        <v>2.0499999999999998</v>
      </c>
      <c r="J279">
        <v>1.1499999999999999</v>
      </c>
      <c r="K279">
        <v>1.77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1.89</v>
      </c>
      <c r="F280">
        <v>1.73</v>
      </c>
      <c r="G280">
        <v>0.53</v>
      </c>
      <c r="H280">
        <v>0.84</v>
      </c>
      <c r="I280">
        <v>3.21</v>
      </c>
      <c r="J280">
        <v>1.61</v>
      </c>
      <c r="K280">
        <v>2.0499999999999998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2.34</v>
      </c>
      <c r="F281">
        <v>2.02</v>
      </c>
      <c r="G281">
        <v>0.79</v>
      </c>
      <c r="H281">
        <v>0.95</v>
      </c>
      <c r="I281">
        <v>5.05</v>
      </c>
      <c r="J281">
        <v>1.95</v>
      </c>
      <c r="K281">
        <v>2.29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2.63</v>
      </c>
      <c r="F282">
        <v>2.27</v>
      </c>
      <c r="G282">
        <v>0.96</v>
      </c>
      <c r="H282">
        <v>0.93</v>
      </c>
      <c r="I282">
        <v>5.96</v>
      </c>
      <c r="J282">
        <v>2.2000000000000002</v>
      </c>
      <c r="K282">
        <v>2.62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2.73</v>
      </c>
      <c r="F283">
        <v>2.48</v>
      </c>
      <c r="G283">
        <v>0.83</v>
      </c>
      <c r="H283">
        <v>0.92</v>
      </c>
      <c r="I283">
        <v>5.0599999999999996</v>
      </c>
      <c r="J283">
        <v>2.34</v>
      </c>
      <c r="K283">
        <v>2.92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45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45</v>
      </c>
      <c r="E285">
        <v>1.07</v>
      </c>
      <c r="F285">
        <v>1.04</v>
      </c>
      <c r="G285">
        <v>0.08</v>
      </c>
      <c r="H285">
        <v>0.96</v>
      </c>
      <c r="I285">
        <v>1.24</v>
      </c>
      <c r="J285">
        <v>1.02</v>
      </c>
      <c r="K285">
        <v>1.1399999999999999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45</v>
      </c>
      <c r="E286">
        <v>1.36</v>
      </c>
      <c r="F286">
        <v>1.37</v>
      </c>
      <c r="G286">
        <v>0.23</v>
      </c>
      <c r="H286">
        <v>1.01</v>
      </c>
      <c r="I286">
        <v>1.81</v>
      </c>
      <c r="J286">
        <v>1.1399999999999999</v>
      </c>
      <c r="K286">
        <v>1.57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45</v>
      </c>
      <c r="E287">
        <v>1.31</v>
      </c>
      <c r="F287">
        <v>1.3</v>
      </c>
      <c r="G287">
        <v>0.22</v>
      </c>
      <c r="H287">
        <v>1.01</v>
      </c>
      <c r="I287">
        <v>1.98</v>
      </c>
      <c r="J287">
        <v>1.1599999999999999</v>
      </c>
      <c r="K287">
        <v>1.39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45</v>
      </c>
      <c r="E288">
        <v>1.53</v>
      </c>
      <c r="F288">
        <v>1.55</v>
      </c>
      <c r="G288">
        <v>0.28999999999999998</v>
      </c>
      <c r="H288">
        <v>1.03</v>
      </c>
      <c r="I288">
        <v>2.25</v>
      </c>
      <c r="J288">
        <v>1.38</v>
      </c>
      <c r="K288">
        <v>1.69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45</v>
      </c>
      <c r="E289">
        <v>1.64</v>
      </c>
      <c r="F289">
        <v>1.63</v>
      </c>
      <c r="G289">
        <v>0.34</v>
      </c>
      <c r="H289">
        <v>1.05</v>
      </c>
      <c r="I289">
        <v>2.5299999999999998</v>
      </c>
      <c r="J289">
        <v>1.52</v>
      </c>
      <c r="K289">
        <v>1.72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45</v>
      </c>
      <c r="E290">
        <v>1.75</v>
      </c>
      <c r="F290">
        <v>1.71</v>
      </c>
      <c r="G290">
        <v>0.41</v>
      </c>
      <c r="H290">
        <v>1.07</v>
      </c>
      <c r="I290">
        <v>2.81</v>
      </c>
      <c r="J290">
        <v>1.6</v>
      </c>
      <c r="K290">
        <v>1.91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1.68</v>
      </c>
      <c r="F292">
        <v>1.62</v>
      </c>
      <c r="G292">
        <v>0.68</v>
      </c>
      <c r="H292">
        <v>0.33</v>
      </c>
      <c r="I292">
        <v>4.1399999999999997</v>
      </c>
      <c r="J292">
        <v>1.3</v>
      </c>
      <c r="K292">
        <v>1.93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2.57</v>
      </c>
      <c r="F293">
        <v>2.44</v>
      </c>
      <c r="G293">
        <v>1.27</v>
      </c>
      <c r="H293">
        <v>0.28000000000000003</v>
      </c>
      <c r="I293">
        <v>7.3</v>
      </c>
      <c r="J293">
        <v>1.85</v>
      </c>
      <c r="K293">
        <v>3.34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3.06</v>
      </c>
      <c r="F294">
        <v>2.7</v>
      </c>
      <c r="G294">
        <v>1.67</v>
      </c>
      <c r="H294">
        <v>0.31</v>
      </c>
      <c r="I294">
        <v>7.57</v>
      </c>
      <c r="J294">
        <v>2.1800000000000002</v>
      </c>
      <c r="K294">
        <v>3.28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3.98</v>
      </c>
      <c r="F295">
        <v>3.54</v>
      </c>
      <c r="G295">
        <v>1.98</v>
      </c>
      <c r="H295">
        <v>0.25</v>
      </c>
      <c r="I295">
        <v>8.4</v>
      </c>
      <c r="J295">
        <v>2.98</v>
      </c>
      <c r="K295">
        <v>5.07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4.59</v>
      </c>
      <c r="F296">
        <v>4.41</v>
      </c>
      <c r="G296">
        <v>2.66</v>
      </c>
      <c r="H296">
        <v>0.13</v>
      </c>
      <c r="I296">
        <v>9.58</v>
      </c>
      <c r="J296">
        <v>3.37</v>
      </c>
      <c r="K296">
        <v>5.82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5</v>
      </c>
      <c r="F297">
        <v>4.6399999999999997</v>
      </c>
      <c r="G297">
        <v>3.13</v>
      </c>
      <c r="H297">
        <v>-0.06</v>
      </c>
      <c r="I297">
        <v>10.78</v>
      </c>
      <c r="J297">
        <v>3.83</v>
      </c>
      <c r="K297">
        <v>6.14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1.41</v>
      </c>
      <c r="F299">
        <v>1.37</v>
      </c>
      <c r="G299">
        <v>0.27</v>
      </c>
      <c r="H299">
        <v>1.03</v>
      </c>
      <c r="I299">
        <v>1.93</v>
      </c>
      <c r="J299">
        <v>1.18</v>
      </c>
      <c r="K299">
        <v>1.59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2.04</v>
      </c>
      <c r="F300">
        <v>1.53</v>
      </c>
      <c r="G300">
        <v>1.47</v>
      </c>
      <c r="H300">
        <v>0.82</v>
      </c>
      <c r="I300">
        <v>8</v>
      </c>
      <c r="J300">
        <v>1.18</v>
      </c>
      <c r="K300">
        <v>2.3199999999999998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2.91</v>
      </c>
      <c r="F301">
        <v>1.99</v>
      </c>
      <c r="G301">
        <v>3.74</v>
      </c>
      <c r="H301">
        <v>0.76</v>
      </c>
      <c r="I301">
        <v>21.7</v>
      </c>
      <c r="J301">
        <v>1.32</v>
      </c>
      <c r="K301">
        <v>2.62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3.43</v>
      </c>
      <c r="F302">
        <v>2.5099999999999998</v>
      </c>
      <c r="G302">
        <v>3.41</v>
      </c>
      <c r="H302">
        <v>0</v>
      </c>
      <c r="I302">
        <v>19.86</v>
      </c>
      <c r="J302">
        <v>1.63</v>
      </c>
      <c r="K302">
        <v>3.54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2.95</v>
      </c>
      <c r="F303">
        <v>2.52</v>
      </c>
      <c r="G303">
        <v>1.96</v>
      </c>
      <c r="H303">
        <v>0</v>
      </c>
      <c r="I303">
        <v>9.93</v>
      </c>
      <c r="J303">
        <v>1.68</v>
      </c>
      <c r="K303">
        <v>3.98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3.43</v>
      </c>
      <c r="F304">
        <v>1.98</v>
      </c>
      <c r="G304">
        <v>3.94</v>
      </c>
      <c r="H304">
        <v>0</v>
      </c>
      <c r="I304">
        <v>19.37</v>
      </c>
      <c r="J304">
        <v>1.33</v>
      </c>
      <c r="K304">
        <v>4.25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1.38</v>
      </c>
      <c r="F306">
        <v>1.38</v>
      </c>
      <c r="G306">
        <v>0.27</v>
      </c>
      <c r="H306">
        <v>0</v>
      </c>
      <c r="I306">
        <v>1.97</v>
      </c>
      <c r="J306">
        <v>1.1499999999999999</v>
      </c>
      <c r="K306">
        <v>1.59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1.73</v>
      </c>
      <c r="F307">
        <v>1.67</v>
      </c>
      <c r="G307">
        <v>0.56000000000000005</v>
      </c>
      <c r="H307">
        <v>0</v>
      </c>
      <c r="I307">
        <v>3.35</v>
      </c>
      <c r="J307">
        <v>1.29</v>
      </c>
      <c r="K307">
        <v>2.16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1.97</v>
      </c>
      <c r="F308">
        <v>1.79</v>
      </c>
      <c r="G308">
        <v>0.85</v>
      </c>
      <c r="H308">
        <v>0</v>
      </c>
      <c r="I308">
        <v>8.33</v>
      </c>
      <c r="J308">
        <v>1.58</v>
      </c>
      <c r="K308">
        <v>2.25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2.37</v>
      </c>
      <c r="F309">
        <v>2.31</v>
      </c>
      <c r="G309">
        <v>1.03</v>
      </c>
      <c r="H309">
        <v>0</v>
      </c>
      <c r="I309">
        <v>10.31</v>
      </c>
      <c r="J309">
        <v>1.79</v>
      </c>
      <c r="K309">
        <v>2.68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2.79</v>
      </c>
      <c r="F310">
        <v>2.8</v>
      </c>
      <c r="G310">
        <v>1.1299999999999999</v>
      </c>
      <c r="H310">
        <v>0</v>
      </c>
      <c r="I310">
        <v>8.11</v>
      </c>
      <c r="J310">
        <v>2.1</v>
      </c>
      <c r="K310">
        <v>3.28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2.89</v>
      </c>
      <c r="F311">
        <v>2.96</v>
      </c>
      <c r="G311">
        <v>1.3</v>
      </c>
      <c r="H311">
        <v>0</v>
      </c>
      <c r="I311">
        <v>7.49</v>
      </c>
      <c r="J311">
        <v>1.98</v>
      </c>
      <c r="K311">
        <v>3.61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1.32</v>
      </c>
      <c r="F313">
        <v>1.34</v>
      </c>
      <c r="G313">
        <v>0.17</v>
      </c>
      <c r="H313">
        <v>1.01</v>
      </c>
      <c r="I313">
        <v>1.6</v>
      </c>
      <c r="J313">
        <v>1.1499999999999999</v>
      </c>
      <c r="K313">
        <v>1.45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1.41</v>
      </c>
      <c r="F314">
        <v>1.31</v>
      </c>
      <c r="G314">
        <v>0.19</v>
      </c>
      <c r="H314">
        <v>1</v>
      </c>
      <c r="I314">
        <v>1.68</v>
      </c>
      <c r="J314">
        <v>1.27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1.58</v>
      </c>
      <c r="F315">
        <v>1.6</v>
      </c>
      <c r="G315">
        <v>0.22</v>
      </c>
      <c r="H315">
        <v>1.01</v>
      </c>
      <c r="I315">
        <v>2.17</v>
      </c>
      <c r="J315">
        <v>1.43</v>
      </c>
      <c r="K315">
        <v>1.69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</v>
      </c>
      <c r="F316">
        <v>1.78</v>
      </c>
      <c r="G316">
        <v>0.36</v>
      </c>
      <c r="H316">
        <v>0.99</v>
      </c>
      <c r="I316">
        <v>3.17</v>
      </c>
      <c r="J316">
        <v>1.53</v>
      </c>
      <c r="K316">
        <v>1.91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2.02</v>
      </c>
      <c r="F317">
        <v>2</v>
      </c>
      <c r="G317">
        <v>0.45</v>
      </c>
      <c r="H317">
        <v>0.99</v>
      </c>
      <c r="I317">
        <v>3.63</v>
      </c>
      <c r="J317">
        <v>1.81</v>
      </c>
      <c r="K317">
        <v>2.1800000000000002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2.11</v>
      </c>
      <c r="F318">
        <v>2.11</v>
      </c>
      <c r="G318">
        <v>0.49</v>
      </c>
      <c r="H318">
        <v>0.92</v>
      </c>
      <c r="I318">
        <v>4.0199999999999996</v>
      </c>
      <c r="J318">
        <v>1.91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1.23</v>
      </c>
      <c r="F320">
        <v>1.1499999999999999</v>
      </c>
      <c r="G320">
        <v>0.19</v>
      </c>
      <c r="H320">
        <v>0.92</v>
      </c>
      <c r="I320">
        <v>1.63</v>
      </c>
      <c r="J320">
        <v>1.07</v>
      </c>
      <c r="K320">
        <v>1.37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1.54</v>
      </c>
      <c r="F321">
        <v>1.6</v>
      </c>
      <c r="G321">
        <v>0.41</v>
      </c>
      <c r="H321">
        <v>1</v>
      </c>
      <c r="I321">
        <v>2.66</v>
      </c>
      <c r="J321">
        <v>1.18</v>
      </c>
      <c r="K321">
        <v>1.91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1.36</v>
      </c>
      <c r="F322">
        <v>1.33</v>
      </c>
      <c r="G322">
        <v>0.26</v>
      </c>
      <c r="H322">
        <v>0.99</v>
      </c>
      <c r="I322">
        <v>1.86</v>
      </c>
      <c r="J322">
        <v>1.19</v>
      </c>
      <c r="K322">
        <v>1.55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1.56</v>
      </c>
      <c r="F323">
        <v>1.47</v>
      </c>
      <c r="G323">
        <v>0.37</v>
      </c>
      <c r="H323">
        <v>0.97</v>
      </c>
      <c r="I323">
        <v>2.5299999999999998</v>
      </c>
      <c r="J323">
        <v>1.29</v>
      </c>
      <c r="K323">
        <v>1.88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1.66</v>
      </c>
      <c r="F324">
        <v>1.61</v>
      </c>
      <c r="G324">
        <v>0.41</v>
      </c>
      <c r="H324">
        <v>0.97</v>
      </c>
      <c r="I324">
        <v>2.62</v>
      </c>
      <c r="J324">
        <v>1.33</v>
      </c>
      <c r="K324">
        <v>2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1.81</v>
      </c>
      <c r="F325">
        <v>1.77</v>
      </c>
      <c r="G325">
        <v>0.5</v>
      </c>
      <c r="H325">
        <v>0.98</v>
      </c>
      <c r="I325">
        <v>2.93</v>
      </c>
      <c r="J325">
        <v>1.39</v>
      </c>
      <c r="K325">
        <v>2.23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7.61</v>
      </c>
      <c r="F327">
        <v>4.08</v>
      </c>
      <c r="G327">
        <v>7.12</v>
      </c>
      <c r="H327">
        <v>2.94</v>
      </c>
      <c r="I327">
        <v>29.92</v>
      </c>
      <c r="J327">
        <v>3.4</v>
      </c>
      <c r="K327">
        <v>10.6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12.53</v>
      </c>
      <c r="F328">
        <v>9.2200000000000006</v>
      </c>
      <c r="G328">
        <v>11.46</v>
      </c>
      <c r="H328">
        <v>1.94</v>
      </c>
      <c r="I328">
        <v>47.8</v>
      </c>
      <c r="J328">
        <v>4.63</v>
      </c>
      <c r="K328">
        <v>14.79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16.79</v>
      </c>
      <c r="F329">
        <v>17.05</v>
      </c>
      <c r="G329">
        <v>14.54</v>
      </c>
      <c r="H329">
        <v>1.7</v>
      </c>
      <c r="I329">
        <v>58.52</v>
      </c>
      <c r="J329">
        <v>4.22</v>
      </c>
      <c r="K329">
        <v>18.739999999999998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21.55</v>
      </c>
      <c r="F330">
        <v>23.37</v>
      </c>
      <c r="G330">
        <v>17.690000000000001</v>
      </c>
      <c r="H330">
        <v>3.3</v>
      </c>
      <c r="I330">
        <v>69.67</v>
      </c>
      <c r="J330">
        <v>4.72</v>
      </c>
      <c r="K330">
        <v>24.63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25.39</v>
      </c>
      <c r="F331">
        <v>28.77</v>
      </c>
      <c r="G331">
        <v>21.69</v>
      </c>
      <c r="H331">
        <v>3.06</v>
      </c>
      <c r="I331">
        <v>85.13</v>
      </c>
      <c r="J331">
        <v>3.99</v>
      </c>
      <c r="K331">
        <v>30.24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18</v>
      </c>
      <c r="E332">
        <v>29.74</v>
      </c>
      <c r="F332">
        <v>33.130000000000003</v>
      </c>
      <c r="G332">
        <v>24.52</v>
      </c>
      <c r="H332">
        <v>3.44</v>
      </c>
      <c r="I332">
        <v>91.86</v>
      </c>
      <c r="J332">
        <v>3.88</v>
      </c>
      <c r="K332">
        <v>35.229999999999997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3.25</v>
      </c>
      <c r="F334">
        <v>2.66</v>
      </c>
      <c r="G334">
        <v>1.95</v>
      </c>
      <c r="H334">
        <v>1.68</v>
      </c>
      <c r="I334">
        <v>10.35</v>
      </c>
      <c r="J334">
        <v>2.3199999999999998</v>
      </c>
      <c r="K334">
        <v>3.1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4.8099999999999996</v>
      </c>
      <c r="F335">
        <v>3.33</v>
      </c>
      <c r="G335">
        <v>2.74</v>
      </c>
      <c r="H335">
        <v>2.77</v>
      </c>
      <c r="I335">
        <v>9.65</v>
      </c>
      <c r="J335">
        <v>2.92</v>
      </c>
      <c r="K335">
        <v>5.01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7.14</v>
      </c>
      <c r="F336">
        <v>4.62</v>
      </c>
      <c r="G336">
        <v>5.56</v>
      </c>
      <c r="H336">
        <v>0</v>
      </c>
      <c r="I336">
        <v>21.32</v>
      </c>
      <c r="J336">
        <v>3.81</v>
      </c>
      <c r="K336">
        <v>10.6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9.2100000000000009</v>
      </c>
      <c r="F337">
        <v>4.83</v>
      </c>
      <c r="G337">
        <v>9.36</v>
      </c>
      <c r="H337">
        <v>0</v>
      </c>
      <c r="I337">
        <v>33.340000000000003</v>
      </c>
      <c r="J337">
        <v>3.44</v>
      </c>
      <c r="K337">
        <v>13.38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7.53</v>
      </c>
      <c r="F338">
        <v>5.53</v>
      </c>
      <c r="G338">
        <v>7.14</v>
      </c>
      <c r="H338">
        <v>0</v>
      </c>
      <c r="I338">
        <v>28.53</v>
      </c>
      <c r="J338">
        <v>3.04</v>
      </c>
      <c r="K338">
        <v>12.57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15</v>
      </c>
      <c r="E339">
        <v>5.33</v>
      </c>
      <c r="F339">
        <v>3.7</v>
      </c>
      <c r="G339">
        <v>3.04</v>
      </c>
      <c r="H339">
        <v>0</v>
      </c>
      <c r="I339">
        <v>11.92</v>
      </c>
      <c r="J339">
        <v>3.38</v>
      </c>
      <c r="K339">
        <v>6.81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4.26</v>
      </c>
      <c r="F341">
        <v>3.37</v>
      </c>
      <c r="G341">
        <v>2.64</v>
      </c>
      <c r="H341">
        <v>0</v>
      </c>
      <c r="I341">
        <v>14.43</v>
      </c>
      <c r="J341">
        <v>2.3199999999999998</v>
      </c>
      <c r="K341">
        <v>4.68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7.11</v>
      </c>
      <c r="F342">
        <v>5.19</v>
      </c>
      <c r="G342">
        <v>4.8</v>
      </c>
      <c r="H342">
        <v>0</v>
      </c>
      <c r="I342">
        <v>22.88</v>
      </c>
      <c r="J342">
        <v>2.89</v>
      </c>
      <c r="K342">
        <v>9.61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9.7799999999999994</v>
      </c>
      <c r="F343">
        <v>9.64</v>
      </c>
      <c r="G343">
        <v>6.88</v>
      </c>
      <c r="H343">
        <v>0</v>
      </c>
      <c r="I343">
        <v>30.18</v>
      </c>
      <c r="J343">
        <v>3.6</v>
      </c>
      <c r="K343">
        <v>14.65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12.77</v>
      </c>
      <c r="F344">
        <v>12.01</v>
      </c>
      <c r="G344">
        <v>10.210000000000001</v>
      </c>
      <c r="H344">
        <v>0</v>
      </c>
      <c r="I344">
        <v>36.81</v>
      </c>
      <c r="J344">
        <v>3.26</v>
      </c>
      <c r="K344">
        <v>19.88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14.94</v>
      </c>
      <c r="F345">
        <v>11.15</v>
      </c>
      <c r="G345">
        <v>13.33</v>
      </c>
      <c r="H345">
        <v>0</v>
      </c>
      <c r="I345">
        <v>47.01</v>
      </c>
      <c r="J345">
        <v>2.94</v>
      </c>
      <c r="K345">
        <v>24.26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63</v>
      </c>
      <c r="E346">
        <v>17.46</v>
      </c>
      <c r="F346">
        <v>5.57</v>
      </c>
      <c r="G346">
        <v>16.41</v>
      </c>
      <c r="H346">
        <v>0</v>
      </c>
      <c r="I346">
        <v>57.91</v>
      </c>
      <c r="J346">
        <v>3.21</v>
      </c>
      <c r="K346">
        <v>28.8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3.29</v>
      </c>
      <c r="F348">
        <v>4.22</v>
      </c>
      <c r="G348">
        <v>1.71</v>
      </c>
      <c r="H348">
        <v>1.01</v>
      </c>
      <c r="I348">
        <v>6</v>
      </c>
      <c r="J348">
        <v>1.72</v>
      </c>
      <c r="K348">
        <v>4.68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5.64</v>
      </c>
      <c r="F349">
        <v>6.45</v>
      </c>
      <c r="G349">
        <v>3.52</v>
      </c>
      <c r="H349">
        <v>1.06</v>
      </c>
      <c r="I349">
        <v>9.61</v>
      </c>
      <c r="J349">
        <v>2.4900000000000002</v>
      </c>
      <c r="K349">
        <v>9.6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6.11</v>
      </c>
      <c r="F350">
        <v>6.79</v>
      </c>
      <c r="G350">
        <v>3.09</v>
      </c>
      <c r="H350">
        <v>2.06</v>
      </c>
      <c r="I350">
        <v>11.98</v>
      </c>
      <c r="J350">
        <v>2.98</v>
      </c>
      <c r="K350">
        <v>8.33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8.31</v>
      </c>
      <c r="F351">
        <v>9.44</v>
      </c>
      <c r="G351">
        <v>4.3099999999999996</v>
      </c>
      <c r="H351">
        <v>2.2000000000000002</v>
      </c>
      <c r="I351">
        <v>14.3</v>
      </c>
      <c r="J351">
        <v>4.45</v>
      </c>
      <c r="K351">
        <v>11.39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9.83</v>
      </c>
      <c r="F352">
        <v>10.97</v>
      </c>
      <c r="G352">
        <v>5.59</v>
      </c>
      <c r="H352">
        <v>2.2000000000000002</v>
      </c>
      <c r="I352">
        <v>17.59</v>
      </c>
      <c r="J352">
        <v>4.3600000000000003</v>
      </c>
      <c r="K352">
        <v>13.87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10.73</v>
      </c>
      <c r="F353">
        <v>12</v>
      </c>
      <c r="G353">
        <v>6.63</v>
      </c>
      <c r="H353">
        <v>2.5299999999999998</v>
      </c>
      <c r="I353">
        <v>20.81</v>
      </c>
      <c r="J353">
        <v>3.97</v>
      </c>
      <c r="K353">
        <v>16.079999999999998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1.29</v>
      </c>
      <c r="F355">
        <v>1.08</v>
      </c>
      <c r="G355">
        <v>0.55000000000000004</v>
      </c>
      <c r="H355">
        <v>1</v>
      </c>
      <c r="I355">
        <v>3.05</v>
      </c>
      <c r="J355">
        <v>1.07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1.82</v>
      </c>
      <c r="F356">
        <v>1.2</v>
      </c>
      <c r="G356">
        <v>2.1800000000000002</v>
      </c>
      <c r="H356">
        <v>1.03</v>
      </c>
      <c r="I356">
        <v>9.36</v>
      </c>
      <c r="J356">
        <v>1.1499999999999999</v>
      </c>
      <c r="K356">
        <v>1.26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1.99</v>
      </c>
      <c r="F357">
        <v>1.34</v>
      </c>
      <c r="G357">
        <v>2.5299999999999998</v>
      </c>
      <c r="H357">
        <v>1.02</v>
      </c>
      <c r="I357">
        <v>10.74</v>
      </c>
      <c r="J357">
        <v>1.22</v>
      </c>
      <c r="K357">
        <v>1.49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2.16</v>
      </c>
      <c r="F358">
        <v>1.52</v>
      </c>
      <c r="G358">
        <v>2.5499999999999998</v>
      </c>
      <c r="H358">
        <v>1.01</v>
      </c>
      <c r="I358">
        <v>10.96</v>
      </c>
      <c r="J358">
        <v>1.29</v>
      </c>
      <c r="K358">
        <v>1.79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2.0699999999999998</v>
      </c>
      <c r="F359">
        <v>1.46</v>
      </c>
      <c r="G359">
        <v>2.0699999999999998</v>
      </c>
      <c r="H359">
        <v>1</v>
      </c>
      <c r="I359">
        <v>9.17</v>
      </c>
      <c r="J359">
        <v>1.35</v>
      </c>
      <c r="K359">
        <v>1.89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2.23</v>
      </c>
      <c r="F360">
        <v>1.57</v>
      </c>
      <c r="G360">
        <v>2.3199999999999998</v>
      </c>
      <c r="H360">
        <v>1.01</v>
      </c>
      <c r="I360">
        <v>10.14</v>
      </c>
      <c r="J360">
        <v>1.4</v>
      </c>
      <c r="K360">
        <v>2.04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0.98</v>
      </c>
      <c r="F362">
        <v>0.99</v>
      </c>
      <c r="G362">
        <v>0.05</v>
      </c>
      <c r="H362">
        <v>0.92</v>
      </c>
      <c r="I362">
        <v>1.04</v>
      </c>
      <c r="J362">
        <v>0.93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0.92</v>
      </c>
      <c r="F363">
        <v>0.93</v>
      </c>
      <c r="G363">
        <v>0.02</v>
      </c>
      <c r="H363">
        <v>0.89</v>
      </c>
      <c r="I363">
        <v>0.95</v>
      </c>
      <c r="J363">
        <v>0.91</v>
      </c>
      <c r="K363">
        <v>0.94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0.88</v>
      </c>
      <c r="F364">
        <v>0.87</v>
      </c>
      <c r="G364">
        <v>0.02</v>
      </c>
      <c r="H364">
        <v>0.86</v>
      </c>
      <c r="I364">
        <v>0.91</v>
      </c>
      <c r="J364">
        <v>0.87</v>
      </c>
      <c r="K364">
        <v>0.88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</v>
      </c>
      <c r="F365">
        <v>0.89</v>
      </c>
      <c r="G365">
        <v>0.02</v>
      </c>
      <c r="H365">
        <v>0.89</v>
      </c>
      <c r="I365">
        <v>0.93</v>
      </c>
      <c r="J365">
        <v>0.89</v>
      </c>
      <c r="K365">
        <v>0.91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0.95</v>
      </c>
      <c r="F366">
        <v>0.96</v>
      </c>
      <c r="G366">
        <v>0.02</v>
      </c>
      <c r="H366">
        <v>0.91</v>
      </c>
      <c r="I366">
        <v>0.98</v>
      </c>
      <c r="J366">
        <v>0.95</v>
      </c>
      <c r="K366">
        <v>0.96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0.97</v>
      </c>
      <c r="G367">
        <v>0.04</v>
      </c>
      <c r="H367">
        <v>0.89</v>
      </c>
      <c r="I367">
        <v>0.99</v>
      </c>
      <c r="J367">
        <v>0.94</v>
      </c>
      <c r="K367">
        <v>0.98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0.08</v>
      </c>
      <c r="H369">
        <v>0.85</v>
      </c>
      <c r="I369">
        <v>1.08</v>
      </c>
      <c r="J369">
        <v>0.97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0.84</v>
      </c>
      <c r="F370">
        <v>0.83</v>
      </c>
      <c r="G370">
        <v>0.03</v>
      </c>
      <c r="H370">
        <v>0.81</v>
      </c>
      <c r="I370">
        <v>0.89</v>
      </c>
      <c r="J370">
        <v>0.82</v>
      </c>
      <c r="K370">
        <v>0.85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0.88</v>
      </c>
      <c r="F371">
        <v>0.86</v>
      </c>
      <c r="G371">
        <v>0.04</v>
      </c>
      <c r="H371">
        <v>0.84</v>
      </c>
      <c r="I371">
        <v>0.96</v>
      </c>
      <c r="J371">
        <v>0.85</v>
      </c>
      <c r="K371">
        <v>0.91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0.95</v>
      </c>
      <c r="F372">
        <v>0.95</v>
      </c>
      <c r="G372">
        <v>0.03</v>
      </c>
      <c r="H372">
        <v>0.9</v>
      </c>
      <c r="I372">
        <v>0.98</v>
      </c>
      <c r="J372">
        <v>0.93</v>
      </c>
      <c r="K372">
        <v>0.97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</v>
      </c>
      <c r="F373">
        <v>0.98</v>
      </c>
      <c r="G373">
        <v>0.04</v>
      </c>
      <c r="H373">
        <v>0.96</v>
      </c>
      <c r="I373">
        <v>1.07</v>
      </c>
      <c r="J373">
        <v>0.97</v>
      </c>
      <c r="K373">
        <v>1.01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1.05</v>
      </c>
      <c r="F374">
        <v>1.05</v>
      </c>
      <c r="G374">
        <v>0.03</v>
      </c>
      <c r="H374">
        <v>1.01</v>
      </c>
      <c r="I374">
        <v>1.0900000000000001</v>
      </c>
      <c r="J374">
        <v>1.03</v>
      </c>
      <c r="K374">
        <v>1.08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1.07</v>
      </c>
      <c r="F376">
        <v>0.99</v>
      </c>
      <c r="G376">
        <v>0.22</v>
      </c>
      <c r="H376">
        <v>0.82</v>
      </c>
      <c r="I376">
        <v>1.32</v>
      </c>
      <c r="J376">
        <v>0.88</v>
      </c>
      <c r="K376">
        <v>1.32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0.99</v>
      </c>
      <c r="F377">
        <v>0.86</v>
      </c>
      <c r="G377">
        <v>0.22</v>
      </c>
      <c r="H377">
        <v>0.77</v>
      </c>
      <c r="I377">
        <v>1.43</v>
      </c>
      <c r="J377">
        <v>0.81</v>
      </c>
      <c r="K377">
        <v>1.19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1.07</v>
      </c>
      <c r="F378">
        <v>0.91</v>
      </c>
      <c r="G378">
        <v>0.28999999999999998</v>
      </c>
      <c r="H378">
        <v>0.77</v>
      </c>
      <c r="I378">
        <v>1.65</v>
      </c>
      <c r="J378">
        <v>0.85</v>
      </c>
      <c r="K378">
        <v>1.32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1.33</v>
      </c>
      <c r="F379">
        <v>0.96</v>
      </c>
      <c r="G379">
        <v>0.59</v>
      </c>
      <c r="H379">
        <v>0.88</v>
      </c>
      <c r="I379">
        <v>2.57</v>
      </c>
      <c r="J379">
        <v>0.92</v>
      </c>
      <c r="K379">
        <v>1.69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1.73</v>
      </c>
      <c r="F380">
        <v>1.05</v>
      </c>
      <c r="G380">
        <v>1.03</v>
      </c>
      <c r="H380">
        <v>0.92</v>
      </c>
      <c r="I380">
        <v>3.81</v>
      </c>
      <c r="J380">
        <v>1.01</v>
      </c>
      <c r="K380">
        <v>2.36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2.09</v>
      </c>
      <c r="F381">
        <v>1.1000000000000001</v>
      </c>
      <c r="G381">
        <v>1.4</v>
      </c>
      <c r="H381">
        <v>0.98</v>
      </c>
      <c r="I381">
        <v>4.58</v>
      </c>
      <c r="J381">
        <v>1.08</v>
      </c>
      <c r="K381">
        <v>3.03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1.3</v>
      </c>
      <c r="F383">
        <v>1.29</v>
      </c>
      <c r="G383">
        <v>0.01</v>
      </c>
      <c r="H383">
        <v>1.29</v>
      </c>
      <c r="I383">
        <v>1.32</v>
      </c>
      <c r="J383">
        <v>1.29</v>
      </c>
      <c r="K383">
        <v>1.3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1.1200000000000001</v>
      </c>
      <c r="F384">
        <v>1.1000000000000001</v>
      </c>
      <c r="G384">
        <v>0.06</v>
      </c>
      <c r="H384">
        <v>1.07</v>
      </c>
      <c r="I384">
        <v>1.2</v>
      </c>
      <c r="J384">
        <v>1.07</v>
      </c>
      <c r="K384">
        <v>1.1599999999999999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1.02</v>
      </c>
      <c r="G385">
        <v>7.0000000000000007E-2</v>
      </c>
      <c r="H385">
        <v>0.95</v>
      </c>
      <c r="I385">
        <v>1.1200000000000001</v>
      </c>
      <c r="J385">
        <v>1</v>
      </c>
      <c r="K385">
        <v>1.1000000000000001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1.1399999999999999</v>
      </c>
      <c r="F386">
        <v>1.1100000000000001</v>
      </c>
      <c r="G386">
        <v>0.12</v>
      </c>
      <c r="H386">
        <v>1.04</v>
      </c>
      <c r="I386">
        <v>1.38</v>
      </c>
      <c r="J386">
        <v>1.04</v>
      </c>
      <c r="K386">
        <v>1.17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1.41</v>
      </c>
      <c r="F387">
        <v>1.45</v>
      </c>
      <c r="G387">
        <v>0.16</v>
      </c>
      <c r="H387">
        <v>1.2</v>
      </c>
      <c r="I387">
        <v>1.57</v>
      </c>
      <c r="J387">
        <v>1.27</v>
      </c>
      <c r="K387">
        <v>1.56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1.91</v>
      </c>
      <c r="F388">
        <v>1.92</v>
      </c>
      <c r="G388">
        <v>0.34</v>
      </c>
      <c r="H388">
        <v>1.42</v>
      </c>
      <c r="I388">
        <v>2.35</v>
      </c>
      <c r="J388">
        <v>1.69</v>
      </c>
      <c r="K388">
        <v>2.17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0.99</v>
      </c>
      <c r="F390">
        <v>0.84</v>
      </c>
      <c r="G390">
        <v>0.21</v>
      </c>
      <c r="H390">
        <v>0.83</v>
      </c>
      <c r="I390">
        <v>1.29</v>
      </c>
      <c r="J390">
        <v>0.83</v>
      </c>
      <c r="K390">
        <v>1.1599999999999999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</v>
      </c>
      <c r="F391">
        <v>0.79</v>
      </c>
      <c r="G391">
        <v>0.14000000000000001</v>
      </c>
      <c r="H391">
        <v>0.78</v>
      </c>
      <c r="I391">
        <v>1.07</v>
      </c>
      <c r="J391">
        <v>0.78</v>
      </c>
      <c r="K391">
        <v>1.04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0.85</v>
      </c>
      <c r="F392">
        <v>0.82</v>
      </c>
      <c r="G392">
        <v>7.0000000000000007E-2</v>
      </c>
      <c r="H392">
        <v>0.8</v>
      </c>
      <c r="I392">
        <v>0.98</v>
      </c>
      <c r="J392">
        <v>0.81</v>
      </c>
      <c r="K392">
        <v>0.86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0.87</v>
      </c>
      <c r="F393">
        <v>0.86</v>
      </c>
      <c r="G393">
        <v>0.06</v>
      </c>
      <c r="H393">
        <v>0.83</v>
      </c>
      <c r="I393">
        <v>0.99</v>
      </c>
      <c r="J393">
        <v>0.84</v>
      </c>
      <c r="K393">
        <v>0.86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</v>
      </c>
      <c r="F394">
        <v>0.88</v>
      </c>
      <c r="G394">
        <v>0.09</v>
      </c>
      <c r="H394">
        <v>0.82</v>
      </c>
      <c r="I394">
        <v>1.0900000000000001</v>
      </c>
      <c r="J394">
        <v>0.85</v>
      </c>
      <c r="K394">
        <v>0.89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0.94</v>
      </c>
      <c r="F395">
        <v>0.9</v>
      </c>
      <c r="G395">
        <v>0.15</v>
      </c>
      <c r="H395">
        <v>0.84</v>
      </c>
      <c r="I395">
        <v>1.28</v>
      </c>
      <c r="J395">
        <v>0.87</v>
      </c>
      <c r="K395">
        <v>0.92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2026-06-25T14:34:42Z</dcterms:modified>
</cp:coreProperties>
</file>