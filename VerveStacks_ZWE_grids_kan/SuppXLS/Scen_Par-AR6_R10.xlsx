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_grids_kan\SuppXLS\"/>
    </mc:Choice>
  </mc:AlternateContent>
  <xr:revisionPtr revIDLastSave="0" documentId="13_ncr:1_{A99FF862-EEF1-49EB-8DBC-7CF2644BCC7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V23" i="1"/>
  <c r="Z23" i="1"/>
  <c r="Y23" i="1"/>
  <c r="U23" i="1"/>
  <c r="X23" i="1"/>
  <c r="T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<sst xmlns="http://schemas.openxmlformats.org/spreadsheetml/2006/main" count="1717" uniqueCount="126">
  <si>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</si>
  <si>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</si>
  <si>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</si>
  <si>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</si>
  <si>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</si>
  <si>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</si>
  <si>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</si>
  <si>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</si>
  <si>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</si>
  <si>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</si>
  <si>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</si>
  <si>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</si>
  <si>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</si>
  <si>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</si>
  <si>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</si>
  <si>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</si>
  <si>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</si>
  <si>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</si>
  <si>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</si>
  <si>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</si>
  <si>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</si>
  <si>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</si>
  <si>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</si>
  <si>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</si>
  <si>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</si>
  <si>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</si>
  <si>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</si>
  <si>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</si>
  <si>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</si>
  <si>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</si>
  <si>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</si>
  <si>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</si>
  <si>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</si>
  <si>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</si>
  <si>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</si>
  <si>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</si>
  <si>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</si>
  <si>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</si>
  <si>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</si>
  <si>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</si>
  <si>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</si>
  <si>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</si>
  <si>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</si>
  <si>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</si>
  <si>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</si>
  <si>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</si>
  <si>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</si>
  <si>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</si>
  <si>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</si>
  <si>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</si>
  <si>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</si>
  <si>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</si>
  <si>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</si>
  <si>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</si>
  <si>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</si>
  <si>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</si>
  <si>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</si>
  <si>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</si>
  <si>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</si>
  <si>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</si>
  <si>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</si>
  <si>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</si>
  <si>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</si>
  <si>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</si>
  <si>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</si>
  <si>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</si>
  <si>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</si>
  <si>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</si>
  <si>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</si>
  <si>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</si>
  <si>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</si>
  <si>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</si>
  <si>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</si>
  <si>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</si>
  <si>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</si>
  <si>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</si>
  <si>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</si>
  <si>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</si>
  <si>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</si>
  <si>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</si>
  <si>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</si>
  <si>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</si>
  <si>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</si>
  <si>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</si>
  <si>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</si>
  <si>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</si>
  <si>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</si>
  <si>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</si>
  <si>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</si>
  <si>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</si>
  <si>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</si>
  <si>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</si>
  <si>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</si>
  <si>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</si>
  <si>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</si>
  <si>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</si>
  <si>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</si>
  <si>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</si>
  <si>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</si>
  <si>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</si>
  <si>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</si>
  <si>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</si>
  <si>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</si>
  <si>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</si>
  <si>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</si>
  <si>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</si>
  <si>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</si>
  <si>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</si>
  <si>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</si>
  <si>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</si>
  <si>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</si>
  <si>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</si>
  <si>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</si>
  <si>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</si>
  <si>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</si>
  <si>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</si>
  <si>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</si>
  <si>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</si>
  <si>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</si>
  <si>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</si>
  <si>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</si>
  <si>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</si>
  <si>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</si>
  <si>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ZWE</t>
  </si>
  <si>
    <t>R10AFRICA</t>
  </si>
  <si>
    <t>Coal resources, agricultural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</si>
</sst>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10.610000000000001</c:v>
                </c:pt>
                <c:pt idx="1">
                  <c:v>13.368600000000002</c:v>
                </c:pt>
                <c:pt idx="2">
                  <c:v>16.021100000000001</c:v>
                </c:pt>
                <c:pt idx="3">
                  <c:v>19.310200000000002</c:v>
                </c:pt>
                <c:pt idx="4">
                  <c:v>23.235900000000001</c:v>
                </c:pt>
                <c:pt idx="5">
                  <c:v>27.479900000000001</c:v>
                </c:pt>
                <c:pt idx="6">
                  <c:v>35.225200000000001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10.610000000000001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10.610000000000001</v>
      </c>
      <c r="U14" s="8">
        <f t="shared" ref="U14:Z14" si="4">$S$11*J14</f>
        <v>13.368600000000002</v>
      </c>
      <c r="V14" s="8">
        <f t="shared" si="4"/>
        <v>16.021100000000001</v>
      </c>
      <c r="W14" s="8">
        <f t="shared" si="4"/>
        <v>19.310200000000002</v>
      </c>
      <c r="X14" s="8">
        <f t="shared" si="4"/>
        <v>23.235900000000001</v>
      </c>
      <c r="Y14" s="8">
        <f t="shared" si="4"/>
        <v>27.479900000000001</v>
      </c>
      <c r="Z14" s="8">
        <f t="shared" si="4"/>
        <v>35.225200000000001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0.35225200000000001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4.7745000000000006</v>
      </c>
      <c r="U19" s="6">
        <f t="shared" si="7"/>
        <v>5.8821840000000014</v>
      </c>
      <c r="V19" s="6">
        <f t="shared" si="7"/>
        <v>5.4471740000000004</v>
      </c>
      <c r="W19" s="6">
        <f t="shared" si="7"/>
        <v>6.7585700000000006</v>
      </c>
      <c r="X19" s="6">
        <f t="shared" si="7"/>
        <v>7.667847000000001</v>
      </c>
      <c r="Y19" s="6">
        <f t="shared" si="7"/>
        <v>10.442362000000001</v>
      </c>
      <c r="Z19" s="6">
        <f t="shared" si="7"/>
        <v>12.681072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5.7294000000000009</v>
      </c>
      <c r="U20" s="6">
        <f t="shared" si="7"/>
        <v>7.219044000000002</v>
      </c>
      <c r="V20" s="6">
        <f t="shared" si="7"/>
        <v>9.132026999999999</v>
      </c>
      <c r="W20" s="6">
        <f t="shared" si="7"/>
        <v>11.779222000000001</v>
      </c>
      <c r="X20" s="6">
        <f t="shared" si="7"/>
        <v>14.173899</v>
      </c>
      <c r="Y20" s="6">
        <f t="shared" si="7"/>
        <v>14.839146000000001</v>
      </c>
      <c r="Z20" s="6">
        <f t="shared" si="7"/>
        <v>18.669356000000001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0.10610000000000001</v>
      </c>
      <c r="U21" s="6">
        <f t="shared" ref="U21:Z21" si="8">T21</f>
        <v>0.10610000000000001</v>
      </c>
      <c r="V21" s="6">
        <f t="shared" si="8"/>
        <v>0.10610000000000001</v>
      </c>
      <c r="W21" s="6">
        <f t="shared" si="8"/>
        <v>0.10610000000000001</v>
      </c>
      <c r="X21" s="6">
        <f t="shared" si="8"/>
        <v>0.10610000000000001</v>
      </c>
      <c r="Y21" s="6">
        <f t="shared" si="8"/>
        <v>0.10610000000000001</v>
      </c>
      <c r="Z21" s="6">
        <f t="shared" si="8"/>
        <v>0.10610000000000001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0.1612720000000003</v>
      </c>
      <c r="V22" s="6">
        <f t="shared" si="9"/>
        <v>1.3357990000000015</v>
      </c>
      <c r="W22" s="6">
        <f t="shared" si="9"/>
        <v>0.66630799999999724</v>
      </c>
      <c r="X22" s="6">
        <f t="shared" si="9"/>
        <v>1.2880539999999989</v>
      </c>
      <c r="Y22" s="6">
        <f t="shared" si="9"/>
        <v>2.0922919999999969</v>
      </c>
      <c r="Z22" s="6">
        <f t="shared" si="9"/>
        <v>3.7686719999999987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2.2999999999999998</v>
      </c>
      <c r="S28" t="s">
        <v>31</v>
      </c>
      <c r="T28" s="3">
        <f>Q28</f>
        <v>2.2999999999999998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-0.4</v>
      </c>
      <c r="S29" t="s">
        <v>34</v>
      </c>
      <c r="T29" s="3">
        <f>-1*Q29</f>
        <v>0.4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25.75</v>
      </c>
      <c r="J45">
        <f t="shared" si="13"/>
        <v>26.78</v>
      </c>
      <c r="K45">
        <f t="shared" si="13"/>
        <v>35.277500000000003</v>
      </c>
      <c r="L45">
        <f t="shared" si="13"/>
        <v>33.475000000000001</v>
      </c>
      <c r="M45">
        <f t="shared" si="13"/>
        <v>39.912500000000001</v>
      </c>
      <c r="N45">
        <f t="shared" si="13"/>
        <v>41.972499999999997</v>
      </c>
      <c r="O45">
        <f t="shared" si="13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10.649999999999999</v>
      </c>
      <c r="J46">
        <f t="shared" si="13"/>
        <v>11.501999999999999</v>
      </c>
      <c r="K46">
        <f t="shared" si="13"/>
        <v>12.779999999999998</v>
      </c>
      <c r="L46">
        <f t="shared" si="13"/>
        <v>14.270999999999999</v>
      </c>
      <c r="M46">
        <f t="shared" si="13"/>
        <v>16.187999999999999</v>
      </c>
      <c r="N46">
        <f t="shared" si="13"/>
        <v>15.548999999999998</v>
      </c>
      <c r="O46">
        <f t="shared" si="13"/>
        <v>16.720499999999998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47</v>
      </c>
      <c r="J47">
        <f t="shared" si="13"/>
        <v>54.05</v>
      </c>
      <c r="K47">
        <f t="shared" si="13"/>
        <v>75.2</v>
      </c>
      <c r="L47">
        <f t="shared" si="13"/>
        <v>62.510000000000005</v>
      </c>
      <c r="M47">
        <f t="shared" si="13"/>
        <v>69.09</v>
      </c>
      <c r="N47">
        <f t="shared" si="13"/>
        <v>75.67</v>
      </c>
      <c r="O47">
        <f t="shared" si="13"/>
        <v>83.19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16</v>
      </c>
      <c r="O48">
        <f>VLOOKUP($H$14,$AK$9:$AM$15,3,FALSE)*I48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20.6</v>
      </c>
      <c r="C11">
        <v>30.9</v>
      </c>
      <c r="D11">
        <v>9.1</v>
      </c>
      <c r="E11">
        <v>12.2</v>
      </c>
      <c r="F11">
        <v>42</v>
      </c>
      <c r="G11">
        <v>52</v>
      </c>
      <c r="H11">
        <v>12</v>
      </c>
      <c r="I11">
        <v>20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6.91</v>
      </c>
      <c r="D11">
        <v>5.15</v>
      </c>
      <c r="E11">
        <v>0</v>
      </c>
      <c r="F11">
        <v>0</v>
      </c>
      <c r="G11">
        <v>5.0999999999999996</v>
      </c>
      <c r="H11">
        <v>0</v>
      </c>
      <c r="I11">
        <v>7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6.73</v>
      </c>
      <c r="D12">
        <v>5.22</v>
      </c>
      <c r="E12">
        <v>0</v>
      </c>
      <c r="F12">
        <v>0</v>
      </c>
      <c r="G12">
        <v>4.07</v>
      </c>
      <c r="H12">
        <v>0</v>
      </c>
      <c r="I12">
        <v>7.91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7.27</v>
      </c>
      <c r="D13">
        <v>5.29</v>
      </c>
      <c r="E13">
        <v>0</v>
      </c>
      <c r="F13">
        <v>0</v>
      </c>
      <c r="G13">
        <v>4.01</v>
      </c>
      <c r="H13">
        <v>0</v>
      </c>
      <c r="I13">
        <v>8.59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6.49</v>
      </c>
      <c r="D14">
        <v>5.42</v>
      </c>
      <c r="E14">
        <v>0</v>
      </c>
      <c r="F14">
        <v>0</v>
      </c>
      <c r="G14">
        <v>3.18</v>
      </c>
      <c r="H14">
        <v>0</v>
      </c>
      <c r="I14">
        <v>8.8000000000000007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6.18</v>
      </c>
      <c r="D15">
        <v>5.51</v>
      </c>
      <c r="E15">
        <v>0</v>
      </c>
      <c r="F15">
        <v>0</v>
      </c>
      <c r="G15">
        <v>2.04</v>
      </c>
      <c r="H15">
        <v>0</v>
      </c>
      <c r="I15">
        <v>9.7200000000000006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6.59</v>
      </c>
      <c r="D16">
        <v>5.7</v>
      </c>
      <c r="E16">
        <v>0</v>
      </c>
      <c r="F16">
        <v>0</v>
      </c>
      <c r="G16">
        <v>3.01</v>
      </c>
      <c r="H16">
        <v>-0.04</v>
      </c>
      <c r="I16">
        <v>9.3699999999999992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5.92</v>
      </c>
      <c r="D17">
        <v>5.88</v>
      </c>
      <c r="E17">
        <v>0</v>
      </c>
      <c r="F17">
        <v>0</v>
      </c>
      <c r="G17">
        <v>4.25</v>
      </c>
      <c r="H17">
        <v>-0.35</v>
      </c>
      <c r="I17">
        <v>7.97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5.24</v>
      </c>
      <c r="D18">
        <v>5.23</v>
      </c>
      <c r="E18">
        <v>0</v>
      </c>
      <c r="F18">
        <v>0</v>
      </c>
      <c r="G18">
        <v>2.96</v>
      </c>
      <c r="H18">
        <v>-0.03</v>
      </c>
      <c r="I18">
        <v>7.61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3.67</v>
      </c>
      <c r="D19">
        <v>5.01</v>
      </c>
      <c r="E19">
        <v>0</v>
      </c>
      <c r="F19">
        <v>0</v>
      </c>
      <c r="G19">
        <v>1.69</v>
      </c>
      <c r="H19">
        <v>-0.56999999999999995</v>
      </c>
      <c r="I19">
        <v>7.62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3.72</v>
      </c>
      <c r="D20">
        <v>4.78</v>
      </c>
      <c r="E20">
        <v>0</v>
      </c>
      <c r="F20">
        <v>0</v>
      </c>
      <c r="G20">
        <v>2.1800000000000002</v>
      </c>
      <c r="H20">
        <v>-0.9</v>
      </c>
      <c r="I20">
        <v>7.29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5.16</v>
      </c>
      <c r="D21">
        <v>4.2</v>
      </c>
      <c r="E21">
        <v>0</v>
      </c>
      <c r="F21">
        <v>0</v>
      </c>
      <c r="G21">
        <v>1.72</v>
      </c>
      <c r="H21">
        <v>-0.99</v>
      </c>
      <c r="I21">
        <v>8.69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5.14</v>
      </c>
      <c r="D22">
        <v>4.6399999999999997</v>
      </c>
      <c r="E22">
        <v>0</v>
      </c>
      <c r="F22">
        <v>0</v>
      </c>
      <c r="G22">
        <v>1.58</v>
      </c>
      <c r="H22">
        <v>-0.98</v>
      </c>
      <c r="I22">
        <v>9.24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5.01</v>
      </c>
      <c r="D23">
        <v>4.6900000000000004</v>
      </c>
      <c r="E23">
        <v>0</v>
      </c>
      <c r="F23">
        <v>0</v>
      </c>
      <c r="G23">
        <v>1.2</v>
      </c>
      <c r="H23">
        <v>-0.65</v>
      </c>
      <c r="I23">
        <v>9.2100000000000009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5</v>
      </c>
      <c r="D24">
        <v>5.1100000000000003</v>
      </c>
      <c r="E24">
        <v>0</v>
      </c>
      <c r="F24">
        <v>0</v>
      </c>
      <c r="G24">
        <v>1.73</v>
      </c>
      <c r="H24">
        <v>-1.2</v>
      </c>
      <c r="I24">
        <v>9.58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5.22</v>
      </c>
      <c r="D25">
        <v>4.79</v>
      </c>
      <c r="E25">
        <v>0</v>
      </c>
      <c r="F25">
        <v>0</v>
      </c>
      <c r="G25">
        <v>1.1299999999999999</v>
      </c>
      <c r="H25">
        <v>-1.23</v>
      </c>
      <c r="I25">
        <v>10.029999999999999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4.37</v>
      </c>
      <c r="D26">
        <v>4.84</v>
      </c>
      <c r="E26">
        <v>0</v>
      </c>
      <c r="F26">
        <v>0</v>
      </c>
      <c r="G26">
        <v>1.1499999999999999</v>
      </c>
      <c r="H26">
        <v>-1.25</v>
      </c>
      <c r="I26">
        <v>9.7100000000000009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4.4400000000000004</v>
      </c>
      <c r="D27">
        <v>4.57</v>
      </c>
      <c r="E27">
        <v>0</v>
      </c>
      <c r="F27">
        <v>0</v>
      </c>
      <c r="G27">
        <v>2.2200000000000002</v>
      </c>
      <c r="H27">
        <v>-0.37</v>
      </c>
      <c r="I27">
        <v>7.25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5.23</v>
      </c>
      <c r="D28">
        <v>4.46</v>
      </c>
      <c r="E28">
        <v>0</v>
      </c>
      <c r="F28">
        <v>0</v>
      </c>
      <c r="G28">
        <v>2.57</v>
      </c>
      <c r="H28">
        <v>-0.35</v>
      </c>
      <c r="I28">
        <v>7.55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5.82</v>
      </c>
      <c r="D29">
        <v>4.74</v>
      </c>
      <c r="E29">
        <v>0</v>
      </c>
      <c r="F29">
        <v>0</v>
      </c>
      <c r="G29">
        <v>2.57</v>
      </c>
      <c r="H29">
        <v>-0.35</v>
      </c>
      <c r="I29">
        <v>9.3699999999999992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5.39</v>
      </c>
      <c r="D30">
        <v>3.92</v>
      </c>
      <c r="E30">
        <v>0</v>
      </c>
      <c r="F30">
        <v>0</v>
      </c>
      <c r="G30">
        <v>1.61</v>
      </c>
      <c r="H30">
        <v>-0.5</v>
      </c>
      <c r="I30">
        <v>8.39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4.91</v>
      </c>
      <c r="D31">
        <v>3.57</v>
      </c>
      <c r="E31">
        <v>0</v>
      </c>
      <c r="F31">
        <v>0</v>
      </c>
      <c r="G31">
        <v>2.34</v>
      </c>
      <c r="H31">
        <v>-0.35</v>
      </c>
      <c r="I31">
        <v>6.67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5.87</v>
      </c>
      <c r="D32">
        <v>4.25</v>
      </c>
      <c r="E32">
        <v>0</v>
      </c>
      <c r="F32">
        <v>0</v>
      </c>
      <c r="G32">
        <v>2.19</v>
      </c>
      <c r="H32">
        <v>-0.45</v>
      </c>
      <c r="I32">
        <v>8.56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6.18</v>
      </c>
      <c r="D33">
        <v>4.38</v>
      </c>
      <c r="E33">
        <v>0</v>
      </c>
      <c r="F33">
        <v>0</v>
      </c>
      <c r="G33">
        <v>2.2999999999999998</v>
      </c>
      <c r="H33">
        <v>-0.4</v>
      </c>
      <c r="I33">
        <v>8.7100000000000009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2026-06-25T14:27:00Z</dcterms:modified>
</cp:coreProperties>
</file>